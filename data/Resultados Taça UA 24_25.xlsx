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EBOL MISTO" sheetId="1" r:id="rId4"/>
    <sheet state="visible" name="BASQUETEBOL FEMININO" sheetId="2" r:id="rId5"/>
    <sheet state="visible" name="BASQUETEBOL MASCULINO" sheetId="3" r:id="rId6"/>
    <sheet state="visible" name="FUTSAL FEMININO" sheetId="4" r:id="rId7"/>
    <sheet state="visible" name="FUTSAL MASCULINO" sheetId="5" r:id="rId8"/>
    <sheet state="visible" name="FUTEBOL DE 7 MASCULINO" sheetId="6" r:id="rId9"/>
    <sheet state="visible" name="VOLEIBOL FEMININO" sheetId="7" r:id="rId10"/>
    <sheet state="visible" name="VOLEIBOL MASCULINO" sheetId="8" r:id="rId11"/>
    <sheet state="hidden" name="CASTIGOS" sheetId="9" r:id="rId12"/>
  </sheets>
  <definedNames/>
  <calcPr/>
  <extLst>
    <ext uri="GoogleSheetsCustomDataVersion2">
      <go:sheetsCustomData xmlns:go="http://customooxmlschemas.google.com/" r:id="rId13" roundtripDataChecksum="hC0vQ5cwcRNT9ZEKdX1G9O/R4V22d0ApsNhsJRc1lHs="/>
    </ext>
  </extLst>
</workbook>
</file>

<file path=xl/sharedStrings.xml><?xml version="1.0" encoding="utf-8"?>
<sst xmlns="http://schemas.openxmlformats.org/spreadsheetml/2006/main" count="6612" uniqueCount="230">
  <si>
    <t>ANDEBOL MISTO | 1ª DIVISÃO</t>
  </si>
  <si>
    <t>Jornada</t>
  </si>
  <si>
    <t>Dia</t>
  </si>
  <si>
    <t>Hora</t>
  </si>
  <si>
    <t>Local</t>
  </si>
  <si>
    <t>Equipa Visitada</t>
  </si>
  <si>
    <t>Resultado</t>
  </si>
  <si>
    <t>Equipa Visitante</t>
  </si>
  <si>
    <t>OBSERVAÇÕES</t>
  </si>
  <si>
    <t>Pontos equipa visitada</t>
  </si>
  <si>
    <t>Pontos equipa visitante</t>
  </si>
  <si>
    <t>CLASSIFICAÇÃO</t>
  </si>
  <si>
    <t>EQUIPA</t>
  </si>
  <si>
    <t>Pontos</t>
  </si>
  <si>
    <t>Vitória</t>
  </si>
  <si>
    <t>Empate</t>
  </si>
  <si>
    <t>Derrota</t>
  </si>
  <si>
    <t>GM</t>
  </si>
  <si>
    <t>GS</t>
  </si>
  <si>
    <t>DG</t>
  </si>
  <si>
    <t>Confronto direto</t>
  </si>
  <si>
    <t>20h15</t>
  </si>
  <si>
    <t>PAH</t>
  </si>
  <si>
    <t>Matemática</t>
  </si>
  <si>
    <t>vs</t>
  </si>
  <si>
    <t>EGI</t>
  </si>
  <si>
    <t>Classificação</t>
  </si>
  <si>
    <t>GM (1ªFase)</t>
  </si>
  <si>
    <t>GS (1ª Fase)</t>
  </si>
  <si>
    <t>1*</t>
  </si>
  <si>
    <t>21h15</t>
  </si>
  <si>
    <t>EET</t>
  </si>
  <si>
    <t>Economia</t>
  </si>
  <si>
    <t>Eng. Materiais</t>
  </si>
  <si>
    <t>Eng. Mecânica</t>
  </si>
  <si>
    <t>2*</t>
  </si>
  <si>
    <t>22h15</t>
  </si>
  <si>
    <t>Fisioterapia</t>
  </si>
  <si>
    <t>Eng. Informática</t>
  </si>
  <si>
    <t>Biotecnologia</t>
  </si>
  <si>
    <t>3*</t>
  </si>
  <si>
    <t>23h15</t>
  </si>
  <si>
    <t>ECT</t>
  </si>
  <si>
    <t>Eng. Cívil</t>
  </si>
  <si>
    <t>4*</t>
  </si>
  <si>
    <t>Gestao Comercial</t>
  </si>
  <si>
    <t>5*</t>
  </si>
  <si>
    <t xml:space="preserve">Confronto direto </t>
  </si>
  <si>
    <t>6*</t>
  </si>
  <si>
    <t>7*</t>
  </si>
  <si>
    <t>Eng. Civil</t>
  </si>
  <si>
    <t>18h30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</si>
  <si>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</si>
  <si>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19h30</t>
  </si>
  <si>
    <t>20h30</t>
  </si>
  <si>
    <t>21h30</t>
  </si>
  <si>
    <t>22h30</t>
  </si>
  <si>
    <t>23h30</t>
  </si>
  <si>
    <t>22h00</t>
  </si>
  <si>
    <t>23h00</t>
  </si>
  <si>
    <t>ANDEBOL MISTO | 2ª DIVISÃO</t>
  </si>
  <si>
    <t>Confronto Direto</t>
  </si>
  <si>
    <t>Gestao</t>
  </si>
  <si>
    <t>Educação Básica</t>
  </si>
  <si>
    <t>GPT</t>
  </si>
  <si>
    <t>Contabilidade</t>
  </si>
  <si>
    <t>Eng. Biomédica</t>
  </si>
  <si>
    <t>Eng. Física</t>
  </si>
  <si>
    <t>MTC</t>
  </si>
  <si>
    <t>DPT</t>
  </si>
  <si>
    <t>Ciências do Mar</t>
  </si>
  <si>
    <t>Psicologia</t>
  </si>
  <si>
    <t>Eng. Química</t>
  </si>
  <si>
    <t>Biologia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</si>
  <si>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</si>
  <si>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19h00</t>
  </si>
  <si>
    <t>20h00</t>
  </si>
  <si>
    <t>21h00</t>
  </si>
  <si>
    <t>15h30</t>
  </si>
  <si>
    <t>16h30</t>
  </si>
  <si>
    <t>17h30</t>
  </si>
  <si>
    <t>BASQUETEBOL FEMININO | GRUPO A</t>
  </si>
  <si>
    <t>PM</t>
  </si>
  <si>
    <t>PS</t>
  </si>
  <si>
    <t>DP</t>
  </si>
  <si>
    <t>22h50</t>
  </si>
  <si>
    <t>Bioquímica</t>
  </si>
  <si>
    <t>23h10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</si>
  <si>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</si>
  <si>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19h20</t>
  </si>
  <si>
    <t>19h40</t>
  </si>
  <si>
    <t>20h20</t>
  </si>
  <si>
    <t>BASQUETEBOL FEMININO | GRUPO B</t>
  </si>
  <si>
    <t>Traduçao</t>
  </si>
  <si>
    <t>LRE</t>
  </si>
  <si>
    <t>23h50</t>
  </si>
  <si>
    <t>Educaçao Básica</t>
  </si>
  <si>
    <t>0h10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</si>
  <si>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</si>
  <si>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20h40</t>
  </si>
  <si>
    <t>21h20</t>
  </si>
  <si>
    <t>21h40</t>
  </si>
  <si>
    <t>BASQUETEBOL MASCULINO - 1ª DIVISÃO</t>
  </si>
  <si>
    <t>Eng. Aeroespacial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</si>
  <si>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</si>
  <si>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22h20</t>
  </si>
  <si>
    <t>22h40</t>
  </si>
  <si>
    <t>23h20</t>
  </si>
  <si>
    <t>Caixa UA</t>
  </si>
  <si>
    <t>23h40</t>
  </si>
  <si>
    <t>BASQUETEBOL MASCULINO - 2ª DIVISÃO | GRUPO A</t>
  </si>
  <si>
    <t>Biologia e Geologia</t>
  </si>
  <si>
    <t>TI</t>
  </si>
  <si>
    <t>Finanças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</si>
  <si>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</si>
  <si>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BASQUETEBOL MASCULINO - 2ª DIVISÃO | GRUPO B</t>
  </si>
  <si>
    <t>AP</t>
  </si>
  <si>
    <t>Design</t>
  </si>
  <si>
    <t>Eng. Compotacional</t>
  </si>
  <si>
    <t>0h00</t>
  </si>
  <si>
    <t>18h40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</si>
  <si>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</si>
  <si>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FEMININO | GRUPO A</t>
  </si>
  <si>
    <t>Eng. Materias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</si>
  <si>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</si>
  <si>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16h15</t>
  </si>
  <si>
    <t>17h15</t>
  </si>
  <si>
    <t>18h15</t>
  </si>
  <si>
    <t>16h00</t>
  </si>
  <si>
    <t>17h00</t>
  </si>
  <si>
    <t>18h00</t>
  </si>
  <si>
    <t>FUTSAL FEMININO | GRUPO B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</si>
  <si>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</si>
  <si>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19h15</t>
  </si>
  <si>
    <t xml:space="preserve">FUTSAL MASCULINO - 1ª DIVISÃO </t>
  </si>
  <si>
    <t>Gestão</t>
  </si>
  <si>
    <t>Enf. Física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</si>
  <si>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</si>
  <si>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A</t>
  </si>
  <si>
    <t>EGI B</t>
  </si>
  <si>
    <t>Música</t>
  </si>
  <si>
    <t>Eng. Ambiente</t>
  </si>
  <si>
    <r>
      <rPr>
        <rFont val="Arial"/>
        <i/>
        <color theme="1"/>
        <sz val="10.0"/>
      </rPr>
      <t xml:space="preserve">* </t>
    </r>
    <r>
      <rPr>
        <rFont val="Arial"/>
        <i/>
        <color theme="1"/>
        <sz val="10.0"/>
      </rPr>
      <t xml:space="preserve"> Equipa apurada para os Playoffs</t>
    </r>
  </si>
  <si>
    <t>FUTSAL MASCULINO - 2ª DIVISÃO | GRUPO B</t>
  </si>
  <si>
    <t>Eng. Mecânica B</t>
  </si>
  <si>
    <t>Enfermagem</t>
  </si>
  <si>
    <t>Gestao Pública</t>
  </si>
  <si>
    <t>Eng. Computacional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</si>
  <si>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</si>
  <si>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15h00</t>
  </si>
  <si>
    <t>FUTEBOL DE 7 - 1ª DIVISÃO</t>
  </si>
  <si>
    <t>Sintético</t>
  </si>
  <si>
    <t>Eng.Cívil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</si>
  <si>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</si>
  <si>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FUTEBOL DE 7 - 2ª DIVISÃO | GRUPO A</t>
  </si>
  <si>
    <t>CBM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</si>
  <si>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</si>
  <si>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FUTEBOL DE 7 - 2ª DIVISÃO | GRUPO B</t>
  </si>
  <si>
    <t>Geologia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</si>
  <si>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</si>
  <si>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VOLEIBOL FEMININO- 1ª DIVISÃO</t>
  </si>
  <si>
    <t>SG</t>
  </si>
  <si>
    <t>SP</t>
  </si>
  <si>
    <t>DS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</si>
  <si>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</si>
  <si>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VOLEIBOL FEMININO - 2ª DIVISÃO | GRUPO A</t>
  </si>
  <si>
    <t>Gestão Comercial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</si>
  <si>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</si>
  <si>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VOLEIBOL FEMININO- 2ª DIVISÃO | GRUPO B</t>
  </si>
  <si>
    <t>CBM B</t>
  </si>
  <si>
    <t>Tradução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</si>
  <si>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</si>
  <si>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VOLEIBOL MASCULINO - 1ª DIVISÃO</t>
  </si>
  <si>
    <t>VS</t>
  </si>
  <si>
    <t xml:space="preserve">Eng. Informática 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</si>
  <si>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</si>
  <si>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VOLEIBOL MASCULINO - 2ª DIVISÃO | GRUPO A</t>
  </si>
  <si>
    <t>LLC</t>
  </si>
  <si>
    <t>-</t>
  </si>
  <si>
    <t>Eng. Informática B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</si>
  <si>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</si>
  <si>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VOLEIBOL MASCULINO - 2ª DIVISÃO | GRUPO B</t>
  </si>
  <si>
    <t>EET B</t>
  </si>
  <si>
    <t>Física</t>
  </si>
  <si>
    <r>
      <rPr>
        <rFont val="Arial"/>
        <i/>
        <color theme="1"/>
      </rPr>
      <t xml:space="preserve">* </t>
    </r>
    <r>
      <rPr>
        <rFont val="Arial"/>
        <i/>
        <color theme="1"/>
        <sz val="8.0"/>
      </rPr>
      <t xml:space="preserve"> Equipa apurada para os Playoffs</t>
    </r>
  </si>
  <si>
    <t>Modalidade</t>
  </si>
  <si>
    <t>Núcleo</t>
  </si>
  <si>
    <t>Equipa</t>
  </si>
  <si>
    <t>Nome do atleta</t>
  </si>
  <si>
    <t>Número mecanográfico</t>
  </si>
  <si>
    <t>Castigo</t>
  </si>
  <si>
    <t>Inicio do Castigo</t>
  </si>
  <si>
    <t>Motivo do castigo</t>
  </si>
  <si>
    <t>Futsal Masculino</t>
  </si>
  <si>
    <t>NEBEC</t>
  </si>
  <si>
    <t>Gonçalo Diogo</t>
  </si>
  <si>
    <t>4 de 8 Jogos de suspensão</t>
  </si>
  <si>
    <t>2ª Jornada</t>
  </si>
  <si>
    <t>castigo que transitou da época passada.</t>
  </si>
  <si>
    <t>NEM</t>
  </si>
  <si>
    <t>Filipe Rocha</t>
  </si>
  <si>
    <t>2 jogos de Suspensão e multa pecuniária de 150,00€</t>
  </si>
  <si>
    <t>Atitude ofensiva ao sentimento de pudor e decência dos espetadores.</t>
  </si>
  <si>
    <t>NAE-ISCA</t>
  </si>
  <si>
    <t>Fábio Lopes</t>
  </si>
  <si>
    <t>2 jogos de Suspensão</t>
  </si>
  <si>
    <t>atitude ofensiva e vexatória para com os Árbitros.</t>
  </si>
  <si>
    <t>NEBG</t>
  </si>
  <si>
    <t>Diogo Matos</t>
  </si>
  <si>
    <t>1 jogo de Suspensão</t>
  </si>
  <si>
    <t>duplo amarelo</t>
  </si>
  <si>
    <t>NECM</t>
  </si>
  <si>
    <t>Paulo Arthur</t>
  </si>
  <si>
    <t>atitude incorreta e agressiva para com os jogadores adversários</t>
  </si>
  <si>
    <t>NEEC</t>
  </si>
  <si>
    <t>Miguel Castro</t>
  </si>
  <si>
    <t>Futebol de 7</t>
  </si>
  <si>
    <t>NEEQu</t>
  </si>
  <si>
    <t>Martim Cabeleira</t>
  </si>
  <si>
    <t>NAE-ESTGA</t>
  </si>
  <si>
    <t>Gabriel Almeida</t>
  </si>
  <si>
    <t>3ª Jornada</t>
  </si>
  <si>
    <t>Duplo amarelo</t>
  </si>
  <si>
    <t>NEEMec</t>
  </si>
  <si>
    <t>Rafael Regadas</t>
  </si>
  <si>
    <t>NEECT</t>
  </si>
  <si>
    <t>Juan</t>
  </si>
  <si>
    <t>anular uma clara oportunidade de golo de forma ilícita</t>
  </si>
  <si>
    <t>Lucas Matos</t>
  </si>
  <si>
    <t>10 dias úteis de suspensão até deliberação do conselho de disciplina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</si>
</sst>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m"/>
    <numFmt numFmtId="165" formatCode="dd/mmm"/>
    <numFmt numFmtId="166" formatCode="d/m/yyyy"/>
  </numFmts>
  <fonts count="28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rgb="FF000000"/>
      <name val="Arial"/>
    </font>
    <font/>
    <font>
      <sz val="36.0"/>
      <color rgb="FF000000"/>
      <name val="Arial"/>
    </font>
    <font>
      <color rgb="FF000000"/>
      <name val="Calibri"/>
    </font>
    <font>
      <sz val="11.0"/>
      <color rgb="FF000000"/>
      <name val="Calibri"/>
    </font>
    <font>
      <sz val="11.0"/>
      <color rgb="FF000000"/>
      <name val="Inconsolata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i/>
      <sz val="10.0"/>
      <color theme="1"/>
      <name val="Arial"/>
    </font>
    <font>
      <color theme="1"/>
      <name val="Calibri"/>
    </font>
    <font>
      <color rgb="FF000000"/>
      <name val="Arial"/>
    </font>
    <font>
      <sz val="11.0"/>
      <color theme="1"/>
      <name val="Calibri"/>
    </font>
    <font>
      <sz val="11.0"/>
      <color rgb="FFFF0000"/>
      <name val="Calibri"/>
    </font>
    <font>
      <b/>
      <sz val="12.0"/>
      <color theme="1"/>
      <name val="Calibri"/>
    </font>
    <font>
      <sz val="36.0"/>
      <color rgb="FF000000"/>
      <name val="Calibri"/>
    </font>
    <font>
      <i/>
      <color theme="1"/>
      <name val="Arial"/>
    </font>
    <font>
      <b/>
      <color theme="1"/>
      <name val="Arial"/>
    </font>
    <font>
      <sz val="8.0"/>
      <color theme="1"/>
      <name val="Calibri"/>
    </font>
    <font>
      <b/>
      <sz val="11.0"/>
      <color theme="1"/>
      <name val="Calibri"/>
    </font>
    <font>
      <color rgb="FFFF0000"/>
      <name val="Calibri"/>
    </font>
    <font>
      <sz val="11.0"/>
      <color rgb="FFCC0000"/>
      <name val="Calibri"/>
    </font>
    <font>
      <color theme="1"/>
      <name val="Times New Roman"/>
    </font>
    <font>
      <b/>
      <color theme="1"/>
      <name val="Times New Roman"/>
    </font>
    <font>
      <b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3" fillId="0" fontId="4" numFmtId="0" xfId="0" applyBorder="1" applyFont="1"/>
    <xf borderId="4" fillId="0" fontId="4" numFmtId="0" xfId="0" applyBorder="1" applyFont="1"/>
    <xf borderId="0" fillId="2" fontId="3" numFmtId="0" xfId="0" applyAlignment="1" applyFont="1">
      <alignment horizontal="center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1" fillId="0" fontId="6" numFmtId="164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3" fontId="3" numFmtId="0" xfId="0" applyAlignment="1" applyFill="1" applyFont="1">
      <alignment horizontal="right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3" fontId="3" numFmtId="0" xfId="0" applyAlignment="1" applyFont="1">
      <alignment horizontal="left" shrinkToFit="0" vertical="bottom" wrapText="0"/>
    </xf>
    <xf borderId="0" fillId="3" fontId="8" numFmtId="0" xfId="0" applyFont="1"/>
    <xf borderId="0" fillId="3" fontId="3" numFmtId="0" xfId="0" applyFont="1"/>
    <xf borderId="1" fillId="0" fontId="9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ont="1">
      <alignment horizontal="left" shrinkToFit="0" vertical="bottom" wrapText="0"/>
    </xf>
    <xf borderId="1" fillId="3" fontId="3" numFmtId="0" xfId="0" applyAlignment="1" applyBorder="1" applyFont="1">
      <alignment horizontal="center" shrinkToFit="0" vertical="bottom" wrapText="0"/>
    </xf>
    <xf borderId="1" fillId="3" fontId="3" numFmtId="0" xfId="0" applyAlignment="1" applyBorder="1" applyFont="1">
      <alignment horizontal="center"/>
    </xf>
    <xf borderId="0" fillId="3" fontId="3" numFmtId="0" xfId="0" applyAlignment="1" applyFont="1">
      <alignment horizontal="center" shrinkToFit="0" vertical="bottom" wrapText="0"/>
    </xf>
    <xf borderId="6" fillId="0" fontId="4" numFmtId="0" xfId="0" applyBorder="1" applyFont="1"/>
    <xf borderId="7" fillId="0" fontId="10" numFmtId="0" xfId="0" applyAlignment="1" applyBorder="1" applyFont="1">
      <alignment readingOrder="0"/>
    </xf>
    <xf borderId="7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1" numFmtId="0" xfId="0" applyBorder="1" applyFont="1"/>
    <xf borderId="1" fillId="0" fontId="10" numFmtId="0" xfId="0" applyBorder="1" applyFont="1"/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7" fillId="0" fontId="4" numFmtId="0" xfId="0" applyBorder="1" applyFont="1"/>
    <xf borderId="0" fillId="5" fontId="3" numFmtId="0" xfId="0" applyAlignment="1" applyFill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/>
    </xf>
    <xf borderId="1" fillId="4" fontId="3" numFmtId="0" xfId="0" applyAlignment="1" applyBorder="1" applyFont="1">
      <alignment horizontal="center" readingOrder="0" shrinkToFit="0" vertical="bottom" wrapText="0"/>
    </xf>
    <xf borderId="1" fillId="6" fontId="3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6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/>
    </xf>
    <xf borderId="0" fillId="0" fontId="12" numFmtId="0" xfId="0" applyAlignment="1" applyFont="1">
      <alignment horizontal="left"/>
    </xf>
    <xf borderId="0" fillId="0" fontId="11" numFmtId="0" xfId="0" applyAlignment="1" applyFont="1">
      <alignment horizontal="center"/>
    </xf>
    <xf borderId="0" fillId="0" fontId="7" numFmtId="0" xfId="0" applyAlignment="1" applyFont="1">
      <alignment horizontal="left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shrinkToFit="0" vertical="top" wrapText="0"/>
    </xf>
    <xf borderId="0" fillId="0" fontId="3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left" shrinkToFit="0" vertical="bottom" wrapText="0"/>
    </xf>
    <xf borderId="1" fillId="0" fontId="6" numFmtId="165" xfId="0" applyAlignment="1" applyBorder="1" applyFont="1" applyNumberForma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0" fontId="14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7" fontId="3" numFmtId="0" xfId="0" applyAlignment="1" applyBorder="1" applyFill="1" applyFont="1">
      <alignment horizontal="center" shrinkToFit="0" vertical="bottom" wrapText="0"/>
    </xf>
    <xf borderId="5" fillId="3" fontId="3" numFmtId="0" xfId="0" applyAlignment="1" applyBorder="1" applyFont="1">
      <alignment horizontal="center" shrinkToFit="0" vertical="bottom" wrapText="0"/>
    </xf>
    <xf borderId="5" fillId="3" fontId="3" numFmtId="0" xfId="0" applyAlignment="1" applyBorder="1" applyFont="1">
      <alignment horizontal="center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13" numFmtId="165" xfId="0" applyAlignment="1" applyBorder="1" applyFont="1" applyNumberFormat="1">
      <alignment horizontal="center" readingOrder="0" shrinkToFit="0" vertical="bottom" wrapText="0"/>
    </xf>
    <xf borderId="1" fillId="0" fontId="14" numFmtId="0" xfId="0" applyAlignment="1" applyBorder="1" applyFont="1">
      <alignment horizontal="center" shrinkToFit="0" vertical="bottom" wrapText="0"/>
    </xf>
    <xf borderId="0" fillId="0" fontId="17" numFmtId="0" xfId="0" applyAlignment="1" applyFont="1">
      <alignment readingOrder="0" vertical="center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horizontal="left"/>
    </xf>
    <xf borderId="1" fillId="2" fontId="7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5" fillId="0" fontId="18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0" fillId="0" fontId="13" numFmtId="0" xfId="0" applyAlignment="1" applyFont="1">
      <alignment horizontal="left" readingOrder="0" shrinkToFit="0" wrapText="0"/>
    </xf>
    <xf borderId="1" fillId="3" fontId="11" numFmtId="0" xfId="0" applyAlignment="1" applyBorder="1" applyFont="1">
      <alignment horizontal="left" shrinkToFit="0" wrapText="0"/>
    </xf>
    <xf borderId="1" fillId="0" fontId="13" numFmtId="0" xfId="0" applyAlignment="1" applyBorder="1" applyFont="1">
      <alignment horizontal="center" readingOrder="0"/>
    </xf>
    <xf borderId="0" fillId="0" fontId="13" numFmtId="0" xfId="0" applyAlignment="1" applyFont="1">
      <alignment horizontal="left" shrinkToFit="0" wrapText="0"/>
    </xf>
    <xf borderId="0" fillId="0" fontId="19" numFmtId="0" xfId="0" applyAlignment="1" applyFont="1">
      <alignment horizontal="left"/>
    </xf>
    <xf borderId="0" fillId="5" fontId="3" numFmtId="0" xfId="0" applyAlignment="1" applyFont="1">
      <alignment horizontal="center" shrinkToFit="0" vertical="bottom" wrapText="0"/>
    </xf>
    <xf borderId="0" fillId="5" fontId="3" numFmtId="0" xfId="0" applyAlignment="1" applyFont="1">
      <alignment horizontal="center"/>
    </xf>
    <xf borderId="6" fillId="0" fontId="18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/>
    </xf>
    <xf borderId="1" fillId="0" fontId="6" numFmtId="165" xfId="0" applyAlignment="1" applyBorder="1" applyFont="1" applyNumberForma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0" fillId="0" fontId="2" numFmtId="0" xfId="0" applyFont="1"/>
    <xf borderId="0" fillId="0" fontId="17" numFmtId="0" xfId="0" applyAlignment="1" applyFont="1">
      <alignment vertical="center"/>
    </xf>
    <xf borderId="0" fillId="0" fontId="17" numFmtId="0" xfId="0" applyFont="1"/>
    <xf borderId="0" fillId="0" fontId="17" numFmtId="0" xfId="0" applyAlignment="1" applyFont="1">
      <alignment horizontal="left"/>
    </xf>
    <xf borderId="0" fillId="0" fontId="17" numFmtId="0" xfId="0" applyAlignment="1" applyFont="1">
      <alignment horizontal="center"/>
    </xf>
    <xf borderId="1" fillId="0" fontId="13" numFmtId="165" xfId="0" applyAlignment="1" applyBorder="1" applyFont="1" applyNumberFormat="1">
      <alignment horizontal="center" shrinkToFit="0" vertical="bottom" wrapText="0"/>
    </xf>
    <xf borderId="0" fillId="3" fontId="2" numFmtId="0" xfId="0" applyAlignment="1" applyFont="1">
      <alignment horizontal="left" shrinkToFit="0" wrapText="0"/>
    </xf>
    <xf borderId="1" fillId="0" fontId="6" numFmtId="0" xfId="0" applyAlignment="1" applyBorder="1" applyFont="1">
      <alignment horizontal="center" shrinkToFit="0" vertical="bottom" wrapText="0"/>
    </xf>
    <xf borderId="0" fillId="0" fontId="13" numFmtId="0" xfId="0" applyAlignment="1" applyFont="1">
      <alignment vertical="center"/>
    </xf>
    <xf borderId="0" fillId="0" fontId="13" numFmtId="0" xfId="0" applyFont="1"/>
    <xf borderId="0" fillId="0" fontId="10" numFmtId="0" xfId="0" applyAlignment="1" applyFont="1">
      <alignment horizontal="center"/>
    </xf>
    <xf borderId="0" fillId="0" fontId="1" numFmtId="0" xfId="0" applyAlignment="1" applyFont="1">
      <alignment vertical="center"/>
    </xf>
    <xf borderId="1" fillId="2" fontId="3" numFmtId="0" xfId="0" applyAlignment="1" applyBorder="1" applyFont="1">
      <alignment horizontal="center" shrinkToFit="0" vertical="center" wrapText="0"/>
    </xf>
    <xf borderId="5" fillId="0" fontId="5" numFmtId="0" xfId="0" applyAlignment="1" applyBorder="1" applyFont="1">
      <alignment horizontal="center" shrinkToFit="0" vertical="center" wrapText="0"/>
    </xf>
    <xf borderId="1" fillId="0" fontId="15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horizontal="left" shrinkToFit="0" wrapText="0"/>
    </xf>
    <xf borderId="1" fillId="0" fontId="10" numFmtId="0" xfId="0" applyAlignment="1" applyBorder="1" applyFont="1">
      <alignment readingOrder="0"/>
    </xf>
    <xf borderId="5" fillId="6" fontId="3" numFmtId="0" xfId="0" applyAlignment="1" applyBorder="1" applyFont="1">
      <alignment horizontal="center" shrinkToFit="0" vertical="bottom" wrapText="0"/>
    </xf>
    <xf borderId="5" fillId="3" fontId="2" numFmtId="0" xfId="0" applyAlignment="1" applyBorder="1" applyFont="1">
      <alignment horizontal="left" shrinkToFit="0" wrapText="0"/>
    </xf>
    <xf borderId="0" fillId="3" fontId="2" numFmtId="0" xfId="0" applyAlignment="1" applyFont="1">
      <alignment horizontal="left" readingOrder="0" shrinkToFit="0" wrapText="0"/>
    </xf>
    <xf borderId="1" fillId="0" fontId="13" numFmtId="164" xfId="0" applyAlignment="1" applyBorder="1" applyFont="1" applyNumberFormat="1">
      <alignment horizontal="center" readingOrder="0" shrinkToFit="0" vertical="bottom" wrapText="0"/>
    </xf>
    <xf borderId="0" fillId="3" fontId="2" numFmtId="0" xfId="0" applyAlignment="1" applyFont="1">
      <alignment vertical="bottom"/>
    </xf>
    <xf borderId="1" fillId="0" fontId="6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/>
    </xf>
    <xf borderId="5" fillId="0" fontId="5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vertical="bottom"/>
    </xf>
    <xf borderId="1" fillId="8" fontId="3" numFmtId="0" xfId="0" applyAlignment="1" applyBorder="1" applyFill="1" applyFont="1">
      <alignment horizontal="center" shrinkToFit="0" vertical="bottom" wrapText="0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2" numFmtId="0" xfId="0" applyAlignment="1" applyFont="1">
      <alignment vertical="center"/>
    </xf>
    <xf borderId="2" fillId="2" fontId="11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13" numFmtId="165" xfId="0" applyAlignment="1" applyBorder="1" applyFont="1" applyNumberFormat="1">
      <alignment horizontal="center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right" shrinkToFit="0" vertical="bottom" wrapText="0"/>
    </xf>
    <xf borderId="1" fillId="2" fontId="7" numFmtId="0" xfId="0" applyAlignment="1" applyBorder="1" applyFont="1">
      <alignment horizontal="left" shrinkToFit="0" vertical="bottom" wrapText="0"/>
    </xf>
    <xf borderId="0" fillId="2" fontId="7" numFmtId="0" xfId="0" applyAlignment="1" applyFont="1">
      <alignment shrinkToFit="0" vertical="bottom" wrapText="0"/>
    </xf>
    <xf borderId="0" fillId="2" fontId="7" numFmtId="0" xfId="0" applyAlignment="1" applyFont="1">
      <alignment horizontal="center" shrinkToFit="0" vertical="bottom" wrapText="0"/>
    </xf>
    <xf borderId="5" fillId="0" fontId="18" numFmtId="0" xfId="0" applyAlignment="1" applyBorder="1" applyFont="1">
      <alignment horizontal="center" shrinkToFit="0" vertical="bottom" wrapText="0"/>
    </xf>
    <xf borderId="1" fillId="0" fontId="7" numFmtId="164" xfId="0" applyAlignment="1" applyBorder="1" applyFont="1" applyNumberFormat="1">
      <alignment horizontal="center"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right" shrinkToFit="0" vertical="bottom" wrapText="0"/>
    </xf>
    <xf borderId="0" fillId="0" fontId="15" numFmtId="0" xfId="0" applyAlignment="1" applyFont="1">
      <alignment vertical="bottom"/>
    </xf>
    <xf borderId="0" fillId="3" fontId="8" numFmtId="0" xfId="0" applyAlignment="1" applyFont="1">
      <alignment horizontal="left" shrinkToFit="0" vertical="bottom" wrapText="0"/>
    </xf>
    <xf borderId="0" fillId="5" fontId="9" numFmtId="0" xfId="0" applyAlignment="1" applyFont="1">
      <alignment horizontal="center" readingOrder="0"/>
    </xf>
    <xf borderId="1" fillId="4" fontId="7" numFmtId="0" xfId="0" applyAlignment="1" applyBorder="1" applyFont="1">
      <alignment horizontal="center" shrinkToFit="0" vertical="bottom" wrapText="0"/>
    </xf>
    <xf borderId="1" fillId="3" fontId="7" numFmtId="0" xfId="0" applyAlignment="1" applyBorder="1" applyFont="1">
      <alignment horizontal="left"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0" fillId="3" fontId="7" numFmtId="0" xfId="0" applyAlignment="1" applyFont="1">
      <alignment horizontal="center" shrinkToFit="0" vertical="bottom" wrapText="0"/>
    </xf>
    <xf borderId="0" fillId="5" fontId="10" numFmtId="0" xfId="0" applyAlignment="1" applyFont="1">
      <alignment horizontal="center" readingOrder="0"/>
    </xf>
    <xf borderId="0" fillId="0" fontId="15" numFmtId="0" xfId="0" applyAlignment="1" applyFont="1">
      <alignment readingOrder="0" vertical="bottom"/>
    </xf>
    <xf borderId="1" fillId="4" fontId="7" numFmtId="0" xfId="0" applyAlignment="1" applyBorder="1" applyFont="1">
      <alignment horizontal="center" readingOrder="0" shrinkToFit="0" vertical="bottom" wrapText="0"/>
    </xf>
    <xf borderId="1" fillId="0" fontId="7" numFmtId="164" xfId="0" applyAlignment="1" applyBorder="1" applyFont="1" applyNumberFormat="1">
      <alignment horizontal="center" readingOrder="0" shrinkToFit="0" vertical="bottom" wrapText="0"/>
    </xf>
    <xf borderId="1" fillId="0" fontId="15" numFmtId="0" xfId="0" applyAlignment="1" applyBorder="1" applyFont="1">
      <alignment horizontal="right" readingOrder="0" shrinkToFit="0" vertical="bottom" wrapText="0"/>
    </xf>
    <xf borderId="1" fillId="0" fontId="15" numFmtId="0" xfId="0" applyAlignment="1" applyBorder="1" applyFont="1">
      <alignment horizontal="left" readingOrder="0" shrinkToFit="0" vertical="bottom" wrapText="0"/>
    </xf>
    <xf borderId="1" fillId="6" fontId="7" numFmtId="0" xfId="0" applyAlignment="1" applyBorder="1" applyFont="1">
      <alignment horizontal="center" shrinkToFit="0" vertical="bottom" wrapText="0"/>
    </xf>
    <xf borderId="1" fillId="0" fontId="16" numFmtId="0" xfId="0" applyAlignment="1" applyBorder="1" applyFont="1">
      <alignment horizontal="right" readingOrder="0" shrinkToFit="0" vertical="bottom" wrapText="0"/>
    </xf>
    <xf borderId="5" fillId="6" fontId="7" numFmtId="0" xfId="0" applyAlignment="1" applyBorder="1" applyFont="1">
      <alignment horizontal="center" shrinkToFit="0" vertical="bottom" wrapText="0"/>
    </xf>
    <xf borderId="5" fillId="3" fontId="7" numFmtId="0" xfId="0" applyAlignment="1" applyBorder="1" applyFont="1">
      <alignment horizontal="left" shrinkToFit="0" vertical="bottom" wrapText="0"/>
    </xf>
    <xf borderId="0" fillId="3" fontId="7" numFmtId="0" xfId="0" applyAlignment="1" applyFont="1">
      <alignment horizontal="right" readingOrder="0" shrinkToFit="0" vertical="bottom" wrapText="0"/>
    </xf>
    <xf borderId="5" fillId="6" fontId="7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horizontal="right"/>
    </xf>
    <xf borderId="5" fillId="0" fontId="18" numFmtId="0" xfId="0" applyAlignment="1" applyBorder="1" applyFont="1">
      <alignment horizontal="center" readingOrder="0" shrinkToFit="0" vertical="bottom" wrapText="0"/>
    </xf>
    <xf borderId="1" fillId="8" fontId="7" numFmtId="0" xfId="0" applyAlignment="1" applyBorder="1" applyFont="1">
      <alignment horizontal="center" shrinkToFit="0" vertical="bottom" wrapText="0"/>
    </xf>
    <xf borderId="1" fillId="8" fontId="7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0" fontId="16" numFmtId="0" xfId="0" applyAlignment="1" applyBorder="1" applyFont="1">
      <alignment horizontal="left" readingOrder="0" shrinkToFit="0" vertical="bottom" wrapText="0"/>
    </xf>
    <xf borderId="0" fillId="3" fontId="8" numFmtId="0" xfId="0" applyAlignment="1" applyFont="1">
      <alignment horizontal="center" shrinkToFit="0" vertical="bottom" wrapText="0"/>
    </xf>
    <xf borderId="0" fillId="0" fontId="21" numFmtId="0" xfId="0" applyAlignment="1" applyFont="1">
      <alignment vertical="bottom"/>
    </xf>
    <xf borderId="1" fillId="3" fontId="6" numFmtId="0" xfId="0" applyAlignment="1" applyBorder="1" applyFont="1">
      <alignment horizontal="left" shrinkToFit="0" vertical="bottom" wrapText="0"/>
    </xf>
    <xf borderId="0" fillId="0" fontId="13" numFmtId="0" xfId="0" applyAlignment="1" applyFont="1">
      <alignment vertical="bottom"/>
    </xf>
    <xf borderId="0" fillId="0" fontId="22" numFmtId="0" xfId="0" applyAlignment="1" applyFont="1">
      <alignment vertic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0" fillId="0" fontId="15" numFmtId="0" xfId="0" applyFont="1"/>
    <xf borderId="0" fillId="3" fontId="3" numFmtId="0" xfId="0" applyAlignment="1" applyFont="1">
      <alignment shrinkToFit="0" vertical="bottom" wrapText="0"/>
    </xf>
    <xf borderId="5" fillId="0" fontId="18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shrinkToFit="0" wrapText="0"/>
    </xf>
    <xf borderId="0" fillId="3" fontId="11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center" shrinkToFit="0" vertical="bottom" wrapText="0"/>
    </xf>
    <xf borderId="0" fillId="3" fontId="11" numFmtId="0" xfId="0" applyAlignment="1" applyFont="1">
      <alignment horizontal="center"/>
    </xf>
    <xf borderId="1" fillId="0" fontId="15" numFmtId="0" xfId="0" applyAlignment="1" applyBorder="1" applyFont="1">
      <alignment horizontal="left"/>
    </xf>
    <xf borderId="1" fillId="0" fontId="15" numFmtId="0" xfId="0" applyAlignment="1" applyBorder="1" applyFont="1">
      <alignment horizontal="center"/>
    </xf>
    <xf borderId="1" fillId="0" fontId="13" numFmtId="0" xfId="0" applyAlignment="1" applyBorder="1" applyFont="1">
      <alignment horizontal="center" readingOrder="0" shrinkToFit="0" vertical="bottom" wrapText="0"/>
    </xf>
    <xf borderId="1" fillId="6" fontId="7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vertical="center"/>
    </xf>
    <xf borderId="0" fillId="2" fontId="3" numFmtId="0" xfId="0" applyAlignment="1" applyFont="1">
      <alignment shrinkToFit="0" vertical="bottom" wrapText="0"/>
    </xf>
    <xf borderId="0" fillId="0" fontId="13" numFmtId="0" xfId="0" applyFont="1"/>
    <xf borderId="0" fillId="3" fontId="3" numFmtId="0" xfId="0" applyAlignment="1" applyFont="1">
      <alignment horizontal="center"/>
    </xf>
    <xf borderId="1" fillId="3" fontId="7" numFmtId="0" xfId="0" applyAlignment="1" applyBorder="1" applyFont="1">
      <alignment horizontal="left"/>
    </xf>
    <xf borderId="1" fillId="3" fontId="7" numFmtId="0" xfId="0" applyAlignment="1" applyBorder="1" applyFont="1">
      <alignment horizontal="center"/>
    </xf>
    <xf borderId="1" fillId="0" fontId="13" numFmtId="164" xfId="0" applyAlignment="1" applyBorder="1" applyFont="1" applyNumberFormat="1">
      <alignment horizontal="center" shrinkToFit="0" vertical="bottom" wrapText="0"/>
    </xf>
    <xf borderId="0" fillId="3" fontId="14" numFmtId="0" xfId="0" applyAlignment="1" applyFont="1">
      <alignment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 vertical="center"/>
    </xf>
    <xf borderId="1" fillId="0" fontId="6" numFmtId="0" xfId="0" applyAlignment="1" applyBorder="1" applyFont="1">
      <alignment horizontal="center" readingOrder="0" shrinkToFit="0" wrapText="0"/>
    </xf>
    <xf borderId="0" fillId="0" fontId="13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center" vertical="center"/>
    </xf>
    <xf borderId="4" fillId="2" fontId="3" numFmtId="0" xfId="0" applyAlignment="1" applyBorder="1" applyFont="1">
      <alignment horizontal="center" readingOrder="0" shrinkToFit="0" vertical="bottom" wrapText="0"/>
    </xf>
    <xf borderId="1" fillId="3" fontId="14" numFmtId="0" xfId="0" applyAlignment="1" applyBorder="1" applyFont="1">
      <alignment horizontal="left" shrinkToFit="0" vertical="bottom" wrapText="0"/>
    </xf>
    <xf borderId="1" fillId="5" fontId="10" numFmtId="0" xfId="0" applyAlignment="1" applyBorder="1" applyFont="1">
      <alignment readingOrder="0"/>
    </xf>
    <xf borderId="1" fillId="5" fontId="10" numFmtId="0" xfId="0" applyAlignment="1" applyBorder="1" applyFont="1">
      <alignment horizontal="center" readingOrder="0"/>
    </xf>
    <xf borderId="7" fillId="5" fontId="10" numFmtId="0" xfId="0" applyAlignment="1" applyBorder="1" applyFont="1">
      <alignment readingOrder="0"/>
    </xf>
    <xf borderId="7" fillId="5" fontId="10" numFmtId="0" xfId="0" applyAlignment="1" applyBorder="1" applyFont="1">
      <alignment horizontal="center" readingOrder="0"/>
    </xf>
    <xf borderId="1" fillId="0" fontId="23" numFmtId="165" xfId="0" applyAlignment="1" applyBorder="1" applyFont="1" applyNumberFormat="1">
      <alignment horizontal="center" shrinkToFit="0" vertical="bottom" wrapText="0"/>
    </xf>
    <xf borderId="1" fillId="0" fontId="23" numFmtId="0" xfId="0" applyAlignment="1" applyBorder="1" applyFont="1">
      <alignment horizontal="center" shrinkToFit="0" wrapText="0"/>
    </xf>
    <xf borderId="1" fillId="0" fontId="23" numFmtId="0" xfId="0" applyAlignment="1" applyBorder="1" applyFont="1">
      <alignment horizontal="center" shrinkToFit="0" vertical="bottom" wrapText="0"/>
    </xf>
    <xf borderId="1" fillId="0" fontId="24" numFmtId="0" xfId="0" applyAlignment="1" applyBorder="1" applyFont="1">
      <alignment horizontal="center" readingOrder="0" shrinkToFit="0" vertical="bottom" wrapText="0"/>
    </xf>
    <xf borderId="1" fillId="0" fontId="14" numFmtId="165" xfId="0" applyAlignment="1" applyBorder="1" applyFont="1" applyNumberFormat="1">
      <alignment horizontal="center" shrinkToFit="0" vertical="bottom" wrapText="0"/>
    </xf>
    <xf borderId="1" fillId="9" fontId="22" numFmtId="0" xfId="0" applyAlignment="1" applyBorder="1" applyFill="1" applyFont="1">
      <alignment horizontal="center" vertical="center"/>
    </xf>
    <xf borderId="4" fillId="9" fontId="22" numFmtId="0" xfId="0" applyAlignment="1" applyBorder="1" applyFont="1">
      <alignment horizontal="center" vertical="center"/>
    </xf>
    <xf borderId="7" fillId="0" fontId="13" numFmtId="0" xfId="0" applyAlignment="1" applyBorder="1" applyFont="1">
      <alignment vertical="center"/>
    </xf>
    <xf borderId="8" fillId="0" fontId="13" numFmtId="0" xfId="0" applyAlignment="1" applyBorder="1" applyFont="1">
      <alignment vertical="center"/>
    </xf>
    <xf borderId="8" fillId="0" fontId="25" numFmtId="0" xfId="0" applyAlignment="1" applyBorder="1" applyFont="1">
      <alignment vertical="center"/>
    </xf>
    <xf borderId="8" fillId="0" fontId="25" numFmtId="0" xfId="0" applyAlignment="1" applyBorder="1" applyFont="1">
      <alignment horizontal="center" vertical="center"/>
    </xf>
    <xf borderId="8" fillId="0" fontId="26" numFmtId="0" xfId="0" applyAlignment="1" applyBorder="1" applyFont="1">
      <alignment vertical="center"/>
    </xf>
    <xf borderId="8" fillId="0" fontId="13" numFmtId="0" xfId="0" applyAlignment="1" applyBorder="1" applyFont="1">
      <alignment horizontal="center" vertical="center"/>
    </xf>
    <xf borderId="8" fillId="0" fontId="27" numFmtId="0" xfId="0" applyAlignment="1" applyBorder="1" applyFont="1">
      <alignment vertical="center"/>
    </xf>
    <xf borderId="8" fillId="0" fontId="27" numFmtId="0" xfId="0" applyAlignment="1" applyBorder="1" applyFont="1">
      <alignment shrinkToFit="0" vertical="center" wrapText="1"/>
    </xf>
    <xf borderId="8" fillId="0" fontId="13" numFmtId="166" xfId="0" applyAlignment="1" applyBorder="1" applyFont="1" applyNumberFormat="1">
      <alignment horizontal="left" vertical="center"/>
    </xf>
    <xf borderId="8" fillId="0" fontId="1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90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92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10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43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43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0</xdr:colOff>
      <xdr:row>13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64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64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124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124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10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10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43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43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0</xdr:colOff>
      <xdr:row>15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87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88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167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167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94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94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145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145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0</xdr:colOff>
      <xdr:row>14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16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83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84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134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134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15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85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87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156</xdr:row>
      <xdr:rowOff>0</xdr:rowOff>
    </xdr:from>
    <xdr:ext cx="1809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157</xdr:row>
      <xdr:rowOff>0</xdr:rowOff>
    </xdr:from>
    <xdr:ext cx="3524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3" width="7.25"/>
    <col customWidth="1" min="4" max="4" width="5.38"/>
    <col customWidth="1" min="5" max="5" width="14.38"/>
    <col customWidth="1" min="6" max="6" width="12.63"/>
    <col customWidth="1" min="7" max="7" width="2.63"/>
    <col customWidth="1" min="9" max="9" width="14.25"/>
    <col customWidth="1" hidden="1" min="10" max="10" width="14.88"/>
    <col customWidth="1" hidden="1" min="11" max="11" width="19.5"/>
    <col customWidth="1" hidden="1" min="12" max="12" width="20.0"/>
    <col customWidth="1" hidden="1" min="13" max="22" width="12.63"/>
    <col customWidth="1" min="23" max="23" width="12.63"/>
    <col customWidth="1" min="24" max="24" width="14.63"/>
    <col customWidth="1" min="31" max="31" width="15.63"/>
    <col customWidth="1" min="32" max="32" width="23.75"/>
    <col customWidth="1" hidden="1" min="40" max="40" width="12.63"/>
  </cols>
  <sheetData>
    <row r="1" ht="15.75" customHeight="1">
      <c r="A1" s="1" t="s">
        <v>0</v>
      </c>
      <c r="I1" s="2"/>
      <c r="R1" s="3"/>
      <c r="S1" s="3"/>
      <c r="T1" s="3"/>
      <c r="U1" s="3"/>
      <c r="V1" s="3"/>
      <c r="AE1" s="4"/>
      <c r="AF1" s="2"/>
      <c r="AG1" s="4"/>
      <c r="AH1" s="4"/>
      <c r="AI1" s="4"/>
      <c r="AJ1" s="4"/>
      <c r="AK1" s="4"/>
      <c r="AL1" s="4"/>
      <c r="AM1" s="4"/>
      <c r="AN1" s="4"/>
    </row>
    <row r="2" ht="15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4"/>
      <c r="X2" s="10" t="s">
        <v>20</v>
      </c>
      <c r="Y2" s="7"/>
      <c r="Z2" s="7"/>
      <c r="AA2" s="7"/>
      <c r="AB2" s="8"/>
      <c r="AC2" s="4"/>
      <c r="AD2" s="4"/>
      <c r="AE2" s="5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 t="s">
        <v>17</v>
      </c>
      <c r="AL2" s="5" t="s">
        <v>18</v>
      </c>
      <c r="AM2" s="5" t="s">
        <v>19</v>
      </c>
      <c r="AN2" s="9"/>
    </row>
    <row r="3" ht="15.75" customHeight="1">
      <c r="A3" s="11">
        <v>1.0</v>
      </c>
      <c r="B3" s="12">
        <v>45593.0</v>
      </c>
      <c r="C3" s="13" t="s">
        <v>21</v>
      </c>
      <c r="D3" s="13" t="s">
        <v>22</v>
      </c>
      <c r="E3" s="14" t="s">
        <v>23</v>
      </c>
      <c r="F3" s="15">
        <v>20.0</v>
      </c>
      <c r="G3" s="16" t="s">
        <v>24</v>
      </c>
      <c r="H3" s="15">
        <v>27.0</v>
      </c>
      <c r="I3" s="14" t="s">
        <v>25</v>
      </c>
      <c r="J3" s="3"/>
      <c r="K3" s="17">
        <f t="shared" ref="K3:K68" si="1">IF(F3="","",IFS(F3&gt;H3,3,F3=H3,2,H3&gt;F3,1,F3="",0))</f>
        <v>1</v>
      </c>
      <c r="L3" s="18">
        <f t="shared" ref="L3:L68" si="2">IF(H3="","",IFS(F3&lt;H3,3,F3=H3,2,H3&lt;F3,1))</f>
        <v>3</v>
      </c>
      <c r="M3" s="3"/>
      <c r="N3" s="18">
        <v>1.0</v>
      </c>
      <c r="O3" s="19" t="s">
        <v>23</v>
      </c>
      <c r="P3" s="18">
        <f t="shared" ref="P3:P14" si="3">SUMIF(E$3:E$68,O3,K$3:K$68)+SUMIF(I$3:I$68,O3,L$3:L$68)</f>
        <v>13</v>
      </c>
      <c r="Q3" s="20">
        <f t="shared" ref="Q3:Q14" si="4">COUNTIFS(E$3:E$68,O3,K$3:K$68,3)+COUNTIFS(I$3:I$68,O3,L$3:L$68,3)</f>
        <v>1</v>
      </c>
      <c r="R3" s="21">
        <f t="shared" ref="R3:R14" si="5">COUNTIFS(E$3:E$68,O3,K$3:K$68,2)+COUNTIFS(I$3:I$68,O3,L$3:L$68,2)</f>
        <v>0</v>
      </c>
      <c r="S3" s="21">
        <f t="shared" ref="S3:S14" si="6">COUNTIFS(E$3:E$68,O3,K$3:K$68,1)+COUNTIFS(I$3:I$68,O3,L$3:L$68,1)</f>
        <v>10</v>
      </c>
      <c r="T3" s="18">
        <f t="shared" ref="T3:T14" si="7">SUMIF(E$3:E$68,O3,F$3:F$68)+SUMIF(I$3:I$68,O3,H$3:H$68)</f>
        <v>181</v>
      </c>
      <c r="U3" s="22">
        <f t="shared" ref="U3:U14" si="8">SUMIF(E$3:E$68,O3,H$3:H$68)+SUMIF(I$3:I$68,O3,F$3:F$68)</f>
        <v>281</v>
      </c>
      <c r="V3" s="18">
        <f t="shared" ref="V3:V14" si="9">T3-U3</f>
        <v>-100</v>
      </c>
      <c r="X3" s="23" t="s">
        <v>26</v>
      </c>
      <c r="Y3" s="23" t="s">
        <v>13</v>
      </c>
      <c r="Z3" s="23" t="s">
        <v>27</v>
      </c>
      <c r="AA3" s="23" t="s">
        <v>28</v>
      </c>
      <c r="AB3" s="23" t="s">
        <v>19</v>
      </c>
      <c r="AE3" s="24" t="s">
        <v>29</v>
      </c>
      <c r="AF3" s="25" t="str">
        <f t="array" ref="AF3:AM14">SORT(O3:V14,2,FALSE,8,FALSE)</f>
        <v>Gestao Comercial</v>
      </c>
      <c r="AG3" s="26">
        <v>33.0</v>
      </c>
      <c r="AH3" s="26">
        <v>11.0</v>
      </c>
      <c r="AI3" s="27">
        <v>0.0</v>
      </c>
      <c r="AJ3" s="26">
        <v>0.0</v>
      </c>
      <c r="AK3" s="26">
        <v>363.0</v>
      </c>
      <c r="AL3" s="27">
        <v>254.0</v>
      </c>
      <c r="AM3" s="26">
        <v>109.0</v>
      </c>
      <c r="AN3" s="28"/>
    </row>
    <row r="4" ht="15.75" customHeight="1">
      <c r="A4" s="29"/>
      <c r="B4" s="12">
        <v>45593.0</v>
      </c>
      <c r="C4" s="13" t="s">
        <v>30</v>
      </c>
      <c r="D4" s="13" t="s">
        <v>22</v>
      </c>
      <c r="E4" s="14" t="s">
        <v>31</v>
      </c>
      <c r="F4" s="15">
        <v>31.0</v>
      </c>
      <c r="G4" s="16" t="s">
        <v>24</v>
      </c>
      <c r="H4" s="15">
        <v>16.0</v>
      </c>
      <c r="I4" s="14" t="s">
        <v>32</v>
      </c>
      <c r="J4" s="3"/>
      <c r="K4" s="17">
        <f t="shared" si="1"/>
        <v>3</v>
      </c>
      <c r="L4" s="18">
        <f t="shared" si="2"/>
        <v>1</v>
      </c>
      <c r="M4" s="3"/>
      <c r="N4" s="18">
        <v>2.0</v>
      </c>
      <c r="O4" s="19" t="s">
        <v>33</v>
      </c>
      <c r="P4" s="18">
        <f t="shared" si="3"/>
        <v>24</v>
      </c>
      <c r="Q4" s="20">
        <f t="shared" si="4"/>
        <v>6</v>
      </c>
      <c r="R4" s="21">
        <f t="shared" si="5"/>
        <v>1</v>
      </c>
      <c r="S4" s="21">
        <f t="shared" si="6"/>
        <v>4</v>
      </c>
      <c r="T4" s="18">
        <f t="shared" si="7"/>
        <v>259</v>
      </c>
      <c r="U4" s="22">
        <f t="shared" si="8"/>
        <v>235</v>
      </c>
      <c r="V4" s="18">
        <f t="shared" si="9"/>
        <v>24</v>
      </c>
      <c r="X4" s="30" t="s">
        <v>34</v>
      </c>
      <c r="Y4" s="31">
        <v>2.0</v>
      </c>
      <c r="Z4" s="32">
        <v>252.0</v>
      </c>
      <c r="AA4" s="32">
        <v>161.0</v>
      </c>
      <c r="AB4" s="32">
        <f t="shared" ref="AB4:AB5" si="10">Z4-AA4</f>
        <v>91</v>
      </c>
      <c r="AE4" s="24" t="s">
        <v>35</v>
      </c>
      <c r="AF4" s="33" t="s">
        <v>31</v>
      </c>
      <c r="AG4" s="26">
        <v>29.0</v>
      </c>
      <c r="AH4" s="26">
        <v>9.0</v>
      </c>
      <c r="AI4" s="27">
        <v>0.0</v>
      </c>
      <c r="AJ4" s="26">
        <v>2.0</v>
      </c>
      <c r="AK4" s="26">
        <v>279.0</v>
      </c>
      <c r="AL4" s="27">
        <v>217.0</v>
      </c>
      <c r="AM4" s="26">
        <v>62.0</v>
      </c>
      <c r="AN4" s="28"/>
    </row>
    <row r="5" ht="15.75" customHeight="1">
      <c r="A5" s="29"/>
      <c r="B5" s="12">
        <v>45593.0</v>
      </c>
      <c r="C5" s="13" t="s">
        <v>36</v>
      </c>
      <c r="D5" s="13" t="s">
        <v>22</v>
      </c>
      <c r="E5" s="14" t="s">
        <v>37</v>
      </c>
      <c r="F5" s="15">
        <v>20.0</v>
      </c>
      <c r="G5" s="16" t="s">
        <v>24</v>
      </c>
      <c r="H5" s="15">
        <v>17.0</v>
      </c>
      <c r="I5" s="14" t="s">
        <v>38</v>
      </c>
      <c r="J5" s="3"/>
      <c r="K5" s="17">
        <f t="shared" si="1"/>
        <v>3</v>
      </c>
      <c r="L5" s="18">
        <f t="shared" si="2"/>
        <v>1</v>
      </c>
      <c r="M5" s="3"/>
      <c r="N5" s="18">
        <v>3.0</v>
      </c>
      <c r="O5" s="19" t="s">
        <v>25</v>
      </c>
      <c r="P5" s="18">
        <f t="shared" si="3"/>
        <v>28</v>
      </c>
      <c r="Q5" s="20">
        <f t="shared" si="4"/>
        <v>8</v>
      </c>
      <c r="R5" s="21">
        <f t="shared" si="5"/>
        <v>1</v>
      </c>
      <c r="S5" s="21">
        <f t="shared" si="6"/>
        <v>2</v>
      </c>
      <c r="T5" s="18">
        <f t="shared" si="7"/>
        <v>298</v>
      </c>
      <c r="U5" s="22">
        <f t="shared" si="8"/>
        <v>245</v>
      </c>
      <c r="V5" s="18">
        <f t="shared" si="9"/>
        <v>53</v>
      </c>
      <c r="X5" s="32" t="s">
        <v>39</v>
      </c>
      <c r="Y5" s="32">
        <v>2.0</v>
      </c>
      <c r="Z5" s="32">
        <v>322.0</v>
      </c>
      <c r="AA5" s="32">
        <v>268.0</v>
      </c>
      <c r="AB5" s="32">
        <f t="shared" si="10"/>
        <v>54</v>
      </c>
      <c r="AE5" s="24" t="s">
        <v>40</v>
      </c>
      <c r="AF5" s="34" t="s">
        <v>25</v>
      </c>
      <c r="AG5" s="26">
        <v>28.0</v>
      </c>
      <c r="AH5" s="26">
        <v>8.0</v>
      </c>
      <c r="AI5" s="27">
        <v>1.0</v>
      </c>
      <c r="AJ5" s="26">
        <v>2.0</v>
      </c>
      <c r="AK5" s="26">
        <v>298.0</v>
      </c>
      <c r="AL5" s="27">
        <v>245.0</v>
      </c>
      <c r="AM5" s="26">
        <v>53.0</v>
      </c>
      <c r="AN5" s="28"/>
    </row>
    <row r="6" ht="15.75" customHeight="1">
      <c r="A6" s="29"/>
      <c r="B6" s="12">
        <v>45593.0</v>
      </c>
      <c r="C6" s="13" t="s">
        <v>41</v>
      </c>
      <c r="D6" s="13" t="s">
        <v>22</v>
      </c>
      <c r="E6" s="14" t="s">
        <v>42</v>
      </c>
      <c r="F6" s="15">
        <v>8.0</v>
      </c>
      <c r="G6" s="16" t="s">
        <v>24</v>
      </c>
      <c r="H6" s="15">
        <v>25.0</v>
      </c>
      <c r="I6" s="14" t="s">
        <v>34</v>
      </c>
      <c r="J6" s="3"/>
      <c r="K6" s="17">
        <f t="shared" si="1"/>
        <v>1</v>
      </c>
      <c r="L6" s="18">
        <f t="shared" si="2"/>
        <v>3</v>
      </c>
      <c r="M6" s="3"/>
      <c r="N6" s="18">
        <v>4.0</v>
      </c>
      <c r="O6" s="19" t="s">
        <v>43</v>
      </c>
      <c r="P6" s="18">
        <f t="shared" si="3"/>
        <v>18</v>
      </c>
      <c r="Q6" s="20">
        <f t="shared" si="4"/>
        <v>3</v>
      </c>
      <c r="R6" s="21">
        <f t="shared" si="5"/>
        <v>1</v>
      </c>
      <c r="S6" s="21">
        <f t="shared" si="6"/>
        <v>7</v>
      </c>
      <c r="T6" s="18">
        <f t="shared" si="7"/>
        <v>226</v>
      </c>
      <c r="U6" s="22">
        <f t="shared" si="8"/>
        <v>261</v>
      </c>
      <c r="V6" s="18">
        <f t="shared" si="9"/>
        <v>-35</v>
      </c>
      <c r="X6" s="35"/>
      <c r="Y6" s="35"/>
      <c r="AE6" s="24" t="s">
        <v>44</v>
      </c>
      <c r="AF6" s="25" t="s">
        <v>34</v>
      </c>
      <c r="AG6" s="26">
        <v>26.0</v>
      </c>
      <c r="AH6" s="26">
        <v>7.0</v>
      </c>
      <c r="AI6" s="27">
        <v>1.0</v>
      </c>
      <c r="AJ6" s="26">
        <v>3.0</v>
      </c>
      <c r="AK6" s="26">
        <v>252.0</v>
      </c>
      <c r="AL6" s="27">
        <v>161.0</v>
      </c>
      <c r="AM6" s="26">
        <v>91.0</v>
      </c>
      <c r="AN6" s="28"/>
    </row>
    <row r="7" ht="15.75" customHeight="1">
      <c r="A7" s="29"/>
      <c r="B7" s="12">
        <v>45594.0</v>
      </c>
      <c r="C7" s="13" t="s">
        <v>36</v>
      </c>
      <c r="D7" s="13" t="s">
        <v>22</v>
      </c>
      <c r="E7" s="14" t="s">
        <v>43</v>
      </c>
      <c r="F7" s="15">
        <v>21.0</v>
      </c>
      <c r="G7" s="16" t="s">
        <v>24</v>
      </c>
      <c r="H7" s="15">
        <v>30.0</v>
      </c>
      <c r="I7" s="14" t="s">
        <v>45</v>
      </c>
      <c r="J7" s="3"/>
      <c r="K7" s="17">
        <f t="shared" si="1"/>
        <v>1</v>
      </c>
      <c r="L7" s="18">
        <f t="shared" si="2"/>
        <v>3</v>
      </c>
      <c r="M7" s="3"/>
      <c r="N7" s="18">
        <v>5.0</v>
      </c>
      <c r="O7" s="19" t="s">
        <v>32</v>
      </c>
      <c r="P7" s="18">
        <f t="shared" si="3"/>
        <v>12</v>
      </c>
      <c r="Q7" s="20">
        <f t="shared" si="4"/>
        <v>0</v>
      </c>
      <c r="R7" s="21">
        <f t="shared" si="5"/>
        <v>1</v>
      </c>
      <c r="S7" s="21">
        <f t="shared" si="6"/>
        <v>10</v>
      </c>
      <c r="T7" s="18">
        <f t="shared" si="7"/>
        <v>209</v>
      </c>
      <c r="U7" s="22">
        <f t="shared" si="8"/>
        <v>327</v>
      </c>
      <c r="V7" s="18">
        <f t="shared" si="9"/>
        <v>-118</v>
      </c>
      <c r="X7" s="36"/>
      <c r="AE7" s="24" t="s">
        <v>46</v>
      </c>
      <c r="AF7" s="25" t="s">
        <v>39</v>
      </c>
      <c r="AG7" s="26">
        <v>26.0</v>
      </c>
      <c r="AH7" s="26">
        <v>7.0</v>
      </c>
      <c r="AI7" s="27">
        <v>1.0</v>
      </c>
      <c r="AJ7" s="26">
        <v>3.0</v>
      </c>
      <c r="AK7" s="26">
        <v>322.0</v>
      </c>
      <c r="AL7" s="27">
        <v>268.0</v>
      </c>
      <c r="AM7" s="26">
        <v>54.0</v>
      </c>
      <c r="AN7" s="28"/>
    </row>
    <row r="8" ht="15.75" customHeight="1">
      <c r="A8" s="37"/>
      <c r="B8" s="12">
        <v>45594.0</v>
      </c>
      <c r="C8" s="13" t="s">
        <v>41</v>
      </c>
      <c r="D8" s="13" t="s">
        <v>22</v>
      </c>
      <c r="E8" s="14" t="s">
        <v>39</v>
      </c>
      <c r="F8" s="15">
        <v>29.0</v>
      </c>
      <c r="G8" s="16" t="s">
        <v>24</v>
      </c>
      <c r="H8" s="15">
        <v>25.0</v>
      </c>
      <c r="I8" s="14" t="s">
        <v>33</v>
      </c>
      <c r="J8" s="3"/>
      <c r="K8" s="17">
        <f t="shared" si="1"/>
        <v>3</v>
      </c>
      <c r="L8" s="18">
        <f t="shared" si="2"/>
        <v>1</v>
      </c>
      <c r="M8" s="3"/>
      <c r="N8" s="18">
        <v>6.0</v>
      </c>
      <c r="O8" s="19" t="s">
        <v>42</v>
      </c>
      <c r="P8" s="18">
        <f t="shared" si="3"/>
        <v>18</v>
      </c>
      <c r="Q8" s="20">
        <f t="shared" si="4"/>
        <v>3</v>
      </c>
      <c r="R8" s="21">
        <f t="shared" si="5"/>
        <v>1</v>
      </c>
      <c r="S8" s="21">
        <f t="shared" si="6"/>
        <v>7</v>
      </c>
      <c r="T8" s="18">
        <f t="shared" si="7"/>
        <v>237</v>
      </c>
      <c r="U8" s="22">
        <f t="shared" si="8"/>
        <v>297</v>
      </c>
      <c r="V8" s="18">
        <f t="shared" si="9"/>
        <v>-60</v>
      </c>
      <c r="X8" s="10" t="s">
        <v>47</v>
      </c>
      <c r="Y8" s="8"/>
      <c r="Z8" s="38"/>
      <c r="AA8" s="38"/>
      <c r="AB8" s="38"/>
      <c r="AE8" s="24" t="s">
        <v>48</v>
      </c>
      <c r="AF8" s="25" t="s">
        <v>33</v>
      </c>
      <c r="AG8" s="26">
        <v>24.0</v>
      </c>
      <c r="AH8" s="26">
        <v>6.0</v>
      </c>
      <c r="AI8" s="27">
        <v>1.0</v>
      </c>
      <c r="AJ8" s="26">
        <v>4.0</v>
      </c>
      <c r="AK8" s="26">
        <v>259.0</v>
      </c>
      <c r="AL8" s="27">
        <v>235.0</v>
      </c>
      <c r="AM8" s="26">
        <v>24.0</v>
      </c>
      <c r="AN8" s="28"/>
    </row>
    <row r="9" ht="15.75" customHeight="1">
      <c r="A9" s="11">
        <v>2.0</v>
      </c>
      <c r="B9" s="12">
        <v>45607.0</v>
      </c>
      <c r="C9" s="13" t="s">
        <v>21</v>
      </c>
      <c r="D9" s="13" t="s">
        <v>22</v>
      </c>
      <c r="E9" s="14" t="s">
        <v>25</v>
      </c>
      <c r="F9" s="15">
        <v>38.0</v>
      </c>
      <c r="G9" s="16" t="s">
        <v>24</v>
      </c>
      <c r="H9" s="15">
        <v>32.0</v>
      </c>
      <c r="I9" s="14" t="s">
        <v>39</v>
      </c>
      <c r="J9" s="3"/>
      <c r="K9" s="17">
        <f t="shared" si="1"/>
        <v>3</v>
      </c>
      <c r="L9" s="18">
        <f t="shared" si="2"/>
        <v>1</v>
      </c>
      <c r="M9" s="3"/>
      <c r="N9" s="18">
        <v>7.0</v>
      </c>
      <c r="O9" s="19" t="s">
        <v>38</v>
      </c>
      <c r="P9" s="18">
        <f t="shared" si="3"/>
        <v>18</v>
      </c>
      <c r="Q9" s="20">
        <f t="shared" si="4"/>
        <v>3</v>
      </c>
      <c r="R9" s="21">
        <f t="shared" si="5"/>
        <v>1</v>
      </c>
      <c r="S9" s="21">
        <f t="shared" si="6"/>
        <v>7</v>
      </c>
      <c r="T9" s="18">
        <f t="shared" si="7"/>
        <v>209</v>
      </c>
      <c r="U9" s="22">
        <f t="shared" si="8"/>
        <v>267</v>
      </c>
      <c r="V9" s="18">
        <f t="shared" si="9"/>
        <v>-58</v>
      </c>
      <c r="X9" s="23" t="s">
        <v>26</v>
      </c>
      <c r="Y9" s="23" t="s">
        <v>13</v>
      </c>
      <c r="Z9" s="39"/>
      <c r="AE9" s="24" t="s">
        <v>49</v>
      </c>
      <c r="AF9" s="25" t="s">
        <v>37</v>
      </c>
      <c r="AG9" s="26">
        <v>19.0</v>
      </c>
      <c r="AH9" s="26">
        <v>4.0</v>
      </c>
      <c r="AI9" s="27">
        <v>0.0</v>
      </c>
      <c r="AJ9" s="26">
        <v>7.0</v>
      </c>
      <c r="AK9" s="26">
        <v>233.0</v>
      </c>
      <c r="AL9" s="27">
        <v>255.0</v>
      </c>
      <c r="AM9" s="26">
        <v>-22.0</v>
      </c>
      <c r="AN9" s="28"/>
    </row>
    <row r="10" ht="15.75" customHeight="1">
      <c r="A10" s="29"/>
      <c r="B10" s="12">
        <v>45607.0</v>
      </c>
      <c r="C10" s="13" t="s">
        <v>30</v>
      </c>
      <c r="D10" s="13" t="s">
        <v>22</v>
      </c>
      <c r="E10" s="14" t="s">
        <v>32</v>
      </c>
      <c r="F10" s="15">
        <v>11.0</v>
      </c>
      <c r="G10" s="16" t="s">
        <v>24</v>
      </c>
      <c r="H10" s="15">
        <v>13.0</v>
      </c>
      <c r="I10" s="14" t="s">
        <v>23</v>
      </c>
      <c r="J10" s="3"/>
      <c r="K10" s="17">
        <f t="shared" si="1"/>
        <v>1</v>
      </c>
      <c r="L10" s="18">
        <f t="shared" si="2"/>
        <v>3</v>
      </c>
      <c r="M10" s="3"/>
      <c r="N10" s="18">
        <v>8.0</v>
      </c>
      <c r="O10" s="19" t="s">
        <v>37</v>
      </c>
      <c r="P10" s="18">
        <f t="shared" si="3"/>
        <v>19</v>
      </c>
      <c r="Q10" s="20">
        <f t="shared" si="4"/>
        <v>4</v>
      </c>
      <c r="R10" s="21">
        <f t="shared" si="5"/>
        <v>0</v>
      </c>
      <c r="S10" s="21">
        <f t="shared" si="6"/>
        <v>7</v>
      </c>
      <c r="T10" s="18">
        <f t="shared" si="7"/>
        <v>233</v>
      </c>
      <c r="U10" s="22">
        <f t="shared" si="8"/>
        <v>255</v>
      </c>
      <c r="V10" s="18">
        <f t="shared" si="9"/>
        <v>-22</v>
      </c>
      <c r="X10" s="32" t="s">
        <v>38</v>
      </c>
      <c r="Y10" s="32">
        <v>5.0</v>
      </c>
      <c r="AE10" s="24">
        <v>8.0</v>
      </c>
      <c r="AF10" s="25" t="s">
        <v>43</v>
      </c>
      <c r="AG10" s="26">
        <v>18.0</v>
      </c>
      <c r="AH10" s="26">
        <v>3.0</v>
      </c>
      <c r="AI10" s="27">
        <v>1.0</v>
      </c>
      <c r="AJ10" s="26">
        <v>7.0</v>
      </c>
      <c r="AK10" s="26">
        <v>226.0</v>
      </c>
      <c r="AL10" s="27">
        <v>261.0</v>
      </c>
      <c r="AM10" s="26">
        <v>-35.0</v>
      </c>
      <c r="AN10" s="28"/>
    </row>
    <row r="11" ht="15.75" customHeight="1">
      <c r="A11" s="29"/>
      <c r="B11" s="12">
        <v>45607.0</v>
      </c>
      <c r="C11" s="13" t="s">
        <v>36</v>
      </c>
      <c r="D11" s="13" t="s">
        <v>22</v>
      </c>
      <c r="E11" s="14" t="s">
        <v>38</v>
      </c>
      <c r="F11" s="15">
        <v>16.0</v>
      </c>
      <c r="G11" s="16" t="s">
        <v>24</v>
      </c>
      <c r="H11" s="15">
        <v>31.0</v>
      </c>
      <c r="I11" s="14" t="s">
        <v>31</v>
      </c>
      <c r="J11" s="3"/>
      <c r="K11" s="17">
        <f t="shared" si="1"/>
        <v>1</v>
      </c>
      <c r="L11" s="18">
        <f t="shared" si="2"/>
        <v>3</v>
      </c>
      <c r="M11" s="3"/>
      <c r="N11" s="18">
        <v>9.0</v>
      </c>
      <c r="O11" s="19" t="s">
        <v>34</v>
      </c>
      <c r="P11" s="18">
        <f t="shared" si="3"/>
        <v>26</v>
      </c>
      <c r="Q11" s="20">
        <f t="shared" si="4"/>
        <v>7</v>
      </c>
      <c r="R11" s="21">
        <f t="shared" si="5"/>
        <v>1</v>
      </c>
      <c r="S11" s="21">
        <f t="shared" si="6"/>
        <v>3</v>
      </c>
      <c r="T11" s="18">
        <f t="shared" si="7"/>
        <v>252</v>
      </c>
      <c r="U11" s="22">
        <f t="shared" si="8"/>
        <v>161</v>
      </c>
      <c r="V11" s="18">
        <f t="shared" si="9"/>
        <v>91</v>
      </c>
      <c r="X11" s="32" t="s">
        <v>42</v>
      </c>
      <c r="Y11" s="32">
        <v>4.0</v>
      </c>
      <c r="AE11" s="40">
        <v>9.0</v>
      </c>
      <c r="AF11" s="25" t="s">
        <v>38</v>
      </c>
      <c r="AG11" s="26">
        <v>18.0</v>
      </c>
      <c r="AH11" s="26">
        <v>3.0</v>
      </c>
      <c r="AI11" s="27">
        <v>1.0</v>
      </c>
      <c r="AJ11" s="26">
        <v>7.0</v>
      </c>
      <c r="AK11" s="26">
        <v>209.0</v>
      </c>
      <c r="AL11" s="27">
        <v>267.0</v>
      </c>
      <c r="AM11" s="26">
        <v>-58.0</v>
      </c>
      <c r="AN11" s="28"/>
    </row>
    <row r="12" ht="15.75" customHeight="1">
      <c r="A12" s="29"/>
      <c r="B12" s="12">
        <v>45607.0</v>
      </c>
      <c r="C12" s="13" t="s">
        <v>41</v>
      </c>
      <c r="D12" s="13" t="s">
        <v>22</v>
      </c>
      <c r="E12" s="14" t="s">
        <v>34</v>
      </c>
      <c r="F12" s="15">
        <v>19.0</v>
      </c>
      <c r="G12" s="16" t="s">
        <v>24</v>
      </c>
      <c r="H12" s="15">
        <v>16.0</v>
      </c>
      <c r="I12" s="14" t="s">
        <v>37</v>
      </c>
      <c r="J12" s="3"/>
      <c r="K12" s="17">
        <f t="shared" si="1"/>
        <v>3</v>
      </c>
      <c r="L12" s="18">
        <f t="shared" si="2"/>
        <v>1</v>
      </c>
      <c r="M12" s="3"/>
      <c r="N12" s="18">
        <v>10.0</v>
      </c>
      <c r="O12" s="19" t="s">
        <v>31</v>
      </c>
      <c r="P12" s="18">
        <f t="shared" si="3"/>
        <v>29</v>
      </c>
      <c r="Q12" s="20">
        <f t="shared" si="4"/>
        <v>9</v>
      </c>
      <c r="R12" s="21">
        <f t="shared" si="5"/>
        <v>0</v>
      </c>
      <c r="S12" s="21">
        <f t="shared" si="6"/>
        <v>2</v>
      </c>
      <c r="T12" s="18">
        <f t="shared" si="7"/>
        <v>279</v>
      </c>
      <c r="U12" s="22">
        <f t="shared" si="8"/>
        <v>217</v>
      </c>
      <c r="V12" s="18">
        <f t="shared" si="9"/>
        <v>62</v>
      </c>
      <c r="X12" s="32" t="s">
        <v>50</v>
      </c>
      <c r="Y12" s="32">
        <v>3.0</v>
      </c>
      <c r="AE12" s="40">
        <v>10.0</v>
      </c>
      <c r="AF12" s="25" t="s">
        <v>42</v>
      </c>
      <c r="AG12" s="26">
        <v>18.0</v>
      </c>
      <c r="AH12" s="26">
        <v>3.0</v>
      </c>
      <c r="AI12" s="27">
        <v>1.0</v>
      </c>
      <c r="AJ12" s="26">
        <v>7.0</v>
      </c>
      <c r="AK12" s="26">
        <v>237.0</v>
      </c>
      <c r="AL12" s="27">
        <v>297.0</v>
      </c>
      <c r="AM12" s="26">
        <v>-60.0</v>
      </c>
      <c r="AN12" s="28"/>
    </row>
    <row r="13" ht="15.75" customHeight="1">
      <c r="A13" s="29"/>
      <c r="B13" s="12">
        <v>45608.0</v>
      </c>
      <c r="C13" s="13" t="s">
        <v>21</v>
      </c>
      <c r="D13" s="13" t="s">
        <v>22</v>
      </c>
      <c r="E13" s="14" t="s">
        <v>45</v>
      </c>
      <c r="F13" s="15">
        <v>41.0</v>
      </c>
      <c r="G13" s="16" t="s">
        <v>24</v>
      </c>
      <c r="H13" s="15">
        <v>25.0</v>
      </c>
      <c r="I13" s="14" t="s">
        <v>42</v>
      </c>
      <c r="J13" s="3"/>
      <c r="K13" s="17">
        <f t="shared" si="1"/>
        <v>3</v>
      </c>
      <c r="L13" s="18">
        <f t="shared" si="2"/>
        <v>1</v>
      </c>
      <c r="M13" s="3"/>
      <c r="N13" s="3">
        <v>11.0</v>
      </c>
      <c r="O13" s="19" t="s">
        <v>45</v>
      </c>
      <c r="P13" s="18">
        <f t="shared" si="3"/>
        <v>33</v>
      </c>
      <c r="Q13" s="20">
        <f t="shared" si="4"/>
        <v>11</v>
      </c>
      <c r="R13" s="21">
        <f t="shared" si="5"/>
        <v>0</v>
      </c>
      <c r="S13" s="21">
        <f t="shared" si="6"/>
        <v>0</v>
      </c>
      <c r="T13" s="18">
        <f t="shared" si="7"/>
        <v>363</v>
      </c>
      <c r="U13" s="22">
        <f t="shared" si="8"/>
        <v>254</v>
      </c>
      <c r="V13" s="18">
        <f t="shared" si="9"/>
        <v>109</v>
      </c>
      <c r="AE13" s="41">
        <v>11.0</v>
      </c>
      <c r="AF13" s="33" t="s">
        <v>23</v>
      </c>
      <c r="AG13" s="26">
        <v>13.0</v>
      </c>
      <c r="AH13" s="26">
        <v>1.0</v>
      </c>
      <c r="AI13" s="27">
        <v>0.0</v>
      </c>
      <c r="AJ13" s="26">
        <v>10.0</v>
      </c>
      <c r="AK13" s="26">
        <v>181.0</v>
      </c>
      <c r="AL13" s="27">
        <v>281.0</v>
      </c>
      <c r="AM13" s="26">
        <v>-100.0</v>
      </c>
      <c r="AN13" s="4"/>
    </row>
    <row r="14" ht="15.75" customHeight="1">
      <c r="A14" s="37"/>
      <c r="B14" s="12">
        <v>45608.0</v>
      </c>
      <c r="C14" s="13" t="s">
        <v>30</v>
      </c>
      <c r="D14" s="13" t="s">
        <v>22</v>
      </c>
      <c r="E14" s="14" t="s">
        <v>33</v>
      </c>
      <c r="F14" s="15">
        <v>29.0</v>
      </c>
      <c r="G14" s="16" t="s">
        <v>24</v>
      </c>
      <c r="H14" s="15">
        <v>19.0</v>
      </c>
      <c r="I14" s="14" t="s">
        <v>43</v>
      </c>
      <c r="J14" s="3"/>
      <c r="K14" s="17">
        <f t="shared" si="1"/>
        <v>3</v>
      </c>
      <c r="L14" s="18">
        <f t="shared" si="2"/>
        <v>1</v>
      </c>
      <c r="M14" s="3"/>
      <c r="N14" s="42">
        <v>12.0</v>
      </c>
      <c r="O14" s="42" t="s">
        <v>39</v>
      </c>
      <c r="P14" s="18">
        <f t="shared" si="3"/>
        <v>26</v>
      </c>
      <c r="Q14" s="20">
        <f t="shared" si="4"/>
        <v>7</v>
      </c>
      <c r="R14" s="21">
        <f t="shared" si="5"/>
        <v>1</v>
      </c>
      <c r="S14" s="21">
        <f t="shared" si="6"/>
        <v>3</v>
      </c>
      <c r="T14" s="18">
        <f t="shared" si="7"/>
        <v>322</v>
      </c>
      <c r="U14" s="22">
        <f t="shared" si="8"/>
        <v>268</v>
      </c>
      <c r="V14" s="18">
        <f t="shared" si="9"/>
        <v>54</v>
      </c>
      <c r="AE14" s="43">
        <v>12.0</v>
      </c>
      <c r="AF14" s="33" t="s">
        <v>32</v>
      </c>
      <c r="AG14" s="44">
        <v>12.0</v>
      </c>
      <c r="AH14" s="44">
        <v>0.0</v>
      </c>
      <c r="AI14" s="45">
        <v>1.0</v>
      </c>
      <c r="AJ14" s="44">
        <v>10.0</v>
      </c>
      <c r="AK14" s="44">
        <v>209.0</v>
      </c>
      <c r="AL14" s="45">
        <v>327.0</v>
      </c>
      <c r="AM14" s="44">
        <v>-118.0</v>
      </c>
      <c r="AN14" s="4"/>
    </row>
    <row r="15" ht="15.75" customHeight="1">
      <c r="A15" s="11">
        <v>3.0</v>
      </c>
      <c r="B15" s="12">
        <v>45620.0</v>
      </c>
      <c r="C15" s="13" t="s">
        <v>51</v>
      </c>
      <c r="D15" s="13" t="s">
        <v>22</v>
      </c>
      <c r="E15" s="14" t="s">
        <v>25</v>
      </c>
      <c r="F15" s="15">
        <v>40.0</v>
      </c>
      <c r="G15" s="16" t="s">
        <v>24</v>
      </c>
      <c r="H15" s="15">
        <v>14.0</v>
      </c>
      <c r="I15" s="14" t="s">
        <v>32</v>
      </c>
      <c r="J15" s="3"/>
      <c r="K15" s="17">
        <f t="shared" si="1"/>
        <v>3</v>
      </c>
      <c r="L15" s="18">
        <f t="shared" si="2"/>
        <v>1</v>
      </c>
      <c r="M15" s="3"/>
      <c r="N15" s="3"/>
      <c r="O15" s="3"/>
      <c r="P15" s="3"/>
      <c r="Q15" s="3"/>
      <c r="R15" s="3"/>
      <c r="S15" s="3"/>
      <c r="T15" s="3"/>
      <c r="U15" s="3"/>
      <c r="V15" s="3"/>
      <c r="AE15" s="46" t="s">
        <v>52</v>
      </c>
      <c r="AH15" s="47"/>
      <c r="AJ15" s="4"/>
      <c r="AK15" s="4"/>
      <c r="AL15" s="4"/>
      <c r="AM15" s="4"/>
      <c r="AN15" s="4"/>
    </row>
    <row r="16" ht="15.75" customHeight="1">
      <c r="A16" s="29"/>
      <c r="B16" s="12">
        <v>45620.0</v>
      </c>
      <c r="C16" s="13" t="s">
        <v>53</v>
      </c>
      <c r="D16" s="13" t="s">
        <v>22</v>
      </c>
      <c r="E16" s="14" t="s">
        <v>23</v>
      </c>
      <c r="F16" s="15">
        <v>20.0</v>
      </c>
      <c r="G16" s="16" t="s">
        <v>24</v>
      </c>
      <c r="H16" s="15">
        <v>24.0</v>
      </c>
      <c r="I16" s="14" t="s">
        <v>38</v>
      </c>
      <c r="J16" s="3"/>
      <c r="K16" s="17">
        <f t="shared" si="1"/>
        <v>1</v>
      </c>
      <c r="L16" s="18">
        <f t="shared" si="2"/>
        <v>3</v>
      </c>
      <c r="M16" s="3"/>
      <c r="N16" s="3"/>
      <c r="O16" s="3"/>
      <c r="P16" s="3"/>
      <c r="Q16" s="3"/>
      <c r="R16" s="3"/>
      <c r="S16" s="3"/>
      <c r="T16" s="3"/>
      <c r="U16" s="3"/>
      <c r="V16" s="3"/>
      <c r="AE16" s="48"/>
      <c r="AJ16" s="4"/>
      <c r="AK16" s="4"/>
      <c r="AL16" s="4"/>
      <c r="AM16" s="4"/>
      <c r="AN16" s="4"/>
    </row>
    <row r="17" ht="15.75" customHeight="1">
      <c r="A17" s="29"/>
      <c r="B17" s="12">
        <v>45620.0</v>
      </c>
      <c r="C17" s="13" t="s">
        <v>54</v>
      </c>
      <c r="D17" s="13" t="s">
        <v>22</v>
      </c>
      <c r="E17" s="14" t="s">
        <v>31</v>
      </c>
      <c r="F17" s="15">
        <v>19.0</v>
      </c>
      <c r="G17" s="16" t="s">
        <v>24</v>
      </c>
      <c r="H17" s="15">
        <v>17.0</v>
      </c>
      <c r="I17" s="14" t="s">
        <v>34</v>
      </c>
      <c r="J17" s="3"/>
      <c r="K17" s="17">
        <f t="shared" si="1"/>
        <v>3</v>
      </c>
      <c r="L17" s="18">
        <f t="shared" si="2"/>
        <v>1</v>
      </c>
      <c r="M17" s="3"/>
      <c r="N17" s="3"/>
      <c r="O17" s="3"/>
      <c r="P17" s="3"/>
      <c r="Q17" s="3"/>
      <c r="R17" s="3"/>
      <c r="S17" s="3"/>
      <c r="T17" s="3"/>
      <c r="U17" s="3"/>
      <c r="V17" s="3"/>
      <c r="AJ17" s="4"/>
      <c r="AK17" s="4"/>
      <c r="AL17" s="4"/>
      <c r="AM17" s="4"/>
      <c r="AN17" s="4"/>
    </row>
    <row r="18" ht="15.75" customHeight="1">
      <c r="A18" s="29"/>
      <c r="B18" s="12">
        <v>45620.0</v>
      </c>
      <c r="C18" s="49" t="s">
        <v>55</v>
      </c>
      <c r="D18" s="13" t="s">
        <v>22</v>
      </c>
      <c r="E18" s="14" t="s">
        <v>37</v>
      </c>
      <c r="F18" s="15">
        <v>26.0</v>
      </c>
      <c r="G18" s="16" t="s">
        <v>24</v>
      </c>
      <c r="H18" s="15">
        <v>36.0</v>
      </c>
      <c r="I18" s="14" t="s">
        <v>45</v>
      </c>
      <c r="J18" s="50"/>
      <c r="K18" s="17">
        <f t="shared" si="1"/>
        <v>1</v>
      </c>
      <c r="L18" s="18">
        <f t="shared" si="2"/>
        <v>3</v>
      </c>
      <c r="M18" s="3"/>
      <c r="N18" s="3"/>
      <c r="O18" s="3"/>
      <c r="P18" s="3"/>
      <c r="R18" s="3"/>
      <c r="S18" s="3"/>
      <c r="T18" s="3"/>
      <c r="U18" s="3"/>
      <c r="V18" s="3"/>
      <c r="AJ18" s="4"/>
      <c r="AK18" s="4"/>
      <c r="AL18" s="4"/>
      <c r="AM18" s="4"/>
      <c r="AN18" s="4"/>
    </row>
    <row r="19" ht="15.75" customHeight="1">
      <c r="A19" s="29"/>
      <c r="B19" s="12">
        <v>45620.0</v>
      </c>
      <c r="C19" s="13" t="s">
        <v>56</v>
      </c>
      <c r="D19" s="13" t="s">
        <v>22</v>
      </c>
      <c r="E19" s="14" t="s">
        <v>42</v>
      </c>
      <c r="F19" s="15">
        <v>21.0</v>
      </c>
      <c r="G19" s="16" t="s">
        <v>24</v>
      </c>
      <c r="H19" s="15">
        <v>28.0</v>
      </c>
      <c r="I19" s="14" t="s">
        <v>33</v>
      </c>
      <c r="J19" s="3"/>
      <c r="K19" s="17">
        <f t="shared" si="1"/>
        <v>1</v>
      </c>
      <c r="L19" s="18">
        <f t="shared" si="2"/>
        <v>3</v>
      </c>
      <c r="M19" s="3"/>
      <c r="N19" s="3"/>
      <c r="O19" s="3"/>
      <c r="P19" s="3"/>
      <c r="Q19" s="3"/>
      <c r="R19" s="3"/>
      <c r="S19" s="3"/>
      <c r="T19" s="3"/>
      <c r="U19" s="3"/>
      <c r="V19" s="3"/>
      <c r="AJ19" s="4"/>
      <c r="AK19" s="4"/>
      <c r="AL19" s="4"/>
      <c r="AM19" s="4"/>
      <c r="AN19" s="4"/>
    </row>
    <row r="20" ht="15.75" customHeight="1">
      <c r="A20" s="37"/>
      <c r="B20" s="12">
        <v>45620.0</v>
      </c>
      <c r="C20" s="13" t="s">
        <v>57</v>
      </c>
      <c r="D20" s="13" t="s">
        <v>22</v>
      </c>
      <c r="E20" s="14" t="s">
        <v>39</v>
      </c>
      <c r="F20" s="15">
        <v>27.0</v>
      </c>
      <c r="G20" s="16" t="s">
        <v>24</v>
      </c>
      <c r="H20" s="15">
        <v>16.0</v>
      </c>
      <c r="I20" s="14" t="s">
        <v>43</v>
      </c>
      <c r="J20" s="3"/>
      <c r="K20" s="17">
        <f t="shared" si="1"/>
        <v>3</v>
      </c>
      <c r="L20" s="18">
        <f t="shared" si="2"/>
        <v>1</v>
      </c>
      <c r="M20" s="3"/>
      <c r="N20" s="3"/>
      <c r="O20" s="3"/>
      <c r="P20" s="3"/>
      <c r="Q20" s="3"/>
      <c r="R20" s="3"/>
      <c r="S20" s="3"/>
      <c r="T20" s="3"/>
      <c r="U20" s="3"/>
      <c r="V20" s="3"/>
      <c r="AJ20" s="4"/>
      <c r="AK20" s="4"/>
      <c r="AL20" s="4"/>
      <c r="AM20" s="4"/>
      <c r="AN20" s="4"/>
    </row>
    <row r="21" ht="15.75" customHeight="1">
      <c r="A21" s="11">
        <v>4.0</v>
      </c>
      <c r="B21" s="12">
        <v>45637.0</v>
      </c>
      <c r="C21" s="13" t="s">
        <v>30</v>
      </c>
      <c r="D21" s="13" t="s">
        <v>22</v>
      </c>
      <c r="E21" s="14" t="s">
        <v>32</v>
      </c>
      <c r="F21" s="15">
        <v>19.0</v>
      </c>
      <c r="G21" s="16" t="s">
        <v>24</v>
      </c>
      <c r="H21" s="15">
        <v>33.0</v>
      </c>
      <c r="I21" s="14" t="s">
        <v>39</v>
      </c>
      <c r="J21" s="3"/>
      <c r="K21" s="17">
        <f t="shared" si="1"/>
        <v>1</v>
      </c>
      <c r="L21" s="18">
        <f t="shared" si="2"/>
        <v>3</v>
      </c>
      <c r="M21" s="3"/>
      <c r="N21" s="3"/>
      <c r="O21" s="3"/>
      <c r="P21" s="3"/>
      <c r="Q21" s="3"/>
      <c r="R21" s="3"/>
      <c r="S21" s="3"/>
      <c r="T21" s="3"/>
      <c r="U21" s="3"/>
      <c r="V21" s="3"/>
      <c r="AJ21" s="4"/>
      <c r="AK21" s="4"/>
      <c r="AL21" s="4"/>
      <c r="AM21" s="4"/>
      <c r="AN21" s="4"/>
    </row>
    <row r="22" ht="15.75" customHeight="1">
      <c r="A22" s="29"/>
      <c r="B22" s="12">
        <v>45635.0</v>
      </c>
      <c r="C22" s="13" t="s">
        <v>30</v>
      </c>
      <c r="D22" s="13" t="s">
        <v>22</v>
      </c>
      <c r="E22" s="14" t="s">
        <v>38</v>
      </c>
      <c r="F22" s="15">
        <v>23.0</v>
      </c>
      <c r="G22" s="16" t="s">
        <v>24</v>
      </c>
      <c r="H22" s="15">
        <v>27.0</v>
      </c>
      <c r="I22" s="14" t="s">
        <v>25</v>
      </c>
      <c r="J22" s="3"/>
      <c r="K22" s="17">
        <f t="shared" si="1"/>
        <v>1</v>
      </c>
      <c r="L22" s="18">
        <f t="shared" si="2"/>
        <v>3</v>
      </c>
      <c r="M22" s="3"/>
      <c r="N22" s="3"/>
      <c r="O22" s="3"/>
      <c r="P22" s="3"/>
      <c r="Q22" s="3"/>
      <c r="R22" s="3"/>
      <c r="S22" s="3"/>
      <c r="T22" s="3"/>
      <c r="U22" s="3"/>
      <c r="V22" s="3"/>
      <c r="AJ22" s="4"/>
      <c r="AK22" s="4"/>
      <c r="AL22" s="4"/>
      <c r="AM22" s="4"/>
      <c r="AN22" s="4"/>
    </row>
    <row r="23" ht="15.75" customHeight="1">
      <c r="A23" s="29"/>
      <c r="B23" s="12">
        <v>45635.0</v>
      </c>
      <c r="C23" s="13" t="s">
        <v>36</v>
      </c>
      <c r="D23" s="13" t="s">
        <v>22</v>
      </c>
      <c r="E23" s="14" t="s">
        <v>34</v>
      </c>
      <c r="F23" s="15">
        <v>33.0</v>
      </c>
      <c r="G23" s="16" t="s">
        <v>24</v>
      </c>
      <c r="H23" s="15">
        <v>10.0</v>
      </c>
      <c r="I23" s="14" t="s">
        <v>23</v>
      </c>
      <c r="J23" s="3"/>
      <c r="K23" s="17">
        <f t="shared" si="1"/>
        <v>3</v>
      </c>
      <c r="L23" s="18">
        <f t="shared" si="2"/>
        <v>1</v>
      </c>
      <c r="M23" s="3"/>
      <c r="N23" s="3"/>
      <c r="O23" s="3"/>
      <c r="P23" s="3"/>
      <c r="Q23" s="3"/>
      <c r="R23" s="3"/>
      <c r="S23" s="3"/>
      <c r="T23" s="3"/>
      <c r="U23" s="3"/>
      <c r="V23" s="3"/>
      <c r="AH23" s="4"/>
      <c r="AI23" s="4"/>
      <c r="AJ23" s="4"/>
      <c r="AK23" s="4"/>
      <c r="AL23" s="4"/>
      <c r="AM23" s="4"/>
      <c r="AN23" s="4"/>
    </row>
    <row r="24" ht="15.75" customHeight="1">
      <c r="A24" s="29"/>
      <c r="B24" s="12">
        <v>45636.0</v>
      </c>
      <c r="C24" s="13" t="s">
        <v>41</v>
      </c>
      <c r="D24" s="13" t="s">
        <v>22</v>
      </c>
      <c r="E24" s="14" t="s">
        <v>45</v>
      </c>
      <c r="F24" s="15">
        <v>31.0</v>
      </c>
      <c r="G24" s="16" t="s">
        <v>24</v>
      </c>
      <c r="H24" s="15">
        <v>22.0</v>
      </c>
      <c r="I24" s="14" t="s">
        <v>31</v>
      </c>
      <c r="J24" s="3"/>
      <c r="K24" s="17">
        <f t="shared" si="1"/>
        <v>3</v>
      </c>
      <c r="L24" s="18">
        <f t="shared" si="2"/>
        <v>1</v>
      </c>
      <c r="M24" s="3"/>
      <c r="N24" s="3"/>
      <c r="O24" s="3"/>
      <c r="P24" s="3"/>
      <c r="Q24" s="3"/>
      <c r="R24" s="3"/>
      <c r="S24" s="3"/>
      <c r="T24" s="3"/>
      <c r="U24" s="3"/>
      <c r="V24" s="3"/>
      <c r="AE24" s="51"/>
      <c r="AF24" s="2"/>
      <c r="AG24" s="4"/>
      <c r="AH24" s="4"/>
      <c r="AI24" s="4"/>
      <c r="AJ24" s="4"/>
      <c r="AK24" s="4"/>
      <c r="AL24" s="4"/>
      <c r="AM24" s="4"/>
      <c r="AN24" s="4"/>
    </row>
    <row r="25" ht="15.75" customHeight="1">
      <c r="A25" s="29"/>
      <c r="B25" s="12">
        <v>45636.0</v>
      </c>
      <c r="C25" s="13" t="s">
        <v>30</v>
      </c>
      <c r="D25" s="13" t="s">
        <v>22</v>
      </c>
      <c r="E25" s="14" t="s">
        <v>33</v>
      </c>
      <c r="F25" s="15">
        <v>30.0</v>
      </c>
      <c r="G25" s="16" t="s">
        <v>24</v>
      </c>
      <c r="H25" s="15">
        <v>20.0</v>
      </c>
      <c r="I25" s="14" t="s">
        <v>37</v>
      </c>
      <c r="J25" s="3"/>
      <c r="K25" s="17">
        <f t="shared" si="1"/>
        <v>3</v>
      </c>
      <c r="L25" s="18">
        <f t="shared" si="2"/>
        <v>1</v>
      </c>
      <c r="M25" s="3"/>
      <c r="N25" s="3"/>
      <c r="O25" s="3"/>
      <c r="P25" s="3"/>
      <c r="Q25" s="3"/>
      <c r="AE25" s="51"/>
      <c r="AF25" s="2"/>
      <c r="AG25" s="4"/>
      <c r="AH25" s="4"/>
      <c r="AI25" s="4"/>
      <c r="AJ25" s="4"/>
      <c r="AK25" s="4"/>
      <c r="AL25" s="4"/>
      <c r="AM25" s="4"/>
      <c r="AN25" s="4"/>
    </row>
    <row r="26" ht="15.75" customHeight="1">
      <c r="A26" s="37"/>
      <c r="B26" s="12">
        <v>45636.0</v>
      </c>
      <c r="C26" s="13" t="s">
        <v>36</v>
      </c>
      <c r="D26" s="13" t="s">
        <v>22</v>
      </c>
      <c r="E26" s="14" t="s">
        <v>43</v>
      </c>
      <c r="F26" s="15">
        <v>22.0</v>
      </c>
      <c r="G26" s="16" t="s">
        <v>24</v>
      </c>
      <c r="H26" s="15">
        <v>24.0</v>
      </c>
      <c r="I26" s="14" t="s">
        <v>42</v>
      </c>
      <c r="J26" s="3"/>
      <c r="K26" s="17">
        <f t="shared" si="1"/>
        <v>1</v>
      </c>
      <c r="L26" s="18">
        <f t="shared" si="2"/>
        <v>3</v>
      </c>
      <c r="M26" s="3"/>
      <c r="N26" s="3"/>
      <c r="O26" s="3"/>
      <c r="P26" s="3"/>
      <c r="Q26" s="3"/>
      <c r="AE26" s="51"/>
      <c r="AF26" s="2"/>
      <c r="AG26" s="4"/>
      <c r="AH26" s="4"/>
      <c r="AI26" s="4"/>
      <c r="AJ26" s="4"/>
      <c r="AK26" s="4"/>
      <c r="AL26" s="4"/>
      <c r="AM26" s="4"/>
      <c r="AN26" s="4"/>
    </row>
    <row r="27" ht="15.75" customHeight="1">
      <c r="A27" s="11">
        <v>5.0</v>
      </c>
      <c r="B27" s="12">
        <v>45701.0</v>
      </c>
      <c r="C27" s="13" t="s">
        <v>56</v>
      </c>
      <c r="D27" s="13" t="s">
        <v>22</v>
      </c>
      <c r="E27" s="14" t="s">
        <v>32</v>
      </c>
      <c r="F27" s="15">
        <v>20.0</v>
      </c>
      <c r="G27" s="16" t="s">
        <v>24</v>
      </c>
      <c r="H27" s="15">
        <v>27.0</v>
      </c>
      <c r="I27" s="14" t="s">
        <v>38</v>
      </c>
      <c r="J27" s="3"/>
      <c r="K27" s="17">
        <f t="shared" si="1"/>
        <v>1</v>
      </c>
      <c r="L27" s="18">
        <f t="shared" si="2"/>
        <v>3</v>
      </c>
      <c r="M27" s="3"/>
      <c r="N27" s="3"/>
      <c r="O27" s="3"/>
      <c r="P27" s="3"/>
      <c r="Q27" s="3"/>
      <c r="AE27" s="51"/>
      <c r="AF27" s="2"/>
      <c r="AG27" s="4"/>
      <c r="AH27" s="4"/>
      <c r="AI27" s="4"/>
      <c r="AJ27" s="4"/>
      <c r="AK27" s="4"/>
      <c r="AL27" s="4"/>
      <c r="AM27" s="4"/>
      <c r="AN27" s="4"/>
    </row>
    <row r="28" ht="15.75" customHeight="1">
      <c r="A28" s="29"/>
      <c r="B28" s="12">
        <v>45699.0</v>
      </c>
      <c r="C28" s="13" t="s">
        <v>30</v>
      </c>
      <c r="D28" s="13" t="s">
        <v>22</v>
      </c>
      <c r="E28" s="14" t="s">
        <v>25</v>
      </c>
      <c r="F28" s="15">
        <v>21.0</v>
      </c>
      <c r="G28" s="16" t="s">
        <v>24</v>
      </c>
      <c r="H28" s="15">
        <v>19.0</v>
      </c>
      <c r="I28" s="14" t="s">
        <v>34</v>
      </c>
      <c r="J28" s="3"/>
      <c r="K28" s="17">
        <f t="shared" si="1"/>
        <v>3</v>
      </c>
      <c r="L28" s="18">
        <f t="shared" si="2"/>
        <v>1</v>
      </c>
      <c r="M28" s="3"/>
      <c r="N28" s="3"/>
      <c r="O28" s="3"/>
      <c r="P28" s="3"/>
      <c r="Q28" s="3"/>
      <c r="AE28" s="51"/>
      <c r="AF28" s="2"/>
      <c r="AG28" s="4"/>
      <c r="AH28" s="4"/>
      <c r="AI28" s="4"/>
      <c r="AJ28" s="4"/>
      <c r="AK28" s="4"/>
      <c r="AL28" s="4"/>
      <c r="AM28" s="4"/>
      <c r="AN28" s="4"/>
    </row>
    <row r="29" ht="15.75" customHeight="1">
      <c r="A29" s="29"/>
      <c r="B29" s="12">
        <v>45699.0</v>
      </c>
      <c r="C29" s="13" t="s">
        <v>36</v>
      </c>
      <c r="D29" s="13" t="s">
        <v>22</v>
      </c>
      <c r="E29" s="14" t="s">
        <v>23</v>
      </c>
      <c r="F29" s="15">
        <v>21.0</v>
      </c>
      <c r="G29" s="16" t="s">
        <v>24</v>
      </c>
      <c r="H29" s="15">
        <v>35.0</v>
      </c>
      <c r="I29" s="14" t="s">
        <v>45</v>
      </c>
      <c r="J29" s="3"/>
      <c r="K29" s="17">
        <f t="shared" si="1"/>
        <v>1</v>
      </c>
      <c r="L29" s="18">
        <f t="shared" si="2"/>
        <v>3</v>
      </c>
      <c r="M29" s="3"/>
      <c r="N29" s="3"/>
      <c r="O29" s="3"/>
      <c r="P29" s="3"/>
      <c r="Q29" s="3"/>
      <c r="AE29" s="51"/>
      <c r="AF29" s="2"/>
      <c r="AG29" s="4"/>
      <c r="AH29" s="4"/>
      <c r="AI29" s="4"/>
      <c r="AJ29" s="4"/>
      <c r="AK29" s="4"/>
      <c r="AL29" s="4"/>
      <c r="AM29" s="4"/>
      <c r="AN29" s="4"/>
    </row>
    <row r="30" ht="15.75" customHeight="1">
      <c r="A30" s="29"/>
      <c r="B30" s="12">
        <v>45699.0</v>
      </c>
      <c r="C30" s="13" t="s">
        <v>41</v>
      </c>
      <c r="D30" s="13" t="s">
        <v>22</v>
      </c>
      <c r="E30" s="14" t="s">
        <v>31</v>
      </c>
      <c r="F30" s="15">
        <v>26.0</v>
      </c>
      <c r="G30" s="16" t="s">
        <v>24</v>
      </c>
      <c r="H30" s="15">
        <v>23.0</v>
      </c>
      <c r="I30" s="14" t="s">
        <v>33</v>
      </c>
      <c r="J30" s="3"/>
      <c r="K30" s="17">
        <f t="shared" si="1"/>
        <v>3</v>
      </c>
      <c r="L30" s="18">
        <f t="shared" si="2"/>
        <v>1</v>
      </c>
      <c r="M30" s="3"/>
      <c r="N30" s="3"/>
      <c r="O30" s="3"/>
      <c r="P30" s="3"/>
      <c r="Q30" s="3"/>
      <c r="AE30" s="51"/>
      <c r="AF30" s="2"/>
      <c r="AG30" s="4"/>
      <c r="AH30" s="4"/>
      <c r="AI30" s="4"/>
      <c r="AJ30" s="4"/>
      <c r="AK30" s="4"/>
      <c r="AL30" s="4"/>
      <c r="AM30" s="4"/>
      <c r="AN30" s="4"/>
    </row>
    <row r="31" ht="15.75" customHeight="1">
      <c r="A31" s="29"/>
      <c r="B31" s="12">
        <v>45699.0</v>
      </c>
      <c r="C31" s="13" t="s">
        <v>21</v>
      </c>
      <c r="D31" s="13" t="s">
        <v>22</v>
      </c>
      <c r="E31" s="14" t="s">
        <v>37</v>
      </c>
      <c r="F31" s="15">
        <v>19.0</v>
      </c>
      <c r="G31" s="16" t="s">
        <v>24</v>
      </c>
      <c r="H31" s="15">
        <v>28.0</v>
      </c>
      <c r="I31" s="14" t="s">
        <v>43</v>
      </c>
      <c r="J31" s="3"/>
      <c r="K31" s="17">
        <f t="shared" si="1"/>
        <v>1</v>
      </c>
      <c r="L31" s="18">
        <f t="shared" si="2"/>
        <v>3</v>
      </c>
      <c r="M31" s="3"/>
      <c r="N31" s="3"/>
      <c r="O31" s="3"/>
      <c r="P31" s="3"/>
      <c r="Q31" s="3"/>
      <c r="AE31" s="51"/>
      <c r="AF31" s="2"/>
      <c r="AG31" s="4"/>
      <c r="AH31" s="4"/>
      <c r="AI31" s="4"/>
      <c r="AJ31" s="4"/>
      <c r="AK31" s="4"/>
      <c r="AL31" s="4"/>
      <c r="AM31" s="4"/>
      <c r="AN31" s="4"/>
    </row>
    <row r="32" ht="15.75" customHeight="1">
      <c r="A32" s="37"/>
      <c r="B32" s="12">
        <v>45701.0</v>
      </c>
      <c r="C32" s="13" t="s">
        <v>57</v>
      </c>
      <c r="D32" s="13" t="s">
        <v>22</v>
      </c>
      <c r="E32" s="14" t="s">
        <v>39</v>
      </c>
      <c r="F32" s="15">
        <v>32.0</v>
      </c>
      <c r="G32" s="16" t="s">
        <v>24</v>
      </c>
      <c r="H32" s="15">
        <v>22.0</v>
      </c>
      <c r="I32" s="14" t="s">
        <v>42</v>
      </c>
      <c r="J32" s="3"/>
      <c r="K32" s="17">
        <f t="shared" si="1"/>
        <v>3</v>
      </c>
      <c r="L32" s="18">
        <f t="shared" si="2"/>
        <v>1</v>
      </c>
      <c r="M32" s="3"/>
      <c r="N32" s="3"/>
      <c r="O32" s="3"/>
      <c r="P32" s="3"/>
      <c r="Q32" s="3"/>
      <c r="AE32" s="51"/>
      <c r="AF32" s="2"/>
      <c r="AG32" s="4"/>
      <c r="AH32" s="4"/>
      <c r="AI32" s="4"/>
      <c r="AJ32" s="4"/>
      <c r="AK32" s="4"/>
      <c r="AL32" s="4"/>
      <c r="AM32" s="4"/>
      <c r="AN32" s="4"/>
    </row>
    <row r="33" ht="15.75" customHeight="1">
      <c r="A33" s="11">
        <v>6.0</v>
      </c>
      <c r="B33" s="12">
        <v>45712.0</v>
      </c>
      <c r="C33" s="13" t="s">
        <v>36</v>
      </c>
      <c r="D33" s="13" t="s">
        <v>22</v>
      </c>
      <c r="E33" s="14" t="s">
        <v>38</v>
      </c>
      <c r="F33" s="15">
        <v>13.0</v>
      </c>
      <c r="G33" s="16" t="s">
        <v>24</v>
      </c>
      <c r="H33" s="15">
        <v>26.0</v>
      </c>
      <c r="I33" s="14" t="s">
        <v>39</v>
      </c>
      <c r="J33" s="3"/>
      <c r="K33" s="17">
        <f t="shared" si="1"/>
        <v>1</v>
      </c>
      <c r="L33" s="18">
        <f t="shared" si="2"/>
        <v>3</v>
      </c>
      <c r="M33" s="3"/>
      <c r="N33" s="3"/>
      <c r="O33" s="3"/>
      <c r="P33" s="3"/>
      <c r="Q33" s="3"/>
      <c r="AE33" s="51"/>
      <c r="AF33" s="2"/>
      <c r="AG33" s="4"/>
      <c r="AH33" s="4"/>
      <c r="AI33" s="4"/>
      <c r="AJ33" s="4"/>
      <c r="AK33" s="4"/>
      <c r="AL33" s="4"/>
      <c r="AM33" s="4"/>
      <c r="AN33" s="4"/>
    </row>
    <row r="34" ht="15.75" customHeight="1">
      <c r="A34" s="29"/>
      <c r="B34" s="12">
        <v>45712.0</v>
      </c>
      <c r="C34" s="13" t="s">
        <v>41</v>
      </c>
      <c r="D34" s="13" t="s">
        <v>22</v>
      </c>
      <c r="E34" s="14" t="s">
        <v>34</v>
      </c>
      <c r="F34" s="15">
        <v>31.0</v>
      </c>
      <c r="G34" s="16" t="s">
        <v>24</v>
      </c>
      <c r="H34" s="15">
        <v>13.0</v>
      </c>
      <c r="I34" s="14" t="s">
        <v>32</v>
      </c>
      <c r="J34" s="3"/>
      <c r="K34" s="17">
        <f t="shared" si="1"/>
        <v>3</v>
      </c>
      <c r="L34" s="18">
        <f t="shared" si="2"/>
        <v>1</v>
      </c>
      <c r="M34" s="3"/>
      <c r="N34" s="3"/>
      <c r="O34" s="3"/>
      <c r="P34" s="3"/>
      <c r="Q34" s="3"/>
      <c r="AE34" s="51"/>
      <c r="AF34" s="2"/>
      <c r="AG34" s="4"/>
      <c r="AH34" s="4"/>
      <c r="AI34" s="4"/>
      <c r="AJ34" s="4"/>
      <c r="AK34" s="4"/>
      <c r="AL34" s="4"/>
      <c r="AM34" s="4"/>
      <c r="AN34" s="4"/>
    </row>
    <row r="35" ht="15.75" customHeight="1">
      <c r="A35" s="29"/>
      <c r="B35" s="12">
        <v>45713.0</v>
      </c>
      <c r="C35" s="13" t="s">
        <v>30</v>
      </c>
      <c r="D35" s="13" t="s">
        <v>22</v>
      </c>
      <c r="E35" s="14" t="s">
        <v>45</v>
      </c>
      <c r="F35" s="15">
        <v>27.0</v>
      </c>
      <c r="G35" s="16" t="s">
        <v>24</v>
      </c>
      <c r="H35" s="15">
        <v>24.0</v>
      </c>
      <c r="I35" s="14" t="s">
        <v>25</v>
      </c>
      <c r="J35" s="3"/>
      <c r="K35" s="17">
        <f t="shared" si="1"/>
        <v>3</v>
      </c>
      <c r="L35" s="18">
        <f t="shared" si="2"/>
        <v>1</v>
      </c>
      <c r="M35" s="3"/>
      <c r="N35" s="3"/>
      <c r="O35" s="3"/>
      <c r="P35" s="3"/>
      <c r="Q35" s="3"/>
      <c r="AE35" s="51"/>
      <c r="AF35" s="2"/>
      <c r="AG35" s="4"/>
      <c r="AH35" s="4"/>
      <c r="AI35" s="4"/>
      <c r="AJ35" s="4"/>
      <c r="AK35" s="4"/>
      <c r="AL35" s="4"/>
      <c r="AM35" s="4"/>
      <c r="AN35" s="4"/>
    </row>
    <row r="36" ht="15.75" customHeight="1">
      <c r="A36" s="29"/>
      <c r="B36" s="12">
        <v>45713.0</v>
      </c>
      <c r="C36" s="13" t="s">
        <v>21</v>
      </c>
      <c r="D36" s="13" t="s">
        <v>22</v>
      </c>
      <c r="E36" s="14" t="s">
        <v>33</v>
      </c>
      <c r="F36" s="15">
        <v>27.0</v>
      </c>
      <c r="G36" s="16" t="s">
        <v>24</v>
      </c>
      <c r="H36" s="15">
        <v>13.0</v>
      </c>
      <c r="I36" s="14" t="s">
        <v>23</v>
      </c>
      <c r="J36" s="3"/>
      <c r="K36" s="17">
        <f t="shared" si="1"/>
        <v>3</v>
      </c>
      <c r="L36" s="18">
        <f t="shared" si="2"/>
        <v>1</v>
      </c>
      <c r="M36" s="3"/>
      <c r="N36" s="3"/>
      <c r="O36" s="3"/>
      <c r="P36" s="3"/>
      <c r="Q36" s="3"/>
      <c r="AE36" s="51"/>
      <c r="AF36" s="2"/>
      <c r="AG36" s="4"/>
      <c r="AH36" s="4"/>
      <c r="AI36" s="4"/>
      <c r="AJ36" s="4"/>
      <c r="AK36" s="4"/>
      <c r="AL36" s="4"/>
      <c r="AM36" s="4"/>
      <c r="AN36" s="4"/>
    </row>
    <row r="37" ht="15.75" customHeight="1">
      <c r="A37" s="29"/>
      <c r="B37" s="12">
        <v>45713.0</v>
      </c>
      <c r="C37" s="13" t="s">
        <v>36</v>
      </c>
      <c r="D37" s="13" t="s">
        <v>22</v>
      </c>
      <c r="E37" s="14" t="s">
        <v>43</v>
      </c>
      <c r="F37" s="15">
        <v>19.0</v>
      </c>
      <c r="G37" s="16" t="s">
        <v>24</v>
      </c>
      <c r="H37" s="15">
        <v>31.0</v>
      </c>
      <c r="I37" s="14" t="s">
        <v>31</v>
      </c>
      <c r="J37" s="3"/>
      <c r="K37" s="17">
        <f t="shared" si="1"/>
        <v>1</v>
      </c>
      <c r="L37" s="18">
        <f t="shared" si="2"/>
        <v>3</v>
      </c>
      <c r="M37" s="3"/>
      <c r="N37" s="3"/>
      <c r="O37" s="3"/>
      <c r="P37" s="3"/>
      <c r="Q37" s="3"/>
      <c r="AE37" s="51"/>
      <c r="AF37" s="2"/>
      <c r="AG37" s="4"/>
      <c r="AH37" s="4"/>
      <c r="AI37" s="4"/>
      <c r="AJ37" s="4"/>
      <c r="AK37" s="4"/>
      <c r="AL37" s="4"/>
      <c r="AM37" s="4"/>
      <c r="AN37" s="4"/>
    </row>
    <row r="38" ht="15.75" customHeight="1">
      <c r="A38" s="37"/>
      <c r="B38" s="12">
        <v>45713.0</v>
      </c>
      <c r="C38" s="13" t="s">
        <v>41</v>
      </c>
      <c r="D38" s="13" t="s">
        <v>22</v>
      </c>
      <c r="E38" s="14" t="s">
        <v>42</v>
      </c>
      <c r="F38" s="15">
        <v>23.0</v>
      </c>
      <c r="G38" s="16" t="s">
        <v>24</v>
      </c>
      <c r="H38" s="15">
        <v>20.0</v>
      </c>
      <c r="I38" s="14" t="s">
        <v>37</v>
      </c>
      <c r="J38" s="3"/>
      <c r="K38" s="17">
        <f t="shared" si="1"/>
        <v>3</v>
      </c>
      <c r="L38" s="18">
        <f t="shared" si="2"/>
        <v>1</v>
      </c>
      <c r="M38" s="3"/>
      <c r="N38" s="3"/>
      <c r="O38" s="3"/>
      <c r="P38" s="3"/>
      <c r="Q38" s="3"/>
      <c r="AE38" s="51"/>
      <c r="AF38" s="2"/>
      <c r="AG38" s="4"/>
      <c r="AH38" s="4"/>
      <c r="AI38" s="4"/>
      <c r="AJ38" s="4"/>
      <c r="AK38" s="4"/>
      <c r="AL38" s="4"/>
      <c r="AM38" s="4"/>
      <c r="AN38" s="4"/>
    </row>
    <row r="39" ht="15.75" customHeight="1">
      <c r="A39" s="11">
        <v>7.0</v>
      </c>
      <c r="B39" s="12">
        <v>45725.0</v>
      </c>
      <c r="C39" s="13" t="s">
        <v>51</v>
      </c>
      <c r="D39" s="13" t="s">
        <v>22</v>
      </c>
      <c r="E39" s="14" t="s">
        <v>38</v>
      </c>
      <c r="F39" s="15">
        <v>9.0</v>
      </c>
      <c r="G39" s="16" t="s">
        <v>24</v>
      </c>
      <c r="H39" s="15">
        <v>28.0</v>
      </c>
      <c r="I39" s="14" t="s">
        <v>34</v>
      </c>
      <c r="J39" s="3"/>
      <c r="K39" s="17">
        <f t="shared" si="1"/>
        <v>1</v>
      </c>
      <c r="L39" s="18">
        <f t="shared" si="2"/>
        <v>3</v>
      </c>
      <c r="M39" s="3"/>
      <c r="N39" s="3"/>
      <c r="O39" s="3"/>
      <c r="P39" s="3"/>
      <c r="Q39" s="3"/>
      <c r="AE39" s="51"/>
      <c r="AF39" s="2"/>
      <c r="AG39" s="4"/>
      <c r="AH39" s="4"/>
      <c r="AI39" s="4"/>
      <c r="AJ39" s="4"/>
      <c r="AK39" s="4"/>
      <c r="AL39" s="4"/>
      <c r="AM39" s="4"/>
      <c r="AN39" s="4"/>
    </row>
    <row r="40" ht="15.75" customHeight="1">
      <c r="A40" s="29"/>
      <c r="B40" s="12">
        <v>45725.0</v>
      </c>
      <c r="C40" s="13" t="s">
        <v>53</v>
      </c>
      <c r="D40" s="13" t="s">
        <v>22</v>
      </c>
      <c r="E40" s="14" t="s">
        <v>32</v>
      </c>
      <c r="F40" s="15">
        <v>30.0</v>
      </c>
      <c r="G40" s="16" t="s">
        <v>24</v>
      </c>
      <c r="H40" s="15">
        <v>38.0</v>
      </c>
      <c r="I40" s="14" t="s">
        <v>45</v>
      </c>
      <c r="J40" s="3"/>
      <c r="K40" s="17">
        <f t="shared" si="1"/>
        <v>1</v>
      </c>
      <c r="L40" s="18">
        <f t="shared" si="2"/>
        <v>3</v>
      </c>
      <c r="M40" s="3"/>
      <c r="N40" s="3"/>
      <c r="O40" s="3"/>
      <c r="P40" s="3"/>
      <c r="Q40" s="3"/>
      <c r="AE40" s="51"/>
      <c r="AF40" s="2"/>
      <c r="AG40" s="4"/>
      <c r="AH40" s="4"/>
      <c r="AI40" s="4"/>
      <c r="AJ40" s="4"/>
      <c r="AK40" s="4"/>
      <c r="AL40" s="4"/>
      <c r="AM40" s="4"/>
      <c r="AN40" s="4"/>
    </row>
    <row r="41" ht="15.75" customHeight="1">
      <c r="A41" s="29"/>
      <c r="B41" s="12">
        <v>45725.0</v>
      </c>
      <c r="C41" s="13" t="s">
        <v>54</v>
      </c>
      <c r="D41" s="49" t="s">
        <v>22</v>
      </c>
      <c r="E41" s="14" t="s">
        <v>25</v>
      </c>
      <c r="F41" s="15">
        <v>23.0</v>
      </c>
      <c r="G41" s="16" t="s">
        <v>24</v>
      </c>
      <c r="H41" s="15">
        <v>23.0</v>
      </c>
      <c r="I41" s="14" t="s">
        <v>33</v>
      </c>
      <c r="J41" s="3"/>
      <c r="K41" s="17">
        <f t="shared" si="1"/>
        <v>2</v>
      </c>
      <c r="L41" s="18">
        <f t="shared" si="2"/>
        <v>2</v>
      </c>
      <c r="M41" s="3"/>
      <c r="N41" s="3"/>
      <c r="O41" s="3"/>
      <c r="P41" s="3"/>
      <c r="Q41" s="3"/>
      <c r="AE41" s="51"/>
      <c r="AF41" s="2"/>
      <c r="AG41" s="4"/>
      <c r="AH41" s="4"/>
      <c r="AI41" s="4"/>
      <c r="AJ41" s="4"/>
      <c r="AK41" s="4"/>
      <c r="AL41" s="4"/>
      <c r="AM41" s="4"/>
      <c r="AN41" s="4"/>
    </row>
    <row r="42" ht="15.75" customHeight="1">
      <c r="A42" s="29"/>
      <c r="B42" s="12">
        <v>45725.0</v>
      </c>
      <c r="C42" s="49" t="s">
        <v>55</v>
      </c>
      <c r="D42" s="13" t="s">
        <v>22</v>
      </c>
      <c r="E42" s="14" t="s">
        <v>23</v>
      </c>
      <c r="F42" s="15">
        <v>12.0</v>
      </c>
      <c r="G42" s="16" t="s">
        <v>24</v>
      </c>
      <c r="H42" s="15">
        <v>24.0</v>
      </c>
      <c r="I42" s="14" t="s">
        <v>43</v>
      </c>
      <c r="J42" s="3"/>
      <c r="K42" s="17">
        <f t="shared" si="1"/>
        <v>1</v>
      </c>
      <c r="L42" s="18">
        <f t="shared" si="2"/>
        <v>3</v>
      </c>
      <c r="M42" s="3"/>
      <c r="N42" s="3"/>
      <c r="O42" s="3"/>
      <c r="P42" s="3"/>
      <c r="Q42" s="3"/>
      <c r="R42" s="3"/>
      <c r="S42" s="3"/>
      <c r="T42" s="3"/>
      <c r="U42" s="3"/>
      <c r="V42" s="3"/>
      <c r="AE42" s="51"/>
      <c r="AF42" s="2"/>
      <c r="AG42" s="4"/>
      <c r="AH42" s="4"/>
      <c r="AI42" s="4"/>
      <c r="AJ42" s="4"/>
      <c r="AK42" s="4"/>
      <c r="AL42" s="4"/>
      <c r="AM42" s="4"/>
      <c r="AN42" s="4"/>
    </row>
    <row r="43" ht="15.75" customHeight="1">
      <c r="A43" s="29"/>
      <c r="B43" s="12">
        <v>45725.0</v>
      </c>
      <c r="C43" s="13" t="s">
        <v>56</v>
      </c>
      <c r="D43" s="13" t="s">
        <v>22</v>
      </c>
      <c r="E43" s="14" t="s">
        <v>31</v>
      </c>
      <c r="F43" s="15">
        <v>24.0</v>
      </c>
      <c r="G43" s="16" t="s">
        <v>24</v>
      </c>
      <c r="H43" s="15">
        <v>17.0</v>
      </c>
      <c r="I43" s="14" t="s">
        <v>42</v>
      </c>
      <c r="J43" s="3"/>
      <c r="K43" s="17">
        <f t="shared" si="1"/>
        <v>3</v>
      </c>
      <c r="L43" s="18">
        <f t="shared" si="2"/>
        <v>1</v>
      </c>
      <c r="M43" s="3"/>
      <c r="N43" s="3"/>
      <c r="O43" s="3"/>
      <c r="P43" s="3"/>
      <c r="Q43" s="3"/>
      <c r="R43" s="3"/>
      <c r="S43" s="3"/>
      <c r="T43" s="3"/>
      <c r="U43" s="3"/>
      <c r="V43" s="3"/>
      <c r="AE43" s="51"/>
      <c r="AF43" s="2"/>
      <c r="AG43" s="4"/>
      <c r="AH43" s="4"/>
      <c r="AI43" s="4"/>
      <c r="AJ43" s="4"/>
      <c r="AK43" s="4"/>
      <c r="AL43" s="4"/>
      <c r="AM43" s="4"/>
      <c r="AN43" s="4"/>
    </row>
    <row r="44" ht="15.75" customHeight="1">
      <c r="A44" s="37"/>
      <c r="B44" s="12">
        <v>45725.0</v>
      </c>
      <c r="C44" s="13" t="s">
        <v>57</v>
      </c>
      <c r="D44" s="13" t="s">
        <v>22</v>
      </c>
      <c r="E44" s="14" t="s">
        <v>39</v>
      </c>
      <c r="F44" s="15">
        <v>21.0</v>
      </c>
      <c r="G44" s="16" t="s">
        <v>24</v>
      </c>
      <c r="H44" s="15">
        <v>18.0</v>
      </c>
      <c r="I44" s="14" t="s">
        <v>37</v>
      </c>
      <c r="J44" s="3"/>
      <c r="K44" s="17">
        <f t="shared" si="1"/>
        <v>3</v>
      </c>
      <c r="L44" s="18">
        <f t="shared" si="2"/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AE44" s="51"/>
      <c r="AF44" s="2"/>
      <c r="AG44" s="4"/>
      <c r="AH44" s="4"/>
      <c r="AI44" s="4"/>
      <c r="AJ44" s="4"/>
      <c r="AK44" s="4"/>
      <c r="AL44" s="4"/>
      <c r="AM44" s="4"/>
      <c r="AN44" s="4"/>
    </row>
    <row r="45" ht="15.75" customHeight="1">
      <c r="A45" s="11">
        <v>8.0</v>
      </c>
      <c r="B45" s="12">
        <v>45734.0</v>
      </c>
      <c r="C45" s="13" t="s">
        <v>36</v>
      </c>
      <c r="D45" s="13" t="s">
        <v>22</v>
      </c>
      <c r="E45" s="14" t="s">
        <v>34</v>
      </c>
      <c r="F45" s="15">
        <v>28.0</v>
      </c>
      <c r="G45" s="16" t="s">
        <v>24</v>
      </c>
      <c r="H45" s="15">
        <v>28.0</v>
      </c>
      <c r="I45" s="14" t="s">
        <v>39</v>
      </c>
      <c r="J45" s="3"/>
      <c r="K45" s="17">
        <f t="shared" si="1"/>
        <v>2</v>
      </c>
      <c r="L45" s="18">
        <f t="shared" si="2"/>
        <v>2</v>
      </c>
      <c r="M45" s="3"/>
      <c r="N45" s="3"/>
      <c r="O45" s="3"/>
      <c r="P45" s="3"/>
      <c r="Q45" s="3"/>
      <c r="R45" s="3"/>
      <c r="S45" s="3"/>
      <c r="T45" s="3"/>
      <c r="U45" s="3"/>
      <c r="V45" s="3"/>
      <c r="AE45" s="51"/>
      <c r="AF45" s="2"/>
      <c r="AG45" s="4"/>
      <c r="AH45" s="4"/>
      <c r="AI45" s="4"/>
      <c r="AJ45" s="4"/>
      <c r="AK45" s="4"/>
      <c r="AL45" s="4"/>
      <c r="AM45" s="4"/>
      <c r="AN45" s="4"/>
    </row>
    <row r="46" ht="15.0" customHeight="1">
      <c r="A46" s="29"/>
      <c r="B46" s="12">
        <v>45733.0</v>
      </c>
      <c r="C46" s="13" t="s">
        <v>30</v>
      </c>
      <c r="D46" s="13" t="s">
        <v>22</v>
      </c>
      <c r="E46" s="14" t="s">
        <v>45</v>
      </c>
      <c r="F46" s="15">
        <v>31.0</v>
      </c>
      <c r="G46" s="16" t="s">
        <v>24</v>
      </c>
      <c r="H46" s="15">
        <v>21.0</v>
      </c>
      <c r="I46" s="14" t="s">
        <v>38</v>
      </c>
      <c r="J46" s="3"/>
      <c r="K46" s="17">
        <f t="shared" si="1"/>
        <v>3</v>
      </c>
      <c r="L46" s="18">
        <f t="shared" si="2"/>
        <v>1</v>
      </c>
      <c r="M46" s="3"/>
      <c r="N46" s="3"/>
      <c r="O46" s="3"/>
      <c r="P46" s="3"/>
      <c r="Q46" s="3"/>
      <c r="R46" s="3"/>
      <c r="S46" s="3"/>
      <c r="T46" s="3"/>
      <c r="U46" s="3"/>
      <c r="V46" s="3"/>
      <c r="AE46" s="51"/>
      <c r="AF46" s="2"/>
      <c r="AG46" s="4"/>
      <c r="AH46" s="4"/>
      <c r="AI46" s="4"/>
      <c r="AJ46" s="4"/>
      <c r="AK46" s="4"/>
      <c r="AL46" s="4"/>
      <c r="AM46" s="4"/>
      <c r="AN46" s="4"/>
    </row>
    <row r="47" ht="15.75" customHeight="1">
      <c r="A47" s="29"/>
      <c r="B47" s="12">
        <v>45734.0</v>
      </c>
      <c r="C47" s="13" t="s">
        <v>41</v>
      </c>
      <c r="D47" s="13" t="s">
        <v>22</v>
      </c>
      <c r="E47" s="14" t="s">
        <v>33</v>
      </c>
      <c r="F47" s="15">
        <v>33.0</v>
      </c>
      <c r="G47" s="16" t="s">
        <v>24</v>
      </c>
      <c r="H47" s="15">
        <v>19.0</v>
      </c>
      <c r="I47" s="14" t="s">
        <v>32</v>
      </c>
      <c r="J47" s="3"/>
      <c r="K47" s="17">
        <f t="shared" si="1"/>
        <v>3</v>
      </c>
      <c r="L47" s="18">
        <f t="shared" si="2"/>
        <v>1</v>
      </c>
      <c r="M47" s="3"/>
      <c r="N47" s="3"/>
      <c r="O47" s="3"/>
      <c r="P47" s="3"/>
      <c r="Q47" s="3"/>
      <c r="R47" s="3"/>
      <c r="S47" s="3"/>
      <c r="T47" s="3"/>
      <c r="U47" s="3"/>
      <c r="V47" s="3"/>
      <c r="AE47" s="51"/>
      <c r="AF47" s="2"/>
      <c r="AG47" s="4"/>
      <c r="AH47" s="4"/>
      <c r="AI47" s="4"/>
      <c r="AJ47" s="4"/>
      <c r="AK47" s="4"/>
      <c r="AL47" s="4"/>
      <c r="AM47" s="4"/>
      <c r="AN47" s="4"/>
    </row>
    <row r="48" ht="15.75" customHeight="1">
      <c r="A48" s="29"/>
      <c r="B48" s="12">
        <v>45733.0</v>
      </c>
      <c r="C48" s="13" t="s">
        <v>41</v>
      </c>
      <c r="D48" s="13" t="s">
        <v>22</v>
      </c>
      <c r="E48" s="14" t="s">
        <v>43</v>
      </c>
      <c r="F48" s="15">
        <v>19.0</v>
      </c>
      <c r="G48" s="16" t="s">
        <v>24</v>
      </c>
      <c r="H48" s="15">
        <v>27.0</v>
      </c>
      <c r="I48" s="14" t="s">
        <v>25</v>
      </c>
      <c r="J48" s="3"/>
      <c r="K48" s="17">
        <f t="shared" si="1"/>
        <v>1</v>
      </c>
      <c r="L48" s="18">
        <f t="shared" si="2"/>
        <v>3</v>
      </c>
      <c r="M48" s="3"/>
      <c r="N48" s="3"/>
      <c r="O48" s="3"/>
      <c r="R48" s="3"/>
      <c r="S48" s="3"/>
      <c r="T48" s="3"/>
      <c r="U48" s="3"/>
      <c r="V48" s="3"/>
      <c r="AE48" s="4"/>
      <c r="AF48" s="2"/>
      <c r="AG48" s="4"/>
      <c r="AH48" s="4"/>
      <c r="AI48" s="4"/>
      <c r="AJ48" s="4"/>
      <c r="AK48" s="4"/>
      <c r="AL48" s="4"/>
      <c r="AM48" s="4"/>
      <c r="AN48" s="4"/>
    </row>
    <row r="49" ht="15.75" customHeight="1">
      <c r="A49" s="29"/>
      <c r="B49" s="12">
        <v>45733.0</v>
      </c>
      <c r="C49" s="13" t="s">
        <v>21</v>
      </c>
      <c r="D49" s="13" t="s">
        <v>22</v>
      </c>
      <c r="E49" s="14" t="s">
        <v>42</v>
      </c>
      <c r="F49" s="15">
        <v>22.0</v>
      </c>
      <c r="G49" s="16" t="s">
        <v>24</v>
      </c>
      <c r="H49" s="15">
        <v>18.0</v>
      </c>
      <c r="I49" s="14" t="s">
        <v>23</v>
      </c>
      <c r="J49" s="3"/>
      <c r="K49" s="17">
        <f t="shared" si="1"/>
        <v>3</v>
      </c>
      <c r="L49" s="18">
        <f t="shared" si="2"/>
        <v>1</v>
      </c>
      <c r="M49" s="3"/>
      <c r="N49" s="3"/>
      <c r="O49" s="3"/>
      <c r="R49" s="3"/>
      <c r="S49" s="3"/>
      <c r="T49" s="3"/>
      <c r="U49" s="3"/>
      <c r="V49" s="3"/>
      <c r="AE49" s="4"/>
      <c r="AF49" s="2"/>
      <c r="AG49" s="4"/>
      <c r="AH49" s="4"/>
      <c r="AI49" s="4"/>
      <c r="AJ49" s="4"/>
      <c r="AK49" s="4"/>
      <c r="AL49" s="4"/>
      <c r="AM49" s="4"/>
      <c r="AN49" s="4"/>
    </row>
    <row r="50" ht="15.75" customHeight="1">
      <c r="A50" s="37"/>
      <c r="B50" s="12">
        <v>45733.0</v>
      </c>
      <c r="C50" s="13" t="s">
        <v>36</v>
      </c>
      <c r="D50" s="13" t="s">
        <v>22</v>
      </c>
      <c r="E50" s="14" t="s">
        <v>37</v>
      </c>
      <c r="F50" s="15">
        <v>27.0</v>
      </c>
      <c r="G50" s="16" t="s">
        <v>24</v>
      </c>
      <c r="H50" s="15">
        <v>21.0</v>
      </c>
      <c r="I50" s="14" t="s">
        <v>31</v>
      </c>
      <c r="J50" s="3"/>
      <c r="K50" s="17">
        <f t="shared" si="1"/>
        <v>3</v>
      </c>
      <c r="L50" s="18">
        <f t="shared" si="2"/>
        <v>1</v>
      </c>
      <c r="M50" s="3"/>
      <c r="N50" s="3"/>
      <c r="O50" s="3"/>
      <c r="R50" s="3"/>
      <c r="S50" s="3"/>
      <c r="T50" s="3"/>
      <c r="U50" s="3"/>
      <c r="V50" s="3"/>
      <c r="AE50" s="4"/>
      <c r="AF50" s="2"/>
      <c r="AG50" s="4"/>
      <c r="AH50" s="4"/>
      <c r="AI50" s="4"/>
      <c r="AJ50" s="4"/>
      <c r="AK50" s="4"/>
      <c r="AL50" s="4"/>
      <c r="AM50" s="4"/>
      <c r="AN50" s="4"/>
    </row>
    <row r="51" ht="15.75" customHeight="1">
      <c r="A51" s="11">
        <v>9.0</v>
      </c>
      <c r="B51" s="12">
        <v>45748.0</v>
      </c>
      <c r="C51" s="13" t="s">
        <v>36</v>
      </c>
      <c r="D51" s="13" t="s">
        <v>22</v>
      </c>
      <c r="E51" s="14" t="s">
        <v>34</v>
      </c>
      <c r="F51" s="15">
        <v>19.0</v>
      </c>
      <c r="G51" s="16" t="s">
        <v>24</v>
      </c>
      <c r="H51" s="15">
        <v>20.0</v>
      </c>
      <c r="I51" s="14" t="s">
        <v>45</v>
      </c>
      <c r="J51" s="3"/>
      <c r="K51" s="17">
        <f t="shared" si="1"/>
        <v>1</v>
      </c>
      <c r="L51" s="18">
        <f t="shared" si="2"/>
        <v>3</v>
      </c>
      <c r="M51" s="3"/>
      <c r="N51" s="3"/>
      <c r="O51" s="3"/>
      <c r="AE51" s="4"/>
      <c r="AF51" s="2"/>
      <c r="AG51" s="4"/>
      <c r="AH51" s="4"/>
      <c r="AI51" s="4"/>
      <c r="AJ51" s="4"/>
      <c r="AK51" s="4"/>
      <c r="AL51" s="4"/>
      <c r="AM51" s="4"/>
      <c r="AN51" s="4"/>
    </row>
    <row r="52" ht="15.75" customHeight="1">
      <c r="A52" s="29"/>
      <c r="B52" s="12">
        <v>45749.0</v>
      </c>
      <c r="C52" s="13" t="s">
        <v>36</v>
      </c>
      <c r="D52" s="13" t="s">
        <v>22</v>
      </c>
      <c r="E52" s="14" t="s">
        <v>38</v>
      </c>
      <c r="F52" s="15">
        <v>18.0</v>
      </c>
      <c r="G52" s="16" t="s">
        <v>24</v>
      </c>
      <c r="H52" s="15">
        <v>25.0</v>
      </c>
      <c r="I52" s="14" t="s">
        <v>33</v>
      </c>
      <c r="J52" s="3"/>
      <c r="K52" s="17">
        <f t="shared" si="1"/>
        <v>1</v>
      </c>
      <c r="L52" s="18">
        <f t="shared" si="2"/>
        <v>3</v>
      </c>
      <c r="M52" s="3"/>
      <c r="N52" s="3"/>
      <c r="O52" s="3"/>
      <c r="AE52" s="4"/>
      <c r="AF52" s="2"/>
      <c r="AG52" s="4"/>
      <c r="AH52" s="4"/>
      <c r="AI52" s="4"/>
      <c r="AJ52" s="4"/>
      <c r="AK52" s="4"/>
      <c r="AL52" s="4"/>
      <c r="AM52" s="4"/>
      <c r="AN52" s="4"/>
    </row>
    <row r="53" ht="15.75" customHeight="1">
      <c r="A53" s="29"/>
      <c r="B53" s="12">
        <v>45748.0</v>
      </c>
      <c r="C53" s="13" t="s">
        <v>30</v>
      </c>
      <c r="D53" s="13" t="s">
        <v>22</v>
      </c>
      <c r="E53" s="14" t="s">
        <v>32</v>
      </c>
      <c r="F53" s="15">
        <v>17.0</v>
      </c>
      <c r="G53" s="16" t="s">
        <v>24</v>
      </c>
      <c r="H53" s="15">
        <v>26.0</v>
      </c>
      <c r="I53" s="14" t="s">
        <v>43</v>
      </c>
      <c r="J53" s="3"/>
      <c r="K53" s="17">
        <f t="shared" si="1"/>
        <v>1</v>
      </c>
      <c r="L53" s="18">
        <f t="shared" si="2"/>
        <v>3</v>
      </c>
      <c r="M53" s="3"/>
      <c r="N53" s="3"/>
      <c r="O53" s="3"/>
      <c r="AE53" s="4"/>
      <c r="AF53" s="2"/>
      <c r="AG53" s="4"/>
      <c r="AH53" s="4"/>
      <c r="AI53" s="4"/>
      <c r="AJ53" s="4"/>
      <c r="AK53" s="4"/>
      <c r="AL53" s="4"/>
      <c r="AM53" s="4"/>
      <c r="AN53" s="4"/>
    </row>
    <row r="54" ht="15.75" customHeight="1">
      <c r="A54" s="29"/>
      <c r="B54" s="12">
        <v>45748.0</v>
      </c>
      <c r="C54" s="13" t="s">
        <v>21</v>
      </c>
      <c r="D54" s="13" t="s">
        <v>22</v>
      </c>
      <c r="E54" s="14" t="s">
        <v>25</v>
      </c>
      <c r="F54" s="15">
        <v>36.0</v>
      </c>
      <c r="G54" s="16" t="s">
        <v>24</v>
      </c>
      <c r="H54" s="15">
        <v>26.0</v>
      </c>
      <c r="I54" s="14" t="s">
        <v>42</v>
      </c>
      <c r="J54" s="3"/>
      <c r="K54" s="17">
        <f t="shared" si="1"/>
        <v>3</v>
      </c>
      <c r="L54" s="18">
        <f t="shared" si="2"/>
        <v>1</v>
      </c>
      <c r="M54" s="3"/>
      <c r="N54" s="3"/>
      <c r="O54" s="3"/>
      <c r="AE54" s="4"/>
      <c r="AF54" s="2"/>
      <c r="AG54" s="4"/>
      <c r="AH54" s="4"/>
      <c r="AI54" s="4"/>
      <c r="AJ54" s="4"/>
      <c r="AK54" s="4"/>
      <c r="AL54" s="4"/>
      <c r="AM54" s="4"/>
      <c r="AN54" s="4"/>
    </row>
    <row r="55" ht="15.75" customHeight="1">
      <c r="A55" s="29"/>
      <c r="B55" s="12">
        <v>45749.0</v>
      </c>
      <c r="C55" s="13" t="s">
        <v>41</v>
      </c>
      <c r="D55" s="13" t="s">
        <v>22</v>
      </c>
      <c r="E55" s="14" t="s">
        <v>23</v>
      </c>
      <c r="F55" s="15">
        <v>15.0</v>
      </c>
      <c r="G55" s="16" t="s">
        <v>24</v>
      </c>
      <c r="H55" s="15">
        <v>19.0</v>
      </c>
      <c r="I55" s="14" t="s">
        <v>37</v>
      </c>
      <c r="J55" s="3"/>
      <c r="K55" s="17">
        <f t="shared" si="1"/>
        <v>1</v>
      </c>
      <c r="L55" s="18">
        <f t="shared" si="2"/>
        <v>3</v>
      </c>
      <c r="M55" s="3"/>
      <c r="N55" s="3"/>
      <c r="O55" s="3"/>
      <c r="AE55" s="4"/>
      <c r="AF55" s="2"/>
      <c r="AG55" s="4"/>
      <c r="AH55" s="4"/>
      <c r="AI55" s="4"/>
      <c r="AJ55" s="4"/>
      <c r="AK55" s="4"/>
      <c r="AL55" s="4"/>
      <c r="AM55" s="4"/>
      <c r="AN55" s="4"/>
    </row>
    <row r="56" ht="15.75" customHeight="1">
      <c r="A56" s="37"/>
      <c r="B56" s="12">
        <v>45748.0</v>
      </c>
      <c r="C56" s="13" t="s">
        <v>41</v>
      </c>
      <c r="D56" s="13" t="s">
        <v>22</v>
      </c>
      <c r="E56" s="14" t="s">
        <v>39</v>
      </c>
      <c r="F56" s="15">
        <v>27.0</v>
      </c>
      <c r="G56" s="16" t="s">
        <v>24</v>
      </c>
      <c r="H56" s="15">
        <v>29.0</v>
      </c>
      <c r="I56" s="14" t="s">
        <v>31</v>
      </c>
      <c r="J56" s="3"/>
      <c r="K56" s="17">
        <f t="shared" si="1"/>
        <v>1</v>
      </c>
      <c r="L56" s="18">
        <f t="shared" si="2"/>
        <v>3</v>
      </c>
      <c r="M56" s="3"/>
      <c r="N56" s="3"/>
      <c r="O56" s="3"/>
      <c r="AE56" s="4"/>
      <c r="AF56" s="2"/>
      <c r="AG56" s="4"/>
      <c r="AH56" s="4"/>
      <c r="AI56" s="4"/>
      <c r="AJ56" s="4"/>
      <c r="AK56" s="4"/>
      <c r="AL56" s="4"/>
      <c r="AM56" s="4"/>
      <c r="AN56" s="4"/>
    </row>
    <row r="57" ht="15.75" customHeight="1">
      <c r="A57" s="11">
        <v>10.0</v>
      </c>
      <c r="B57" s="12">
        <v>45761.0</v>
      </c>
      <c r="C57" s="13" t="s">
        <v>36</v>
      </c>
      <c r="D57" s="13" t="s">
        <v>22</v>
      </c>
      <c r="E57" s="14" t="s">
        <v>39</v>
      </c>
      <c r="F57" s="15">
        <v>31.0</v>
      </c>
      <c r="G57" s="16" t="s">
        <v>24</v>
      </c>
      <c r="H57" s="15">
        <v>32.0</v>
      </c>
      <c r="I57" s="14" t="s">
        <v>45</v>
      </c>
      <c r="J57" s="3"/>
      <c r="K57" s="17">
        <f t="shared" si="1"/>
        <v>1</v>
      </c>
      <c r="L57" s="18">
        <f t="shared" si="2"/>
        <v>3</v>
      </c>
      <c r="M57" s="3"/>
      <c r="N57" s="3"/>
      <c r="O57" s="3"/>
      <c r="AE57" s="4"/>
      <c r="AF57" s="2"/>
      <c r="AG57" s="4"/>
      <c r="AH57" s="4"/>
      <c r="AI57" s="4"/>
      <c r="AJ57" s="4"/>
      <c r="AK57" s="4"/>
      <c r="AL57" s="4"/>
      <c r="AM57" s="4"/>
      <c r="AN57" s="4"/>
    </row>
    <row r="58" ht="15.75" customHeight="1">
      <c r="A58" s="29"/>
      <c r="B58" s="12">
        <v>45761.0</v>
      </c>
      <c r="C58" s="13" t="s">
        <v>41</v>
      </c>
      <c r="D58" s="13" t="s">
        <v>22</v>
      </c>
      <c r="E58" s="14" t="s">
        <v>33</v>
      </c>
      <c r="F58" s="15">
        <v>2.0</v>
      </c>
      <c r="G58" s="16" t="s">
        <v>24</v>
      </c>
      <c r="H58" s="15">
        <v>5.0</v>
      </c>
      <c r="I58" s="14" t="s">
        <v>34</v>
      </c>
      <c r="J58" s="3"/>
      <c r="K58" s="17">
        <f t="shared" si="1"/>
        <v>1</v>
      </c>
      <c r="L58" s="18">
        <f t="shared" si="2"/>
        <v>3</v>
      </c>
      <c r="M58" s="3"/>
      <c r="N58" s="3"/>
      <c r="O58" s="3"/>
      <c r="AE58" s="4"/>
      <c r="AF58" s="2"/>
      <c r="AG58" s="4"/>
      <c r="AH58" s="4"/>
      <c r="AI58" s="4"/>
      <c r="AJ58" s="4"/>
      <c r="AK58" s="4"/>
      <c r="AL58" s="4"/>
      <c r="AM58" s="4"/>
      <c r="AN58" s="4"/>
    </row>
    <row r="59" ht="15.75" customHeight="1">
      <c r="A59" s="29"/>
      <c r="B59" s="12">
        <v>45761.0</v>
      </c>
      <c r="C59" s="13" t="s">
        <v>21</v>
      </c>
      <c r="D59" s="13" t="s">
        <v>22</v>
      </c>
      <c r="E59" s="14" t="s">
        <v>43</v>
      </c>
      <c r="F59" s="15">
        <v>17.0</v>
      </c>
      <c r="G59" s="16" t="s">
        <v>24</v>
      </c>
      <c r="H59" s="15">
        <v>17.0</v>
      </c>
      <c r="I59" s="14" t="s">
        <v>38</v>
      </c>
      <c r="J59" s="3"/>
      <c r="K59" s="17">
        <f t="shared" si="1"/>
        <v>2</v>
      </c>
      <c r="L59" s="18">
        <f t="shared" si="2"/>
        <v>2</v>
      </c>
      <c r="M59" s="3"/>
      <c r="N59" s="3"/>
      <c r="O59" s="3"/>
      <c r="AE59" s="4"/>
      <c r="AF59" s="2"/>
      <c r="AG59" s="4"/>
      <c r="AH59" s="4"/>
      <c r="AI59" s="4"/>
      <c r="AJ59" s="4"/>
      <c r="AK59" s="4"/>
      <c r="AL59" s="4"/>
      <c r="AM59" s="4"/>
      <c r="AN59" s="4"/>
    </row>
    <row r="60" ht="15.75" customHeight="1">
      <c r="A60" s="29"/>
      <c r="B60" s="12">
        <v>45761.0</v>
      </c>
      <c r="C60" s="13" t="s">
        <v>30</v>
      </c>
      <c r="D60" s="13" t="s">
        <v>22</v>
      </c>
      <c r="E60" s="14" t="s">
        <v>42</v>
      </c>
      <c r="F60" s="15">
        <v>27.0</v>
      </c>
      <c r="G60" s="16" t="s">
        <v>24</v>
      </c>
      <c r="H60" s="15">
        <v>27.0</v>
      </c>
      <c r="I60" s="14" t="s">
        <v>32</v>
      </c>
      <c r="J60" s="3"/>
      <c r="K60" s="17">
        <f t="shared" si="1"/>
        <v>2</v>
      </c>
      <c r="L60" s="18">
        <f t="shared" si="2"/>
        <v>2</v>
      </c>
      <c r="M60" s="3"/>
      <c r="N60" s="3"/>
      <c r="O60" s="3"/>
      <c r="AE60" s="4"/>
      <c r="AF60" s="2"/>
      <c r="AG60" s="4"/>
      <c r="AH60" s="4"/>
      <c r="AI60" s="4"/>
      <c r="AJ60" s="4"/>
      <c r="AK60" s="4"/>
      <c r="AL60" s="4"/>
      <c r="AM60" s="4"/>
      <c r="AN60" s="4"/>
    </row>
    <row r="61" ht="15.75" customHeight="1">
      <c r="A61" s="29"/>
      <c r="B61" s="12">
        <v>45762.0</v>
      </c>
      <c r="C61" s="13" t="s">
        <v>21</v>
      </c>
      <c r="D61" s="13" t="s">
        <v>22</v>
      </c>
      <c r="E61" s="14" t="s">
        <v>37</v>
      </c>
      <c r="F61" s="15">
        <v>20.0</v>
      </c>
      <c r="G61" s="16" t="s">
        <v>24</v>
      </c>
      <c r="H61" s="15">
        <v>22.0</v>
      </c>
      <c r="I61" s="14" t="s">
        <v>25</v>
      </c>
      <c r="J61" s="3"/>
      <c r="K61" s="17">
        <f t="shared" si="1"/>
        <v>1</v>
      </c>
      <c r="L61" s="18">
        <f t="shared" si="2"/>
        <v>3</v>
      </c>
      <c r="M61" s="3"/>
      <c r="N61" s="3"/>
      <c r="O61" s="3"/>
      <c r="AE61" s="4"/>
      <c r="AF61" s="2"/>
      <c r="AG61" s="4"/>
      <c r="AH61" s="4"/>
      <c r="AI61" s="4"/>
      <c r="AJ61" s="4"/>
      <c r="AK61" s="4"/>
      <c r="AL61" s="4"/>
      <c r="AM61" s="4"/>
      <c r="AN61" s="4"/>
    </row>
    <row r="62" ht="15.75" customHeight="1">
      <c r="A62" s="37"/>
      <c r="B62" s="12">
        <v>45762.0</v>
      </c>
      <c r="C62" s="13" t="s">
        <v>30</v>
      </c>
      <c r="D62" s="13" t="s">
        <v>22</v>
      </c>
      <c r="E62" s="14" t="s">
        <v>31</v>
      </c>
      <c r="F62" s="15">
        <v>23.0</v>
      </c>
      <c r="G62" s="16" t="s">
        <v>24</v>
      </c>
      <c r="H62" s="15">
        <v>11.0</v>
      </c>
      <c r="I62" s="14" t="s">
        <v>23</v>
      </c>
      <c r="J62" s="3"/>
      <c r="K62" s="17">
        <f t="shared" si="1"/>
        <v>3</v>
      </c>
      <c r="L62" s="18">
        <f t="shared" si="2"/>
        <v>1</v>
      </c>
      <c r="M62" s="3"/>
      <c r="N62" s="3"/>
      <c r="O62" s="3"/>
      <c r="AE62" s="4"/>
      <c r="AF62" s="2"/>
      <c r="AG62" s="4"/>
      <c r="AH62" s="4"/>
      <c r="AI62" s="4"/>
      <c r="AJ62" s="4"/>
      <c r="AK62" s="4"/>
      <c r="AL62" s="4"/>
      <c r="AM62" s="4"/>
      <c r="AN62" s="4"/>
    </row>
    <row r="63" ht="15.75" customHeight="1">
      <c r="A63" s="11">
        <v>11.0</v>
      </c>
      <c r="B63" s="12">
        <v>45790.0</v>
      </c>
      <c r="C63" s="13" t="s">
        <v>36</v>
      </c>
      <c r="D63" s="13" t="s">
        <v>22</v>
      </c>
      <c r="E63" s="14" t="s">
        <v>45</v>
      </c>
      <c r="F63" s="15">
        <v>42.0</v>
      </c>
      <c r="G63" s="16" t="s">
        <v>24</v>
      </c>
      <c r="H63" s="15">
        <v>14.0</v>
      </c>
      <c r="I63" s="14" t="s">
        <v>33</v>
      </c>
      <c r="J63" s="3"/>
      <c r="K63" s="17">
        <f t="shared" si="1"/>
        <v>3</v>
      </c>
      <c r="L63" s="18">
        <f t="shared" si="2"/>
        <v>1</v>
      </c>
      <c r="M63" s="3"/>
      <c r="N63" s="3"/>
      <c r="O63" s="3"/>
      <c r="AE63" s="4"/>
      <c r="AF63" s="2"/>
      <c r="AG63" s="4"/>
      <c r="AH63" s="4"/>
      <c r="AI63" s="4"/>
      <c r="AJ63" s="4"/>
      <c r="AK63" s="4"/>
      <c r="AL63" s="4"/>
      <c r="AM63" s="4"/>
      <c r="AN63" s="4"/>
    </row>
    <row r="64" ht="15.75" customHeight="1">
      <c r="A64" s="29"/>
      <c r="B64" s="12">
        <v>45790.0</v>
      </c>
      <c r="C64" s="13" t="s">
        <v>30</v>
      </c>
      <c r="D64" s="13" t="s">
        <v>22</v>
      </c>
      <c r="E64" s="14" t="s">
        <v>34</v>
      </c>
      <c r="F64" s="15">
        <v>28.0</v>
      </c>
      <c r="G64" s="16" t="s">
        <v>24</v>
      </c>
      <c r="H64" s="15">
        <v>15.0</v>
      </c>
      <c r="I64" s="14" t="s">
        <v>43</v>
      </c>
      <c r="J64" s="3"/>
      <c r="K64" s="17">
        <f t="shared" si="1"/>
        <v>3</v>
      </c>
      <c r="L64" s="18">
        <f t="shared" si="2"/>
        <v>1</v>
      </c>
      <c r="M64" s="3"/>
      <c r="N64" s="3"/>
      <c r="O64" s="3"/>
      <c r="AE64" s="4"/>
      <c r="AF64" s="2"/>
      <c r="AG64" s="4"/>
      <c r="AH64" s="4"/>
      <c r="AI64" s="4"/>
      <c r="AJ64" s="4"/>
      <c r="AK64" s="4"/>
      <c r="AL64" s="4"/>
      <c r="AM64" s="4"/>
      <c r="AN64" s="4"/>
    </row>
    <row r="65" ht="15.75" customHeight="1">
      <c r="A65" s="29"/>
      <c r="B65" s="12">
        <v>45790.0</v>
      </c>
      <c r="C65" s="13" t="s">
        <v>21</v>
      </c>
      <c r="D65" s="13" t="s">
        <v>22</v>
      </c>
      <c r="E65" s="14" t="s">
        <v>38</v>
      </c>
      <c r="F65" s="15">
        <v>24.0</v>
      </c>
      <c r="G65" s="16" t="s">
        <v>24</v>
      </c>
      <c r="H65" s="15">
        <v>22.0</v>
      </c>
      <c r="I65" s="14" t="s">
        <v>42</v>
      </c>
      <c r="J65" s="3"/>
      <c r="K65" s="17">
        <f t="shared" si="1"/>
        <v>3</v>
      </c>
      <c r="L65" s="18">
        <f t="shared" si="2"/>
        <v>1</v>
      </c>
      <c r="M65" s="3"/>
      <c r="N65" s="3"/>
      <c r="O65" s="3"/>
      <c r="AE65" s="4"/>
      <c r="AF65" s="2"/>
      <c r="AG65" s="4"/>
      <c r="AH65" s="4"/>
      <c r="AI65" s="4"/>
      <c r="AJ65" s="4"/>
      <c r="AK65" s="4"/>
      <c r="AL65" s="4"/>
      <c r="AM65" s="4"/>
      <c r="AN65" s="4"/>
    </row>
    <row r="66" ht="15.75" customHeight="1">
      <c r="A66" s="29"/>
      <c r="B66" s="12">
        <v>45790.0</v>
      </c>
      <c r="C66" s="13" t="s">
        <v>41</v>
      </c>
      <c r="D66" s="13" t="s">
        <v>22</v>
      </c>
      <c r="E66" s="14" t="s">
        <v>32</v>
      </c>
      <c r="F66" s="15">
        <v>23.0</v>
      </c>
      <c r="G66" s="16" t="s">
        <v>24</v>
      </c>
      <c r="H66" s="15">
        <v>28.0</v>
      </c>
      <c r="I66" s="14" t="s">
        <v>37</v>
      </c>
      <c r="J66" s="3"/>
      <c r="K66" s="17">
        <f t="shared" si="1"/>
        <v>1</v>
      </c>
      <c r="L66" s="18">
        <f t="shared" si="2"/>
        <v>3</v>
      </c>
      <c r="M66" s="3"/>
      <c r="N66" s="3"/>
      <c r="O66" s="3"/>
      <c r="AE66" s="4"/>
      <c r="AF66" s="2"/>
      <c r="AG66" s="4"/>
      <c r="AH66" s="4"/>
      <c r="AI66" s="4"/>
      <c r="AJ66" s="4"/>
      <c r="AK66" s="4"/>
      <c r="AL66" s="4"/>
      <c r="AM66" s="4"/>
      <c r="AN66" s="4"/>
    </row>
    <row r="67" ht="15.75" customHeight="1">
      <c r="A67" s="29"/>
      <c r="B67" s="12">
        <v>45791.0</v>
      </c>
      <c r="C67" s="13" t="s">
        <v>58</v>
      </c>
      <c r="D67" s="13" t="s">
        <v>22</v>
      </c>
      <c r="E67" s="14" t="s">
        <v>25</v>
      </c>
      <c r="F67" s="15">
        <v>13.0</v>
      </c>
      <c r="G67" s="16" t="s">
        <v>24</v>
      </c>
      <c r="H67" s="15">
        <v>22.0</v>
      </c>
      <c r="I67" s="14" t="s">
        <v>31</v>
      </c>
      <c r="J67" s="3"/>
      <c r="K67" s="17">
        <f t="shared" si="1"/>
        <v>1</v>
      </c>
      <c r="L67" s="18">
        <f t="shared" si="2"/>
        <v>3</v>
      </c>
      <c r="M67" s="3"/>
      <c r="N67" s="3"/>
      <c r="O67" s="3"/>
      <c r="AE67" s="4"/>
      <c r="AF67" s="2"/>
      <c r="AG67" s="4"/>
      <c r="AH67" s="4"/>
      <c r="AI67" s="4"/>
      <c r="AJ67" s="4"/>
      <c r="AK67" s="4"/>
      <c r="AL67" s="4"/>
      <c r="AM67" s="4"/>
      <c r="AN67" s="4"/>
    </row>
    <row r="68" ht="15.75" customHeight="1">
      <c r="A68" s="37"/>
      <c r="B68" s="12">
        <v>45791.0</v>
      </c>
      <c r="C68" s="13" t="s">
        <v>59</v>
      </c>
      <c r="D68" s="13" t="s">
        <v>22</v>
      </c>
      <c r="E68" s="14" t="s">
        <v>23</v>
      </c>
      <c r="F68" s="15">
        <v>28.0</v>
      </c>
      <c r="G68" s="16" t="s">
        <v>24</v>
      </c>
      <c r="H68" s="15">
        <v>36.0</v>
      </c>
      <c r="I68" s="14" t="s">
        <v>39</v>
      </c>
      <c r="J68" s="3"/>
      <c r="K68" s="17">
        <f t="shared" si="1"/>
        <v>1</v>
      </c>
      <c r="L68" s="18">
        <f t="shared" si="2"/>
        <v>3</v>
      </c>
      <c r="M68" s="3"/>
      <c r="N68" s="3"/>
      <c r="O68" s="3"/>
      <c r="AE68" s="4"/>
      <c r="AF68" s="2"/>
      <c r="AG68" s="4"/>
      <c r="AH68" s="4"/>
      <c r="AI68" s="4"/>
      <c r="AJ68" s="4"/>
      <c r="AK68" s="4"/>
      <c r="AL68" s="4"/>
      <c r="AM68" s="4"/>
      <c r="AN68" s="4"/>
    </row>
    <row r="69" ht="15.75" customHeight="1">
      <c r="B69" s="52"/>
      <c r="C69" s="52"/>
      <c r="D69" s="52"/>
      <c r="E69" s="53"/>
      <c r="F69" s="52"/>
      <c r="I69" s="2"/>
      <c r="AE69" s="4"/>
      <c r="AF69" s="2"/>
      <c r="AG69" s="4"/>
      <c r="AH69" s="4"/>
      <c r="AI69" s="4"/>
      <c r="AJ69" s="4"/>
      <c r="AK69" s="4"/>
      <c r="AL69" s="4"/>
      <c r="AM69" s="4"/>
      <c r="AN69" s="4"/>
    </row>
    <row r="70" ht="15.75" customHeight="1">
      <c r="B70" s="52"/>
      <c r="C70" s="52"/>
      <c r="D70" s="52"/>
      <c r="E70" s="53"/>
      <c r="F70" s="52"/>
      <c r="I70" s="2"/>
      <c r="AE70" s="4"/>
      <c r="AF70" s="2"/>
      <c r="AG70" s="4"/>
      <c r="AH70" s="4"/>
      <c r="AI70" s="4"/>
      <c r="AJ70" s="4"/>
      <c r="AK70" s="4"/>
      <c r="AL70" s="4"/>
      <c r="AM70" s="4"/>
      <c r="AN70" s="4"/>
    </row>
    <row r="71" ht="15.75" customHeight="1">
      <c r="B71" s="52"/>
      <c r="C71" s="52"/>
      <c r="D71" s="52"/>
      <c r="E71" s="53"/>
      <c r="F71" s="52"/>
      <c r="I71" s="2"/>
      <c r="AE71" s="4"/>
      <c r="AF71" s="2"/>
      <c r="AG71" s="4"/>
      <c r="AH71" s="4"/>
      <c r="AI71" s="4"/>
      <c r="AJ71" s="4"/>
      <c r="AK71" s="4"/>
      <c r="AL71" s="4"/>
      <c r="AM71" s="4"/>
      <c r="AN71" s="4"/>
    </row>
    <row r="72" ht="15.75" customHeight="1">
      <c r="B72" s="52"/>
      <c r="C72" s="52"/>
      <c r="D72" s="52"/>
      <c r="E72" s="53"/>
      <c r="F72" s="52"/>
      <c r="I72" s="2"/>
      <c r="AE72" s="4"/>
      <c r="AF72" s="2"/>
      <c r="AG72" s="4"/>
      <c r="AH72" s="4"/>
      <c r="AI72" s="4"/>
      <c r="AJ72" s="4"/>
      <c r="AK72" s="4"/>
      <c r="AL72" s="4"/>
      <c r="AM72" s="4"/>
      <c r="AN72" s="4"/>
    </row>
    <row r="73" ht="15.75" customHeight="1">
      <c r="B73" s="52"/>
      <c r="C73" s="52"/>
      <c r="D73" s="52"/>
      <c r="E73" s="53"/>
      <c r="F73" s="52"/>
      <c r="I73" s="2"/>
      <c r="AE73" s="4"/>
      <c r="AF73" s="2"/>
      <c r="AG73" s="4"/>
      <c r="AH73" s="4"/>
      <c r="AI73" s="4"/>
      <c r="AJ73" s="4"/>
      <c r="AK73" s="4"/>
      <c r="AL73" s="4"/>
      <c r="AM73" s="4"/>
      <c r="AN73" s="4"/>
    </row>
    <row r="74" ht="15.75" customHeight="1">
      <c r="B74" s="52"/>
      <c r="C74" s="52"/>
      <c r="D74" s="52"/>
      <c r="E74" s="53"/>
      <c r="F74" s="52"/>
      <c r="I74" s="2"/>
      <c r="AE74" s="4"/>
      <c r="AF74" s="2"/>
      <c r="AG74" s="4"/>
      <c r="AH74" s="4"/>
      <c r="AI74" s="4"/>
      <c r="AJ74" s="4"/>
      <c r="AK74" s="4"/>
      <c r="AL74" s="4"/>
      <c r="AM74" s="4"/>
      <c r="AN74" s="4"/>
    </row>
    <row r="75" ht="15.75" customHeight="1">
      <c r="B75" s="52"/>
      <c r="C75" s="52"/>
      <c r="D75" s="52"/>
      <c r="E75" s="53"/>
      <c r="F75" s="52"/>
      <c r="I75" s="2"/>
      <c r="AE75" s="4"/>
      <c r="AF75" s="2"/>
      <c r="AG75" s="4"/>
      <c r="AH75" s="4"/>
      <c r="AI75" s="4"/>
      <c r="AJ75" s="4"/>
      <c r="AK75" s="4"/>
      <c r="AL75" s="4"/>
      <c r="AM75" s="4"/>
      <c r="AN75" s="4"/>
    </row>
    <row r="76" ht="15.75" customHeight="1">
      <c r="A76" s="1" t="s">
        <v>60</v>
      </c>
      <c r="I76" s="2"/>
      <c r="AE76" s="4"/>
      <c r="AF76" s="2"/>
      <c r="AG76" s="4"/>
      <c r="AH76" s="4"/>
      <c r="AI76" s="4"/>
      <c r="AJ76" s="4"/>
      <c r="AK76" s="4"/>
      <c r="AL76" s="4"/>
      <c r="AM76" s="4"/>
      <c r="AN76" s="4"/>
    </row>
    <row r="77" ht="15.75" customHeight="1">
      <c r="A77" s="5" t="s">
        <v>1</v>
      </c>
      <c r="B77" s="5" t="s">
        <v>2</v>
      </c>
      <c r="C77" s="5" t="s">
        <v>3</v>
      </c>
      <c r="D77" s="5" t="s">
        <v>4</v>
      </c>
      <c r="E77" s="5" t="s">
        <v>5</v>
      </c>
      <c r="F77" s="6" t="s">
        <v>6</v>
      </c>
      <c r="G77" s="7"/>
      <c r="H77" s="8"/>
      <c r="I77" s="5" t="s">
        <v>7</v>
      </c>
      <c r="J77" s="9" t="s">
        <v>8</v>
      </c>
      <c r="K77" s="9" t="s">
        <v>9</v>
      </c>
      <c r="L77" s="9" t="s">
        <v>10</v>
      </c>
      <c r="M77" s="9"/>
      <c r="N77" s="9" t="s">
        <v>11</v>
      </c>
      <c r="O77" s="9" t="s">
        <v>12</v>
      </c>
      <c r="P77" s="9" t="s">
        <v>13</v>
      </c>
      <c r="Q77" s="9" t="s">
        <v>14</v>
      </c>
      <c r="R77" s="9" t="s">
        <v>15</v>
      </c>
      <c r="S77" s="9" t="s">
        <v>16</v>
      </c>
      <c r="T77" s="9" t="s">
        <v>17</v>
      </c>
      <c r="U77" s="9" t="s">
        <v>18</v>
      </c>
      <c r="V77" s="9" t="s">
        <v>19</v>
      </c>
      <c r="W77" s="4"/>
      <c r="X77" s="4"/>
      <c r="Y77" s="4"/>
      <c r="Z77" s="4"/>
      <c r="AA77" s="4"/>
      <c r="AB77" s="4"/>
      <c r="AC77" s="4"/>
      <c r="AD77" s="4"/>
      <c r="AE77" s="5" t="s">
        <v>11</v>
      </c>
      <c r="AF77" s="5" t="s">
        <v>12</v>
      </c>
      <c r="AG77" s="5" t="s">
        <v>13</v>
      </c>
      <c r="AH77" s="5" t="s">
        <v>14</v>
      </c>
      <c r="AI77" s="5" t="s">
        <v>15</v>
      </c>
      <c r="AJ77" s="5" t="s">
        <v>16</v>
      </c>
      <c r="AK77" s="5" t="s">
        <v>17</v>
      </c>
      <c r="AL77" s="5" t="s">
        <v>18</v>
      </c>
      <c r="AM77" s="5" t="s">
        <v>19</v>
      </c>
      <c r="AN77" s="4" t="s">
        <v>61</v>
      </c>
    </row>
    <row r="78" ht="15.75" customHeight="1">
      <c r="A78" s="11">
        <v>1.0</v>
      </c>
      <c r="B78" s="54">
        <v>45594.0</v>
      </c>
      <c r="C78" s="13" t="s">
        <v>21</v>
      </c>
      <c r="D78" s="13" t="s">
        <v>22</v>
      </c>
      <c r="E78" s="55" t="s">
        <v>62</v>
      </c>
      <c r="F78" s="56">
        <v>22.0</v>
      </c>
      <c r="G78" s="16" t="s">
        <v>24</v>
      </c>
      <c r="H78" s="56">
        <v>25.0</v>
      </c>
      <c r="I78" s="55" t="s">
        <v>63</v>
      </c>
      <c r="J78" s="3"/>
      <c r="K78" s="17">
        <f t="shared" ref="K78:K143" si="11">IF(F78="","",IFS(F78&gt;H78,3,F78=H78,2,H78&gt;F78,1,F78="",0))</f>
        <v>1</v>
      </c>
      <c r="L78" s="18">
        <f t="shared" ref="L78:L143" si="12">IF(H78="","",IFS(F78&lt;H78,3,F78=H78,2,H78&lt;F78,1))</f>
        <v>3</v>
      </c>
      <c r="M78" s="3"/>
      <c r="N78" s="18">
        <v>1.0</v>
      </c>
      <c r="O78" s="57" t="s">
        <v>62</v>
      </c>
      <c r="P78" s="18">
        <f t="shared" ref="P78:P89" si="13">SUMIF(E$78:E$143,O78,K$78:K$143)+SUMIF(I$78:I$143,O78,L$78:L$143)</f>
        <v>21</v>
      </c>
      <c r="Q78" s="20">
        <f t="shared" ref="Q78:Q89" si="14">COUNTIFS(E$78:E$143,O78,K$78:K$143,3)+COUNTIFS(I$78:I$143,O78,L$78:L$143,3)</f>
        <v>5</v>
      </c>
      <c r="R78" s="22">
        <f t="shared" ref="R78:R89" si="15">COUNTIFS(E$78:E$143,O78,K$78:K$143,2)+COUNTIFS(I$78:I$143,O78,L$78:L$143,2)</f>
        <v>0</v>
      </c>
      <c r="S78" s="22">
        <f t="shared" ref="S78:S89" si="16">COUNTIFS(E$78:E$143,O78,K$78:K$143,1)+COUNTIFS(I$78:I$143,O78,L$78:L$143,1)</f>
        <v>6</v>
      </c>
      <c r="T78" s="18">
        <f t="shared" ref="T78:T89" si="17">SUMIF(E$78:E$143,O78,F$78:F$143)+SUMIF(I$78:I$143,O78,H$78:H$143)</f>
        <v>204</v>
      </c>
      <c r="U78" s="22">
        <f t="shared" ref="U78:U89" si="18">SUMIF(E$78:E$143,O78,H$78:H$143)+SUMIF(I$78:I$143,O78,F$78:F$143)</f>
        <v>206</v>
      </c>
      <c r="V78" s="18">
        <f t="shared" ref="V78:V89" si="19">T78-U78</f>
        <v>-2</v>
      </c>
      <c r="AE78" s="58" t="s">
        <v>29</v>
      </c>
      <c r="AF78" s="25" t="str">
        <f t="array" ref="AF78:AM89">SORT(O78:V89,2,FALSE,9,FALSE,8,FALSE())</f>
        <v>Contabilidade</v>
      </c>
      <c r="AG78" s="26">
        <v>33.0</v>
      </c>
      <c r="AH78" s="26">
        <v>11.0</v>
      </c>
      <c r="AI78" s="27">
        <v>0.0</v>
      </c>
      <c r="AJ78" s="27">
        <v>0.0</v>
      </c>
      <c r="AK78" s="26">
        <v>267.0</v>
      </c>
      <c r="AL78" s="27">
        <v>129.0</v>
      </c>
      <c r="AM78" s="26">
        <v>138.0</v>
      </c>
      <c r="AN78" s="28"/>
    </row>
    <row r="79" ht="15.75" customHeight="1">
      <c r="A79" s="29"/>
      <c r="B79" s="54">
        <v>45594.0</v>
      </c>
      <c r="C79" s="13" t="s">
        <v>30</v>
      </c>
      <c r="D79" s="13" t="s">
        <v>22</v>
      </c>
      <c r="E79" s="55" t="s">
        <v>64</v>
      </c>
      <c r="F79" s="56">
        <v>14.0</v>
      </c>
      <c r="G79" s="16" t="s">
        <v>24</v>
      </c>
      <c r="H79" s="56">
        <v>21.0</v>
      </c>
      <c r="I79" s="55" t="s">
        <v>65</v>
      </c>
      <c r="J79" s="3"/>
      <c r="K79" s="17">
        <f t="shared" si="11"/>
        <v>1</v>
      </c>
      <c r="L79" s="18">
        <f t="shared" si="12"/>
        <v>3</v>
      </c>
      <c r="M79" s="3"/>
      <c r="N79" s="18">
        <v>2.0</v>
      </c>
      <c r="O79" s="57" t="s">
        <v>66</v>
      </c>
      <c r="P79" s="18">
        <f t="shared" si="13"/>
        <v>24</v>
      </c>
      <c r="Q79" s="20">
        <f t="shared" si="14"/>
        <v>6</v>
      </c>
      <c r="R79" s="22">
        <f t="shared" si="15"/>
        <v>1</v>
      </c>
      <c r="S79" s="22">
        <f t="shared" si="16"/>
        <v>4</v>
      </c>
      <c r="T79" s="18">
        <f t="shared" si="17"/>
        <v>151</v>
      </c>
      <c r="U79" s="22">
        <f t="shared" si="18"/>
        <v>145</v>
      </c>
      <c r="V79" s="18">
        <f t="shared" si="19"/>
        <v>6</v>
      </c>
      <c r="AE79" s="58">
        <v>2.0</v>
      </c>
      <c r="AF79" s="25" t="s">
        <v>67</v>
      </c>
      <c r="AG79" s="26">
        <v>31.0</v>
      </c>
      <c r="AH79" s="26">
        <v>10.0</v>
      </c>
      <c r="AI79" s="27">
        <v>0.0</v>
      </c>
      <c r="AJ79" s="27">
        <v>1.0</v>
      </c>
      <c r="AK79" s="26">
        <v>282.0</v>
      </c>
      <c r="AL79" s="27">
        <v>208.0</v>
      </c>
      <c r="AM79" s="26">
        <v>74.0</v>
      </c>
      <c r="AN79" s="28"/>
    </row>
    <row r="80" ht="15.75" customHeight="1">
      <c r="A80" s="29"/>
      <c r="B80" s="54">
        <v>45595.0</v>
      </c>
      <c r="C80" s="13" t="s">
        <v>21</v>
      </c>
      <c r="D80" s="13" t="s">
        <v>22</v>
      </c>
      <c r="E80" s="55" t="s">
        <v>68</v>
      </c>
      <c r="F80" s="56">
        <v>19.0</v>
      </c>
      <c r="G80" s="16" t="s">
        <v>24</v>
      </c>
      <c r="H80" s="56">
        <v>27.0</v>
      </c>
      <c r="I80" s="55" t="s">
        <v>67</v>
      </c>
      <c r="J80" s="3"/>
      <c r="K80" s="17">
        <f t="shared" si="11"/>
        <v>1</v>
      </c>
      <c r="L80" s="18">
        <f t="shared" si="12"/>
        <v>3</v>
      </c>
      <c r="M80" s="3"/>
      <c r="N80" s="18">
        <v>3.0</v>
      </c>
      <c r="O80" s="57" t="s">
        <v>63</v>
      </c>
      <c r="P80" s="18">
        <f t="shared" si="13"/>
        <v>27</v>
      </c>
      <c r="Q80" s="20">
        <f t="shared" si="14"/>
        <v>8</v>
      </c>
      <c r="R80" s="22">
        <f t="shared" si="15"/>
        <v>0</v>
      </c>
      <c r="S80" s="22">
        <f t="shared" si="16"/>
        <v>3</v>
      </c>
      <c r="T80" s="18">
        <f t="shared" si="17"/>
        <v>245</v>
      </c>
      <c r="U80" s="22">
        <f t="shared" si="18"/>
        <v>220</v>
      </c>
      <c r="V80" s="18">
        <f t="shared" si="19"/>
        <v>25</v>
      </c>
      <c r="AE80" s="24">
        <v>3.0</v>
      </c>
      <c r="AF80" s="25" t="s">
        <v>63</v>
      </c>
      <c r="AG80" s="26">
        <v>27.0</v>
      </c>
      <c r="AH80" s="26">
        <v>8.0</v>
      </c>
      <c r="AI80" s="27">
        <v>0.0</v>
      </c>
      <c r="AJ80" s="27">
        <v>3.0</v>
      </c>
      <c r="AK80" s="26">
        <v>245.0</v>
      </c>
      <c r="AL80" s="27">
        <v>220.0</v>
      </c>
      <c r="AM80" s="26">
        <v>25.0</v>
      </c>
      <c r="AN80" s="28"/>
    </row>
    <row r="81" ht="15.75" customHeight="1">
      <c r="A81" s="29"/>
      <c r="B81" s="54">
        <v>45595.0</v>
      </c>
      <c r="C81" s="13" t="s">
        <v>30</v>
      </c>
      <c r="D81" s="13" t="s">
        <v>22</v>
      </c>
      <c r="E81" s="55" t="s">
        <v>69</v>
      </c>
      <c r="F81" s="56">
        <v>16.0</v>
      </c>
      <c r="G81" s="16" t="s">
        <v>24</v>
      </c>
      <c r="H81" s="56">
        <v>14.0</v>
      </c>
      <c r="I81" s="55" t="s">
        <v>70</v>
      </c>
      <c r="J81" s="3"/>
      <c r="K81" s="17">
        <f t="shared" si="11"/>
        <v>3</v>
      </c>
      <c r="L81" s="18">
        <f t="shared" si="12"/>
        <v>1</v>
      </c>
      <c r="M81" s="3"/>
      <c r="N81" s="18">
        <v>4.0</v>
      </c>
      <c r="O81" s="57" t="s">
        <v>71</v>
      </c>
      <c r="P81" s="18">
        <f t="shared" si="13"/>
        <v>16</v>
      </c>
      <c r="Q81" s="20">
        <f t="shared" si="14"/>
        <v>2</v>
      </c>
      <c r="R81" s="22">
        <f t="shared" si="15"/>
        <v>1</v>
      </c>
      <c r="S81" s="22">
        <f t="shared" si="16"/>
        <v>8</v>
      </c>
      <c r="T81" s="18">
        <f t="shared" si="17"/>
        <v>166</v>
      </c>
      <c r="U81" s="22">
        <f t="shared" si="18"/>
        <v>212</v>
      </c>
      <c r="V81" s="18">
        <f t="shared" si="19"/>
        <v>-46</v>
      </c>
      <c r="AE81" s="24">
        <v>4.0</v>
      </c>
      <c r="AF81" s="25" t="s">
        <v>66</v>
      </c>
      <c r="AG81" s="26">
        <v>24.0</v>
      </c>
      <c r="AH81" s="26">
        <v>6.0</v>
      </c>
      <c r="AI81" s="27">
        <v>1.0</v>
      </c>
      <c r="AJ81" s="27">
        <v>4.0</v>
      </c>
      <c r="AK81" s="26">
        <v>151.0</v>
      </c>
      <c r="AL81" s="27">
        <v>145.0</v>
      </c>
      <c r="AM81" s="26">
        <v>6.0</v>
      </c>
      <c r="AN81" s="28"/>
    </row>
    <row r="82" ht="15.75" customHeight="1">
      <c r="A82" s="29"/>
      <c r="B82" s="54">
        <v>45595.0</v>
      </c>
      <c r="C82" s="13" t="s">
        <v>36</v>
      </c>
      <c r="D82" s="13" t="s">
        <v>22</v>
      </c>
      <c r="E82" s="55" t="s">
        <v>71</v>
      </c>
      <c r="F82" s="56">
        <v>14.0</v>
      </c>
      <c r="G82" s="16" t="s">
        <v>24</v>
      </c>
      <c r="H82" s="56">
        <v>14.0</v>
      </c>
      <c r="I82" s="55" t="s">
        <v>72</v>
      </c>
      <c r="J82" s="3"/>
      <c r="K82" s="17">
        <f t="shared" si="11"/>
        <v>2</v>
      </c>
      <c r="L82" s="18">
        <f t="shared" si="12"/>
        <v>2</v>
      </c>
      <c r="M82" s="3"/>
      <c r="N82" s="18">
        <v>5.0</v>
      </c>
      <c r="O82" s="57" t="s">
        <v>65</v>
      </c>
      <c r="P82" s="18">
        <f t="shared" si="13"/>
        <v>33</v>
      </c>
      <c r="Q82" s="20">
        <f t="shared" si="14"/>
        <v>11</v>
      </c>
      <c r="R82" s="22">
        <f t="shared" si="15"/>
        <v>0</v>
      </c>
      <c r="S82" s="22">
        <f t="shared" si="16"/>
        <v>0</v>
      </c>
      <c r="T82" s="18">
        <f t="shared" si="17"/>
        <v>267</v>
      </c>
      <c r="U82" s="22">
        <f t="shared" si="18"/>
        <v>129</v>
      </c>
      <c r="V82" s="18">
        <f t="shared" si="19"/>
        <v>138</v>
      </c>
      <c r="AE82" s="24">
        <v>5.0</v>
      </c>
      <c r="AF82" s="25" t="s">
        <v>73</v>
      </c>
      <c r="AG82" s="26">
        <v>23.0</v>
      </c>
      <c r="AH82" s="26">
        <v>6.0</v>
      </c>
      <c r="AI82" s="27">
        <v>1.0</v>
      </c>
      <c r="AJ82" s="27">
        <v>3.0</v>
      </c>
      <c r="AK82" s="26">
        <v>168.0</v>
      </c>
      <c r="AL82" s="27">
        <v>171.0</v>
      </c>
      <c r="AM82" s="26">
        <v>-3.0</v>
      </c>
      <c r="AN82" s="28"/>
    </row>
    <row r="83" ht="15.75" customHeight="1">
      <c r="A83" s="29"/>
      <c r="B83" s="54">
        <v>45595.0</v>
      </c>
      <c r="C83" s="13" t="s">
        <v>41</v>
      </c>
      <c r="D83" s="13" t="s">
        <v>22</v>
      </c>
      <c r="E83" s="55" t="s">
        <v>73</v>
      </c>
      <c r="F83" s="56">
        <v>10.0</v>
      </c>
      <c r="G83" s="16" t="s">
        <v>24</v>
      </c>
      <c r="H83" s="56">
        <v>10.0</v>
      </c>
      <c r="I83" s="55" t="s">
        <v>66</v>
      </c>
      <c r="J83" s="3"/>
      <c r="K83" s="17">
        <f t="shared" si="11"/>
        <v>2</v>
      </c>
      <c r="L83" s="18">
        <f t="shared" si="12"/>
        <v>2</v>
      </c>
      <c r="M83" s="3"/>
      <c r="N83" s="18">
        <v>6.0</v>
      </c>
      <c r="O83" s="57" t="s">
        <v>69</v>
      </c>
      <c r="P83" s="18">
        <f t="shared" si="13"/>
        <v>21</v>
      </c>
      <c r="Q83" s="20">
        <f t="shared" si="14"/>
        <v>5</v>
      </c>
      <c r="R83" s="22">
        <f t="shared" si="15"/>
        <v>0</v>
      </c>
      <c r="S83" s="22">
        <f t="shared" si="16"/>
        <v>6</v>
      </c>
      <c r="T83" s="18">
        <f t="shared" si="17"/>
        <v>211</v>
      </c>
      <c r="U83" s="22">
        <f t="shared" si="18"/>
        <v>211</v>
      </c>
      <c r="V83" s="18">
        <f t="shared" si="19"/>
        <v>0</v>
      </c>
      <c r="AE83" s="24">
        <v>6.0</v>
      </c>
      <c r="AF83" s="25" t="s">
        <v>69</v>
      </c>
      <c r="AG83" s="26">
        <v>21.0</v>
      </c>
      <c r="AH83" s="26">
        <v>5.0</v>
      </c>
      <c r="AI83" s="27">
        <v>0.0</v>
      </c>
      <c r="AJ83" s="27">
        <v>6.0</v>
      </c>
      <c r="AK83" s="26">
        <v>211.0</v>
      </c>
      <c r="AL83" s="27">
        <v>211.0</v>
      </c>
      <c r="AM83" s="26">
        <v>0.0</v>
      </c>
      <c r="AN83" s="28"/>
    </row>
    <row r="84" ht="15.75" customHeight="1">
      <c r="A84" s="11">
        <v>2.0</v>
      </c>
      <c r="B84" s="12">
        <v>45606.0</v>
      </c>
      <c r="C84" s="13" t="s">
        <v>51</v>
      </c>
      <c r="D84" s="13" t="s">
        <v>22</v>
      </c>
      <c r="E84" s="55" t="s">
        <v>63</v>
      </c>
      <c r="F84" s="56">
        <v>21.0</v>
      </c>
      <c r="G84" s="16" t="s">
        <v>24</v>
      </c>
      <c r="H84" s="56">
        <v>13.0</v>
      </c>
      <c r="I84" s="55" t="s">
        <v>73</v>
      </c>
      <c r="J84" s="3"/>
      <c r="K84" s="17">
        <f t="shared" si="11"/>
        <v>3</v>
      </c>
      <c r="L84" s="18">
        <f t="shared" si="12"/>
        <v>1</v>
      </c>
      <c r="M84" s="3"/>
      <c r="N84" s="18">
        <v>7.0</v>
      </c>
      <c r="O84" s="57" t="s">
        <v>67</v>
      </c>
      <c r="P84" s="18">
        <f t="shared" si="13"/>
        <v>31</v>
      </c>
      <c r="Q84" s="20">
        <f t="shared" si="14"/>
        <v>10</v>
      </c>
      <c r="R84" s="22">
        <f t="shared" si="15"/>
        <v>0</v>
      </c>
      <c r="S84" s="22">
        <f t="shared" si="16"/>
        <v>1</v>
      </c>
      <c r="T84" s="18">
        <f t="shared" si="17"/>
        <v>282</v>
      </c>
      <c r="U84" s="22">
        <f t="shared" si="18"/>
        <v>208</v>
      </c>
      <c r="V84" s="18">
        <f t="shared" si="19"/>
        <v>74</v>
      </c>
      <c r="AE84" s="24">
        <v>7.0</v>
      </c>
      <c r="AF84" s="25" t="s">
        <v>62</v>
      </c>
      <c r="AG84" s="26">
        <v>21.0</v>
      </c>
      <c r="AH84" s="26">
        <v>5.0</v>
      </c>
      <c r="AI84" s="27">
        <v>0.0</v>
      </c>
      <c r="AJ84" s="27">
        <v>6.0</v>
      </c>
      <c r="AK84" s="26">
        <v>204.0</v>
      </c>
      <c r="AL84" s="27">
        <v>206.0</v>
      </c>
      <c r="AM84" s="26">
        <v>-2.0</v>
      </c>
      <c r="AN84" s="28"/>
    </row>
    <row r="85" ht="15.75" customHeight="1">
      <c r="A85" s="29"/>
      <c r="B85" s="12">
        <v>45606.0</v>
      </c>
      <c r="C85" s="13" t="s">
        <v>53</v>
      </c>
      <c r="D85" s="13" t="s">
        <v>22</v>
      </c>
      <c r="E85" s="55" t="s">
        <v>65</v>
      </c>
      <c r="F85" s="56">
        <v>22.0</v>
      </c>
      <c r="G85" s="16" t="s">
        <v>24</v>
      </c>
      <c r="H85" s="56">
        <v>7.0</v>
      </c>
      <c r="I85" s="55" t="s">
        <v>62</v>
      </c>
      <c r="J85" s="3"/>
      <c r="K85" s="17">
        <f t="shared" si="11"/>
        <v>3</v>
      </c>
      <c r="L85" s="18">
        <f t="shared" si="12"/>
        <v>1</v>
      </c>
      <c r="M85" s="3"/>
      <c r="N85" s="18">
        <v>8.0</v>
      </c>
      <c r="O85" s="57" t="s">
        <v>68</v>
      </c>
      <c r="P85" s="18">
        <f t="shared" si="13"/>
        <v>14</v>
      </c>
      <c r="Q85" s="20">
        <f t="shared" si="14"/>
        <v>2</v>
      </c>
      <c r="R85" s="22">
        <f t="shared" si="15"/>
        <v>0</v>
      </c>
      <c r="S85" s="22">
        <f t="shared" si="16"/>
        <v>8</v>
      </c>
      <c r="T85" s="18">
        <f t="shared" si="17"/>
        <v>156</v>
      </c>
      <c r="U85" s="22">
        <f t="shared" si="18"/>
        <v>210</v>
      </c>
      <c r="V85" s="18">
        <f t="shared" si="19"/>
        <v>-54</v>
      </c>
      <c r="AE85" s="24">
        <v>8.0</v>
      </c>
      <c r="AF85" s="25" t="s">
        <v>70</v>
      </c>
      <c r="AG85" s="26">
        <v>19.0</v>
      </c>
      <c r="AH85" s="26">
        <v>4.0</v>
      </c>
      <c r="AI85" s="27">
        <v>0.0</v>
      </c>
      <c r="AJ85" s="27">
        <v>7.0</v>
      </c>
      <c r="AK85" s="26">
        <v>166.0</v>
      </c>
      <c r="AL85" s="27">
        <v>210.0</v>
      </c>
      <c r="AM85" s="26">
        <v>-44.0</v>
      </c>
      <c r="AN85" s="28"/>
    </row>
    <row r="86" ht="15.75" customHeight="1">
      <c r="A86" s="29"/>
      <c r="B86" s="12">
        <v>45606.0</v>
      </c>
      <c r="C86" s="13" t="s">
        <v>54</v>
      </c>
      <c r="D86" s="13" t="s">
        <v>22</v>
      </c>
      <c r="E86" s="55" t="s">
        <v>67</v>
      </c>
      <c r="F86" s="56">
        <v>20.0</v>
      </c>
      <c r="G86" s="16" t="s">
        <v>24</v>
      </c>
      <c r="H86" s="56">
        <v>5.0</v>
      </c>
      <c r="I86" s="55" t="s">
        <v>64</v>
      </c>
      <c r="J86" s="3"/>
      <c r="K86" s="17">
        <f t="shared" si="11"/>
        <v>3</v>
      </c>
      <c r="L86" s="18">
        <f t="shared" si="12"/>
        <v>1</v>
      </c>
      <c r="M86" s="3"/>
      <c r="N86" s="18">
        <v>9.0</v>
      </c>
      <c r="O86" s="57" t="s">
        <v>70</v>
      </c>
      <c r="P86" s="18">
        <f t="shared" si="13"/>
        <v>19</v>
      </c>
      <c r="Q86" s="20">
        <f t="shared" si="14"/>
        <v>4</v>
      </c>
      <c r="R86" s="22">
        <f t="shared" si="15"/>
        <v>0</v>
      </c>
      <c r="S86" s="22">
        <f t="shared" si="16"/>
        <v>7</v>
      </c>
      <c r="T86" s="18">
        <f t="shared" si="17"/>
        <v>166</v>
      </c>
      <c r="U86" s="22">
        <f t="shared" si="18"/>
        <v>210</v>
      </c>
      <c r="V86" s="18">
        <f t="shared" si="19"/>
        <v>-44</v>
      </c>
      <c r="AE86" s="24">
        <v>9.0</v>
      </c>
      <c r="AF86" s="25" t="s">
        <v>64</v>
      </c>
      <c r="AG86" s="26">
        <v>17.0</v>
      </c>
      <c r="AH86" s="26">
        <v>3.0</v>
      </c>
      <c r="AI86" s="27">
        <v>0.0</v>
      </c>
      <c r="AJ86" s="27">
        <v>8.0</v>
      </c>
      <c r="AK86" s="26">
        <v>148.0</v>
      </c>
      <c r="AL86" s="27">
        <v>178.0</v>
      </c>
      <c r="AM86" s="26">
        <v>-30.0</v>
      </c>
      <c r="AN86" s="28"/>
    </row>
    <row r="87" ht="15.75" customHeight="1">
      <c r="A87" s="29"/>
      <c r="B87" s="12">
        <v>45606.0</v>
      </c>
      <c r="C87" s="49" t="s">
        <v>55</v>
      </c>
      <c r="D87" s="13" t="s">
        <v>22</v>
      </c>
      <c r="E87" s="55" t="s">
        <v>70</v>
      </c>
      <c r="F87" s="56">
        <v>18.0</v>
      </c>
      <c r="G87" s="16" t="s">
        <v>24</v>
      </c>
      <c r="H87" s="56">
        <v>26.0</v>
      </c>
      <c r="I87" s="55" t="s">
        <v>68</v>
      </c>
      <c r="J87" s="3"/>
      <c r="K87" s="17">
        <f t="shared" si="11"/>
        <v>1</v>
      </c>
      <c r="L87" s="18">
        <f t="shared" si="12"/>
        <v>3</v>
      </c>
      <c r="M87" s="3"/>
      <c r="N87" s="18">
        <v>10.0</v>
      </c>
      <c r="O87" s="57" t="s">
        <v>64</v>
      </c>
      <c r="P87" s="18">
        <f t="shared" si="13"/>
        <v>17</v>
      </c>
      <c r="Q87" s="20">
        <f t="shared" si="14"/>
        <v>3</v>
      </c>
      <c r="R87" s="22">
        <f t="shared" si="15"/>
        <v>0</v>
      </c>
      <c r="S87" s="22">
        <f t="shared" si="16"/>
        <v>8</v>
      </c>
      <c r="T87" s="18">
        <f t="shared" si="17"/>
        <v>148</v>
      </c>
      <c r="U87" s="22">
        <f t="shared" si="18"/>
        <v>178</v>
      </c>
      <c r="V87" s="18">
        <f t="shared" si="19"/>
        <v>-30</v>
      </c>
      <c r="AE87" s="24">
        <v>10.0</v>
      </c>
      <c r="AF87" s="25" t="s">
        <v>71</v>
      </c>
      <c r="AG87" s="26">
        <v>16.0</v>
      </c>
      <c r="AH87" s="59">
        <v>2.0</v>
      </c>
      <c r="AI87" s="60">
        <v>1.0</v>
      </c>
      <c r="AJ87" s="60">
        <v>8.0</v>
      </c>
      <c r="AK87" s="59">
        <v>166.0</v>
      </c>
      <c r="AL87" s="60">
        <v>212.0</v>
      </c>
      <c r="AM87" s="59">
        <v>-46.0</v>
      </c>
      <c r="AN87" s="28"/>
    </row>
    <row r="88" ht="15.75" customHeight="1">
      <c r="A88" s="29"/>
      <c r="B88" s="12">
        <v>45606.0</v>
      </c>
      <c r="C88" s="13" t="s">
        <v>56</v>
      </c>
      <c r="D88" s="13" t="s">
        <v>22</v>
      </c>
      <c r="E88" s="55" t="s">
        <v>72</v>
      </c>
      <c r="F88" s="56">
        <v>13.0</v>
      </c>
      <c r="G88" s="16" t="s">
        <v>24</v>
      </c>
      <c r="H88" s="56">
        <v>15.0</v>
      </c>
      <c r="I88" s="55" t="s">
        <v>69</v>
      </c>
      <c r="J88" s="3"/>
      <c r="K88" s="17">
        <f t="shared" si="11"/>
        <v>1</v>
      </c>
      <c r="L88" s="18">
        <f t="shared" si="12"/>
        <v>3</v>
      </c>
      <c r="M88" s="3"/>
      <c r="N88" s="61">
        <v>11.0</v>
      </c>
      <c r="O88" s="19" t="s">
        <v>72</v>
      </c>
      <c r="P88" s="18">
        <f t="shared" si="13"/>
        <v>14</v>
      </c>
      <c r="Q88" s="20">
        <f t="shared" si="14"/>
        <v>1</v>
      </c>
      <c r="R88" s="22">
        <f t="shared" si="15"/>
        <v>1</v>
      </c>
      <c r="S88" s="22">
        <f t="shared" si="16"/>
        <v>9</v>
      </c>
      <c r="T88" s="18">
        <f t="shared" si="17"/>
        <v>147</v>
      </c>
      <c r="U88" s="22">
        <f t="shared" si="18"/>
        <v>211</v>
      </c>
      <c r="V88" s="18">
        <f t="shared" si="19"/>
        <v>-64</v>
      </c>
      <c r="AE88" s="40">
        <v>11.0</v>
      </c>
      <c r="AF88" s="25" t="s">
        <v>68</v>
      </c>
      <c r="AG88" s="26">
        <v>14.0</v>
      </c>
      <c r="AH88" s="26">
        <v>2.0</v>
      </c>
      <c r="AI88" s="27">
        <v>0.0</v>
      </c>
      <c r="AJ88" s="27">
        <v>8.0</v>
      </c>
      <c r="AK88" s="26">
        <v>156.0</v>
      </c>
      <c r="AL88" s="27">
        <v>210.0</v>
      </c>
      <c r="AM88" s="26">
        <v>-54.0</v>
      </c>
      <c r="AN88" s="28"/>
    </row>
    <row r="89" ht="15.75" customHeight="1">
      <c r="A89" s="37"/>
      <c r="B89" s="12">
        <v>45606.0</v>
      </c>
      <c r="C89" s="13" t="s">
        <v>57</v>
      </c>
      <c r="D89" s="13" t="s">
        <v>22</v>
      </c>
      <c r="E89" s="55" t="s">
        <v>66</v>
      </c>
      <c r="F89" s="56">
        <v>13.0</v>
      </c>
      <c r="G89" s="16" t="s">
        <v>24</v>
      </c>
      <c r="H89" s="56">
        <v>8.0</v>
      </c>
      <c r="I89" s="55" t="s">
        <v>71</v>
      </c>
      <c r="J89" s="3"/>
      <c r="K89" s="17">
        <f t="shared" si="11"/>
        <v>3</v>
      </c>
      <c r="L89" s="18">
        <f t="shared" si="12"/>
        <v>1</v>
      </c>
      <c r="M89" s="3"/>
      <c r="N89" s="36">
        <v>12.0</v>
      </c>
      <c r="O89" s="62" t="s">
        <v>73</v>
      </c>
      <c r="P89" s="18">
        <f t="shared" si="13"/>
        <v>23</v>
      </c>
      <c r="Q89" s="20">
        <f t="shared" si="14"/>
        <v>6</v>
      </c>
      <c r="R89" s="22">
        <f t="shared" si="15"/>
        <v>1</v>
      </c>
      <c r="S89" s="22">
        <f t="shared" si="16"/>
        <v>3</v>
      </c>
      <c r="T89" s="18">
        <f t="shared" si="17"/>
        <v>168</v>
      </c>
      <c r="U89" s="22">
        <f t="shared" si="18"/>
        <v>171</v>
      </c>
      <c r="V89" s="18">
        <f t="shared" si="19"/>
        <v>-3</v>
      </c>
      <c r="AE89" s="40">
        <v>12.0</v>
      </c>
      <c r="AF89" s="25" t="s">
        <v>72</v>
      </c>
      <c r="AG89" s="44">
        <v>14.0</v>
      </c>
      <c r="AH89" s="44">
        <v>1.0</v>
      </c>
      <c r="AI89" s="63">
        <v>1.0</v>
      </c>
      <c r="AJ89" s="63">
        <v>9.0</v>
      </c>
      <c r="AK89" s="63">
        <v>147.0</v>
      </c>
      <c r="AL89" s="63">
        <v>211.0</v>
      </c>
      <c r="AM89" s="63">
        <v>-64.0</v>
      </c>
      <c r="AN89" s="4"/>
    </row>
    <row r="90" ht="15.75" customHeight="1">
      <c r="A90" s="64">
        <v>3.0</v>
      </c>
      <c r="B90" s="12">
        <v>45621.0</v>
      </c>
      <c r="C90" s="13" t="s">
        <v>21</v>
      </c>
      <c r="D90" s="13" t="s">
        <v>22</v>
      </c>
      <c r="E90" s="55" t="s">
        <v>63</v>
      </c>
      <c r="F90" s="56">
        <v>21.0</v>
      </c>
      <c r="G90" s="16" t="s">
        <v>24</v>
      </c>
      <c r="H90" s="56">
        <v>25.0</v>
      </c>
      <c r="I90" s="55" t="s">
        <v>65</v>
      </c>
      <c r="J90" s="3"/>
      <c r="K90" s="17">
        <f t="shared" si="11"/>
        <v>1</v>
      </c>
      <c r="L90" s="18">
        <f t="shared" si="12"/>
        <v>3</v>
      </c>
      <c r="M90" s="3"/>
      <c r="N90" s="3"/>
      <c r="O90" s="3"/>
      <c r="P90" s="3"/>
      <c r="Q90" s="3"/>
      <c r="R90" s="3"/>
      <c r="S90" s="3"/>
      <c r="T90" s="3"/>
      <c r="U90" s="3"/>
      <c r="V90" s="3"/>
      <c r="AE90" s="46" t="s">
        <v>74</v>
      </c>
      <c r="AJ90" s="4"/>
      <c r="AK90" s="4"/>
      <c r="AL90" s="4"/>
      <c r="AM90" s="4"/>
      <c r="AN90" s="4"/>
    </row>
    <row r="91" ht="15.75" customHeight="1">
      <c r="A91" s="29"/>
      <c r="B91" s="12">
        <v>45621.0</v>
      </c>
      <c r="C91" s="13" t="s">
        <v>30</v>
      </c>
      <c r="D91" s="13" t="s">
        <v>22</v>
      </c>
      <c r="E91" s="55" t="s">
        <v>62</v>
      </c>
      <c r="F91" s="56">
        <v>24.0</v>
      </c>
      <c r="G91" s="16" t="s">
        <v>24</v>
      </c>
      <c r="H91" s="56">
        <v>29.0</v>
      </c>
      <c r="I91" s="55" t="s">
        <v>67</v>
      </c>
      <c r="J91" s="3"/>
      <c r="K91" s="17">
        <f t="shared" si="11"/>
        <v>1</v>
      </c>
      <c r="L91" s="18">
        <f t="shared" si="12"/>
        <v>3</v>
      </c>
      <c r="M91" s="3"/>
      <c r="N91" s="3"/>
      <c r="O91" s="3"/>
      <c r="P91" s="3"/>
      <c r="Q91" s="3"/>
      <c r="R91" s="3"/>
      <c r="S91" s="3"/>
      <c r="T91" s="3"/>
      <c r="U91" s="3"/>
      <c r="V91" s="3"/>
      <c r="AH91" s="47"/>
      <c r="AJ91" s="4"/>
      <c r="AK91" s="4"/>
      <c r="AL91" s="4"/>
      <c r="AM91" s="4"/>
      <c r="AN91" s="4"/>
    </row>
    <row r="92" ht="15.75" customHeight="1">
      <c r="A92" s="29"/>
      <c r="B92" s="12">
        <v>45621.0</v>
      </c>
      <c r="C92" s="13" t="s">
        <v>36</v>
      </c>
      <c r="D92" s="13" t="s">
        <v>22</v>
      </c>
      <c r="E92" s="55" t="s">
        <v>64</v>
      </c>
      <c r="F92" s="56">
        <v>12.0</v>
      </c>
      <c r="G92" s="16" t="s">
        <v>24</v>
      </c>
      <c r="H92" s="56">
        <v>8.0</v>
      </c>
      <c r="I92" s="55" t="s">
        <v>70</v>
      </c>
      <c r="J92" s="3"/>
      <c r="K92" s="17">
        <f t="shared" si="11"/>
        <v>3</v>
      </c>
      <c r="L92" s="18">
        <f t="shared" si="12"/>
        <v>1</v>
      </c>
      <c r="M92" s="3"/>
      <c r="N92" s="3"/>
      <c r="O92" s="3"/>
      <c r="P92" s="3"/>
      <c r="Q92" s="3"/>
      <c r="R92" s="3"/>
      <c r="S92" s="3"/>
      <c r="T92" s="3"/>
      <c r="U92" s="3"/>
      <c r="V92" s="3"/>
      <c r="AJ92" s="4"/>
      <c r="AK92" s="4"/>
      <c r="AL92" s="4"/>
      <c r="AM92" s="4"/>
      <c r="AN92" s="4"/>
    </row>
    <row r="93" ht="15.75" customHeight="1">
      <c r="A93" s="29"/>
      <c r="B93" s="12">
        <v>45621.0</v>
      </c>
      <c r="C93" s="13" t="s">
        <v>41</v>
      </c>
      <c r="D93" s="13" t="s">
        <v>22</v>
      </c>
      <c r="E93" s="55" t="s">
        <v>68</v>
      </c>
      <c r="F93" s="56">
        <v>13.0</v>
      </c>
      <c r="G93" s="16" t="s">
        <v>24</v>
      </c>
      <c r="H93" s="56">
        <v>22.0</v>
      </c>
      <c r="I93" s="55" t="s">
        <v>72</v>
      </c>
      <c r="J93" s="50"/>
      <c r="K93" s="17">
        <f t="shared" si="11"/>
        <v>1</v>
      </c>
      <c r="L93" s="18">
        <f t="shared" si="12"/>
        <v>3</v>
      </c>
      <c r="M93" s="3"/>
      <c r="N93" s="3"/>
      <c r="O93" s="3"/>
      <c r="P93" s="3"/>
      <c r="R93" s="3"/>
      <c r="S93" s="3"/>
      <c r="T93" s="3"/>
      <c r="U93" s="3"/>
      <c r="V93" s="3"/>
      <c r="AE93" s="48"/>
      <c r="AG93" s="48"/>
      <c r="AJ93" s="4"/>
      <c r="AK93" s="4"/>
      <c r="AL93" s="4"/>
      <c r="AM93" s="4"/>
      <c r="AN93" s="4"/>
    </row>
    <row r="94" ht="15.75" customHeight="1">
      <c r="A94" s="29"/>
      <c r="B94" s="12">
        <v>45622.0</v>
      </c>
      <c r="C94" s="13" t="s">
        <v>36</v>
      </c>
      <c r="D94" s="13" t="s">
        <v>22</v>
      </c>
      <c r="E94" s="55" t="s">
        <v>69</v>
      </c>
      <c r="F94" s="56">
        <v>15.0</v>
      </c>
      <c r="G94" s="16" t="s">
        <v>24</v>
      </c>
      <c r="H94" s="56">
        <v>16.0</v>
      </c>
      <c r="I94" s="55" t="s">
        <v>66</v>
      </c>
      <c r="J94" s="3"/>
      <c r="K94" s="17">
        <f t="shared" si="11"/>
        <v>1</v>
      </c>
      <c r="L94" s="18">
        <f t="shared" si="12"/>
        <v>3</v>
      </c>
      <c r="M94" s="3"/>
      <c r="N94" s="3"/>
      <c r="O94" s="3"/>
      <c r="P94" s="3"/>
      <c r="Q94" s="3"/>
      <c r="R94" s="3"/>
      <c r="S94" s="3"/>
      <c r="T94" s="3"/>
      <c r="U94" s="3"/>
      <c r="V94" s="3"/>
      <c r="AG94" s="48"/>
      <c r="AJ94" s="4"/>
      <c r="AK94" s="4"/>
      <c r="AL94" s="4"/>
      <c r="AM94" s="4"/>
      <c r="AN94" s="4"/>
    </row>
    <row r="95" ht="15.75" customHeight="1">
      <c r="A95" s="37"/>
      <c r="B95" s="12">
        <v>45622.0</v>
      </c>
      <c r="C95" s="13" t="s">
        <v>41</v>
      </c>
      <c r="D95" s="13" t="s">
        <v>22</v>
      </c>
      <c r="E95" s="55" t="s">
        <v>73</v>
      </c>
      <c r="F95" s="56">
        <v>21.0</v>
      </c>
      <c r="G95" s="16" t="s">
        <v>24</v>
      </c>
      <c r="H95" s="56">
        <v>18.0</v>
      </c>
      <c r="I95" s="55" t="s">
        <v>71</v>
      </c>
      <c r="J95" s="3"/>
      <c r="K95" s="17">
        <f t="shared" si="11"/>
        <v>3</v>
      </c>
      <c r="L95" s="18">
        <f t="shared" si="12"/>
        <v>1</v>
      </c>
      <c r="M95" s="3"/>
      <c r="N95" s="3"/>
      <c r="O95" s="3"/>
      <c r="P95" s="3"/>
      <c r="Q95" s="3"/>
      <c r="R95" s="3"/>
      <c r="S95" s="3"/>
      <c r="T95" s="3"/>
      <c r="U95" s="3"/>
      <c r="V95" s="3"/>
      <c r="AG95" s="48"/>
      <c r="AJ95" s="4"/>
      <c r="AK95" s="4"/>
      <c r="AL95" s="4"/>
      <c r="AM95" s="4"/>
      <c r="AN95" s="4"/>
    </row>
    <row r="96" ht="15.75" customHeight="1">
      <c r="A96" s="65">
        <v>4.0</v>
      </c>
      <c r="B96" s="54">
        <v>45636.0</v>
      </c>
      <c r="C96" s="13" t="s">
        <v>21</v>
      </c>
      <c r="D96" s="13" t="s">
        <v>22</v>
      </c>
      <c r="E96" s="55" t="s">
        <v>65</v>
      </c>
      <c r="F96" s="56">
        <v>29.0</v>
      </c>
      <c r="G96" s="16" t="s">
        <v>24</v>
      </c>
      <c r="H96" s="56">
        <v>15.0</v>
      </c>
      <c r="I96" s="55" t="s">
        <v>73</v>
      </c>
      <c r="J96" s="3"/>
      <c r="K96" s="17">
        <f t="shared" si="11"/>
        <v>3</v>
      </c>
      <c r="L96" s="18">
        <f t="shared" si="12"/>
        <v>1</v>
      </c>
      <c r="M96" s="3"/>
      <c r="N96" s="3"/>
      <c r="O96" s="3"/>
      <c r="P96" s="3"/>
      <c r="Q96" s="3"/>
      <c r="R96" s="3"/>
      <c r="S96" s="3"/>
      <c r="T96" s="3"/>
      <c r="U96" s="3"/>
      <c r="V96" s="3"/>
      <c r="AG96" s="48"/>
      <c r="AJ96" s="4"/>
      <c r="AK96" s="4"/>
      <c r="AL96" s="4"/>
      <c r="AM96" s="4"/>
      <c r="AN96" s="4"/>
    </row>
    <row r="97" ht="15.75" customHeight="1">
      <c r="A97" s="29"/>
      <c r="B97" s="54">
        <v>45635.0</v>
      </c>
      <c r="C97" s="13" t="s">
        <v>41</v>
      </c>
      <c r="D97" s="13" t="s">
        <v>22</v>
      </c>
      <c r="E97" s="55" t="s">
        <v>67</v>
      </c>
      <c r="F97" s="56">
        <v>31.0</v>
      </c>
      <c r="G97" s="16" t="s">
        <v>24</v>
      </c>
      <c r="H97" s="56">
        <v>26.0</v>
      </c>
      <c r="I97" s="55" t="s">
        <v>63</v>
      </c>
      <c r="J97" s="3"/>
      <c r="K97" s="17">
        <f t="shared" si="11"/>
        <v>3</v>
      </c>
      <c r="L97" s="18">
        <f t="shared" si="12"/>
        <v>1</v>
      </c>
      <c r="M97" s="3"/>
      <c r="N97" s="3"/>
      <c r="O97" s="3"/>
      <c r="P97" s="3"/>
      <c r="Q97" s="3"/>
      <c r="R97" s="3"/>
      <c r="S97" s="3"/>
      <c r="T97" s="3"/>
      <c r="U97" s="3"/>
      <c r="V97" s="3"/>
      <c r="AG97" s="48"/>
      <c r="AJ97" s="4"/>
      <c r="AK97" s="4"/>
      <c r="AL97" s="4"/>
      <c r="AM97" s="4"/>
      <c r="AN97" s="4"/>
    </row>
    <row r="98" ht="15.75" customHeight="1">
      <c r="A98" s="29"/>
      <c r="B98" s="54">
        <v>45637.0</v>
      </c>
      <c r="C98" s="13" t="s">
        <v>36</v>
      </c>
      <c r="D98" s="13" t="s">
        <v>22</v>
      </c>
      <c r="E98" s="55" t="s">
        <v>70</v>
      </c>
      <c r="F98" s="56">
        <v>12.0</v>
      </c>
      <c r="G98" s="16" t="s">
        <v>24</v>
      </c>
      <c r="H98" s="56">
        <v>11.0</v>
      </c>
      <c r="I98" s="55" t="s">
        <v>62</v>
      </c>
      <c r="J98" s="3"/>
      <c r="K98" s="17">
        <f t="shared" si="11"/>
        <v>3</v>
      </c>
      <c r="L98" s="18">
        <f t="shared" si="12"/>
        <v>1</v>
      </c>
      <c r="M98" s="3"/>
      <c r="N98" s="3"/>
      <c r="O98" s="3"/>
      <c r="P98" s="3"/>
      <c r="Q98" s="3"/>
      <c r="R98" s="3"/>
      <c r="S98" s="3"/>
      <c r="T98" s="3"/>
      <c r="U98" s="3"/>
      <c r="V98" s="3"/>
      <c r="AG98" s="48"/>
      <c r="AJ98" s="4"/>
      <c r="AK98" s="4"/>
      <c r="AL98" s="4"/>
      <c r="AM98" s="4"/>
      <c r="AN98" s="4"/>
    </row>
    <row r="99" ht="15.75" customHeight="1">
      <c r="A99" s="29"/>
      <c r="B99" s="54">
        <v>45637.0</v>
      </c>
      <c r="C99" s="13" t="s">
        <v>41</v>
      </c>
      <c r="D99" s="13" t="s">
        <v>22</v>
      </c>
      <c r="E99" s="55" t="s">
        <v>72</v>
      </c>
      <c r="F99" s="56">
        <v>9.0</v>
      </c>
      <c r="G99" s="16" t="s">
        <v>24</v>
      </c>
      <c r="H99" s="56">
        <v>23.0</v>
      </c>
      <c r="I99" s="55" t="s">
        <v>64</v>
      </c>
      <c r="J99" s="3"/>
      <c r="K99" s="17">
        <f t="shared" si="11"/>
        <v>1</v>
      </c>
      <c r="L99" s="18">
        <f t="shared" si="12"/>
        <v>3</v>
      </c>
      <c r="M99" s="3"/>
      <c r="N99" s="3"/>
      <c r="O99" s="3"/>
      <c r="P99" s="3"/>
      <c r="Q99" s="3"/>
      <c r="R99" s="3"/>
      <c r="S99" s="3"/>
      <c r="T99" s="3"/>
      <c r="U99" s="3"/>
      <c r="V99" s="3"/>
      <c r="AG99" s="48"/>
      <c r="AH99" s="4"/>
      <c r="AI99" s="4"/>
      <c r="AJ99" s="4"/>
      <c r="AK99" s="4"/>
      <c r="AL99" s="4"/>
      <c r="AM99" s="4"/>
      <c r="AN99" s="4"/>
    </row>
    <row r="100" ht="15.75" customHeight="1">
      <c r="A100" s="29"/>
      <c r="B100" s="54">
        <v>45637.0</v>
      </c>
      <c r="C100" s="13" t="s">
        <v>21</v>
      </c>
      <c r="D100" s="13" t="s">
        <v>22</v>
      </c>
      <c r="E100" s="55" t="s">
        <v>66</v>
      </c>
      <c r="F100" s="56">
        <v>17.0</v>
      </c>
      <c r="G100" s="16" t="s">
        <v>24</v>
      </c>
      <c r="H100" s="56">
        <v>18.0</v>
      </c>
      <c r="I100" s="55" t="s">
        <v>68</v>
      </c>
      <c r="J100" s="3"/>
      <c r="K100" s="17">
        <f t="shared" si="11"/>
        <v>1</v>
      </c>
      <c r="L100" s="18">
        <f t="shared" si="12"/>
        <v>3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AE100" s="48"/>
      <c r="AF100" s="48"/>
      <c r="AG100" s="48"/>
      <c r="AH100" s="4"/>
      <c r="AI100" s="4"/>
      <c r="AJ100" s="4"/>
      <c r="AK100" s="4"/>
      <c r="AL100" s="4"/>
      <c r="AM100" s="4"/>
      <c r="AN100" s="4"/>
    </row>
    <row r="101" ht="15.75" customHeight="1">
      <c r="A101" s="29"/>
      <c r="B101" s="54">
        <v>45635.0</v>
      </c>
      <c r="C101" s="13" t="s">
        <v>21</v>
      </c>
      <c r="D101" s="13" t="s">
        <v>22</v>
      </c>
      <c r="E101" s="55" t="s">
        <v>71</v>
      </c>
      <c r="F101" s="56">
        <v>10.0</v>
      </c>
      <c r="G101" s="16" t="s">
        <v>24</v>
      </c>
      <c r="H101" s="56">
        <v>22.0</v>
      </c>
      <c r="I101" s="55" t="s">
        <v>69</v>
      </c>
      <c r="J101" s="3"/>
      <c r="K101" s="17">
        <f t="shared" si="11"/>
        <v>1</v>
      </c>
      <c r="L101" s="18">
        <f t="shared" si="12"/>
        <v>3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AE101" s="51"/>
      <c r="AF101" s="66"/>
      <c r="AG101" s="4"/>
      <c r="AH101" s="4"/>
      <c r="AI101" s="4"/>
      <c r="AJ101" s="4"/>
      <c r="AK101" s="4"/>
      <c r="AL101" s="4"/>
      <c r="AM101" s="4"/>
      <c r="AN101" s="4"/>
    </row>
    <row r="102" ht="15.75" customHeight="1">
      <c r="A102" s="64">
        <v>5.0</v>
      </c>
      <c r="B102" s="54">
        <v>45698.0</v>
      </c>
      <c r="C102" s="13" t="s">
        <v>21</v>
      </c>
      <c r="D102" s="13" t="s">
        <v>22</v>
      </c>
      <c r="E102" s="55" t="s">
        <v>65</v>
      </c>
      <c r="F102" s="56">
        <v>35.0</v>
      </c>
      <c r="G102" s="16" t="s">
        <v>24</v>
      </c>
      <c r="H102" s="56">
        <v>24.0</v>
      </c>
      <c r="I102" s="55" t="s">
        <v>67</v>
      </c>
      <c r="J102" s="3"/>
      <c r="K102" s="17">
        <f t="shared" si="11"/>
        <v>3</v>
      </c>
      <c r="L102" s="18">
        <f t="shared" si="12"/>
        <v>1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AE102" s="51"/>
      <c r="AF102" s="66"/>
      <c r="AG102" s="4"/>
      <c r="AH102" s="4"/>
      <c r="AI102" s="4"/>
      <c r="AJ102" s="4"/>
      <c r="AK102" s="4"/>
      <c r="AL102" s="4"/>
      <c r="AM102" s="4"/>
      <c r="AN102" s="4"/>
    </row>
    <row r="103" ht="15.75" customHeight="1">
      <c r="A103" s="29"/>
      <c r="B103" s="54">
        <v>45698.0</v>
      </c>
      <c r="C103" s="13" t="s">
        <v>30</v>
      </c>
      <c r="D103" s="13" t="s">
        <v>22</v>
      </c>
      <c r="E103" s="55" t="s">
        <v>63</v>
      </c>
      <c r="F103" s="56">
        <v>31.0</v>
      </c>
      <c r="G103" s="16" t="s">
        <v>24</v>
      </c>
      <c r="H103" s="56">
        <v>26.0</v>
      </c>
      <c r="I103" s="55" t="s">
        <v>70</v>
      </c>
      <c r="J103" s="3"/>
      <c r="K103" s="17">
        <f t="shared" si="11"/>
        <v>3</v>
      </c>
      <c r="L103" s="18">
        <f t="shared" si="12"/>
        <v>1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AE103" s="51"/>
      <c r="AF103" s="66"/>
      <c r="AG103" s="4"/>
      <c r="AH103" s="4"/>
      <c r="AI103" s="4"/>
      <c r="AJ103" s="4"/>
      <c r="AK103" s="4"/>
      <c r="AL103" s="4"/>
      <c r="AM103" s="4"/>
      <c r="AN103" s="4"/>
    </row>
    <row r="104" ht="15.75" customHeight="1">
      <c r="A104" s="29"/>
      <c r="B104" s="54">
        <v>45698.0</v>
      </c>
      <c r="C104" s="13" t="s">
        <v>36</v>
      </c>
      <c r="D104" s="13" t="s">
        <v>22</v>
      </c>
      <c r="E104" s="55" t="s">
        <v>62</v>
      </c>
      <c r="F104" s="56">
        <v>19.0</v>
      </c>
      <c r="G104" s="16" t="s">
        <v>24</v>
      </c>
      <c r="H104" s="56">
        <v>12.0</v>
      </c>
      <c r="I104" s="55" t="s">
        <v>72</v>
      </c>
      <c r="J104" s="3"/>
      <c r="K104" s="17">
        <f t="shared" si="11"/>
        <v>3</v>
      </c>
      <c r="L104" s="18">
        <f t="shared" si="12"/>
        <v>1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AE104" s="51"/>
      <c r="AF104" s="66"/>
      <c r="AG104" s="4"/>
      <c r="AH104" s="4"/>
      <c r="AI104" s="4"/>
      <c r="AJ104" s="4"/>
      <c r="AK104" s="4"/>
      <c r="AL104" s="4"/>
      <c r="AM104" s="4"/>
      <c r="AN104" s="4"/>
    </row>
    <row r="105" ht="15.75" customHeight="1">
      <c r="A105" s="29"/>
      <c r="B105" s="54">
        <v>45698.0</v>
      </c>
      <c r="C105" s="13" t="s">
        <v>41</v>
      </c>
      <c r="D105" s="13" t="s">
        <v>22</v>
      </c>
      <c r="E105" s="55" t="s">
        <v>64</v>
      </c>
      <c r="F105" s="56">
        <v>10.0</v>
      </c>
      <c r="G105" s="16" t="s">
        <v>24</v>
      </c>
      <c r="H105" s="56">
        <v>12.0</v>
      </c>
      <c r="I105" s="55" t="s">
        <v>66</v>
      </c>
      <c r="J105" s="3"/>
      <c r="K105" s="17">
        <f t="shared" si="11"/>
        <v>1</v>
      </c>
      <c r="L105" s="18">
        <f t="shared" si="12"/>
        <v>3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AE105" s="51"/>
      <c r="AF105" s="66"/>
      <c r="AG105" s="4"/>
      <c r="AH105" s="4"/>
      <c r="AI105" s="4"/>
      <c r="AJ105" s="4"/>
      <c r="AK105" s="4"/>
      <c r="AL105" s="4"/>
      <c r="AM105" s="4"/>
      <c r="AN105" s="4"/>
    </row>
    <row r="106" ht="15.75" customHeight="1">
      <c r="A106" s="29"/>
      <c r="B106" s="54">
        <v>45701.0</v>
      </c>
      <c r="C106" s="13" t="s">
        <v>21</v>
      </c>
      <c r="D106" s="13" t="s">
        <v>22</v>
      </c>
      <c r="E106" s="55" t="s">
        <v>68</v>
      </c>
      <c r="F106" s="56">
        <v>18.0</v>
      </c>
      <c r="G106" s="16" t="s">
        <v>24</v>
      </c>
      <c r="H106" s="56">
        <v>21.0</v>
      </c>
      <c r="I106" s="55" t="s">
        <v>71</v>
      </c>
      <c r="J106" s="3"/>
      <c r="K106" s="17">
        <f t="shared" si="11"/>
        <v>1</v>
      </c>
      <c r="L106" s="18">
        <f t="shared" si="12"/>
        <v>3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AE106" s="51"/>
      <c r="AF106" s="66"/>
      <c r="AG106" s="4"/>
      <c r="AH106" s="4"/>
      <c r="AI106" s="4"/>
      <c r="AJ106" s="4"/>
      <c r="AK106" s="4"/>
      <c r="AL106" s="4"/>
      <c r="AM106" s="4"/>
      <c r="AN106" s="4"/>
    </row>
    <row r="107" ht="15.75" customHeight="1">
      <c r="A107" s="37"/>
      <c r="B107" s="54">
        <v>45701.0</v>
      </c>
      <c r="C107" s="13" t="s">
        <v>30</v>
      </c>
      <c r="D107" s="13" t="s">
        <v>22</v>
      </c>
      <c r="E107" s="55" t="s">
        <v>73</v>
      </c>
      <c r="F107" s="56">
        <v>22.0</v>
      </c>
      <c r="G107" s="16" t="s">
        <v>24</v>
      </c>
      <c r="H107" s="56">
        <v>18.0</v>
      </c>
      <c r="I107" s="55" t="s">
        <v>69</v>
      </c>
      <c r="J107" s="3"/>
      <c r="K107" s="17">
        <f t="shared" si="11"/>
        <v>3</v>
      </c>
      <c r="L107" s="18">
        <f t="shared" si="12"/>
        <v>1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AE107" s="51"/>
      <c r="AF107" s="66"/>
      <c r="AG107" s="4"/>
      <c r="AH107" s="4"/>
      <c r="AI107" s="4"/>
      <c r="AJ107" s="4"/>
      <c r="AK107" s="4"/>
      <c r="AL107" s="4"/>
      <c r="AM107" s="4"/>
      <c r="AN107" s="4"/>
    </row>
    <row r="108" ht="15.75" customHeight="1">
      <c r="A108" s="64">
        <v>6.0</v>
      </c>
      <c r="B108" s="54">
        <v>45707.0</v>
      </c>
      <c r="C108" s="13" t="s">
        <v>21</v>
      </c>
      <c r="D108" s="13" t="s">
        <v>22</v>
      </c>
      <c r="E108" s="55" t="s">
        <v>67</v>
      </c>
      <c r="F108" s="56">
        <v>18.0</v>
      </c>
      <c r="G108" s="16" t="s">
        <v>24</v>
      </c>
      <c r="H108" s="56">
        <v>13.0</v>
      </c>
      <c r="I108" s="55" t="s">
        <v>73</v>
      </c>
      <c r="J108" s="3"/>
      <c r="K108" s="17">
        <f t="shared" si="11"/>
        <v>3</v>
      </c>
      <c r="L108" s="18">
        <f t="shared" si="12"/>
        <v>1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AE108" s="51"/>
      <c r="AF108" s="66"/>
      <c r="AG108" s="4"/>
      <c r="AH108" s="4"/>
      <c r="AI108" s="4"/>
      <c r="AJ108" s="4"/>
      <c r="AK108" s="4"/>
      <c r="AL108" s="4"/>
      <c r="AM108" s="4"/>
      <c r="AN108" s="4"/>
    </row>
    <row r="109" ht="15.75" customHeight="1">
      <c r="A109" s="29"/>
      <c r="B109" s="54">
        <v>45707.0</v>
      </c>
      <c r="C109" s="13" t="s">
        <v>30</v>
      </c>
      <c r="D109" s="13" t="s">
        <v>22</v>
      </c>
      <c r="E109" s="55" t="s">
        <v>70</v>
      </c>
      <c r="F109" s="56">
        <v>10.0</v>
      </c>
      <c r="G109" s="16" t="s">
        <v>24</v>
      </c>
      <c r="H109" s="56">
        <v>30.0</v>
      </c>
      <c r="I109" s="55" t="s">
        <v>65</v>
      </c>
      <c r="J109" s="3"/>
      <c r="K109" s="17">
        <f t="shared" si="11"/>
        <v>1</v>
      </c>
      <c r="L109" s="18">
        <f t="shared" si="12"/>
        <v>3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AE109" s="51"/>
      <c r="AF109" s="66"/>
      <c r="AG109" s="4"/>
      <c r="AH109" s="4"/>
      <c r="AI109" s="4"/>
      <c r="AJ109" s="4"/>
      <c r="AK109" s="4"/>
      <c r="AL109" s="4"/>
      <c r="AM109" s="4"/>
      <c r="AN109" s="4"/>
    </row>
    <row r="110" ht="15.75" customHeight="1">
      <c r="A110" s="29"/>
      <c r="B110" s="54">
        <v>45707.0</v>
      </c>
      <c r="C110" s="13" t="s">
        <v>36</v>
      </c>
      <c r="D110" s="13" t="s">
        <v>22</v>
      </c>
      <c r="E110" s="55" t="s">
        <v>72</v>
      </c>
      <c r="F110" s="56">
        <v>18.0</v>
      </c>
      <c r="G110" s="16" t="s">
        <v>24</v>
      </c>
      <c r="H110" s="56">
        <v>24.0</v>
      </c>
      <c r="I110" s="55" t="s">
        <v>63</v>
      </c>
      <c r="J110" s="3"/>
      <c r="K110" s="17">
        <f t="shared" si="11"/>
        <v>1</v>
      </c>
      <c r="L110" s="18">
        <f t="shared" si="12"/>
        <v>3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AE110" s="51"/>
      <c r="AF110" s="66"/>
      <c r="AG110" s="4"/>
      <c r="AH110" s="4"/>
      <c r="AI110" s="4"/>
      <c r="AJ110" s="4"/>
      <c r="AK110" s="4"/>
      <c r="AL110" s="4"/>
      <c r="AM110" s="4"/>
      <c r="AN110" s="4"/>
    </row>
    <row r="111" ht="15.75" customHeight="1">
      <c r="A111" s="29"/>
      <c r="B111" s="54">
        <v>45707.0</v>
      </c>
      <c r="C111" s="13" t="s">
        <v>41</v>
      </c>
      <c r="D111" s="13" t="s">
        <v>22</v>
      </c>
      <c r="E111" s="55" t="s">
        <v>66</v>
      </c>
      <c r="F111" s="56">
        <v>17.0</v>
      </c>
      <c r="G111" s="16" t="s">
        <v>24</v>
      </c>
      <c r="H111" s="56">
        <v>14.0</v>
      </c>
      <c r="I111" s="55" t="s">
        <v>62</v>
      </c>
      <c r="J111" s="3"/>
      <c r="K111" s="17">
        <f t="shared" si="11"/>
        <v>3</v>
      </c>
      <c r="L111" s="18">
        <f t="shared" si="12"/>
        <v>1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AE111" s="51"/>
      <c r="AF111" s="66"/>
      <c r="AG111" s="4"/>
      <c r="AH111" s="4"/>
      <c r="AI111" s="4"/>
      <c r="AJ111" s="4"/>
      <c r="AK111" s="4"/>
      <c r="AL111" s="4"/>
      <c r="AM111" s="4"/>
      <c r="AN111" s="4"/>
    </row>
    <row r="112" ht="15.75" customHeight="1">
      <c r="A112" s="29"/>
      <c r="B112" s="54">
        <v>45712.0</v>
      </c>
      <c r="C112" s="13" t="s">
        <v>54</v>
      </c>
      <c r="D112" s="13" t="s">
        <v>22</v>
      </c>
      <c r="E112" s="55" t="s">
        <v>71</v>
      </c>
      <c r="F112" s="56">
        <v>16.0</v>
      </c>
      <c r="G112" s="16" t="s">
        <v>24</v>
      </c>
      <c r="H112" s="56">
        <v>13.0</v>
      </c>
      <c r="I112" s="55" t="s">
        <v>64</v>
      </c>
      <c r="J112" s="3"/>
      <c r="K112" s="17">
        <f t="shared" si="11"/>
        <v>3</v>
      </c>
      <c r="L112" s="18">
        <f t="shared" si="12"/>
        <v>1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AE112" s="51"/>
      <c r="AF112" s="66"/>
      <c r="AG112" s="4"/>
      <c r="AH112" s="4"/>
      <c r="AI112" s="4"/>
      <c r="AJ112" s="4"/>
      <c r="AK112" s="4"/>
      <c r="AL112" s="4"/>
      <c r="AM112" s="4"/>
      <c r="AN112" s="4"/>
    </row>
    <row r="113" ht="15.75" customHeight="1">
      <c r="A113" s="37"/>
      <c r="B113" s="54">
        <v>45712.0</v>
      </c>
      <c r="C113" s="13" t="s">
        <v>55</v>
      </c>
      <c r="D113" s="13" t="s">
        <v>22</v>
      </c>
      <c r="E113" s="55" t="s">
        <v>69</v>
      </c>
      <c r="F113" s="56">
        <v>22.0</v>
      </c>
      <c r="G113" s="16" t="s">
        <v>24</v>
      </c>
      <c r="H113" s="56">
        <v>18.0</v>
      </c>
      <c r="I113" s="55" t="s">
        <v>68</v>
      </c>
      <c r="J113" s="3"/>
      <c r="K113" s="17">
        <f t="shared" si="11"/>
        <v>3</v>
      </c>
      <c r="L113" s="18">
        <f t="shared" si="12"/>
        <v>1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AE113" s="51"/>
      <c r="AF113" s="66"/>
      <c r="AG113" s="4"/>
      <c r="AH113" s="4"/>
      <c r="AI113" s="4"/>
      <c r="AJ113" s="4"/>
      <c r="AK113" s="4"/>
      <c r="AL113" s="4"/>
      <c r="AM113" s="4"/>
      <c r="AN113" s="4"/>
    </row>
    <row r="114" ht="15.75" customHeight="1">
      <c r="A114" s="64">
        <v>7.0</v>
      </c>
      <c r="B114" s="54">
        <v>45721.0</v>
      </c>
      <c r="C114" s="13" t="s">
        <v>56</v>
      </c>
      <c r="D114" s="13" t="s">
        <v>22</v>
      </c>
      <c r="E114" s="55" t="s">
        <v>67</v>
      </c>
      <c r="F114" s="56">
        <v>27.0</v>
      </c>
      <c r="G114" s="16" t="s">
        <v>24</v>
      </c>
      <c r="H114" s="56">
        <v>16.0</v>
      </c>
      <c r="I114" s="55" t="s">
        <v>70</v>
      </c>
      <c r="J114" s="3"/>
      <c r="K114" s="17">
        <f t="shared" si="11"/>
        <v>3</v>
      </c>
      <c r="L114" s="18">
        <f t="shared" si="12"/>
        <v>1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AE114" s="51"/>
      <c r="AF114" s="66"/>
      <c r="AG114" s="4"/>
      <c r="AH114" s="4"/>
      <c r="AI114" s="4"/>
      <c r="AJ114" s="4"/>
      <c r="AK114" s="4"/>
      <c r="AL114" s="4"/>
      <c r="AM114" s="4"/>
      <c r="AN114" s="4"/>
    </row>
    <row r="115" ht="15.75" customHeight="1">
      <c r="A115" s="29"/>
      <c r="B115" s="54">
        <v>45721.0</v>
      </c>
      <c r="C115" s="13" t="s">
        <v>57</v>
      </c>
      <c r="D115" s="13" t="s">
        <v>22</v>
      </c>
      <c r="E115" s="55" t="s">
        <v>65</v>
      </c>
      <c r="F115" s="56">
        <v>30.0</v>
      </c>
      <c r="G115" s="16" t="s">
        <v>24</v>
      </c>
      <c r="H115" s="56">
        <v>15.0</v>
      </c>
      <c r="I115" s="55" t="s">
        <v>72</v>
      </c>
      <c r="J115" s="3"/>
      <c r="K115" s="17">
        <f t="shared" si="11"/>
        <v>3</v>
      </c>
      <c r="L115" s="18">
        <f t="shared" si="12"/>
        <v>1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AE115" s="51"/>
      <c r="AF115" s="66"/>
      <c r="AG115" s="4"/>
      <c r="AH115" s="4"/>
      <c r="AI115" s="4"/>
      <c r="AJ115" s="4"/>
      <c r="AK115" s="4"/>
      <c r="AL115" s="4"/>
      <c r="AM115" s="4"/>
      <c r="AN115" s="4"/>
    </row>
    <row r="116" ht="15.75" customHeight="1">
      <c r="A116" s="29"/>
      <c r="B116" s="54">
        <v>45722.0</v>
      </c>
      <c r="C116" s="13" t="s">
        <v>21</v>
      </c>
      <c r="D116" s="49" t="s">
        <v>22</v>
      </c>
      <c r="E116" s="67" t="s">
        <v>63</v>
      </c>
      <c r="F116" s="56">
        <v>0.0</v>
      </c>
      <c r="G116" s="16" t="s">
        <v>24</v>
      </c>
      <c r="H116" s="56">
        <v>15.0</v>
      </c>
      <c r="I116" s="55" t="s">
        <v>66</v>
      </c>
      <c r="J116" s="3"/>
      <c r="K116" s="17">
        <f t="shared" si="11"/>
        <v>1</v>
      </c>
      <c r="L116" s="18">
        <f t="shared" si="12"/>
        <v>3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AE116" s="51"/>
      <c r="AF116" s="66"/>
      <c r="AG116" s="4"/>
      <c r="AH116" s="4"/>
      <c r="AI116" s="4"/>
      <c r="AJ116" s="4"/>
      <c r="AK116" s="4"/>
      <c r="AL116" s="4"/>
      <c r="AM116" s="4"/>
      <c r="AN116" s="4"/>
    </row>
    <row r="117" ht="15.75" customHeight="1">
      <c r="A117" s="29"/>
      <c r="B117" s="54">
        <v>45722.0</v>
      </c>
      <c r="C117" s="13" t="s">
        <v>30</v>
      </c>
      <c r="D117" s="13" t="s">
        <v>22</v>
      </c>
      <c r="E117" s="55" t="s">
        <v>62</v>
      </c>
      <c r="F117" s="56">
        <v>22.0</v>
      </c>
      <c r="G117" s="16" t="s">
        <v>24</v>
      </c>
      <c r="H117" s="56">
        <v>21.0</v>
      </c>
      <c r="I117" s="55" t="s">
        <v>71</v>
      </c>
      <c r="J117" s="3"/>
      <c r="K117" s="17">
        <f t="shared" si="11"/>
        <v>3</v>
      </c>
      <c r="L117" s="18">
        <f t="shared" si="12"/>
        <v>1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AE117" s="51"/>
      <c r="AF117" s="66"/>
      <c r="AG117" s="4"/>
      <c r="AH117" s="4"/>
      <c r="AI117" s="4"/>
      <c r="AJ117" s="4"/>
      <c r="AK117" s="4"/>
      <c r="AL117" s="4"/>
      <c r="AM117" s="4"/>
      <c r="AN117" s="4"/>
    </row>
    <row r="118" ht="15.75" customHeight="1">
      <c r="A118" s="29"/>
      <c r="B118" s="54">
        <v>45722.0</v>
      </c>
      <c r="C118" s="13" t="s">
        <v>36</v>
      </c>
      <c r="D118" s="13" t="s">
        <v>22</v>
      </c>
      <c r="E118" s="55" t="s">
        <v>64</v>
      </c>
      <c r="F118" s="56">
        <v>15.0</v>
      </c>
      <c r="G118" s="16" t="s">
        <v>24</v>
      </c>
      <c r="H118" s="56">
        <v>17.0</v>
      </c>
      <c r="I118" s="55" t="s">
        <v>69</v>
      </c>
      <c r="J118" s="3"/>
      <c r="K118" s="17">
        <f t="shared" si="11"/>
        <v>1</v>
      </c>
      <c r="L118" s="18">
        <f t="shared" si="12"/>
        <v>3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AE118" s="51"/>
      <c r="AF118" s="66"/>
      <c r="AG118" s="4"/>
      <c r="AH118" s="4"/>
      <c r="AI118" s="4"/>
      <c r="AJ118" s="4"/>
      <c r="AK118" s="4"/>
      <c r="AL118" s="4"/>
      <c r="AM118" s="4"/>
      <c r="AN118" s="4"/>
    </row>
    <row r="119" ht="15.75" customHeight="1">
      <c r="A119" s="37"/>
      <c r="B119" s="68"/>
      <c r="C119" s="49"/>
      <c r="D119" s="49"/>
      <c r="E119" s="55" t="s">
        <v>73</v>
      </c>
      <c r="F119" s="56"/>
      <c r="G119" s="69" t="s">
        <v>24</v>
      </c>
      <c r="H119" s="56"/>
      <c r="I119" s="55" t="s">
        <v>68</v>
      </c>
      <c r="J119" s="3"/>
      <c r="K119" s="17" t="str">
        <f t="shared" si="11"/>
        <v/>
      </c>
      <c r="L119" s="18" t="str">
        <f t="shared" si="12"/>
        <v/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AE119" s="51"/>
      <c r="AF119" s="66"/>
      <c r="AG119" s="4"/>
      <c r="AH119" s="4"/>
      <c r="AI119" s="4"/>
      <c r="AJ119" s="4"/>
      <c r="AK119" s="4"/>
      <c r="AL119" s="4"/>
      <c r="AM119" s="4"/>
      <c r="AN119" s="4"/>
    </row>
    <row r="120" ht="15.75" customHeight="1">
      <c r="A120" s="64">
        <v>8.0</v>
      </c>
      <c r="B120" s="54">
        <v>45732.0</v>
      </c>
      <c r="C120" s="13" t="s">
        <v>51</v>
      </c>
      <c r="D120" s="13" t="s">
        <v>22</v>
      </c>
      <c r="E120" s="55" t="s">
        <v>70</v>
      </c>
      <c r="F120" s="56">
        <v>13.0</v>
      </c>
      <c r="G120" s="69" t="s">
        <v>24</v>
      </c>
      <c r="H120" s="56">
        <v>15.0</v>
      </c>
      <c r="I120" s="55" t="s">
        <v>73</v>
      </c>
      <c r="J120" s="3"/>
      <c r="K120" s="17">
        <f t="shared" si="11"/>
        <v>1</v>
      </c>
      <c r="L120" s="18">
        <f t="shared" si="12"/>
        <v>3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AE120" s="51"/>
      <c r="AF120" s="66"/>
      <c r="AG120" s="4"/>
      <c r="AH120" s="4"/>
      <c r="AI120" s="4"/>
      <c r="AJ120" s="4"/>
      <c r="AK120" s="4"/>
      <c r="AL120" s="4"/>
      <c r="AM120" s="4"/>
      <c r="AN120" s="4"/>
    </row>
    <row r="121" ht="15.75" customHeight="1">
      <c r="A121" s="29"/>
      <c r="B121" s="54">
        <v>45732.0</v>
      </c>
      <c r="C121" s="13" t="s">
        <v>53</v>
      </c>
      <c r="D121" s="13" t="s">
        <v>22</v>
      </c>
      <c r="E121" s="55" t="s">
        <v>72</v>
      </c>
      <c r="F121" s="56">
        <v>10.0</v>
      </c>
      <c r="G121" s="16" t="s">
        <v>24</v>
      </c>
      <c r="H121" s="56">
        <v>28.0</v>
      </c>
      <c r="I121" s="55" t="s">
        <v>67</v>
      </c>
      <c r="J121" s="3"/>
      <c r="K121" s="17">
        <f t="shared" si="11"/>
        <v>1</v>
      </c>
      <c r="L121" s="18">
        <f t="shared" si="12"/>
        <v>3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AE121" s="51"/>
      <c r="AF121" s="66"/>
      <c r="AG121" s="4"/>
      <c r="AH121" s="4"/>
      <c r="AI121" s="4"/>
      <c r="AJ121" s="4"/>
      <c r="AK121" s="4"/>
      <c r="AL121" s="4"/>
      <c r="AM121" s="4"/>
      <c r="AN121" s="4"/>
    </row>
    <row r="122" ht="15.75" customHeight="1">
      <c r="A122" s="29"/>
      <c r="B122" s="54">
        <v>45732.0</v>
      </c>
      <c r="C122" s="13" t="s">
        <v>54</v>
      </c>
      <c r="D122" s="13" t="s">
        <v>22</v>
      </c>
      <c r="E122" s="55" t="s">
        <v>66</v>
      </c>
      <c r="F122" s="56">
        <v>6.0</v>
      </c>
      <c r="G122" s="16" t="s">
        <v>24</v>
      </c>
      <c r="H122" s="56">
        <v>19.0</v>
      </c>
      <c r="I122" s="55" t="s">
        <v>65</v>
      </c>
      <c r="J122" s="3"/>
      <c r="K122" s="17">
        <f t="shared" si="11"/>
        <v>1</v>
      </c>
      <c r="L122" s="18">
        <f t="shared" si="12"/>
        <v>3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AE122" s="51"/>
      <c r="AF122" s="66"/>
      <c r="AG122" s="4"/>
      <c r="AH122" s="4"/>
      <c r="AI122" s="4"/>
      <c r="AJ122" s="4"/>
      <c r="AK122" s="4"/>
      <c r="AL122" s="4"/>
      <c r="AM122" s="4"/>
      <c r="AN122" s="4"/>
    </row>
    <row r="123" ht="15.75" customHeight="1">
      <c r="A123" s="29"/>
      <c r="B123" s="54">
        <v>45732.0</v>
      </c>
      <c r="C123" s="49" t="s">
        <v>55</v>
      </c>
      <c r="D123" s="13" t="s">
        <v>22</v>
      </c>
      <c r="E123" s="55" t="s">
        <v>71</v>
      </c>
      <c r="F123" s="56">
        <v>20.0</v>
      </c>
      <c r="G123" s="16" t="s">
        <v>24</v>
      </c>
      <c r="H123" s="56">
        <v>25.0</v>
      </c>
      <c r="I123" s="55" t="s">
        <v>63</v>
      </c>
      <c r="K123" s="17">
        <f t="shared" si="11"/>
        <v>1</v>
      </c>
      <c r="L123" s="18">
        <f t="shared" si="12"/>
        <v>3</v>
      </c>
      <c r="AE123" s="4"/>
      <c r="AF123" s="2"/>
      <c r="AG123" s="4"/>
      <c r="AH123" s="4"/>
      <c r="AI123" s="4"/>
      <c r="AJ123" s="4"/>
      <c r="AK123" s="4"/>
      <c r="AL123" s="4"/>
      <c r="AM123" s="4"/>
      <c r="AN123" s="4"/>
    </row>
    <row r="124" ht="15.75" customHeight="1">
      <c r="A124" s="29"/>
      <c r="B124" s="54">
        <v>45732.0</v>
      </c>
      <c r="C124" s="13" t="s">
        <v>56</v>
      </c>
      <c r="D124" s="13" t="s">
        <v>22</v>
      </c>
      <c r="E124" s="55" t="s">
        <v>69</v>
      </c>
      <c r="F124" s="56">
        <v>18.0</v>
      </c>
      <c r="G124" s="16" t="s">
        <v>24</v>
      </c>
      <c r="H124" s="56">
        <v>24.0</v>
      </c>
      <c r="I124" s="55" t="s">
        <v>62</v>
      </c>
      <c r="K124" s="17">
        <f t="shared" si="11"/>
        <v>1</v>
      </c>
      <c r="L124" s="18">
        <f t="shared" si="12"/>
        <v>3</v>
      </c>
      <c r="AE124" s="4"/>
      <c r="AF124" s="2"/>
      <c r="AG124" s="4"/>
      <c r="AH124" s="4"/>
      <c r="AI124" s="4"/>
      <c r="AJ124" s="4"/>
      <c r="AK124" s="4"/>
      <c r="AL124" s="4"/>
      <c r="AM124" s="4"/>
      <c r="AN124" s="4"/>
    </row>
    <row r="125" ht="15.75" customHeight="1">
      <c r="A125" s="37"/>
      <c r="B125" s="54">
        <v>45732.0</v>
      </c>
      <c r="C125" s="13" t="s">
        <v>57</v>
      </c>
      <c r="D125" s="13" t="s">
        <v>22</v>
      </c>
      <c r="E125" s="55" t="s">
        <v>68</v>
      </c>
      <c r="F125" s="56">
        <v>14.0</v>
      </c>
      <c r="G125" s="16" t="s">
        <v>24</v>
      </c>
      <c r="H125" s="56">
        <v>23.0</v>
      </c>
      <c r="I125" s="55" t="s">
        <v>64</v>
      </c>
      <c r="K125" s="17">
        <f t="shared" si="11"/>
        <v>1</v>
      </c>
      <c r="L125" s="18">
        <f t="shared" si="12"/>
        <v>3</v>
      </c>
      <c r="AE125" s="4"/>
      <c r="AF125" s="2"/>
      <c r="AG125" s="4"/>
      <c r="AH125" s="4"/>
      <c r="AI125" s="4"/>
      <c r="AJ125" s="4"/>
      <c r="AK125" s="4"/>
      <c r="AL125" s="4"/>
      <c r="AM125" s="4"/>
      <c r="AN125" s="4"/>
    </row>
    <row r="126" ht="15.75" customHeight="1">
      <c r="A126" s="64">
        <v>9.0</v>
      </c>
      <c r="B126" s="54">
        <v>45750.0</v>
      </c>
      <c r="C126" s="13" t="s">
        <v>41</v>
      </c>
      <c r="D126" s="13" t="s">
        <v>22</v>
      </c>
      <c r="E126" s="55" t="s">
        <v>70</v>
      </c>
      <c r="F126" s="13">
        <v>16.0</v>
      </c>
      <c r="G126" s="69" t="s">
        <v>24</v>
      </c>
      <c r="H126" s="56">
        <v>13.0</v>
      </c>
      <c r="I126" s="55" t="s">
        <v>72</v>
      </c>
      <c r="K126" s="17">
        <f t="shared" si="11"/>
        <v>3</v>
      </c>
      <c r="L126" s="18">
        <f t="shared" si="12"/>
        <v>1</v>
      </c>
      <c r="AE126" s="4"/>
      <c r="AF126" s="2"/>
      <c r="AG126" s="4"/>
      <c r="AH126" s="4"/>
      <c r="AI126" s="4"/>
      <c r="AJ126" s="4"/>
      <c r="AK126" s="4"/>
      <c r="AL126" s="4"/>
      <c r="AM126" s="4"/>
      <c r="AN126" s="4"/>
    </row>
    <row r="127" ht="15.75" customHeight="1">
      <c r="A127" s="29"/>
      <c r="B127" s="54">
        <v>45749.0</v>
      </c>
      <c r="C127" s="13" t="s">
        <v>21</v>
      </c>
      <c r="D127" s="13" t="s">
        <v>22</v>
      </c>
      <c r="E127" s="55" t="s">
        <v>67</v>
      </c>
      <c r="F127" s="13">
        <v>26.0</v>
      </c>
      <c r="G127" s="16" t="s">
        <v>24</v>
      </c>
      <c r="H127" s="56">
        <v>19.0</v>
      </c>
      <c r="I127" s="55" t="s">
        <v>66</v>
      </c>
      <c r="K127" s="17">
        <f t="shared" si="11"/>
        <v>3</v>
      </c>
      <c r="L127" s="18">
        <f t="shared" si="12"/>
        <v>1</v>
      </c>
      <c r="AE127" s="4"/>
      <c r="AF127" s="2"/>
      <c r="AG127" s="4"/>
      <c r="AH127" s="4"/>
      <c r="AI127" s="4"/>
      <c r="AJ127" s="4"/>
      <c r="AK127" s="4"/>
      <c r="AL127" s="4"/>
      <c r="AM127" s="4"/>
      <c r="AN127" s="4"/>
    </row>
    <row r="128" ht="15.75" customHeight="1">
      <c r="A128" s="29"/>
      <c r="B128" s="54">
        <v>45750.0</v>
      </c>
      <c r="C128" s="13" t="s">
        <v>21</v>
      </c>
      <c r="D128" s="13" t="s">
        <v>22</v>
      </c>
      <c r="E128" s="55" t="s">
        <v>65</v>
      </c>
      <c r="F128" s="13">
        <v>15.0</v>
      </c>
      <c r="G128" s="16" t="s">
        <v>24</v>
      </c>
      <c r="H128" s="56">
        <v>0.0</v>
      </c>
      <c r="I128" s="55" t="s">
        <v>71</v>
      </c>
      <c r="K128" s="17">
        <f t="shared" si="11"/>
        <v>3</v>
      </c>
      <c r="L128" s="18">
        <f t="shared" si="12"/>
        <v>1</v>
      </c>
      <c r="AE128" s="4"/>
      <c r="AF128" s="2"/>
      <c r="AG128" s="4"/>
      <c r="AH128" s="4"/>
      <c r="AI128" s="4"/>
      <c r="AJ128" s="4"/>
      <c r="AK128" s="4"/>
      <c r="AL128" s="4"/>
      <c r="AM128" s="4"/>
      <c r="AN128" s="4"/>
    </row>
    <row r="129" ht="15.75" customHeight="1">
      <c r="A129" s="29"/>
      <c r="B129" s="54">
        <v>45750.0</v>
      </c>
      <c r="C129" s="13" t="s">
        <v>30</v>
      </c>
      <c r="D129" s="13" t="s">
        <v>22</v>
      </c>
      <c r="E129" s="55" t="s">
        <v>63</v>
      </c>
      <c r="F129" s="13">
        <v>32.0</v>
      </c>
      <c r="G129" s="16" t="s">
        <v>24</v>
      </c>
      <c r="H129" s="56">
        <v>31.0</v>
      </c>
      <c r="I129" s="55" t="s">
        <v>69</v>
      </c>
      <c r="K129" s="17">
        <f t="shared" si="11"/>
        <v>3</v>
      </c>
      <c r="L129" s="18">
        <f t="shared" si="12"/>
        <v>1</v>
      </c>
      <c r="AE129" s="4"/>
      <c r="AF129" s="2"/>
      <c r="AG129" s="4"/>
      <c r="AH129" s="4"/>
      <c r="AI129" s="4"/>
      <c r="AJ129" s="4"/>
      <c r="AK129" s="4"/>
      <c r="AL129" s="4"/>
      <c r="AM129" s="4"/>
      <c r="AN129" s="4"/>
    </row>
    <row r="130" ht="15.75" customHeight="1">
      <c r="A130" s="29"/>
      <c r="B130" s="54">
        <v>45750.0</v>
      </c>
      <c r="C130" s="13" t="s">
        <v>36</v>
      </c>
      <c r="D130" s="13" t="s">
        <v>22</v>
      </c>
      <c r="E130" s="55" t="s">
        <v>62</v>
      </c>
      <c r="F130" s="13">
        <v>20.0</v>
      </c>
      <c r="G130" s="16" t="s">
        <v>24</v>
      </c>
      <c r="H130" s="56">
        <v>11.0</v>
      </c>
      <c r="I130" s="55" t="s">
        <v>68</v>
      </c>
      <c r="K130" s="17">
        <f t="shared" si="11"/>
        <v>3</v>
      </c>
      <c r="L130" s="18">
        <f t="shared" si="12"/>
        <v>1</v>
      </c>
      <c r="AE130" s="4"/>
      <c r="AF130" s="2"/>
      <c r="AG130" s="4"/>
      <c r="AH130" s="4"/>
      <c r="AI130" s="4"/>
      <c r="AJ130" s="4"/>
      <c r="AK130" s="4"/>
      <c r="AL130" s="4"/>
      <c r="AM130" s="4"/>
      <c r="AN130" s="4"/>
    </row>
    <row r="131" ht="15.75" customHeight="1">
      <c r="A131" s="37"/>
      <c r="B131" s="54">
        <v>45749.0</v>
      </c>
      <c r="C131" s="13" t="s">
        <v>30</v>
      </c>
      <c r="D131" s="13" t="s">
        <v>22</v>
      </c>
      <c r="E131" s="55" t="s">
        <v>73</v>
      </c>
      <c r="F131" s="13">
        <v>23.0</v>
      </c>
      <c r="G131" s="16" t="s">
        <v>24</v>
      </c>
      <c r="H131" s="56">
        <v>15.0</v>
      </c>
      <c r="I131" s="55" t="s">
        <v>64</v>
      </c>
      <c r="K131" s="17">
        <f t="shared" si="11"/>
        <v>3</v>
      </c>
      <c r="L131" s="18">
        <f t="shared" si="12"/>
        <v>1</v>
      </c>
      <c r="AE131" s="4"/>
      <c r="AF131" s="2"/>
      <c r="AG131" s="4"/>
      <c r="AH131" s="4"/>
      <c r="AI131" s="4"/>
      <c r="AJ131" s="4"/>
      <c r="AK131" s="4"/>
      <c r="AL131" s="4"/>
      <c r="AM131" s="4"/>
      <c r="AN131" s="4"/>
    </row>
    <row r="132" ht="15.75" customHeight="1">
      <c r="A132" s="64">
        <v>10.0</v>
      </c>
      <c r="B132" s="54">
        <v>45762.0</v>
      </c>
      <c r="C132" s="13" t="s">
        <v>36</v>
      </c>
      <c r="D132" s="13" t="s">
        <v>22</v>
      </c>
      <c r="E132" s="55" t="s">
        <v>73</v>
      </c>
      <c r="F132" s="56">
        <v>15.0</v>
      </c>
      <c r="G132" s="69" t="s">
        <v>24</v>
      </c>
      <c r="H132" s="56">
        <v>11.0</v>
      </c>
      <c r="I132" s="55" t="s">
        <v>72</v>
      </c>
      <c r="K132" s="17">
        <f t="shared" si="11"/>
        <v>3</v>
      </c>
      <c r="L132" s="18">
        <f t="shared" si="12"/>
        <v>1</v>
      </c>
      <c r="AE132" s="4"/>
      <c r="AF132" s="2"/>
      <c r="AG132" s="4"/>
      <c r="AH132" s="4"/>
      <c r="AI132" s="4"/>
      <c r="AJ132" s="4"/>
      <c r="AK132" s="4"/>
      <c r="AL132" s="4"/>
      <c r="AM132" s="4"/>
      <c r="AN132" s="4"/>
    </row>
    <row r="133" ht="15.75" customHeight="1">
      <c r="A133" s="29"/>
      <c r="B133" s="54">
        <v>45762.0</v>
      </c>
      <c r="C133" s="13" t="s">
        <v>41</v>
      </c>
      <c r="D133" s="13" t="s">
        <v>22</v>
      </c>
      <c r="E133" s="55" t="s">
        <v>66</v>
      </c>
      <c r="F133" s="56">
        <v>12.0</v>
      </c>
      <c r="G133" s="16" t="s">
        <v>24</v>
      </c>
      <c r="H133" s="56">
        <v>15.0</v>
      </c>
      <c r="I133" s="55" t="s">
        <v>70</v>
      </c>
      <c r="K133" s="17">
        <f t="shared" si="11"/>
        <v>1</v>
      </c>
      <c r="L133" s="18">
        <f t="shared" si="12"/>
        <v>3</v>
      </c>
      <c r="AE133" s="4"/>
      <c r="AF133" s="2"/>
      <c r="AG133" s="4"/>
      <c r="AH133" s="4"/>
      <c r="AI133" s="4"/>
      <c r="AJ133" s="4"/>
      <c r="AK133" s="4"/>
      <c r="AL133" s="4"/>
      <c r="AM133" s="4"/>
      <c r="AN133" s="4"/>
    </row>
    <row r="134" ht="15.75" customHeight="1">
      <c r="A134" s="29"/>
      <c r="B134" s="54">
        <v>45763.0</v>
      </c>
      <c r="C134" s="13" t="s">
        <v>75</v>
      </c>
      <c r="D134" s="13" t="s">
        <v>22</v>
      </c>
      <c r="E134" s="55" t="s">
        <v>71</v>
      </c>
      <c r="F134" s="13">
        <v>21.0</v>
      </c>
      <c r="G134" s="16" t="s">
        <v>24</v>
      </c>
      <c r="H134" s="56">
        <v>31.0</v>
      </c>
      <c r="I134" s="55" t="s">
        <v>67</v>
      </c>
      <c r="K134" s="17">
        <f t="shared" si="11"/>
        <v>1</v>
      </c>
      <c r="L134" s="18">
        <f t="shared" si="12"/>
        <v>3</v>
      </c>
      <c r="AE134" s="4"/>
      <c r="AF134" s="2"/>
      <c r="AG134" s="4"/>
      <c r="AH134" s="4"/>
      <c r="AI134" s="4"/>
      <c r="AJ134" s="4"/>
      <c r="AK134" s="4"/>
      <c r="AL134" s="4"/>
      <c r="AM134" s="4"/>
      <c r="AN134" s="4"/>
    </row>
    <row r="135" ht="15.75" customHeight="1">
      <c r="A135" s="29"/>
      <c r="B135" s="54">
        <v>45763.0</v>
      </c>
      <c r="C135" s="13" t="s">
        <v>76</v>
      </c>
      <c r="D135" s="13" t="s">
        <v>22</v>
      </c>
      <c r="E135" s="55" t="s">
        <v>69</v>
      </c>
      <c r="F135" s="13">
        <v>17.0</v>
      </c>
      <c r="G135" s="16" t="s">
        <v>24</v>
      </c>
      <c r="H135" s="56">
        <v>26.0</v>
      </c>
      <c r="I135" s="55" t="s">
        <v>65</v>
      </c>
      <c r="K135" s="17">
        <f t="shared" si="11"/>
        <v>1</v>
      </c>
      <c r="L135" s="18">
        <f t="shared" si="12"/>
        <v>3</v>
      </c>
      <c r="AE135" s="4"/>
      <c r="AF135" s="2"/>
      <c r="AG135" s="4"/>
      <c r="AH135" s="4"/>
      <c r="AI135" s="4"/>
      <c r="AJ135" s="4"/>
      <c r="AK135" s="4"/>
      <c r="AL135" s="4"/>
      <c r="AM135" s="4"/>
      <c r="AN135" s="4"/>
    </row>
    <row r="136" ht="15.75" customHeight="1">
      <c r="A136" s="29"/>
      <c r="B136" s="54">
        <v>45763.0</v>
      </c>
      <c r="C136" s="13" t="s">
        <v>77</v>
      </c>
      <c r="D136" s="13" t="s">
        <v>22</v>
      </c>
      <c r="E136" s="55" t="s">
        <v>68</v>
      </c>
      <c r="F136" s="13">
        <v>19.0</v>
      </c>
      <c r="G136" s="16" t="s">
        <v>24</v>
      </c>
      <c r="H136" s="56">
        <v>25.0</v>
      </c>
      <c r="I136" s="55" t="s">
        <v>63</v>
      </c>
      <c r="K136" s="17">
        <f t="shared" si="11"/>
        <v>1</v>
      </c>
      <c r="L136" s="18">
        <f t="shared" si="12"/>
        <v>3</v>
      </c>
      <c r="AE136" s="4"/>
      <c r="AF136" s="2"/>
      <c r="AG136" s="4"/>
      <c r="AH136" s="4"/>
      <c r="AI136" s="4"/>
      <c r="AJ136" s="4"/>
      <c r="AK136" s="4"/>
      <c r="AL136" s="4"/>
      <c r="AM136" s="4"/>
      <c r="AN136" s="4"/>
    </row>
    <row r="137" ht="15.75" customHeight="1">
      <c r="A137" s="37"/>
      <c r="B137" s="54">
        <v>45763.0</v>
      </c>
      <c r="C137" s="13" t="s">
        <v>58</v>
      </c>
      <c r="D137" s="13" t="s">
        <v>22</v>
      </c>
      <c r="E137" s="55" t="s">
        <v>64</v>
      </c>
      <c r="F137" s="13">
        <v>18.0</v>
      </c>
      <c r="G137" s="16" t="s">
        <v>24</v>
      </c>
      <c r="H137" s="56">
        <v>23.0</v>
      </c>
      <c r="I137" s="55" t="s">
        <v>62</v>
      </c>
      <c r="K137" s="17">
        <f t="shared" si="11"/>
        <v>1</v>
      </c>
      <c r="L137" s="18">
        <f t="shared" si="12"/>
        <v>3</v>
      </c>
      <c r="AE137" s="4"/>
      <c r="AF137" s="2"/>
      <c r="AG137" s="4"/>
      <c r="AH137" s="4"/>
      <c r="AI137" s="4"/>
      <c r="AJ137" s="4"/>
      <c r="AK137" s="4"/>
      <c r="AL137" s="4"/>
      <c r="AM137" s="4"/>
      <c r="AN137" s="4"/>
    </row>
    <row r="138" ht="15.75" customHeight="1">
      <c r="A138" s="64">
        <v>11.0</v>
      </c>
      <c r="B138" s="54">
        <v>45791.0</v>
      </c>
      <c r="C138" s="13" t="s">
        <v>75</v>
      </c>
      <c r="D138" s="13" t="s">
        <v>22</v>
      </c>
      <c r="E138" s="55" t="s">
        <v>72</v>
      </c>
      <c r="F138" s="56">
        <v>10.0</v>
      </c>
      <c r="G138" s="69" t="s">
        <v>24</v>
      </c>
      <c r="H138" s="56">
        <v>14.0</v>
      </c>
      <c r="I138" s="55" t="s">
        <v>66</v>
      </c>
      <c r="K138" s="17">
        <f t="shared" si="11"/>
        <v>1</v>
      </c>
      <c r="L138" s="18">
        <f t="shared" si="12"/>
        <v>3</v>
      </c>
      <c r="AE138" s="4"/>
      <c r="AF138" s="2"/>
      <c r="AG138" s="4"/>
      <c r="AH138" s="4"/>
      <c r="AI138" s="4"/>
      <c r="AJ138" s="4"/>
      <c r="AK138" s="4"/>
      <c r="AL138" s="4"/>
      <c r="AM138" s="4"/>
      <c r="AN138" s="4"/>
    </row>
    <row r="139" ht="15.75" customHeight="1">
      <c r="A139" s="29"/>
      <c r="B139" s="54">
        <v>45791.0</v>
      </c>
      <c r="C139" s="13" t="s">
        <v>76</v>
      </c>
      <c r="D139" s="13" t="s">
        <v>22</v>
      </c>
      <c r="E139" s="55" t="s">
        <v>70</v>
      </c>
      <c r="F139" s="56">
        <v>18.0</v>
      </c>
      <c r="G139" s="16" t="s">
        <v>24</v>
      </c>
      <c r="H139" s="56">
        <v>17.0</v>
      </c>
      <c r="I139" s="55" t="s">
        <v>71</v>
      </c>
      <c r="K139" s="17">
        <f t="shared" si="11"/>
        <v>3</v>
      </c>
      <c r="L139" s="18">
        <f t="shared" si="12"/>
        <v>1</v>
      </c>
      <c r="AE139" s="4"/>
      <c r="AF139" s="2"/>
      <c r="AG139" s="4"/>
      <c r="AH139" s="4"/>
      <c r="AI139" s="4"/>
      <c r="AJ139" s="4"/>
      <c r="AK139" s="4"/>
      <c r="AL139" s="4"/>
      <c r="AM139" s="4"/>
      <c r="AN139" s="4"/>
    </row>
    <row r="140" ht="15.75" customHeight="1">
      <c r="A140" s="29"/>
      <c r="B140" s="54">
        <v>45791.0</v>
      </c>
      <c r="C140" s="13" t="s">
        <v>77</v>
      </c>
      <c r="D140" s="13" t="s">
        <v>22</v>
      </c>
      <c r="E140" s="55" t="s">
        <v>67</v>
      </c>
      <c r="F140" s="56">
        <v>21.0</v>
      </c>
      <c r="G140" s="16" t="s">
        <v>24</v>
      </c>
      <c r="H140" s="56">
        <v>20.0</v>
      </c>
      <c r="I140" s="55" t="s">
        <v>69</v>
      </c>
      <c r="K140" s="17">
        <f t="shared" si="11"/>
        <v>3</v>
      </c>
      <c r="L140" s="18">
        <f t="shared" si="12"/>
        <v>1</v>
      </c>
      <c r="AE140" s="4"/>
      <c r="AF140" s="2"/>
      <c r="AG140" s="4"/>
      <c r="AH140" s="4"/>
      <c r="AI140" s="4"/>
      <c r="AJ140" s="4"/>
      <c r="AK140" s="4"/>
      <c r="AL140" s="4"/>
      <c r="AM140" s="4"/>
      <c r="AN140" s="4"/>
    </row>
    <row r="141" ht="15.75" customHeight="1">
      <c r="A141" s="29"/>
      <c r="B141" s="54">
        <v>45784.0</v>
      </c>
      <c r="C141" s="13" t="s">
        <v>78</v>
      </c>
      <c r="D141" s="13" t="s">
        <v>22</v>
      </c>
      <c r="E141" s="55" t="s">
        <v>65</v>
      </c>
      <c r="F141" s="56">
        <v>15.0</v>
      </c>
      <c r="G141" s="16" t="s">
        <v>24</v>
      </c>
      <c r="H141" s="56">
        <v>0.0</v>
      </c>
      <c r="I141" s="67" t="s">
        <v>68</v>
      </c>
      <c r="K141" s="17">
        <f t="shared" si="11"/>
        <v>3</v>
      </c>
      <c r="L141" s="18">
        <f t="shared" si="12"/>
        <v>1</v>
      </c>
      <c r="AE141" s="4"/>
      <c r="AF141" s="2"/>
      <c r="AG141" s="4"/>
      <c r="AH141" s="4"/>
      <c r="AI141" s="4"/>
      <c r="AJ141" s="4"/>
      <c r="AK141" s="4"/>
      <c r="AL141" s="4"/>
      <c r="AM141" s="4"/>
      <c r="AN141" s="4"/>
    </row>
    <row r="142" ht="15.75" customHeight="1">
      <c r="A142" s="29"/>
      <c r="B142" s="54">
        <v>45784.0</v>
      </c>
      <c r="C142" s="13" t="s">
        <v>79</v>
      </c>
      <c r="D142" s="13" t="s">
        <v>22</v>
      </c>
      <c r="E142" s="55" t="s">
        <v>63</v>
      </c>
      <c r="F142" s="56">
        <v>15.0</v>
      </c>
      <c r="G142" s="16" t="s">
        <v>24</v>
      </c>
      <c r="H142" s="56">
        <v>0.0</v>
      </c>
      <c r="I142" s="67" t="s">
        <v>64</v>
      </c>
      <c r="K142" s="17">
        <f t="shared" si="11"/>
        <v>3</v>
      </c>
      <c r="L142" s="18">
        <f t="shared" si="12"/>
        <v>1</v>
      </c>
      <c r="AE142" s="4"/>
      <c r="AF142" s="2"/>
      <c r="AG142" s="4"/>
      <c r="AH142" s="4"/>
      <c r="AI142" s="4"/>
      <c r="AJ142" s="4"/>
      <c r="AK142" s="4"/>
      <c r="AL142" s="4"/>
      <c r="AM142" s="4"/>
      <c r="AN142" s="4"/>
    </row>
    <row r="143" ht="15.75" customHeight="1">
      <c r="A143" s="37"/>
      <c r="B143" s="54">
        <v>45784.0</v>
      </c>
      <c r="C143" s="13" t="s">
        <v>80</v>
      </c>
      <c r="D143" s="13" t="s">
        <v>22</v>
      </c>
      <c r="E143" s="55" t="s">
        <v>62</v>
      </c>
      <c r="F143" s="56">
        <v>18.0</v>
      </c>
      <c r="G143" s="16" t="s">
        <v>24</v>
      </c>
      <c r="H143" s="56">
        <v>21.0</v>
      </c>
      <c r="I143" s="55" t="s">
        <v>73</v>
      </c>
      <c r="K143" s="17">
        <f t="shared" si="11"/>
        <v>1</v>
      </c>
      <c r="L143" s="18">
        <f t="shared" si="12"/>
        <v>3</v>
      </c>
      <c r="AE143" s="4"/>
      <c r="AF143" s="2"/>
      <c r="AG143" s="4"/>
      <c r="AH143" s="4"/>
      <c r="AI143" s="4"/>
      <c r="AJ143" s="4"/>
      <c r="AK143" s="4"/>
      <c r="AL143" s="4"/>
      <c r="AM143" s="4"/>
      <c r="AN143" s="4"/>
    </row>
    <row r="144" ht="15.75" customHeight="1">
      <c r="E144" s="2"/>
      <c r="I144" s="2"/>
      <c r="AE144" s="4"/>
      <c r="AF144" s="2"/>
      <c r="AG144" s="4"/>
      <c r="AH144" s="4"/>
      <c r="AI144" s="4"/>
      <c r="AJ144" s="4"/>
      <c r="AK144" s="4"/>
      <c r="AL144" s="4"/>
      <c r="AM144" s="4"/>
      <c r="AN144" s="4"/>
    </row>
    <row r="145" ht="15.75" customHeight="1">
      <c r="E145" s="2"/>
      <c r="I145" s="2"/>
      <c r="AE145" s="4"/>
      <c r="AF145" s="2"/>
      <c r="AG145" s="4"/>
      <c r="AH145" s="4"/>
      <c r="AI145" s="4"/>
      <c r="AJ145" s="4"/>
      <c r="AK145" s="4"/>
      <c r="AL145" s="4"/>
      <c r="AM145" s="4"/>
      <c r="AN145" s="4"/>
    </row>
    <row r="146" ht="15.75" customHeight="1">
      <c r="E146" s="2"/>
      <c r="I146" s="2"/>
      <c r="AE146" s="4"/>
      <c r="AF146" s="2"/>
      <c r="AG146" s="4"/>
      <c r="AH146" s="4"/>
      <c r="AI146" s="4"/>
      <c r="AJ146" s="4"/>
      <c r="AK146" s="4"/>
      <c r="AL146" s="4"/>
      <c r="AM146" s="4"/>
      <c r="AN146" s="4"/>
    </row>
    <row r="147" ht="15.75" customHeight="1">
      <c r="E147" s="2"/>
      <c r="I147" s="2"/>
      <c r="AE147" s="4"/>
      <c r="AF147" s="2"/>
      <c r="AG147" s="4"/>
      <c r="AH147" s="4"/>
      <c r="AI147" s="4"/>
      <c r="AJ147" s="4"/>
      <c r="AK147" s="4"/>
      <c r="AL147" s="4"/>
      <c r="AM147" s="4"/>
      <c r="AN147" s="4"/>
    </row>
    <row r="148" ht="15.75" customHeight="1">
      <c r="E148" s="2"/>
      <c r="I148" s="2"/>
      <c r="AE148" s="4"/>
      <c r="AF148" s="2"/>
      <c r="AG148" s="4"/>
      <c r="AH148" s="4"/>
      <c r="AI148" s="4"/>
      <c r="AJ148" s="4"/>
      <c r="AK148" s="4"/>
      <c r="AL148" s="4"/>
      <c r="AM148" s="4"/>
      <c r="AN148" s="4"/>
    </row>
    <row r="149" ht="15.75" customHeight="1">
      <c r="E149" s="2"/>
      <c r="I149" s="2"/>
      <c r="AE149" s="4"/>
      <c r="AF149" s="2"/>
      <c r="AG149" s="4"/>
      <c r="AH149" s="4"/>
      <c r="AI149" s="4"/>
      <c r="AJ149" s="4"/>
      <c r="AK149" s="4"/>
      <c r="AL149" s="4"/>
      <c r="AM149" s="4"/>
      <c r="AN149" s="4"/>
    </row>
    <row r="150" ht="15.75" customHeight="1">
      <c r="E150" s="2"/>
      <c r="I150" s="2"/>
      <c r="AE150" s="4"/>
      <c r="AF150" s="2"/>
      <c r="AG150" s="4"/>
      <c r="AH150" s="4"/>
      <c r="AI150" s="4"/>
      <c r="AJ150" s="4"/>
      <c r="AK150" s="4"/>
      <c r="AL150" s="4"/>
      <c r="AM150" s="4"/>
      <c r="AN150" s="4"/>
    </row>
    <row r="151" ht="15.75" customHeight="1">
      <c r="E151" s="2"/>
      <c r="I151" s="2"/>
      <c r="AE151" s="4"/>
      <c r="AF151" s="2"/>
      <c r="AG151" s="4"/>
      <c r="AH151" s="4"/>
      <c r="AI151" s="4"/>
      <c r="AJ151" s="4"/>
      <c r="AK151" s="4"/>
      <c r="AL151" s="4"/>
      <c r="AM151" s="4"/>
      <c r="AN151" s="4"/>
    </row>
    <row r="152" ht="15.75" customHeight="1">
      <c r="E152" s="2"/>
      <c r="I152" s="2"/>
      <c r="AE152" s="4"/>
      <c r="AF152" s="2"/>
      <c r="AG152" s="4"/>
      <c r="AH152" s="4"/>
      <c r="AI152" s="4"/>
      <c r="AJ152" s="4"/>
      <c r="AK152" s="4"/>
      <c r="AL152" s="4"/>
      <c r="AM152" s="4"/>
      <c r="AN152" s="4"/>
    </row>
    <row r="153" ht="15.75" customHeight="1">
      <c r="E153" s="2"/>
      <c r="I153" s="2"/>
      <c r="AE153" s="4"/>
      <c r="AF153" s="2"/>
      <c r="AG153" s="4"/>
      <c r="AH153" s="4"/>
      <c r="AI153" s="4"/>
      <c r="AJ153" s="4"/>
      <c r="AK153" s="4"/>
      <c r="AL153" s="4"/>
      <c r="AM153" s="4"/>
      <c r="AN153" s="4"/>
    </row>
    <row r="154" ht="15.75" customHeight="1">
      <c r="E154" s="2"/>
      <c r="I154" s="2"/>
      <c r="AE154" s="4"/>
      <c r="AF154" s="2"/>
      <c r="AG154" s="4"/>
      <c r="AH154" s="4"/>
      <c r="AI154" s="4"/>
      <c r="AJ154" s="4"/>
      <c r="AK154" s="4"/>
      <c r="AL154" s="4"/>
      <c r="AM154" s="4"/>
      <c r="AN154" s="4"/>
    </row>
    <row r="155" ht="15.75" customHeight="1">
      <c r="E155" s="2"/>
      <c r="I155" s="2"/>
      <c r="AE155" s="4"/>
      <c r="AF155" s="2"/>
      <c r="AG155" s="4"/>
      <c r="AH155" s="4"/>
      <c r="AI155" s="4"/>
      <c r="AJ155" s="4"/>
      <c r="AK155" s="4"/>
      <c r="AL155" s="4"/>
      <c r="AM155" s="4"/>
      <c r="AN155" s="4"/>
    </row>
    <row r="156" ht="15.75" customHeight="1">
      <c r="E156" s="2"/>
      <c r="I156" s="2"/>
      <c r="AE156" s="4"/>
      <c r="AF156" s="2"/>
      <c r="AG156" s="4"/>
      <c r="AH156" s="4"/>
      <c r="AI156" s="4"/>
      <c r="AJ156" s="4"/>
      <c r="AK156" s="4"/>
      <c r="AL156" s="4"/>
      <c r="AM156" s="4"/>
      <c r="AN156" s="4"/>
    </row>
    <row r="157" ht="15.75" customHeight="1">
      <c r="E157" s="2"/>
      <c r="I157" s="2"/>
      <c r="AE157" s="4"/>
      <c r="AF157" s="2"/>
      <c r="AG157" s="4"/>
      <c r="AH157" s="4"/>
      <c r="AI157" s="4"/>
      <c r="AJ157" s="4"/>
      <c r="AK157" s="4"/>
      <c r="AL157" s="4"/>
      <c r="AM157" s="4"/>
      <c r="AN157" s="4"/>
    </row>
    <row r="158" ht="15.75" customHeight="1">
      <c r="E158" s="2"/>
      <c r="I158" s="2"/>
      <c r="AE158" s="4"/>
      <c r="AF158" s="2"/>
      <c r="AG158" s="4"/>
      <c r="AH158" s="4"/>
      <c r="AI158" s="4"/>
      <c r="AJ158" s="4"/>
      <c r="AK158" s="4"/>
      <c r="AL158" s="4"/>
      <c r="AM158" s="4"/>
      <c r="AN158" s="4"/>
    </row>
    <row r="159" ht="15.75" customHeight="1">
      <c r="E159" s="2"/>
      <c r="I159" s="2"/>
      <c r="AE159" s="4"/>
      <c r="AF159" s="2"/>
      <c r="AG159" s="4"/>
      <c r="AH159" s="4"/>
      <c r="AI159" s="4"/>
      <c r="AJ159" s="4"/>
      <c r="AK159" s="4"/>
      <c r="AL159" s="4"/>
      <c r="AM159" s="4"/>
      <c r="AN159" s="4"/>
    </row>
    <row r="160" ht="15.75" customHeight="1">
      <c r="E160" s="2"/>
      <c r="I160" s="2"/>
      <c r="AE160" s="4"/>
      <c r="AF160" s="2"/>
      <c r="AG160" s="4"/>
      <c r="AH160" s="4"/>
      <c r="AI160" s="4"/>
      <c r="AJ160" s="4"/>
      <c r="AK160" s="4"/>
      <c r="AL160" s="4"/>
      <c r="AM160" s="4"/>
      <c r="AN160" s="4"/>
    </row>
    <row r="161" ht="15.75" customHeight="1">
      <c r="E161" s="2"/>
      <c r="I161" s="2"/>
      <c r="AE161" s="4"/>
      <c r="AF161" s="2"/>
      <c r="AG161" s="4"/>
      <c r="AH161" s="4"/>
      <c r="AI161" s="4"/>
      <c r="AJ161" s="4"/>
      <c r="AK161" s="4"/>
      <c r="AL161" s="4"/>
      <c r="AM161" s="4"/>
      <c r="AN161" s="4"/>
    </row>
    <row r="162" ht="15.75" customHeight="1">
      <c r="E162" s="2"/>
      <c r="I162" s="2"/>
      <c r="AE162" s="4"/>
      <c r="AF162" s="2"/>
      <c r="AG162" s="4"/>
      <c r="AH162" s="4"/>
      <c r="AI162" s="4"/>
      <c r="AJ162" s="4"/>
      <c r="AK162" s="4"/>
      <c r="AL162" s="4"/>
      <c r="AM162" s="4"/>
      <c r="AN162" s="4"/>
    </row>
    <row r="163" ht="15.75" customHeight="1">
      <c r="E163" s="2"/>
      <c r="I163" s="2"/>
      <c r="AE163" s="4"/>
      <c r="AF163" s="2"/>
      <c r="AG163" s="4"/>
      <c r="AH163" s="4"/>
      <c r="AI163" s="4"/>
      <c r="AJ163" s="4"/>
      <c r="AK163" s="4"/>
      <c r="AL163" s="4"/>
      <c r="AM163" s="4"/>
      <c r="AN163" s="4"/>
    </row>
    <row r="164" ht="15.75" customHeight="1">
      <c r="E164" s="2"/>
      <c r="I164" s="2"/>
      <c r="AE164" s="4"/>
      <c r="AF164" s="2"/>
      <c r="AG164" s="4"/>
      <c r="AH164" s="4"/>
      <c r="AI164" s="4"/>
      <c r="AJ164" s="4"/>
      <c r="AK164" s="4"/>
      <c r="AL164" s="4"/>
      <c r="AM164" s="4"/>
      <c r="AN164" s="4"/>
    </row>
    <row r="165" ht="15.75" customHeight="1">
      <c r="E165" s="2"/>
      <c r="I165" s="2"/>
      <c r="AE165" s="4"/>
      <c r="AF165" s="2"/>
      <c r="AG165" s="4"/>
      <c r="AH165" s="4"/>
      <c r="AI165" s="4"/>
      <c r="AJ165" s="4"/>
      <c r="AK165" s="4"/>
      <c r="AL165" s="4"/>
      <c r="AM165" s="4"/>
      <c r="AN165" s="4"/>
    </row>
    <row r="166" ht="15.75" customHeight="1">
      <c r="E166" s="2"/>
      <c r="I166" s="2"/>
      <c r="AE166" s="4"/>
      <c r="AF166" s="2"/>
      <c r="AG166" s="4"/>
      <c r="AH166" s="4"/>
      <c r="AI166" s="4"/>
      <c r="AJ166" s="4"/>
      <c r="AK166" s="4"/>
      <c r="AL166" s="4"/>
      <c r="AM166" s="4"/>
      <c r="AN166" s="4"/>
    </row>
    <row r="167" ht="15.75" customHeight="1">
      <c r="E167" s="2"/>
      <c r="I167" s="2"/>
      <c r="AE167" s="4"/>
      <c r="AF167" s="2"/>
      <c r="AG167" s="4"/>
      <c r="AH167" s="4"/>
      <c r="AI167" s="4"/>
      <c r="AJ167" s="4"/>
      <c r="AK167" s="4"/>
      <c r="AL167" s="4"/>
      <c r="AM167" s="4"/>
      <c r="AN167" s="4"/>
    </row>
    <row r="168" ht="15.75" customHeight="1">
      <c r="E168" s="2"/>
      <c r="I168" s="2"/>
      <c r="AE168" s="4"/>
      <c r="AF168" s="2"/>
      <c r="AG168" s="4"/>
      <c r="AH168" s="4"/>
      <c r="AI168" s="4"/>
      <c r="AJ168" s="4"/>
      <c r="AK168" s="4"/>
      <c r="AL168" s="4"/>
      <c r="AM168" s="4"/>
      <c r="AN168" s="4"/>
    </row>
    <row r="169" ht="15.75" customHeight="1">
      <c r="E169" s="2"/>
      <c r="I169" s="2"/>
      <c r="AE169" s="4"/>
      <c r="AF169" s="2"/>
      <c r="AG169" s="4"/>
      <c r="AH169" s="4"/>
      <c r="AI169" s="4"/>
      <c r="AJ169" s="4"/>
      <c r="AK169" s="4"/>
      <c r="AL169" s="4"/>
      <c r="AM169" s="4"/>
      <c r="AN169" s="4"/>
    </row>
    <row r="170" ht="15.75" customHeight="1">
      <c r="E170" s="2"/>
      <c r="I170" s="2"/>
      <c r="AE170" s="4"/>
      <c r="AF170" s="2"/>
      <c r="AG170" s="4"/>
      <c r="AH170" s="4"/>
      <c r="AI170" s="4"/>
      <c r="AJ170" s="4"/>
      <c r="AK170" s="4"/>
      <c r="AL170" s="4"/>
      <c r="AM170" s="4"/>
      <c r="AN170" s="4"/>
    </row>
    <row r="171" ht="15.75" customHeight="1">
      <c r="E171" s="2"/>
      <c r="I171" s="2"/>
      <c r="AE171" s="4"/>
      <c r="AF171" s="2"/>
      <c r="AG171" s="4"/>
      <c r="AH171" s="4"/>
      <c r="AI171" s="4"/>
      <c r="AJ171" s="4"/>
      <c r="AK171" s="4"/>
      <c r="AL171" s="4"/>
      <c r="AM171" s="4"/>
      <c r="AN171" s="4"/>
    </row>
    <row r="172" ht="15.75" customHeight="1">
      <c r="E172" s="2"/>
      <c r="I172" s="2"/>
      <c r="AE172" s="4"/>
      <c r="AF172" s="2"/>
      <c r="AG172" s="4"/>
      <c r="AH172" s="4"/>
      <c r="AI172" s="4"/>
      <c r="AJ172" s="4"/>
      <c r="AK172" s="4"/>
      <c r="AL172" s="4"/>
      <c r="AM172" s="4"/>
      <c r="AN172" s="4"/>
    </row>
    <row r="173" ht="15.75" customHeight="1">
      <c r="E173" s="2"/>
      <c r="I173" s="2"/>
      <c r="AE173" s="4"/>
      <c r="AF173" s="2"/>
      <c r="AG173" s="4"/>
      <c r="AH173" s="4"/>
      <c r="AI173" s="4"/>
      <c r="AJ173" s="4"/>
      <c r="AK173" s="4"/>
      <c r="AL173" s="4"/>
      <c r="AM173" s="4"/>
      <c r="AN173" s="4"/>
    </row>
    <row r="174" ht="15.75" customHeight="1">
      <c r="E174" s="2"/>
      <c r="I174" s="2"/>
      <c r="AE174" s="4"/>
      <c r="AF174" s="2"/>
      <c r="AG174" s="4"/>
      <c r="AH174" s="4"/>
      <c r="AI174" s="4"/>
      <c r="AJ174" s="4"/>
      <c r="AK174" s="4"/>
      <c r="AL174" s="4"/>
      <c r="AM174" s="4"/>
      <c r="AN174" s="4"/>
    </row>
    <row r="175" ht="15.75" customHeight="1">
      <c r="E175" s="2"/>
      <c r="I175" s="2"/>
      <c r="AE175" s="4"/>
      <c r="AF175" s="2"/>
      <c r="AG175" s="4"/>
      <c r="AH175" s="4"/>
      <c r="AI175" s="4"/>
      <c r="AJ175" s="4"/>
      <c r="AK175" s="4"/>
      <c r="AL175" s="4"/>
      <c r="AM175" s="4"/>
      <c r="AN175" s="4"/>
    </row>
    <row r="176" ht="15.75" customHeight="1">
      <c r="E176" s="2"/>
      <c r="I176" s="2"/>
      <c r="AE176" s="4"/>
      <c r="AF176" s="2"/>
      <c r="AG176" s="4"/>
      <c r="AH176" s="4"/>
      <c r="AI176" s="4"/>
      <c r="AJ176" s="4"/>
      <c r="AK176" s="4"/>
      <c r="AL176" s="4"/>
      <c r="AM176" s="4"/>
      <c r="AN176" s="4"/>
    </row>
    <row r="177" ht="15.75" customHeight="1">
      <c r="E177" s="2"/>
      <c r="I177" s="2"/>
      <c r="AE177" s="4"/>
      <c r="AF177" s="2"/>
      <c r="AG177" s="4"/>
      <c r="AH177" s="4"/>
      <c r="AI177" s="4"/>
      <c r="AJ177" s="4"/>
      <c r="AK177" s="4"/>
      <c r="AL177" s="4"/>
      <c r="AM177" s="4"/>
      <c r="AN177" s="4"/>
    </row>
    <row r="178" ht="15.75" customHeight="1">
      <c r="E178" s="2"/>
      <c r="I178" s="2"/>
      <c r="AE178" s="4"/>
      <c r="AF178" s="2"/>
      <c r="AG178" s="4"/>
      <c r="AH178" s="4"/>
      <c r="AI178" s="4"/>
      <c r="AJ178" s="4"/>
      <c r="AK178" s="4"/>
      <c r="AL178" s="4"/>
      <c r="AM178" s="4"/>
      <c r="AN178" s="4"/>
    </row>
    <row r="179" ht="15.75" customHeight="1">
      <c r="E179" s="2"/>
      <c r="I179" s="2"/>
      <c r="AE179" s="4"/>
      <c r="AF179" s="2"/>
      <c r="AG179" s="4"/>
      <c r="AH179" s="4"/>
      <c r="AI179" s="4"/>
      <c r="AJ179" s="4"/>
      <c r="AK179" s="4"/>
      <c r="AL179" s="4"/>
      <c r="AM179" s="4"/>
      <c r="AN179" s="4"/>
    </row>
    <row r="180" ht="15.75" customHeight="1">
      <c r="E180" s="2"/>
      <c r="I180" s="2"/>
      <c r="AE180" s="4"/>
      <c r="AF180" s="2"/>
      <c r="AG180" s="4"/>
      <c r="AH180" s="4"/>
      <c r="AI180" s="4"/>
      <c r="AJ180" s="4"/>
      <c r="AK180" s="4"/>
      <c r="AL180" s="4"/>
      <c r="AM180" s="4"/>
      <c r="AN180" s="4"/>
    </row>
    <row r="181" ht="15.75" customHeight="1">
      <c r="E181" s="2"/>
      <c r="I181" s="2"/>
      <c r="AE181" s="4"/>
      <c r="AF181" s="2"/>
      <c r="AG181" s="4"/>
      <c r="AH181" s="4"/>
      <c r="AI181" s="4"/>
      <c r="AJ181" s="4"/>
      <c r="AK181" s="4"/>
      <c r="AL181" s="4"/>
      <c r="AM181" s="4"/>
      <c r="AN181" s="4"/>
    </row>
    <row r="182" ht="15.75" customHeight="1">
      <c r="E182" s="2"/>
      <c r="I182" s="2"/>
      <c r="AE182" s="4"/>
      <c r="AF182" s="2"/>
      <c r="AG182" s="4"/>
      <c r="AH182" s="4"/>
      <c r="AI182" s="4"/>
      <c r="AJ182" s="4"/>
      <c r="AK182" s="4"/>
      <c r="AL182" s="4"/>
      <c r="AM182" s="4"/>
      <c r="AN182" s="4"/>
    </row>
    <row r="183" ht="15.75" customHeight="1">
      <c r="E183" s="2"/>
      <c r="I183" s="2"/>
      <c r="AE183" s="4"/>
      <c r="AF183" s="2"/>
      <c r="AG183" s="4"/>
      <c r="AH183" s="4"/>
      <c r="AI183" s="4"/>
      <c r="AJ183" s="4"/>
      <c r="AK183" s="4"/>
      <c r="AL183" s="4"/>
      <c r="AM183" s="4"/>
      <c r="AN183" s="4"/>
    </row>
    <row r="184" ht="15.75" customHeight="1">
      <c r="E184" s="2"/>
      <c r="I184" s="2"/>
      <c r="AE184" s="4"/>
      <c r="AF184" s="2"/>
      <c r="AG184" s="4"/>
      <c r="AH184" s="4"/>
      <c r="AI184" s="4"/>
      <c r="AJ184" s="4"/>
      <c r="AK184" s="4"/>
      <c r="AL184" s="4"/>
      <c r="AM184" s="4"/>
      <c r="AN184" s="4"/>
    </row>
    <row r="185" ht="15.75" customHeight="1">
      <c r="E185" s="2"/>
      <c r="I185" s="2"/>
      <c r="AE185" s="4"/>
      <c r="AF185" s="2"/>
      <c r="AG185" s="4"/>
      <c r="AH185" s="4"/>
      <c r="AI185" s="4"/>
      <c r="AJ185" s="4"/>
      <c r="AK185" s="4"/>
      <c r="AL185" s="4"/>
      <c r="AM185" s="4"/>
      <c r="AN185" s="4"/>
    </row>
    <row r="186" ht="15.75" customHeight="1">
      <c r="E186" s="2"/>
      <c r="I186" s="2"/>
      <c r="AE186" s="4"/>
      <c r="AF186" s="2"/>
      <c r="AG186" s="4"/>
      <c r="AH186" s="4"/>
      <c r="AI186" s="4"/>
      <c r="AJ186" s="4"/>
      <c r="AK186" s="4"/>
      <c r="AL186" s="4"/>
      <c r="AM186" s="4"/>
      <c r="AN186" s="4"/>
    </row>
    <row r="187" ht="15.75" customHeight="1">
      <c r="E187" s="2"/>
      <c r="I187" s="2"/>
      <c r="AE187" s="4"/>
      <c r="AF187" s="2"/>
      <c r="AG187" s="4"/>
      <c r="AH187" s="4"/>
      <c r="AI187" s="4"/>
      <c r="AJ187" s="4"/>
      <c r="AK187" s="4"/>
      <c r="AL187" s="4"/>
      <c r="AM187" s="4"/>
      <c r="AN187" s="4"/>
    </row>
    <row r="188" ht="15.75" customHeight="1">
      <c r="E188" s="2"/>
      <c r="I188" s="2"/>
      <c r="AE188" s="4"/>
      <c r="AF188" s="2"/>
      <c r="AG188" s="4"/>
      <c r="AH188" s="4"/>
      <c r="AI188" s="4"/>
      <c r="AJ188" s="4"/>
      <c r="AK188" s="4"/>
      <c r="AL188" s="4"/>
      <c r="AM188" s="4"/>
      <c r="AN188" s="4"/>
    </row>
    <row r="189" ht="15.75" customHeight="1">
      <c r="E189" s="2"/>
      <c r="I189" s="2"/>
      <c r="AE189" s="4"/>
      <c r="AF189" s="2"/>
      <c r="AG189" s="4"/>
      <c r="AH189" s="4"/>
      <c r="AI189" s="4"/>
      <c r="AJ189" s="4"/>
      <c r="AK189" s="4"/>
      <c r="AL189" s="4"/>
      <c r="AM189" s="4"/>
      <c r="AN189" s="4"/>
    </row>
    <row r="190" ht="15.75" customHeight="1">
      <c r="E190" s="2"/>
      <c r="I190" s="2"/>
      <c r="AE190" s="4"/>
      <c r="AF190" s="2"/>
      <c r="AG190" s="4"/>
      <c r="AH190" s="4"/>
      <c r="AI190" s="4"/>
      <c r="AJ190" s="4"/>
      <c r="AK190" s="4"/>
      <c r="AL190" s="4"/>
      <c r="AM190" s="4"/>
      <c r="AN190" s="4"/>
    </row>
    <row r="191" ht="15.75" customHeight="1">
      <c r="E191" s="2"/>
      <c r="I191" s="2"/>
      <c r="AE191" s="4"/>
      <c r="AF191" s="2"/>
      <c r="AG191" s="4"/>
      <c r="AH191" s="4"/>
      <c r="AI191" s="4"/>
      <c r="AJ191" s="4"/>
      <c r="AK191" s="4"/>
      <c r="AL191" s="4"/>
      <c r="AM191" s="4"/>
      <c r="AN191" s="4"/>
    </row>
    <row r="192" ht="15.75" customHeight="1">
      <c r="E192" s="2"/>
      <c r="I192" s="2"/>
      <c r="AE192" s="4"/>
      <c r="AF192" s="2"/>
      <c r="AG192" s="4"/>
      <c r="AH192" s="4"/>
      <c r="AI192" s="4"/>
      <c r="AJ192" s="4"/>
      <c r="AK192" s="4"/>
      <c r="AL192" s="4"/>
      <c r="AM192" s="4"/>
      <c r="AN192" s="4"/>
    </row>
    <row r="193" ht="15.75" customHeight="1">
      <c r="E193" s="2"/>
      <c r="I193" s="2"/>
      <c r="AE193" s="4"/>
      <c r="AF193" s="2"/>
      <c r="AG193" s="4"/>
      <c r="AH193" s="4"/>
      <c r="AI193" s="4"/>
      <c r="AJ193" s="4"/>
      <c r="AK193" s="4"/>
      <c r="AL193" s="4"/>
      <c r="AM193" s="4"/>
      <c r="AN193" s="4"/>
    </row>
    <row r="194" ht="15.75" customHeight="1">
      <c r="E194" s="2"/>
      <c r="I194" s="2"/>
      <c r="AE194" s="4"/>
      <c r="AF194" s="2"/>
      <c r="AG194" s="4"/>
      <c r="AH194" s="4"/>
      <c r="AI194" s="4"/>
      <c r="AJ194" s="4"/>
      <c r="AK194" s="4"/>
      <c r="AL194" s="4"/>
      <c r="AM194" s="4"/>
      <c r="AN194" s="4"/>
    </row>
    <row r="195" ht="15.75" customHeight="1">
      <c r="E195" s="2"/>
      <c r="I195" s="2"/>
      <c r="AE195" s="4"/>
      <c r="AF195" s="2"/>
      <c r="AG195" s="4"/>
      <c r="AH195" s="4"/>
      <c r="AI195" s="4"/>
      <c r="AJ195" s="4"/>
      <c r="AK195" s="4"/>
      <c r="AL195" s="4"/>
      <c r="AM195" s="4"/>
      <c r="AN195" s="4"/>
    </row>
    <row r="196" ht="15.75" customHeight="1">
      <c r="E196" s="2"/>
      <c r="I196" s="2"/>
      <c r="AE196" s="4"/>
      <c r="AF196" s="2"/>
      <c r="AG196" s="4"/>
      <c r="AH196" s="4"/>
      <c r="AI196" s="4"/>
      <c r="AJ196" s="4"/>
      <c r="AK196" s="4"/>
      <c r="AL196" s="4"/>
      <c r="AM196" s="4"/>
      <c r="AN196" s="4"/>
    </row>
    <row r="197" ht="15.75" customHeight="1">
      <c r="E197" s="2"/>
      <c r="I197" s="2"/>
      <c r="AE197" s="4"/>
      <c r="AF197" s="2"/>
      <c r="AG197" s="4"/>
      <c r="AH197" s="4"/>
      <c r="AI197" s="4"/>
      <c r="AJ197" s="4"/>
      <c r="AK197" s="4"/>
      <c r="AL197" s="4"/>
      <c r="AM197" s="4"/>
      <c r="AN197" s="4"/>
    </row>
    <row r="198" ht="15.75" customHeight="1">
      <c r="E198" s="2"/>
      <c r="I198" s="2"/>
      <c r="AE198" s="4"/>
      <c r="AF198" s="2"/>
      <c r="AG198" s="4"/>
      <c r="AH198" s="4"/>
      <c r="AI198" s="4"/>
      <c r="AJ198" s="4"/>
      <c r="AK198" s="4"/>
      <c r="AL198" s="4"/>
      <c r="AM198" s="4"/>
      <c r="AN198" s="4"/>
    </row>
    <row r="199" ht="15.75" customHeight="1">
      <c r="E199" s="2"/>
      <c r="I199" s="2"/>
      <c r="AE199" s="4"/>
      <c r="AF199" s="2"/>
      <c r="AG199" s="4"/>
      <c r="AH199" s="4"/>
      <c r="AI199" s="4"/>
      <c r="AJ199" s="4"/>
      <c r="AK199" s="4"/>
      <c r="AL199" s="4"/>
      <c r="AM199" s="4"/>
      <c r="AN199" s="4"/>
    </row>
    <row r="200" ht="15.75" customHeight="1">
      <c r="E200" s="2"/>
      <c r="I200" s="2"/>
      <c r="AE200" s="4"/>
      <c r="AF200" s="2"/>
      <c r="AG200" s="4"/>
      <c r="AH200" s="4"/>
      <c r="AI200" s="4"/>
      <c r="AJ200" s="4"/>
      <c r="AK200" s="4"/>
      <c r="AL200" s="4"/>
      <c r="AM200" s="4"/>
      <c r="AN200" s="4"/>
    </row>
    <row r="201" ht="15.75" customHeight="1">
      <c r="E201" s="2"/>
      <c r="I201" s="2"/>
      <c r="AE201" s="4"/>
      <c r="AF201" s="2"/>
      <c r="AG201" s="4"/>
      <c r="AH201" s="4"/>
      <c r="AI201" s="4"/>
      <c r="AJ201" s="4"/>
      <c r="AK201" s="4"/>
      <c r="AL201" s="4"/>
      <c r="AM201" s="4"/>
      <c r="AN201" s="4"/>
    </row>
    <row r="202" ht="15.75" customHeight="1">
      <c r="E202" s="2"/>
      <c r="I202" s="2"/>
      <c r="AE202" s="4"/>
      <c r="AF202" s="2"/>
      <c r="AG202" s="4"/>
      <c r="AH202" s="4"/>
      <c r="AI202" s="4"/>
      <c r="AJ202" s="4"/>
      <c r="AK202" s="4"/>
      <c r="AL202" s="4"/>
      <c r="AM202" s="4"/>
      <c r="AN202" s="4"/>
    </row>
    <row r="203" ht="15.75" customHeight="1">
      <c r="E203" s="2"/>
      <c r="I203" s="2"/>
      <c r="AE203" s="4"/>
      <c r="AF203" s="2"/>
      <c r="AG203" s="4"/>
      <c r="AH203" s="4"/>
      <c r="AI203" s="4"/>
      <c r="AJ203" s="4"/>
      <c r="AK203" s="4"/>
      <c r="AL203" s="4"/>
      <c r="AM203" s="4"/>
      <c r="AN203" s="4"/>
    </row>
    <row r="204" ht="15.75" customHeight="1">
      <c r="E204" s="2"/>
      <c r="I204" s="2"/>
      <c r="AE204" s="4"/>
      <c r="AF204" s="2"/>
      <c r="AG204" s="4"/>
      <c r="AH204" s="4"/>
      <c r="AI204" s="4"/>
      <c r="AJ204" s="4"/>
      <c r="AK204" s="4"/>
      <c r="AL204" s="4"/>
      <c r="AM204" s="4"/>
      <c r="AN204" s="4"/>
    </row>
    <row r="205" ht="15.75" customHeight="1">
      <c r="E205" s="2"/>
      <c r="I205" s="2"/>
      <c r="AE205" s="4"/>
      <c r="AF205" s="2"/>
      <c r="AG205" s="4"/>
      <c r="AH205" s="4"/>
      <c r="AI205" s="4"/>
      <c r="AJ205" s="4"/>
      <c r="AK205" s="4"/>
      <c r="AL205" s="4"/>
      <c r="AM205" s="4"/>
      <c r="AN205" s="4"/>
    </row>
    <row r="206" ht="15.75" customHeight="1">
      <c r="E206" s="2"/>
      <c r="I206" s="2"/>
      <c r="AE206" s="4"/>
      <c r="AF206" s="2"/>
      <c r="AG206" s="4"/>
      <c r="AH206" s="4"/>
      <c r="AI206" s="4"/>
      <c r="AJ206" s="4"/>
      <c r="AK206" s="4"/>
      <c r="AL206" s="4"/>
      <c r="AM206" s="4"/>
      <c r="AN206" s="4"/>
    </row>
    <row r="207" ht="15.75" customHeight="1">
      <c r="E207" s="2"/>
      <c r="I207" s="2"/>
      <c r="AE207" s="4"/>
      <c r="AF207" s="2"/>
      <c r="AG207" s="4"/>
      <c r="AH207" s="4"/>
      <c r="AI207" s="4"/>
      <c r="AJ207" s="4"/>
      <c r="AK207" s="4"/>
      <c r="AL207" s="4"/>
      <c r="AM207" s="4"/>
      <c r="AN207" s="4"/>
    </row>
    <row r="208" ht="15.75" customHeight="1">
      <c r="E208" s="2"/>
      <c r="I208" s="2"/>
      <c r="AE208" s="4"/>
      <c r="AF208" s="2"/>
      <c r="AG208" s="4"/>
      <c r="AH208" s="4"/>
      <c r="AI208" s="4"/>
      <c r="AJ208" s="4"/>
      <c r="AK208" s="4"/>
      <c r="AL208" s="4"/>
      <c r="AM208" s="4"/>
      <c r="AN208" s="4"/>
    </row>
    <row r="209" ht="15.75" customHeight="1">
      <c r="E209" s="2"/>
      <c r="I209" s="2"/>
      <c r="AE209" s="4"/>
      <c r="AF209" s="2"/>
      <c r="AG209" s="4"/>
      <c r="AH209" s="4"/>
      <c r="AI209" s="4"/>
      <c r="AJ209" s="4"/>
      <c r="AK209" s="4"/>
      <c r="AL209" s="4"/>
      <c r="AM209" s="4"/>
      <c r="AN209" s="4"/>
    </row>
    <row r="210" ht="15.75" customHeight="1">
      <c r="E210" s="2"/>
      <c r="I210" s="2"/>
      <c r="AE210" s="4"/>
      <c r="AF210" s="2"/>
      <c r="AG210" s="4"/>
      <c r="AH210" s="4"/>
      <c r="AI210" s="4"/>
      <c r="AJ210" s="4"/>
      <c r="AK210" s="4"/>
      <c r="AL210" s="4"/>
      <c r="AM210" s="4"/>
      <c r="AN210" s="4"/>
    </row>
    <row r="211" ht="15.75" customHeight="1">
      <c r="E211" s="2"/>
      <c r="I211" s="2"/>
      <c r="AE211" s="4"/>
      <c r="AF211" s="2"/>
      <c r="AG211" s="4"/>
      <c r="AH211" s="4"/>
      <c r="AI211" s="4"/>
      <c r="AJ211" s="4"/>
      <c r="AK211" s="4"/>
      <c r="AL211" s="4"/>
      <c r="AM211" s="4"/>
      <c r="AN211" s="4"/>
    </row>
    <row r="212" ht="15.75" customHeight="1">
      <c r="E212" s="2"/>
      <c r="I212" s="2"/>
      <c r="AE212" s="4"/>
      <c r="AF212" s="2"/>
      <c r="AG212" s="4"/>
      <c r="AH212" s="4"/>
      <c r="AI212" s="4"/>
      <c r="AJ212" s="4"/>
      <c r="AK212" s="4"/>
      <c r="AL212" s="4"/>
      <c r="AM212" s="4"/>
      <c r="AN212" s="4"/>
    </row>
    <row r="213" ht="15.75" customHeight="1">
      <c r="E213" s="2"/>
      <c r="I213" s="2"/>
      <c r="AE213" s="4"/>
      <c r="AF213" s="2"/>
      <c r="AG213" s="4"/>
      <c r="AH213" s="4"/>
      <c r="AI213" s="4"/>
      <c r="AJ213" s="4"/>
      <c r="AK213" s="4"/>
      <c r="AL213" s="4"/>
      <c r="AM213" s="4"/>
      <c r="AN213" s="4"/>
    </row>
    <row r="214" ht="15.75" customHeight="1">
      <c r="E214" s="2"/>
      <c r="I214" s="2"/>
      <c r="AE214" s="4"/>
      <c r="AF214" s="2"/>
      <c r="AG214" s="4"/>
      <c r="AH214" s="4"/>
      <c r="AI214" s="4"/>
      <c r="AJ214" s="4"/>
      <c r="AK214" s="4"/>
      <c r="AL214" s="4"/>
      <c r="AM214" s="4"/>
      <c r="AN214" s="4"/>
    </row>
    <row r="215" ht="15.75" customHeight="1">
      <c r="E215" s="2"/>
      <c r="I215" s="2"/>
      <c r="AE215" s="4"/>
      <c r="AF215" s="2"/>
      <c r="AG215" s="4"/>
      <c r="AH215" s="4"/>
      <c r="AI215" s="4"/>
      <c r="AJ215" s="4"/>
      <c r="AK215" s="4"/>
      <c r="AL215" s="4"/>
      <c r="AM215" s="4"/>
      <c r="AN215" s="4"/>
    </row>
    <row r="216" ht="15.75" customHeight="1">
      <c r="E216" s="2"/>
      <c r="I216" s="2"/>
      <c r="AE216" s="4"/>
      <c r="AF216" s="2"/>
      <c r="AG216" s="4"/>
      <c r="AH216" s="4"/>
      <c r="AI216" s="4"/>
      <c r="AJ216" s="4"/>
      <c r="AK216" s="4"/>
      <c r="AL216" s="4"/>
      <c r="AM216" s="4"/>
      <c r="AN216" s="4"/>
    </row>
    <row r="217" ht="15.75" customHeight="1">
      <c r="E217" s="2"/>
      <c r="I217" s="2"/>
      <c r="AE217" s="4"/>
      <c r="AF217" s="2"/>
      <c r="AG217" s="4"/>
      <c r="AH217" s="4"/>
      <c r="AI217" s="4"/>
      <c r="AJ217" s="4"/>
      <c r="AK217" s="4"/>
      <c r="AL217" s="4"/>
      <c r="AM217" s="4"/>
      <c r="AN217" s="4"/>
    </row>
    <row r="218" ht="15.75" customHeight="1">
      <c r="E218" s="2"/>
      <c r="I218" s="2"/>
      <c r="AE218" s="4"/>
      <c r="AF218" s="2"/>
      <c r="AG218" s="4"/>
      <c r="AH218" s="4"/>
      <c r="AI218" s="4"/>
      <c r="AJ218" s="4"/>
      <c r="AK218" s="4"/>
      <c r="AL218" s="4"/>
      <c r="AM218" s="4"/>
      <c r="AN218" s="4"/>
    </row>
    <row r="219" ht="15.75" customHeight="1">
      <c r="E219" s="2"/>
      <c r="I219" s="2"/>
      <c r="AE219" s="4"/>
      <c r="AF219" s="2"/>
      <c r="AG219" s="4"/>
      <c r="AH219" s="4"/>
      <c r="AI219" s="4"/>
      <c r="AJ219" s="4"/>
      <c r="AK219" s="4"/>
      <c r="AL219" s="4"/>
      <c r="AM219" s="4"/>
      <c r="AN219" s="4"/>
    </row>
    <row r="220" ht="15.75" customHeight="1">
      <c r="E220" s="2"/>
      <c r="I220" s="2"/>
      <c r="AE220" s="4"/>
      <c r="AF220" s="2"/>
      <c r="AG220" s="4"/>
      <c r="AH220" s="4"/>
      <c r="AI220" s="4"/>
      <c r="AJ220" s="4"/>
      <c r="AK220" s="4"/>
      <c r="AL220" s="4"/>
      <c r="AM220" s="4"/>
      <c r="AN220" s="4"/>
    </row>
    <row r="221" ht="15.75" customHeight="1">
      <c r="E221" s="2"/>
      <c r="I221" s="2"/>
      <c r="AE221" s="4"/>
      <c r="AF221" s="2"/>
      <c r="AG221" s="4"/>
      <c r="AH221" s="4"/>
      <c r="AI221" s="4"/>
      <c r="AJ221" s="4"/>
      <c r="AK221" s="4"/>
      <c r="AL221" s="4"/>
      <c r="AM221" s="4"/>
      <c r="AN221" s="4"/>
    </row>
    <row r="222" ht="15.75" customHeight="1">
      <c r="E222" s="2"/>
      <c r="I222" s="2"/>
      <c r="AE222" s="4"/>
      <c r="AF222" s="2"/>
      <c r="AG222" s="4"/>
      <c r="AH222" s="4"/>
      <c r="AI222" s="4"/>
      <c r="AJ222" s="4"/>
      <c r="AK222" s="4"/>
      <c r="AL222" s="4"/>
      <c r="AM222" s="4"/>
      <c r="AN222" s="4"/>
    </row>
    <row r="223" ht="15.75" customHeight="1">
      <c r="E223" s="2"/>
      <c r="I223" s="2"/>
      <c r="AE223" s="4"/>
      <c r="AF223" s="2"/>
      <c r="AG223" s="4"/>
      <c r="AH223" s="4"/>
      <c r="AI223" s="4"/>
      <c r="AJ223" s="4"/>
      <c r="AK223" s="4"/>
      <c r="AL223" s="4"/>
      <c r="AM223" s="4"/>
      <c r="AN223" s="4"/>
    </row>
    <row r="224" ht="15.75" customHeight="1">
      <c r="E224" s="2"/>
      <c r="I224" s="2"/>
      <c r="AE224" s="4"/>
      <c r="AF224" s="2"/>
      <c r="AG224" s="4"/>
      <c r="AH224" s="4"/>
      <c r="AI224" s="4"/>
      <c r="AJ224" s="4"/>
      <c r="AK224" s="4"/>
      <c r="AL224" s="4"/>
      <c r="AM224" s="4"/>
      <c r="AN224" s="4"/>
    </row>
    <row r="225" ht="15.75" customHeight="1">
      <c r="E225" s="2"/>
      <c r="I225" s="2"/>
      <c r="AE225" s="4"/>
      <c r="AF225" s="2"/>
      <c r="AG225" s="4"/>
      <c r="AH225" s="4"/>
      <c r="AI225" s="4"/>
      <c r="AJ225" s="4"/>
      <c r="AK225" s="4"/>
      <c r="AL225" s="4"/>
      <c r="AM225" s="4"/>
      <c r="AN225" s="4"/>
    </row>
    <row r="226" ht="15.75" customHeight="1">
      <c r="E226" s="2"/>
      <c r="I226" s="2"/>
      <c r="AE226" s="4"/>
      <c r="AF226" s="2"/>
      <c r="AG226" s="4"/>
      <c r="AH226" s="4"/>
      <c r="AI226" s="4"/>
      <c r="AJ226" s="4"/>
      <c r="AK226" s="4"/>
      <c r="AL226" s="4"/>
      <c r="AM226" s="4"/>
      <c r="AN226" s="4"/>
    </row>
    <row r="227" ht="15.75" customHeight="1">
      <c r="E227" s="2"/>
      <c r="I227" s="2"/>
      <c r="AE227" s="4"/>
      <c r="AF227" s="2"/>
      <c r="AG227" s="4"/>
      <c r="AH227" s="4"/>
      <c r="AI227" s="4"/>
      <c r="AJ227" s="4"/>
      <c r="AK227" s="4"/>
      <c r="AL227" s="4"/>
      <c r="AM227" s="4"/>
      <c r="AN227" s="4"/>
    </row>
    <row r="228" ht="15.75" customHeight="1">
      <c r="E228" s="2"/>
      <c r="I228" s="2"/>
      <c r="AE228" s="4"/>
      <c r="AF228" s="2"/>
      <c r="AG228" s="4"/>
      <c r="AH228" s="4"/>
      <c r="AI228" s="4"/>
      <c r="AJ228" s="4"/>
      <c r="AK228" s="4"/>
      <c r="AL228" s="4"/>
      <c r="AM228" s="4"/>
      <c r="AN228" s="4"/>
    </row>
    <row r="229" ht="15.75" customHeight="1">
      <c r="E229" s="2"/>
      <c r="I229" s="2"/>
      <c r="AE229" s="4"/>
      <c r="AF229" s="2"/>
      <c r="AG229" s="4"/>
      <c r="AH229" s="4"/>
      <c r="AI229" s="4"/>
      <c r="AJ229" s="4"/>
      <c r="AK229" s="4"/>
      <c r="AL229" s="4"/>
      <c r="AM229" s="4"/>
      <c r="AN229" s="4"/>
    </row>
    <row r="230" ht="15.75" customHeight="1">
      <c r="E230" s="2"/>
      <c r="I230" s="2"/>
      <c r="AE230" s="4"/>
      <c r="AF230" s="2"/>
      <c r="AG230" s="4"/>
      <c r="AH230" s="4"/>
      <c r="AI230" s="4"/>
      <c r="AJ230" s="4"/>
      <c r="AK230" s="4"/>
      <c r="AL230" s="4"/>
      <c r="AM230" s="4"/>
      <c r="AN230" s="4"/>
    </row>
    <row r="231" ht="15.75" customHeight="1">
      <c r="E231" s="2"/>
      <c r="I231" s="2"/>
      <c r="AE231" s="4"/>
      <c r="AF231" s="2"/>
      <c r="AG231" s="4"/>
      <c r="AH231" s="4"/>
      <c r="AI231" s="4"/>
      <c r="AJ231" s="4"/>
      <c r="AK231" s="4"/>
      <c r="AL231" s="4"/>
      <c r="AM231" s="4"/>
      <c r="AN231" s="4"/>
    </row>
    <row r="232" ht="15.75" customHeight="1">
      <c r="E232" s="2"/>
      <c r="I232" s="2"/>
      <c r="AE232" s="4"/>
      <c r="AF232" s="2"/>
      <c r="AG232" s="4"/>
      <c r="AH232" s="4"/>
      <c r="AI232" s="4"/>
      <c r="AJ232" s="4"/>
      <c r="AK232" s="4"/>
      <c r="AL232" s="4"/>
      <c r="AM232" s="4"/>
      <c r="AN232" s="4"/>
    </row>
    <row r="233" ht="15.75" customHeight="1">
      <c r="E233" s="2"/>
      <c r="I233" s="2"/>
      <c r="AE233" s="4"/>
      <c r="AF233" s="2"/>
      <c r="AG233" s="4"/>
      <c r="AH233" s="4"/>
      <c r="AI233" s="4"/>
      <c r="AJ233" s="4"/>
      <c r="AK233" s="4"/>
      <c r="AL233" s="4"/>
      <c r="AM233" s="4"/>
      <c r="AN233" s="4"/>
    </row>
    <row r="234" ht="15.75" customHeight="1">
      <c r="E234" s="2"/>
      <c r="I234" s="2"/>
      <c r="AE234" s="4"/>
      <c r="AF234" s="2"/>
      <c r="AG234" s="4"/>
      <c r="AH234" s="4"/>
      <c r="AI234" s="4"/>
      <c r="AJ234" s="4"/>
      <c r="AK234" s="4"/>
      <c r="AL234" s="4"/>
      <c r="AM234" s="4"/>
      <c r="AN234" s="4"/>
    </row>
    <row r="235" ht="15.75" customHeight="1">
      <c r="E235" s="2"/>
      <c r="I235" s="2"/>
      <c r="AE235" s="4"/>
      <c r="AF235" s="2"/>
      <c r="AG235" s="4"/>
      <c r="AH235" s="4"/>
      <c r="AI235" s="4"/>
      <c r="AJ235" s="4"/>
      <c r="AK235" s="4"/>
      <c r="AL235" s="4"/>
      <c r="AM235" s="4"/>
      <c r="AN235" s="4"/>
    </row>
    <row r="236" ht="15.75" customHeight="1">
      <c r="E236" s="2"/>
      <c r="I236" s="2"/>
      <c r="AE236" s="4"/>
      <c r="AF236" s="2"/>
      <c r="AG236" s="4"/>
      <c r="AH236" s="4"/>
      <c r="AI236" s="4"/>
      <c r="AJ236" s="4"/>
      <c r="AK236" s="4"/>
      <c r="AL236" s="4"/>
      <c r="AM236" s="4"/>
      <c r="AN236" s="4"/>
    </row>
    <row r="237" ht="15.75" customHeight="1">
      <c r="E237" s="2"/>
      <c r="I237" s="2"/>
      <c r="AE237" s="4"/>
      <c r="AF237" s="2"/>
      <c r="AG237" s="4"/>
      <c r="AH237" s="4"/>
      <c r="AI237" s="4"/>
      <c r="AJ237" s="4"/>
      <c r="AK237" s="4"/>
      <c r="AL237" s="4"/>
      <c r="AM237" s="4"/>
      <c r="AN237" s="4"/>
    </row>
    <row r="238" ht="15.75" customHeight="1">
      <c r="E238" s="2"/>
      <c r="I238" s="2"/>
      <c r="AE238" s="4"/>
      <c r="AF238" s="2"/>
      <c r="AG238" s="4"/>
      <c r="AH238" s="4"/>
      <c r="AI238" s="4"/>
      <c r="AJ238" s="4"/>
      <c r="AK238" s="4"/>
      <c r="AL238" s="4"/>
      <c r="AM238" s="4"/>
      <c r="AN238" s="4"/>
    </row>
    <row r="239" ht="15.75" customHeight="1">
      <c r="E239" s="2"/>
      <c r="I239" s="2"/>
      <c r="AE239" s="4"/>
      <c r="AF239" s="2"/>
      <c r="AG239" s="4"/>
      <c r="AH239" s="4"/>
      <c r="AI239" s="4"/>
      <c r="AJ239" s="4"/>
      <c r="AK239" s="4"/>
      <c r="AL239" s="4"/>
      <c r="AM239" s="4"/>
      <c r="AN239" s="4"/>
    </row>
    <row r="240" ht="15.75" customHeight="1">
      <c r="E240" s="2"/>
      <c r="I240" s="2"/>
      <c r="AE240" s="4"/>
      <c r="AF240" s="2"/>
      <c r="AG240" s="4"/>
      <c r="AH240" s="4"/>
      <c r="AI240" s="4"/>
      <c r="AJ240" s="4"/>
      <c r="AK240" s="4"/>
      <c r="AL240" s="4"/>
      <c r="AM240" s="4"/>
      <c r="AN240" s="4"/>
    </row>
    <row r="241" ht="15.75" customHeight="1">
      <c r="E241" s="2"/>
      <c r="I241" s="2"/>
      <c r="AE241" s="4"/>
      <c r="AF241" s="2"/>
      <c r="AG241" s="4"/>
      <c r="AH241" s="4"/>
      <c r="AI241" s="4"/>
      <c r="AJ241" s="4"/>
      <c r="AK241" s="4"/>
      <c r="AL241" s="4"/>
      <c r="AM241" s="4"/>
      <c r="AN241" s="4"/>
    </row>
    <row r="242" ht="15.75" customHeight="1">
      <c r="E242" s="2"/>
      <c r="I242" s="2"/>
      <c r="AE242" s="4"/>
      <c r="AF242" s="2"/>
      <c r="AG242" s="4"/>
      <c r="AH242" s="4"/>
      <c r="AI242" s="4"/>
      <c r="AJ242" s="4"/>
      <c r="AK242" s="4"/>
      <c r="AL242" s="4"/>
      <c r="AM242" s="4"/>
      <c r="AN242" s="4"/>
    </row>
    <row r="243" ht="15.75" customHeight="1">
      <c r="E243" s="2"/>
      <c r="I243" s="2"/>
      <c r="AE243" s="4"/>
      <c r="AF243" s="2"/>
      <c r="AG243" s="4"/>
      <c r="AH243" s="4"/>
      <c r="AI243" s="4"/>
      <c r="AJ243" s="4"/>
      <c r="AK243" s="4"/>
      <c r="AL243" s="4"/>
      <c r="AM243" s="4"/>
      <c r="AN243" s="4"/>
    </row>
    <row r="244" ht="15.75" customHeight="1">
      <c r="E244" s="2"/>
      <c r="I244" s="2"/>
      <c r="AE244" s="4"/>
      <c r="AF244" s="2"/>
      <c r="AG244" s="4"/>
      <c r="AH244" s="4"/>
      <c r="AI244" s="4"/>
      <c r="AJ244" s="4"/>
      <c r="AK244" s="4"/>
      <c r="AL244" s="4"/>
      <c r="AM244" s="4"/>
      <c r="AN244" s="4"/>
    </row>
    <row r="245" ht="15.75" customHeight="1">
      <c r="E245" s="2"/>
      <c r="I245" s="2"/>
      <c r="AE245" s="4"/>
      <c r="AF245" s="2"/>
      <c r="AG245" s="4"/>
      <c r="AH245" s="4"/>
      <c r="AI245" s="4"/>
      <c r="AJ245" s="4"/>
      <c r="AK245" s="4"/>
      <c r="AL245" s="4"/>
      <c r="AM245" s="4"/>
      <c r="AN245" s="4"/>
    </row>
    <row r="246" ht="15.75" customHeight="1">
      <c r="E246" s="2"/>
      <c r="I246" s="2"/>
      <c r="AE246" s="4"/>
      <c r="AF246" s="2"/>
      <c r="AG246" s="4"/>
      <c r="AH246" s="4"/>
      <c r="AI246" s="4"/>
      <c r="AJ246" s="4"/>
      <c r="AK246" s="4"/>
      <c r="AL246" s="4"/>
      <c r="AM246" s="4"/>
      <c r="AN246" s="4"/>
    </row>
    <row r="247" ht="15.75" customHeight="1">
      <c r="E247" s="2"/>
      <c r="I247" s="2"/>
      <c r="AE247" s="4"/>
      <c r="AF247" s="2"/>
      <c r="AG247" s="4"/>
      <c r="AH247" s="4"/>
      <c r="AI247" s="4"/>
      <c r="AJ247" s="4"/>
      <c r="AK247" s="4"/>
      <c r="AL247" s="4"/>
      <c r="AM247" s="4"/>
      <c r="AN247" s="4"/>
    </row>
    <row r="248" ht="15.75" customHeight="1">
      <c r="E248" s="2"/>
      <c r="I248" s="2"/>
      <c r="AE248" s="4"/>
      <c r="AF248" s="2"/>
      <c r="AG248" s="4"/>
      <c r="AH248" s="4"/>
      <c r="AI248" s="4"/>
      <c r="AJ248" s="4"/>
      <c r="AK248" s="4"/>
      <c r="AL248" s="4"/>
      <c r="AM248" s="4"/>
      <c r="AN248" s="4"/>
    </row>
    <row r="249" ht="15.75" customHeight="1">
      <c r="E249" s="2"/>
      <c r="I249" s="2"/>
      <c r="AE249" s="4"/>
      <c r="AF249" s="2"/>
      <c r="AG249" s="4"/>
      <c r="AH249" s="4"/>
      <c r="AI249" s="4"/>
      <c r="AJ249" s="4"/>
      <c r="AK249" s="4"/>
      <c r="AL249" s="4"/>
      <c r="AM249" s="4"/>
      <c r="AN249" s="4"/>
    </row>
    <row r="250" ht="15.75" customHeight="1">
      <c r="E250" s="2"/>
      <c r="I250" s="2"/>
      <c r="AE250" s="4"/>
      <c r="AF250" s="2"/>
      <c r="AG250" s="4"/>
      <c r="AH250" s="4"/>
      <c r="AI250" s="4"/>
      <c r="AJ250" s="4"/>
      <c r="AK250" s="4"/>
      <c r="AL250" s="4"/>
      <c r="AM250" s="4"/>
      <c r="AN250" s="4"/>
    </row>
    <row r="251" ht="15.75" customHeight="1">
      <c r="E251" s="2"/>
      <c r="I251" s="2"/>
      <c r="AE251" s="4"/>
      <c r="AF251" s="2"/>
      <c r="AG251" s="4"/>
      <c r="AH251" s="4"/>
      <c r="AI251" s="4"/>
      <c r="AJ251" s="4"/>
      <c r="AK251" s="4"/>
      <c r="AL251" s="4"/>
      <c r="AM251" s="4"/>
      <c r="AN251" s="4"/>
    </row>
    <row r="252" ht="15.75" customHeight="1">
      <c r="E252" s="2"/>
      <c r="I252" s="2"/>
      <c r="AE252" s="4"/>
      <c r="AF252" s="2"/>
      <c r="AG252" s="4"/>
      <c r="AH252" s="4"/>
      <c r="AI252" s="4"/>
      <c r="AJ252" s="4"/>
      <c r="AK252" s="4"/>
      <c r="AL252" s="4"/>
      <c r="AM252" s="4"/>
      <c r="AN252" s="4"/>
    </row>
    <row r="253" ht="15.75" customHeight="1">
      <c r="E253" s="2"/>
      <c r="I253" s="2"/>
      <c r="AE253" s="4"/>
      <c r="AF253" s="2"/>
      <c r="AG253" s="4"/>
      <c r="AH253" s="4"/>
      <c r="AI253" s="4"/>
      <c r="AJ253" s="4"/>
      <c r="AK253" s="4"/>
      <c r="AL253" s="4"/>
      <c r="AM253" s="4"/>
      <c r="AN253" s="4"/>
    </row>
    <row r="254" ht="15.75" customHeight="1">
      <c r="E254" s="2"/>
      <c r="I254" s="2"/>
      <c r="AE254" s="4"/>
      <c r="AF254" s="2"/>
      <c r="AG254" s="4"/>
      <c r="AH254" s="4"/>
      <c r="AI254" s="4"/>
      <c r="AJ254" s="4"/>
      <c r="AK254" s="4"/>
      <c r="AL254" s="4"/>
      <c r="AM254" s="4"/>
      <c r="AN254" s="4"/>
    </row>
    <row r="255" ht="15.75" customHeight="1">
      <c r="E255" s="2"/>
      <c r="I255" s="2"/>
      <c r="AE255" s="4"/>
      <c r="AF255" s="2"/>
      <c r="AG255" s="4"/>
      <c r="AH255" s="4"/>
      <c r="AI255" s="4"/>
      <c r="AJ255" s="4"/>
      <c r="AK255" s="4"/>
      <c r="AL255" s="4"/>
      <c r="AM255" s="4"/>
      <c r="AN255" s="4"/>
    </row>
    <row r="256" ht="15.75" customHeight="1">
      <c r="E256" s="2"/>
      <c r="I256" s="2"/>
      <c r="AE256" s="4"/>
      <c r="AF256" s="2"/>
      <c r="AG256" s="4"/>
      <c r="AH256" s="4"/>
      <c r="AI256" s="4"/>
      <c r="AJ256" s="4"/>
      <c r="AK256" s="4"/>
      <c r="AL256" s="4"/>
      <c r="AM256" s="4"/>
      <c r="AN256" s="4"/>
    </row>
    <row r="257" ht="15.75" customHeight="1">
      <c r="E257" s="2"/>
      <c r="I257" s="2"/>
      <c r="AE257" s="4"/>
      <c r="AF257" s="2"/>
      <c r="AG257" s="4"/>
      <c r="AH257" s="4"/>
      <c r="AI257" s="4"/>
      <c r="AJ257" s="4"/>
      <c r="AK257" s="4"/>
      <c r="AL257" s="4"/>
      <c r="AM257" s="4"/>
      <c r="AN257" s="4"/>
    </row>
    <row r="258" ht="15.75" customHeight="1">
      <c r="E258" s="2"/>
      <c r="I258" s="2"/>
      <c r="AE258" s="4"/>
      <c r="AF258" s="2"/>
      <c r="AG258" s="4"/>
      <c r="AH258" s="4"/>
      <c r="AI258" s="4"/>
      <c r="AJ258" s="4"/>
      <c r="AK258" s="4"/>
      <c r="AL258" s="4"/>
      <c r="AM258" s="4"/>
      <c r="AN258" s="4"/>
    </row>
    <row r="259" ht="15.75" customHeight="1">
      <c r="E259" s="2"/>
      <c r="I259" s="2"/>
      <c r="AE259" s="4"/>
      <c r="AF259" s="2"/>
      <c r="AG259" s="4"/>
      <c r="AH259" s="4"/>
      <c r="AI259" s="4"/>
      <c r="AJ259" s="4"/>
      <c r="AK259" s="4"/>
      <c r="AL259" s="4"/>
      <c r="AM259" s="4"/>
      <c r="AN259" s="4"/>
    </row>
    <row r="260" ht="15.75" customHeight="1">
      <c r="E260" s="2"/>
      <c r="I260" s="2"/>
      <c r="AE260" s="4"/>
      <c r="AF260" s="2"/>
      <c r="AG260" s="4"/>
      <c r="AH260" s="4"/>
      <c r="AI260" s="4"/>
      <c r="AJ260" s="4"/>
      <c r="AK260" s="4"/>
      <c r="AL260" s="4"/>
      <c r="AM260" s="4"/>
      <c r="AN260" s="4"/>
    </row>
    <row r="261" ht="15.75" customHeight="1">
      <c r="E261" s="2"/>
      <c r="I261" s="2"/>
      <c r="AE261" s="4"/>
      <c r="AF261" s="2"/>
      <c r="AG261" s="4"/>
      <c r="AH261" s="4"/>
      <c r="AI261" s="4"/>
      <c r="AJ261" s="4"/>
      <c r="AK261" s="4"/>
      <c r="AL261" s="4"/>
      <c r="AM261" s="4"/>
      <c r="AN261" s="4"/>
    </row>
    <row r="262" ht="15.75" customHeight="1">
      <c r="E262" s="2"/>
      <c r="I262" s="2"/>
      <c r="AE262" s="4"/>
      <c r="AF262" s="2"/>
      <c r="AG262" s="4"/>
      <c r="AH262" s="4"/>
      <c r="AI262" s="4"/>
      <c r="AJ262" s="4"/>
      <c r="AK262" s="4"/>
      <c r="AL262" s="4"/>
      <c r="AM262" s="4"/>
      <c r="AN262" s="4"/>
    </row>
    <row r="263" ht="15.75" customHeight="1">
      <c r="E263" s="2"/>
      <c r="I263" s="2"/>
      <c r="AE263" s="4"/>
      <c r="AF263" s="2"/>
      <c r="AG263" s="4"/>
      <c r="AH263" s="4"/>
      <c r="AI263" s="4"/>
      <c r="AJ263" s="4"/>
      <c r="AK263" s="4"/>
      <c r="AL263" s="4"/>
      <c r="AM263" s="4"/>
      <c r="AN263" s="4"/>
    </row>
    <row r="264" ht="15.75" customHeight="1">
      <c r="E264" s="2"/>
      <c r="I264" s="2"/>
      <c r="AE264" s="4"/>
      <c r="AF264" s="2"/>
      <c r="AG264" s="4"/>
      <c r="AH264" s="4"/>
      <c r="AI264" s="4"/>
      <c r="AJ264" s="4"/>
      <c r="AK264" s="4"/>
      <c r="AL264" s="4"/>
      <c r="AM264" s="4"/>
      <c r="AN264" s="4"/>
    </row>
    <row r="265" ht="15.75" customHeight="1">
      <c r="E265" s="2"/>
      <c r="I265" s="2"/>
      <c r="AE265" s="4"/>
      <c r="AF265" s="2"/>
      <c r="AG265" s="4"/>
      <c r="AH265" s="4"/>
      <c r="AI265" s="4"/>
      <c r="AJ265" s="4"/>
      <c r="AK265" s="4"/>
      <c r="AL265" s="4"/>
      <c r="AM265" s="4"/>
      <c r="AN265" s="4"/>
    </row>
    <row r="266" ht="15.75" customHeight="1">
      <c r="E266" s="2"/>
      <c r="I266" s="2"/>
      <c r="AE266" s="4"/>
      <c r="AF266" s="2"/>
      <c r="AG266" s="4"/>
      <c r="AH266" s="4"/>
      <c r="AI266" s="4"/>
      <c r="AJ266" s="4"/>
      <c r="AK266" s="4"/>
      <c r="AL266" s="4"/>
      <c r="AM266" s="4"/>
      <c r="AN266" s="4"/>
    </row>
    <row r="267" ht="15.75" customHeight="1">
      <c r="E267" s="2"/>
      <c r="I267" s="2"/>
      <c r="AE267" s="4"/>
      <c r="AF267" s="2"/>
      <c r="AG267" s="4"/>
      <c r="AH267" s="4"/>
      <c r="AI267" s="4"/>
      <c r="AJ267" s="4"/>
      <c r="AK267" s="4"/>
      <c r="AL267" s="4"/>
      <c r="AM267" s="4"/>
      <c r="AN267" s="4"/>
    </row>
    <row r="268" ht="15.75" customHeight="1">
      <c r="E268" s="2"/>
      <c r="I268" s="2"/>
      <c r="AE268" s="4"/>
      <c r="AF268" s="2"/>
      <c r="AG268" s="4"/>
      <c r="AH268" s="4"/>
      <c r="AI268" s="4"/>
      <c r="AJ268" s="4"/>
      <c r="AK268" s="4"/>
      <c r="AL268" s="4"/>
      <c r="AM268" s="4"/>
      <c r="AN268" s="4"/>
    </row>
    <row r="269" ht="15.75" customHeight="1">
      <c r="E269" s="2"/>
      <c r="I269" s="2"/>
      <c r="AE269" s="4"/>
      <c r="AF269" s="2"/>
      <c r="AG269" s="4"/>
      <c r="AH269" s="4"/>
      <c r="AI269" s="4"/>
      <c r="AJ269" s="4"/>
      <c r="AK269" s="4"/>
      <c r="AL269" s="4"/>
      <c r="AM269" s="4"/>
      <c r="AN269" s="4"/>
    </row>
    <row r="270" ht="15.75" customHeight="1">
      <c r="E270" s="2"/>
      <c r="I270" s="2"/>
      <c r="AE270" s="4"/>
      <c r="AF270" s="2"/>
      <c r="AG270" s="4"/>
      <c r="AH270" s="4"/>
      <c r="AI270" s="4"/>
      <c r="AJ270" s="4"/>
      <c r="AK270" s="4"/>
      <c r="AL270" s="4"/>
      <c r="AM270" s="4"/>
      <c r="AN270" s="4"/>
    </row>
    <row r="271" ht="15.75" customHeight="1">
      <c r="E271" s="2"/>
      <c r="I271" s="2"/>
      <c r="AE271" s="4"/>
      <c r="AF271" s="2"/>
      <c r="AG271" s="4"/>
      <c r="AH271" s="4"/>
      <c r="AI271" s="4"/>
      <c r="AJ271" s="4"/>
      <c r="AK271" s="4"/>
      <c r="AL271" s="4"/>
      <c r="AM271" s="4"/>
      <c r="AN271" s="4"/>
    </row>
    <row r="272" ht="15.75" customHeight="1">
      <c r="E272" s="2"/>
      <c r="I272" s="2"/>
      <c r="AE272" s="4"/>
      <c r="AF272" s="2"/>
      <c r="AG272" s="4"/>
      <c r="AH272" s="4"/>
      <c r="AI272" s="4"/>
      <c r="AJ272" s="4"/>
      <c r="AK272" s="4"/>
      <c r="AL272" s="4"/>
      <c r="AM272" s="4"/>
      <c r="AN272" s="4"/>
    </row>
    <row r="273" ht="15.75" customHeight="1">
      <c r="E273" s="2"/>
      <c r="I273" s="2"/>
      <c r="AE273" s="4"/>
      <c r="AF273" s="2"/>
      <c r="AG273" s="4"/>
      <c r="AH273" s="4"/>
      <c r="AI273" s="4"/>
      <c r="AJ273" s="4"/>
      <c r="AK273" s="4"/>
      <c r="AL273" s="4"/>
      <c r="AM273" s="4"/>
      <c r="AN273" s="4"/>
    </row>
    <row r="274" ht="15.75" customHeight="1">
      <c r="E274" s="2"/>
      <c r="I274" s="2"/>
      <c r="AE274" s="4"/>
      <c r="AF274" s="2"/>
      <c r="AG274" s="4"/>
      <c r="AH274" s="4"/>
      <c r="AI274" s="4"/>
      <c r="AJ274" s="4"/>
      <c r="AK274" s="4"/>
      <c r="AL274" s="4"/>
      <c r="AM274" s="4"/>
      <c r="AN274" s="4"/>
    </row>
    <row r="275" ht="15.75" customHeight="1">
      <c r="E275" s="2"/>
      <c r="I275" s="2"/>
      <c r="AE275" s="4"/>
      <c r="AF275" s="2"/>
      <c r="AG275" s="4"/>
      <c r="AH275" s="4"/>
      <c r="AI275" s="4"/>
      <c r="AJ275" s="4"/>
      <c r="AK275" s="4"/>
      <c r="AL275" s="4"/>
      <c r="AM275" s="4"/>
      <c r="AN275" s="4"/>
    </row>
    <row r="276" ht="15.75" customHeight="1">
      <c r="E276" s="2"/>
      <c r="I276" s="2"/>
      <c r="AE276" s="4"/>
      <c r="AF276" s="2"/>
      <c r="AG276" s="4"/>
      <c r="AH276" s="4"/>
      <c r="AI276" s="4"/>
      <c r="AJ276" s="4"/>
      <c r="AK276" s="4"/>
      <c r="AL276" s="4"/>
      <c r="AM276" s="4"/>
      <c r="AN276" s="4"/>
    </row>
    <row r="277" ht="15.75" customHeight="1">
      <c r="E277" s="2"/>
      <c r="I277" s="2"/>
      <c r="AE277" s="4"/>
      <c r="AF277" s="2"/>
      <c r="AG277" s="4"/>
      <c r="AH277" s="4"/>
      <c r="AI277" s="4"/>
      <c r="AJ277" s="4"/>
      <c r="AK277" s="4"/>
      <c r="AL277" s="4"/>
      <c r="AM277" s="4"/>
      <c r="AN277" s="4"/>
    </row>
    <row r="278" ht="15.75" customHeight="1">
      <c r="E278" s="2"/>
      <c r="I278" s="2"/>
      <c r="AE278" s="4"/>
      <c r="AF278" s="2"/>
      <c r="AG278" s="4"/>
      <c r="AH278" s="4"/>
      <c r="AI278" s="4"/>
      <c r="AJ278" s="4"/>
      <c r="AK278" s="4"/>
      <c r="AL278" s="4"/>
      <c r="AM278" s="4"/>
      <c r="AN278" s="4"/>
    </row>
    <row r="279" ht="15.75" customHeight="1">
      <c r="E279" s="2"/>
      <c r="I279" s="2"/>
      <c r="AE279" s="4"/>
      <c r="AF279" s="2"/>
      <c r="AG279" s="4"/>
      <c r="AH279" s="4"/>
      <c r="AI279" s="4"/>
      <c r="AJ279" s="4"/>
      <c r="AK279" s="4"/>
      <c r="AL279" s="4"/>
      <c r="AM279" s="4"/>
      <c r="AN279" s="4"/>
    </row>
    <row r="280" ht="15.75" customHeight="1">
      <c r="E280" s="2"/>
      <c r="I280" s="2"/>
      <c r="AE280" s="4"/>
      <c r="AF280" s="2"/>
      <c r="AG280" s="4"/>
      <c r="AH280" s="4"/>
      <c r="AI280" s="4"/>
      <c r="AJ280" s="4"/>
      <c r="AK280" s="4"/>
      <c r="AL280" s="4"/>
      <c r="AM280" s="4"/>
      <c r="AN280" s="4"/>
    </row>
    <row r="281" ht="15.75" customHeight="1">
      <c r="E281" s="2"/>
      <c r="I281" s="2"/>
      <c r="AE281" s="4"/>
      <c r="AF281" s="2"/>
      <c r="AG281" s="4"/>
      <c r="AH281" s="4"/>
      <c r="AI281" s="4"/>
      <c r="AJ281" s="4"/>
      <c r="AK281" s="4"/>
      <c r="AL281" s="4"/>
      <c r="AM281" s="4"/>
      <c r="AN281" s="4"/>
    </row>
    <row r="282" ht="15.75" customHeight="1">
      <c r="E282" s="2"/>
      <c r="I282" s="2"/>
      <c r="AE282" s="4"/>
      <c r="AF282" s="2"/>
      <c r="AG282" s="4"/>
      <c r="AH282" s="4"/>
      <c r="AI282" s="4"/>
      <c r="AJ282" s="4"/>
      <c r="AK282" s="4"/>
      <c r="AL282" s="4"/>
      <c r="AM282" s="4"/>
      <c r="AN282" s="4"/>
    </row>
    <row r="283" ht="15.75" customHeight="1">
      <c r="E283" s="2"/>
      <c r="I283" s="2"/>
      <c r="AE283" s="4"/>
      <c r="AF283" s="2"/>
      <c r="AG283" s="4"/>
      <c r="AH283" s="4"/>
      <c r="AI283" s="4"/>
      <c r="AJ283" s="4"/>
      <c r="AK283" s="4"/>
      <c r="AL283" s="4"/>
      <c r="AM283" s="4"/>
      <c r="AN283" s="4"/>
    </row>
    <row r="284" ht="15.75" customHeight="1">
      <c r="E284" s="2"/>
      <c r="I284" s="2"/>
      <c r="AE284" s="4"/>
      <c r="AF284" s="2"/>
      <c r="AG284" s="4"/>
      <c r="AH284" s="4"/>
      <c r="AI284" s="4"/>
      <c r="AJ284" s="4"/>
      <c r="AK284" s="4"/>
      <c r="AL284" s="4"/>
      <c r="AM284" s="4"/>
      <c r="AN284" s="4"/>
    </row>
    <row r="285" ht="15.75" customHeight="1">
      <c r="E285" s="2"/>
      <c r="I285" s="2"/>
      <c r="AE285" s="4"/>
      <c r="AF285" s="2"/>
      <c r="AG285" s="4"/>
      <c r="AH285" s="4"/>
      <c r="AI285" s="4"/>
      <c r="AJ285" s="4"/>
      <c r="AK285" s="4"/>
      <c r="AL285" s="4"/>
      <c r="AM285" s="4"/>
      <c r="AN285" s="4"/>
    </row>
    <row r="286" ht="15.75" customHeight="1">
      <c r="E286" s="2"/>
      <c r="I286" s="2"/>
      <c r="AE286" s="4"/>
      <c r="AF286" s="2"/>
      <c r="AG286" s="4"/>
      <c r="AH286" s="4"/>
      <c r="AI286" s="4"/>
      <c r="AJ286" s="4"/>
      <c r="AK286" s="4"/>
      <c r="AL286" s="4"/>
      <c r="AM286" s="4"/>
      <c r="AN286" s="4"/>
    </row>
    <row r="287" ht="15.75" customHeight="1">
      <c r="E287" s="2"/>
      <c r="I287" s="2"/>
      <c r="AE287" s="4"/>
      <c r="AF287" s="2"/>
      <c r="AG287" s="4"/>
      <c r="AH287" s="4"/>
      <c r="AI287" s="4"/>
      <c r="AJ287" s="4"/>
      <c r="AK287" s="4"/>
      <c r="AL287" s="4"/>
      <c r="AM287" s="4"/>
      <c r="AN287" s="4"/>
    </row>
    <row r="288" ht="15.75" customHeight="1">
      <c r="E288" s="2"/>
      <c r="I288" s="2"/>
      <c r="AE288" s="4"/>
      <c r="AF288" s="2"/>
      <c r="AG288" s="4"/>
      <c r="AH288" s="4"/>
      <c r="AI288" s="4"/>
      <c r="AJ288" s="4"/>
      <c r="AK288" s="4"/>
      <c r="AL288" s="4"/>
      <c r="AM288" s="4"/>
      <c r="AN288" s="4"/>
    </row>
    <row r="289" ht="15.75" customHeight="1">
      <c r="E289" s="2"/>
      <c r="I289" s="2"/>
      <c r="AE289" s="4"/>
      <c r="AF289" s="2"/>
      <c r="AG289" s="4"/>
      <c r="AH289" s="4"/>
      <c r="AI289" s="4"/>
      <c r="AJ289" s="4"/>
      <c r="AK289" s="4"/>
      <c r="AL289" s="4"/>
      <c r="AM289" s="4"/>
      <c r="AN289" s="4"/>
    </row>
    <row r="290" ht="15.75" customHeight="1">
      <c r="E290" s="2"/>
      <c r="I290" s="2"/>
      <c r="AE290" s="4"/>
      <c r="AF290" s="2"/>
      <c r="AG290" s="4"/>
      <c r="AH290" s="4"/>
      <c r="AI290" s="4"/>
      <c r="AJ290" s="4"/>
      <c r="AK290" s="4"/>
      <c r="AL290" s="4"/>
      <c r="AM290" s="4"/>
      <c r="AN290" s="4"/>
    </row>
    <row r="291" ht="15.75" customHeight="1">
      <c r="E291" s="2"/>
      <c r="I291" s="2"/>
      <c r="AE291" s="4"/>
      <c r="AF291" s="2"/>
      <c r="AG291" s="4"/>
      <c r="AH291" s="4"/>
      <c r="AI291" s="4"/>
      <c r="AJ291" s="4"/>
      <c r="AK291" s="4"/>
      <c r="AL291" s="4"/>
      <c r="AM291" s="4"/>
      <c r="AN291" s="4"/>
    </row>
    <row r="292" ht="15.75" customHeight="1">
      <c r="E292" s="2"/>
      <c r="I292" s="2"/>
      <c r="AE292" s="4"/>
      <c r="AF292" s="2"/>
      <c r="AG292" s="4"/>
      <c r="AH292" s="4"/>
      <c r="AI292" s="4"/>
      <c r="AJ292" s="4"/>
      <c r="AK292" s="4"/>
      <c r="AL292" s="4"/>
      <c r="AM292" s="4"/>
      <c r="AN292" s="4"/>
    </row>
    <row r="293" ht="15.75" customHeight="1">
      <c r="E293" s="2"/>
      <c r="I293" s="2"/>
      <c r="AE293" s="4"/>
      <c r="AF293" s="2"/>
      <c r="AG293" s="4"/>
      <c r="AH293" s="4"/>
      <c r="AI293" s="4"/>
      <c r="AJ293" s="4"/>
      <c r="AK293" s="4"/>
      <c r="AL293" s="4"/>
      <c r="AM293" s="4"/>
      <c r="AN293" s="4"/>
    </row>
    <row r="294" ht="15.75" customHeight="1">
      <c r="E294" s="2"/>
      <c r="I294" s="2"/>
      <c r="AE294" s="4"/>
      <c r="AF294" s="2"/>
      <c r="AG294" s="4"/>
      <c r="AH294" s="4"/>
      <c r="AI294" s="4"/>
      <c r="AJ294" s="4"/>
      <c r="AK294" s="4"/>
      <c r="AL294" s="4"/>
      <c r="AM294" s="4"/>
      <c r="AN294" s="4"/>
    </row>
    <row r="295" ht="15.75" customHeight="1">
      <c r="E295" s="2"/>
      <c r="I295" s="2"/>
      <c r="AE295" s="4"/>
      <c r="AF295" s="2"/>
      <c r="AG295" s="4"/>
      <c r="AH295" s="4"/>
      <c r="AI295" s="4"/>
      <c r="AJ295" s="4"/>
      <c r="AK295" s="4"/>
      <c r="AL295" s="4"/>
      <c r="AM295" s="4"/>
      <c r="AN295" s="4"/>
    </row>
    <row r="296" ht="15.75" customHeight="1">
      <c r="E296" s="2"/>
      <c r="I296" s="2"/>
      <c r="AE296" s="4"/>
      <c r="AF296" s="2"/>
      <c r="AG296" s="4"/>
      <c r="AH296" s="4"/>
      <c r="AI296" s="4"/>
      <c r="AJ296" s="4"/>
      <c r="AK296" s="4"/>
      <c r="AL296" s="4"/>
      <c r="AM296" s="4"/>
      <c r="AN296" s="4"/>
    </row>
    <row r="297" ht="15.75" customHeight="1">
      <c r="E297" s="2"/>
      <c r="I297" s="2"/>
      <c r="AE297" s="4"/>
      <c r="AF297" s="2"/>
      <c r="AG297" s="4"/>
      <c r="AH297" s="4"/>
      <c r="AI297" s="4"/>
      <c r="AJ297" s="4"/>
      <c r="AK297" s="4"/>
      <c r="AL297" s="4"/>
      <c r="AM297" s="4"/>
      <c r="AN297" s="4"/>
    </row>
    <row r="298" ht="15.75" customHeight="1">
      <c r="E298" s="2"/>
      <c r="I298" s="2"/>
      <c r="AE298" s="4"/>
      <c r="AF298" s="2"/>
      <c r="AG298" s="4"/>
      <c r="AH298" s="4"/>
      <c r="AI298" s="4"/>
      <c r="AJ298" s="4"/>
      <c r="AK298" s="4"/>
      <c r="AL298" s="4"/>
      <c r="AM298" s="4"/>
      <c r="AN298" s="4"/>
    </row>
    <row r="299" ht="15.75" customHeight="1">
      <c r="E299" s="2"/>
      <c r="I299" s="2"/>
      <c r="AE299" s="4"/>
      <c r="AF299" s="2"/>
      <c r="AG299" s="4"/>
      <c r="AH299" s="4"/>
      <c r="AI299" s="4"/>
      <c r="AJ299" s="4"/>
      <c r="AK299" s="4"/>
      <c r="AL299" s="4"/>
      <c r="AM299" s="4"/>
      <c r="AN299" s="4"/>
    </row>
    <row r="300" ht="15.75" customHeight="1">
      <c r="E300" s="2"/>
      <c r="I300" s="2"/>
      <c r="AE300" s="4"/>
      <c r="AF300" s="2"/>
      <c r="AG300" s="4"/>
      <c r="AH300" s="4"/>
      <c r="AI300" s="4"/>
      <c r="AJ300" s="4"/>
      <c r="AK300" s="4"/>
      <c r="AL300" s="4"/>
      <c r="AM300" s="4"/>
      <c r="AN300" s="4"/>
    </row>
    <row r="301" ht="15.75" customHeight="1">
      <c r="E301" s="2"/>
      <c r="I301" s="2"/>
      <c r="AE301" s="4"/>
      <c r="AF301" s="2"/>
      <c r="AG301" s="4"/>
      <c r="AH301" s="4"/>
      <c r="AI301" s="4"/>
      <c r="AJ301" s="4"/>
      <c r="AK301" s="4"/>
      <c r="AL301" s="4"/>
      <c r="AM301" s="4"/>
      <c r="AN301" s="4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35">
    <mergeCell ref="Z9:AB12"/>
    <mergeCell ref="AE15:AG15"/>
    <mergeCell ref="AH15:AI22"/>
    <mergeCell ref="AE16:AG23"/>
    <mergeCell ref="A1:G1"/>
    <mergeCell ref="F2:H2"/>
    <mergeCell ref="X2:AB2"/>
    <mergeCell ref="A3:A8"/>
    <mergeCell ref="X8:Y8"/>
    <mergeCell ref="A9:A14"/>
    <mergeCell ref="A15:A20"/>
    <mergeCell ref="A63:A68"/>
    <mergeCell ref="A76:G76"/>
    <mergeCell ref="F77:H77"/>
    <mergeCell ref="A78:A83"/>
    <mergeCell ref="A84:A89"/>
    <mergeCell ref="A90:A95"/>
    <mergeCell ref="AE90:AG90"/>
    <mergeCell ref="AH91:AI98"/>
    <mergeCell ref="AE93:AF99"/>
    <mergeCell ref="A96:A101"/>
    <mergeCell ref="A102:A107"/>
    <mergeCell ref="A108:A113"/>
    <mergeCell ref="A114:A119"/>
    <mergeCell ref="A120:A125"/>
    <mergeCell ref="A126:A131"/>
    <mergeCell ref="A132:A137"/>
    <mergeCell ref="A138:A143"/>
    <mergeCell ref="A21:A26"/>
    <mergeCell ref="A27:A32"/>
    <mergeCell ref="A33:A38"/>
    <mergeCell ref="A39:A44"/>
    <mergeCell ref="A45:A50"/>
    <mergeCell ref="A51:A56"/>
    <mergeCell ref="A57:A6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3" width="7.25"/>
    <col customWidth="1" min="4" max="4" width="5.38"/>
    <col customWidth="1" min="5" max="5" width="13.75"/>
    <col customWidth="1" min="6" max="6" width="12.63"/>
    <col customWidth="1" min="7" max="7" width="2.38"/>
    <col customWidth="1" min="9" max="9" width="14.25"/>
    <col customWidth="1" hidden="1" min="10" max="10" width="14.88"/>
    <col hidden="1" min="11" max="14" width="12.63"/>
    <col customWidth="1" hidden="1" min="15" max="15" width="22.75"/>
    <col hidden="1" min="16" max="22" width="12.63"/>
    <col customWidth="1" min="27" max="27" width="15.63"/>
    <col customWidth="1" min="28" max="28" width="22.75"/>
    <col customWidth="1" hidden="1" min="36" max="46" width="12.63"/>
  </cols>
  <sheetData>
    <row r="1" ht="15.75" customHeight="1">
      <c r="A1" s="70" t="s">
        <v>81</v>
      </c>
      <c r="H1" s="71"/>
      <c r="I1" s="72"/>
      <c r="AA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ht="15.75" customHeight="1">
      <c r="A2" s="73" t="s">
        <v>1</v>
      </c>
      <c r="B2" s="74" t="s">
        <v>2</v>
      </c>
      <c r="C2" s="74" t="s">
        <v>3</v>
      </c>
      <c r="D2" s="74" t="s">
        <v>4</v>
      </c>
      <c r="E2" s="74" t="s">
        <v>5</v>
      </c>
      <c r="F2" s="75" t="s">
        <v>6</v>
      </c>
      <c r="G2" s="7"/>
      <c r="H2" s="8"/>
      <c r="I2" s="74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76" t="s">
        <v>82</v>
      </c>
      <c r="U2" s="76" t="s">
        <v>83</v>
      </c>
      <c r="V2" s="76" t="s">
        <v>84</v>
      </c>
      <c r="W2" s="4"/>
      <c r="Z2" s="4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77" t="s">
        <v>82</v>
      </c>
      <c r="AH2" s="77" t="s">
        <v>83</v>
      </c>
      <c r="AI2" s="77" t="s">
        <v>84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78">
        <v>1.0</v>
      </c>
      <c r="B3" s="68">
        <v>45608.0</v>
      </c>
      <c r="C3" s="13" t="s">
        <v>56</v>
      </c>
      <c r="D3" s="13" t="s">
        <v>22</v>
      </c>
      <c r="E3" s="55" t="s">
        <v>67</v>
      </c>
      <c r="F3" s="79">
        <v>4.0</v>
      </c>
      <c r="G3" s="80" t="s">
        <v>24</v>
      </c>
      <c r="H3" s="79">
        <v>10.0</v>
      </c>
      <c r="I3" s="55" t="s">
        <v>25</v>
      </c>
      <c r="J3" s="3"/>
      <c r="K3" s="17">
        <f t="shared" ref="K3:K30" si="1">IF(F3="","",IFS(F3&gt;H3,2,F3=H3,1,H3&gt;F3,0,F3="",0))</f>
        <v>0</v>
      </c>
      <c r="L3" s="18">
        <f t="shared" ref="L3:L30" si="2">IF(H3="","",IFS(F3&lt;H3,2,F3=H3,1,H3&lt;F3,0))</f>
        <v>2</v>
      </c>
      <c r="M3" s="3"/>
      <c r="N3" s="18">
        <v>1.0</v>
      </c>
      <c r="O3" s="81" t="s">
        <v>25</v>
      </c>
      <c r="P3" s="18">
        <f t="shared" ref="P3:P9" si="3">SUMIF(E$3:E$30,O3,K$3:K$30)+SUMIF(I$3:I$30,O3,L$3:L$30)</f>
        <v>10</v>
      </c>
      <c r="Q3" s="20">
        <f t="shared" ref="Q3:Q9" si="4">COUNTIFS(E$3:E$30,O3,K$3:K$30,2)+COUNTIFS(I$3:I$30,O3,L$3:L$30,2)</f>
        <v>5</v>
      </c>
      <c r="R3" s="20">
        <f t="shared" ref="R3:R9" si="5">COUNTIFS(E$3:E$30,O3,K$3:K$30,1)+COUNTIFS(I$3:I$30,O3,L$3:L$30,1)</f>
        <v>0</v>
      </c>
      <c r="S3" s="22">
        <f t="shared" ref="S3:S9" si="6">COUNTIFS(E$3:E$30,O3,K$3:K$30,0)+COUNTIFS(I$3:I$30,O3,L$3:L$30,0)</f>
        <v>1</v>
      </c>
      <c r="T3" s="18">
        <f t="shared" ref="T3:T9" si="7">SUMIF(E$3:E$30,O3,F$3:F$30)+SUMIF(I$3:I$30,O3,H$3:H$30)</f>
        <v>83</v>
      </c>
      <c r="U3" s="22">
        <f t="shared" ref="U3:U9" si="8">SUMIF(E$3:E$30,O3,H$3:H$30)+SUMIF(I$3:I$30,O3,F$3:F$30)</f>
        <v>34</v>
      </c>
      <c r="V3" s="18">
        <f t="shared" ref="V3:V9" si="9">T3-U3</f>
        <v>49</v>
      </c>
      <c r="AA3" s="24" t="s">
        <v>29</v>
      </c>
      <c r="AB3" s="82" t="str">
        <f t="array" ref="AB3:AI9">SORT(O3:V9,2,FALSE,8,FALSE,8,FALSE())</f>
        <v>Eng. Mecânica</v>
      </c>
      <c r="AC3" s="26">
        <v>12.0</v>
      </c>
      <c r="AD3" s="26">
        <v>6.0</v>
      </c>
      <c r="AE3" s="26">
        <v>0.0</v>
      </c>
      <c r="AF3" s="27">
        <v>0.0</v>
      </c>
      <c r="AG3" s="26">
        <v>97.0</v>
      </c>
      <c r="AH3" s="27">
        <v>32.0</v>
      </c>
      <c r="AI3" s="26">
        <v>65.0</v>
      </c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</row>
    <row r="4" ht="15.75" customHeight="1">
      <c r="A4" s="29"/>
      <c r="B4" s="68">
        <v>45608.0</v>
      </c>
      <c r="C4" s="13" t="s">
        <v>56</v>
      </c>
      <c r="D4" s="13" t="s">
        <v>22</v>
      </c>
      <c r="E4" s="55" t="s">
        <v>71</v>
      </c>
      <c r="F4" s="79">
        <v>2.0</v>
      </c>
      <c r="G4" s="80" t="s">
        <v>24</v>
      </c>
      <c r="H4" s="79">
        <v>8.0</v>
      </c>
      <c r="I4" s="55" t="s">
        <v>66</v>
      </c>
      <c r="J4" s="3"/>
      <c r="K4" s="17">
        <f t="shared" si="1"/>
        <v>0</v>
      </c>
      <c r="L4" s="18">
        <f t="shared" si="2"/>
        <v>2</v>
      </c>
      <c r="M4" s="3"/>
      <c r="N4" s="18">
        <v>2.0</v>
      </c>
      <c r="O4" s="81" t="s">
        <v>67</v>
      </c>
      <c r="P4" s="18">
        <f t="shared" si="3"/>
        <v>6</v>
      </c>
      <c r="Q4" s="20">
        <f t="shared" si="4"/>
        <v>3</v>
      </c>
      <c r="R4" s="20">
        <f t="shared" si="5"/>
        <v>0</v>
      </c>
      <c r="S4" s="22">
        <f t="shared" si="6"/>
        <v>3</v>
      </c>
      <c r="T4" s="18">
        <f t="shared" si="7"/>
        <v>46</v>
      </c>
      <c r="U4" s="22">
        <f t="shared" si="8"/>
        <v>24</v>
      </c>
      <c r="V4" s="18">
        <f t="shared" si="9"/>
        <v>22</v>
      </c>
      <c r="AA4" s="24" t="s">
        <v>35</v>
      </c>
      <c r="AB4" s="82" t="s">
        <v>25</v>
      </c>
      <c r="AC4" s="26">
        <v>10.0</v>
      </c>
      <c r="AD4" s="26">
        <v>5.0</v>
      </c>
      <c r="AE4" s="26">
        <v>0.0</v>
      </c>
      <c r="AF4" s="27">
        <v>1.0</v>
      </c>
      <c r="AG4" s="26">
        <v>83.0</v>
      </c>
      <c r="AH4" s="27">
        <v>34.0</v>
      </c>
      <c r="AI4" s="26">
        <v>49.0</v>
      </c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</row>
    <row r="5" ht="15.75" customHeight="1">
      <c r="A5" s="29"/>
      <c r="B5" s="68">
        <v>45608.0</v>
      </c>
      <c r="C5" s="13" t="s">
        <v>85</v>
      </c>
      <c r="D5" s="13" t="s">
        <v>22</v>
      </c>
      <c r="E5" s="55" t="s">
        <v>34</v>
      </c>
      <c r="F5" s="79">
        <v>19.0</v>
      </c>
      <c r="G5" s="80" t="s">
        <v>24</v>
      </c>
      <c r="H5" s="79">
        <v>4.0</v>
      </c>
      <c r="I5" s="55" t="s">
        <v>86</v>
      </c>
      <c r="J5" s="3"/>
      <c r="K5" s="17">
        <f t="shared" si="1"/>
        <v>2</v>
      </c>
      <c r="L5" s="18">
        <f t="shared" si="2"/>
        <v>0</v>
      </c>
      <c r="M5" s="3"/>
      <c r="N5" s="18">
        <v>3.0</v>
      </c>
      <c r="O5" s="81" t="s">
        <v>71</v>
      </c>
      <c r="P5" s="18">
        <f t="shared" si="3"/>
        <v>0</v>
      </c>
      <c r="Q5" s="20">
        <f t="shared" si="4"/>
        <v>0</v>
      </c>
      <c r="R5" s="20">
        <f t="shared" si="5"/>
        <v>0</v>
      </c>
      <c r="S5" s="22">
        <f t="shared" si="6"/>
        <v>6</v>
      </c>
      <c r="T5" s="18">
        <f t="shared" si="7"/>
        <v>15</v>
      </c>
      <c r="U5" s="22">
        <f t="shared" si="8"/>
        <v>56</v>
      </c>
      <c r="V5" s="18">
        <f t="shared" si="9"/>
        <v>-41</v>
      </c>
      <c r="AA5" s="24" t="s">
        <v>40</v>
      </c>
      <c r="AB5" s="82" t="s">
        <v>66</v>
      </c>
      <c r="AC5" s="26">
        <v>8.0</v>
      </c>
      <c r="AD5" s="26">
        <v>4.0</v>
      </c>
      <c r="AE5" s="26">
        <v>0.0</v>
      </c>
      <c r="AF5" s="27">
        <v>2.0</v>
      </c>
      <c r="AG5" s="26">
        <v>34.0</v>
      </c>
      <c r="AH5" s="27">
        <v>51.0</v>
      </c>
      <c r="AI5" s="26">
        <v>-17.0</v>
      </c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</row>
    <row r="6" ht="15.75" customHeight="1">
      <c r="A6" s="37"/>
      <c r="B6" s="68"/>
      <c r="C6" s="13"/>
      <c r="D6" s="13"/>
      <c r="E6" s="55" t="s">
        <v>32</v>
      </c>
      <c r="F6" s="79"/>
      <c r="G6" s="80" t="s">
        <v>24</v>
      </c>
      <c r="H6" s="79"/>
      <c r="I6" s="55">
        <v>0.0</v>
      </c>
      <c r="J6" s="3"/>
      <c r="K6" s="17" t="str">
        <f t="shared" si="1"/>
        <v/>
      </c>
      <c r="L6" s="18" t="str">
        <f t="shared" si="2"/>
        <v/>
      </c>
      <c r="M6" s="3"/>
      <c r="N6" s="18">
        <v>4.0</v>
      </c>
      <c r="O6" s="81" t="s">
        <v>34</v>
      </c>
      <c r="P6" s="18">
        <f t="shared" si="3"/>
        <v>12</v>
      </c>
      <c r="Q6" s="20">
        <f t="shared" si="4"/>
        <v>6</v>
      </c>
      <c r="R6" s="20">
        <f t="shared" si="5"/>
        <v>0</v>
      </c>
      <c r="S6" s="22">
        <f t="shared" si="6"/>
        <v>0</v>
      </c>
      <c r="T6" s="18">
        <f t="shared" si="7"/>
        <v>97</v>
      </c>
      <c r="U6" s="22">
        <f t="shared" si="8"/>
        <v>32</v>
      </c>
      <c r="V6" s="18">
        <f t="shared" si="9"/>
        <v>65</v>
      </c>
      <c r="AA6" s="24" t="s">
        <v>44</v>
      </c>
      <c r="AB6" s="82" t="s">
        <v>67</v>
      </c>
      <c r="AC6" s="26">
        <v>6.0</v>
      </c>
      <c r="AD6" s="26">
        <v>3.0</v>
      </c>
      <c r="AE6" s="26">
        <v>0.0</v>
      </c>
      <c r="AF6" s="27">
        <v>3.0</v>
      </c>
      <c r="AG6" s="26">
        <v>46.0</v>
      </c>
      <c r="AH6" s="27">
        <v>24.0</v>
      </c>
      <c r="AI6" s="26">
        <v>22.0</v>
      </c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ht="15.75" customHeight="1">
      <c r="A7" s="78">
        <v>2.0</v>
      </c>
      <c r="B7" s="68">
        <v>45608.0</v>
      </c>
      <c r="C7" s="13" t="s">
        <v>85</v>
      </c>
      <c r="D7" s="13" t="s">
        <v>22</v>
      </c>
      <c r="E7" s="55" t="s">
        <v>25</v>
      </c>
      <c r="F7" s="83">
        <v>9.0</v>
      </c>
      <c r="G7" s="80" t="s">
        <v>24</v>
      </c>
      <c r="H7" s="83">
        <v>5.0</v>
      </c>
      <c r="I7" s="55" t="s">
        <v>71</v>
      </c>
      <c r="J7" s="3"/>
      <c r="K7" s="17">
        <f t="shared" si="1"/>
        <v>2</v>
      </c>
      <c r="L7" s="18">
        <f t="shared" si="2"/>
        <v>0</v>
      </c>
      <c r="M7" s="3"/>
      <c r="N7" s="18">
        <v>5.0</v>
      </c>
      <c r="O7" s="81" t="s">
        <v>32</v>
      </c>
      <c r="P7" s="18">
        <f t="shared" si="3"/>
        <v>2</v>
      </c>
      <c r="Q7" s="20">
        <f t="shared" si="4"/>
        <v>1</v>
      </c>
      <c r="R7" s="20">
        <f t="shared" si="5"/>
        <v>0</v>
      </c>
      <c r="S7" s="22">
        <f t="shared" si="6"/>
        <v>5</v>
      </c>
      <c r="T7" s="18">
        <f t="shared" si="7"/>
        <v>19</v>
      </c>
      <c r="U7" s="22">
        <f t="shared" si="8"/>
        <v>74</v>
      </c>
      <c r="V7" s="18">
        <f t="shared" si="9"/>
        <v>-55</v>
      </c>
      <c r="AA7" s="24">
        <v>5.0</v>
      </c>
      <c r="AB7" s="82" t="s">
        <v>86</v>
      </c>
      <c r="AC7" s="26">
        <v>4.0</v>
      </c>
      <c r="AD7" s="26">
        <v>2.0</v>
      </c>
      <c r="AE7" s="26">
        <v>0.0</v>
      </c>
      <c r="AF7" s="27">
        <v>4.0</v>
      </c>
      <c r="AG7" s="26">
        <v>34.0</v>
      </c>
      <c r="AH7" s="27">
        <v>57.0</v>
      </c>
      <c r="AI7" s="26">
        <v>-23.0</v>
      </c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</row>
    <row r="8" ht="15.75" customHeight="1">
      <c r="A8" s="29"/>
      <c r="B8" s="68"/>
      <c r="C8" s="13"/>
      <c r="D8" s="13"/>
      <c r="E8" s="55">
        <v>0.0</v>
      </c>
      <c r="F8" s="79"/>
      <c r="G8" s="80" t="s">
        <v>24</v>
      </c>
      <c r="H8" s="79"/>
      <c r="I8" s="55" t="s">
        <v>67</v>
      </c>
      <c r="J8" s="3"/>
      <c r="K8" s="17" t="str">
        <f t="shared" si="1"/>
        <v/>
      </c>
      <c r="L8" s="18" t="str">
        <f t="shared" si="2"/>
        <v/>
      </c>
      <c r="M8" s="3"/>
      <c r="N8" s="18">
        <v>6.0</v>
      </c>
      <c r="O8" s="81" t="s">
        <v>86</v>
      </c>
      <c r="P8" s="18">
        <f t="shared" si="3"/>
        <v>4</v>
      </c>
      <c r="Q8" s="20">
        <f t="shared" si="4"/>
        <v>2</v>
      </c>
      <c r="R8" s="20">
        <f t="shared" si="5"/>
        <v>0</v>
      </c>
      <c r="S8" s="22">
        <f t="shared" si="6"/>
        <v>4</v>
      </c>
      <c r="T8" s="18">
        <f t="shared" si="7"/>
        <v>34</v>
      </c>
      <c r="U8" s="22">
        <f t="shared" si="8"/>
        <v>57</v>
      </c>
      <c r="V8" s="18">
        <f t="shared" si="9"/>
        <v>-23</v>
      </c>
      <c r="AA8" s="24">
        <v>6.0</v>
      </c>
      <c r="AB8" s="82" t="s">
        <v>32</v>
      </c>
      <c r="AC8" s="26">
        <v>2.0</v>
      </c>
      <c r="AD8" s="26">
        <v>1.0</v>
      </c>
      <c r="AE8" s="26">
        <v>0.0</v>
      </c>
      <c r="AF8" s="27">
        <v>5.0</v>
      </c>
      <c r="AG8" s="26">
        <v>19.0</v>
      </c>
      <c r="AH8" s="27">
        <v>74.0</v>
      </c>
      <c r="AI8" s="26">
        <v>-55.0</v>
      </c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</row>
    <row r="9" ht="15.75" customHeight="1">
      <c r="A9" s="29"/>
      <c r="B9" s="68">
        <v>45608.0</v>
      </c>
      <c r="C9" s="13" t="s">
        <v>87</v>
      </c>
      <c r="D9" s="13" t="s">
        <v>22</v>
      </c>
      <c r="E9" s="55" t="s">
        <v>66</v>
      </c>
      <c r="F9" s="79">
        <v>4.0</v>
      </c>
      <c r="G9" s="80" t="s">
        <v>24</v>
      </c>
      <c r="H9" s="79">
        <v>20.0</v>
      </c>
      <c r="I9" s="55" t="s">
        <v>34</v>
      </c>
      <c r="J9" s="3"/>
      <c r="K9" s="17">
        <f t="shared" si="1"/>
        <v>0</v>
      </c>
      <c r="L9" s="18">
        <f t="shared" si="2"/>
        <v>2</v>
      </c>
      <c r="M9" s="3"/>
      <c r="N9" s="18">
        <v>7.0</v>
      </c>
      <c r="O9" s="81" t="s">
        <v>66</v>
      </c>
      <c r="P9" s="18">
        <f t="shared" si="3"/>
        <v>8</v>
      </c>
      <c r="Q9" s="20">
        <f t="shared" si="4"/>
        <v>4</v>
      </c>
      <c r="R9" s="20">
        <f t="shared" si="5"/>
        <v>0</v>
      </c>
      <c r="S9" s="22">
        <f t="shared" si="6"/>
        <v>2</v>
      </c>
      <c r="T9" s="18">
        <f t="shared" si="7"/>
        <v>34</v>
      </c>
      <c r="U9" s="22">
        <f t="shared" si="8"/>
        <v>51</v>
      </c>
      <c r="V9" s="18">
        <f t="shared" si="9"/>
        <v>-17</v>
      </c>
      <c r="AA9" s="24">
        <v>7.0</v>
      </c>
      <c r="AB9" s="82" t="s">
        <v>71</v>
      </c>
      <c r="AC9" s="26">
        <v>0.0</v>
      </c>
      <c r="AD9" s="26">
        <v>0.0</v>
      </c>
      <c r="AE9" s="26">
        <v>0.0</v>
      </c>
      <c r="AF9" s="27">
        <v>6.0</v>
      </c>
      <c r="AG9" s="26">
        <v>15.0</v>
      </c>
      <c r="AH9" s="27">
        <v>56.0</v>
      </c>
      <c r="AI9" s="26">
        <v>-41.0</v>
      </c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</row>
    <row r="10" ht="15.75" customHeight="1">
      <c r="A10" s="37"/>
      <c r="B10" s="68">
        <v>45608.0</v>
      </c>
      <c r="C10" s="13" t="s">
        <v>57</v>
      </c>
      <c r="D10" s="13" t="s">
        <v>22</v>
      </c>
      <c r="E10" s="55" t="s">
        <v>86</v>
      </c>
      <c r="F10" s="79">
        <v>6.0</v>
      </c>
      <c r="G10" s="80" t="s">
        <v>24</v>
      </c>
      <c r="H10" s="79">
        <v>3.0</v>
      </c>
      <c r="I10" s="55" t="s">
        <v>32</v>
      </c>
      <c r="J10" s="3"/>
      <c r="K10" s="17">
        <f t="shared" si="1"/>
        <v>2</v>
      </c>
      <c r="L10" s="18">
        <f t="shared" si="2"/>
        <v>0</v>
      </c>
      <c r="M10" s="3"/>
      <c r="N10" s="18"/>
      <c r="O10" s="84"/>
      <c r="P10" s="18"/>
      <c r="Q10" s="20"/>
      <c r="R10" s="20"/>
      <c r="S10" s="22"/>
      <c r="T10" s="18"/>
      <c r="U10" s="22"/>
      <c r="V10" s="18"/>
      <c r="AA10" s="85" t="s">
        <v>88</v>
      </c>
      <c r="AD10" s="86"/>
      <c r="AE10" s="86"/>
      <c r="AF10" s="87"/>
      <c r="AG10" s="86"/>
      <c r="AH10" s="87"/>
      <c r="AI10" s="86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</row>
    <row r="11" ht="15.75" customHeight="1">
      <c r="A11" s="88">
        <v>3.0</v>
      </c>
      <c r="B11" s="54">
        <v>45728.0</v>
      </c>
      <c r="C11" s="13" t="s">
        <v>75</v>
      </c>
      <c r="D11" s="13" t="s">
        <v>22</v>
      </c>
      <c r="E11" s="55" t="s">
        <v>34</v>
      </c>
      <c r="F11" s="79">
        <v>14.0</v>
      </c>
      <c r="G11" s="80"/>
      <c r="H11" s="79">
        <v>13.0</v>
      </c>
      <c r="I11" s="55" t="s">
        <v>25</v>
      </c>
      <c r="J11" s="3"/>
      <c r="K11" s="17">
        <f t="shared" si="1"/>
        <v>2</v>
      </c>
      <c r="L11" s="18">
        <f t="shared" si="2"/>
        <v>0</v>
      </c>
      <c r="M11" s="3"/>
      <c r="AA11" s="48"/>
      <c r="AD11" s="47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ht="15.75" customHeight="1">
      <c r="A12" s="29"/>
      <c r="B12" s="54">
        <v>45728.0</v>
      </c>
      <c r="C12" s="13" t="s">
        <v>75</v>
      </c>
      <c r="D12" s="13" t="s">
        <v>22</v>
      </c>
      <c r="E12" s="55" t="s">
        <v>71</v>
      </c>
      <c r="F12" s="79">
        <v>0.0</v>
      </c>
      <c r="G12" s="80" t="s">
        <v>24</v>
      </c>
      <c r="H12" s="79">
        <v>9.0</v>
      </c>
      <c r="I12" s="55" t="s">
        <v>67</v>
      </c>
      <c r="J12" s="3"/>
      <c r="K12" s="17">
        <f t="shared" si="1"/>
        <v>0</v>
      </c>
      <c r="L12" s="18">
        <f t="shared" si="2"/>
        <v>2</v>
      </c>
      <c r="M12" s="3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ht="15.75" customHeight="1">
      <c r="A13" s="29"/>
      <c r="B13" s="54">
        <v>45728.0</v>
      </c>
      <c r="C13" s="13" t="s">
        <v>89</v>
      </c>
      <c r="D13" s="13" t="s">
        <v>22</v>
      </c>
      <c r="E13" s="55" t="s">
        <v>32</v>
      </c>
      <c r="F13" s="79">
        <v>2.0</v>
      </c>
      <c r="G13" s="80" t="s">
        <v>24</v>
      </c>
      <c r="H13" s="79">
        <v>7.0</v>
      </c>
      <c r="I13" s="55" t="s">
        <v>66</v>
      </c>
      <c r="J13" s="3"/>
      <c r="K13" s="17">
        <f t="shared" si="1"/>
        <v>0</v>
      </c>
      <c r="L13" s="18">
        <f t="shared" si="2"/>
        <v>2</v>
      </c>
      <c r="M13" s="3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ht="15.75" customHeight="1">
      <c r="A14" s="37"/>
      <c r="B14" s="54"/>
      <c r="C14" s="13"/>
      <c r="D14" s="13"/>
      <c r="E14" s="55">
        <v>0.0</v>
      </c>
      <c r="F14" s="79"/>
      <c r="G14" s="80" t="s">
        <v>24</v>
      </c>
      <c r="H14" s="79"/>
      <c r="I14" s="55" t="s">
        <v>86</v>
      </c>
      <c r="J14" s="3"/>
      <c r="K14" s="17" t="str">
        <f t="shared" si="1"/>
        <v/>
      </c>
      <c r="L14" s="18" t="str">
        <f t="shared" si="2"/>
        <v/>
      </c>
      <c r="M14" s="3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ht="15.75" customHeight="1">
      <c r="A15" s="78">
        <v>4.0</v>
      </c>
      <c r="B15" s="54">
        <v>45728.0</v>
      </c>
      <c r="C15" s="13" t="s">
        <v>90</v>
      </c>
      <c r="D15" s="13" t="s">
        <v>22</v>
      </c>
      <c r="E15" s="89" t="s">
        <v>25</v>
      </c>
      <c r="F15" s="79">
        <v>18.0</v>
      </c>
      <c r="G15" s="80" t="s">
        <v>24</v>
      </c>
      <c r="H15" s="79">
        <v>2.0</v>
      </c>
      <c r="I15" s="89" t="s">
        <v>32</v>
      </c>
      <c r="J15" s="3"/>
      <c r="K15" s="17">
        <f t="shared" si="1"/>
        <v>2</v>
      </c>
      <c r="L15" s="18">
        <f t="shared" si="2"/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ht="15.75" customHeight="1">
      <c r="A16" s="29"/>
      <c r="B16" s="54">
        <v>45728.0</v>
      </c>
      <c r="C16" s="13" t="s">
        <v>89</v>
      </c>
      <c r="D16" s="13" t="s">
        <v>22</v>
      </c>
      <c r="E16" s="89" t="s">
        <v>67</v>
      </c>
      <c r="F16" s="79">
        <v>6.0</v>
      </c>
      <c r="G16" s="80" t="s">
        <v>24</v>
      </c>
      <c r="H16" s="79">
        <v>8.0</v>
      </c>
      <c r="I16" s="89" t="s">
        <v>34</v>
      </c>
      <c r="J16" s="3"/>
      <c r="K16" s="17">
        <f t="shared" si="1"/>
        <v>0</v>
      </c>
      <c r="L16" s="18">
        <f t="shared" si="2"/>
        <v>2</v>
      </c>
      <c r="M16" s="3"/>
      <c r="N16" s="3"/>
      <c r="O16" s="3"/>
      <c r="P16" s="3"/>
      <c r="Q16" s="3"/>
      <c r="R16" s="3"/>
      <c r="S16" s="3"/>
      <c r="T16" s="3"/>
      <c r="U16" s="3"/>
      <c r="V16" s="3"/>
      <c r="AF16" s="4"/>
      <c r="AG16" s="4"/>
      <c r="AH16" s="90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ht="15.75" customHeight="1">
      <c r="A17" s="29"/>
      <c r="B17" s="91"/>
      <c r="C17" s="92"/>
      <c r="D17" s="92"/>
      <c r="E17" s="55" t="s">
        <v>71</v>
      </c>
      <c r="F17" s="79"/>
      <c r="G17" s="80" t="s">
        <v>24</v>
      </c>
      <c r="H17" s="79"/>
      <c r="I17" s="55">
        <v>0.0</v>
      </c>
      <c r="J17" s="3"/>
      <c r="K17" s="17" t="str">
        <f t="shared" si="1"/>
        <v/>
      </c>
      <c r="L17" s="18" t="str">
        <f t="shared" si="2"/>
        <v/>
      </c>
      <c r="M17" s="3"/>
      <c r="N17" s="3"/>
      <c r="O17" s="3"/>
      <c r="P17" s="3"/>
      <c r="Q17" s="3"/>
      <c r="R17" s="3"/>
      <c r="S17" s="3"/>
      <c r="T17" s="3"/>
      <c r="U17" s="3"/>
      <c r="V17" s="3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ht="15.75" customHeight="1">
      <c r="A18" s="37"/>
      <c r="B18" s="54">
        <v>45728.0</v>
      </c>
      <c r="C18" s="13" t="s">
        <v>90</v>
      </c>
      <c r="D18" s="13" t="s">
        <v>22</v>
      </c>
      <c r="E18" s="89" t="s">
        <v>66</v>
      </c>
      <c r="F18" s="79">
        <v>10.0</v>
      </c>
      <c r="G18" s="80" t="s">
        <v>24</v>
      </c>
      <c r="H18" s="79">
        <v>8.0</v>
      </c>
      <c r="I18" s="89" t="s">
        <v>86</v>
      </c>
      <c r="J18" s="50"/>
      <c r="K18" s="17">
        <f t="shared" si="1"/>
        <v>2</v>
      </c>
      <c r="L18" s="18">
        <f t="shared" si="2"/>
        <v>0</v>
      </c>
      <c r="M18" s="3"/>
      <c r="N18" s="3"/>
      <c r="O18" s="3"/>
      <c r="P18" s="3"/>
      <c r="R18" s="3"/>
      <c r="S18" s="3"/>
      <c r="T18" s="3"/>
      <c r="U18" s="3"/>
      <c r="V18" s="3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ht="15.75" customHeight="1">
      <c r="A19" s="78">
        <v>5.0</v>
      </c>
      <c r="B19" s="54">
        <v>45728.0</v>
      </c>
      <c r="C19" s="13" t="s">
        <v>76</v>
      </c>
      <c r="D19" s="13" t="s">
        <v>22</v>
      </c>
      <c r="E19" s="55" t="s">
        <v>86</v>
      </c>
      <c r="F19" s="79">
        <v>6.0</v>
      </c>
      <c r="G19" s="80" t="s">
        <v>24</v>
      </c>
      <c r="H19" s="79">
        <v>14.0</v>
      </c>
      <c r="I19" s="55" t="s">
        <v>25</v>
      </c>
      <c r="J19" s="3"/>
      <c r="K19" s="17">
        <f t="shared" si="1"/>
        <v>0</v>
      </c>
      <c r="L19" s="18">
        <f t="shared" si="2"/>
        <v>2</v>
      </c>
      <c r="M19" s="3"/>
      <c r="N19" s="3"/>
      <c r="O19" s="3"/>
      <c r="P19" s="3"/>
      <c r="Q19" s="3"/>
      <c r="R19" s="3"/>
      <c r="S19" s="3"/>
      <c r="T19" s="3"/>
      <c r="U19" s="3"/>
      <c r="V19" s="3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ht="15.75" customHeight="1">
      <c r="A20" s="29"/>
      <c r="B20" s="54">
        <v>45728.0</v>
      </c>
      <c r="C20" s="13" t="s">
        <v>76</v>
      </c>
      <c r="D20" s="13" t="s">
        <v>22</v>
      </c>
      <c r="E20" s="55" t="s">
        <v>32</v>
      </c>
      <c r="F20" s="79">
        <v>0.0</v>
      </c>
      <c r="G20" s="80" t="s">
        <v>24</v>
      </c>
      <c r="H20" s="79">
        <v>21.0</v>
      </c>
      <c r="I20" s="55" t="s">
        <v>67</v>
      </c>
      <c r="J20" s="3"/>
      <c r="K20" s="17">
        <f t="shared" si="1"/>
        <v>0</v>
      </c>
      <c r="L20" s="18">
        <f t="shared" si="2"/>
        <v>2</v>
      </c>
      <c r="M20" s="3"/>
      <c r="N20" s="3"/>
      <c r="O20" s="3"/>
      <c r="P20" s="3"/>
      <c r="Q20" s="3"/>
      <c r="R20" s="3"/>
      <c r="S20" s="3"/>
      <c r="T20" s="3"/>
      <c r="U20" s="3"/>
      <c r="V20" s="3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ht="15.75" customHeight="1">
      <c r="A21" s="29"/>
      <c r="B21" s="54">
        <v>45728.0</v>
      </c>
      <c r="C21" s="13" t="s">
        <v>91</v>
      </c>
      <c r="D21" s="13" t="s">
        <v>22</v>
      </c>
      <c r="E21" s="55" t="s">
        <v>34</v>
      </c>
      <c r="F21" s="79">
        <v>15.0</v>
      </c>
      <c r="G21" s="80" t="s">
        <v>24</v>
      </c>
      <c r="H21" s="79">
        <v>2.0</v>
      </c>
      <c r="I21" s="55" t="s">
        <v>71</v>
      </c>
      <c r="J21" s="3"/>
      <c r="K21" s="17">
        <f t="shared" si="1"/>
        <v>2</v>
      </c>
      <c r="L21" s="18">
        <f t="shared" si="2"/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AA21" s="9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ht="15.75" customHeight="1">
      <c r="A22" s="37"/>
      <c r="B22" s="54"/>
      <c r="C22" s="13"/>
      <c r="D22" s="13"/>
      <c r="E22" s="55">
        <v>0.0</v>
      </c>
      <c r="F22" s="79"/>
      <c r="G22" s="80" t="s">
        <v>24</v>
      </c>
      <c r="H22" s="79"/>
      <c r="I22" s="55" t="s">
        <v>66</v>
      </c>
      <c r="J22" s="3"/>
      <c r="K22" s="17" t="str">
        <f t="shared" si="1"/>
        <v/>
      </c>
      <c r="L22" s="18" t="str">
        <f t="shared" si="2"/>
        <v/>
      </c>
      <c r="M22" s="3"/>
      <c r="N22" s="3"/>
      <c r="O22" s="3"/>
      <c r="P22" s="3"/>
      <c r="Q22" s="3"/>
      <c r="R22" s="3"/>
      <c r="S22" s="3"/>
      <c r="T22" s="3"/>
      <c r="U22" s="3"/>
      <c r="V22" s="3"/>
      <c r="AA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ht="15.75" customHeight="1">
      <c r="A23" s="78">
        <v>6.0</v>
      </c>
      <c r="B23" s="54">
        <v>45784.0</v>
      </c>
      <c r="C23" s="13" t="s">
        <v>75</v>
      </c>
      <c r="D23" s="13" t="s">
        <v>22</v>
      </c>
      <c r="E23" s="55" t="s">
        <v>25</v>
      </c>
      <c r="F23" s="79">
        <v>19.0</v>
      </c>
      <c r="G23" s="80" t="s">
        <v>24</v>
      </c>
      <c r="H23" s="79">
        <v>3.0</v>
      </c>
      <c r="I23" s="55" t="s">
        <v>66</v>
      </c>
      <c r="J23" s="3"/>
      <c r="K23" s="17">
        <f t="shared" si="1"/>
        <v>2</v>
      </c>
      <c r="L23" s="18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AA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ht="15.75" customHeight="1">
      <c r="A24" s="29"/>
      <c r="B24" s="54">
        <v>45784.0</v>
      </c>
      <c r="C24" s="13" t="s">
        <v>75</v>
      </c>
      <c r="D24" s="13" t="s">
        <v>22</v>
      </c>
      <c r="E24" s="55" t="s">
        <v>67</v>
      </c>
      <c r="F24" s="79">
        <v>6.0</v>
      </c>
      <c r="G24" s="80" t="s">
        <v>24</v>
      </c>
      <c r="H24" s="79">
        <v>4.0</v>
      </c>
      <c r="I24" s="55" t="s">
        <v>86</v>
      </c>
      <c r="J24" s="3"/>
      <c r="K24" s="17">
        <f t="shared" si="1"/>
        <v>2</v>
      </c>
      <c r="L24" s="18">
        <f t="shared" si="2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AA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ht="15.75" customHeight="1">
      <c r="A25" s="29"/>
      <c r="B25" s="54">
        <v>45784.0</v>
      </c>
      <c r="C25" s="13" t="s">
        <v>89</v>
      </c>
      <c r="D25" s="13" t="s">
        <v>22</v>
      </c>
      <c r="E25" s="55" t="s">
        <v>71</v>
      </c>
      <c r="F25" s="79">
        <v>1.0</v>
      </c>
      <c r="G25" s="80" t="s">
        <v>24</v>
      </c>
      <c r="H25" s="79">
        <v>9.0</v>
      </c>
      <c r="I25" s="55" t="s">
        <v>32</v>
      </c>
      <c r="J25" s="3"/>
      <c r="K25" s="17">
        <f t="shared" si="1"/>
        <v>0</v>
      </c>
      <c r="L25" s="18">
        <f t="shared" si="2"/>
        <v>2</v>
      </c>
      <c r="M25" s="3"/>
      <c r="N25" s="3"/>
      <c r="O25" s="3"/>
      <c r="P25" s="3"/>
      <c r="Q25" s="3"/>
      <c r="R25" s="3"/>
      <c r="S25" s="3"/>
      <c r="T25" s="3"/>
      <c r="U25" s="3"/>
      <c r="V25" s="3"/>
      <c r="AA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ht="15.75" customHeight="1">
      <c r="A26" s="37"/>
      <c r="B26" s="54"/>
      <c r="C26" s="13"/>
      <c r="D26" s="13"/>
      <c r="E26" s="55" t="s">
        <v>34</v>
      </c>
      <c r="F26" s="79"/>
      <c r="G26" s="80" t="s">
        <v>24</v>
      </c>
      <c r="H26" s="79"/>
      <c r="I26" s="55">
        <v>0.0</v>
      </c>
      <c r="J26" s="3"/>
      <c r="K26" s="17" t="str">
        <f t="shared" si="1"/>
        <v/>
      </c>
      <c r="L26" s="18" t="str">
        <f t="shared" si="2"/>
        <v/>
      </c>
      <c r="M26" s="3"/>
      <c r="N26" s="3"/>
      <c r="O26" s="3"/>
      <c r="P26" s="3"/>
      <c r="Q26" s="3"/>
      <c r="R26" s="3"/>
      <c r="S26" s="3"/>
      <c r="T26" s="3"/>
      <c r="U26" s="3"/>
      <c r="V26" s="3"/>
      <c r="AA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ht="15.75" customHeight="1">
      <c r="A27" s="78">
        <v>7.0</v>
      </c>
      <c r="B27" s="54"/>
      <c r="C27" s="13"/>
      <c r="D27" s="13"/>
      <c r="E27" s="55">
        <v>0.0</v>
      </c>
      <c r="F27" s="79"/>
      <c r="G27" s="80" t="s">
        <v>24</v>
      </c>
      <c r="H27" s="79"/>
      <c r="I27" s="55" t="s">
        <v>25</v>
      </c>
      <c r="J27" s="3"/>
      <c r="K27" s="17" t="str">
        <f t="shared" si="1"/>
        <v/>
      </c>
      <c r="L27" s="18" t="str">
        <f t="shared" si="2"/>
        <v/>
      </c>
      <c r="M27" s="3"/>
      <c r="N27" s="3"/>
      <c r="O27" s="3"/>
      <c r="P27" s="3"/>
      <c r="Q27" s="3"/>
      <c r="R27" s="3"/>
      <c r="S27" s="3"/>
      <c r="T27" s="3"/>
      <c r="U27" s="3"/>
      <c r="V27" s="3"/>
      <c r="AA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ht="15.75" customHeight="1">
      <c r="A28" s="29"/>
      <c r="B28" s="54">
        <v>45784.0</v>
      </c>
      <c r="C28" s="13" t="s">
        <v>89</v>
      </c>
      <c r="D28" s="13" t="s">
        <v>22</v>
      </c>
      <c r="E28" s="55" t="s">
        <v>66</v>
      </c>
      <c r="F28" s="79">
        <v>2.0</v>
      </c>
      <c r="G28" s="80" t="s">
        <v>24</v>
      </c>
      <c r="H28" s="79">
        <v>0.0</v>
      </c>
      <c r="I28" s="55" t="s">
        <v>67</v>
      </c>
      <c r="J28" s="3"/>
      <c r="K28" s="17">
        <f t="shared" si="1"/>
        <v>2</v>
      </c>
      <c r="L28" s="18">
        <f t="shared" si="2"/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AA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ht="15.75" customHeight="1">
      <c r="A29" s="29"/>
      <c r="B29" s="54">
        <v>45784.0</v>
      </c>
      <c r="C29" s="13" t="s">
        <v>90</v>
      </c>
      <c r="D29" s="13" t="s">
        <v>22</v>
      </c>
      <c r="E29" s="55" t="s">
        <v>86</v>
      </c>
      <c r="F29" s="79">
        <v>6.0</v>
      </c>
      <c r="G29" s="80" t="s">
        <v>24</v>
      </c>
      <c r="H29" s="79">
        <v>5.0</v>
      </c>
      <c r="I29" s="55" t="s">
        <v>71</v>
      </c>
      <c r="J29" s="3"/>
      <c r="K29" s="17">
        <f t="shared" si="1"/>
        <v>2</v>
      </c>
      <c r="L29" s="18">
        <f t="shared" si="2"/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AA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ht="15.75" customHeight="1">
      <c r="A30" s="37"/>
      <c r="B30" s="54">
        <v>45784.0</v>
      </c>
      <c r="C30" s="13" t="s">
        <v>90</v>
      </c>
      <c r="D30" s="13" t="s">
        <v>22</v>
      </c>
      <c r="E30" s="55" t="s">
        <v>32</v>
      </c>
      <c r="F30" s="79">
        <v>3.0</v>
      </c>
      <c r="G30" s="80" t="s">
        <v>24</v>
      </c>
      <c r="H30" s="79">
        <v>21.0</v>
      </c>
      <c r="I30" s="55" t="s">
        <v>34</v>
      </c>
      <c r="J30" s="3"/>
      <c r="K30" s="17">
        <f t="shared" si="1"/>
        <v>0</v>
      </c>
      <c r="L30" s="18">
        <f t="shared" si="2"/>
        <v>2</v>
      </c>
      <c r="M30" s="3"/>
      <c r="N30" s="3"/>
      <c r="O30" s="3"/>
      <c r="P30" s="3"/>
      <c r="Q30" s="3"/>
      <c r="R30" s="3"/>
      <c r="S30" s="3"/>
      <c r="T30" s="3"/>
      <c r="U30" s="3"/>
      <c r="V30" s="3"/>
      <c r="AA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ht="15.75" customHeight="1">
      <c r="A31" s="94"/>
      <c r="B31" s="95"/>
      <c r="C31" s="95"/>
      <c r="D31" s="95"/>
      <c r="E31" s="96"/>
      <c r="F31" s="97"/>
      <c r="G31" s="97"/>
      <c r="H31" s="71"/>
      <c r="I31" s="72"/>
      <c r="AA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ht="15.75" customHeight="1">
      <c r="A32" s="94"/>
      <c r="B32" s="95"/>
      <c r="C32" s="95"/>
      <c r="D32" s="95"/>
      <c r="E32" s="96"/>
      <c r="F32" s="97"/>
      <c r="G32" s="97"/>
      <c r="H32" s="71"/>
      <c r="I32" s="72"/>
      <c r="AA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ht="15.75" customHeight="1">
      <c r="A33" s="94"/>
      <c r="B33" s="95"/>
      <c r="C33" s="95"/>
      <c r="D33" s="95"/>
      <c r="E33" s="96"/>
      <c r="F33" s="97"/>
      <c r="G33" s="97"/>
      <c r="H33" s="71"/>
      <c r="I33" s="72"/>
      <c r="AA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ht="15.75" customHeight="1">
      <c r="A34" s="94" t="s">
        <v>92</v>
      </c>
      <c r="H34" s="71"/>
      <c r="I34" s="72"/>
      <c r="AA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ht="15.75" customHeight="1">
      <c r="A35" s="73" t="s">
        <v>1</v>
      </c>
      <c r="B35" s="74" t="s">
        <v>2</v>
      </c>
      <c r="C35" s="74" t="s">
        <v>3</v>
      </c>
      <c r="D35" s="74" t="s">
        <v>4</v>
      </c>
      <c r="E35" s="74" t="s">
        <v>5</v>
      </c>
      <c r="F35" s="75" t="s">
        <v>6</v>
      </c>
      <c r="G35" s="7"/>
      <c r="H35" s="8"/>
      <c r="I35" s="74" t="s">
        <v>7</v>
      </c>
      <c r="J35" s="9" t="s">
        <v>8</v>
      </c>
      <c r="K35" s="9" t="s">
        <v>9</v>
      </c>
      <c r="L35" s="9" t="s">
        <v>10</v>
      </c>
      <c r="M35" s="9"/>
      <c r="N35" s="9" t="s">
        <v>11</v>
      </c>
      <c r="O35" s="9" t="s">
        <v>12</v>
      </c>
      <c r="P35" s="9" t="s">
        <v>13</v>
      </c>
      <c r="Q35" s="9" t="s">
        <v>14</v>
      </c>
      <c r="R35" s="9" t="s">
        <v>15</v>
      </c>
      <c r="S35" s="9" t="s">
        <v>16</v>
      </c>
      <c r="T35" s="76" t="s">
        <v>82</v>
      </c>
      <c r="U35" s="76" t="s">
        <v>83</v>
      </c>
      <c r="V35" s="76" t="s">
        <v>84</v>
      </c>
      <c r="W35" s="4"/>
      <c r="X35" s="10" t="s">
        <v>20</v>
      </c>
      <c r="Y35" s="8"/>
      <c r="Z35" s="4"/>
      <c r="AA35" s="5" t="s">
        <v>11</v>
      </c>
      <c r="AB35" s="5" t="s">
        <v>12</v>
      </c>
      <c r="AC35" s="5" t="s">
        <v>13</v>
      </c>
      <c r="AD35" s="5" t="s">
        <v>14</v>
      </c>
      <c r="AE35" s="5" t="s">
        <v>15</v>
      </c>
      <c r="AF35" s="5" t="s">
        <v>16</v>
      </c>
      <c r="AG35" s="77" t="s">
        <v>82</v>
      </c>
      <c r="AH35" s="77" t="s">
        <v>83</v>
      </c>
      <c r="AI35" s="77" t="s">
        <v>84</v>
      </c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</row>
    <row r="36" ht="15.75" customHeight="1">
      <c r="A36" s="78">
        <v>1.0</v>
      </c>
      <c r="B36" s="68">
        <v>45608.0</v>
      </c>
      <c r="C36" s="13" t="s">
        <v>57</v>
      </c>
      <c r="D36" s="13" t="s">
        <v>22</v>
      </c>
      <c r="E36" s="55" t="s">
        <v>37</v>
      </c>
      <c r="F36" s="79">
        <v>21.0</v>
      </c>
      <c r="G36" s="80" t="s">
        <v>24</v>
      </c>
      <c r="H36" s="79">
        <v>4.0</v>
      </c>
      <c r="I36" s="55" t="s">
        <v>73</v>
      </c>
      <c r="J36" s="3"/>
      <c r="K36" s="17">
        <f t="shared" ref="K36:K63" si="10">IF(F36="","",IFS(F36&gt;H36,2,F36=H36,1,H36&gt;F36,0,F36="",0))</f>
        <v>2</v>
      </c>
      <c r="L36" s="18">
        <f t="shared" ref="L36:L63" si="11">IF(H36="","",IFS(F36&lt;H36,2,F36=H36,1,H36&lt;F36,0))</f>
        <v>0</v>
      </c>
      <c r="M36" s="3"/>
      <c r="N36" s="18">
        <v>1.0</v>
      </c>
      <c r="O36" s="81" t="s">
        <v>73</v>
      </c>
      <c r="P36" s="18">
        <f t="shared" ref="P36:P42" si="12">SUMIF(E$36:E$63,O36,K$36:K$63)+SUMIF(I$36:I$63,O36,L$36:L$63)</f>
        <v>4</v>
      </c>
      <c r="Q36" s="20">
        <f t="shared" ref="Q36:Q42" si="13">COUNTIFS(E$36:E$63,O36,K$36:K$63,2)+COUNTIFS(I$36:I$63,O36,L$36:L$63,2)</f>
        <v>2</v>
      </c>
      <c r="R36" s="22">
        <f t="shared" ref="R36:R42" si="14">COUNTIFS(E$36:E$63,O36,K$36:K$63,1)+COUNTIFS(I$36:I$63,O36,L$36:L$63,1)</f>
        <v>0</v>
      </c>
      <c r="S36" s="22">
        <f t="shared" ref="S36:S42" si="15">COUNTIFS(E$36:E$63,O36,K$36:K$63,0)+COUNTIFS(I$36:I$63,O36,L$36:L$63,0)</f>
        <v>4</v>
      </c>
      <c r="T36" s="18">
        <f t="shared" ref="T36:T42" si="16">SUMIF(E$36:E$63,O36,F$36:F$63)+SUMIF(I$36:I$63,O36,H$36:H$63)</f>
        <v>42</v>
      </c>
      <c r="U36" s="22">
        <f t="shared" ref="U36:U42" si="17">SUMIF(E$36:E$63,O36,H$36:H$63)+SUMIF(I$36:I$63,O36,F$36:F$63)</f>
        <v>59</v>
      </c>
      <c r="V36" s="18">
        <f t="shared" ref="V36:V42" si="18">T36-U36</f>
        <v>-17</v>
      </c>
      <c r="X36" s="23" t="s">
        <v>26</v>
      </c>
      <c r="Y36" s="23" t="s">
        <v>13</v>
      </c>
      <c r="AA36" s="24" t="s">
        <v>29</v>
      </c>
      <c r="AB36" s="82" t="str">
        <f t="array" ref="AB36:AI42">SORT(O36:V42,2,FALSE,9,FALSE,8,FALSE())</f>
        <v>Fisioterapia</v>
      </c>
      <c r="AC36" s="26">
        <v>12.0</v>
      </c>
      <c r="AD36" s="26">
        <v>6.0</v>
      </c>
      <c r="AE36" s="27">
        <v>0.0</v>
      </c>
      <c r="AF36" s="27">
        <v>0.0</v>
      </c>
      <c r="AG36" s="26">
        <v>112.0</v>
      </c>
      <c r="AH36" s="27">
        <v>34.0</v>
      </c>
      <c r="AI36" s="26">
        <v>78.0</v>
      </c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</row>
    <row r="37" ht="15.75" customHeight="1">
      <c r="A37" s="29"/>
      <c r="B37" s="68">
        <v>45608.0</v>
      </c>
      <c r="C37" s="13" t="s">
        <v>87</v>
      </c>
      <c r="D37" s="13" t="s">
        <v>22</v>
      </c>
      <c r="E37" s="55" t="s">
        <v>93</v>
      </c>
      <c r="F37" s="79">
        <v>5.0</v>
      </c>
      <c r="G37" s="80" t="s">
        <v>24</v>
      </c>
      <c r="H37" s="79">
        <v>4.0</v>
      </c>
      <c r="I37" s="55" t="s">
        <v>64</v>
      </c>
      <c r="J37" s="3"/>
      <c r="K37" s="17">
        <f t="shared" si="10"/>
        <v>2</v>
      </c>
      <c r="L37" s="18">
        <f t="shared" si="11"/>
        <v>0</v>
      </c>
      <c r="M37" s="3"/>
      <c r="N37" s="18">
        <v>2.0</v>
      </c>
      <c r="O37" s="81" t="s">
        <v>37</v>
      </c>
      <c r="P37" s="18">
        <f t="shared" si="12"/>
        <v>12</v>
      </c>
      <c r="Q37" s="20">
        <f t="shared" si="13"/>
        <v>6</v>
      </c>
      <c r="R37" s="22">
        <f t="shared" si="14"/>
        <v>0</v>
      </c>
      <c r="S37" s="22">
        <f t="shared" si="15"/>
        <v>0</v>
      </c>
      <c r="T37" s="18">
        <f t="shared" si="16"/>
        <v>112</v>
      </c>
      <c r="U37" s="22">
        <f t="shared" si="17"/>
        <v>34</v>
      </c>
      <c r="V37" s="18">
        <f t="shared" si="18"/>
        <v>78</v>
      </c>
      <c r="X37" s="32" t="s">
        <v>94</v>
      </c>
      <c r="Y37" s="32">
        <v>3.0</v>
      </c>
      <c r="AA37" s="24" t="s">
        <v>35</v>
      </c>
      <c r="AB37" s="82" t="s">
        <v>31</v>
      </c>
      <c r="AC37" s="26">
        <v>8.0</v>
      </c>
      <c r="AD37" s="26">
        <v>4.0</v>
      </c>
      <c r="AE37" s="27">
        <v>0.0</v>
      </c>
      <c r="AF37" s="27">
        <v>2.0</v>
      </c>
      <c r="AG37" s="26">
        <v>36.0</v>
      </c>
      <c r="AH37" s="27">
        <v>33.0</v>
      </c>
      <c r="AI37" s="26">
        <v>3.0</v>
      </c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</row>
    <row r="38" ht="15.75" customHeight="1">
      <c r="A38" s="29"/>
      <c r="B38" s="68">
        <v>45608.0</v>
      </c>
      <c r="C38" s="13" t="s">
        <v>95</v>
      </c>
      <c r="D38" s="13" t="s">
        <v>22</v>
      </c>
      <c r="E38" s="55" t="s">
        <v>96</v>
      </c>
      <c r="F38" s="79">
        <v>5.0</v>
      </c>
      <c r="G38" s="80" t="s">
        <v>24</v>
      </c>
      <c r="H38" s="79">
        <v>6.0</v>
      </c>
      <c r="I38" s="55" t="s">
        <v>31</v>
      </c>
      <c r="J38" s="3"/>
      <c r="K38" s="17">
        <f t="shared" si="10"/>
        <v>0</v>
      </c>
      <c r="L38" s="18">
        <f t="shared" si="11"/>
        <v>2</v>
      </c>
      <c r="M38" s="3"/>
      <c r="N38" s="18">
        <v>3.0</v>
      </c>
      <c r="O38" s="81" t="s">
        <v>93</v>
      </c>
      <c r="P38" s="18">
        <f t="shared" si="12"/>
        <v>4</v>
      </c>
      <c r="Q38" s="20">
        <f t="shared" si="13"/>
        <v>2</v>
      </c>
      <c r="R38" s="22">
        <f t="shared" si="14"/>
        <v>0</v>
      </c>
      <c r="S38" s="22">
        <f t="shared" si="15"/>
        <v>4</v>
      </c>
      <c r="T38" s="18">
        <f t="shared" si="16"/>
        <v>24</v>
      </c>
      <c r="U38" s="22">
        <f t="shared" si="17"/>
        <v>52</v>
      </c>
      <c r="V38" s="18">
        <f t="shared" si="18"/>
        <v>-28</v>
      </c>
      <c r="X38" s="32" t="s">
        <v>31</v>
      </c>
      <c r="Y38" s="32">
        <v>0.0</v>
      </c>
      <c r="AA38" s="24" t="s">
        <v>40</v>
      </c>
      <c r="AB38" s="82" t="s">
        <v>94</v>
      </c>
      <c r="AC38" s="26">
        <v>8.0</v>
      </c>
      <c r="AD38" s="26">
        <v>4.0</v>
      </c>
      <c r="AE38" s="27">
        <v>0.0</v>
      </c>
      <c r="AF38" s="27">
        <v>2.0</v>
      </c>
      <c r="AG38" s="26">
        <v>45.0</v>
      </c>
      <c r="AH38" s="27">
        <v>46.0</v>
      </c>
      <c r="AI38" s="26">
        <v>-1.0</v>
      </c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</row>
    <row r="39" ht="15.75" customHeight="1">
      <c r="A39" s="37"/>
      <c r="B39" s="98"/>
      <c r="C39" s="98"/>
      <c r="D39" s="80"/>
      <c r="E39" s="55" t="s">
        <v>94</v>
      </c>
      <c r="F39" s="80"/>
      <c r="G39" s="80" t="s">
        <v>24</v>
      </c>
      <c r="H39" s="80"/>
      <c r="I39" s="55">
        <v>0.0</v>
      </c>
      <c r="J39" s="3"/>
      <c r="K39" s="17" t="str">
        <f t="shared" si="10"/>
        <v/>
      </c>
      <c r="L39" s="18" t="str">
        <f t="shared" si="11"/>
        <v/>
      </c>
      <c r="M39" s="3"/>
      <c r="N39" s="18">
        <v>4.0</v>
      </c>
      <c r="O39" s="81" t="s">
        <v>63</v>
      </c>
      <c r="P39" s="18">
        <f t="shared" si="12"/>
        <v>0</v>
      </c>
      <c r="Q39" s="20">
        <f t="shared" si="13"/>
        <v>0</v>
      </c>
      <c r="R39" s="22">
        <f t="shared" si="14"/>
        <v>0</v>
      </c>
      <c r="S39" s="22">
        <f t="shared" si="15"/>
        <v>0</v>
      </c>
      <c r="T39" s="18">
        <f t="shared" si="16"/>
        <v>0</v>
      </c>
      <c r="U39" s="22">
        <f t="shared" si="17"/>
        <v>0</v>
      </c>
      <c r="V39" s="18">
        <f t="shared" si="18"/>
        <v>0</v>
      </c>
      <c r="AA39" s="24" t="s">
        <v>44</v>
      </c>
      <c r="AB39" s="82" t="s">
        <v>64</v>
      </c>
      <c r="AC39" s="26">
        <v>6.0</v>
      </c>
      <c r="AD39" s="26">
        <v>3.0</v>
      </c>
      <c r="AE39" s="27">
        <v>0.0</v>
      </c>
      <c r="AF39" s="27">
        <v>3.0</v>
      </c>
      <c r="AG39" s="26">
        <v>52.0</v>
      </c>
      <c r="AH39" s="27">
        <v>53.0</v>
      </c>
      <c r="AI39" s="26">
        <v>-1.0</v>
      </c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</row>
    <row r="40" ht="15.75" customHeight="1">
      <c r="A40" s="78">
        <v>2.0</v>
      </c>
      <c r="B40" s="68">
        <v>45608.0</v>
      </c>
      <c r="C40" s="13" t="s">
        <v>95</v>
      </c>
      <c r="D40" s="13" t="s">
        <v>22</v>
      </c>
      <c r="E40" s="55" t="s">
        <v>73</v>
      </c>
      <c r="F40" s="79">
        <v>15.0</v>
      </c>
      <c r="G40" s="80" t="s">
        <v>24</v>
      </c>
      <c r="H40" s="79">
        <v>3.0</v>
      </c>
      <c r="I40" s="55" t="s">
        <v>93</v>
      </c>
      <c r="J40" s="3"/>
      <c r="K40" s="17">
        <f t="shared" si="10"/>
        <v>2</v>
      </c>
      <c r="L40" s="18">
        <f t="shared" si="11"/>
        <v>0</v>
      </c>
      <c r="M40" s="3"/>
      <c r="N40" s="18">
        <v>5.0</v>
      </c>
      <c r="O40" s="81" t="s">
        <v>94</v>
      </c>
      <c r="P40" s="18">
        <f t="shared" si="12"/>
        <v>8</v>
      </c>
      <c r="Q40" s="20">
        <f t="shared" si="13"/>
        <v>4</v>
      </c>
      <c r="R40" s="22">
        <f t="shared" si="14"/>
        <v>0</v>
      </c>
      <c r="S40" s="22">
        <f t="shared" si="15"/>
        <v>2</v>
      </c>
      <c r="T40" s="18">
        <f t="shared" si="16"/>
        <v>45</v>
      </c>
      <c r="U40" s="22">
        <f t="shared" si="17"/>
        <v>46</v>
      </c>
      <c r="V40" s="18">
        <f t="shared" si="18"/>
        <v>-1</v>
      </c>
      <c r="AA40" s="24">
        <v>5.0</v>
      </c>
      <c r="AB40" s="82" t="s">
        <v>73</v>
      </c>
      <c r="AC40" s="26">
        <v>4.0</v>
      </c>
      <c r="AD40" s="26">
        <v>2.0</v>
      </c>
      <c r="AE40" s="27">
        <v>0.0</v>
      </c>
      <c r="AF40" s="27">
        <v>4.0</v>
      </c>
      <c r="AG40" s="26">
        <v>42.0</v>
      </c>
      <c r="AH40" s="27">
        <v>59.0</v>
      </c>
      <c r="AI40" s="26">
        <v>-17.0</v>
      </c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</row>
    <row r="41" ht="15.75" customHeight="1">
      <c r="A41" s="29"/>
      <c r="B41" s="98"/>
      <c r="C41" s="98"/>
      <c r="D41" s="80"/>
      <c r="E41" s="55">
        <v>0.0</v>
      </c>
      <c r="F41" s="80"/>
      <c r="G41" s="80" t="s">
        <v>24</v>
      </c>
      <c r="H41" s="80"/>
      <c r="I41" s="55" t="s">
        <v>37</v>
      </c>
      <c r="J41" s="3"/>
      <c r="K41" s="17" t="str">
        <f t="shared" si="10"/>
        <v/>
      </c>
      <c r="L41" s="18" t="str">
        <f t="shared" si="11"/>
        <v/>
      </c>
      <c r="M41" s="3"/>
      <c r="N41" s="18">
        <v>6.0</v>
      </c>
      <c r="O41" s="81" t="s">
        <v>31</v>
      </c>
      <c r="P41" s="18">
        <f t="shared" si="12"/>
        <v>8</v>
      </c>
      <c r="Q41" s="20">
        <f t="shared" si="13"/>
        <v>4</v>
      </c>
      <c r="R41" s="22">
        <f t="shared" si="14"/>
        <v>0</v>
      </c>
      <c r="S41" s="22">
        <f t="shared" si="15"/>
        <v>2</v>
      </c>
      <c r="T41" s="18">
        <f t="shared" si="16"/>
        <v>36</v>
      </c>
      <c r="U41" s="22">
        <f t="shared" si="17"/>
        <v>33</v>
      </c>
      <c r="V41" s="18">
        <f t="shared" si="18"/>
        <v>3</v>
      </c>
      <c r="AA41" s="24">
        <v>6.0</v>
      </c>
      <c r="AB41" s="82" t="s">
        <v>93</v>
      </c>
      <c r="AC41" s="26">
        <v>4.0</v>
      </c>
      <c r="AD41" s="26">
        <v>2.0</v>
      </c>
      <c r="AE41" s="27">
        <v>0.0</v>
      </c>
      <c r="AF41" s="27">
        <v>4.0</v>
      </c>
      <c r="AG41" s="26">
        <v>24.0</v>
      </c>
      <c r="AH41" s="27">
        <v>52.0</v>
      </c>
      <c r="AI41" s="26">
        <v>-28.0</v>
      </c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</row>
    <row r="42" ht="15.75" customHeight="1">
      <c r="A42" s="29"/>
      <c r="B42" s="68">
        <v>45608.0</v>
      </c>
      <c r="C42" s="13" t="s">
        <v>97</v>
      </c>
      <c r="D42" s="13" t="s">
        <v>22</v>
      </c>
      <c r="E42" s="55" t="s">
        <v>64</v>
      </c>
      <c r="F42" s="79">
        <v>7.0</v>
      </c>
      <c r="G42" s="80" t="s">
        <v>24</v>
      </c>
      <c r="H42" s="79">
        <v>6.0</v>
      </c>
      <c r="I42" s="55" t="s">
        <v>96</v>
      </c>
      <c r="J42" s="3"/>
      <c r="K42" s="17">
        <f t="shared" si="10"/>
        <v>2</v>
      </c>
      <c r="L42" s="18">
        <f t="shared" si="11"/>
        <v>0</v>
      </c>
      <c r="M42" s="3"/>
      <c r="N42" s="18">
        <v>7.0</v>
      </c>
      <c r="O42" s="81" t="s">
        <v>64</v>
      </c>
      <c r="P42" s="18">
        <f t="shared" si="12"/>
        <v>6</v>
      </c>
      <c r="Q42" s="20">
        <f t="shared" si="13"/>
        <v>3</v>
      </c>
      <c r="R42" s="22">
        <f t="shared" si="14"/>
        <v>0</v>
      </c>
      <c r="S42" s="22">
        <f t="shared" si="15"/>
        <v>3</v>
      </c>
      <c r="T42" s="18">
        <f t="shared" si="16"/>
        <v>52</v>
      </c>
      <c r="U42" s="22">
        <f t="shared" si="17"/>
        <v>53</v>
      </c>
      <c r="V42" s="18">
        <f t="shared" si="18"/>
        <v>-1</v>
      </c>
      <c r="AA42" s="24">
        <v>7.0</v>
      </c>
      <c r="AB42" s="82" t="s">
        <v>63</v>
      </c>
      <c r="AC42" s="26">
        <v>0.0</v>
      </c>
      <c r="AD42" s="26">
        <v>0.0</v>
      </c>
      <c r="AE42" s="27">
        <v>0.0</v>
      </c>
      <c r="AF42" s="27">
        <v>0.0</v>
      </c>
      <c r="AG42" s="26">
        <v>0.0</v>
      </c>
      <c r="AH42" s="27">
        <v>0.0</v>
      </c>
      <c r="AI42" s="26">
        <v>0.0</v>
      </c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</row>
    <row r="43" ht="15.75" customHeight="1">
      <c r="A43" s="37"/>
      <c r="B43" s="68">
        <v>45608.0</v>
      </c>
      <c r="C43" s="13" t="s">
        <v>97</v>
      </c>
      <c r="D43" s="13" t="s">
        <v>22</v>
      </c>
      <c r="E43" s="55" t="s">
        <v>31</v>
      </c>
      <c r="F43" s="79">
        <v>3.0</v>
      </c>
      <c r="G43" s="80" t="s">
        <v>24</v>
      </c>
      <c r="H43" s="79">
        <v>5.0</v>
      </c>
      <c r="I43" s="55" t="s">
        <v>94</v>
      </c>
      <c r="J43" s="3"/>
      <c r="K43" s="17">
        <f t="shared" si="10"/>
        <v>0</v>
      </c>
      <c r="L43" s="18">
        <f t="shared" si="11"/>
        <v>2</v>
      </c>
      <c r="M43" s="3"/>
      <c r="N43" s="18"/>
      <c r="O43" s="99"/>
      <c r="P43" s="18"/>
      <c r="Q43" s="20"/>
      <c r="R43" s="22"/>
      <c r="S43" s="22"/>
      <c r="T43" s="18"/>
      <c r="U43" s="22"/>
      <c r="V43" s="18"/>
      <c r="AA43" s="85" t="s">
        <v>98</v>
      </c>
      <c r="AD43" s="4"/>
      <c r="AE43" s="4"/>
      <c r="AF43" s="4"/>
      <c r="AG43" s="4"/>
      <c r="AH43" s="4"/>
      <c r="AI43" s="4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</row>
    <row r="44" ht="15.75" customHeight="1">
      <c r="A44" s="78">
        <v>3.0</v>
      </c>
      <c r="B44" s="54">
        <v>45728.0</v>
      </c>
      <c r="C44" s="13" t="s">
        <v>91</v>
      </c>
      <c r="D44" s="13" t="s">
        <v>22</v>
      </c>
      <c r="E44" s="55" t="s">
        <v>96</v>
      </c>
      <c r="F44" s="79">
        <v>3.0</v>
      </c>
      <c r="G44" s="80" t="s">
        <v>24</v>
      </c>
      <c r="H44" s="79">
        <v>12.0</v>
      </c>
      <c r="I44" s="55" t="s">
        <v>73</v>
      </c>
      <c r="J44" s="3"/>
      <c r="K44" s="17">
        <f t="shared" si="10"/>
        <v>0</v>
      </c>
      <c r="L44" s="18">
        <f t="shared" si="11"/>
        <v>2</v>
      </c>
      <c r="M44" s="3"/>
      <c r="AA44" s="48"/>
      <c r="AD44" s="47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ht="15.75" customHeight="1">
      <c r="A45" s="29"/>
      <c r="B45" s="54">
        <v>45728.0</v>
      </c>
      <c r="C45" s="13" t="s">
        <v>99</v>
      </c>
      <c r="D45" s="13" t="s">
        <v>22</v>
      </c>
      <c r="E45" s="55" t="s">
        <v>93</v>
      </c>
      <c r="F45" s="79">
        <v>4.0</v>
      </c>
      <c r="G45" s="80" t="s">
        <v>24</v>
      </c>
      <c r="H45" s="79">
        <v>17.0</v>
      </c>
      <c r="I45" s="55" t="s">
        <v>37</v>
      </c>
      <c r="J45" s="3"/>
      <c r="K45" s="17">
        <f t="shared" si="10"/>
        <v>0</v>
      </c>
      <c r="L45" s="18">
        <f t="shared" si="11"/>
        <v>2</v>
      </c>
      <c r="M45" s="3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ht="15.75" customHeight="1">
      <c r="A46" s="29"/>
      <c r="B46" s="54">
        <v>45728.0</v>
      </c>
      <c r="C46" s="13" t="s">
        <v>99</v>
      </c>
      <c r="D46" s="13" t="s">
        <v>22</v>
      </c>
      <c r="E46" s="55" t="s">
        <v>94</v>
      </c>
      <c r="F46" s="79">
        <v>7.0</v>
      </c>
      <c r="G46" s="80" t="s">
        <v>24</v>
      </c>
      <c r="H46" s="79">
        <v>8.0</v>
      </c>
      <c r="I46" s="55" t="s">
        <v>64</v>
      </c>
      <c r="J46" s="3"/>
      <c r="K46" s="17">
        <f t="shared" si="10"/>
        <v>0</v>
      </c>
      <c r="L46" s="18">
        <f t="shared" si="11"/>
        <v>2</v>
      </c>
      <c r="M46" s="3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ht="15.75" customHeight="1">
      <c r="A47" s="37"/>
      <c r="B47" s="98"/>
      <c r="C47" s="98"/>
      <c r="D47" s="80"/>
      <c r="E47" s="55">
        <v>0.0</v>
      </c>
      <c r="F47" s="80"/>
      <c r="G47" s="80" t="s">
        <v>24</v>
      </c>
      <c r="H47" s="80"/>
      <c r="I47" s="55" t="s">
        <v>31</v>
      </c>
      <c r="J47" s="3"/>
      <c r="K47" s="17" t="str">
        <f t="shared" si="10"/>
        <v/>
      </c>
      <c r="L47" s="18" t="str">
        <f t="shared" si="11"/>
        <v/>
      </c>
      <c r="M47" s="3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ht="15.75" customHeight="1">
      <c r="A48" s="78">
        <v>4.0</v>
      </c>
      <c r="B48" s="54">
        <v>45728.0</v>
      </c>
      <c r="C48" s="13" t="s">
        <v>77</v>
      </c>
      <c r="D48" s="13" t="s">
        <v>22</v>
      </c>
      <c r="E48" s="89" t="s">
        <v>73</v>
      </c>
      <c r="F48" s="79">
        <v>4.0</v>
      </c>
      <c r="G48" s="80" t="s">
        <v>24</v>
      </c>
      <c r="H48" s="79">
        <v>10.0</v>
      </c>
      <c r="I48" s="89" t="s">
        <v>94</v>
      </c>
      <c r="J48" s="3"/>
      <c r="K48" s="17">
        <f t="shared" si="10"/>
        <v>0</v>
      </c>
      <c r="L48" s="18">
        <f t="shared" si="11"/>
        <v>2</v>
      </c>
      <c r="M48" s="3"/>
      <c r="N48" s="3"/>
      <c r="O48" s="3"/>
      <c r="P48" s="3"/>
      <c r="Q48" s="3"/>
      <c r="R48" s="3"/>
      <c r="S48" s="3"/>
      <c r="T48" s="3"/>
      <c r="U48" s="3"/>
      <c r="V48" s="3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ht="15.75" customHeight="1">
      <c r="A49" s="29"/>
      <c r="B49" s="54">
        <v>45728.0</v>
      </c>
      <c r="C49" s="13" t="s">
        <v>77</v>
      </c>
      <c r="D49" s="13" t="s">
        <v>22</v>
      </c>
      <c r="E49" s="89" t="s">
        <v>37</v>
      </c>
      <c r="F49" s="79">
        <v>19.0</v>
      </c>
      <c r="G49" s="80" t="s">
        <v>24</v>
      </c>
      <c r="H49" s="79">
        <v>4.0</v>
      </c>
      <c r="I49" s="89" t="s">
        <v>96</v>
      </c>
      <c r="J49" s="3"/>
      <c r="K49" s="17">
        <f t="shared" si="10"/>
        <v>2</v>
      </c>
      <c r="L49" s="18">
        <f t="shared" si="11"/>
        <v>0</v>
      </c>
      <c r="M49" s="3"/>
      <c r="N49" s="3"/>
      <c r="O49" s="3"/>
      <c r="P49" s="3"/>
      <c r="Q49" s="3"/>
      <c r="R49" s="3"/>
      <c r="S49" s="3"/>
      <c r="T49" s="3"/>
      <c r="U49" s="3"/>
      <c r="V49" s="3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ht="15.75" customHeight="1">
      <c r="A50" s="29"/>
      <c r="B50" s="91"/>
      <c r="C50" s="91"/>
      <c r="D50" s="100"/>
      <c r="E50" s="55" t="s">
        <v>93</v>
      </c>
      <c r="F50" s="80"/>
      <c r="G50" s="80" t="s">
        <v>24</v>
      </c>
      <c r="H50" s="80"/>
      <c r="I50" s="55">
        <v>0.0</v>
      </c>
      <c r="J50" s="3"/>
      <c r="K50" s="17" t="str">
        <f t="shared" si="10"/>
        <v/>
      </c>
      <c r="L50" s="18" t="str">
        <f t="shared" si="11"/>
        <v/>
      </c>
      <c r="M50" s="3"/>
      <c r="N50" s="3"/>
      <c r="O50" s="3"/>
      <c r="P50" s="3"/>
      <c r="Q50" s="3"/>
      <c r="R50" s="3"/>
      <c r="S50" s="3"/>
      <c r="T50" s="3"/>
      <c r="U50" s="3"/>
      <c r="V50" s="3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ht="15.75" customHeight="1">
      <c r="A51" s="37"/>
      <c r="B51" s="54">
        <v>45728.0</v>
      </c>
      <c r="C51" s="13" t="s">
        <v>100</v>
      </c>
      <c r="D51" s="13" t="s">
        <v>22</v>
      </c>
      <c r="E51" s="89" t="s">
        <v>64</v>
      </c>
      <c r="F51" s="79">
        <v>6.0</v>
      </c>
      <c r="G51" s="80" t="s">
        <v>24</v>
      </c>
      <c r="H51" s="79">
        <v>8.0</v>
      </c>
      <c r="I51" s="89" t="s">
        <v>31</v>
      </c>
      <c r="J51" s="50"/>
      <c r="K51" s="17">
        <f t="shared" si="10"/>
        <v>0</v>
      </c>
      <c r="L51" s="18">
        <f t="shared" si="11"/>
        <v>2</v>
      </c>
      <c r="M51" s="3"/>
      <c r="N51" s="3"/>
      <c r="O51" s="3"/>
      <c r="P51" s="3"/>
      <c r="R51" s="3"/>
      <c r="S51" s="3"/>
      <c r="T51" s="3"/>
      <c r="U51" s="3"/>
      <c r="V51" s="3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ht="15.75" customHeight="1">
      <c r="A52" s="78">
        <v>5.0</v>
      </c>
      <c r="B52" s="54">
        <v>45728.0</v>
      </c>
      <c r="C52" s="13" t="s">
        <v>101</v>
      </c>
      <c r="D52" s="13" t="s">
        <v>22</v>
      </c>
      <c r="E52" s="55" t="s">
        <v>31</v>
      </c>
      <c r="F52" s="79">
        <v>8.0</v>
      </c>
      <c r="G52" s="80" t="s">
        <v>24</v>
      </c>
      <c r="H52" s="79">
        <v>1.0</v>
      </c>
      <c r="I52" s="55" t="s">
        <v>73</v>
      </c>
      <c r="J52" s="3"/>
      <c r="K52" s="17">
        <f t="shared" si="10"/>
        <v>2</v>
      </c>
      <c r="L52" s="18">
        <f t="shared" si="11"/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AA52" s="9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ht="15.75" customHeight="1">
      <c r="A53" s="29"/>
      <c r="B53" s="54">
        <v>45728.0</v>
      </c>
      <c r="C53" s="13" t="s">
        <v>100</v>
      </c>
      <c r="D53" s="13" t="s">
        <v>22</v>
      </c>
      <c r="E53" s="55" t="s">
        <v>94</v>
      </c>
      <c r="F53" s="79">
        <v>5.0</v>
      </c>
      <c r="G53" s="80" t="s">
        <v>24</v>
      </c>
      <c r="H53" s="79">
        <v>21.0</v>
      </c>
      <c r="I53" s="55" t="s">
        <v>37</v>
      </c>
      <c r="J53" s="3"/>
      <c r="K53" s="17">
        <f t="shared" si="10"/>
        <v>0</v>
      </c>
      <c r="L53" s="18">
        <f t="shared" si="11"/>
        <v>2</v>
      </c>
      <c r="M53" s="3"/>
      <c r="N53" s="3"/>
      <c r="O53" s="3"/>
      <c r="P53" s="3"/>
      <c r="Q53" s="3"/>
      <c r="R53" s="3"/>
      <c r="S53" s="3"/>
      <c r="T53" s="3"/>
      <c r="U53" s="3"/>
      <c r="V53" s="3"/>
      <c r="AA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ht="15.75" customHeight="1">
      <c r="A54" s="29"/>
      <c r="B54" s="54">
        <v>45728.0</v>
      </c>
      <c r="C54" s="13" t="s">
        <v>101</v>
      </c>
      <c r="D54" s="13" t="s">
        <v>22</v>
      </c>
      <c r="E54" s="55" t="s">
        <v>96</v>
      </c>
      <c r="F54" s="79">
        <v>2.0</v>
      </c>
      <c r="G54" s="80" t="s">
        <v>24</v>
      </c>
      <c r="H54" s="79">
        <v>4.0</v>
      </c>
      <c r="I54" s="55" t="s">
        <v>93</v>
      </c>
      <c r="J54" s="3"/>
      <c r="K54" s="17">
        <f t="shared" si="10"/>
        <v>0</v>
      </c>
      <c r="L54" s="18">
        <f t="shared" si="11"/>
        <v>2</v>
      </c>
      <c r="M54" s="3"/>
      <c r="N54" s="3"/>
      <c r="O54" s="3"/>
      <c r="P54" s="3"/>
      <c r="Q54" s="3"/>
      <c r="R54" s="3"/>
      <c r="S54" s="3"/>
      <c r="T54" s="3"/>
      <c r="U54" s="3"/>
      <c r="V54" s="3"/>
      <c r="AA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ht="15.75" customHeight="1">
      <c r="A55" s="37"/>
      <c r="B55" s="98"/>
      <c r="C55" s="98"/>
      <c r="D55" s="13"/>
      <c r="E55" s="55">
        <v>0.0</v>
      </c>
      <c r="F55" s="80"/>
      <c r="G55" s="80" t="s">
        <v>24</v>
      </c>
      <c r="H55" s="80"/>
      <c r="I55" s="55" t="s">
        <v>64</v>
      </c>
      <c r="J55" s="3"/>
      <c r="K55" s="17" t="str">
        <f t="shared" si="10"/>
        <v/>
      </c>
      <c r="L55" s="18" t="str">
        <f t="shared" si="11"/>
        <v/>
      </c>
      <c r="M55" s="3"/>
      <c r="N55" s="3"/>
      <c r="O55" s="3"/>
      <c r="P55" s="3"/>
      <c r="Q55" s="3"/>
      <c r="R55" s="3"/>
      <c r="S55" s="3"/>
      <c r="T55" s="3"/>
      <c r="U55" s="3"/>
      <c r="V55" s="3"/>
      <c r="AA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ht="15.75" customHeight="1">
      <c r="A56" s="78">
        <v>6.0</v>
      </c>
      <c r="B56" s="54">
        <v>45784.0</v>
      </c>
      <c r="C56" s="13" t="s">
        <v>76</v>
      </c>
      <c r="D56" s="13" t="s">
        <v>22</v>
      </c>
      <c r="E56" s="55" t="s">
        <v>73</v>
      </c>
      <c r="F56" s="79">
        <v>6.0</v>
      </c>
      <c r="G56" s="80" t="s">
        <v>24</v>
      </c>
      <c r="H56" s="79">
        <v>14.0</v>
      </c>
      <c r="I56" s="55" t="s">
        <v>64</v>
      </c>
      <c r="J56" s="3"/>
      <c r="K56" s="17">
        <f t="shared" si="10"/>
        <v>0</v>
      </c>
      <c r="L56" s="18">
        <f t="shared" si="11"/>
        <v>2</v>
      </c>
      <c r="M56" s="3"/>
      <c r="N56" s="3"/>
      <c r="O56" s="3"/>
      <c r="P56" s="3"/>
      <c r="Q56" s="3"/>
      <c r="R56" s="3"/>
      <c r="S56" s="3"/>
      <c r="T56" s="3"/>
      <c r="U56" s="3"/>
      <c r="V56" s="3"/>
      <c r="AA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ht="15.75" customHeight="1">
      <c r="A57" s="29"/>
      <c r="B57" s="54">
        <v>45784.0</v>
      </c>
      <c r="C57" s="13" t="s">
        <v>76</v>
      </c>
      <c r="D57" s="13" t="s">
        <v>22</v>
      </c>
      <c r="E57" s="55" t="s">
        <v>37</v>
      </c>
      <c r="F57" s="79">
        <v>13.0</v>
      </c>
      <c r="G57" s="80" t="s">
        <v>24</v>
      </c>
      <c r="H57" s="79">
        <v>4.0</v>
      </c>
      <c r="I57" s="55" t="s">
        <v>31</v>
      </c>
      <c r="J57" s="3"/>
      <c r="K57" s="17">
        <f t="shared" si="10"/>
        <v>2</v>
      </c>
      <c r="L57" s="18">
        <f t="shared" si="11"/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AA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ht="15.75" customHeight="1">
      <c r="A58" s="29"/>
      <c r="B58" s="54">
        <v>45784.0</v>
      </c>
      <c r="C58" s="13" t="s">
        <v>91</v>
      </c>
      <c r="D58" s="13" t="s">
        <v>22</v>
      </c>
      <c r="E58" s="55" t="s">
        <v>93</v>
      </c>
      <c r="F58" s="79">
        <v>5.0</v>
      </c>
      <c r="G58" s="80" t="s">
        <v>24</v>
      </c>
      <c r="H58" s="79">
        <v>7.0</v>
      </c>
      <c r="I58" s="55" t="s">
        <v>94</v>
      </c>
      <c r="J58" s="3"/>
      <c r="K58" s="17">
        <f t="shared" si="10"/>
        <v>0</v>
      </c>
      <c r="L58" s="18">
        <f t="shared" si="11"/>
        <v>2</v>
      </c>
      <c r="M58" s="3"/>
      <c r="N58" s="3"/>
      <c r="O58" s="3"/>
      <c r="P58" s="3"/>
      <c r="Q58" s="3"/>
      <c r="R58" s="3"/>
      <c r="S58" s="3"/>
      <c r="T58" s="3"/>
      <c r="U58" s="3"/>
      <c r="V58" s="3"/>
      <c r="AA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ht="15.75" customHeight="1">
      <c r="A59" s="37"/>
      <c r="B59" s="98"/>
      <c r="C59" s="98"/>
      <c r="D59" s="13"/>
      <c r="E59" s="55" t="s">
        <v>96</v>
      </c>
      <c r="F59" s="80"/>
      <c r="G59" s="80" t="s">
        <v>24</v>
      </c>
      <c r="H59" s="80"/>
      <c r="I59" s="55">
        <v>0.0</v>
      </c>
      <c r="J59" s="3"/>
      <c r="K59" s="17" t="str">
        <f t="shared" si="10"/>
        <v/>
      </c>
      <c r="L59" s="18" t="str">
        <f t="shared" si="11"/>
        <v/>
      </c>
      <c r="M59" s="3"/>
      <c r="N59" s="3"/>
      <c r="O59" s="3"/>
      <c r="P59" s="3"/>
      <c r="Q59" s="3"/>
      <c r="R59" s="3"/>
      <c r="S59" s="3"/>
      <c r="T59" s="3"/>
      <c r="U59" s="3"/>
      <c r="V59" s="3"/>
      <c r="AA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ht="15.75" customHeight="1">
      <c r="A60" s="78">
        <v>7.0</v>
      </c>
      <c r="B60" s="98"/>
      <c r="C60" s="98"/>
      <c r="D60" s="13"/>
      <c r="E60" s="55">
        <v>0.0</v>
      </c>
      <c r="F60" s="80"/>
      <c r="G60" s="80" t="s">
        <v>24</v>
      </c>
      <c r="H60" s="80"/>
      <c r="I60" s="55" t="s">
        <v>73</v>
      </c>
      <c r="J60" s="3"/>
      <c r="K60" s="17" t="str">
        <f t="shared" si="10"/>
        <v/>
      </c>
      <c r="L60" s="18" t="str">
        <f t="shared" si="11"/>
        <v/>
      </c>
      <c r="M60" s="3"/>
      <c r="N60" s="3"/>
      <c r="O60" s="3"/>
      <c r="P60" s="3"/>
      <c r="Q60" s="3"/>
      <c r="R60" s="3"/>
      <c r="S60" s="3"/>
      <c r="T60" s="3"/>
      <c r="U60" s="3"/>
      <c r="V60" s="3"/>
      <c r="AA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ht="15.75" customHeight="1">
      <c r="A61" s="29"/>
      <c r="B61" s="54">
        <v>45784.0</v>
      </c>
      <c r="C61" s="13" t="s">
        <v>91</v>
      </c>
      <c r="D61" s="13" t="s">
        <v>22</v>
      </c>
      <c r="E61" s="55" t="s">
        <v>64</v>
      </c>
      <c r="F61" s="79">
        <v>13.0</v>
      </c>
      <c r="G61" s="80" t="s">
        <v>24</v>
      </c>
      <c r="H61" s="79">
        <v>21.0</v>
      </c>
      <c r="I61" s="55" t="s">
        <v>37</v>
      </c>
      <c r="J61" s="3"/>
      <c r="K61" s="17">
        <f t="shared" si="10"/>
        <v>0</v>
      </c>
      <c r="L61" s="18">
        <f t="shared" si="11"/>
        <v>2</v>
      </c>
      <c r="M61" s="3"/>
      <c r="N61" s="3"/>
      <c r="O61" s="3"/>
      <c r="P61" s="3"/>
      <c r="Q61" s="3"/>
      <c r="R61" s="3"/>
      <c r="S61" s="3"/>
      <c r="T61" s="3"/>
      <c r="U61" s="3"/>
      <c r="V61" s="3"/>
      <c r="AA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ht="15.75" customHeight="1">
      <c r="A62" s="29"/>
      <c r="B62" s="54">
        <v>45784.0</v>
      </c>
      <c r="C62" s="13" t="s">
        <v>99</v>
      </c>
      <c r="D62" s="13" t="s">
        <v>22</v>
      </c>
      <c r="E62" s="55" t="s">
        <v>31</v>
      </c>
      <c r="F62" s="79">
        <v>7.0</v>
      </c>
      <c r="G62" s="80" t="s">
        <v>24</v>
      </c>
      <c r="H62" s="79">
        <v>3.0</v>
      </c>
      <c r="I62" s="55" t="s">
        <v>93</v>
      </c>
      <c r="J62" s="3"/>
      <c r="K62" s="17">
        <f t="shared" si="10"/>
        <v>2</v>
      </c>
      <c r="L62" s="18">
        <f t="shared" si="11"/>
        <v>0</v>
      </c>
      <c r="M62" s="3"/>
      <c r="N62" s="3"/>
      <c r="O62" s="3"/>
      <c r="P62" s="3"/>
      <c r="Q62" s="3"/>
      <c r="R62" s="3"/>
      <c r="S62" s="3"/>
      <c r="T62" s="3"/>
      <c r="U62" s="3"/>
      <c r="V62" s="3"/>
      <c r="AA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ht="15.75" customHeight="1">
      <c r="A63" s="37"/>
      <c r="B63" s="54">
        <v>45784.0</v>
      </c>
      <c r="C63" s="13" t="s">
        <v>99</v>
      </c>
      <c r="D63" s="13" t="s">
        <v>22</v>
      </c>
      <c r="E63" s="55" t="s">
        <v>94</v>
      </c>
      <c r="F63" s="79">
        <v>11.0</v>
      </c>
      <c r="G63" s="80" t="s">
        <v>24</v>
      </c>
      <c r="H63" s="79">
        <v>5.0</v>
      </c>
      <c r="I63" s="55" t="s">
        <v>96</v>
      </c>
      <c r="J63" s="3"/>
      <c r="K63" s="17">
        <f t="shared" si="10"/>
        <v>2</v>
      </c>
      <c r="L63" s="18">
        <f t="shared" si="11"/>
        <v>0</v>
      </c>
      <c r="M63" s="3"/>
      <c r="N63" s="3"/>
      <c r="O63" s="3"/>
      <c r="P63" s="3"/>
      <c r="Q63" s="3"/>
      <c r="R63" s="3"/>
      <c r="S63" s="3"/>
      <c r="T63" s="3"/>
      <c r="U63" s="3"/>
      <c r="V63" s="3"/>
      <c r="AA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ht="15.75" customHeight="1">
      <c r="A64" s="101"/>
      <c r="B64" s="102"/>
      <c r="C64" s="102"/>
      <c r="D64" s="102"/>
      <c r="E64" s="72"/>
      <c r="F64" s="71"/>
      <c r="G64" s="71"/>
      <c r="H64" s="71"/>
      <c r="I64" s="72"/>
      <c r="AA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ht="15.75" customHeight="1">
      <c r="A65" s="101"/>
      <c r="B65" s="102"/>
      <c r="C65" s="102"/>
      <c r="D65" s="102"/>
      <c r="E65" s="72"/>
      <c r="F65" s="71"/>
      <c r="G65" s="71"/>
      <c r="H65" s="71"/>
      <c r="I65" s="72"/>
      <c r="AA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ht="15.75" customHeight="1">
      <c r="A66" s="101"/>
      <c r="B66" s="102"/>
      <c r="C66" s="102"/>
      <c r="D66" s="102"/>
      <c r="E66" s="72"/>
      <c r="F66" s="71"/>
      <c r="G66" s="71"/>
      <c r="H66" s="71"/>
      <c r="I66" s="72"/>
      <c r="AA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ht="15.75" customHeight="1">
      <c r="A67" s="101"/>
      <c r="B67" s="102"/>
      <c r="C67" s="102"/>
      <c r="D67" s="102"/>
      <c r="E67" s="72"/>
      <c r="F67" s="71"/>
      <c r="G67" s="71"/>
      <c r="H67" s="71"/>
      <c r="I67" s="72"/>
      <c r="AA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ht="15.75" customHeight="1">
      <c r="A68" s="101"/>
      <c r="B68" s="102"/>
      <c r="C68" s="102"/>
      <c r="D68" s="102"/>
      <c r="E68" s="72"/>
      <c r="F68" s="71"/>
      <c r="G68" s="71"/>
      <c r="H68" s="71"/>
      <c r="I68" s="72"/>
      <c r="AA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ht="15.75" customHeight="1">
      <c r="A69" s="101"/>
      <c r="B69" s="102"/>
      <c r="C69" s="102"/>
      <c r="D69" s="102"/>
      <c r="E69" s="72"/>
      <c r="F69" s="71"/>
      <c r="G69" s="71"/>
      <c r="H69" s="71"/>
      <c r="I69" s="72"/>
      <c r="AA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ht="15.75" customHeight="1">
      <c r="A70" s="101"/>
      <c r="B70" s="102"/>
      <c r="C70" s="102"/>
      <c r="D70" s="102"/>
      <c r="E70" s="72"/>
      <c r="F70" s="71"/>
      <c r="G70" s="71"/>
      <c r="H70" s="71"/>
      <c r="I70" s="72"/>
      <c r="AA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ht="15.75" customHeight="1">
      <c r="A71" s="101"/>
      <c r="B71" s="102"/>
      <c r="C71" s="102"/>
      <c r="D71" s="102"/>
      <c r="E71" s="72"/>
      <c r="F71" s="71"/>
      <c r="G71" s="71"/>
      <c r="H71" s="71"/>
      <c r="I71" s="72"/>
      <c r="AA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ht="15.75" customHeight="1">
      <c r="A72" s="101"/>
      <c r="B72" s="102"/>
      <c r="C72" s="102"/>
      <c r="D72" s="102"/>
      <c r="E72" s="72"/>
      <c r="F72" s="71"/>
      <c r="G72" s="71"/>
      <c r="H72" s="71"/>
      <c r="I72" s="72"/>
      <c r="AA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ht="15.75" customHeight="1">
      <c r="A73" s="101"/>
      <c r="B73" s="102"/>
      <c r="C73" s="102"/>
      <c r="D73" s="102"/>
      <c r="E73" s="72"/>
      <c r="F73" s="71"/>
      <c r="G73" s="71"/>
      <c r="H73" s="71"/>
      <c r="I73" s="72"/>
      <c r="AA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ht="15.75" customHeight="1">
      <c r="A74" s="101"/>
      <c r="B74" s="102"/>
      <c r="C74" s="102"/>
      <c r="D74" s="102"/>
      <c r="E74" s="72"/>
      <c r="F74" s="71"/>
      <c r="G74" s="71"/>
      <c r="H74" s="71"/>
      <c r="I74" s="72"/>
      <c r="AA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ht="15.75" customHeight="1">
      <c r="A75" s="101"/>
      <c r="B75" s="102"/>
      <c r="C75" s="102"/>
      <c r="D75" s="102"/>
      <c r="E75" s="72"/>
      <c r="F75" s="71"/>
      <c r="G75" s="71"/>
      <c r="H75" s="71"/>
      <c r="I75" s="72"/>
      <c r="AA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ht="15.75" customHeight="1">
      <c r="A76" s="101"/>
      <c r="B76" s="102"/>
      <c r="C76" s="102"/>
      <c r="D76" s="102"/>
      <c r="E76" s="72"/>
      <c r="F76" s="71"/>
      <c r="G76" s="71"/>
      <c r="H76" s="71"/>
      <c r="I76" s="72"/>
      <c r="AA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ht="15.75" customHeight="1">
      <c r="A77" s="101"/>
      <c r="B77" s="102"/>
      <c r="C77" s="102"/>
      <c r="D77" s="102"/>
      <c r="E77" s="72"/>
      <c r="F77" s="71"/>
      <c r="G77" s="71"/>
      <c r="H77" s="71"/>
      <c r="I77" s="72"/>
      <c r="AA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ht="15.75" customHeight="1">
      <c r="A78" s="101"/>
      <c r="B78" s="102"/>
      <c r="C78" s="102"/>
      <c r="D78" s="102"/>
      <c r="E78" s="72"/>
      <c r="F78" s="71"/>
      <c r="G78" s="71"/>
      <c r="H78" s="71"/>
      <c r="I78" s="72"/>
      <c r="AA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ht="15.75" customHeight="1">
      <c r="A79" s="101"/>
      <c r="B79" s="102"/>
      <c r="C79" s="102"/>
      <c r="D79" s="102"/>
      <c r="E79" s="72"/>
      <c r="F79" s="71"/>
      <c r="G79" s="71"/>
      <c r="H79" s="71"/>
      <c r="I79" s="72"/>
      <c r="AA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ht="15.75" customHeight="1">
      <c r="A80" s="101"/>
      <c r="B80" s="102"/>
      <c r="C80" s="102"/>
      <c r="D80" s="102"/>
      <c r="E80" s="72"/>
      <c r="F80" s="71"/>
      <c r="G80" s="71"/>
      <c r="H80" s="71"/>
      <c r="I80" s="72"/>
      <c r="AA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ht="15.75" customHeight="1">
      <c r="A81" s="101"/>
      <c r="B81" s="102"/>
      <c r="C81" s="102"/>
      <c r="D81" s="102"/>
      <c r="E81" s="72"/>
      <c r="F81" s="71"/>
      <c r="G81" s="71"/>
      <c r="H81" s="71"/>
      <c r="I81" s="72"/>
      <c r="AA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ht="15.75" customHeight="1">
      <c r="A82" s="101"/>
      <c r="B82" s="102"/>
      <c r="C82" s="102"/>
      <c r="D82" s="102"/>
      <c r="E82" s="72"/>
      <c r="F82" s="71"/>
      <c r="G82" s="71"/>
      <c r="H82" s="71"/>
      <c r="I82" s="72"/>
      <c r="AA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ht="15.75" customHeight="1">
      <c r="A83" s="101"/>
      <c r="B83" s="102"/>
      <c r="C83" s="102"/>
      <c r="D83" s="102"/>
      <c r="E83" s="72"/>
      <c r="F83" s="71"/>
      <c r="G83" s="71"/>
      <c r="H83" s="71"/>
      <c r="I83" s="72"/>
      <c r="AA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ht="15.75" customHeight="1">
      <c r="A84" s="101"/>
      <c r="B84" s="102"/>
      <c r="C84" s="102"/>
      <c r="D84" s="102"/>
      <c r="E84" s="72"/>
      <c r="F84" s="71"/>
      <c r="G84" s="71"/>
      <c r="H84" s="71"/>
      <c r="I84" s="72"/>
      <c r="AA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ht="15.75" customHeight="1">
      <c r="A85" s="101"/>
      <c r="B85" s="102"/>
      <c r="C85" s="102"/>
      <c r="D85" s="102"/>
      <c r="E85" s="72"/>
      <c r="F85" s="71"/>
      <c r="G85" s="71"/>
      <c r="H85" s="71"/>
      <c r="I85" s="72"/>
      <c r="AA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ht="15.75" customHeight="1">
      <c r="A86" s="101"/>
      <c r="B86" s="102"/>
      <c r="C86" s="102"/>
      <c r="D86" s="102"/>
      <c r="E86" s="72"/>
      <c r="F86" s="71"/>
      <c r="G86" s="71"/>
      <c r="H86" s="71"/>
      <c r="I86" s="72"/>
      <c r="AA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ht="15.75" customHeight="1">
      <c r="A87" s="101"/>
      <c r="B87" s="102"/>
      <c r="C87" s="102"/>
      <c r="D87" s="102"/>
      <c r="E87" s="72"/>
      <c r="F87" s="71"/>
      <c r="G87" s="71"/>
      <c r="H87" s="71"/>
      <c r="I87" s="72"/>
      <c r="AA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ht="15.75" customHeight="1">
      <c r="A88" s="101"/>
      <c r="B88" s="102"/>
      <c r="C88" s="102"/>
      <c r="D88" s="102"/>
      <c r="E88" s="72"/>
      <c r="F88" s="71"/>
      <c r="G88" s="71"/>
      <c r="H88" s="71"/>
      <c r="I88" s="72"/>
      <c r="AA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ht="15.75" customHeight="1">
      <c r="A89" s="101"/>
      <c r="B89" s="102"/>
      <c r="C89" s="102"/>
      <c r="D89" s="102"/>
      <c r="E89" s="72"/>
      <c r="F89" s="71"/>
      <c r="G89" s="71"/>
      <c r="H89" s="71"/>
      <c r="I89" s="72"/>
      <c r="AA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ht="15.75" customHeight="1">
      <c r="A90" s="101"/>
      <c r="B90" s="102"/>
      <c r="C90" s="102"/>
      <c r="D90" s="102"/>
      <c r="E90" s="72"/>
      <c r="F90" s="71"/>
      <c r="G90" s="71"/>
      <c r="H90" s="71"/>
      <c r="I90" s="72"/>
      <c r="AA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ht="15.75" customHeight="1">
      <c r="A91" s="101"/>
      <c r="B91" s="102"/>
      <c r="C91" s="102"/>
      <c r="D91" s="102"/>
      <c r="E91" s="72"/>
      <c r="F91" s="71"/>
      <c r="G91" s="71"/>
      <c r="H91" s="71"/>
      <c r="I91" s="72"/>
      <c r="AA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ht="15.75" customHeight="1">
      <c r="A92" s="101"/>
      <c r="B92" s="102"/>
      <c r="C92" s="102"/>
      <c r="D92" s="102"/>
      <c r="E92" s="72"/>
      <c r="F92" s="71"/>
      <c r="G92" s="71"/>
      <c r="H92" s="71"/>
      <c r="I92" s="72"/>
      <c r="AA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ht="15.75" customHeight="1">
      <c r="A93" s="101"/>
      <c r="B93" s="102"/>
      <c r="C93" s="102"/>
      <c r="D93" s="102"/>
      <c r="E93" s="72"/>
      <c r="F93" s="71"/>
      <c r="G93" s="71"/>
      <c r="H93" s="71"/>
      <c r="I93" s="72"/>
      <c r="AA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ht="15.75" customHeight="1">
      <c r="A94" s="101"/>
      <c r="B94" s="102"/>
      <c r="C94" s="102"/>
      <c r="D94" s="102"/>
      <c r="E94" s="72"/>
      <c r="F94" s="71"/>
      <c r="G94" s="71"/>
      <c r="H94" s="71"/>
      <c r="I94" s="72"/>
      <c r="AA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ht="15.75" customHeight="1">
      <c r="A95" s="101"/>
      <c r="B95" s="102"/>
      <c r="C95" s="102"/>
      <c r="D95" s="102"/>
      <c r="E95" s="72"/>
      <c r="F95" s="71"/>
      <c r="G95" s="71"/>
      <c r="H95" s="71"/>
      <c r="I95" s="72"/>
      <c r="AA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ht="15.75" customHeight="1">
      <c r="A96" s="101"/>
      <c r="B96" s="102"/>
      <c r="C96" s="102"/>
      <c r="D96" s="102"/>
      <c r="E96" s="72"/>
      <c r="F96" s="71"/>
      <c r="G96" s="71"/>
      <c r="H96" s="71"/>
      <c r="I96" s="72"/>
      <c r="AA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ht="15.75" customHeight="1">
      <c r="A97" s="101"/>
      <c r="B97" s="102"/>
      <c r="C97" s="102"/>
      <c r="D97" s="102"/>
      <c r="E97" s="72"/>
      <c r="F97" s="71"/>
      <c r="G97" s="71"/>
      <c r="H97" s="71"/>
      <c r="I97" s="72"/>
      <c r="AA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ht="15.75" customHeight="1">
      <c r="A98" s="101"/>
      <c r="B98" s="102"/>
      <c r="C98" s="102"/>
      <c r="D98" s="102"/>
      <c r="E98" s="72"/>
      <c r="F98" s="71"/>
      <c r="G98" s="71"/>
      <c r="H98" s="71"/>
      <c r="I98" s="72"/>
      <c r="AA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ht="15.75" customHeight="1">
      <c r="A99" s="101"/>
      <c r="B99" s="102"/>
      <c r="C99" s="102"/>
      <c r="D99" s="102"/>
      <c r="E99" s="72"/>
      <c r="F99" s="71"/>
      <c r="G99" s="71"/>
      <c r="H99" s="71"/>
      <c r="I99" s="72"/>
      <c r="AA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ht="15.75" customHeight="1">
      <c r="A100" s="101"/>
      <c r="B100" s="102"/>
      <c r="C100" s="102"/>
      <c r="D100" s="102"/>
      <c r="E100" s="72"/>
      <c r="F100" s="71"/>
      <c r="G100" s="71"/>
      <c r="H100" s="71"/>
      <c r="I100" s="72"/>
      <c r="AA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ht="15.75" customHeight="1">
      <c r="A101" s="101"/>
      <c r="B101" s="102"/>
      <c r="C101" s="102"/>
      <c r="D101" s="102"/>
      <c r="E101" s="72"/>
      <c r="F101" s="71"/>
      <c r="G101" s="71"/>
      <c r="H101" s="71"/>
      <c r="I101" s="72"/>
      <c r="AA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ht="15.75" customHeight="1">
      <c r="A102" s="101"/>
      <c r="B102" s="102"/>
      <c r="C102" s="102"/>
      <c r="D102" s="102"/>
      <c r="E102" s="72"/>
      <c r="F102" s="71"/>
      <c r="G102" s="71"/>
      <c r="H102" s="71"/>
      <c r="I102" s="72"/>
      <c r="AA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ht="15.75" customHeight="1">
      <c r="A103" s="101"/>
      <c r="B103" s="102"/>
      <c r="C103" s="102"/>
      <c r="D103" s="102"/>
      <c r="E103" s="72"/>
      <c r="F103" s="71"/>
      <c r="G103" s="71"/>
      <c r="H103" s="71"/>
      <c r="I103" s="72"/>
      <c r="AA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ht="15.75" customHeight="1">
      <c r="A104" s="101"/>
      <c r="B104" s="102"/>
      <c r="C104" s="102"/>
      <c r="D104" s="102"/>
      <c r="E104" s="72"/>
      <c r="F104" s="71"/>
      <c r="G104" s="71"/>
      <c r="H104" s="71"/>
      <c r="I104" s="72"/>
      <c r="AA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ht="15.75" customHeight="1">
      <c r="A105" s="101"/>
      <c r="B105" s="102"/>
      <c r="C105" s="102"/>
      <c r="D105" s="102"/>
      <c r="E105" s="72"/>
      <c r="F105" s="71"/>
      <c r="G105" s="71"/>
      <c r="H105" s="71"/>
      <c r="I105" s="72"/>
      <c r="AA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ht="15.75" customHeight="1">
      <c r="A106" s="101"/>
      <c r="B106" s="102"/>
      <c r="C106" s="102"/>
      <c r="D106" s="102"/>
      <c r="E106" s="72"/>
      <c r="F106" s="71"/>
      <c r="G106" s="71"/>
      <c r="H106" s="71"/>
      <c r="I106" s="72"/>
      <c r="AA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ht="15.75" customHeight="1">
      <c r="A107" s="101"/>
      <c r="B107" s="102"/>
      <c r="C107" s="102"/>
      <c r="D107" s="102"/>
      <c r="E107" s="72"/>
      <c r="F107" s="71"/>
      <c r="G107" s="71"/>
      <c r="H107" s="71"/>
      <c r="I107" s="72"/>
      <c r="AA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ht="15.75" customHeight="1">
      <c r="A108" s="101"/>
      <c r="B108" s="102"/>
      <c r="C108" s="102"/>
      <c r="D108" s="102"/>
      <c r="E108" s="72"/>
      <c r="F108" s="71"/>
      <c r="G108" s="71"/>
      <c r="H108" s="71"/>
      <c r="I108" s="72"/>
      <c r="AA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ht="15.75" customHeight="1">
      <c r="A109" s="101"/>
      <c r="B109" s="102"/>
      <c r="C109" s="102"/>
      <c r="D109" s="102"/>
      <c r="E109" s="72"/>
      <c r="F109" s="71"/>
      <c r="G109" s="71"/>
      <c r="H109" s="71"/>
      <c r="I109" s="72"/>
      <c r="AA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ht="15.75" customHeight="1">
      <c r="A110" s="101"/>
      <c r="B110" s="102"/>
      <c r="C110" s="102"/>
      <c r="D110" s="102"/>
      <c r="E110" s="72"/>
      <c r="F110" s="71"/>
      <c r="G110" s="71"/>
      <c r="H110" s="71"/>
      <c r="I110" s="72"/>
      <c r="AA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ht="15.75" customHeight="1">
      <c r="A111" s="101"/>
      <c r="B111" s="102"/>
      <c r="C111" s="102"/>
      <c r="D111" s="102"/>
      <c r="E111" s="72"/>
      <c r="F111" s="71"/>
      <c r="G111" s="71"/>
      <c r="H111" s="71"/>
      <c r="I111" s="72"/>
      <c r="AA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ht="15.75" customHeight="1">
      <c r="A112" s="101"/>
      <c r="B112" s="102"/>
      <c r="C112" s="102"/>
      <c r="D112" s="102"/>
      <c r="E112" s="72"/>
      <c r="F112" s="71"/>
      <c r="G112" s="71"/>
      <c r="H112" s="71"/>
      <c r="I112" s="72"/>
      <c r="AA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ht="15.75" customHeight="1">
      <c r="A113" s="101"/>
      <c r="B113" s="102"/>
      <c r="C113" s="102"/>
      <c r="D113" s="102"/>
      <c r="E113" s="72"/>
      <c r="F113" s="71"/>
      <c r="G113" s="71"/>
      <c r="H113" s="71"/>
      <c r="I113" s="72"/>
      <c r="AA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ht="15.75" customHeight="1">
      <c r="A114" s="101"/>
      <c r="B114" s="102"/>
      <c r="C114" s="102"/>
      <c r="D114" s="102"/>
      <c r="E114" s="72"/>
      <c r="F114" s="71"/>
      <c r="G114" s="71"/>
      <c r="H114" s="71"/>
      <c r="I114" s="72"/>
      <c r="AA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ht="15.75" customHeight="1">
      <c r="A115" s="101"/>
      <c r="B115" s="102"/>
      <c r="C115" s="102"/>
      <c r="D115" s="102"/>
      <c r="E115" s="72"/>
      <c r="F115" s="71"/>
      <c r="G115" s="71"/>
      <c r="H115" s="71"/>
      <c r="I115" s="72"/>
      <c r="AA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ht="15.75" customHeight="1">
      <c r="A116" s="101"/>
      <c r="B116" s="102"/>
      <c r="C116" s="102"/>
      <c r="D116" s="102"/>
      <c r="E116" s="72"/>
      <c r="F116" s="71"/>
      <c r="G116" s="71"/>
      <c r="H116" s="71"/>
      <c r="I116" s="72"/>
      <c r="AA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ht="15.75" customHeight="1">
      <c r="A117" s="101"/>
      <c r="B117" s="102"/>
      <c r="C117" s="102"/>
      <c r="D117" s="102"/>
      <c r="E117" s="72"/>
      <c r="F117" s="71"/>
      <c r="G117" s="71"/>
      <c r="H117" s="71"/>
      <c r="I117" s="72"/>
      <c r="AA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ht="15.75" customHeight="1">
      <c r="A118" s="101"/>
      <c r="B118" s="102"/>
      <c r="C118" s="102"/>
      <c r="D118" s="102"/>
      <c r="E118" s="72"/>
      <c r="F118" s="71"/>
      <c r="G118" s="71"/>
      <c r="H118" s="71"/>
      <c r="I118" s="72"/>
      <c r="AA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ht="15.75" customHeight="1">
      <c r="A119" s="101"/>
      <c r="B119" s="102"/>
      <c r="C119" s="102"/>
      <c r="D119" s="102"/>
      <c r="E119" s="72"/>
      <c r="F119" s="71"/>
      <c r="G119" s="71"/>
      <c r="H119" s="71"/>
      <c r="I119" s="72"/>
      <c r="AA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ht="15.75" customHeight="1">
      <c r="A120" s="101"/>
      <c r="B120" s="102"/>
      <c r="C120" s="102"/>
      <c r="D120" s="102"/>
      <c r="E120" s="72"/>
      <c r="F120" s="71"/>
      <c r="G120" s="71"/>
      <c r="H120" s="71"/>
      <c r="I120" s="72"/>
      <c r="AA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ht="15.75" customHeight="1">
      <c r="A121" s="101"/>
      <c r="B121" s="102"/>
      <c r="C121" s="102"/>
      <c r="D121" s="102"/>
      <c r="E121" s="72"/>
      <c r="F121" s="71"/>
      <c r="G121" s="71"/>
      <c r="H121" s="71"/>
      <c r="I121" s="72"/>
      <c r="AA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ht="15.75" customHeight="1">
      <c r="A122" s="101"/>
      <c r="B122" s="102"/>
      <c r="C122" s="102"/>
      <c r="D122" s="102"/>
      <c r="E122" s="72"/>
      <c r="F122" s="71"/>
      <c r="G122" s="71"/>
      <c r="H122" s="71"/>
      <c r="I122" s="72"/>
      <c r="AA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ht="15.75" customHeight="1">
      <c r="A123" s="101"/>
      <c r="B123" s="102"/>
      <c r="C123" s="102"/>
      <c r="D123" s="102"/>
      <c r="E123" s="72"/>
      <c r="F123" s="71"/>
      <c r="G123" s="71"/>
      <c r="H123" s="71"/>
      <c r="I123" s="72"/>
      <c r="AA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ht="15.75" customHeight="1">
      <c r="A124" s="101"/>
      <c r="B124" s="102"/>
      <c r="C124" s="102"/>
      <c r="D124" s="102"/>
      <c r="E124" s="72"/>
      <c r="F124" s="71"/>
      <c r="G124" s="71"/>
      <c r="H124" s="71"/>
      <c r="I124" s="72"/>
      <c r="AA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ht="15.75" customHeight="1">
      <c r="A125" s="101"/>
      <c r="B125" s="102"/>
      <c r="C125" s="102"/>
      <c r="D125" s="102"/>
      <c r="E125" s="72"/>
      <c r="F125" s="71"/>
      <c r="G125" s="71"/>
      <c r="H125" s="71"/>
      <c r="I125" s="72"/>
      <c r="AA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ht="15.75" customHeight="1">
      <c r="A126" s="101"/>
      <c r="B126" s="102"/>
      <c r="C126" s="102"/>
      <c r="D126" s="102"/>
      <c r="E126" s="72"/>
      <c r="F126" s="71"/>
      <c r="G126" s="71"/>
      <c r="H126" s="71"/>
      <c r="I126" s="72"/>
      <c r="AA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ht="15.75" customHeight="1">
      <c r="A127" s="101"/>
      <c r="B127" s="102"/>
      <c r="C127" s="102"/>
      <c r="D127" s="102"/>
      <c r="E127" s="72"/>
      <c r="F127" s="71"/>
      <c r="G127" s="71"/>
      <c r="H127" s="71"/>
      <c r="I127" s="72"/>
      <c r="AA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ht="15.75" customHeight="1">
      <c r="A128" s="101"/>
      <c r="B128" s="102"/>
      <c r="C128" s="102"/>
      <c r="D128" s="102"/>
      <c r="E128" s="72"/>
      <c r="F128" s="71"/>
      <c r="G128" s="71"/>
      <c r="H128" s="71"/>
      <c r="I128" s="72"/>
      <c r="AA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ht="15.75" customHeight="1">
      <c r="A129" s="101"/>
      <c r="B129" s="102"/>
      <c r="C129" s="102"/>
      <c r="D129" s="102"/>
      <c r="E129" s="72"/>
      <c r="F129" s="71"/>
      <c r="G129" s="71"/>
      <c r="H129" s="71"/>
      <c r="I129" s="72"/>
      <c r="AA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ht="15.75" customHeight="1">
      <c r="A130" s="101"/>
      <c r="B130" s="102"/>
      <c r="C130" s="102"/>
      <c r="D130" s="102"/>
      <c r="E130" s="72"/>
      <c r="F130" s="71"/>
      <c r="G130" s="71"/>
      <c r="H130" s="71"/>
      <c r="I130" s="72"/>
      <c r="AA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ht="15.75" customHeight="1">
      <c r="A131" s="101"/>
      <c r="B131" s="102"/>
      <c r="C131" s="102"/>
      <c r="D131" s="102"/>
      <c r="E131" s="72"/>
      <c r="F131" s="71"/>
      <c r="G131" s="71"/>
      <c r="H131" s="71"/>
      <c r="I131" s="72"/>
      <c r="AA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ht="15.75" customHeight="1">
      <c r="A132" s="101"/>
      <c r="B132" s="102"/>
      <c r="C132" s="102"/>
      <c r="D132" s="102"/>
      <c r="E132" s="72"/>
      <c r="F132" s="71"/>
      <c r="G132" s="71"/>
      <c r="H132" s="71"/>
      <c r="I132" s="72"/>
      <c r="AA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ht="15.75" customHeight="1">
      <c r="A133" s="101"/>
      <c r="B133" s="102"/>
      <c r="C133" s="102"/>
      <c r="D133" s="102"/>
      <c r="E133" s="72"/>
      <c r="F133" s="71"/>
      <c r="G133" s="71"/>
      <c r="H133" s="71"/>
      <c r="I133" s="72"/>
      <c r="AA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ht="15.75" customHeight="1">
      <c r="A134" s="101"/>
      <c r="B134" s="102"/>
      <c r="C134" s="102"/>
      <c r="D134" s="102"/>
      <c r="E134" s="72"/>
      <c r="F134" s="71"/>
      <c r="G134" s="71"/>
      <c r="H134" s="71"/>
      <c r="I134" s="72"/>
      <c r="AA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ht="15.75" customHeight="1">
      <c r="A135" s="101"/>
      <c r="B135" s="102"/>
      <c r="C135" s="102"/>
      <c r="D135" s="102"/>
      <c r="E135" s="72"/>
      <c r="F135" s="71"/>
      <c r="G135" s="71"/>
      <c r="H135" s="71"/>
      <c r="I135" s="72"/>
      <c r="AA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ht="15.75" customHeight="1">
      <c r="A136" s="101"/>
      <c r="B136" s="102"/>
      <c r="C136" s="102"/>
      <c r="D136" s="102"/>
      <c r="E136" s="72"/>
      <c r="F136" s="71"/>
      <c r="G136" s="71"/>
      <c r="H136" s="71"/>
      <c r="I136" s="72"/>
      <c r="AA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ht="15.75" customHeight="1">
      <c r="A137" s="101"/>
      <c r="B137" s="102"/>
      <c r="C137" s="102"/>
      <c r="D137" s="102"/>
      <c r="E137" s="72"/>
      <c r="F137" s="71"/>
      <c r="G137" s="71"/>
      <c r="H137" s="71"/>
      <c r="I137" s="72"/>
      <c r="AA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ht="15.75" customHeight="1">
      <c r="A138" s="101"/>
      <c r="B138" s="102"/>
      <c r="C138" s="102"/>
      <c r="D138" s="102"/>
      <c r="E138" s="72"/>
      <c r="F138" s="71"/>
      <c r="G138" s="71"/>
      <c r="H138" s="71"/>
      <c r="I138" s="72"/>
      <c r="AA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ht="15.75" customHeight="1">
      <c r="A139" s="101"/>
      <c r="B139" s="102"/>
      <c r="C139" s="102"/>
      <c r="D139" s="102"/>
      <c r="E139" s="72"/>
      <c r="F139" s="71"/>
      <c r="G139" s="71"/>
      <c r="H139" s="71"/>
      <c r="I139" s="72"/>
      <c r="AA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ht="15.75" customHeight="1">
      <c r="A140" s="101"/>
      <c r="B140" s="102"/>
      <c r="C140" s="102"/>
      <c r="D140" s="102"/>
      <c r="E140" s="72"/>
      <c r="F140" s="71"/>
      <c r="G140" s="71"/>
      <c r="H140" s="71"/>
      <c r="I140" s="72"/>
      <c r="AA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ht="15.75" customHeight="1">
      <c r="A141" s="101"/>
      <c r="B141" s="102"/>
      <c r="C141" s="102"/>
      <c r="D141" s="102"/>
      <c r="E141" s="72"/>
      <c r="F141" s="71"/>
      <c r="G141" s="71"/>
      <c r="H141" s="71"/>
      <c r="I141" s="72"/>
      <c r="AA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ht="15.75" customHeight="1">
      <c r="A142" s="101"/>
      <c r="B142" s="102"/>
      <c r="C142" s="102"/>
      <c r="D142" s="102"/>
      <c r="E142" s="72"/>
      <c r="F142" s="71"/>
      <c r="G142" s="71"/>
      <c r="H142" s="71"/>
      <c r="I142" s="72"/>
      <c r="AA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ht="15.75" customHeight="1">
      <c r="A143" s="101"/>
      <c r="B143" s="102"/>
      <c r="C143" s="102"/>
      <c r="D143" s="102"/>
      <c r="E143" s="72"/>
      <c r="F143" s="71"/>
      <c r="G143" s="71"/>
      <c r="H143" s="71"/>
      <c r="I143" s="72"/>
      <c r="AA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ht="15.75" customHeight="1">
      <c r="A144" s="101"/>
      <c r="B144" s="102"/>
      <c r="C144" s="102"/>
      <c r="D144" s="102"/>
      <c r="E144" s="72"/>
      <c r="F144" s="71"/>
      <c r="G144" s="71"/>
      <c r="H144" s="71"/>
      <c r="I144" s="72"/>
      <c r="AA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ht="15.75" customHeight="1">
      <c r="A145" s="101"/>
      <c r="B145" s="102"/>
      <c r="C145" s="102"/>
      <c r="D145" s="102"/>
      <c r="E145" s="72"/>
      <c r="F145" s="71"/>
      <c r="G145" s="71"/>
      <c r="H145" s="71"/>
      <c r="I145" s="72"/>
      <c r="AA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ht="15.75" customHeight="1">
      <c r="A146" s="101"/>
      <c r="B146" s="102"/>
      <c r="C146" s="102"/>
      <c r="D146" s="102"/>
      <c r="E146" s="72"/>
      <c r="F146" s="71"/>
      <c r="G146" s="71"/>
      <c r="H146" s="71"/>
      <c r="I146" s="72"/>
      <c r="AA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ht="15.75" customHeight="1">
      <c r="A147" s="101"/>
      <c r="B147" s="102"/>
      <c r="C147" s="102"/>
      <c r="D147" s="102"/>
      <c r="E147" s="72"/>
      <c r="F147" s="71"/>
      <c r="G147" s="71"/>
      <c r="H147" s="71"/>
      <c r="I147" s="72"/>
      <c r="AA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ht="15.75" customHeight="1">
      <c r="A148" s="101"/>
      <c r="B148" s="102"/>
      <c r="C148" s="102"/>
      <c r="D148" s="102"/>
      <c r="E148" s="72"/>
      <c r="F148" s="71"/>
      <c r="G148" s="71"/>
      <c r="H148" s="71"/>
      <c r="I148" s="72"/>
      <c r="AA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ht="15.75" customHeight="1">
      <c r="A149" s="101"/>
      <c r="B149" s="102"/>
      <c r="C149" s="102"/>
      <c r="D149" s="102"/>
      <c r="E149" s="72"/>
      <c r="F149" s="71"/>
      <c r="G149" s="71"/>
      <c r="H149" s="71"/>
      <c r="I149" s="72"/>
      <c r="AA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ht="15.75" customHeight="1">
      <c r="A150" s="101"/>
      <c r="B150" s="102"/>
      <c r="C150" s="102"/>
      <c r="D150" s="102"/>
      <c r="E150" s="72"/>
      <c r="F150" s="71"/>
      <c r="G150" s="71"/>
      <c r="H150" s="71"/>
      <c r="I150" s="72"/>
      <c r="AA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ht="15.75" customHeight="1">
      <c r="A151" s="101"/>
      <c r="B151" s="102"/>
      <c r="C151" s="102"/>
      <c r="D151" s="102"/>
      <c r="E151" s="72"/>
      <c r="F151" s="71"/>
      <c r="G151" s="71"/>
      <c r="H151" s="71"/>
      <c r="I151" s="72"/>
      <c r="AA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ht="15.75" customHeight="1">
      <c r="A152" s="101"/>
      <c r="B152" s="102"/>
      <c r="C152" s="102"/>
      <c r="D152" s="102"/>
      <c r="E152" s="72"/>
      <c r="F152" s="71"/>
      <c r="G152" s="71"/>
      <c r="H152" s="71"/>
      <c r="I152" s="72"/>
      <c r="AA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ht="15.75" customHeight="1">
      <c r="A153" s="101"/>
      <c r="B153" s="102"/>
      <c r="C153" s="102"/>
      <c r="D153" s="102"/>
      <c r="E153" s="72"/>
      <c r="F153" s="71"/>
      <c r="G153" s="71"/>
      <c r="H153" s="71"/>
      <c r="I153" s="72"/>
      <c r="AA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ht="15.75" customHeight="1">
      <c r="A154" s="101"/>
      <c r="B154" s="102"/>
      <c r="C154" s="102"/>
      <c r="D154" s="102"/>
      <c r="E154" s="72"/>
      <c r="F154" s="71"/>
      <c r="G154" s="71"/>
      <c r="H154" s="71"/>
      <c r="I154" s="72"/>
      <c r="AA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ht="15.75" customHeight="1">
      <c r="A155" s="101"/>
      <c r="B155" s="102"/>
      <c r="C155" s="102"/>
      <c r="D155" s="102"/>
      <c r="E155" s="72"/>
      <c r="F155" s="71"/>
      <c r="G155" s="71"/>
      <c r="H155" s="71"/>
      <c r="I155" s="72"/>
      <c r="AA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ht="15.75" customHeight="1">
      <c r="A156" s="101"/>
      <c r="B156" s="102"/>
      <c r="C156" s="102"/>
      <c r="D156" s="102"/>
      <c r="E156" s="72"/>
      <c r="F156" s="71"/>
      <c r="G156" s="71"/>
      <c r="H156" s="71"/>
      <c r="I156" s="72"/>
      <c r="AA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ht="15.75" customHeight="1">
      <c r="A157" s="101"/>
      <c r="B157" s="102"/>
      <c r="C157" s="102"/>
      <c r="D157" s="102"/>
      <c r="E157" s="72"/>
      <c r="F157" s="71"/>
      <c r="G157" s="71"/>
      <c r="H157" s="71"/>
      <c r="I157" s="72"/>
      <c r="AA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ht="15.75" customHeight="1">
      <c r="A158" s="101"/>
      <c r="B158" s="102"/>
      <c r="C158" s="102"/>
      <c r="D158" s="102"/>
      <c r="E158" s="72"/>
      <c r="F158" s="71"/>
      <c r="G158" s="71"/>
      <c r="H158" s="71"/>
      <c r="I158" s="72"/>
      <c r="AA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ht="15.75" customHeight="1">
      <c r="A159" s="101"/>
      <c r="B159" s="102"/>
      <c r="C159" s="102"/>
      <c r="D159" s="102"/>
      <c r="E159" s="72"/>
      <c r="F159" s="71"/>
      <c r="G159" s="71"/>
      <c r="H159" s="71"/>
      <c r="I159" s="72"/>
      <c r="AA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ht="15.75" customHeight="1">
      <c r="A160" s="101"/>
      <c r="B160" s="102"/>
      <c r="C160" s="102"/>
      <c r="D160" s="102"/>
      <c r="E160" s="72"/>
      <c r="F160" s="71"/>
      <c r="G160" s="71"/>
      <c r="H160" s="71"/>
      <c r="I160" s="72"/>
      <c r="AA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ht="15.75" customHeight="1">
      <c r="A161" s="101"/>
      <c r="B161" s="102"/>
      <c r="C161" s="102"/>
      <c r="D161" s="102"/>
      <c r="E161" s="72"/>
      <c r="F161" s="71"/>
      <c r="G161" s="71"/>
      <c r="H161" s="71"/>
      <c r="I161" s="72"/>
      <c r="AA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ht="15.75" customHeight="1">
      <c r="A162" s="101"/>
      <c r="B162" s="102"/>
      <c r="C162" s="102"/>
      <c r="D162" s="102"/>
      <c r="E162" s="72"/>
      <c r="F162" s="71"/>
      <c r="G162" s="71"/>
      <c r="H162" s="71"/>
      <c r="I162" s="72"/>
      <c r="AA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ht="15.75" customHeight="1">
      <c r="A163" s="101"/>
      <c r="B163" s="102"/>
      <c r="C163" s="102"/>
      <c r="D163" s="102"/>
      <c r="E163" s="72"/>
      <c r="F163" s="71"/>
      <c r="G163" s="71"/>
      <c r="H163" s="71"/>
      <c r="I163" s="72"/>
      <c r="AA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ht="15.75" customHeight="1">
      <c r="A164" s="101"/>
      <c r="B164" s="102"/>
      <c r="C164" s="102"/>
      <c r="D164" s="102"/>
      <c r="E164" s="72"/>
      <c r="F164" s="71"/>
      <c r="G164" s="71"/>
      <c r="H164" s="71"/>
      <c r="I164" s="72"/>
      <c r="AA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ht="15.75" customHeight="1">
      <c r="A165" s="101"/>
      <c r="B165" s="102"/>
      <c r="C165" s="102"/>
      <c r="D165" s="102"/>
      <c r="E165" s="72"/>
      <c r="F165" s="71"/>
      <c r="G165" s="71"/>
      <c r="H165" s="71"/>
      <c r="I165" s="72"/>
      <c r="AA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ht="15.75" customHeight="1">
      <c r="A166" s="101"/>
      <c r="B166" s="102"/>
      <c r="C166" s="102"/>
      <c r="D166" s="102"/>
      <c r="E166" s="72"/>
      <c r="F166" s="71"/>
      <c r="G166" s="71"/>
      <c r="H166" s="71"/>
      <c r="I166" s="72"/>
      <c r="AA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ht="15.75" customHeight="1">
      <c r="A167" s="101"/>
      <c r="B167" s="102"/>
      <c r="C167" s="102"/>
      <c r="D167" s="102"/>
      <c r="E167" s="72"/>
      <c r="F167" s="71"/>
      <c r="G167" s="71"/>
      <c r="H167" s="71"/>
      <c r="I167" s="72"/>
      <c r="AA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ht="15.75" customHeight="1">
      <c r="A168" s="101"/>
      <c r="B168" s="102"/>
      <c r="C168" s="102"/>
      <c r="D168" s="102"/>
      <c r="E168" s="72"/>
      <c r="F168" s="71"/>
      <c r="G168" s="71"/>
      <c r="H168" s="71"/>
      <c r="I168" s="72"/>
      <c r="AA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ht="15.75" customHeight="1">
      <c r="A169" s="101"/>
      <c r="B169" s="102"/>
      <c r="C169" s="102"/>
      <c r="D169" s="102"/>
      <c r="E169" s="72"/>
      <c r="F169" s="71"/>
      <c r="G169" s="71"/>
      <c r="H169" s="71"/>
      <c r="I169" s="72"/>
      <c r="AA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ht="15.75" customHeight="1">
      <c r="A170" s="101"/>
      <c r="B170" s="102"/>
      <c r="C170" s="102"/>
      <c r="D170" s="102"/>
      <c r="E170" s="72"/>
      <c r="F170" s="71"/>
      <c r="G170" s="71"/>
      <c r="H170" s="71"/>
      <c r="I170" s="72"/>
      <c r="AA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ht="15.75" customHeight="1">
      <c r="A171" s="101"/>
      <c r="B171" s="102"/>
      <c r="C171" s="102"/>
      <c r="D171" s="102"/>
      <c r="E171" s="72"/>
      <c r="F171" s="71"/>
      <c r="G171" s="71"/>
      <c r="H171" s="71"/>
      <c r="I171" s="72"/>
      <c r="AA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ht="15.75" customHeight="1">
      <c r="A172" s="101"/>
      <c r="B172" s="102"/>
      <c r="C172" s="102"/>
      <c r="D172" s="102"/>
      <c r="E172" s="72"/>
      <c r="F172" s="71"/>
      <c r="G172" s="71"/>
      <c r="H172" s="71"/>
      <c r="I172" s="72"/>
      <c r="AA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ht="15.75" customHeight="1">
      <c r="A173" s="101"/>
      <c r="B173" s="102"/>
      <c r="C173" s="102"/>
      <c r="D173" s="102"/>
      <c r="E173" s="72"/>
      <c r="F173" s="71"/>
      <c r="G173" s="71"/>
      <c r="H173" s="71"/>
      <c r="I173" s="72"/>
      <c r="AA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ht="15.75" customHeight="1">
      <c r="A174" s="101"/>
      <c r="B174" s="102"/>
      <c r="C174" s="102"/>
      <c r="D174" s="102"/>
      <c r="E174" s="72"/>
      <c r="F174" s="71"/>
      <c r="G174" s="71"/>
      <c r="H174" s="71"/>
      <c r="I174" s="72"/>
      <c r="AA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ht="15.75" customHeight="1">
      <c r="A175" s="101"/>
      <c r="B175" s="102"/>
      <c r="C175" s="102"/>
      <c r="D175" s="102"/>
      <c r="E175" s="72"/>
      <c r="F175" s="71"/>
      <c r="G175" s="71"/>
      <c r="H175" s="71"/>
      <c r="I175" s="72"/>
      <c r="AA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ht="15.75" customHeight="1">
      <c r="A176" s="101"/>
      <c r="B176" s="102"/>
      <c r="C176" s="102"/>
      <c r="D176" s="102"/>
      <c r="E176" s="72"/>
      <c r="F176" s="71"/>
      <c r="G176" s="71"/>
      <c r="H176" s="71"/>
      <c r="I176" s="72"/>
      <c r="AA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ht="15.75" customHeight="1">
      <c r="A177" s="101"/>
      <c r="B177" s="102"/>
      <c r="C177" s="102"/>
      <c r="D177" s="102"/>
      <c r="E177" s="72"/>
      <c r="F177" s="71"/>
      <c r="G177" s="71"/>
      <c r="H177" s="71"/>
      <c r="I177" s="72"/>
      <c r="AA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ht="15.75" customHeight="1">
      <c r="A178" s="101"/>
      <c r="B178" s="102"/>
      <c r="C178" s="102"/>
      <c r="D178" s="102"/>
      <c r="E178" s="72"/>
      <c r="F178" s="71"/>
      <c r="G178" s="71"/>
      <c r="H178" s="71"/>
      <c r="I178" s="72"/>
      <c r="AA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ht="15.75" customHeight="1">
      <c r="A179" s="101"/>
      <c r="B179" s="102"/>
      <c r="C179" s="102"/>
      <c r="D179" s="102"/>
      <c r="E179" s="72"/>
      <c r="F179" s="71"/>
      <c r="G179" s="71"/>
      <c r="H179" s="71"/>
      <c r="I179" s="72"/>
      <c r="AA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ht="15.75" customHeight="1">
      <c r="A180" s="101"/>
      <c r="B180" s="102"/>
      <c r="C180" s="102"/>
      <c r="D180" s="102"/>
      <c r="E180" s="72"/>
      <c r="F180" s="71"/>
      <c r="G180" s="71"/>
      <c r="H180" s="71"/>
      <c r="I180" s="72"/>
      <c r="AA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ht="15.75" customHeight="1">
      <c r="A181" s="101"/>
      <c r="B181" s="102"/>
      <c r="C181" s="102"/>
      <c r="D181" s="102"/>
      <c r="E181" s="72"/>
      <c r="F181" s="71"/>
      <c r="G181" s="71"/>
      <c r="H181" s="71"/>
      <c r="I181" s="72"/>
      <c r="AA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ht="15.75" customHeight="1">
      <c r="A182" s="101"/>
      <c r="B182" s="102"/>
      <c r="C182" s="102"/>
      <c r="D182" s="102"/>
      <c r="E182" s="72"/>
      <c r="F182" s="71"/>
      <c r="G182" s="71"/>
      <c r="H182" s="71"/>
      <c r="I182" s="72"/>
      <c r="AA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ht="15.75" customHeight="1">
      <c r="A183" s="101"/>
      <c r="B183" s="102"/>
      <c r="C183" s="102"/>
      <c r="D183" s="102"/>
      <c r="E183" s="72"/>
      <c r="F183" s="71"/>
      <c r="G183" s="71"/>
      <c r="H183" s="71"/>
      <c r="I183" s="72"/>
      <c r="AA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ht="15.75" customHeight="1">
      <c r="A184" s="101"/>
      <c r="B184" s="102"/>
      <c r="C184" s="102"/>
      <c r="D184" s="102"/>
      <c r="E184" s="72"/>
      <c r="F184" s="71"/>
      <c r="G184" s="71"/>
      <c r="H184" s="71"/>
      <c r="I184" s="72"/>
      <c r="AA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ht="15.75" customHeight="1">
      <c r="A185" s="101"/>
      <c r="B185" s="102"/>
      <c r="C185" s="102"/>
      <c r="D185" s="102"/>
      <c r="E185" s="72"/>
      <c r="F185" s="71"/>
      <c r="G185" s="71"/>
      <c r="H185" s="71"/>
      <c r="I185" s="72"/>
      <c r="AA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ht="15.75" customHeight="1">
      <c r="A186" s="101"/>
      <c r="B186" s="102"/>
      <c r="C186" s="102"/>
      <c r="D186" s="102"/>
      <c r="E186" s="72"/>
      <c r="F186" s="71"/>
      <c r="G186" s="71"/>
      <c r="H186" s="71"/>
      <c r="I186" s="72"/>
      <c r="AA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ht="15.75" customHeight="1">
      <c r="A187" s="101"/>
      <c r="B187" s="102"/>
      <c r="C187" s="102"/>
      <c r="D187" s="102"/>
      <c r="E187" s="72"/>
      <c r="F187" s="71"/>
      <c r="G187" s="71"/>
      <c r="H187" s="71"/>
      <c r="I187" s="72"/>
      <c r="AA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ht="15.75" customHeight="1">
      <c r="A188" s="101"/>
      <c r="B188" s="102"/>
      <c r="C188" s="102"/>
      <c r="D188" s="102"/>
      <c r="E188" s="72"/>
      <c r="F188" s="71"/>
      <c r="G188" s="71"/>
      <c r="H188" s="71"/>
      <c r="I188" s="72"/>
      <c r="AA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ht="15.75" customHeight="1">
      <c r="A189" s="101"/>
      <c r="B189" s="102"/>
      <c r="C189" s="102"/>
      <c r="D189" s="102"/>
      <c r="E189" s="72"/>
      <c r="F189" s="71"/>
      <c r="G189" s="71"/>
      <c r="H189" s="71"/>
      <c r="I189" s="72"/>
      <c r="AA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ht="15.75" customHeight="1">
      <c r="A190" s="101"/>
      <c r="B190" s="102"/>
      <c r="C190" s="102"/>
      <c r="D190" s="102"/>
      <c r="E190" s="72"/>
      <c r="F190" s="71"/>
      <c r="G190" s="71"/>
      <c r="H190" s="71"/>
      <c r="I190" s="72"/>
      <c r="AA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ht="15.75" customHeight="1">
      <c r="A191" s="101"/>
      <c r="B191" s="102"/>
      <c r="C191" s="102"/>
      <c r="D191" s="102"/>
      <c r="E191" s="72"/>
      <c r="F191" s="71"/>
      <c r="G191" s="71"/>
      <c r="H191" s="71"/>
      <c r="I191" s="72"/>
      <c r="AA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ht="15.75" customHeight="1">
      <c r="A192" s="101"/>
      <c r="B192" s="102"/>
      <c r="C192" s="102"/>
      <c r="D192" s="102"/>
      <c r="E192" s="72"/>
      <c r="F192" s="71"/>
      <c r="G192" s="71"/>
      <c r="H192" s="71"/>
      <c r="I192" s="72"/>
      <c r="AA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ht="15.75" customHeight="1">
      <c r="A193" s="101"/>
      <c r="B193" s="102"/>
      <c r="C193" s="102"/>
      <c r="D193" s="102"/>
      <c r="E193" s="72"/>
      <c r="F193" s="71"/>
      <c r="G193" s="71"/>
      <c r="H193" s="71"/>
      <c r="I193" s="72"/>
      <c r="AA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ht="15.75" customHeight="1">
      <c r="A194" s="101"/>
      <c r="B194" s="102"/>
      <c r="C194" s="102"/>
      <c r="D194" s="102"/>
      <c r="E194" s="72"/>
      <c r="F194" s="71"/>
      <c r="G194" s="71"/>
      <c r="H194" s="71"/>
      <c r="I194" s="72"/>
      <c r="AA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ht="15.75" customHeight="1">
      <c r="A195" s="101"/>
      <c r="B195" s="102"/>
      <c r="C195" s="102"/>
      <c r="D195" s="102"/>
      <c r="E195" s="72"/>
      <c r="F195" s="71"/>
      <c r="G195" s="71"/>
      <c r="H195" s="71"/>
      <c r="I195" s="72"/>
      <c r="AA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ht="15.75" customHeight="1">
      <c r="A196" s="101"/>
      <c r="B196" s="102"/>
      <c r="C196" s="102"/>
      <c r="D196" s="102"/>
      <c r="E196" s="72"/>
      <c r="F196" s="71"/>
      <c r="G196" s="71"/>
      <c r="H196" s="71"/>
      <c r="I196" s="72"/>
      <c r="AA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ht="15.75" customHeight="1">
      <c r="A197" s="101"/>
      <c r="B197" s="102"/>
      <c r="C197" s="102"/>
      <c r="D197" s="102"/>
      <c r="E197" s="72"/>
      <c r="F197" s="71"/>
      <c r="G197" s="71"/>
      <c r="H197" s="71"/>
      <c r="I197" s="72"/>
      <c r="AA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ht="15.75" customHeight="1">
      <c r="A198" s="101"/>
      <c r="B198" s="102"/>
      <c r="C198" s="102"/>
      <c r="D198" s="102"/>
      <c r="E198" s="72"/>
      <c r="F198" s="71"/>
      <c r="G198" s="71"/>
      <c r="H198" s="71"/>
      <c r="I198" s="72"/>
      <c r="AA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ht="15.75" customHeight="1">
      <c r="A199" s="101"/>
      <c r="B199" s="102"/>
      <c r="C199" s="102"/>
      <c r="D199" s="102"/>
      <c r="E199" s="72"/>
      <c r="F199" s="71"/>
      <c r="G199" s="71"/>
      <c r="H199" s="71"/>
      <c r="I199" s="72"/>
      <c r="AA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ht="15.75" customHeight="1">
      <c r="A200" s="101"/>
      <c r="B200" s="102"/>
      <c r="C200" s="102"/>
      <c r="D200" s="102"/>
      <c r="E200" s="72"/>
      <c r="F200" s="71"/>
      <c r="G200" s="71"/>
      <c r="H200" s="71"/>
      <c r="I200" s="72"/>
      <c r="AA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ht="15.75" customHeight="1">
      <c r="A201" s="101"/>
      <c r="B201" s="102"/>
      <c r="C201" s="102"/>
      <c r="D201" s="102"/>
      <c r="E201" s="72"/>
      <c r="F201" s="71"/>
      <c r="G201" s="71"/>
      <c r="H201" s="71"/>
      <c r="I201" s="72"/>
      <c r="AA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ht="15.75" customHeight="1">
      <c r="A202" s="101"/>
      <c r="B202" s="102"/>
      <c r="C202" s="102"/>
      <c r="D202" s="102"/>
      <c r="E202" s="72"/>
      <c r="F202" s="71"/>
      <c r="G202" s="71"/>
      <c r="H202" s="71"/>
      <c r="I202" s="72"/>
      <c r="AA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ht="15.75" customHeight="1">
      <c r="A203" s="101"/>
      <c r="B203" s="102"/>
      <c r="C203" s="102"/>
      <c r="D203" s="102"/>
      <c r="E203" s="72"/>
      <c r="F203" s="71"/>
      <c r="G203" s="71"/>
      <c r="H203" s="71"/>
      <c r="I203" s="72"/>
      <c r="AA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ht="15.75" customHeight="1">
      <c r="A204" s="101"/>
      <c r="B204" s="102"/>
      <c r="C204" s="102"/>
      <c r="D204" s="102"/>
      <c r="E204" s="72"/>
      <c r="F204" s="71"/>
      <c r="G204" s="71"/>
      <c r="H204" s="71"/>
      <c r="I204" s="72"/>
      <c r="AA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ht="15.75" customHeight="1">
      <c r="A205" s="101"/>
      <c r="B205" s="102"/>
      <c r="C205" s="102"/>
      <c r="D205" s="102"/>
      <c r="E205" s="72"/>
      <c r="F205" s="71"/>
      <c r="G205" s="71"/>
      <c r="H205" s="71"/>
      <c r="I205" s="72"/>
      <c r="AA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ht="15.75" customHeight="1">
      <c r="A206" s="101"/>
      <c r="B206" s="102"/>
      <c r="C206" s="102"/>
      <c r="D206" s="102"/>
      <c r="E206" s="72"/>
      <c r="F206" s="71"/>
      <c r="G206" s="71"/>
      <c r="H206" s="71"/>
      <c r="I206" s="72"/>
      <c r="AA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ht="15.75" customHeight="1">
      <c r="A207" s="101"/>
      <c r="B207" s="102"/>
      <c r="C207" s="102"/>
      <c r="D207" s="102"/>
      <c r="E207" s="72"/>
      <c r="F207" s="71"/>
      <c r="G207" s="71"/>
      <c r="H207" s="71"/>
      <c r="I207" s="72"/>
      <c r="AA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ht="15.75" customHeight="1">
      <c r="A208" s="101"/>
      <c r="B208" s="102"/>
      <c r="C208" s="102"/>
      <c r="D208" s="102"/>
      <c r="E208" s="72"/>
      <c r="F208" s="71"/>
      <c r="G208" s="71"/>
      <c r="H208" s="71"/>
      <c r="I208" s="72"/>
      <c r="AA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ht="15.75" customHeight="1">
      <c r="A209" s="101"/>
      <c r="B209" s="102"/>
      <c r="C209" s="102"/>
      <c r="D209" s="102"/>
      <c r="E209" s="72"/>
      <c r="F209" s="71"/>
      <c r="G209" s="71"/>
      <c r="H209" s="71"/>
      <c r="I209" s="72"/>
      <c r="AA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ht="15.75" customHeight="1">
      <c r="A210" s="101"/>
      <c r="B210" s="102"/>
      <c r="C210" s="102"/>
      <c r="D210" s="102"/>
      <c r="E210" s="72"/>
      <c r="F210" s="71"/>
      <c r="G210" s="71"/>
      <c r="H210" s="71"/>
      <c r="I210" s="72"/>
      <c r="AA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ht="15.75" customHeight="1">
      <c r="A211" s="101"/>
      <c r="B211" s="102"/>
      <c r="C211" s="102"/>
      <c r="D211" s="102"/>
      <c r="E211" s="72"/>
      <c r="F211" s="71"/>
      <c r="G211" s="71"/>
      <c r="H211" s="71"/>
      <c r="I211" s="72"/>
      <c r="AA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ht="15.75" customHeight="1">
      <c r="A212" s="101"/>
      <c r="B212" s="102"/>
      <c r="C212" s="102"/>
      <c r="D212" s="102"/>
      <c r="E212" s="72"/>
      <c r="F212" s="71"/>
      <c r="G212" s="71"/>
      <c r="H212" s="71"/>
      <c r="I212" s="72"/>
      <c r="AA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ht="15.75" customHeight="1">
      <c r="A213" s="101"/>
      <c r="B213" s="102"/>
      <c r="C213" s="102"/>
      <c r="D213" s="102"/>
      <c r="E213" s="72"/>
      <c r="F213" s="71"/>
      <c r="G213" s="71"/>
      <c r="H213" s="71"/>
      <c r="I213" s="72"/>
      <c r="AA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ht="15.75" customHeight="1">
      <c r="A214" s="101"/>
      <c r="B214" s="102"/>
      <c r="C214" s="102"/>
      <c r="D214" s="102"/>
      <c r="E214" s="72"/>
      <c r="F214" s="71"/>
      <c r="G214" s="71"/>
      <c r="H214" s="71"/>
      <c r="I214" s="72"/>
      <c r="AA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ht="15.75" customHeight="1">
      <c r="A215" s="101"/>
      <c r="B215" s="102"/>
      <c r="C215" s="102"/>
      <c r="D215" s="102"/>
      <c r="E215" s="72"/>
      <c r="F215" s="71"/>
      <c r="G215" s="71"/>
      <c r="H215" s="71"/>
      <c r="I215" s="72"/>
      <c r="AA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ht="15.75" customHeight="1">
      <c r="A216" s="101"/>
      <c r="B216" s="102"/>
      <c r="C216" s="102"/>
      <c r="D216" s="102"/>
      <c r="E216" s="72"/>
      <c r="F216" s="71"/>
      <c r="G216" s="71"/>
      <c r="H216" s="71"/>
      <c r="I216" s="72"/>
      <c r="AA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ht="15.75" customHeight="1">
      <c r="A217" s="101"/>
      <c r="B217" s="102"/>
      <c r="C217" s="102"/>
      <c r="D217" s="102"/>
      <c r="E217" s="72"/>
      <c r="F217" s="71"/>
      <c r="G217" s="71"/>
      <c r="H217" s="71"/>
      <c r="I217" s="72"/>
      <c r="AA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ht="15.75" customHeight="1">
      <c r="A218" s="101"/>
      <c r="B218" s="102"/>
      <c r="C218" s="102"/>
      <c r="D218" s="102"/>
      <c r="E218" s="72"/>
      <c r="F218" s="71"/>
      <c r="G218" s="71"/>
      <c r="H218" s="71"/>
      <c r="I218" s="72"/>
      <c r="AA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ht="15.75" customHeight="1">
      <c r="A219" s="101"/>
      <c r="B219" s="102"/>
      <c r="C219" s="102"/>
      <c r="D219" s="102"/>
      <c r="E219" s="72"/>
      <c r="F219" s="71"/>
      <c r="G219" s="71"/>
      <c r="H219" s="71"/>
      <c r="I219" s="72"/>
      <c r="AA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ht="15.75" customHeight="1">
      <c r="A220" s="101"/>
      <c r="B220" s="102"/>
      <c r="C220" s="102"/>
      <c r="D220" s="102"/>
      <c r="E220" s="72"/>
      <c r="F220" s="71"/>
      <c r="G220" s="71"/>
      <c r="H220" s="71"/>
      <c r="I220" s="72"/>
      <c r="AA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ht="15.75" customHeight="1">
      <c r="A221" s="101"/>
      <c r="B221" s="102"/>
      <c r="C221" s="102"/>
      <c r="D221" s="102"/>
      <c r="E221" s="72"/>
      <c r="F221" s="71"/>
      <c r="G221" s="71"/>
      <c r="H221" s="71"/>
      <c r="I221" s="72"/>
      <c r="AA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ht="15.75" customHeight="1">
      <c r="A222" s="101"/>
      <c r="B222" s="102"/>
      <c r="C222" s="102"/>
      <c r="D222" s="102"/>
      <c r="E222" s="72"/>
      <c r="F222" s="71"/>
      <c r="G222" s="71"/>
      <c r="H222" s="71"/>
      <c r="I222" s="72"/>
      <c r="AA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ht="15.75" customHeight="1">
      <c r="A223" s="101"/>
      <c r="B223" s="102"/>
      <c r="C223" s="102"/>
      <c r="D223" s="102"/>
      <c r="E223" s="72"/>
      <c r="F223" s="71"/>
      <c r="G223" s="71"/>
      <c r="H223" s="71"/>
      <c r="I223" s="72"/>
      <c r="AA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ht="15.75" customHeight="1">
      <c r="A224" s="101"/>
      <c r="B224" s="102"/>
      <c r="C224" s="102"/>
      <c r="D224" s="102"/>
      <c r="E224" s="72"/>
      <c r="F224" s="71"/>
      <c r="G224" s="71"/>
      <c r="H224" s="71"/>
      <c r="I224" s="72"/>
      <c r="AA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ht="15.75" customHeight="1">
      <c r="A225" s="101"/>
      <c r="B225" s="102"/>
      <c r="C225" s="102"/>
      <c r="D225" s="102"/>
      <c r="E225" s="72"/>
      <c r="F225" s="71"/>
      <c r="G225" s="71"/>
      <c r="H225" s="71"/>
      <c r="I225" s="72"/>
      <c r="AA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ht="15.75" customHeight="1">
      <c r="A226" s="101"/>
      <c r="B226" s="102"/>
      <c r="C226" s="102"/>
      <c r="D226" s="102"/>
      <c r="E226" s="72"/>
      <c r="F226" s="71"/>
      <c r="G226" s="71"/>
      <c r="H226" s="71"/>
      <c r="I226" s="72"/>
      <c r="AA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ht="15.75" customHeight="1">
      <c r="A227" s="101"/>
      <c r="B227" s="102"/>
      <c r="C227" s="102"/>
      <c r="D227" s="102"/>
      <c r="E227" s="72"/>
      <c r="F227" s="71"/>
      <c r="G227" s="71"/>
      <c r="H227" s="71"/>
      <c r="I227" s="72"/>
      <c r="AA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ht="15.75" customHeight="1">
      <c r="A228" s="101"/>
      <c r="B228" s="102"/>
      <c r="C228" s="102"/>
      <c r="D228" s="102"/>
      <c r="E228" s="72"/>
      <c r="F228" s="71"/>
      <c r="G228" s="71"/>
      <c r="H228" s="71"/>
      <c r="I228" s="72"/>
      <c r="AA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ht="15.75" customHeight="1">
      <c r="A229" s="101"/>
      <c r="B229" s="102"/>
      <c r="C229" s="102"/>
      <c r="D229" s="102"/>
      <c r="E229" s="72"/>
      <c r="F229" s="71"/>
      <c r="G229" s="71"/>
      <c r="H229" s="71"/>
      <c r="I229" s="72"/>
      <c r="AA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ht="15.75" customHeight="1">
      <c r="A230" s="101"/>
      <c r="B230" s="102"/>
      <c r="C230" s="102"/>
      <c r="D230" s="102"/>
      <c r="E230" s="72"/>
      <c r="F230" s="71"/>
      <c r="G230" s="71"/>
      <c r="H230" s="71"/>
      <c r="I230" s="72"/>
      <c r="AA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ht="15.75" customHeight="1">
      <c r="A231" s="101"/>
      <c r="B231" s="102"/>
      <c r="C231" s="102"/>
      <c r="D231" s="102"/>
      <c r="E231" s="72"/>
      <c r="F231" s="71"/>
      <c r="G231" s="71"/>
      <c r="H231" s="71"/>
      <c r="I231" s="72"/>
      <c r="AA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ht="15.75" customHeight="1">
      <c r="A232" s="101"/>
      <c r="B232" s="102"/>
      <c r="C232" s="102"/>
      <c r="D232" s="102"/>
      <c r="E232" s="72"/>
      <c r="F232" s="71"/>
      <c r="G232" s="71"/>
      <c r="H232" s="71"/>
      <c r="I232" s="72"/>
      <c r="AA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ht="15.75" customHeight="1">
      <c r="A233" s="101"/>
      <c r="B233" s="102"/>
      <c r="C233" s="102"/>
      <c r="D233" s="102"/>
      <c r="E233" s="72"/>
      <c r="F233" s="71"/>
      <c r="G233" s="71"/>
      <c r="H233" s="71"/>
      <c r="I233" s="72"/>
      <c r="AA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ht="15.75" customHeight="1">
      <c r="A234" s="101"/>
      <c r="B234" s="102"/>
      <c r="C234" s="102"/>
      <c r="D234" s="102"/>
      <c r="E234" s="72"/>
      <c r="F234" s="71"/>
      <c r="G234" s="71"/>
      <c r="H234" s="71"/>
      <c r="I234" s="72"/>
      <c r="AA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ht="15.75" customHeight="1">
      <c r="A235" s="101"/>
      <c r="B235" s="102"/>
      <c r="C235" s="102"/>
      <c r="D235" s="102"/>
      <c r="E235" s="72"/>
      <c r="F235" s="71"/>
      <c r="G235" s="71"/>
      <c r="H235" s="71"/>
      <c r="I235" s="72"/>
      <c r="AA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ht="15.75" customHeight="1">
      <c r="A236" s="101"/>
      <c r="B236" s="102"/>
      <c r="C236" s="102"/>
      <c r="D236" s="102"/>
      <c r="E236" s="72"/>
      <c r="F236" s="71"/>
      <c r="G236" s="71"/>
      <c r="H236" s="71"/>
      <c r="I236" s="72"/>
      <c r="AA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ht="15.75" customHeight="1">
      <c r="A237" s="101"/>
      <c r="B237" s="102"/>
      <c r="C237" s="102"/>
      <c r="D237" s="102"/>
      <c r="E237" s="72"/>
      <c r="F237" s="71"/>
      <c r="G237" s="71"/>
      <c r="H237" s="71"/>
      <c r="I237" s="72"/>
      <c r="AA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ht="15.75" customHeight="1">
      <c r="A238" s="101"/>
      <c r="B238" s="102"/>
      <c r="C238" s="102"/>
      <c r="D238" s="102"/>
      <c r="E238" s="72"/>
      <c r="F238" s="71"/>
      <c r="G238" s="71"/>
      <c r="H238" s="71"/>
      <c r="I238" s="72"/>
      <c r="AA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ht="15.75" customHeight="1">
      <c r="A239" s="101"/>
      <c r="B239" s="102"/>
      <c r="C239" s="102"/>
      <c r="D239" s="102"/>
      <c r="E239" s="72"/>
      <c r="F239" s="71"/>
      <c r="G239" s="71"/>
      <c r="H239" s="71"/>
      <c r="I239" s="72"/>
      <c r="AA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ht="15.75" customHeight="1">
      <c r="A240" s="101"/>
      <c r="B240" s="102"/>
      <c r="C240" s="102"/>
      <c r="D240" s="102"/>
      <c r="E240" s="72"/>
      <c r="F240" s="71"/>
      <c r="G240" s="71"/>
      <c r="H240" s="71"/>
      <c r="I240" s="72"/>
      <c r="AA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ht="15.75" customHeight="1">
      <c r="A241" s="101"/>
      <c r="B241" s="102"/>
      <c r="C241" s="102"/>
      <c r="D241" s="102"/>
      <c r="E241" s="72"/>
      <c r="F241" s="71"/>
      <c r="G241" s="71"/>
      <c r="H241" s="71"/>
      <c r="I241" s="72"/>
      <c r="AA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ht="15.75" customHeight="1">
      <c r="A242" s="101"/>
      <c r="B242" s="102"/>
      <c r="C242" s="102"/>
      <c r="D242" s="102"/>
      <c r="E242" s="72"/>
      <c r="F242" s="71"/>
      <c r="G242" s="71"/>
      <c r="H242" s="71"/>
      <c r="I242" s="72"/>
      <c r="AA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ht="15.75" customHeight="1">
      <c r="A243" s="101"/>
      <c r="B243" s="102"/>
      <c r="C243" s="102"/>
      <c r="D243" s="102"/>
      <c r="E243" s="72"/>
      <c r="F243" s="71"/>
      <c r="G243" s="71"/>
      <c r="H243" s="71"/>
      <c r="I243" s="72"/>
      <c r="AA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ht="15.75" customHeight="1">
      <c r="A244" s="101"/>
      <c r="B244" s="102"/>
      <c r="C244" s="102"/>
      <c r="D244" s="102"/>
      <c r="E244" s="72"/>
      <c r="F244" s="71"/>
      <c r="G244" s="71"/>
      <c r="H244" s="71"/>
      <c r="I244" s="72"/>
      <c r="AA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ht="15.75" customHeight="1">
      <c r="A245" s="101"/>
      <c r="B245" s="102"/>
      <c r="C245" s="102"/>
      <c r="D245" s="102"/>
      <c r="E245" s="72"/>
      <c r="F245" s="71"/>
      <c r="G245" s="71"/>
      <c r="H245" s="71"/>
      <c r="I245" s="72"/>
      <c r="AA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ht="15.75" customHeight="1">
      <c r="A246" s="101"/>
      <c r="B246" s="102"/>
      <c r="C246" s="102"/>
      <c r="D246" s="102"/>
      <c r="E246" s="72"/>
      <c r="F246" s="71"/>
      <c r="G246" s="71"/>
      <c r="H246" s="71"/>
      <c r="I246" s="72"/>
      <c r="AA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ht="15.75" customHeight="1">
      <c r="A247" s="101"/>
      <c r="B247" s="102"/>
      <c r="C247" s="102"/>
      <c r="D247" s="102"/>
      <c r="E247" s="72"/>
      <c r="F247" s="71"/>
      <c r="G247" s="71"/>
      <c r="H247" s="71"/>
      <c r="I247" s="72"/>
      <c r="AA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ht="15.75" customHeight="1">
      <c r="A248" s="101"/>
      <c r="B248" s="102"/>
      <c r="C248" s="102"/>
      <c r="D248" s="102"/>
      <c r="E248" s="72"/>
      <c r="F248" s="71"/>
      <c r="G248" s="71"/>
      <c r="H248" s="71"/>
      <c r="I248" s="72"/>
      <c r="AA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ht="15.75" customHeight="1">
      <c r="A249" s="101"/>
      <c r="B249" s="102"/>
      <c r="C249" s="102"/>
      <c r="D249" s="102"/>
      <c r="E249" s="72"/>
      <c r="F249" s="71"/>
      <c r="G249" s="71"/>
      <c r="H249" s="71"/>
      <c r="I249" s="72"/>
      <c r="AA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ht="15.75" customHeight="1">
      <c r="A250" s="101"/>
      <c r="B250" s="102"/>
      <c r="C250" s="102"/>
      <c r="D250" s="102"/>
      <c r="E250" s="72"/>
      <c r="F250" s="71"/>
      <c r="G250" s="71"/>
      <c r="H250" s="71"/>
      <c r="I250" s="72"/>
      <c r="AA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ht="15.75" customHeight="1">
      <c r="A251" s="101"/>
      <c r="B251" s="102"/>
      <c r="C251" s="102"/>
      <c r="D251" s="102"/>
      <c r="E251" s="72"/>
      <c r="F251" s="71"/>
      <c r="G251" s="71"/>
      <c r="H251" s="71"/>
      <c r="I251" s="72"/>
      <c r="AA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ht="15.75" customHeight="1">
      <c r="A252" s="101"/>
      <c r="B252" s="102"/>
      <c r="C252" s="102"/>
      <c r="D252" s="102"/>
      <c r="E252" s="72"/>
      <c r="F252" s="71"/>
      <c r="G252" s="71"/>
      <c r="H252" s="71"/>
      <c r="I252" s="72"/>
      <c r="AA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ht="15.75" customHeight="1">
      <c r="A253" s="101"/>
      <c r="B253" s="102"/>
      <c r="C253" s="102"/>
      <c r="D253" s="102"/>
      <c r="E253" s="72"/>
      <c r="F253" s="71"/>
      <c r="G253" s="71"/>
      <c r="H253" s="71"/>
      <c r="I253" s="72"/>
      <c r="AA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ht="15.75" customHeight="1">
      <c r="A254" s="101"/>
      <c r="B254" s="102"/>
      <c r="C254" s="102"/>
      <c r="D254" s="102"/>
      <c r="E254" s="72"/>
      <c r="F254" s="71"/>
      <c r="G254" s="71"/>
      <c r="H254" s="71"/>
      <c r="I254" s="72"/>
      <c r="AA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ht="15.75" customHeight="1">
      <c r="A255" s="101"/>
      <c r="B255" s="102"/>
      <c r="C255" s="102"/>
      <c r="D255" s="102"/>
      <c r="E255" s="72"/>
      <c r="F255" s="71"/>
      <c r="G255" s="71"/>
      <c r="H255" s="71"/>
      <c r="I255" s="72"/>
      <c r="AA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ht="15.75" customHeight="1">
      <c r="A256" s="101"/>
      <c r="B256" s="102"/>
      <c r="C256" s="102"/>
      <c r="D256" s="102"/>
      <c r="E256" s="72"/>
      <c r="F256" s="71"/>
      <c r="G256" s="71"/>
      <c r="H256" s="71"/>
      <c r="I256" s="72"/>
      <c r="AA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ht="15.75" customHeight="1">
      <c r="A257" s="101"/>
      <c r="B257" s="102"/>
      <c r="C257" s="102"/>
      <c r="D257" s="102"/>
      <c r="E257" s="72"/>
      <c r="F257" s="71"/>
      <c r="G257" s="71"/>
      <c r="H257" s="71"/>
      <c r="I257" s="72"/>
      <c r="AA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ht="15.75" customHeight="1">
      <c r="A258" s="101"/>
      <c r="B258" s="102"/>
      <c r="C258" s="102"/>
      <c r="D258" s="102"/>
      <c r="E258" s="72"/>
      <c r="F258" s="71"/>
      <c r="G258" s="71"/>
      <c r="H258" s="71"/>
      <c r="I258" s="72"/>
      <c r="AA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ht="15.75" customHeight="1">
      <c r="A259" s="101"/>
      <c r="B259" s="102"/>
      <c r="C259" s="102"/>
      <c r="D259" s="102"/>
      <c r="E259" s="72"/>
      <c r="F259" s="71"/>
      <c r="G259" s="71"/>
      <c r="H259" s="71"/>
      <c r="I259" s="72"/>
      <c r="AA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ht="15.75" customHeight="1">
      <c r="A260" s="101"/>
      <c r="B260" s="102"/>
      <c r="C260" s="102"/>
      <c r="D260" s="102"/>
      <c r="E260" s="72"/>
      <c r="F260" s="71"/>
      <c r="G260" s="71"/>
      <c r="H260" s="71"/>
      <c r="I260" s="72"/>
      <c r="AA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ht="15.75" customHeight="1">
      <c r="A261" s="101"/>
      <c r="B261" s="102"/>
      <c r="C261" s="102"/>
      <c r="D261" s="102"/>
      <c r="E261" s="72"/>
      <c r="F261" s="71"/>
      <c r="G261" s="71"/>
      <c r="H261" s="71"/>
      <c r="I261" s="72"/>
      <c r="AA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ht="15.75" customHeight="1">
      <c r="A262" s="101"/>
      <c r="B262" s="102"/>
      <c r="C262" s="102"/>
      <c r="D262" s="102"/>
      <c r="E262" s="72"/>
      <c r="F262" s="71"/>
      <c r="G262" s="71"/>
      <c r="H262" s="71"/>
      <c r="I262" s="72"/>
      <c r="AA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ht="15.75" customHeight="1">
      <c r="A263" s="101"/>
      <c r="B263" s="102"/>
      <c r="C263" s="102"/>
      <c r="D263" s="102"/>
      <c r="E263" s="72"/>
      <c r="F263" s="71"/>
      <c r="G263" s="71"/>
      <c r="H263" s="71"/>
      <c r="I263" s="72"/>
      <c r="AA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ht="15.75" customHeight="1">
      <c r="F264" s="103"/>
      <c r="G264" s="103"/>
      <c r="H264" s="103"/>
    </row>
    <row r="265" ht="15.75" customHeight="1">
      <c r="F265" s="103"/>
      <c r="G265" s="103"/>
      <c r="H265" s="103"/>
    </row>
    <row r="266" ht="15.75" customHeight="1">
      <c r="F266" s="103"/>
      <c r="G266" s="103"/>
      <c r="H266" s="103"/>
    </row>
    <row r="267" ht="15.75" customHeight="1">
      <c r="F267" s="103"/>
      <c r="G267" s="103"/>
      <c r="H267" s="103"/>
    </row>
    <row r="268" ht="15.75" customHeight="1">
      <c r="F268" s="103"/>
      <c r="G268" s="103"/>
      <c r="H268" s="103"/>
    </row>
    <row r="269" ht="15.75" customHeight="1">
      <c r="F269" s="103"/>
      <c r="G269" s="103"/>
      <c r="H269" s="103"/>
    </row>
    <row r="270" ht="15.75" customHeight="1">
      <c r="F270" s="103"/>
      <c r="G270" s="103"/>
      <c r="H270" s="103"/>
    </row>
    <row r="271" ht="15.75" customHeight="1">
      <c r="F271" s="103"/>
      <c r="G271" s="103"/>
      <c r="H271" s="103"/>
    </row>
    <row r="272" ht="15.75" customHeight="1">
      <c r="F272" s="103"/>
      <c r="G272" s="103"/>
      <c r="H272" s="103"/>
    </row>
    <row r="273" ht="15.75" customHeight="1">
      <c r="F273" s="103"/>
      <c r="G273" s="103"/>
      <c r="H273" s="103"/>
    </row>
    <row r="274" ht="15.75" customHeight="1">
      <c r="F274" s="103"/>
      <c r="G274" s="103"/>
      <c r="H274" s="103"/>
    </row>
    <row r="275" ht="15.75" customHeight="1">
      <c r="F275" s="103"/>
      <c r="G275" s="103"/>
      <c r="H275" s="103"/>
    </row>
    <row r="276" ht="15.75" customHeight="1">
      <c r="F276" s="103"/>
      <c r="G276" s="103"/>
      <c r="H276" s="103"/>
    </row>
    <row r="277" ht="15.75" customHeight="1">
      <c r="F277" s="103"/>
      <c r="G277" s="103"/>
      <c r="H277" s="103"/>
    </row>
    <row r="278" ht="15.75" customHeight="1">
      <c r="F278" s="103"/>
      <c r="G278" s="103"/>
      <c r="H278" s="103"/>
    </row>
    <row r="279" ht="15.75" customHeight="1">
      <c r="F279" s="103"/>
      <c r="G279" s="103"/>
      <c r="H279" s="103"/>
    </row>
    <row r="280" ht="15.75" customHeight="1">
      <c r="F280" s="103"/>
      <c r="G280" s="103"/>
      <c r="H280" s="103"/>
    </row>
    <row r="281" ht="15.75" customHeight="1">
      <c r="F281" s="103"/>
      <c r="G281" s="103"/>
      <c r="H281" s="103"/>
    </row>
    <row r="282" ht="15.75" customHeight="1">
      <c r="F282" s="103"/>
      <c r="G282" s="103"/>
      <c r="H282" s="103"/>
    </row>
    <row r="283" ht="15.75" customHeight="1">
      <c r="F283" s="103"/>
      <c r="G283" s="103"/>
      <c r="H283" s="103"/>
    </row>
    <row r="284" ht="15.75" customHeight="1">
      <c r="F284" s="103"/>
      <c r="G284" s="103"/>
      <c r="H284" s="103"/>
    </row>
    <row r="285" ht="15.75" customHeight="1">
      <c r="F285" s="103"/>
      <c r="G285" s="103"/>
      <c r="H285" s="103"/>
    </row>
    <row r="286" ht="15.75" customHeight="1">
      <c r="F286" s="103"/>
      <c r="G286" s="103"/>
      <c r="H286" s="103"/>
    </row>
    <row r="287" ht="15.75" customHeight="1">
      <c r="F287" s="103"/>
      <c r="G287" s="103"/>
      <c r="H287" s="103"/>
    </row>
    <row r="288" ht="15.75" customHeight="1">
      <c r="F288" s="103"/>
      <c r="G288" s="103"/>
      <c r="H288" s="103"/>
    </row>
    <row r="289" ht="15.75" customHeight="1">
      <c r="F289" s="103"/>
      <c r="G289" s="103"/>
      <c r="H289" s="103"/>
    </row>
    <row r="290" ht="15.75" customHeight="1">
      <c r="F290" s="103"/>
      <c r="G290" s="103"/>
      <c r="H290" s="103"/>
    </row>
    <row r="291" ht="15.75" customHeight="1">
      <c r="F291" s="103"/>
      <c r="G291" s="103"/>
      <c r="H291" s="103"/>
    </row>
    <row r="292" ht="15.75" customHeight="1">
      <c r="F292" s="103"/>
      <c r="G292" s="103"/>
      <c r="H292" s="103"/>
    </row>
    <row r="293" ht="15.75" customHeight="1">
      <c r="F293" s="103"/>
      <c r="G293" s="103"/>
      <c r="H293" s="103"/>
    </row>
    <row r="294" ht="15.75" customHeight="1">
      <c r="F294" s="103"/>
      <c r="G294" s="103"/>
      <c r="H294" s="103"/>
    </row>
    <row r="295" ht="15.75" customHeight="1">
      <c r="F295" s="103"/>
      <c r="G295" s="103"/>
      <c r="H295" s="103"/>
    </row>
    <row r="296" ht="15.75" customHeight="1">
      <c r="F296" s="103"/>
      <c r="G296" s="103"/>
      <c r="H296" s="103"/>
    </row>
    <row r="297" ht="15.75" customHeight="1">
      <c r="F297" s="103"/>
      <c r="G297" s="103"/>
      <c r="H297" s="103"/>
    </row>
    <row r="298" ht="15.75" customHeight="1">
      <c r="F298" s="103"/>
      <c r="G298" s="103"/>
      <c r="H298" s="103"/>
    </row>
    <row r="299" ht="15.75" customHeight="1">
      <c r="F299" s="103"/>
      <c r="G299" s="103"/>
      <c r="H299" s="103"/>
    </row>
    <row r="300" ht="15.75" customHeight="1">
      <c r="F300" s="103"/>
      <c r="G300" s="103"/>
      <c r="H300" s="103"/>
    </row>
    <row r="301" ht="15.75" customHeight="1">
      <c r="F301" s="103"/>
      <c r="G301" s="103"/>
      <c r="H301" s="103"/>
    </row>
    <row r="302" ht="15.75" customHeight="1">
      <c r="F302" s="103"/>
      <c r="G302" s="103"/>
      <c r="H302" s="103"/>
    </row>
    <row r="303" ht="15.75" customHeight="1">
      <c r="F303" s="103"/>
      <c r="G303" s="103"/>
      <c r="H303" s="103"/>
    </row>
    <row r="304" ht="15.75" customHeight="1">
      <c r="F304" s="103"/>
      <c r="G304" s="103"/>
      <c r="H304" s="103"/>
    </row>
    <row r="305" ht="15.75" customHeight="1">
      <c r="F305" s="103"/>
      <c r="G305" s="103"/>
      <c r="H305" s="103"/>
    </row>
    <row r="306" ht="15.75" customHeight="1">
      <c r="F306" s="103"/>
      <c r="G306" s="103"/>
      <c r="H306" s="103"/>
    </row>
    <row r="307" ht="15.75" customHeight="1">
      <c r="F307" s="103"/>
      <c r="G307" s="103"/>
      <c r="H307" s="103"/>
    </row>
    <row r="308" ht="15.75" customHeight="1">
      <c r="F308" s="103"/>
      <c r="G308" s="103"/>
      <c r="H308" s="103"/>
    </row>
    <row r="309" ht="15.75" customHeight="1">
      <c r="F309" s="103"/>
      <c r="G309" s="103"/>
      <c r="H309" s="103"/>
    </row>
    <row r="310" ht="15.75" customHeight="1">
      <c r="F310" s="103"/>
      <c r="G310" s="103"/>
      <c r="H310" s="103"/>
    </row>
    <row r="311" ht="15.75" customHeight="1">
      <c r="F311" s="103"/>
      <c r="G311" s="103"/>
      <c r="H311" s="103"/>
    </row>
    <row r="312" ht="15.75" customHeight="1">
      <c r="F312" s="103"/>
      <c r="G312" s="103"/>
      <c r="H312" s="103"/>
    </row>
    <row r="313" ht="15.75" customHeight="1">
      <c r="F313" s="103"/>
      <c r="G313" s="103"/>
      <c r="H313" s="103"/>
    </row>
    <row r="314" ht="15.75" customHeight="1">
      <c r="F314" s="103"/>
      <c r="G314" s="103"/>
      <c r="H314" s="103"/>
    </row>
    <row r="315" ht="15.75" customHeight="1">
      <c r="F315" s="103"/>
      <c r="G315" s="103"/>
      <c r="H315" s="103"/>
    </row>
    <row r="316" ht="15.75" customHeight="1">
      <c r="F316" s="103"/>
      <c r="G316" s="103"/>
      <c r="H316" s="103"/>
    </row>
    <row r="317" ht="15.75" customHeight="1">
      <c r="F317" s="103"/>
      <c r="G317" s="103"/>
      <c r="H317" s="103"/>
    </row>
    <row r="318" ht="15.75" customHeight="1">
      <c r="F318" s="103"/>
      <c r="G318" s="103"/>
      <c r="H318" s="103"/>
    </row>
    <row r="319" ht="15.75" customHeight="1">
      <c r="F319" s="103"/>
      <c r="G319" s="103"/>
      <c r="H319" s="103"/>
    </row>
    <row r="320" ht="15.75" customHeight="1">
      <c r="F320" s="103"/>
      <c r="G320" s="103"/>
      <c r="H320" s="103"/>
    </row>
    <row r="321" ht="15.75" customHeight="1">
      <c r="F321" s="103"/>
      <c r="G321" s="103"/>
      <c r="H321" s="103"/>
    </row>
    <row r="322" ht="15.75" customHeight="1">
      <c r="F322" s="103"/>
      <c r="G322" s="103"/>
      <c r="H322" s="103"/>
    </row>
    <row r="323" ht="15.75" customHeight="1">
      <c r="F323" s="103"/>
      <c r="G323" s="103"/>
      <c r="H323" s="103"/>
    </row>
    <row r="324" ht="15.75" customHeight="1">
      <c r="F324" s="103"/>
      <c r="G324" s="103"/>
      <c r="H324" s="103"/>
    </row>
    <row r="325" ht="15.75" customHeight="1">
      <c r="F325" s="103"/>
      <c r="G325" s="103"/>
      <c r="H325" s="103"/>
    </row>
    <row r="326" ht="15.75" customHeight="1">
      <c r="F326" s="103"/>
      <c r="G326" s="103"/>
      <c r="H326" s="103"/>
    </row>
    <row r="327" ht="15.75" customHeight="1">
      <c r="F327" s="103"/>
      <c r="G327" s="103"/>
      <c r="H327" s="103"/>
    </row>
    <row r="328" ht="15.75" customHeight="1">
      <c r="F328" s="103"/>
      <c r="G328" s="103"/>
      <c r="H328" s="103"/>
    </row>
    <row r="329" ht="15.75" customHeight="1">
      <c r="F329" s="103"/>
      <c r="G329" s="103"/>
      <c r="H329" s="103"/>
    </row>
    <row r="330" ht="15.75" customHeight="1">
      <c r="F330" s="103"/>
      <c r="G330" s="103"/>
      <c r="H330" s="103"/>
    </row>
    <row r="331" ht="15.75" customHeight="1">
      <c r="F331" s="103"/>
      <c r="G331" s="103"/>
      <c r="H331" s="103"/>
    </row>
    <row r="332" ht="15.75" customHeight="1">
      <c r="F332" s="103"/>
      <c r="G332" s="103"/>
      <c r="H332" s="103"/>
    </row>
    <row r="333" ht="15.75" customHeight="1">
      <c r="F333" s="103"/>
      <c r="G333" s="103"/>
      <c r="H333" s="103"/>
    </row>
    <row r="334" ht="15.75" customHeight="1">
      <c r="F334" s="103"/>
      <c r="G334" s="103"/>
      <c r="H334" s="103"/>
    </row>
    <row r="335" ht="15.75" customHeight="1">
      <c r="F335" s="103"/>
      <c r="G335" s="103"/>
      <c r="H335" s="103"/>
    </row>
    <row r="336" ht="15.75" customHeight="1">
      <c r="F336" s="103"/>
      <c r="G336" s="103"/>
      <c r="H336" s="103"/>
    </row>
    <row r="337" ht="15.75" customHeight="1">
      <c r="F337" s="103"/>
      <c r="G337" s="103"/>
      <c r="H337" s="103"/>
    </row>
    <row r="338" ht="15.75" customHeight="1">
      <c r="F338" s="103"/>
      <c r="G338" s="103"/>
      <c r="H338" s="103"/>
    </row>
    <row r="339" ht="15.75" customHeight="1">
      <c r="F339" s="103"/>
      <c r="G339" s="103"/>
      <c r="H339" s="103"/>
    </row>
    <row r="340" ht="15.75" customHeight="1">
      <c r="F340" s="103"/>
      <c r="G340" s="103"/>
      <c r="H340" s="103"/>
    </row>
    <row r="341" ht="15.75" customHeight="1">
      <c r="F341" s="103"/>
      <c r="G341" s="103"/>
      <c r="H341" s="103"/>
    </row>
    <row r="342" ht="15.75" customHeight="1">
      <c r="F342" s="103"/>
      <c r="G342" s="103"/>
      <c r="H342" s="103"/>
    </row>
    <row r="343" ht="15.75" customHeight="1">
      <c r="F343" s="103"/>
      <c r="G343" s="103"/>
      <c r="H343" s="103"/>
    </row>
    <row r="344" ht="15.75" customHeight="1">
      <c r="F344" s="103"/>
      <c r="G344" s="103"/>
      <c r="H344" s="103"/>
    </row>
    <row r="345" ht="15.75" customHeight="1">
      <c r="F345" s="103"/>
      <c r="G345" s="103"/>
      <c r="H345" s="103"/>
    </row>
    <row r="346" ht="15.75" customHeight="1">
      <c r="F346" s="103"/>
      <c r="G346" s="103"/>
      <c r="H346" s="103"/>
    </row>
    <row r="347" ht="15.75" customHeight="1">
      <c r="F347" s="103"/>
      <c r="G347" s="103"/>
      <c r="H347" s="103"/>
    </row>
    <row r="348" ht="15.75" customHeight="1">
      <c r="F348" s="103"/>
      <c r="G348" s="103"/>
      <c r="H348" s="103"/>
    </row>
    <row r="349" ht="15.75" customHeight="1">
      <c r="F349" s="103"/>
      <c r="G349" s="103"/>
      <c r="H349" s="103"/>
    </row>
    <row r="350" ht="15.75" customHeight="1">
      <c r="F350" s="103"/>
      <c r="G350" s="103"/>
      <c r="H350" s="103"/>
    </row>
    <row r="351" ht="15.75" customHeight="1">
      <c r="F351" s="103"/>
      <c r="G351" s="103"/>
      <c r="H351" s="103"/>
    </row>
    <row r="352" ht="15.75" customHeight="1">
      <c r="F352" s="103"/>
      <c r="G352" s="103"/>
      <c r="H352" s="103"/>
    </row>
    <row r="353" ht="15.75" customHeight="1">
      <c r="F353" s="103"/>
      <c r="G353" s="103"/>
      <c r="H353" s="103"/>
    </row>
    <row r="354" ht="15.75" customHeight="1">
      <c r="F354" s="103"/>
      <c r="G354" s="103"/>
      <c r="H354" s="103"/>
    </row>
    <row r="355" ht="15.75" customHeight="1">
      <c r="F355" s="103"/>
      <c r="G355" s="103"/>
      <c r="H355" s="103"/>
    </row>
    <row r="356" ht="15.75" customHeight="1">
      <c r="F356" s="103"/>
      <c r="G356" s="103"/>
      <c r="H356" s="103"/>
    </row>
    <row r="357" ht="15.75" customHeight="1">
      <c r="F357" s="103"/>
      <c r="G357" s="103"/>
      <c r="H357" s="103"/>
    </row>
    <row r="358" ht="15.75" customHeight="1">
      <c r="F358" s="103"/>
      <c r="G358" s="103"/>
      <c r="H358" s="103"/>
    </row>
    <row r="359" ht="15.75" customHeight="1">
      <c r="F359" s="103"/>
      <c r="G359" s="103"/>
      <c r="H359" s="103"/>
    </row>
    <row r="360" ht="15.75" customHeight="1">
      <c r="F360" s="103"/>
      <c r="G360" s="103"/>
      <c r="H360" s="103"/>
    </row>
    <row r="361" ht="15.75" customHeight="1">
      <c r="F361" s="103"/>
      <c r="G361" s="103"/>
      <c r="H361" s="103"/>
    </row>
    <row r="362" ht="15.75" customHeight="1">
      <c r="F362" s="103"/>
      <c r="G362" s="103"/>
      <c r="H362" s="103"/>
    </row>
    <row r="363" ht="15.75" customHeight="1">
      <c r="F363" s="103"/>
      <c r="G363" s="103"/>
      <c r="H363" s="103"/>
    </row>
    <row r="364" ht="15.75" customHeight="1">
      <c r="F364" s="103"/>
      <c r="G364" s="103"/>
      <c r="H364" s="103"/>
    </row>
    <row r="365" ht="15.75" customHeight="1">
      <c r="F365" s="103"/>
      <c r="G365" s="103"/>
      <c r="H365" s="103"/>
    </row>
    <row r="366" ht="15.75" customHeight="1">
      <c r="F366" s="103"/>
      <c r="G366" s="103"/>
      <c r="H366" s="103"/>
    </row>
    <row r="367" ht="15.75" customHeight="1">
      <c r="F367" s="103"/>
      <c r="G367" s="103"/>
      <c r="H367" s="103"/>
    </row>
    <row r="368" ht="15.75" customHeight="1">
      <c r="F368" s="103"/>
      <c r="G368" s="103"/>
      <c r="H368" s="103"/>
    </row>
    <row r="369" ht="15.75" customHeight="1">
      <c r="F369" s="103"/>
      <c r="G369" s="103"/>
      <c r="H369" s="103"/>
    </row>
    <row r="370" ht="15.75" customHeight="1">
      <c r="F370" s="103"/>
      <c r="G370" s="103"/>
      <c r="H370" s="103"/>
    </row>
    <row r="371" ht="15.75" customHeight="1">
      <c r="F371" s="103"/>
      <c r="G371" s="103"/>
      <c r="H371" s="103"/>
    </row>
    <row r="372" ht="15.75" customHeight="1">
      <c r="F372" s="103"/>
      <c r="G372" s="103"/>
      <c r="H372" s="103"/>
    </row>
    <row r="373" ht="15.75" customHeight="1">
      <c r="F373" s="103"/>
      <c r="G373" s="103"/>
      <c r="H373" s="103"/>
    </row>
    <row r="374" ht="15.75" customHeight="1">
      <c r="F374" s="103"/>
      <c r="G374" s="103"/>
      <c r="H374" s="103"/>
    </row>
    <row r="375" ht="15.75" customHeight="1">
      <c r="F375" s="103"/>
      <c r="G375" s="103"/>
      <c r="H375" s="103"/>
    </row>
    <row r="376" ht="15.75" customHeight="1">
      <c r="F376" s="103"/>
      <c r="G376" s="103"/>
      <c r="H376" s="103"/>
    </row>
    <row r="377" ht="15.75" customHeight="1">
      <c r="F377" s="103"/>
      <c r="G377" s="103"/>
      <c r="H377" s="103"/>
    </row>
    <row r="378" ht="15.75" customHeight="1">
      <c r="F378" s="103"/>
      <c r="G378" s="103"/>
      <c r="H378" s="103"/>
    </row>
    <row r="379" ht="15.75" customHeight="1">
      <c r="F379" s="103"/>
      <c r="G379" s="103"/>
      <c r="H379" s="103"/>
    </row>
    <row r="380" ht="15.75" customHeight="1">
      <c r="F380" s="103"/>
      <c r="G380" s="103"/>
      <c r="H380" s="103"/>
    </row>
    <row r="381" ht="15.75" customHeight="1">
      <c r="F381" s="103"/>
      <c r="G381" s="103"/>
      <c r="H381" s="103"/>
    </row>
    <row r="382" ht="15.75" customHeight="1">
      <c r="F382" s="103"/>
      <c r="G382" s="103"/>
      <c r="H382" s="103"/>
    </row>
    <row r="383" ht="15.75" customHeight="1">
      <c r="F383" s="103"/>
      <c r="G383" s="103"/>
      <c r="H383" s="103"/>
    </row>
    <row r="384" ht="15.75" customHeight="1">
      <c r="F384" s="103"/>
      <c r="G384" s="103"/>
      <c r="H384" s="103"/>
    </row>
    <row r="385" ht="15.75" customHeight="1">
      <c r="F385" s="103"/>
      <c r="G385" s="103"/>
      <c r="H385" s="103"/>
    </row>
    <row r="386" ht="15.75" customHeight="1">
      <c r="F386" s="103"/>
      <c r="G386" s="103"/>
      <c r="H386" s="103"/>
    </row>
    <row r="387" ht="15.75" customHeight="1">
      <c r="F387" s="103"/>
      <c r="G387" s="103"/>
      <c r="H387" s="103"/>
    </row>
    <row r="388" ht="15.75" customHeight="1">
      <c r="F388" s="103"/>
      <c r="G388" s="103"/>
      <c r="H388" s="103"/>
    </row>
    <row r="389" ht="15.75" customHeight="1">
      <c r="F389" s="103"/>
      <c r="G389" s="103"/>
      <c r="H389" s="103"/>
    </row>
    <row r="390" ht="15.75" customHeight="1">
      <c r="F390" s="103"/>
      <c r="G390" s="103"/>
      <c r="H390" s="103"/>
    </row>
    <row r="391" ht="15.75" customHeight="1">
      <c r="F391" s="103"/>
      <c r="G391" s="103"/>
      <c r="H391" s="103"/>
    </row>
    <row r="392" ht="15.75" customHeight="1">
      <c r="F392" s="103"/>
      <c r="G392" s="103"/>
      <c r="H392" s="103"/>
    </row>
    <row r="393" ht="15.75" customHeight="1">
      <c r="F393" s="103"/>
      <c r="G393" s="103"/>
      <c r="H393" s="103"/>
    </row>
    <row r="394" ht="15.75" customHeight="1">
      <c r="F394" s="103"/>
      <c r="G394" s="103"/>
      <c r="H394" s="103"/>
    </row>
    <row r="395" ht="15.75" customHeight="1">
      <c r="F395" s="103"/>
      <c r="G395" s="103"/>
      <c r="H395" s="103"/>
    </row>
    <row r="396" ht="15.75" customHeight="1">
      <c r="F396" s="103"/>
      <c r="G396" s="103"/>
      <c r="H396" s="103"/>
    </row>
    <row r="397" ht="15.75" customHeight="1">
      <c r="F397" s="103"/>
      <c r="G397" s="103"/>
      <c r="H397" s="103"/>
    </row>
    <row r="398" ht="15.75" customHeight="1">
      <c r="F398" s="103"/>
      <c r="G398" s="103"/>
      <c r="H398" s="103"/>
    </row>
    <row r="399" ht="15.75" customHeight="1">
      <c r="F399" s="103"/>
      <c r="G399" s="103"/>
      <c r="H399" s="103"/>
    </row>
    <row r="400" ht="15.75" customHeight="1">
      <c r="F400" s="103"/>
      <c r="G400" s="103"/>
      <c r="H400" s="103"/>
    </row>
    <row r="401" ht="15.75" customHeight="1">
      <c r="F401" s="103"/>
      <c r="G401" s="103"/>
      <c r="H401" s="103"/>
    </row>
    <row r="402" ht="15.75" customHeight="1">
      <c r="F402" s="103"/>
      <c r="G402" s="103"/>
      <c r="H402" s="103"/>
    </row>
    <row r="403" ht="15.75" customHeight="1">
      <c r="F403" s="103"/>
      <c r="G403" s="103"/>
      <c r="H403" s="103"/>
    </row>
    <row r="404" ht="15.75" customHeight="1">
      <c r="F404" s="103"/>
      <c r="G404" s="103"/>
      <c r="H404" s="103"/>
    </row>
    <row r="405" ht="15.75" customHeight="1">
      <c r="F405" s="103"/>
      <c r="G405" s="103"/>
      <c r="H405" s="103"/>
    </row>
    <row r="406" ht="15.75" customHeight="1">
      <c r="F406" s="103"/>
      <c r="G406" s="103"/>
      <c r="H406" s="103"/>
    </row>
    <row r="407" ht="15.75" customHeight="1">
      <c r="F407" s="103"/>
      <c r="G407" s="103"/>
      <c r="H407" s="103"/>
    </row>
    <row r="408" ht="15.75" customHeight="1">
      <c r="F408" s="103"/>
      <c r="G408" s="103"/>
      <c r="H408" s="103"/>
    </row>
    <row r="409" ht="15.75" customHeight="1">
      <c r="F409" s="103"/>
      <c r="G409" s="103"/>
      <c r="H409" s="103"/>
    </row>
    <row r="410" ht="15.75" customHeight="1">
      <c r="F410" s="103"/>
      <c r="G410" s="103"/>
      <c r="H410" s="103"/>
    </row>
    <row r="411" ht="15.75" customHeight="1">
      <c r="F411" s="103"/>
      <c r="G411" s="103"/>
      <c r="H411" s="103"/>
    </row>
    <row r="412" ht="15.75" customHeight="1">
      <c r="F412" s="103"/>
      <c r="G412" s="103"/>
      <c r="H412" s="103"/>
    </row>
    <row r="413" ht="15.75" customHeight="1">
      <c r="F413" s="103"/>
      <c r="G413" s="103"/>
      <c r="H413" s="103"/>
    </row>
    <row r="414" ht="15.75" customHeight="1">
      <c r="F414" s="103"/>
      <c r="G414" s="103"/>
      <c r="H414" s="103"/>
    </row>
    <row r="415" ht="15.75" customHeight="1">
      <c r="F415" s="103"/>
      <c r="G415" s="103"/>
      <c r="H415" s="103"/>
    </row>
    <row r="416" ht="15.75" customHeight="1">
      <c r="F416" s="103"/>
      <c r="G416" s="103"/>
      <c r="H416" s="103"/>
    </row>
    <row r="417" ht="15.75" customHeight="1">
      <c r="F417" s="103"/>
      <c r="G417" s="103"/>
      <c r="H417" s="103"/>
    </row>
    <row r="418" ht="15.75" customHeight="1">
      <c r="F418" s="103"/>
      <c r="G418" s="103"/>
      <c r="H418" s="103"/>
    </row>
    <row r="419" ht="15.75" customHeight="1">
      <c r="F419" s="103"/>
      <c r="G419" s="103"/>
      <c r="H419" s="103"/>
    </row>
    <row r="420" ht="15.75" customHeight="1">
      <c r="F420" s="103"/>
      <c r="G420" s="103"/>
      <c r="H420" s="103"/>
    </row>
    <row r="421" ht="15.75" customHeight="1">
      <c r="F421" s="103"/>
      <c r="G421" s="103"/>
      <c r="H421" s="103"/>
    </row>
    <row r="422" ht="15.75" customHeight="1">
      <c r="F422" s="103"/>
      <c r="G422" s="103"/>
      <c r="H422" s="103"/>
    </row>
    <row r="423" ht="15.75" customHeight="1">
      <c r="F423" s="103"/>
      <c r="G423" s="103"/>
      <c r="H423" s="103"/>
    </row>
    <row r="424" ht="15.75" customHeight="1">
      <c r="F424" s="103"/>
      <c r="G424" s="103"/>
      <c r="H424" s="103"/>
    </row>
    <row r="425" ht="15.75" customHeight="1">
      <c r="F425" s="103"/>
      <c r="G425" s="103"/>
      <c r="H425" s="103"/>
    </row>
    <row r="426" ht="15.75" customHeight="1">
      <c r="F426" s="103"/>
      <c r="G426" s="103"/>
      <c r="H426" s="103"/>
    </row>
    <row r="427" ht="15.75" customHeight="1">
      <c r="F427" s="103"/>
      <c r="G427" s="103"/>
      <c r="H427" s="103"/>
    </row>
    <row r="428" ht="15.75" customHeight="1">
      <c r="F428" s="103"/>
      <c r="G428" s="103"/>
      <c r="H428" s="103"/>
    </row>
    <row r="429" ht="15.75" customHeight="1">
      <c r="F429" s="103"/>
      <c r="G429" s="103"/>
      <c r="H429" s="103"/>
    </row>
    <row r="430" ht="15.75" customHeight="1">
      <c r="F430" s="103"/>
      <c r="G430" s="103"/>
      <c r="H430" s="103"/>
    </row>
    <row r="431" ht="15.75" customHeight="1">
      <c r="F431" s="103"/>
      <c r="G431" s="103"/>
      <c r="H431" s="103"/>
    </row>
    <row r="432" ht="15.75" customHeight="1">
      <c r="F432" s="103"/>
      <c r="G432" s="103"/>
      <c r="H432" s="103"/>
    </row>
    <row r="433" ht="15.75" customHeight="1">
      <c r="F433" s="103"/>
      <c r="G433" s="103"/>
      <c r="H433" s="103"/>
    </row>
    <row r="434" ht="15.75" customHeight="1">
      <c r="F434" s="103"/>
      <c r="G434" s="103"/>
      <c r="H434" s="103"/>
    </row>
    <row r="435" ht="15.75" customHeight="1">
      <c r="F435" s="103"/>
      <c r="G435" s="103"/>
      <c r="H435" s="103"/>
    </row>
    <row r="436" ht="15.75" customHeight="1">
      <c r="F436" s="103"/>
      <c r="G436" s="103"/>
      <c r="H436" s="103"/>
    </row>
    <row r="437" ht="15.75" customHeight="1">
      <c r="F437" s="103"/>
      <c r="G437" s="103"/>
      <c r="H437" s="103"/>
    </row>
    <row r="438" ht="15.75" customHeight="1">
      <c r="F438" s="103"/>
      <c r="G438" s="103"/>
      <c r="H438" s="103"/>
    </row>
    <row r="439" ht="15.75" customHeight="1">
      <c r="F439" s="103"/>
      <c r="G439" s="103"/>
      <c r="H439" s="103"/>
    </row>
    <row r="440" ht="15.75" customHeight="1">
      <c r="F440" s="103"/>
      <c r="G440" s="103"/>
      <c r="H440" s="103"/>
    </row>
    <row r="441" ht="15.75" customHeight="1">
      <c r="F441" s="103"/>
      <c r="G441" s="103"/>
      <c r="H441" s="103"/>
    </row>
    <row r="442" ht="15.75" customHeight="1">
      <c r="F442" s="103"/>
      <c r="G442" s="103"/>
      <c r="H442" s="103"/>
    </row>
    <row r="443" ht="15.75" customHeight="1">
      <c r="F443" s="103"/>
      <c r="G443" s="103"/>
      <c r="H443" s="103"/>
    </row>
    <row r="444" ht="15.75" customHeight="1">
      <c r="F444" s="103"/>
      <c r="G444" s="103"/>
      <c r="H444" s="103"/>
    </row>
    <row r="445" ht="15.75" customHeight="1">
      <c r="F445" s="103"/>
      <c r="G445" s="103"/>
      <c r="H445" s="103"/>
    </row>
    <row r="446" ht="15.75" customHeight="1">
      <c r="F446" s="103"/>
      <c r="G446" s="103"/>
      <c r="H446" s="103"/>
    </row>
    <row r="447" ht="15.75" customHeight="1">
      <c r="F447" s="103"/>
      <c r="G447" s="103"/>
      <c r="H447" s="103"/>
    </row>
    <row r="448" ht="15.75" customHeight="1">
      <c r="F448" s="103"/>
      <c r="G448" s="103"/>
      <c r="H448" s="103"/>
    </row>
    <row r="449" ht="15.75" customHeight="1">
      <c r="F449" s="103"/>
      <c r="G449" s="103"/>
      <c r="H449" s="103"/>
    </row>
    <row r="450" ht="15.75" customHeight="1">
      <c r="F450" s="103"/>
      <c r="G450" s="103"/>
      <c r="H450" s="103"/>
    </row>
    <row r="451" ht="15.75" customHeight="1">
      <c r="F451" s="103"/>
      <c r="G451" s="103"/>
      <c r="H451" s="103"/>
    </row>
    <row r="452" ht="15.75" customHeight="1">
      <c r="F452" s="103"/>
      <c r="G452" s="103"/>
      <c r="H452" s="103"/>
    </row>
    <row r="453" ht="15.75" customHeight="1">
      <c r="F453" s="103"/>
      <c r="G453" s="103"/>
      <c r="H453" s="103"/>
    </row>
    <row r="454" ht="15.75" customHeight="1">
      <c r="F454" s="103"/>
      <c r="G454" s="103"/>
      <c r="H454" s="103"/>
    </row>
    <row r="455" ht="15.75" customHeight="1">
      <c r="F455" s="103"/>
      <c r="G455" s="103"/>
      <c r="H455" s="103"/>
    </row>
    <row r="456" ht="15.75" customHeight="1">
      <c r="F456" s="103"/>
      <c r="G456" s="103"/>
      <c r="H456" s="103"/>
    </row>
    <row r="457" ht="15.75" customHeight="1">
      <c r="F457" s="103"/>
      <c r="G457" s="103"/>
      <c r="H457" s="103"/>
    </row>
    <row r="458" ht="15.75" customHeight="1">
      <c r="F458" s="103"/>
      <c r="G458" s="103"/>
      <c r="H458" s="103"/>
    </row>
    <row r="459" ht="15.75" customHeight="1">
      <c r="F459" s="103"/>
      <c r="G459" s="103"/>
      <c r="H459" s="103"/>
    </row>
    <row r="460" ht="15.75" customHeight="1">
      <c r="F460" s="103"/>
      <c r="G460" s="103"/>
      <c r="H460" s="103"/>
    </row>
    <row r="461" ht="15.75" customHeight="1">
      <c r="F461" s="103"/>
      <c r="G461" s="103"/>
      <c r="H461" s="103"/>
    </row>
    <row r="462" ht="15.75" customHeight="1">
      <c r="F462" s="103"/>
      <c r="G462" s="103"/>
      <c r="H462" s="103"/>
    </row>
    <row r="463" ht="15.75" customHeight="1">
      <c r="F463" s="103"/>
      <c r="G463" s="103"/>
      <c r="H463" s="103"/>
    </row>
    <row r="464" ht="15.75" customHeight="1">
      <c r="F464" s="103"/>
      <c r="G464" s="103"/>
      <c r="H464" s="103"/>
    </row>
    <row r="465" ht="15.75" customHeight="1">
      <c r="F465" s="103"/>
      <c r="G465" s="103"/>
      <c r="H465" s="103"/>
    </row>
    <row r="466" ht="15.75" customHeight="1">
      <c r="F466" s="103"/>
      <c r="G466" s="103"/>
      <c r="H466" s="103"/>
    </row>
    <row r="467" ht="15.75" customHeight="1">
      <c r="F467" s="103"/>
      <c r="G467" s="103"/>
      <c r="H467" s="103"/>
    </row>
    <row r="468" ht="15.75" customHeight="1">
      <c r="F468" s="103"/>
      <c r="G468" s="103"/>
      <c r="H468" s="103"/>
    </row>
    <row r="469" ht="15.75" customHeight="1">
      <c r="F469" s="103"/>
      <c r="G469" s="103"/>
      <c r="H469" s="103"/>
    </row>
    <row r="470" ht="15.75" customHeight="1">
      <c r="F470" s="103"/>
      <c r="G470" s="103"/>
      <c r="H470" s="103"/>
    </row>
    <row r="471" ht="15.75" customHeight="1">
      <c r="F471" s="103"/>
      <c r="G471" s="103"/>
      <c r="H471" s="103"/>
    </row>
    <row r="472" ht="15.75" customHeight="1">
      <c r="F472" s="103"/>
      <c r="G472" s="103"/>
      <c r="H472" s="103"/>
    </row>
    <row r="473" ht="15.75" customHeight="1">
      <c r="F473" s="103"/>
      <c r="G473" s="103"/>
      <c r="H473" s="103"/>
    </row>
    <row r="474" ht="15.75" customHeight="1">
      <c r="F474" s="103"/>
      <c r="G474" s="103"/>
      <c r="H474" s="103"/>
    </row>
    <row r="475" ht="15.75" customHeight="1">
      <c r="F475" s="103"/>
      <c r="G475" s="103"/>
      <c r="H475" s="103"/>
    </row>
    <row r="476" ht="15.75" customHeight="1">
      <c r="F476" s="103"/>
      <c r="G476" s="103"/>
      <c r="H476" s="103"/>
    </row>
    <row r="477" ht="15.75" customHeight="1">
      <c r="F477" s="103"/>
      <c r="G477" s="103"/>
      <c r="H477" s="103"/>
    </row>
    <row r="478" ht="15.75" customHeight="1">
      <c r="F478" s="103"/>
      <c r="G478" s="103"/>
      <c r="H478" s="103"/>
    </row>
    <row r="479" ht="15.75" customHeight="1">
      <c r="F479" s="103"/>
      <c r="G479" s="103"/>
      <c r="H479" s="103"/>
    </row>
    <row r="480" ht="15.75" customHeight="1">
      <c r="F480" s="103"/>
      <c r="G480" s="103"/>
      <c r="H480" s="103"/>
    </row>
    <row r="481" ht="15.75" customHeight="1">
      <c r="F481" s="103"/>
      <c r="G481" s="103"/>
      <c r="H481" s="103"/>
    </row>
    <row r="482" ht="15.75" customHeight="1">
      <c r="F482" s="103"/>
      <c r="G482" s="103"/>
      <c r="H482" s="103"/>
    </row>
    <row r="483" ht="15.75" customHeight="1">
      <c r="F483" s="103"/>
      <c r="G483" s="103"/>
      <c r="H483" s="103"/>
    </row>
    <row r="484" ht="15.75" customHeight="1">
      <c r="F484" s="103"/>
      <c r="G484" s="103"/>
      <c r="H484" s="103"/>
    </row>
    <row r="485" ht="15.75" customHeight="1">
      <c r="F485" s="103"/>
      <c r="G485" s="103"/>
      <c r="H485" s="103"/>
    </row>
    <row r="486" ht="15.75" customHeight="1">
      <c r="F486" s="103"/>
      <c r="G486" s="103"/>
      <c r="H486" s="103"/>
    </row>
    <row r="487" ht="15.75" customHeight="1">
      <c r="F487" s="103"/>
      <c r="G487" s="103"/>
      <c r="H487" s="103"/>
    </row>
    <row r="488" ht="15.75" customHeight="1">
      <c r="F488" s="103"/>
      <c r="G488" s="103"/>
      <c r="H488" s="103"/>
    </row>
    <row r="489" ht="15.75" customHeight="1">
      <c r="F489" s="103"/>
      <c r="G489" s="103"/>
      <c r="H489" s="103"/>
    </row>
    <row r="490" ht="15.75" customHeight="1">
      <c r="F490" s="103"/>
      <c r="G490" s="103"/>
      <c r="H490" s="103"/>
    </row>
    <row r="491" ht="15.75" customHeight="1">
      <c r="F491" s="103"/>
      <c r="G491" s="103"/>
      <c r="H491" s="103"/>
    </row>
    <row r="492" ht="15.75" customHeight="1">
      <c r="F492" s="103"/>
      <c r="G492" s="103"/>
      <c r="H492" s="103"/>
    </row>
    <row r="493" ht="15.75" customHeight="1">
      <c r="F493" s="103"/>
      <c r="G493" s="103"/>
      <c r="H493" s="103"/>
    </row>
    <row r="494" ht="15.75" customHeight="1">
      <c r="F494" s="103"/>
      <c r="G494" s="103"/>
      <c r="H494" s="103"/>
    </row>
    <row r="495" ht="15.75" customHeight="1">
      <c r="F495" s="103"/>
      <c r="G495" s="103"/>
      <c r="H495" s="103"/>
    </row>
    <row r="496" ht="15.75" customHeight="1">
      <c r="F496" s="103"/>
      <c r="G496" s="103"/>
      <c r="H496" s="103"/>
    </row>
    <row r="497" ht="15.75" customHeight="1">
      <c r="F497" s="103"/>
      <c r="G497" s="103"/>
      <c r="H497" s="103"/>
    </row>
    <row r="498" ht="15.75" customHeight="1">
      <c r="F498" s="103"/>
      <c r="G498" s="103"/>
      <c r="H498" s="103"/>
    </row>
    <row r="499" ht="15.75" customHeight="1">
      <c r="F499" s="103"/>
      <c r="G499" s="103"/>
      <c r="H499" s="103"/>
    </row>
    <row r="500" ht="15.75" customHeight="1">
      <c r="F500" s="103"/>
      <c r="G500" s="103"/>
      <c r="H500" s="103"/>
    </row>
    <row r="501" ht="15.75" customHeight="1">
      <c r="F501" s="103"/>
      <c r="G501" s="103"/>
      <c r="H501" s="103"/>
    </row>
    <row r="502" ht="15.75" customHeight="1">
      <c r="F502" s="103"/>
      <c r="G502" s="103"/>
      <c r="H502" s="103"/>
    </row>
    <row r="503" ht="15.75" customHeight="1">
      <c r="F503" s="103"/>
      <c r="G503" s="103"/>
      <c r="H503" s="103"/>
    </row>
    <row r="504" ht="15.75" customHeight="1">
      <c r="F504" s="103"/>
      <c r="G504" s="103"/>
      <c r="H504" s="103"/>
    </row>
    <row r="505" ht="15.75" customHeight="1">
      <c r="F505" s="103"/>
      <c r="G505" s="103"/>
      <c r="H505" s="103"/>
    </row>
    <row r="506" ht="15.75" customHeight="1">
      <c r="F506" s="103"/>
      <c r="G506" s="103"/>
      <c r="H506" s="103"/>
    </row>
    <row r="507" ht="15.75" customHeight="1">
      <c r="F507" s="103"/>
      <c r="G507" s="103"/>
      <c r="H507" s="103"/>
    </row>
    <row r="508" ht="15.75" customHeight="1">
      <c r="F508" s="103"/>
      <c r="G508" s="103"/>
      <c r="H508" s="103"/>
    </row>
    <row r="509" ht="15.75" customHeight="1">
      <c r="F509" s="103"/>
      <c r="G509" s="103"/>
      <c r="H509" s="103"/>
    </row>
    <row r="510" ht="15.75" customHeight="1">
      <c r="F510" s="103"/>
      <c r="G510" s="103"/>
      <c r="H510" s="103"/>
    </row>
    <row r="511" ht="15.75" customHeight="1">
      <c r="F511" s="103"/>
      <c r="G511" s="103"/>
      <c r="H511" s="103"/>
    </row>
    <row r="512" ht="15.75" customHeight="1">
      <c r="F512" s="103"/>
      <c r="G512" s="103"/>
      <c r="H512" s="103"/>
    </row>
    <row r="513" ht="15.75" customHeight="1">
      <c r="F513" s="103"/>
      <c r="G513" s="103"/>
      <c r="H513" s="103"/>
    </row>
    <row r="514" ht="15.75" customHeight="1">
      <c r="F514" s="103"/>
      <c r="G514" s="103"/>
      <c r="H514" s="103"/>
    </row>
    <row r="515" ht="15.75" customHeight="1">
      <c r="F515" s="103"/>
      <c r="G515" s="103"/>
      <c r="H515" s="103"/>
    </row>
    <row r="516" ht="15.75" customHeight="1">
      <c r="F516" s="103"/>
      <c r="G516" s="103"/>
      <c r="H516" s="103"/>
    </row>
    <row r="517" ht="15.75" customHeight="1">
      <c r="F517" s="103"/>
      <c r="G517" s="103"/>
      <c r="H517" s="103"/>
    </row>
    <row r="518" ht="15.75" customHeight="1">
      <c r="F518" s="103"/>
      <c r="G518" s="103"/>
      <c r="H518" s="103"/>
    </row>
    <row r="519" ht="15.75" customHeight="1">
      <c r="F519" s="103"/>
      <c r="G519" s="103"/>
      <c r="H519" s="103"/>
    </row>
    <row r="520" ht="15.75" customHeight="1">
      <c r="F520" s="103"/>
      <c r="G520" s="103"/>
      <c r="H520" s="103"/>
    </row>
    <row r="521" ht="15.75" customHeight="1">
      <c r="F521" s="103"/>
      <c r="G521" s="103"/>
      <c r="H521" s="103"/>
    </row>
    <row r="522" ht="15.75" customHeight="1">
      <c r="F522" s="103"/>
      <c r="G522" s="103"/>
      <c r="H522" s="103"/>
    </row>
    <row r="523" ht="15.75" customHeight="1">
      <c r="F523" s="103"/>
      <c r="G523" s="103"/>
      <c r="H523" s="103"/>
    </row>
    <row r="524" ht="15.75" customHeight="1">
      <c r="F524" s="103"/>
      <c r="G524" s="103"/>
      <c r="H524" s="103"/>
    </row>
    <row r="525" ht="15.75" customHeight="1">
      <c r="F525" s="103"/>
      <c r="G525" s="103"/>
      <c r="H525" s="103"/>
    </row>
    <row r="526" ht="15.75" customHeight="1">
      <c r="F526" s="103"/>
      <c r="G526" s="103"/>
      <c r="H526" s="103"/>
    </row>
    <row r="527" ht="15.75" customHeight="1">
      <c r="F527" s="103"/>
      <c r="G527" s="103"/>
      <c r="H527" s="103"/>
    </row>
    <row r="528" ht="15.75" customHeight="1">
      <c r="F528" s="103"/>
      <c r="G528" s="103"/>
      <c r="H528" s="103"/>
    </row>
    <row r="529" ht="15.75" customHeight="1">
      <c r="F529" s="103"/>
      <c r="G529" s="103"/>
      <c r="H529" s="103"/>
    </row>
    <row r="530" ht="15.75" customHeight="1">
      <c r="F530" s="103"/>
      <c r="G530" s="103"/>
      <c r="H530" s="103"/>
    </row>
    <row r="531" ht="15.75" customHeight="1">
      <c r="F531" s="103"/>
      <c r="G531" s="103"/>
      <c r="H531" s="103"/>
    </row>
    <row r="532" ht="15.75" customHeight="1">
      <c r="F532" s="103"/>
      <c r="G532" s="103"/>
      <c r="H532" s="103"/>
    </row>
    <row r="533" ht="15.75" customHeight="1">
      <c r="F533" s="103"/>
      <c r="G533" s="103"/>
      <c r="H533" s="103"/>
    </row>
    <row r="534" ht="15.75" customHeight="1">
      <c r="F534" s="103"/>
      <c r="G534" s="103"/>
      <c r="H534" s="103"/>
    </row>
    <row r="535" ht="15.75" customHeight="1">
      <c r="F535" s="103"/>
      <c r="G535" s="103"/>
      <c r="H535" s="103"/>
    </row>
    <row r="536" ht="15.75" customHeight="1">
      <c r="F536" s="103"/>
      <c r="G536" s="103"/>
      <c r="H536" s="103"/>
    </row>
    <row r="537" ht="15.75" customHeight="1">
      <c r="F537" s="103"/>
      <c r="G537" s="103"/>
      <c r="H537" s="103"/>
    </row>
    <row r="538" ht="15.75" customHeight="1">
      <c r="F538" s="103"/>
      <c r="G538" s="103"/>
      <c r="H538" s="103"/>
    </row>
    <row r="539" ht="15.75" customHeight="1">
      <c r="F539" s="103"/>
      <c r="G539" s="103"/>
      <c r="H539" s="103"/>
    </row>
    <row r="540" ht="15.75" customHeight="1">
      <c r="F540" s="103"/>
      <c r="G540" s="103"/>
      <c r="H540" s="103"/>
    </row>
    <row r="541" ht="15.75" customHeight="1">
      <c r="F541" s="103"/>
      <c r="G541" s="103"/>
      <c r="H541" s="103"/>
    </row>
    <row r="542" ht="15.75" customHeight="1">
      <c r="F542" s="103"/>
      <c r="G542" s="103"/>
      <c r="H542" s="103"/>
    </row>
    <row r="543" ht="15.75" customHeight="1">
      <c r="F543" s="103"/>
      <c r="G543" s="103"/>
      <c r="H543" s="103"/>
    </row>
    <row r="544" ht="15.75" customHeight="1">
      <c r="F544" s="103"/>
      <c r="G544" s="103"/>
      <c r="H544" s="103"/>
    </row>
    <row r="545" ht="15.75" customHeight="1">
      <c r="F545" s="103"/>
      <c r="G545" s="103"/>
      <c r="H545" s="103"/>
    </row>
    <row r="546" ht="15.75" customHeight="1">
      <c r="F546" s="103"/>
      <c r="G546" s="103"/>
      <c r="H546" s="103"/>
    </row>
    <row r="547" ht="15.75" customHeight="1">
      <c r="F547" s="103"/>
      <c r="G547" s="103"/>
      <c r="H547" s="103"/>
    </row>
    <row r="548" ht="15.75" customHeight="1">
      <c r="F548" s="103"/>
      <c r="G548" s="103"/>
      <c r="H548" s="103"/>
    </row>
    <row r="549" ht="15.75" customHeight="1">
      <c r="F549" s="103"/>
      <c r="G549" s="103"/>
      <c r="H549" s="103"/>
    </row>
    <row r="550" ht="15.75" customHeight="1">
      <c r="F550" s="103"/>
      <c r="G550" s="103"/>
      <c r="H550" s="103"/>
    </row>
    <row r="551" ht="15.75" customHeight="1">
      <c r="F551" s="103"/>
      <c r="G551" s="103"/>
      <c r="H551" s="103"/>
    </row>
    <row r="552" ht="15.75" customHeight="1">
      <c r="F552" s="103"/>
      <c r="G552" s="103"/>
      <c r="H552" s="103"/>
    </row>
    <row r="553" ht="15.75" customHeight="1">
      <c r="F553" s="103"/>
      <c r="G553" s="103"/>
      <c r="H553" s="103"/>
    </row>
    <row r="554" ht="15.75" customHeight="1">
      <c r="F554" s="103"/>
      <c r="G554" s="103"/>
      <c r="H554" s="103"/>
    </row>
    <row r="555" ht="15.75" customHeight="1">
      <c r="F555" s="103"/>
      <c r="G555" s="103"/>
      <c r="H555" s="103"/>
    </row>
    <row r="556" ht="15.75" customHeight="1">
      <c r="F556" s="103"/>
      <c r="G556" s="103"/>
      <c r="H556" s="103"/>
    </row>
    <row r="557" ht="15.75" customHeight="1">
      <c r="F557" s="103"/>
      <c r="G557" s="103"/>
      <c r="H557" s="103"/>
    </row>
    <row r="558" ht="15.75" customHeight="1">
      <c r="F558" s="103"/>
      <c r="G558" s="103"/>
      <c r="H558" s="103"/>
    </row>
    <row r="559" ht="15.75" customHeight="1">
      <c r="F559" s="103"/>
      <c r="G559" s="103"/>
      <c r="H559" s="103"/>
    </row>
    <row r="560" ht="15.75" customHeight="1">
      <c r="F560" s="103"/>
      <c r="G560" s="103"/>
      <c r="H560" s="103"/>
    </row>
    <row r="561" ht="15.75" customHeight="1">
      <c r="F561" s="103"/>
      <c r="G561" s="103"/>
      <c r="H561" s="103"/>
    </row>
    <row r="562" ht="15.75" customHeight="1">
      <c r="F562" s="103"/>
      <c r="G562" s="103"/>
      <c r="H562" s="103"/>
    </row>
    <row r="563" ht="15.75" customHeight="1">
      <c r="F563" s="103"/>
      <c r="G563" s="103"/>
      <c r="H563" s="103"/>
    </row>
    <row r="564" ht="15.75" customHeight="1">
      <c r="F564" s="103"/>
      <c r="G564" s="103"/>
      <c r="H564" s="103"/>
    </row>
    <row r="565" ht="15.75" customHeight="1">
      <c r="F565" s="103"/>
      <c r="G565" s="103"/>
      <c r="H565" s="103"/>
    </row>
    <row r="566" ht="15.75" customHeight="1">
      <c r="F566" s="103"/>
      <c r="G566" s="103"/>
      <c r="H566" s="103"/>
    </row>
    <row r="567" ht="15.75" customHeight="1">
      <c r="F567" s="103"/>
      <c r="G567" s="103"/>
      <c r="H567" s="103"/>
    </row>
    <row r="568" ht="15.75" customHeight="1">
      <c r="F568" s="103"/>
      <c r="G568" s="103"/>
      <c r="H568" s="103"/>
    </row>
    <row r="569" ht="15.75" customHeight="1">
      <c r="F569" s="103"/>
      <c r="G569" s="103"/>
      <c r="H569" s="103"/>
    </row>
    <row r="570" ht="15.75" customHeight="1">
      <c r="F570" s="103"/>
      <c r="G570" s="103"/>
      <c r="H570" s="103"/>
    </row>
    <row r="571" ht="15.75" customHeight="1">
      <c r="F571" s="103"/>
      <c r="G571" s="103"/>
      <c r="H571" s="103"/>
    </row>
    <row r="572" ht="15.75" customHeight="1">
      <c r="F572" s="103"/>
      <c r="G572" s="103"/>
      <c r="H572" s="103"/>
    </row>
    <row r="573" ht="15.75" customHeight="1">
      <c r="F573" s="103"/>
      <c r="G573" s="103"/>
      <c r="H573" s="103"/>
    </row>
    <row r="574" ht="15.75" customHeight="1">
      <c r="F574" s="103"/>
      <c r="G574" s="103"/>
      <c r="H574" s="103"/>
    </row>
    <row r="575" ht="15.75" customHeight="1">
      <c r="F575" s="103"/>
      <c r="G575" s="103"/>
      <c r="H575" s="103"/>
    </row>
    <row r="576" ht="15.75" customHeight="1">
      <c r="F576" s="103"/>
      <c r="G576" s="103"/>
      <c r="H576" s="103"/>
    </row>
    <row r="577" ht="15.75" customHeight="1">
      <c r="F577" s="103"/>
      <c r="G577" s="103"/>
      <c r="H577" s="103"/>
    </row>
    <row r="578" ht="15.75" customHeight="1">
      <c r="F578" s="103"/>
      <c r="G578" s="103"/>
      <c r="H578" s="103"/>
    </row>
    <row r="579" ht="15.75" customHeight="1">
      <c r="F579" s="103"/>
      <c r="G579" s="103"/>
      <c r="H579" s="103"/>
    </row>
    <row r="580" ht="15.75" customHeight="1">
      <c r="F580" s="103"/>
      <c r="G580" s="103"/>
      <c r="H580" s="103"/>
    </row>
    <row r="581" ht="15.75" customHeight="1">
      <c r="F581" s="103"/>
      <c r="G581" s="103"/>
      <c r="H581" s="103"/>
    </row>
    <row r="582" ht="15.75" customHeight="1">
      <c r="F582" s="103"/>
      <c r="G582" s="103"/>
      <c r="H582" s="103"/>
    </row>
    <row r="583" ht="15.75" customHeight="1">
      <c r="F583" s="103"/>
      <c r="G583" s="103"/>
      <c r="H583" s="103"/>
    </row>
    <row r="584" ht="15.75" customHeight="1">
      <c r="F584" s="103"/>
      <c r="G584" s="103"/>
      <c r="H584" s="103"/>
    </row>
    <row r="585" ht="15.75" customHeight="1">
      <c r="F585" s="103"/>
      <c r="G585" s="103"/>
      <c r="H585" s="103"/>
    </row>
    <row r="586" ht="15.75" customHeight="1">
      <c r="F586" s="103"/>
      <c r="G586" s="103"/>
      <c r="H586" s="103"/>
    </row>
    <row r="587" ht="15.75" customHeight="1">
      <c r="F587" s="103"/>
      <c r="G587" s="103"/>
      <c r="H587" s="103"/>
    </row>
    <row r="588" ht="15.75" customHeight="1">
      <c r="F588" s="103"/>
      <c r="G588" s="103"/>
      <c r="H588" s="103"/>
    </row>
    <row r="589" ht="15.75" customHeight="1">
      <c r="F589" s="103"/>
      <c r="G589" s="103"/>
      <c r="H589" s="103"/>
    </row>
    <row r="590" ht="15.75" customHeight="1">
      <c r="F590" s="103"/>
      <c r="G590" s="103"/>
      <c r="H590" s="103"/>
    </row>
    <row r="591" ht="15.75" customHeight="1">
      <c r="F591" s="103"/>
      <c r="G591" s="103"/>
      <c r="H591" s="103"/>
    </row>
    <row r="592" ht="15.75" customHeight="1">
      <c r="F592" s="103"/>
      <c r="G592" s="103"/>
      <c r="H592" s="103"/>
    </row>
    <row r="593" ht="15.75" customHeight="1">
      <c r="F593" s="103"/>
      <c r="G593" s="103"/>
      <c r="H593" s="103"/>
    </row>
    <row r="594" ht="15.75" customHeight="1">
      <c r="F594" s="103"/>
      <c r="G594" s="103"/>
      <c r="H594" s="103"/>
    </row>
    <row r="595" ht="15.75" customHeight="1">
      <c r="F595" s="103"/>
      <c r="G595" s="103"/>
      <c r="H595" s="103"/>
    </row>
    <row r="596" ht="15.75" customHeight="1">
      <c r="F596" s="103"/>
      <c r="G596" s="103"/>
      <c r="H596" s="103"/>
    </row>
    <row r="597" ht="15.75" customHeight="1">
      <c r="F597" s="103"/>
      <c r="G597" s="103"/>
      <c r="H597" s="103"/>
    </row>
    <row r="598" ht="15.75" customHeight="1">
      <c r="F598" s="103"/>
      <c r="G598" s="103"/>
      <c r="H598" s="103"/>
    </row>
    <row r="599" ht="15.75" customHeight="1">
      <c r="F599" s="103"/>
      <c r="G599" s="103"/>
      <c r="H599" s="103"/>
    </row>
    <row r="600" ht="15.75" customHeight="1">
      <c r="F600" s="103"/>
      <c r="G600" s="103"/>
      <c r="H600" s="103"/>
    </row>
    <row r="601" ht="15.75" customHeight="1">
      <c r="F601" s="103"/>
      <c r="G601" s="103"/>
      <c r="H601" s="103"/>
    </row>
    <row r="602" ht="15.75" customHeight="1">
      <c r="F602" s="103"/>
      <c r="G602" s="103"/>
      <c r="H602" s="103"/>
    </row>
    <row r="603" ht="15.75" customHeight="1">
      <c r="F603" s="103"/>
      <c r="G603" s="103"/>
      <c r="H603" s="103"/>
    </row>
    <row r="604" ht="15.75" customHeight="1">
      <c r="F604" s="103"/>
      <c r="G604" s="103"/>
      <c r="H604" s="103"/>
    </row>
    <row r="605" ht="15.75" customHeight="1">
      <c r="F605" s="103"/>
      <c r="G605" s="103"/>
      <c r="H605" s="103"/>
    </row>
    <row r="606" ht="15.75" customHeight="1">
      <c r="F606" s="103"/>
      <c r="G606" s="103"/>
      <c r="H606" s="103"/>
    </row>
    <row r="607" ht="15.75" customHeight="1">
      <c r="F607" s="103"/>
      <c r="G607" s="103"/>
      <c r="H607" s="103"/>
    </row>
    <row r="608" ht="15.75" customHeight="1">
      <c r="F608" s="103"/>
      <c r="G608" s="103"/>
      <c r="H608" s="103"/>
    </row>
    <row r="609" ht="15.75" customHeight="1">
      <c r="F609" s="103"/>
      <c r="G609" s="103"/>
      <c r="H609" s="103"/>
    </row>
    <row r="610" ht="15.75" customHeight="1">
      <c r="F610" s="103"/>
      <c r="G610" s="103"/>
      <c r="H610" s="103"/>
    </row>
    <row r="611" ht="15.75" customHeight="1">
      <c r="F611" s="103"/>
      <c r="G611" s="103"/>
      <c r="H611" s="103"/>
    </row>
    <row r="612" ht="15.75" customHeight="1">
      <c r="F612" s="103"/>
      <c r="G612" s="103"/>
      <c r="H612" s="103"/>
    </row>
    <row r="613" ht="15.75" customHeight="1">
      <c r="F613" s="103"/>
      <c r="G613" s="103"/>
      <c r="H613" s="103"/>
    </row>
    <row r="614" ht="15.75" customHeight="1">
      <c r="F614" s="103"/>
      <c r="G614" s="103"/>
      <c r="H614" s="103"/>
    </row>
    <row r="615" ht="15.75" customHeight="1">
      <c r="F615" s="103"/>
      <c r="G615" s="103"/>
      <c r="H615" s="103"/>
    </row>
    <row r="616" ht="15.75" customHeight="1">
      <c r="F616" s="103"/>
      <c r="G616" s="103"/>
      <c r="H616" s="103"/>
    </row>
    <row r="617" ht="15.75" customHeight="1">
      <c r="F617" s="103"/>
      <c r="G617" s="103"/>
      <c r="H617" s="103"/>
    </row>
    <row r="618" ht="15.75" customHeight="1">
      <c r="F618" s="103"/>
      <c r="G618" s="103"/>
      <c r="H618" s="103"/>
    </row>
    <row r="619" ht="15.75" customHeight="1">
      <c r="F619" s="103"/>
      <c r="G619" s="103"/>
      <c r="H619" s="103"/>
    </row>
    <row r="620" ht="15.75" customHeight="1">
      <c r="F620" s="103"/>
      <c r="G620" s="103"/>
      <c r="H620" s="103"/>
    </row>
    <row r="621" ht="15.75" customHeight="1">
      <c r="F621" s="103"/>
      <c r="G621" s="103"/>
      <c r="H621" s="103"/>
    </row>
    <row r="622" ht="15.75" customHeight="1">
      <c r="F622" s="103"/>
      <c r="G622" s="103"/>
      <c r="H622" s="103"/>
    </row>
    <row r="623" ht="15.75" customHeight="1">
      <c r="F623" s="103"/>
      <c r="G623" s="103"/>
      <c r="H623" s="103"/>
    </row>
    <row r="624" ht="15.75" customHeight="1">
      <c r="F624" s="103"/>
      <c r="G624" s="103"/>
      <c r="H624" s="103"/>
    </row>
    <row r="625" ht="15.75" customHeight="1">
      <c r="F625" s="103"/>
      <c r="G625" s="103"/>
      <c r="H625" s="103"/>
    </row>
    <row r="626" ht="15.75" customHeight="1">
      <c r="F626" s="103"/>
      <c r="G626" s="103"/>
      <c r="H626" s="103"/>
    </row>
    <row r="627" ht="15.75" customHeight="1">
      <c r="F627" s="103"/>
      <c r="G627" s="103"/>
      <c r="H627" s="103"/>
    </row>
    <row r="628" ht="15.75" customHeight="1">
      <c r="F628" s="103"/>
      <c r="G628" s="103"/>
      <c r="H628" s="103"/>
    </row>
    <row r="629" ht="15.75" customHeight="1">
      <c r="F629" s="103"/>
      <c r="G629" s="103"/>
      <c r="H629" s="103"/>
    </row>
    <row r="630" ht="15.75" customHeight="1">
      <c r="F630" s="103"/>
      <c r="G630" s="103"/>
      <c r="H630" s="103"/>
    </row>
    <row r="631" ht="15.75" customHeight="1">
      <c r="F631" s="103"/>
      <c r="G631" s="103"/>
      <c r="H631" s="103"/>
    </row>
    <row r="632" ht="15.75" customHeight="1">
      <c r="F632" s="103"/>
      <c r="G632" s="103"/>
      <c r="H632" s="103"/>
    </row>
    <row r="633" ht="15.75" customHeight="1">
      <c r="F633" s="103"/>
      <c r="G633" s="103"/>
      <c r="H633" s="103"/>
    </row>
    <row r="634" ht="15.75" customHeight="1">
      <c r="F634" s="103"/>
      <c r="G634" s="103"/>
      <c r="H634" s="103"/>
    </row>
    <row r="635" ht="15.75" customHeight="1">
      <c r="F635" s="103"/>
      <c r="G635" s="103"/>
      <c r="H635" s="103"/>
    </row>
    <row r="636" ht="15.75" customHeight="1">
      <c r="F636" s="103"/>
      <c r="G636" s="103"/>
      <c r="H636" s="103"/>
    </row>
    <row r="637" ht="15.75" customHeight="1">
      <c r="F637" s="103"/>
      <c r="G637" s="103"/>
      <c r="H637" s="103"/>
    </row>
    <row r="638" ht="15.75" customHeight="1">
      <c r="F638" s="103"/>
      <c r="G638" s="103"/>
      <c r="H638" s="103"/>
    </row>
    <row r="639" ht="15.75" customHeight="1">
      <c r="F639" s="103"/>
      <c r="G639" s="103"/>
      <c r="H639" s="103"/>
    </row>
    <row r="640" ht="15.75" customHeight="1">
      <c r="F640" s="103"/>
      <c r="G640" s="103"/>
      <c r="H640" s="103"/>
    </row>
    <row r="641" ht="15.75" customHeight="1">
      <c r="F641" s="103"/>
      <c r="G641" s="103"/>
      <c r="H641" s="103"/>
    </row>
    <row r="642" ht="15.75" customHeight="1">
      <c r="F642" s="103"/>
      <c r="G642" s="103"/>
      <c r="H642" s="103"/>
    </row>
    <row r="643" ht="15.75" customHeight="1">
      <c r="F643" s="103"/>
      <c r="G643" s="103"/>
      <c r="H643" s="103"/>
    </row>
    <row r="644" ht="15.75" customHeight="1">
      <c r="F644" s="103"/>
      <c r="G644" s="103"/>
      <c r="H644" s="103"/>
    </row>
    <row r="645" ht="15.75" customHeight="1">
      <c r="F645" s="103"/>
      <c r="G645" s="103"/>
      <c r="H645" s="103"/>
    </row>
    <row r="646" ht="15.75" customHeight="1">
      <c r="F646" s="103"/>
      <c r="G646" s="103"/>
      <c r="H646" s="103"/>
    </row>
    <row r="647" ht="15.75" customHeight="1">
      <c r="F647" s="103"/>
      <c r="G647" s="103"/>
      <c r="H647" s="103"/>
    </row>
    <row r="648" ht="15.75" customHeight="1">
      <c r="F648" s="103"/>
      <c r="G648" s="103"/>
      <c r="H648" s="103"/>
    </row>
    <row r="649" ht="15.75" customHeight="1">
      <c r="F649" s="103"/>
      <c r="G649" s="103"/>
      <c r="H649" s="103"/>
    </row>
    <row r="650" ht="15.75" customHeight="1">
      <c r="F650" s="103"/>
      <c r="G650" s="103"/>
      <c r="H650" s="103"/>
    </row>
    <row r="651" ht="15.75" customHeight="1">
      <c r="F651" s="103"/>
      <c r="G651" s="103"/>
      <c r="H651" s="103"/>
    </row>
    <row r="652" ht="15.75" customHeight="1">
      <c r="F652" s="103"/>
      <c r="G652" s="103"/>
      <c r="H652" s="103"/>
    </row>
    <row r="653" ht="15.75" customHeight="1">
      <c r="F653" s="103"/>
      <c r="G653" s="103"/>
      <c r="H653" s="103"/>
    </row>
    <row r="654" ht="15.75" customHeight="1">
      <c r="F654" s="103"/>
      <c r="G654" s="103"/>
      <c r="H654" s="103"/>
    </row>
    <row r="655" ht="15.75" customHeight="1">
      <c r="F655" s="103"/>
      <c r="G655" s="103"/>
      <c r="H655" s="103"/>
    </row>
    <row r="656" ht="15.75" customHeight="1">
      <c r="F656" s="103"/>
      <c r="G656" s="103"/>
      <c r="H656" s="103"/>
    </row>
    <row r="657" ht="15.75" customHeight="1">
      <c r="F657" s="103"/>
      <c r="G657" s="103"/>
      <c r="H657" s="103"/>
    </row>
    <row r="658" ht="15.75" customHeight="1">
      <c r="F658" s="103"/>
      <c r="G658" s="103"/>
      <c r="H658" s="103"/>
    </row>
    <row r="659" ht="15.75" customHeight="1">
      <c r="F659" s="103"/>
      <c r="G659" s="103"/>
      <c r="H659" s="103"/>
    </row>
    <row r="660" ht="15.75" customHeight="1">
      <c r="F660" s="103"/>
      <c r="G660" s="103"/>
      <c r="H660" s="103"/>
    </row>
    <row r="661" ht="15.75" customHeight="1">
      <c r="F661" s="103"/>
      <c r="G661" s="103"/>
      <c r="H661" s="103"/>
    </row>
    <row r="662" ht="15.75" customHeight="1">
      <c r="F662" s="103"/>
      <c r="G662" s="103"/>
      <c r="H662" s="103"/>
    </row>
    <row r="663" ht="15.75" customHeight="1">
      <c r="F663" s="103"/>
      <c r="G663" s="103"/>
      <c r="H663" s="103"/>
    </row>
    <row r="664" ht="15.75" customHeight="1">
      <c r="F664" s="103"/>
      <c r="G664" s="103"/>
      <c r="H664" s="103"/>
    </row>
    <row r="665" ht="15.75" customHeight="1">
      <c r="F665" s="103"/>
      <c r="G665" s="103"/>
      <c r="H665" s="103"/>
    </row>
    <row r="666" ht="15.75" customHeight="1">
      <c r="F666" s="103"/>
      <c r="G666" s="103"/>
      <c r="H666" s="103"/>
    </row>
    <row r="667" ht="15.75" customHeight="1">
      <c r="F667" s="103"/>
      <c r="G667" s="103"/>
      <c r="H667" s="103"/>
    </row>
    <row r="668" ht="15.75" customHeight="1">
      <c r="F668" s="103"/>
      <c r="G668" s="103"/>
      <c r="H668" s="103"/>
    </row>
    <row r="669" ht="15.75" customHeight="1">
      <c r="F669" s="103"/>
      <c r="G669" s="103"/>
      <c r="H669" s="103"/>
    </row>
    <row r="670" ht="15.75" customHeight="1">
      <c r="F670" s="103"/>
      <c r="G670" s="103"/>
      <c r="H670" s="103"/>
    </row>
    <row r="671" ht="15.75" customHeight="1">
      <c r="F671" s="103"/>
      <c r="G671" s="103"/>
      <c r="H671" s="103"/>
    </row>
    <row r="672" ht="15.75" customHeight="1">
      <c r="F672" s="103"/>
      <c r="G672" s="103"/>
      <c r="H672" s="103"/>
    </row>
    <row r="673" ht="15.75" customHeight="1">
      <c r="F673" s="103"/>
      <c r="G673" s="103"/>
      <c r="H673" s="103"/>
    </row>
    <row r="674" ht="15.75" customHeight="1">
      <c r="F674" s="103"/>
      <c r="G674" s="103"/>
      <c r="H674" s="103"/>
    </row>
    <row r="675" ht="15.75" customHeight="1">
      <c r="F675" s="103"/>
      <c r="G675" s="103"/>
      <c r="H675" s="103"/>
    </row>
    <row r="676" ht="15.75" customHeight="1">
      <c r="F676" s="103"/>
      <c r="G676" s="103"/>
      <c r="H676" s="103"/>
    </row>
    <row r="677" ht="15.75" customHeight="1">
      <c r="F677" s="103"/>
      <c r="G677" s="103"/>
      <c r="H677" s="103"/>
    </row>
    <row r="678" ht="15.75" customHeight="1">
      <c r="F678" s="103"/>
      <c r="G678" s="103"/>
      <c r="H678" s="103"/>
    </row>
    <row r="679" ht="15.75" customHeight="1">
      <c r="F679" s="103"/>
      <c r="G679" s="103"/>
      <c r="H679" s="103"/>
    </row>
    <row r="680" ht="15.75" customHeight="1">
      <c r="F680" s="103"/>
      <c r="G680" s="103"/>
      <c r="H680" s="103"/>
    </row>
    <row r="681" ht="15.75" customHeight="1">
      <c r="F681" s="103"/>
      <c r="G681" s="103"/>
      <c r="H681" s="103"/>
    </row>
    <row r="682" ht="15.75" customHeight="1">
      <c r="F682" s="103"/>
      <c r="G682" s="103"/>
      <c r="H682" s="103"/>
    </row>
    <row r="683" ht="15.75" customHeight="1">
      <c r="F683" s="103"/>
      <c r="G683" s="103"/>
      <c r="H683" s="103"/>
    </row>
    <row r="684" ht="15.75" customHeight="1">
      <c r="F684" s="103"/>
      <c r="G684" s="103"/>
      <c r="H684" s="103"/>
    </row>
    <row r="685" ht="15.75" customHeight="1">
      <c r="F685" s="103"/>
      <c r="G685" s="103"/>
      <c r="H685" s="103"/>
    </row>
    <row r="686" ht="15.75" customHeight="1">
      <c r="F686" s="103"/>
      <c r="G686" s="103"/>
      <c r="H686" s="103"/>
    </row>
    <row r="687" ht="15.75" customHeight="1">
      <c r="F687" s="103"/>
      <c r="G687" s="103"/>
      <c r="H687" s="103"/>
    </row>
    <row r="688" ht="15.75" customHeight="1">
      <c r="F688" s="103"/>
      <c r="G688" s="103"/>
      <c r="H688" s="103"/>
    </row>
    <row r="689" ht="15.75" customHeight="1">
      <c r="F689" s="103"/>
      <c r="G689" s="103"/>
      <c r="H689" s="103"/>
    </row>
    <row r="690" ht="15.75" customHeight="1">
      <c r="F690" s="103"/>
      <c r="G690" s="103"/>
      <c r="H690" s="103"/>
    </row>
    <row r="691" ht="15.75" customHeight="1">
      <c r="F691" s="103"/>
      <c r="G691" s="103"/>
      <c r="H691" s="103"/>
    </row>
    <row r="692" ht="15.75" customHeight="1">
      <c r="F692" s="103"/>
      <c r="G692" s="103"/>
      <c r="H692" s="103"/>
    </row>
    <row r="693" ht="15.75" customHeight="1">
      <c r="F693" s="103"/>
      <c r="G693" s="103"/>
      <c r="H693" s="103"/>
    </row>
    <row r="694" ht="15.75" customHeight="1">
      <c r="F694" s="103"/>
      <c r="G694" s="103"/>
      <c r="H694" s="103"/>
    </row>
    <row r="695" ht="15.75" customHeight="1">
      <c r="F695" s="103"/>
      <c r="G695" s="103"/>
      <c r="H695" s="103"/>
    </row>
    <row r="696" ht="15.75" customHeight="1">
      <c r="F696" s="103"/>
      <c r="G696" s="103"/>
      <c r="H696" s="103"/>
    </row>
    <row r="697" ht="15.75" customHeight="1">
      <c r="F697" s="103"/>
      <c r="G697" s="103"/>
      <c r="H697" s="103"/>
    </row>
    <row r="698" ht="15.75" customHeight="1">
      <c r="F698" s="103"/>
      <c r="G698" s="103"/>
      <c r="H698" s="103"/>
    </row>
    <row r="699" ht="15.75" customHeight="1">
      <c r="F699" s="103"/>
      <c r="G699" s="103"/>
      <c r="H699" s="103"/>
    </row>
    <row r="700" ht="15.75" customHeight="1">
      <c r="F700" s="103"/>
      <c r="G700" s="103"/>
      <c r="H700" s="103"/>
    </row>
    <row r="701" ht="15.75" customHeight="1">
      <c r="F701" s="103"/>
      <c r="G701" s="103"/>
      <c r="H701" s="103"/>
    </row>
    <row r="702" ht="15.75" customHeight="1">
      <c r="F702" s="103"/>
      <c r="G702" s="103"/>
      <c r="H702" s="103"/>
    </row>
    <row r="703" ht="15.75" customHeight="1">
      <c r="F703" s="103"/>
      <c r="G703" s="103"/>
      <c r="H703" s="103"/>
    </row>
    <row r="704" ht="15.75" customHeight="1">
      <c r="F704" s="103"/>
      <c r="G704" s="103"/>
      <c r="H704" s="103"/>
    </row>
    <row r="705" ht="15.75" customHeight="1">
      <c r="F705" s="103"/>
      <c r="G705" s="103"/>
      <c r="H705" s="103"/>
    </row>
    <row r="706" ht="15.75" customHeight="1">
      <c r="F706" s="103"/>
      <c r="G706" s="103"/>
      <c r="H706" s="103"/>
    </row>
    <row r="707" ht="15.75" customHeight="1">
      <c r="F707" s="103"/>
      <c r="G707" s="103"/>
      <c r="H707" s="103"/>
    </row>
    <row r="708" ht="15.75" customHeight="1">
      <c r="F708" s="103"/>
      <c r="G708" s="103"/>
      <c r="H708" s="103"/>
    </row>
    <row r="709" ht="15.75" customHeight="1">
      <c r="F709" s="103"/>
      <c r="G709" s="103"/>
      <c r="H709" s="103"/>
    </row>
    <row r="710" ht="15.75" customHeight="1">
      <c r="F710" s="103"/>
      <c r="G710" s="103"/>
      <c r="H710" s="103"/>
    </row>
    <row r="711" ht="15.75" customHeight="1">
      <c r="F711" s="103"/>
      <c r="G711" s="103"/>
      <c r="H711" s="103"/>
    </row>
    <row r="712" ht="15.75" customHeight="1">
      <c r="F712" s="103"/>
      <c r="G712" s="103"/>
      <c r="H712" s="103"/>
    </row>
    <row r="713" ht="15.75" customHeight="1">
      <c r="F713" s="103"/>
      <c r="G713" s="103"/>
      <c r="H713" s="103"/>
    </row>
    <row r="714" ht="15.75" customHeight="1">
      <c r="F714" s="103"/>
      <c r="G714" s="103"/>
      <c r="H714" s="103"/>
    </row>
    <row r="715" ht="15.75" customHeight="1">
      <c r="F715" s="103"/>
      <c r="G715" s="103"/>
      <c r="H715" s="103"/>
    </row>
    <row r="716" ht="15.75" customHeight="1">
      <c r="F716" s="103"/>
      <c r="G716" s="103"/>
      <c r="H716" s="103"/>
    </row>
    <row r="717" ht="15.75" customHeight="1">
      <c r="F717" s="103"/>
      <c r="G717" s="103"/>
      <c r="H717" s="103"/>
    </row>
    <row r="718" ht="15.75" customHeight="1">
      <c r="F718" s="103"/>
      <c r="G718" s="103"/>
      <c r="H718" s="103"/>
    </row>
    <row r="719" ht="15.75" customHeight="1">
      <c r="F719" s="103"/>
      <c r="G719" s="103"/>
      <c r="H719" s="103"/>
    </row>
    <row r="720" ht="15.75" customHeight="1">
      <c r="F720" s="103"/>
      <c r="G720" s="103"/>
      <c r="H720" s="103"/>
    </row>
    <row r="721" ht="15.75" customHeight="1">
      <c r="F721" s="103"/>
      <c r="G721" s="103"/>
      <c r="H721" s="103"/>
    </row>
    <row r="722" ht="15.75" customHeight="1">
      <c r="F722" s="103"/>
      <c r="G722" s="103"/>
      <c r="H722" s="103"/>
    </row>
    <row r="723" ht="15.75" customHeight="1">
      <c r="F723" s="103"/>
      <c r="G723" s="103"/>
      <c r="H723" s="103"/>
    </row>
    <row r="724" ht="15.75" customHeight="1">
      <c r="F724" s="103"/>
      <c r="G724" s="103"/>
      <c r="H724" s="103"/>
    </row>
    <row r="725" ht="15.75" customHeight="1">
      <c r="F725" s="103"/>
      <c r="G725" s="103"/>
      <c r="H725" s="103"/>
    </row>
    <row r="726" ht="15.75" customHeight="1">
      <c r="F726" s="103"/>
      <c r="G726" s="103"/>
      <c r="H726" s="103"/>
    </row>
    <row r="727" ht="15.75" customHeight="1">
      <c r="F727" s="103"/>
      <c r="G727" s="103"/>
      <c r="H727" s="103"/>
    </row>
    <row r="728" ht="15.75" customHeight="1">
      <c r="F728" s="103"/>
      <c r="G728" s="103"/>
      <c r="H728" s="103"/>
    </row>
    <row r="729" ht="15.75" customHeight="1">
      <c r="F729" s="103"/>
      <c r="G729" s="103"/>
      <c r="H729" s="103"/>
    </row>
    <row r="730" ht="15.75" customHeight="1">
      <c r="F730" s="103"/>
      <c r="G730" s="103"/>
      <c r="H730" s="103"/>
    </row>
    <row r="731" ht="15.75" customHeight="1">
      <c r="F731" s="103"/>
      <c r="G731" s="103"/>
      <c r="H731" s="103"/>
    </row>
    <row r="732" ht="15.75" customHeight="1">
      <c r="F732" s="103"/>
      <c r="G732" s="103"/>
      <c r="H732" s="103"/>
    </row>
    <row r="733" ht="15.75" customHeight="1">
      <c r="F733" s="103"/>
      <c r="G733" s="103"/>
      <c r="H733" s="103"/>
    </row>
    <row r="734" ht="15.75" customHeight="1">
      <c r="F734" s="103"/>
      <c r="G734" s="103"/>
      <c r="H734" s="103"/>
    </row>
    <row r="735" ht="15.75" customHeight="1">
      <c r="F735" s="103"/>
      <c r="G735" s="103"/>
      <c r="H735" s="103"/>
    </row>
    <row r="736" ht="15.75" customHeight="1">
      <c r="F736" s="103"/>
      <c r="G736" s="103"/>
      <c r="H736" s="103"/>
    </row>
    <row r="737" ht="15.75" customHeight="1">
      <c r="F737" s="103"/>
      <c r="G737" s="103"/>
      <c r="H737" s="103"/>
    </row>
    <row r="738" ht="15.75" customHeight="1">
      <c r="F738" s="103"/>
      <c r="G738" s="103"/>
      <c r="H738" s="103"/>
    </row>
    <row r="739" ht="15.75" customHeight="1">
      <c r="F739" s="103"/>
      <c r="G739" s="103"/>
      <c r="H739" s="103"/>
    </row>
    <row r="740" ht="15.75" customHeight="1">
      <c r="F740" s="103"/>
      <c r="G740" s="103"/>
      <c r="H740" s="103"/>
    </row>
    <row r="741" ht="15.75" customHeight="1">
      <c r="F741" s="103"/>
      <c r="G741" s="103"/>
      <c r="H741" s="103"/>
    </row>
    <row r="742" ht="15.75" customHeight="1">
      <c r="F742" s="103"/>
      <c r="G742" s="103"/>
      <c r="H742" s="103"/>
    </row>
    <row r="743" ht="15.75" customHeight="1">
      <c r="F743" s="103"/>
      <c r="G743" s="103"/>
      <c r="H743" s="103"/>
    </row>
    <row r="744" ht="15.75" customHeight="1">
      <c r="F744" s="103"/>
      <c r="G744" s="103"/>
      <c r="H744" s="103"/>
    </row>
    <row r="745" ht="15.75" customHeight="1">
      <c r="F745" s="103"/>
      <c r="G745" s="103"/>
      <c r="H745" s="103"/>
    </row>
    <row r="746" ht="15.75" customHeight="1">
      <c r="F746" s="103"/>
      <c r="G746" s="103"/>
      <c r="H746" s="103"/>
    </row>
    <row r="747" ht="15.75" customHeight="1">
      <c r="F747" s="103"/>
      <c r="G747" s="103"/>
      <c r="H747" s="103"/>
    </row>
    <row r="748" ht="15.75" customHeight="1">
      <c r="F748" s="103"/>
      <c r="G748" s="103"/>
      <c r="H748" s="103"/>
    </row>
    <row r="749" ht="15.75" customHeight="1">
      <c r="F749" s="103"/>
      <c r="G749" s="103"/>
      <c r="H749" s="103"/>
    </row>
    <row r="750" ht="15.75" customHeight="1">
      <c r="F750" s="103"/>
      <c r="G750" s="103"/>
      <c r="H750" s="103"/>
    </row>
    <row r="751" ht="15.75" customHeight="1">
      <c r="F751" s="103"/>
      <c r="G751" s="103"/>
      <c r="H751" s="103"/>
    </row>
    <row r="752" ht="15.75" customHeight="1">
      <c r="F752" s="103"/>
      <c r="G752" s="103"/>
      <c r="H752" s="103"/>
    </row>
    <row r="753" ht="15.75" customHeight="1">
      <c r="F753" s="103"/>
      <c r="G753" s="103"/>
      <c r="H753" s="103"/>
    </row>
    <row r="754" ht="15.75" customHeight="1">
      <c r="F754" s="103"/>
      <c r="G754" s="103"/>
      <c r="H754" s="103"/>
    </row>
    <row r="755" ht="15.75" customHeight="1">
      <c r="F755" s="103"/>
      <c r="G755" s="103"/>
      <c r="H755" s="103"/>
    </row>
    <row r="756" ht="15.75" customHeight="1">
      <c r="F756" s="103"/>
      <c r="G756" s="103"/>
      <c r="H756" s="103"/>
    </row>
    <row r="757" ht="15.75" customHeight="1">
      <c r="F757" s="103"/>
      <c r="G757" s="103"/>
      <c r="H757" s="103"/>
    </row>
    <row r="758" ht="15.75" customHeight="1">
      <c r="F758" s="103"/>
      <c r="G758" s="103"/>
      <c r="H758" s="103"/>
    </row>
    <row r="759" ht="15.75" customHeight="1">
      <c r="F759" s="103"/>
      <c r="G759" s="103"/>
      <c r="H759" s="103"/>
    </row>
    <row r="760" ht="15.75" customHeight="1">
      <c r="F760" s="103"/>
      <c r="G760" s="103"/>
      <c r="H760" s="103"/>
    </row>
    <row r="761" ht="15.75" customHeight="1">
      <c r="F761" s="103"/>
      <c r="G761" s="103"/>
      <c r="H761" s="103"/>
    </row>
    <row r="762" ht="15.75" customHeight="1">
      <c r="F762" s="103"/>
      <c r="G762" s="103"/>
      <c r="H762" s="103"/>
    </row>
    <row r="763" ht="15.75" customHeight="1">
      <c r="F763" s="103"/>
      <c r="G763" s="103"/>
      <c r="H763" s="103"/>
    </row>
    <row r="764" ht="15.75" customHeight="1">
      <c r="F764" s="103"/>
      <c r="G764" s="103"/>
      <c r="H764" s="103"/>
    </row>
    <row r="765" ht="15.75" customHeight="1">
      <c r="F765" s="103"/>
      <c r="G765" s="103"/>
      <c r="H765" s="103"/>
    </row>
    <row r="766" ht="15.75" customHeight="1">
      <c r="F766" s="103"/>
      <c r="G766" s="103"/>
      <c r="H766" s="103"/>
    </row>
    <row r="767" ht="15.75" customHeight="1">
      <c r="F767" s="103"/>
      <c r="G767" s="103"/>
      <c r="H767" s="103"/>
    </row>
    <row r="768" ht="15.75" customHeight="1">
      <c r="F768" s="103"/>
      <c r="G768" s="103"/>
      <c r="H768" s="103"/>
    </row>
    <row r="769" ht="15.75" customHeight="1">
      <c r="F769" s="103"/>
      <c r="G769" s="103"/>
      <c r="H769" s="103"/>
    </row>
    <row r="770" ht="15.75" customHeight="1">
      <c r="F770" s="103"/>
      <c r="G770" s="103"/>
      <c r="H770" s="103"/>
    </row>
    <row r="771" ht="15.75" customHeight="1">
      <c r="F771" s="103"/>
      <c r="G771" s="103"/>
      <c r="H771" s="103"/>
    </row>
    <row r="772" ht="15.75" customHeight="1">
      <c r="F772" s="103"/>
      <c r="G772" s="103"/>
      <c r="H772" s="103"/>
    </row>
    <row r="773" ht="15.75" customHeight="1">
      <c r="F773" s="103"/>
      <c r="G773" s="103"/>
      <c r="H773" s="103"/>
    </row>
    <row r="774" ht="15.75" customHeight="1">
      <c r="F774" s="103"/>
      <c r="G774" s="103"/>
      <c r="H774" s="103"/>
    </row>
    <row r="775" ht="15.75" customHeight="1">
      <c r="F775" s="103"/>
      <c r="G775" s="103"/>
      <c r="H775" s="103"/>
    </row>
    <row r="776" ht="15.75" customHeight="1">
      <c r="F776" s="103"/>
      <c r="G776" s="103"/>
      <c r="H776" s="103"/>
    </row>
    <row r="777" ht="15.75" customHeight="1">
      <c r="F777" s="103"/>
      <c r="G777" s="103"/>
      <c r="H777" s="103"/>
    </row>
    <row r="778" ht="15.75" customHeight="1">
      <c r="F778" s="103"/>
      <c r="G778" s="103"/>
      <c r="H778" s="103"/>
    </row>
    <row r="779" ht="15.75" customHeight="1">
      <c r="F779" s="103"/>
      <c r="G779" s="103"/>
      <c r="H779" s="103"/>
    </row>
    <row r="780" ht="15.75" customHeight="1">
      <c r="F780" s="103"/>
      <c r="G780" s="103"/>
      <c r="H780" s="103"/>
    </row>
    <row r="781" ht="15.75" customHeight="1">
      <c r="F781" s="103"/>
      <c r="G781" s="103"/>
      <c r="H781" s="103"/>
    </row>
    <row r="782" ht="15.75" customHeight="1">
      <c r="F782" s="103"/>
      <c r="G782" s="103"/>
      <c r="H782" s="103"/>
    </row>
    <row r="783" ht="15.75" customHeight="1">
      <c r="F783" s="103"/>
      <c r="G783" s="103"/>
      <c r="H783" s="103"/>
    </row>
    <row r="784" ht="15.75" customHeight="1">
      <c r="F784" s="103"/>
      <c r="G784" s="103"/>
      <c r="H784" s="103"/>
    </row>
    <row r="785" ht="15.75" customHeight="1">
      <c r="F785" s="103"/>
      <c r="G785" s="103"/>
      <c r="H785" s="103"/>
    </row>
    <row r="786" ht="15.75" customHeight="1">
      <c r="F786" s="103"/>
      <c r="G786" s="103"/>
      <c r="H786" s="103"/>
    </row>
    <row r="787" ht="15.75" customHeight="1">
      <c r="F787" s="103"/>
      <c r="G787" s="103"/>
      <c r="H787" s="103"/>
    </row>
    <row r="788" ht="15.75" customHeight="1">
      <c r="F788" s="103"/>
      <c r="G788" s="103"/>
      <c r="H788" s="103"/>
    </row>
    <row r="789" ht="15.75" customHeight="1">
      <c r="F789" s="103"/>
      <c r="G789" s="103"/>
      <c r="H789" s="103"/>
    </row>
    <row r="790" ht="15.75" customHeight="1">
      <c r="F790" s="103"/>
      <c r="G790" s="103"/>
      <c r="H790" s="103"/>
    </row>
    <row r="791" ht="15.75" customHeight="1">
      <c r="F791" s="103"/>
      <c r="G791" s="103"/>
      <c r="H791" s="103"/>
    </row>
    <row r="792" ht="15.75" customHeight="1">
      <c r="F792" s="103"/>
      <c r="G792" s="103"/>
      <c r="H792" s="103"/>
    </row>
    <row r="793" ht="15.75" customHeight="1">
      <c r="F793" s="103"/>
      <c r="G793" s="103"/>
      <c r="H793" s="103"/>
    </row>
    <row r="794" ht="15.75" customHeight="1">
      <c r="F794" s="103"/>
      <c r="G794" s="103"/>
      <c r="H794" s="103"/>
    </row>
    <row r="795" ht="15.75" customHeight="1">
      <c r="F795" s="103"/>
      <c r="G795" s="103"/>
      <c r="H795" s="103"/>
    </row>
    <row r="796" ht="15.75" customHeight="1">
      <c r="F796" s="103"/>
      <c r="G796" s="103"/>
      <c r="H796" s="103"/>
    </row>
    <row r="797" ht="15.75" customHeight="1">
      <c r="F797" s="103"/>
      <c r="G797" s="103"/>
      <c r="H797" s="103"/>
    </row>
    <row r="798" ht="15.75" customHeight="1">
      <c r="F798" s="103"/>
      <c r="G798" s="103"/>
      <c r="H798" s="103"/>
    </row>
    <row r="799" ht="15.75" customHeight="1">
      <c r="F799" s="103"/>
      <c r="G799" s="103"/>
      <c r="H799" s="103"/>
    </row>
    <row r="800" ht="15.75" customHeight="1">
      <c r="F800" s="103"/>
      <c r="G800" s="103"/>
      <c r="H800" s="103"/>
    </row>
    <row r="801" ht="15.75" customHeight="1">
      <c r="F801" s="103"/>
      <c r="G801" s="103"/>
      <c r="H801" s="103"/>
    </row>
    <row r="802" ht="15.75" customHeight="1">
      <c r="F802" s="103"/>
      <c r="G802" s="103"/>
      <c r="H802" s="103"/>
    </row>
    <row r="803" ht="15.75" customHeight="1">
      <c r="F803" s="103"/>
      <c r="G803" s="103"/>
      <c r="H803" s="103"/>
    </row>
    <row r="804" ht="15.75" customHeight="1">
      <c r="F804" s="103"/>
      <c r="G804" s="103"/>
      <c r="H804" s="103"/>
    </row>
    <row r="805" ht="15.75" customHeight="1">
      <c r="F805" s="103"/>
      <c r="G805" s="103"/>
      <c r="H805" s="103"/>
    </row>
    <row r="806" ht="15.75" customHeight="1">
      <c r="F806" s="103"/>
      <c r="G806" s="103"/>
      <c r="H806" s="103"/>
    </row>
    <row r="807" ht="15.75" customHeight="1">
      <c r="F807" s="103"/>
      <c r="G807" s="103"/>
      <c r="H807" s="103"/>
    </row>
    <row r="808" ht="15.75" customHeight="1">
      <c r="F808" s="103"/>
      <c r="G808" s="103"/>
      <c r="H808" s="103"/>
    </row>
    <row r="809" ht="15.75" customHeight="1">
      <c r="F809" s="103"/>
      <c r="G809" s="103"/>
      <c r="H809" s="103"/>
    </row>
    <row r="810" ht="15.75" customHeight="1">
      <c r="F810" s="103"/>
      <c r="G810" s="103"/>
      <c r="H810" s="103"/>
    </row>
    <row r="811" ht="15.75" customHeight="1">
      <c r="F811" s="103"/>
      <c r="G811" s="103"/>
      <c r="H811" s="103"/>
    </row>
    <row r="812" ht="15.75" customHeight="1">
      <c r="F812" s="103"/>
      <c r="G812" s="103"/>
      <c r="H812" s="103"/>
    </row>
    <row r="813" ht="15.75" customHeight="1">
      <c r="F813" s="103"/>
      <c r="G813" s="103"/>
      <c r="H813" s="103"/>
    </row>
    <row r="814" ht="15.75" customHeight="1">
      <c r="F814" s="103"/>
      <c r="G814" s="103"/>
      <c r="H814" s="103"/>
    </row>
    <row r="815" ht="15.75" customHeight="1">
      <c r="F815" s="103"/>
      <c r="G815" s="103"/>
      <c r="H815" s="103"/>
    </row>
    <row r="816" ht="15.75" customHeight="1">
      <c r="F816" s="103"/>
      <c r="G816" s="103"/>
      <c r="H816" s="103"/>
    </row>
    <row r="817" ht="15.75" customHeight="1">
      <c r="F817" s="103"/>
      <c r="G817" s="103"/>
      <c r="H817" s="103"/>
    </row>
    <row r="818" ht="15.75" customHeight="1">
      <c r="F818" s="103"/>
      <c r="G818" s="103"/>
      <c r="H818" s="103"/>
    </row>
    <row r="819" ht="15.75" customHeight="1">
      <c r="F819" s="103"/>
      <c r="G819" s="103"/>
      <c r="H819" s="103"/>
    </row>
    <row r="820" ht="15.75" customHeight="1">
      <c r="F820" s="103"/>
      <c r="G820" s="103"/>
      <c r="H820" s="103"/>
    </row>
    <row r="821" ht="15.75" customHeight="1">
      <c r="F821" s="103"/>
      <c r="G821" s="103"/>
      <c r="H821" s="103"/>
    </row>
    <row r="822" ht="15.75" customHeight="1">
      <c r="F822" s="103"/>
      <c r="G822" s="103"/>
      <c r="H822" s="103"/>
    </row>
    <row r="823" ht="15.75" customHeight="1">
      <c r="F823" s="103"/>
      <c r="G823" s="103"/>
      <c r="H823" s="103"/>
    </row>
    <row r="824" ht="15.75" customHeight="1">
      <c r="F824" s="103"/>
      <c r="G824" s="103"/>
      <c r="H824" s="103"/>
    </row>
    <row r="825" ht="15.75" customHeight="1">
      <c r="F825" s="103"/>
      <c r="G825" s="103"/>
      <c r="H825" s="103"/>
    </row>
    <row r="826" ht="15.75" customHeight="1">
      <c r="F826" s="103"/>
      <c r="G826" s="103"/>
      <c r="H826" s="103"/>
    </row>
    <row r="827" ht="15.75" customHeight="1">
      <c r="F827" s="103"/>
      <c r="G827" s="103"/>
      <c r="H827" s="103"/>
    </row>
    <row r="828" ht="15.75" customHeight="1">
      <c r="F828" s="103"/>
      <c r="G828" s="103"/>
      <c r="H828" s="103"/>
    </row>
    <row r="829" ht="15.75" customHeight="1">
      <c r="F829" s="103"/>
      <c r="G829" s="103"/>
      <c r="H829" s="103"/>
    </row>
    <row r="830" ht="15.75" customHeight="1">
      <c r="F830" s="103"/>
      <c r="G830" s="103"/>
      <c r="H830" s="103"/>
    </row>
    <row r="831" ht="15.75" customHeight="1">
      <c r="F831" s="103"/>
      <c r="G831" s="103"/>
      <c r="H831" s="103"/>
    </row>
    <row r="832" ht="15.75" customHeight="1">
      <c r="F832" s="103"/>
      <c r="G832" s="103"/>
      <c r="H832" s="103"/>
    </row>
    <row r="833" ht="15.75" customHeight="1">
      <c r="F833" s="103"/>
      <c r="G833" s="103"/>
      <c r="H833" s="103"/>
    </row>
    <row r="834" ht="15.75" customHeight="1">
      <c r="F834" s="103"/>
      <c r="G834" s="103"/>
      <c r="H834" s="103"/>
    </row>
    <row r="835" ht="15.75" customHeight="1">
      <c r="F835" s="103"/>
      <c r="G835" s="103"/>
      <c r="H835" s="103"/>
    </row>
    <row r="836" ht="15.75" customHeight="1">
      <c r="F836" s="103"/>
      <c r="G836" s="103"/>
      <c r="H836" s="103"/>
    </row>
    <row r="837" ht="15.75" customHeight="1">
      <c r="F837" s="103"/>
      <c r="G837" s="103"/>
      <c r="H837" s="103"/>
    </row>
    <row r="838" ht="15.75" customHeight="1">
      <c r="F838" s="103"/>
      <c r="G838" s="103"/>
      <c r="H838" s="103"/>
    </row>
    <row r="839" ht="15.75" customHeight="1">
      <c r="F839" s="103"/>
      <c r="G839" s="103"/>
      <c r="H839" s="103"/>
    </row>
    <row r="840" ht="15.75" customHeight="1">
      <c r="F840" s="103"/>
      <c r="G840" s="103"/>
      <c r="H840" s="103"/>
    </row>
    <row r="841" ht="15.75" customHeight="1">
      <c r="F841" s="103"/>
      <c r="G841" s="103"/>
      <c r="H841" s="103"/>
    </row>
    <row r="842" ht="15.75" customHeight="1">
      <c r="F842" s="103"/>
      <c r="G842" s="103"/>
      <c r="H842" s="103"/>
    </row>
    <row r="843" ht="15.75" customHeight="1">
      <c r="F843" s="103"/>
      <c r="G843" s="103"/>
      <c r="H843" s="103"/>
    </row>
    <row r="844" ht="15.75" customHeight="1">
      <c r="F844" s="103"/>
      <c r="G844" s="103"/>
      <c r="H844" s="103"/>
    </row>
    <row r="845" ht="15.75" customHeight="1">
      <c r="F845" s="103"/>
      <c r="G845" s="103"/>
      <c r="H845" s="103"/>
    </row>
    <row r="846" ht="15.75" customHeight="1">
      <c r="F846" s="103"/>
      <c r="G846" s="103"/>
      <c r="H846" s="103"/>
    </row>
    <row r="847" ht="15.75" customHeight="1">
      <c r="F847" s="103"/>
      <c r="G847" s="103"/>
      <c r="H847" s="103"/>
    </row>
    <row r="848" ht="15.75" customHeight="1">
      <c r="F848" s="103"/>
      <c r="G848" s="103"/>
      <c r="H848" s="103"/>
    </row>
    <row r="849" ht="15.75" customHeight="1">
      <c r="F849" s="103"/>
      <c r="G849" s="103"/>
      <c r="H849" s="103"/>
    </row>
    <row r="850" ht="15.75" customHeight="1">
      <c r="F850" s="103"/>
      <c r="G850" s="103"/>
      <c r="H850" s="103"/>
    </row>
    <row r="851" ht="15.75" customHeight="1">
      <c r="F851" s="103"/>
      <c r="G851" s="103"/>
      <c r="H851" s="103"/>
    </row>
    <row r="852" ht="15.75" customHeight="1">
      <c r="F852" s="103"/>
      <c r="G852" s="103"/>
      <c r="H852" s="103"/>
    </row>
    <row r="853" ht="15.75" customHeight="1">
      <c r="F853" s="103"/>
      <c r="G853" s="103"/>
      <c r="H853" s="103"/>
    </row>
    <row r="854" ht="15.75" customHeight="1">
      <c r="F854" s="103"/>
      <c r="G854" s="103"/>
      <c r="H854" s="103"/>
    </row>
    <row r="855" ht="15.75" customHeight="1">
      <c r="F855" s="103"/>
      <c r="G855" s="103"/>
      <c r="H855" s="103"/>
    </row>
    <row r="856" ht="15.75" customHeight="1">
      <c r="F856" s="103"/>
      <c r="G856" s="103"/>
      <c r="H856" s="103"/>
    </row>
    <row r="857" ht="15.75" customHeight="1">
      <c r="F857" s="103"/>
      <c r="G857" s="103"/>
      <c r="H857" s="103"/>
    </row>
    <row r="858" ht="15.75" customHeight="1">
      <c r="F858" s="103"/>
      <c r="G858" s="103"/>
      <c r="H858" s="103"/>
    </row>
    <row r="859" ht="15.75" customHeight="1">
      <c r="F859" s="103"/>
      <c r="G859" s="103"/>
      <c r="H859" s="103"/>
    </row>
    <row r="860" ht="15.75" customHeight="1">
      <c r="F860" s="103"/>
      <c r="G860" s="103"/>
      <c r="H860" s="103"/>
    </row>
    <row r="861" ht="15.75" customHeight="1">
      <c r="F861" s="103"/>
      <c r="G861" s="103"/>
      <c r="H861" s="103"/>
    </row>
    <row r="862" ht="15.75" customHeight="1">
      <c r="F862" s="103"/>
      <c r="G862" s="103"/>
      <c r="H862" s="103"/>
    </row>
    <row r="863" ht="15.75" customHeight="1">
      <c r="F863" s="103"/>
      <c r="G863" s="103"/>
      <c r="H863" s="103"/>
    </row>
    <row r="864" ht="15.75" customHeight="1">
      <c r="F864" s="103"/>
      <c r="G864" s="103"/>
      <c r="H864" s="103"/>
    </row>
    <row r="865" ht="15.75" customHeight="1">
      <c r="F865" s="103"/>
      <c r="G865" s="103"/>
      <c r="H865" s="103"/>
    </row>
    <row r="866" ht="15.75" customHeight="1">
      <c r="F866" s="103"/>
      <c r="G866" s="103"/>
      <c r="H866" s="103"/>
    </row>
    <row r="867" ht="15.75" customHeight="1">
      <c r="F867" s="103"/>
      <c r="G867" s="103"/>
      <c r="H867" s="103"/>
    </row>
    <row r="868" ht="15.75" customHeight="1">
      <c r="F868" s="103"/>
      <c r="G868" s="103"/>
      <c r="H868" s="103"/>
    </row>
    <row r="869" ht="15.75" customHeight="1">
      <c r="F869" s="103"/>
      <c r="G869" s="103"/>
      <c r="H869" s="103"/>
    </row>
    <row r="870" ht="15.75" customHeight="1">
      <c r="F870" s="103"/>
      <c r="G870" s="103"/>
      <c r="H870" s="103"/>
    </row>
    <row r="871" ht="15.75" customHeight="1">
      <c r="F871" s="103"/>
      <c r="G871" s="103"/>
      <c r="H871" s="103"/>
    </row>
    <row r="872" ht="15.75" customHeight="1">
      <c r="F872" s="103"/>
      <c r="G872" s="103"/>
      <c r="H872" s="103"/>
    </row>
    <row r="873" ht="15.75" customHeight="1">
      <c r="F873" s="103"/>
      <c r="G873" s="103"/>
      <c r="H873" s="103"/>
    </row>
    <row r="874" ht="15.75" customHeight="1">
      <c r="F874" s="103"/>
      <c r="G874" s="103"/>
      <c r="H874" s="103"/>
    </row>
    <row r="875" ht="15.75" customHeight="1">
      <c r="F875" s="103"/>
      <c r="G875" s="103"/>
      <c r="H875" s="103"/>
    </row>
    <row r="876" ht="15.75" customHeight="1">
      <c r="F876" s="103"/>
      <c r="G876" s="103"/>
      <c r="H876" s="103"/>
    </row>
    <row r="877" ht="15.75" customHeight="1">
      <c r="F877" s="103"/>
      <c r="G877" s="103"/>
      <c r="H877" s="103"/>
    </row>
    <row r="878" ht="15.75" customHeight="1">
      <c r="F878" s="103"/>
      <c r="G878" s="103"/>
      <c r="H878" s="103"/>
    </row>
    <row r="879" ht="15.75" customHeight="1">
      <c r="F879" s="103"/>
      <c r="G879" s="103"/>
      <c r="H879" s="103"/>
    </row>
    <row r="880" ht="15.75" customHeight="1">
      <c r="F880" s="103"/>
      <c r="G880" s="103"/>
      <c r="H880" s="103"/>
    </row>
    <row r="881" ht="15.75" customHeight="1">
      <c r="F881" s="103"/>
      <c r="G881" s="103"/>
      <c r="H881" s="103"/>
    </row>
    <row r="882" ht="15.75" customHeight="1">
      <c r="F882" s="103"/>
      <c r="G882" s="103"/>
      <c r="H882" s="103"/>
    </row>
    <row r="883" ht="15.75" customHeight="1">
      <c r="F883" s="103"/>
      <c r="G883" s="103"/>
      <c r="H883" s="103"/>
    </row>
    <row r="884" ht="15.75" customHeight="1">
      <c r="F884" s="103"/>
      <c r="G884" s="103"/>
      <c r="H884" s="103"/>
    </row>
    <row r="885" ht="15.75" customHeight="1">
      <c r="F885" s="103"/>
      <c r="G885" s="103"/>
      <c r="H885" s="103"/>
    </row>
    <row r="886" ht="15.75" customHeight="1">
      <c r="F886" s="103"/>
      <c r="G886" s="103"/>
      <c r="H886" s="103"/>
    </row>
    <row r="887" ht="15.75" customHeight="1">
      <c r="F887" s="103"/>
      <c r="G887" s="103"/>
      <c r="H887" s="103"/>
    </row>
    <row r="888" ht="15.75" customHeight="1">
      <c r="F888" s="103"/>
      <c r="G888" s="103"/>
      <c r="H888" s="103"/>
    </row>
    <row r="889" ht="15.75" customHeight="1">
      <c r="F889" s="103"/>
      <c r="G889" s="103"/>
      <c r="H889" s="103"/>
    </row>
    <row r="890" ht="15.75" customHeight="1">
      <c r="F890" s="103"/>
      <c r="G890" s="103"/>
      <c r="H890" s="103"/>
    </row>
    <row r="891" ht="15.75" customHeight="1">
      <c r="F891" s="103"/>
      <c r="G891" s="103"/>
      <c r="H891" s="103"/>
    </row>
    <row r="892" ht="15.75" customHeight="1">
      <c r="F892" s="103"/>
      <c r="G892" s="103"/>
      <c r="H892" s="103"/>
    </row>
    <row r="893" ht="15.75" customHeight="1">
      <c r="F893" s="103"/>
      <c r="G893" s="103"/>
      <c r="H893" s="103"/>
    </row>
    <row r="894" ht="15.75" customHeight="1">
      <c r="F894" s="103"/>
      <c r="G894" s="103"/>
      <c r="H894" s="103"/>
    </row>
    <row r="895" ht="15.75" customHeight="1">
      <c r="F895" s="103"/>
      <c r="G895" s="103"/>
      <c r="H895" s="103"/>
    </row>
    <row r="896" ht="15.75" customHeight="1">
      <c r="F896" s="103"/>
      <c r="G896" s="103"/>
      <c r="H896" s="103"/>
    </row>
    <row r="897" ht="15.75" customHeight="1">
      <c r="F897" s="103"/>
      <c r="G897" s="103"/>
      <c r="H897" s="103"/>
    </row>
    <row r="898" ht="15.75" customHeight="1">
      <c r="F898" s="103"/>
      <c r="G898" s="103"/>
      <c r="H898" s="103"/>
    </row>
    <row r="899" ht="15.75" customHeight="1">
      <c r="F899" s="103"/>
      <c r="G899" s="103"/>
      <c r="H899" s="103"/>
    </row>
    <row r="900" ht="15.75" customHeight="1">
      <c r="F900" s="103"/>
      <c r="G900" s="103"/>
      <c r="H900" s="103"/>
    </row>
    <row r="901" ht="15.75" customHeight="1">
      <c r="F901" s="103"/>
      <c r="G901" s="103"/>
      <c r="H901" s="103"/>
    </row>
    <row r="902" ht="15.75" customHeight="1">
      <c r="F902" s="103"/>
      <c r="G902" s="103"/>
      <c r="H902" s="103"/>
    </row>
    <row r="903" ht="15.75" customHeight="1">
      <c r="F903" s="103"/>
      <c r="G903" s="103"/>
      <c r="H903" s="103"/>
    </row>
    <row r="904" ht="15.75" customHeight="1">
      <c r="F904" s="103"/>
      <c r="G904" s="103"/>
      <c r="H904" s="103"/>
    </row>
    <row r="905" ht="15.75" customHeight="1">
      <c r="F905" s="103"/>
      <c r="G905" s="103"/>
      <c r="H905" s="103"/>
    </row>
    <row r="906" ht="15.75" customHeight="1">
      <c r="F906" s="103"/>
      <c r="G906" s="103"/>
      <c r="H906" s="103"/>
    </row>
    <row r="907" ht="15.75" customHeight="1">
      <c r="F907" s="103"/>
      <c r="G907" s="103"/>
      <c r="H907" s="103"/>
    </row>
    <row r="908" ht="15.75" customHeight="1">
      <c r="F908" s="103"/>
      <c r="G908" s="103"/>
      <c r="H908" s="103"/>
    </row>
    <row r="909" ht="15.75" customHeight="1">
      <c r="F909" s="103"/>
      <c r="G909" s="103"/>
      <c r="H909" s="103"/>
    </row>
    <row r="910" ht="15.75" customHeight="1">
      <c r="F910" s="103"/>
      <c r="G910" s="103"/>
      <c r="H910" s="103"/>
    </row>
    <row r="911" ht="15.75" customHeight="1">
      <c r="F911" s="103"/>
      <c r="G911" s="103"/>
      <c r="H911" s="103"/>
    </row>
    <row r="912" ht="15.75" customHeight="1">
      <c r="F912" s="103"/>
      <c r="G912" s="103"/>
      <c r="H912" s="103"/>
    </row>
    <row r="913" ht="15.75" customHeight="1">
      <c r="F913" s="103"/>
      <c r="G913" s="103"/>
      <c r="H913" s="103"/>
    </row>
    <row r="914" ht="15.75" customHeight="1">
      <c r="F914" s="103"/>
      <c r="G914" s="103"/>
      <c r="H914" s="103"/>
    </row>
    <row r="915" ht="15.75" customHeight="1">
      <c r="F915" s="103"/>
      <c r="G915" s="103"/>
      <c r="H915" s="103"/>
    </row>
    <row r="916" ht="15.75" customHeight="1">
      <c r="F916" s="103"/>
      <c r="G916" s="103"/>
      <c r="H916" s="103"/>
    </row>
    <row r="917" ht="15.75" customHeight="1">
      <c r="F917" s="103"/>
      <c r="G917" s="103"/>
      <c r="H917" s="103"/>
    </row>
    <row r="918" ht="15.75" customHeight="1">
      <c r="F918" s="103"/>
      <c r="G918" s="103"/>
      <c r="H918" s="103"/>
    </row>
    <row r="919" ht="15.75" customHeight="1">
      <c r="F919" s="103"/>
      <c r="G919" s="103"/>
      <c r="H919" s="103"/>
    </row>
    <row r="920" ht="15.75" customHeight="1">
      <c r="F920" s="103"/>
      <c r="G920" s="103"/>
      <c r="H920" s="103"/>
    </row>
    <row r="921" ht="15.75" customHeight="1">
      <c r="F921" s="103"/>
      <c r="G921" s="103"/>
      <c r="H921" s="103"/>
    </row>
    <row r="922" ht="15.75" customHeight="1">
      <c r="F922" s="103"/>
      <c r="G922" s="103"/>
      <c r="H922" s="103"/>
    </row>
    <row r="923" ht="15.75" customHeight="1">
      <c r="F923" s="103"/>
      <c r="G923" s="103"/>
      <c r="H923" s="103"/>
    </row>
    <row r="924" ht="15.75" customHeight="1">
      <c r="F924" s="103"/>
      <c r="G924" s="103"/>
      <c r="H924" s="103"/>
    </row>
    <row r="925" ht="15.75" customHeight="1">
      <c r="F925" s="103"/>
      <c r="G925" s="103"/>
      <c r="H925" s="103"/>
    </row>
    <row r="926" ht="15.75" customHeight="1">
      <c r="F926" s="103"/>
      <c r="G926" s="103"/>
      <c r="H926" s="103"/>
    </row>
    <row r="927" ht="15.75" customHeight="1">
      <c r="F927" s="103"/>
      <c r="G927" s="103"/>
      <c r="H927" s="103"/>
    </row>
    <row r="928" ht="15.75" customHeight="1">
      <c r="F928" s="103"/>
      <c r="G928" s="103"/>
      <c r="H928" s="103"/>
    </row>
    <row r="929" ht="15.75" customHeight="1">
      <c r="F929" s="103"/>
      <c r="G929" s="103"/>
      <c r="H929" s="103"/>
    </row>
    <row r="930" ht="15.75" customHeight="1">
      <c r="F930" s="103"/>
      <c r="G930" s="103"/>
      <c r="H930" s="103"/>
    </row>
    <row r="931" ht="15.75" customHeight="1">
      <c r="F931" s="103"/>
      <c r="G931" s="103"/>
      <c r="H931" s="103"/>
    </row>
    <row r="932" ht="15.75" customHeight="1">
      <c r="F932" s="103"/>
      <c r="G932" s="103"/>
      <c r="H932" s="103"/>
    </row>
    <row r="933" ht="15.75" customHeight="1">
      <c r="F933" s="103"/>
      <c r="G933" s="103"/>
      <c r="H933" s="103"/>
    </row>
    <row r="934" ht="15.75" customHeight="1">
      <c r="F934" s="103"/>
      <c r="G934" s="103"/>
      <c r="H934" s="103"/>
    </row>
    <row r="935" ht="15.75" customHeight="1">
      <c r="F935" s="103"/>
      <c r="G935" s="103"/>
      <c r="H935" s="103"/>
    </row>
    <row r="936" ht="15.75" customHeight="1">
      <c r="F936" s="103"/>
      <c r="G936" s="103"/>
      <c r="H936" s="103"/>
    </row>
    <row r="937" ht="15.75" customHeight="1">
      <c r="F937" s="103"/>
      <c r="G937" s="103"/>
      <c r="H937" s="103"/>
    </row>
    <row r="938" ht="15.75" customHeight="1">
      <c r="F938" s="103"/>
      <c r="G938" s="103"/>
      <c r="H938" s="103"/>
    </row>
    <row r="939" ht="15.75" customHeight="1">
      <c r="F939" s="103"/>
      <c r="G939" s="103"/>
      <c r="H939" s="103"/>
    </row>
    <row r="940" ht="15.75" customHeight="1">
      <c r="F940" s="103"/>
      <c r="G940" s="103"/>
      <c r="H940" s="103"/>
    </row>
    <row r="941" ht="15.75" customHeight="1">
      <c r="F941" s="103"/>
      <c r="G941" s="103"/>
      <c r="H941" s="103"/>
    </row>
    <row r="942" ht="15.75" customHeight="1">
      <c r="F942" s="103"/>
      <c r="G942" s="103"/>
      <c r="H942" s="103"/>
    </row>
    <row r="943" ht="15.75" customHeight="1">
      <c r="F943" s="103"/>
      <c r="G943" s="103"/>
      <c r="H943" s="103"/>
    </row>
    <row r="944" ht="15.75" customHeight="1">
      <c r="F944" s="103"/>
      <c r="G944" s="103"/>
      <c r="H944" s="103"/>
    </row>
    <row r="945" ht="15.75" customHeight="1">
      <c r="F945" s="103"/>
      <c r="G945" s="103"/>
      <c r="H945" s="103"/>
    </row>
    <row r="946" ht="15.75" customHeight="1">
      <c r="F946" s="103"/>
      <c r="G946" s="103"/>
      <c r="H946" s="103"/>
    </row>
    <row r="947" ht="15.75" customHeight="1">
      <c r="F947" s="103"/>
      <c r="G947" s="103"/>
      <c r="H947" s="103"/>
    </row>
    <row r="948" ht="15.75" customHeight="1">
      <c r="F948" s="103"/>
      <c r="G948" s="103"/>
      <c r="H948" s="103"/>
    </row>
    <row r="949" ht="15.75" customHeight="1">
      <c r="F949" s="103"/>
      <c r="G949" s="103"/>
      <c r="H949" s="103"/>
    </row>
    <row r="950" ht="15.75" customHeight="1">
      <c r="F950" s="103"/>
      <c r="G950" s="103"/>
      <c r="H950" s="103"/>
    </row>
    <row r="951" ht="15.75" customHeight="1">
      <c r="F951" s="103"/>
      <c r="G951" s="103"/>
      <c r="H951" s="103"/>
    </row>
    <row r="952" ht="15.75" customHeight="1">
      <c r="F952" s="103"/>
      <c r="G952" s="103"/>
      <c r="H952" s="103"/>
    </row>
    <row r="953" ht="15.75" customHeight="1">
      <c r="F953" s="103"/>
      <c r="G953" s="103"/>
      <c r="H953" s="103"/>
    </row>
    <row r="954" ht="15.75" customHeight="1">
      <c r="F954" s="103"/>
      <c r="G954" s="103"/>
      <c r="H954" s="103"/>
    </row>
    <row r="955" ht="15.75" customHeight="1">
      <c r="F955" s="103"/>
      <c r="G955" s="103"/>
      <c r="H955" s="103"/>
    </row>
    <row r="956" ht="15.75" customHeight="1">
      <c r="F956" s="103"/>
      <c r="G956" s="103"/>
      <c r="H956" s="103"/>
    </row>
    <row r="957" ht="15.75" customHeight="1">
      <c r="F957" s="103"/>
      <c r="G957" s="103"/>
      <c r="H957" s="103"/>
    </row>
    <row r="958" ht="15.75" customHeight="1">
      <c r="F958" s="103"/>
      <c r="G958" s="103"/>
      <c r="H958" s="103"/>
    </row>
    <row r="959" ht="15.75" customHeight="1">
      <c r="F959" s="103"/>
      <c r="G959" s="103"/>
      <c r="H959" s="103"/>
    </row>
    <row r="960" ht="15.75" customHeight="1">
      <c r="F960" s="103"/>
      <c r="G960" s="103"/>
      <c r="H960" s="103"/>
    </row>
    <row r="961" ht="15.75" customHeight="1">
      <c r="F961" s="103"/>
      <c r="G961" s="103"/>
      <c r="H961" s="103"/>
    </row>
    <row r="962" ht="15.75" customHeight="1">
      <c r="F962" s="103"/>
      <c r="G962" s="103"/>
      <c r="H962" s="103"/>
    </row>
    <row r="963" ht="15.75" customHeight="1">
      <c r="F963" s="103"/>
      <c r="G963" s="103"/>
      <c r="H963" s="103"/>
    </row>
    <row r="964" ht="15.75" customHeight="1">
      <c r="F964" s="103"/>
      <c r="G964" s="103"/>
      <c r="H964" s="103"/>
    </row>
    <row r="965" ht="15.75" customHeight="1">
      <c r="F965" s="103"/>
      <c r="G965" s="103"/>
      <c r="H965" s="103"/>
    </row>
    <row r="966" ht="15.75" customHeight="1">
      <c r="F966" s="103"/>
      <c r="G966" s="103"/>
      <c r="H966" s="103"/>
    </row>
    <row r="967" ht="15.75" customHeight="1">
      <c r="F967" s="103"/>
      <c r="G967" s="103"/>
      <c r="H967" s="103"/>
    </row>
    <row r="968" ht="15.75" customHeight="1">
      <c r="F968" s="103"/>
      <c r="G968" s="103"/>
      <c r="H968" s="103"/>
    </row>
    <row r="969" ht="15.75" customHeight="1">
      <c r="F969" s="103"/>
      <c r="G969" s="103"/>
      <c r="H969" s="103"/>
    </row>
    <row r="970" ht="15.75" customHeight="1">
      <c r="F970" s="103"/>
      <c r="G970" s="103"/>
      <c r="H970" s="103"/>
    </row>
    <row r="971" ht="15.75" customHeight="1">
      <c r="F971" s="103"/>
      <c r="G971" s="103"/>
      <c r="H971" s="103"/>
    </row>
    <row r="972" ht="15.75" customHeight="1">
      <c r="F972" s="103"/>
      <c r="G972" s="103"/>
      <c r="H972" s="103"/>
    </row>
    <row r="973" ht="15.75" customHeight="1">
      <c r="F973" s="103"/>
      <c r="G973" s="103"/>
      <c r="H973" s="103"/>
    </row>
    <row r="974" ht="15.75" customHeight="1">
      <c r="F974" s="103"/>
      <c r="G974" s="103"/>
      <c r="H974" s="103"/>
    </row>
    <row r="975" ht="15.75" customHeight="1">
      <c r="F975" s="103"/>
      <c r="G975" s="103"/>
      <c r="H975" s="103"/>
    </row>
    <row r="976" ht="15.75" customHeight="1">
      <c r="F976" s="103"/>
      <c r="G976" s="103"/>
      <c r="H976" s="103"/>
    </row>
    <row r="977" ht="15.75" customHeight="1">
      <c r="F977" s="103"/>
      <c r="G977" s="103"/>
      <c r="H977" s="103"/>
    </row>
    <row r="978" ht="15.75" customHeight="1">
      <c r="F978" s="103"/>
      <c r="G978" s="103"/>
      <c r="H978" s="103"/>
    </row>
    <row r="979" ht="15.75" customHeight="1">
      <c r="F979" s="103"/>
      <c r="G979" s="103"/>
      <c r="H979" s="103"/>
    </row>
    <row r="980" ht="15.75" customHeight="1">
      <c r="F980" s="103"/>
      <c r="G980" s="103"/>
      <c r="H980" s="103"/>
    </row>
    <row r="981" ht="15.75" customHeight="1">
      <c r="F981" s="103"/>
      <c r="G981" s="103"/>
      <c r="H981" s="103"/>
    </row>
    <row r="982" ht="15.75" customHeight="1">
      <c r="F982" s="103"/>
      <c r="G982" s="103"/>
      <c r="H982" s="103"/>
    </row>
    <row r="983" ht="15.75" customHeight="1">
      <c r="F983" s="103"/>
      <c r="G983" s="103"/>
      <c r="H983" s="103"/>
    </row>
    <row r="984" ht="15.75" customHeight="1">
      <c r="F984" s="103"/>
      <c r="G984" s="103"/>
      <c r="H984" s="103"/>
    </row>
    <row r="985" ht="15.75" customHeight="1">
      <c r="F985" s="103"/>
      <c r="G985" s="103"/>
      <c r="H985" s="103"/>
    </row>
    <row r="986" ht="15.75" customHeight="1">
      <c r="F986" s="103"/>
      <c r="G986" s="103"/>
      <c r="H986" s="103"/>
    </row>
    <row r="987" ht="15.75" customHeight="1">
      <c r="F987" s="103"/>
      <c r="G987" s="103"/>
      <c r="H987" s="103"/>
    </row>
    <row r="988" ht="15.75" customHeight="1">
      <c r="F988" s="103"/>
      <c r="G988" s="103"/>
      <c r="H988" s="103"/>
    </row>
    <row r="989" ht="15.75" customHeight="1">
      <c r="F989" s="103"/>
      <c r="G989" s="103"/>
      <c r="H989" s="103"/>
    </row>
    <row r="990" ht="15.75" customHeight="1">
      <c r="F990" s="103"/>
      <c r="G990" s="103"/>
      <c r="H990" s="103"/>
    </row>
    <row r="991" ht="15.75" customHeight="1">
      <c r="F991" s="103"/>
      <c r="G991" s="103"/>
      <c r="H991" s="103"/>
    </row>
    <row r="992" ht="15.75" customHeight="1">
      <c r="F992" s="103"/>
      <c r="G992" s="103"/>
      <c r="H992" s="103"/>
    </row>
    <row r="993" ht="15.75" customHeight="1">
      <c r="F993" s="103"/>
      <c r="G993" s="103"/>
      <c r="H993" s="103"/>
    </row>
    <row r="994" ht="15.75" customHeight="1">
      <c r="F994" s="103"/>
      <c r="G994" s="103"/>
      <c r="H994" s="103"/>
    </row>
    <row r="995" ht="15.75" customHeight="1">
      <c r="F995" s="103"/>
      <c r="G995" s="103"/>
      <c r="H995" s="103"/>
    </row>
    <row r="996" ht="15.75" customHeight="1">
      <c r="F996" s="103"/>
      <c r="G996" s="103"/>
      <c r="H996" s="103"/>
    </row>
    <row r="997" ht="15.75" customHeight="1">
      <c r="F997" s="103"/>
      <c r="G997" s="103"/>
      <c r="H997" s="103"/>
    </row>
    <row r="998" ht="15.75" customHeight="1">
      <c r="F998" s="103"/>
      <c r="G998" s="103"/>
      <c r="H998" s="103"/>
    </row>
    <row r="999" ht="15.75" customHeight="1">
      <c r="F999" s="103"/>
      <c r="G999" s="103"/>
      <c r="H999" s="103"/>
    </row>
    <row r="1000" ht="15.75" customHeight="1">
      <c r="F1000" s="103"/>
      <c r="G1000" s="103"/>
      <c r="H1000" s="103"/>
    </row>
    <row r="1001" ht="15.75" customHeight="1">
      <c r="F1001" s="103"/>
      <c r="G1001" s="103"/>
      <c r="H1001" s="103"/>
    </row>
  </sheetData>
  <mergeCells count="27">
    <mergeCell ref="A1:G1"/>
    <mergeCell ref="F2:H2"/>
    <mergeCell ref="A3:A6"/>
    <mergeCell ref="A7:A10"/>
    <mergeCell ref="AA10:AC10"/>
    <mergeCell ref="AA11:AC18"/>
    <mergeCell ref="AD11:AE18"/>
    <mergeCell ref="AA21:AC21"/>
    <mergeCell ref="A27:A30"/>
    <mergeCell ref="A36:A39"/>
    <mergeCell ref="A40:A43"/>
    <mergeCell ref="A44:A47"/>
    <mergeCell ref="A48:A51"/>
    <mergeCell ref="A52:A55"/>
    <mergeCell ref="A56:A59"/>
    <mergeCell ref="A60:A63"/>
    <mergeCell ref="AA43:AC43"/>
    <mergeCell ref="AA44:AC51"/>
    <mergeCell ref="AD44:AE51"/>
    <mergeCell ref="AA52:AC52"/>
    <mergeCell ref="A11:A14"/>
    <mergeCell ref="A15:A18"/>
    <mergeCell ref="A19:A22"/>
    <mergeCell ref="A23:A26"/>
    <mergeCell ref="A34:G34"/>
    <mergeCell ref="F35:H35"/>
    <mergeCell ref="X35:Y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6.38"/>
    <col customWidth="1" min="3" max="3" width="5.63"/>
    <col customWidth="1" min="4" max="4" width="7.0"/>
    <col customWidth="1" min="5" max="5" width="16.0"/>
    <col customWidth="1" min="6" max="6" width="12.63"/>
    <col customWidth="1" min="7" max="7" width="2.63"/>
    <col customWidth="1" min="8" max="8" width="12.63"/>
    <col customWidth="1" min="9" max="9" width="16.0"/>
    <col customWidth="1" hidden="1" min="10" max="10" width="14.88"/>
    <col hidden="1" min="11" max="14" width="12.63"/>
    <col customWidth="1" hidden="1" min="15" max="15" width="14.63"/>
    <col hidden="1" min="16" max="22" width="12.63"/>
    <col customWidth="1" min="23" max="23" width="14.13"/>
    <col customWidth="1" min="24" max="24" width="14.5"/>
    <col customWidth="1" min="30" max="30" width="15.63"/>
    <col customWidth="1" min="31" max="31" width="16.0"/>
  </cols>
  <sheetData>
    <row r="1" ht="15.75" customHeight="1">
      <c r="A1" s="104" t="s">
        <v>102</v>
      </c>
      <c r="I1" s="2"/>
      <c r="AD1" s="4"/>
      <c r="AE1" s="2"/>
      <c r="AF1" s="4"/>
      <c r="AG1" s="4"/>
      <c r="AH1" s="4"/>
      <c r="AI1" s="4"/>
      <c r="AJ1" s="4"/>
      <c r="AK1" s="4"/>
      <c r="AL1" s="4"/>
    </row>
    <row r="2" ht="15.75" customHeight="1">
      <c r="A2" s="10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76" t="s">
        <v>82</v>
      </c>
      <c r="U2" s="76" t="s">
        <v>83</v>
      </c>
      <c r="V2" s="76" t="s">
        <v>84</v>
      </c>
      <c r="W2" s="38"/>
      <c r="X2" s="10" t="s">
        <v>20</v>
      </c>
      <c r="Y2" s="8"/>
      <c r="Z2" s="4"/>
      <c r="AA2" s="4"/>
      <c r="AB2" s="4"/>
      <c r="AC2" s="4"/>
      <c r="AD2" s="5" t="s">
        <v>11</v>
      </c>
      <c r="AE2" s="5" t="s">
        <v>12</v>
      </c>
      <c r="AF2" s="5" t="s">
        <v>13</v>
      </c>
      <c r="AG2" s="5" t="s">
        <v>14</v>
      </c>
      <c r="AH2" s="5" t="s">
        <v>15</v>
      </c>
      <c r="AI2" s="5" t="s">
        <v>16</v>
      </c>
      <c r="AJ2" s="77" t="s">
        <v>82</v>
      </c>
      <c r="AK2" s="77" t="s">
        <v>83</v>
      </c>
      <c r="AL2" s="77" t="s">
        <v>84</v>
      </c>
    </row>
    <row r="3" ht="15.75" customHeight="1">
      <c r="A3" s="106">
        <v>1.0</v>
      </c>
      <c r="B3" s="68">
        <v>45609.0</v>
      </c>
      <c r="C3" s="49" t="s">
        <v>89</v>
      </c>
      <c r="D3" s="49" t="s">
        <v>22</v>
      </c>
      <c r="E3" s="107" t="s">
        <v>68</v>
      </c>
      <c r="F3" s="15">
        <v>10.0</v>
      </c>
      <c r="G3" s="16" t="s">
        <v>24</v>
      </c>
      <c r="H3" s="15">
        <v>8.0</v>
      </c>
      <c r="I3" s="107" t="s">
        <v>25</v>
      </c>
      <c r="J3" s="3"/>
      <c r="K3" s="17">
        <f t="shared" ref="K3:K47" si="1">IF(F3="","",IFS(F3&gt;H3,2,F3=H3,1,H3&gt;F3,0,F3="",0))</f>
        <v>2</v>
      </c>
      <c r="L3" s="18">
        <f t="shared" ref="L3:L47" si="2">IF(H3="","",IFS(F3&lt;H3,2,F3=H3,1,H3&lt;F3,0))</f>
        <v>0</v>
      </c>
      <c r="M3" s="3"/>
      <c r="N3" s="18">
        <v>1.0</v>
      </c>
      <c r="O3" s="81" t="s">
        <v>25</v>
      </c>
      <c r="P3" s="18">
        <f t="shared" ref="P3:P12" si="3">SUMIF(E$3:E$47,O3,K$3:K$47)+SUMIF(I$3:I$47,O3,L$3:L$47)</f>
        <v>8</v>
      </c>
      <c r="Q3" s="20">
        <f t="shared" ref="Q3:Q12" si="4">COUNTIFS(E$3:E$47,O3,K$3:K$47,2)+COUNTIFS(I$3:I$47,O3,L$3:L$47,2)</f>
        <v>4</v>
      </c>
      <c r="R3" s="20">
        <f t="shared" ref="R3:R12" si="5">COUNTIFS(E$3:E$47,O3,K$3:K$47,1)+COUNTIFS(I$3:I$47,O3,L$3:L$47,1)</f>
        <v>0</v>
      </c>
      <c r="S3" s="22">
        <f t="shared" ref="S3:S12" si="6">COUNTIFS(E$3:E$47,O3,K$3:K$47,0)+COUNTIFS(I$3:I$47,O3,L$3:L$47,0)</f>
        <v>5</v>
      </c>
      <c r="T3" s="18">
        <f t="shared" ref="T3:T12" si="7">SUMIF(E$3:E$47,O3,F$3:F$47)+SUMIF(I$3:I$47,O3,H$3:H$47)</f>
        <v>86</v>
      </c>
      <c r="U3" s="22">
        <f t="shared" ref="U3:U12" si="8">SUMIF(E$3:E$47,O3,H$3:H$47)+SUMIF(I$3:I$47,O3,F$3:F$47)</f>
        <v>82</v>
      </c>
      <c r="V3" s="18">
        <f t="shared" ref="V3:V12" si="9">T3-U3</f>
        <v>4</v>
      </c>
      <c r="W3" s="36"/>
      <c r="X3" s="23" t="s">
        <v>26</v>
      </c>
      <c r="Y3" s="23" t="s">
        <v>13</v>
      </c>
      <c r="AD3" s="24" t="s">
        <v>29</v>
      </c>
      <c r="AE3" s="108" t="str">
        <f t="array" ref="AE3:AL12">SORT(O3:V12,2,FALSE,9,FALSE,8,FALSE())</f>
        <v>EET</v>
      </c>
      <c r="AF3" s="26">
        <v>14.0</v>
      </c>
      <c r="AG3" s="26">
        <v>7.0</v>
      </c>
      <c r="AH3" s="26">
        <v>0.0</v>
      </c>
      <c r="AI3" s="27">
        <v>2.0</v>
      </c>
      <c r="AJ3" s="26">
        <v>129.0</v>
      </c>
      <c r="AK3" s="27">
        <v>91.0</v>
      </c>
      <c r="AL3" s="26">
        <v>38.0</v>
      </c>
    </row>
    <row r="4" ht="15.75" customHeight="1">
      <c r="A4" s="29"/>
      <c r="B4" s="68">
        <v>45609.0</v>
      </c>
      <c r="C4" s="49" t="s">
        <v>89</v>
      </c>
      <c r="D4" s="49" t="s">
        <v>22</v>
      </c>
      <c r="E4" s="107" t="s">
        <v>31</v>
      </c>
      <c r="F4" s="15">
        <v>15.0</v>
      </c>
      <c r="G4" s="16" t="s">
        <v>24</v>
      </c>
      <c r="H4" s="15">
        <v>16.0</v>
      </c>
      <c r="I4" s="107" t="s">
        <v>34</v>
      </c>
      <c r="J4" s="3"/>
      <c r="K4" s="17">
        <f t="shared" si="1"/>
        <v>0</v>
      </c>
      <c r="L4" s="18">
        <f t="shared" si="2"/>
        <v>2</v>
      </c>
      <c r="M4" s="3"/>
      <c r="N4" s="18">
        <v>2.0</v>
      </c>
      <c r="O4" s="81" t="s">
        <v>68</v>
      </c>
      <c r="P4" s="18">
        <f t="shared" si="3"/>
        <v>10</v>
      </c>
      <c r="Q4" s="20">
        <f t="shared" si="4"/>
        <v>5</v>
      </c>
      <c r="R4" s="20">
        <f t="shared" si="5"/>
        <v>0</v>
      </c>
      <c r="S4" s="22">
        <f t="shared" si="6"/>
        <v>4</v>
      </c>
      <c r="T4" s="18">
        <f t="shared" si="7"/>
        <v>89</v>
      </c>
      <c r="U4" s="22">
        <f t="shared" si="8"/>
        <v>93</v>
      </c>
      <c r="V4" s="18">
        <f t="shared" si="9"/>
        <v>-4</v>
      </c>
      <c r="W4" s="36"/>
      <c r="X4" s="32" t="s">
        <v>34</v>
      </c>
      <c r="Y4" s="32">
        <v>6.0</v>
      </c>
      <c r="AD4" s="24" t="s">
        <v>35</v>
      </c>
      <c r="AE4" s="108" t="s">
        <v>33</v>
      </c>
      <c r="AF4" s="26">
        <v>14.0</v>
      </c>
      <c r="AG4" s="26">
        <v>7.0</v>
      </c>
      <c r="AH4" s="26">
        <v>0.0</v>
      </c>
      <c r="AI4" s="27">
        <v>2.0</v>
      </c>
      <c r="AJ4" s="26">
        <v>131.0</v>
      </c>
      <c r="AK4" s="27">
        <v>96.0</v>
      </c>
      <c r="AL4" s="26">
        <v>35.0</v>
      </c>
    </row>
    <row r="5" ht="15.75" customHeight="1">
      <c r="A5" s="29"/>
      <c r="B5" s="68">
        <v>45609.0</v>
      </c>
      <c r="C5" s="49" t="s">
        <v>90</v>
      </c>
      <c r="D5" s="49" t="s">
        <v>22</v>
      </c>
      <c r="E5" s="107" t="s">
        <v>73</v>
      </c>
      <c r="F5" s="15">
        <v>12.0</v>
      </c>
      <c r="G5" s="16" t="s">
        <v>24</v>
      </c>
      <c r="H5" s="15">
        <v>15.0</v>
      </c>
      <c r="I5" s="107" t="s">
        <v>37</v>
      </c>
      <c r="J5" s="3"/>
      <c r="K5" s="17">
        <f t="shared" si="1"/>
        <v>0</v>
      </c>
      <c r="L5" s="18">
        <f t="shared" si="2"/>
        <v>2</v>
      </c>
      <c r="M5" s="3"/>
      <c r="N5" s="18">
        <v>3.0</v>
      </c>
      <c r="O5" s="81" t="s">
        <v>31</v>
      </c>
      <c r="P5" s="18">
        <f t="shared" si="3"/>
        <v>14</v>
      </c>
      <c r="Q5" s="20">
        <f t="shared" si="4"/>
        <v>7</v>
      </c>
      <c r="R5" s="20">
        <f t="shared" si="5"/>
        <v>0</v>
      </c>
      <c r="S5" s="22">
        <f t="shared" si="6"/>
        <v>2</v>
      </c>
      <c r="T5" s="18">
        <f t="shared" si="7"/>
        <v>129</v>
      </c>
      <c r="U5" s="22">
        <f t="shared" si="8"/>
        <v>91</v>
      </c>
      <c r="V5" s="18">
        <f t="shared" si="9"/>
        <v>38</v>
      </c>
      <c r="W5" s="36"/>
      <c r="X5" s="32" t="s">
        <v>33</v>
      </c>
      <c r="Y5" s="32">
        <v>3.0</v>
      </c>
      <c r="AD5" s="24" t="s">
        <v>40</v>
      </c>
      <c r="AE5" s="108" t="s">
        <v>34</v>
      </c>
      <c r="AF5" s="26">
        <v>14.0</v>
      </c>
      <c r="AG5" s="26">
        <v>7.0</v>
      </c>
      <c r="AH5" s="26">
        <v>0.0</v>
      </c>
      <c r="AI5" s="27">
        <v>2.0</v>
      </c>
      <c r="AJ5" s="26">
        <v>121.0</v>
      </c>
      <c r="AK5" s="27">
        <v>89.0</v>
      </c>
      <c r="AL5" s="26">
        <v>32.0</v>
      </c>
    </row>
    <row r="6" ht="15.75" customHeight="1">
      <c r="A6" s="29"/>
      <c r="B6" s="68">
        <v>45609.0</v>
      </c>
      <c r="C6" s="49" t="s">
        <v>90</v>
      </c>
      <c r="D6" s="49" t="s">
        <v>22</v>
      </c>
      <c r="E6" s="107" t="s">
        <v>103</v>
      </c>
      <c r="F6" s="15">
        <v>10.0</v>
      </c>
      <c r="G6" s="16" t="s">
        <v>24</v>
      </c>
      <c r="H6" s="15">
        <v>19.0</v>
      </c>
      <c r="I6" s="107" t="s">
        <v>33</v>
      </c>
      <c r="J6" s="3"/>
      <c r="K6" s="17">
        <f t="shared" si="1"/>
        <v>0</v>
      </c>
      <c r="L6" s="18">
        <f t="shared" si="2"/>
        <v>2</v>
      </c>
      <c r="M6" s="3"/>
      <c r="N6" s="18">
        <v>4.0</v>
      </c>
      <c r="O6" s="81" t="s">
        <v>73</v>
      </c>
      <c r="P6" s="18">
        <f t="shared" si="3"/>
        <v>8</v>
      </c>
      <c r="Q6" s="20">
        <f t="shared" si="4"/>
        <v>4</v>
      </c>
      <c r="R6" s="20">
        <f t="shared" si="5"/>
        <v>0</v>
      </c>
      <c r="S6" s="22">
        <f t="shared" si="6"/>
        <v>5</v>
      </c>
      <c r="T6" s="18">
        <f t="shared" si="7"/>
        <v>123</v>
      </c>
      <c r="U6" s="22">
        <f t="shared" si="8"/>
        <v>104</v>
      </c>
      <c r="V6" s="18">
        <f t="shared" si="9"/>
        <v>19</v>
      </c>
      <c r="X6" s="32" t="s">
        <v>31</v>
      </c>
      <c r="Y6" s="32">
        <v>0.0</v>
      </c>
      <c r="AD6" s="24" t="s">
        <v>44</v>
      </c>
      <c r="AE6" s="108" t="s">
        <v>68</v>
      </c>
      <c r="AF6" s="26">
        <v>10.0</v>
      </c>
      <c r="AG6" s="26">
        <v>5.0</v>
      </c>
      <c r="AH6" s="26">
        <v>0.0</v>
      </c>
      <c r="AI6" s="27">
        <v>4.0</v>
      </c>
      <c r="AJ6" s="26">
        <v>89.0</v>
      </c>
      <c r="AK6" s="27">
        <v>93.0</v>
      </c>
      <c r="AL6" s="26">
        <v>-4.0</v>
      </c>
    </row>
    <row r="7" ht="15.75" customHeight="1">
      <c r="A7" s="37"/>
      <c r="B7" s="68">
        <v>45609.0</v>
      </c>
      <c r="C7" s="49" t="s">
        <v>76</v>
      </c>
      <c r="D7" s="49" t="s">
        <v>22</v>
      </c>
      <c r="E7" s="107" t="s">
        <v>32</v>
      </c>
      <c r="F7" s="15">
        <v>6.0</v>
      </c>
      <c r="G7" s="16" t="s">
        <v>24</v>
      </c>
      <c r="H7" s="15">
        <v>8.0</v>
      </c>
      <c r="I7" s="107" t="s">
        <v>42</v>
      </c>
      <c r="J7" s="3"/>
      <c r="K7" s="17">
        <f t="shared" si="1"/>
        <v>0</v>
      </c>
      <c r="L7" s="18">
        <f t="shared" si="2"/>
        <v>2</v>
      </c>
      <c r="M7" s="3"/>
      <c r="N7" s="18">
        <v>5.0</v>
      </c>
      <c r="O7" s="81" t="s">
        <v>103</v>
      </c>
      <c r="P7" s="18">
        <f t="shared" si="3"/>
        <v>8</v>
      </c>
      <c r="Q7" s="20">
        <f t="shared" si="4"/>
        <v>4</v>
      </c>
      <c r="R7" s="20">
        <f t="shared" si="5"/>
        <v>0</v>
      </c>
      <c r="S7" s="22">
        <f t="shared" si="6"/>
        <v>5</v>
      </c>
      <c r="T7" s="18">
        <f t="shared" si="7"/>
        <v>95</v>
      </c>
      <c r="U7" s="22">
        <f t="shared" si="8"/>
        <v>103</v>
      </c>
      <c r="V7" s="18">
        <f t="shared" si="9"/>
        <v>-8</v>
      </c>
      <c r="X7" s="36"/>
      <c r="AD7" s="24" t="s">
        <v>46</v>
      </c>
      <c r="AE7" s="108" t="s">
        <v>73</v>
      </c>
      <c r="AF7" s="26">
        <v>8.0</v>
      </c>
      <c r="AG7" s="26">
        <v>4.0</v>
      </c>
      <c r="AH7" s="26">
        <v>0.0</v>
      </c>
      <c r="AI7" s="27">
        <v>5.0</v>
      </c>
      <c r="AJ7" s="26">
        <v>123.0</v>
      </c>
      <c r="AK7" s="27">
        <v>104.0</v>
      </c>
      <c r="AL7" s="26">
        <v>19.0</v>
      </c>
    </row>
    <row r="8" ht="15.75" customHeight="1">
      <c r="A8" s="106">
        <v>2.0</v>
      </c>
      <c r="B8" s="68">
        <v>45609.0</v>
      </c>
      <c r="C8" s="49" t="s">
        <v>76</v>
      </c>
      <c r="D8" s="49" t="s">
        <v>22</v>
      </c>
      <c r="E8" s="107" t="s">
        <v>25</v>
      </c>
      <c r="F8" s="15">
        <v>6.0</v>
      </c>
      <c r="G8" s="16" t="s">
        <v>24</v>
      </c>
      <c r="H8" s="15">
        <v>9.0</v>
      </c>
      <c r="I8" s="107" t="s">
        <v>31</v>
      </c>
      <c r="J8" s="3"/>
      <c r="K8" s="17">
        <f t="shared" si="1"/>
        <v>0</v>
      </c>
      <c r="L8" s="18">
        <f t="shared" si="2"/>
        <v>2</v>
      </c>
      <c r="M8" s="3"/>
      <c r="N8" s="18">
        <v>6.0</v>
      </c>
      <c r="O8" s="81" t="s">
        <v>32</v>
      </c>
      <c r="P8" s="18">
        <f t="shared" si="3"/>
        <v>4</v>
      </c>
      <c r="Q8" s="20">
        <f t="shared" si="4"/>
        <v>2</v>
      </c>
      <c r="R8" s="20">
        <f t="shared" si="5"/>
        <v>0</v>
      </c>
      <c r="S8" s="22">
        <f t="shared" si="6"/>
        <v>7</v>
      </c>
      <c r="T8" s="18">
        <f t="shared" si="7"/>
        <v>56</v>
      </c>
      <c r="U8" s="22">
        <f t="shared" si="8"/>
        <v>115</v>
      </c>
      <c r="V8" s="18">
        <f t="shared" si="9"/>
        <v>-59</v>
      </c>
      <c r="X8" s="10" t="s">
        <v>47</v>
      </c>
      <c r="Y8" s="7"/>
      <c r="Z8" s="7"/>
      <c r="AA8" s="7"/>
      <c r="AB8" s="8"/>
      <c r="AD8" s="24" t="s">
        <v>48</v>
      </c>
      <c r="AE8" s="108" t="s">
        <v>25</v>
      </c>
      <c r="AF8" s="26">
        <v>8.0</v>
      </c>
      <c r="AG8" s="26">
        <v>4.0</v>
      </c>
      <c r="AH8" s="26">
        <v>0.0</v>
      </c>
      <c r="AI8" s="27">
        <v>5.0</v>
      </c>
      <c r="AJ8" s="26">
        <v>86.0</v>
      </c>
      <c r="AK8" s="27">
        <v>82.0</v>
      </c>
      <c r="AL8" s="26">
        <v>4.0</v>
      </c>
    </row>
    <row r="9" ht="15.75" customHeight="1">
      <c r="A9" s="29"/>
      <c r="B9" s="68">
        <v>45609.0</v>
      </c>
      <c r="C9" s="49" t="s">
        <v>91</v>
      </c>
      <c r="D9" s="49" t="s">
        <v>22</v>
      </c>
      <c r="E9" s="107" t="s">
        <v>42</v>
      </c>
      <c r="F9" s="15">
        <v>6.0</v>
      </c>
      <c r="G9" s="16" t="s">
        <v>24</v>
      </c>
      <c r="H9" s="15">
        <v>7.0</v>
      </c>
      <c r="I9" s="107" t="s">
        <v>68</v>
      </c>
      <c r="J9" s="3"/>
      <c r="K9" s="17">
        <f t="shared" si="1"/>
        <v>0</v>
      </c>
      <c r="L9" s="18">
        <f t="shared" si="2"/>
        <v>2</v>
      </c>
      <c r="M9" s="3"/>
      <c r="N9" s="18">
        <v>7.0</v>
      </c>
      <c r="O9" s="81" t="s">
        <v>33</v>
      </c>
      <c r="P9" s="18">
        <f t="shared" si="3"/>
        <v>14</v>
      </c>
      <c r="Q9" s="20">
        <f t="shared" si="4"/>
        <v>7</v>
      </c>
      <c r="R9" s="20">
        <f t="shared" si="5"/>
        <v>0</v>
      </c>
      <c r="S9" s="22">
        <f t="shared" si="6"/>
        <v>2</v>
      </c>
      <c r="T9" s="18">
        <f t="shared" si="7"/>
        <v>131</v>
      </c>
      <c r="U9" s="22">
        <f t="shared" si="8"/>
        <v>96</v>
      </c>
      <c r="V9" s="18">
        <f t="shared" si="9"/>
        <v>35</v>
      </c>
      <c r="X9" s="23" t="s">
        <v>26</v>
      </c>
      <c r="Y9" s="23" t="s">
        <v>13</v>
      </c>
      <c r="Z9" s="23" t="s">
        <v>82</v>
      </c>
      <c r="AA9" s="23" t="s">
        <v>83</v>
      </c>
      <c r="AB9" s="23" t="s">
        <v>84</v>
      </c>
      <c r="AD9" s="41">
        <v>7.0</v>
      </c>
      <c r="AE9" s="108" t="s">
        <v>103</v>
      </c>
      <c r="AF9" s="26">
        <v>8.0</v>
      </c>
      <c r="AG9" s="26">
        <v>4.0</v>
      </c>
      <c r="AH9" s="26">
        <v>0.0</v>
      </c>
      <c r="AI9" s="27">
        <v>5.0</v>
      </c>
      <c r="AJ9" s="26">
        <v>95.0</v>
      </c>
      <c r="AK9" s="27">
        <v>103.0</v>
      </c>
      <c r="AL9" s="26">
        <v>-8.0</v>
      </c>
    </row>
    <row r="10" ht="15.75" customHeight="1">
      <c r="A10" s="29"/>
      <c r="B10" s="68">
        <v>45609.0</v>
      </c>
      <c r="C10" s="49" t="s">
        <v>91</v>
      </c>
      <c r="D10" s="49" t="s">
        <v>22</v>
      </c>
      <c r="E10" s="107" t="s">
        <v>34</v>
      </c>
      <c r="F10" s="15">
        <v>20.0</v>
      </c>
      <c r="G10" s="16" t="s">
        <v>24</v>
      </c>
      <c r="H10" s="15">
        <v>12.0</v>
      </c>
      <c r="I10" s="107" t="s">
        <v>73</v>
      </c>
      <c r="J10" s="3"/>
      <c r="K10" s="17">
        <f t="shared" si="1"/>
        <v>2</v>
      </c>
      <c r="L10" s="18">
        <f t="shared" si="2"/>
        <v>0</v>
      </c>
      <c r="M10" s="3"/>
      <c r="N10" s="18">
        <v>8.0</v>
      </c>
      <c r="O10" s="81" t="s">
        <v>37</v>
      </c>
      <c r="P10" s="18">
        <f t="shared" si="3"/>
        <v>4</v>
      </c>
      <c r="Q10" s="20">
        <f t="shared" si="4"/>
        <v>2</v>
      </c>
      <c r="R10" s="20">
        <f t="shared" si="5"/>
        <v>0</v>
      </c>
      <c r="S10" s="22">
        <f t="shared" si="6"/>
        <v>7</v>
      </c>
      <c r="T10" s="18">
        <f t="shared" si="7"/>
        <v>80</v>
      </c>
      <c r="U10" s="22">
        <f t="shared" si="8"/>
        <v>118</v>
      </c>
      <c r="V10" s="18">
        <f t="shared" si="9"/>
        <v>-38</v>
      </c>
      <c r="X10" s="30" t="s">
        <v>73</v>
      </c>
      <c r="Y10" s="31">
        <v>3.0</v>
      </c>
      <c r="Z10" s="109">
        <v>27.0</v>
      </c>
      <c r="AA10" s="109">
        <v>16.0</v>
      </c>
      <c r="AB10" s="109">
        <f t="shared" ref="AB10:AB12" si="10">Z10-AA10</f>
        <v>11</v>
      </c>
      <c r="AD10" s="41">
        <v>8.0</v>
      </c>
      <c r="AE10" s="108" t="s">
        <v>42</v>
      </c>
      <c r="AF10" s="26">
        <v>6.0</v>
      </c>
      <c r="AG10" s="26">
        <v>3.0</v>
      </c>
      <c r="AH10" s="26">
        <v>0.0</v>
      </c>
      <c r="AI10" s="27">
        <v>6.0</v>
      </c>
      <c r="AJ10" s="26">
        <v>81.0</v>
      </c>
      <c r="AK10" s="27">
        <v>100.0</v>
      </c>
      <c r="AL10" s="26">
        <v>-19.0</v>
      </c>
    </row>
    <row r="11" ht="15.75" customHeight="1">
      <c r="A11" s="29"/>
      <c r="B11" s="68">
        <v>45609.0</v>
      </c>
      <c r="C11" s="49" t="s">
        <v>99</v>
      </c>
      <c r="D11" s="49" t="s">
        <v>22</v>
      </c>
      <c r="E11" s="107" t="s">
        <v>37</v>
      </c>
      <c r="F11" s="15">
        <v>7.0</v>
      </c>
      <c r="G11" s="16" t="s">
        <v>24</v>
      </c>
      <c r="H11" s="15">
        <v>10.0</v>
      </c>
      <c r="I11" s="107" t="s">
        <v>103</v>
      </c>
      <c r="J11" s="3"/>
      <c r="K11" s="17">
        <f t="shared" si="1"/>
        <v>0</v>
      </c>
      <c r="L11" s="18">
        <f t="shared" si="2"/>
        <v>2</v>
      </c>
      <c r="M11" s="3"/>
      <c r="N11" s="18">
        <v>9.0</v>
      </c>
      <c r="O11" s="81" t="s">
        <v>34</v>
      </c>
      <c r="P11" s="18">
        <f t="shared" si="3"/>
        <v>14</v>
      </c>
      <c r="Q11" s="20">
        <f t="shared" si="4"/>
        <v>7</v>
      </c>
      <c r="R11" s="20">
        <f t="shared" si="5"/>
        <v>0</v>
      </c>
      <c r="S11" s="22">
        <f t="shared" si="6"/>
        <v>2</v>
      </c>
      <c r="T11" s="18">
        <f t="shared" si="7"/>
        <v>121</v>
      </c>
      <c r="U11" s="22">
        <f t="shared" si="8"/>
        <v>89</v>
      </c>
      <c r="V11" s="18">
        <f t="shared" si="9"/>
        <v>32</v>
      </c>
      <c r="X11" s="109" t="s">
        <v>25</v>
      </c>
      <c r="Y11" s="32">
        <v>3.0</v>
      </c>
      <c r="Z11" s="109">
        <v>26.0</v>
      </c>
      <c r="AA11" s="109">
        <v>29.0</v>
      </c>
      <c r="AB11" s="109">
        <f t="shared" si="10"/>
        <v>-3</v>
      </c>
      <c r="AD11" s="110">
        <v>9.0</v>
      </c>
      <c r="AE11" s="111" t="s">
        <v>37</v>
      </c>
      <c r="AF11" s="59">
        <v>4.0</v>
      </c>
      <c r="AG11" s="59">
        <v>2.0</v>
      </c>
      <c r="AH11" s="59">
        <v>0.0</v>
      </c>
      <c r="AI11" s="60">
        <v>7.0</v>
      </c>
      <c r="AJ11" s="59">
        <v>80.0</v>
      </c>
      <c r="AK11" s="60">
        <v>118.0</v>
      </c>
      <c r="AL11" s="59">
        <v>-38.0</v>
      </c>
    </row>
    <row r="12" ht="15.75" customHeight="1">
      <c r="A12" s="37"/>
      <c r="B12" s="68">
        <v>45609.0</v>
      </c>
      <c r="C12" s="49" t="s">
        <v>99</v>
      </c>
      <c r="D12" s="49" t="s">
        <v>22</v>
      </c>
      <c r="E12" s="107" t="s">
        <v>33</v>
      </c>
      <c r="F12" s="15">
        <v>15.0</v>
      </c>
      <c r="G12" s="16" t="s">
        <v>24</v>
      </c>
      <c r="H12" s="15">
        <v>6.0</v>
      </c>
      <c r="I12" s="107" t="s">
        <v>32</v>
      </c>
      <c r="J12" s="3"/>
      <c r="K12" s="17">
        <f t="shared" si="1"/>
        <v>2</v>
      </c>
      <c r="L12" s="18">
        <f t="shared" si="2"/>
        <v>0</v>
      </c>
      <c r="M12" s="3"/>
      <c r="N12" s="61">
        <v>10.0</v>
      </c>
      <c r="O12" s="112" t="s">
        <v>42</v>
      </c>
      <c r="P12" s="18">
        <f t="shared" si="3"/>
        <v>6</v>
      </c>
      <c r="Q12" s="20">
        <f t="shared" si="4"/>
        <v>3</v>
      </c>
      <c r="R12" s="20">
        <f t="shared" si="5"/>
        <v>0</v>
      </c>
      <c r="S12" s="22">
        <f t="shared" si="6"/>
        <v>6</v>
      </c>
      <c r="T12" s="18">
        <f t="shared" si="7"/>
        <v>81</v>
      </c>
      <c r="U12" s="22">
        <f t="shared" si="8"/>
        <v>100</v>
      </c>
      <c r="V12" s="18">
        <f t="shared" si="9"/>
        <v>-19</v>
      </c>
      <c r="X12" s="109" t="s">
        <v>103</v>
      </c>
      <c r="Y12" s="32">
        <v>3.0</v>
      </c>
      <c r="Z12" s="109">
        <v>22.0</v>
      </c>
      <c r="AA12" s="109">
        <v>30.0</v>
      </c>
      <c r="AB12" s="109">
        <f t="shared" si="10"/>
        <v>-8</v>
      </c>
      <c r="AD12" s="43">
        <v>10.0</v>
      </c>
      <c r="AE12" s="108" t="s">
        <v>32</v>
      </c>
      <c r="AF12" s="44">
        <v>4.0</v>
      </c>
      <c r="AG12" s="44">
        <v>2.0</v>
      </c>
      <c r="AH12" s="44">
        <v>0.0</v>
      </c>
      <c r="AI12" s="45">
        <v>7.0</v>
      </c>
      <c r="AJ12" s="44">
        <v>56.0</v>
      </c>
      <c r="AK12" s="45">
        <v>115.0</v>
      </c>
      <c r="AL12" s="44">
        <v>-59.0</v>
      </c>
    </row>
    <row r="13" ht="15.75" customHeight="1">
      <c r="A13" s="106">
        <v>3.0</v>
      </c>
      <c r="B13" s="113">
        <v>45630.0</v>
      </c>
      <c r="C13" s="49" t="s">
        <v>58</v>
      </c>
      <c r="D13" s="49" t="s">
        <v>22</v>
      </c>
      <c r="E13" s="107" t="s">
        <v>73</v>
      </c>
      <c r="F13" s="15">
        <v>10.0</v>
      </c>
      <c r="G13" s="16" t="s">
        <v>24</v>
      </c>
      <c r="H13" s="15">
        <v>13.0</v>
      </c>
      <c r="I13" s="107" t="s">
        <v>25</v>
      </c>
      <c r="J13" s="3"/>
      <c r="K13" s="17">
        <f t="shared" si="1"/>
        <v>0</v>
      </c>
      <c r="L13" s="18">
        <f t="shared" si="2"/>
        <v>2</v>
      </c>
      <c r="M13" s="3"/>
      <c r="AD13" s="85" t="s">
        <v>104</v>
      </c>
      <c r="AG13" s="4"/>
      <c r="AH13" s="4"/>
      <c r="AI13" s="4"/>
      <c r="AJ13" s="4"/>
      <c r="AK13" s="4"/>
      <c r="AL13" s="4"/>
    </row>
    <row r="14" ht="15.75" customHeight="1">
      <c r="A14" s="29"/>
      <c r="B14" s="113">
        <v>45630.0</v>
      </c>
      <c r="C14" s="49" t="s">
        <v>58</v>
      </c>
      <c r="D14" s="49" t="s">
        <v>22</v>
      </c>
      <c r="E14" s="107" t="s">
        <v>31</v>
      </c>
      <c r="F14" s="15">
        <v>14.0</v>
      </c>
      <c r="G14" s="16" t="s">
        <v>24</v>
      </c>
      <c r="H14" s="15">
        <v>11.0</v>
      </c>
      <c r="I14" s="107" t="s">
        <v>68</v>
      </c>
      <c r="J14" s="3"/>
      <c r="K14" s="17">
        <f t="shared" si="1"/>
        <v>2</v>
      </c>
      <c r="L14" s="18">
        <f t="shared" si="2"/>
        <v>0</v>
      </c>
      <c r="M14" s="3"/>
      <c r="AG14" s="47"/>
      <c r="AI14" s="4"/>
      <c r="AJ14" s="4"/>
      <c r="AK14" s="4"/>
      <c r="AL14" s="4"/>
    </row>
    <row r="15" ht="15.75" customHeight="1">
      <c r="A15" s="29"/>
      <c r="B15" s="113">
        <v>45630.0</v>
      </c>
      <c r="C15" s="49" t="s">
        <v>105</v>
      </c>
      <c r="D15" s="49" t="s">
        <v>22</v>
      </c>
      <c r="E15" s="107" t="s">
        <v>103</v>
      </c>
      <c r="F15" s="15">
        <v>10.0</v>
      </c>
      <c r="G15" s="16" t="s">
        <v>24</v>
      </c>
      <c r="H15" s="15">
        <v>11.0</v>
      </c>
      <c r="I15" s="107" t="s">
        <v>34</v>
      </c>
      <c r="J15" s="3"/>
      <c r="K15" s="17">
        <f t="shared" si="1"/>
        <v>0</v>
      </c>
      <c r="L15" s="18">
        <f t="shared" si="2"/>
        <v>2</v>
      </c>
      <c r="M15" s="3"/>
      <c r="N15" s="3"/>
      <c r="O15" s="3"/>
      <c r="P15" s="3"/>
      <c r="Q15" s="3"/>
      <c r="R15" s="3"/>
      <c r="S15" s="3"/>
      <c r="T15" s="3"/>
      <c r="U15" s="3"/>
      <c r="V15" s="3"/>
      <c r="AD15" s="48"/>
      <c r="AI15" s="4"/>
      <c r="AJ15" s="4"/>
      <c r="AK15" s="4"/>
      <c r="AL15" s="4"/>
    </row>
    <row r="16" ht="15.75" customHeight="1">
      <c r="A16" s="29"/>
      <c r="B16" s="113">
        <v>45630.0</v>
      </c>
      <c r="C16" s="49" t="s">
        <v>105</v>
      </c>
      <c r="D16" s="49" t="s">
        <v>22</v>
      </c>
      <c r="E16" s="107" t="s">
        <v>32</v>
      </c>
      <c r="F16" s="15">
        <v>7.0</v>
      </c>
      <c r="G16" s="16" t="s">
        <v>24</v>
      </c>
      <c r="H16" s="15">
        <v>9.0</v>
      </c>
      <c r="I16" s="107" t="s">
        <v>37</v>
      </c>
      <c r="J16" s="3"/>
      <c r="K16" s="17">
        <f t="shared" si="1"/>
        <v>0</v>
      </c>
      <c r="L16" s="18">
        <f t="shared" si="2"/>
        <v>2</v>
      </c>
      <c r="M16" s="3"/>
      <c r="N16" s="3"/>
      <c r="O16" s="3"/>
      <c r="P16" s="3"/>
      <c r="Q16" s="3"/>
      <c r="R16" s="3"/>
      <c r="S16" s="3"/>
      <c r="T16" s="3"/>
      <c r="U16" s="3"/>
      <c r="V16" s="3"/>
      <c r="AI16" s="4"/>
      <c r="AJ16" s="4"/>
      <c r="AK16" s="4"/>
      <c r="AL16" s="4"/>
    </row>
    <row r="17" ht="15.75" customHeight="1">
      <c r="A17" s="37"/>
      <c r="B17" s="113">
        <v>45630.0</v>
      </c>
      <c r="C17" s="49" t="s">
        <v>106</v>
      </c>
      <c r="D17" s="49" t="s">
        <v>22</v>
      </c>
      <c r="E17" s="107" t="s">
        <v>42</v>
      </c>
      <c r="F17" s="15">
        <v>8.0</v>
      </c>
      <c r="G17" s="16" t="s">
        <v>24</v>
      </c>
      <c r="H17" s="15">
        <v>14.0</v>
      </c>
      <c r="I17" s="107" t="s">
        <v>33</v>
      </c>
      <c r="J17" s="3"/>
      <c r="K17" s="17">
        <f t="shared" si="1"/>
        <v>0</v>
      </c>
      <c r="L17" s="18">
        <f t="shared" si="2"/>
        <v>2</v>
      </c>
      <c r="M17" s="3"/>
      <c r="N17" s="3"/>
      <c r="O17" s="3"/>
      <c r="P17" s="3"/>
      <c r="Q17" s="3"/>
      <c r="R17" s="3"/>
      <c r="S17" s="3"/>
      <c r="T17" s="3"/>
      <c r="U17" s="3"/>
      <c r="V17" s="3"/>
      <c r="AI17" s="4"/>
      <c r="AJ17" s="4"/>
      <c r="AK17" s="4"/>
      <c r="AL17" s="4"/>
    </row>
    <row r="18" ht="15.75" customHeight="1">
      <c r="A18" s="106">
        <v>4.0</v>
      </c>
      <c r="B18" s="113">
        <v>45630.0</v>
      </c>
      <c r="C18" s="49" t="s">
        <v>106</v>
      </c>
      <c r="D18" s="49" t="s">
        <v>22</v>
      </c>
      <c r="E18" s="107" t="s">
        <v>25</v>
      </c>
      <c r="F18" s="15">
        <v>13.0</v>
      </c>
      <c r="G18" s="16" t="s">
        <v>24</v>
      </c>
      <c r="H18" s="15">
        <v>16.0</v>
      </c>
      <c r="I18" s="107" t="s">
        <v>103</v>
      </c>
      <c r="J18" s="50"/>
      <c r="K18" s="17">
        <f t="shared" si="1"/>
        <v>0</v>
      </c>
      <c r="L18" s="18">
        <f t="shared" si="2"/>
        <v>2</v>
      </c>
      <c r="M18" s="3"/>
      <c r="N18" s="3"/>
      <c r="O18" s="3"/>
      <c r="P18" s="3"/>
      <c r="R18" s="3"/>
      <c r="S18" s="3"/>
      <c r="T18" s="3"/>
      <c r="U18" s="3"/>
      <c r="V18" s="3"/>
      <c r="AI18" s="4"/>
      <c r="AJ18" s="4"/>
      <c r="AK18" s="4"/>
      <c r="AL18" s="4"/>
    </row>
    <row r="19" ht="15.75" customHeight="1">
      <c r="A19" s="29"/>
      <c r="B19" s="113">
        <v>45630.0</v>
      </c>
      <c r="C19" s="49" t="s">
        <v>59</v>
      </c>
      <c r="D19" s="49" t="s">
        <v>22</v>
      </c>
      <c r="E19" s="107" t="s">
        <v>68</v>
      </c>
      <c r="F19" s="15">
        <v>9.0</v>
      </c>
      <c r="G19" s="16" t="s">
        <v>24</v>
      </c>
      <c r="H19" s="15">
        <v>12.0</v>
      </c>
      <c r="I19" s="107" t="s">
        <v>73</v>
      </c>
      <c r="J19" s="3"/>
      <c r="K19" s="17">
        <f t="shared" si="1"/>
        <v>0</v>
      </c>
      <c r="L19" s="18">
        <f t="shared" si="2"/>
        <v>2</v>
      </c>
      <c r="M19" s="3"/>
      <c r="N19" s="3"/>
      <c r="O19" s="3"/>
      <c r="P19" s="114"/>
      <c r="Q19" s="3"/>
      <c r="R19" s="3"/>
      <c r="S19" s="3"/>
      <c r="T19" s="3"/>
      <c r="U19" s="3"/>
      <c r="V19" s="3"/>
      <c r="AI19" s="4"/>
      <c r="AJ19" s="4"/>
      <c r="AK19" s="4"/>
      <c r="AL19" s="4"/>
    </row>
    <row r="20" ht="15.75" customHeight="1">
      <c r="A20" s="29"/>
      <c r="B20" s="113">
        <v>45630.0</v>
      </c>
      <c r="C20" s="49" t="s">
        <v>59</v>
      </c>
      <c r="D20" s="49" t="s">
        <v>22</v>
      </c>
      <c r="E20" s="107" t="s">
        <v>31</v>
      </c>
      <c r="F20" s="15">
        <v>21.0</v>
      </c>
      <c r="G20" s="16" t="s">
        <v>24</v>
      </c>
      <c r="H20" s="15">
        <v>7.0</v>
      </c>
      <c r="I20" s="107" t="s">
        <v>42</v>
      </c>
      <c r="J20" s="3"/>
      <c r="K20" s="17">
        <f t="shared" si="1"/>
        <v>2</v>
      </c>
      <c r="L20" s="18">
        <f t="shared" si="2"/>
        <v>0</v>
      </c>
      <c r="M20" s="3"/>
      <c r="N20" s="3"/>
      <c r="O20" s="3"/>
      <c r="P20" s="114"/>
      <c r="Q20" s="3"/>
      <c r="R20" s="3"/>
      <c r="S20" s="3"/>
      <c r="T20" s="3"/>
      <c r="U20" s="3"/>
      <c r="V20" s="3"/>
      <c r="AI20" s="4"/>
      <c r="AJ20" s="4"/>
      <c r="AK20" s="4"/>
      <c r="AL20" s="4"/>
    </row>
    <row r="21" ht="15.75" customHeight="1">
      <c r="A21" s="29"/>
      <c r="B21" s="113">
        <v>45630.0</v>
      </c>
      <c r="C21" s="49" t="s">
        <v>107</v>
      </c>
      <c r="D21" s="49" t="s">
        <v>22</v>
      </c>
      <c r="E21" s="107" t="s">
        <v>34</v>
      </c>
      <c r="F21" s="15">
        <v>21.0</v>
      </c>
      <c r="G21" s="16" t="s">
        <v>24</v>
      </c>
      <c r="H21" s="15">
        <v>6.0</v>
      </c>
      <c r="I21" s="107" t="s">
        <v>32</v>
      </c>
      <c r="J21" s="3"/>
      <c r="K21" s="17">
        <f t="shared" si="1"/>
        <v>2</v>
      </c>
      <c r="L21" s="18">
        <f t="shared" si="2"/>
        <v>0</v>
      </c>
      <c r="M21" s="3"/>
      <c r="N21" s="3"/>
      <c r="O21" s="3"/>
      <c r="P21" s="114"/>
      <c r="Q21" s="3"/>
      <c r="R21" s="3"/>
      <c r="S21" s="3"/>
      <c r="T21" s="3"/>
      <c r="U21" s="3"/>
      <c r="V21" s="3"/>
      <c r="AI21" s="4"/>
      <c r="AJ21" s="4"/>
      <c r="AK21" s="4"/>
      <c r="AL21" s="4"/>
    </row>
    <row r="22" ht="15.75" customHeight="1">
      <c r="A22" s="37"/>
      <c r="B22" s="113">
        <v>45630.0</v>
      </c>
      <c r="C22" s="49" t="s">
        <v>107</v>
      </c>
      <c r="D22" s="49" t="s">
        <v>22</v>
      </c>
      <c r="E22" s="107" t="s">
        <v>37</v>
      </c>
      <c r="F22" s="15">
        <v>11.0</v>
      </c>
      <c r="G22" s="16" t="s">
        <v>24</v>
      </c>
      <c r="H22" s="15">
        <v>22.0</v>
      </c>
      <c r="I22" s="107" t="s">
        <v>33</v>
      </c>
      <c r="J22" s="3"/>
      <c r="K22" s="17">
        <f t="shared" si="1"/>
        <v>0</v>
      </c>
      <c r="L22" s="18">
        <f t="shared" si="2"/>
        <v>2</v>
      </c>
      <c r="M22" s="3"/>
      <c r="N22" s="3"/>
      <c r="O22" s="3"/>
      <c r="P22" s="3"/>
      <c r="Q22" s="3"/>
      <c r="R22" s="3"/>
      <c r="S22" s="3"/>
      <c r="T22" s="3"/>
      <c r="U22" s="3"/>
      <c r="V22" s="3"/>
      <c r="AG22" s="4"/>
      <c r="AH22" s="4"/>
      <c r="AI22" s="4"/>
      <c r="AJ22" s="4"/>
      <c r="AK22" s="4"/>
      <c r="AL22" s="4"/>
    </row>
    <row r="23" ht="15.75" customHeight="1">
      <c r="A23" s="106">
        <v>5.0</v>
      </c>
      <c r="B23" s="113">
        <v>45712.0</v>
      </c>
      <c r="C23" s="49" t="s">
        <v>91</v>
      </c>
      <c r="D23" s="115" t="s">
        <v>108</v>
      </c>
      <c r="E23" s="107" t="s">
        <v>32</v>
      </c>
      <c r="F23" s="15">
        <v>10.0</v>
      </c>
      <c r="G23" s="16" t="s">
        <v>24</v>
      </c>
      <c r="H23" s="15">
        <v>4.0</v>
      </c>
      <c r="I23" s="107" t="s">
        <v>25</v>
      </c>
      <c r="J23" s="3"/>
      <c r="K23" s="17">
        <f t="shared" si="1"/>
        <v>2</v>
      </c>
      <c r="L23" s="18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AD23" s="4"/>
      <c r="AE23" s="2"/>
      <c r="AF23" s="4"/>
      <c r="AG23" s="4"/>
      <c r="AH23" s="4"/>
      <c r="AI23" s="4"/>
      <c r="AJ23" s="4"/>
      <c r="AK23" s="4"/>
      <c r="AL23" s="4"/>
    </row>
    <row r="24" ht="15.75" customHeight="1">
      <c r="A24" s="29"/>
      <c r="B24" s="113">
        <v>45712.0</v>
      </c>
      <c r="C24" s="49" t="s">
        <v>91</v>
      </c>
      <c r="D24" s="115" t="s">
        <v>108</v>
      </c>
      <c r="E24" s="107" t="s">
        <v>103</v>
      </c>
      <c r="F24" s="15">
        <v>11.0</v>
      </c>
      <c r="G24" s="16" t="s">
        <v>24</v>
      </c>
      <c r="H24" s="15">
        <v>14.0</v>
      </c>
      <c r="I24" s="107" t="s">
        <v>68</v>
      </c>
      <c r="J24" s="3"/>
      <c r="K24" s="17">
        <f t="shared" si="1"/>
        <v>0</v>
      </c>
      <c r="L24" s="18">
        <f t="shared" si="2"/>
        <v>2</v>
      </c>
      <c r="M24" s="3"/>
      <c r="N24" s="3"/>
      <c r="O24" s="3"/>
      <c r="P24" s="3"/>
      <c r="Q24" s="3"/>
      <c r="R24" s="3"/>
      <c r="S24" s="3"/>
      <c r="T24" s="3"/>
      <c r="U24" s="3"/>
      <c r="V24" s="3"/>
      <c r="AD24" s="4"/>
      <c r="AE24" s="2"/>
      <c r="AF24" s="4"/>
      <c r="AG24" s="4"/>
      <c r="AH24" s="4"/>
      <c r="AI24" s="4"/>
      <c r="AJ24" s="4"/>
      <c r="AK24" s="4"/>
      <c r="AL24" s="4"/>
    </row>
    <row r="25" ht="15.75" customHeight="1">
      <c r="A25" s="29"/>
      <c r="B25" s="113">
        <v>45712.0</v>
      </c>
      <c r="C25" s="49" t="s">
        <v>99</v>
      </c>
      <c r="D25" s="115" t="s">
        <v>108</v>
      </c>
      <c r="E25" s="107" t="s">
        <v>73</v>
      </c>
      <c r="F25" s="15">
        <v>8.0</v>
      </c>
      <c r="G25" s="16" t="s">
        <v>24</v>
      </c>
      <c r="H25" s="15">
        <v>9.0</v>
      </c>
      <c r="I25" s="107" t="s">
        <v>31</v>
      </c>
      <c r="J25" s="3"/>
      <c r="K25" s="17">
        <f t="shared" si="1"/>
        <v>0</v>
      </c>
      <c r="L25" s="18">
        <f t="shared" si="2"/>
        <v>2</v>
      </c>
      <c r="M25" s="3"/>
      <c r="N25" s="3"/>
      <c r="O25" s="3"/>
      <c r="P25" s="3"/>
      <c r="Q25" s="3"/>
      <c r="R25" s="3"/>
      <c r="S25" s="3"/>
      <c r="T25" s="3"/>
      <c r="U25" s="3"/>
      <c r="V25" s="3"/>
      <c r="AD25" s="4"/>
      <c r="AE25" s="2"/>
      <c r="AF25" s="4"/>
      <c r="AG25" s="4"/>
      <c r="AH25" s="4"/>
      <c r="AI25" s="4"/>
      <c r="AJ25" s="4"/>
      <c r="AK25" s="4"/>
      <c r="AL25" s="4"/>
    </row>
    <row r="26" ht="15.75" customHeight="1">
      <c r="A26" s="29"/>
      <c r="B26" s="113">
        <v>45712.0</v>
      </c>
      <c r="C26" s="49" t="s">
        <v>99</v>
      </c>
      <c r="D26" s="115" t="s">
        <v>108</v>
      </c>
      <c r="E26" s="107" t="s">
        <v>33</v>
      </c>
      <c r="F26" s="15">
        <v>6.0</v>
      </c>
      <c r="G26" s="16" t="s">
        <v>24</v>
      </c>
      <c r="H26" s="15">
        <v>11.0</v>
      </c>
      <c r="I26" s="107" t="s">
        <v>34</v>
      </c>
      <c r="J26" s="3"/>
      <c r="K26" s="17">
        <f t="shared" si="1"/>
        <v>0</v>
      </c>
      <c r="L26" s="18">
        <f t="shared" si="2"/>
        <v>2</v>
      </c>
      <c r="M26" s="3"/>
      <c r="N26" s="3"/>
      <c r="O26" s="3"/>
      <c r="P26" s="3"/>
      <c r="Q26" s="3"/>
      <c r="R26" s="3"/>
      <c r="S26" s="3"/>
      <c r="T26" s="3"/>
      <c r="U26" s="3"/>
      <c r="V26" s="3"/>
      <c r="AD26" s="4"/>
      <c r="AE26" s="2"/>
      <c r="AF26" s="4"/>
      <c r="AG26" s="4"/>
      <c r="AH26" s="4"/>
      <c r="AI26" s="4"/>
      <c r="AJ26" s="4"/>
      <c r="AK26" s="4"/>
      <c r="AL26" s="4"/>
    </row>
    <row r="27" ht="15.75" customHeight="1">
      <c r="A27" s="37"/>
      <c r="B27" s="113">
        <v>45712.0</v>
      </c>
      <c r="C27" s="49" t="s">
        <v>77</v>
      </c>
      <c r="D27" s="115" t="s">
        <v>108</v>
      </c>
      <c r="E27" s="107" t="s">
        <v>42</v>
      </c>
      <c r="F27" s="15">
        <v>10.0</v>
      </c>
      <c r="G27" s="16" t="s">
        <v>24</v>
      </c>
      <c r="H27" s="15">
        <v>3.0</v>
      </c>
      <c r="I27" s="107" t="s">
        <v>37</v>
      </c>
      <c r="J27" s="3"/>
      <c r="K27" s="17">
        <f t="shared" si="1"/>
        <v>2</v>
      </c>
      <c r="L27" s="18">
        <f t="shared" si="2"/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AD27" s="4"/>
      <c r="AE27" s="2"/>
      <c r="AF27" s="4"/>
      <c r="AG27" s="4"/>
      <c r="AH27" s="4"/>
      <c r="AI27" s="4"/>
      <c r="AJ27" s="4"/>
      <c r="AK27" s="4"/>
      <c r="AL27" s="4"/>
    </row>
    <row r="28" ht="15.75" customHeight="1">
      <c r="A28" s="106">
        <v>6.0</v>
      </c>
      <c r="B28" s="113">
        <v>45712.0</v>
      </c>
      <c r="C28" s="49" t="s">
        <v>77</v>
      </c>
      <c r="D28" s="115" t="s">
        <v>108</v>
      </c>
      <c r="E28" s="107" t="s">
        <v>25</v>
      </c>
      <c r="F28" s="15">
        <v>10.0</v>
      </c>
      <c r="G28" s="16" t="s">
        <v>24</v>
      </c>
      <c r="H28" s="15">
        <v>12.0</v>
      </c>
      <c r="I28" s="107" t="s">
        <v>33</v>
      </c>
      <c r="J28" s="3"/>
      <c r="K28" s="17">
        <f t="shared" si="1"/>
        <v>0</v>
      </c>
      <c r="L28" s="18">
        <f t="shared" si="2"/>
        <v>2</v>
      </c>
      <c r="M28" s="3"/>
      <c r="N28" s="3"/>
      <c r="O28" s="3"/>
      <c r="P28" s="3"/>
      <c r="Q28" s="3"/>
      <c r="R28" s="3"/>
      <c r="S28" s="3"/>
      <c r="T28" s="3"/>
      <c r="U28" s="3"/>
      <c r="V28" s="3"/>
      <c r="AD28" s="4"/>
      <c r="AE28" s="2"/>
      <c r="AF28" s="4"/>
      <c r="AG28" s="4"/>
      <c r="AH28" s="4"/>
      <c r="AI28" s="4"/>
      <c r="AJ28" s="4"/>
      <c r="AK28" s="4"/>
      <c r="AL28" s="4"/>
    </row>
    <row r="29" ht="15.75" customHeight="1">
      <c r="A29" s="29"/>
      <c r="B29" s="113">
        <v>45712.0</v>
      </c>
      <c r="C29" s="49" t="s">
        <v>100</v>
      </c>
      <c r="D29" s="115" t="s">
        <v>108</v>
      </c>
      <c r="E29" s="107" t="s">
        <v>68</v>
      </c>
      <c r="F29" s="15">
        <v>3.0</v>
      </c>
      <c r="G29" s="16" t="s">
        <v>24</v>
      </c>
      <c r="H29" s="15">
        <v>6.0</v>
      </c>
      <c r="I29" s="107" t="s">
        <v>32</v>
      </c>
      <c r="J29" s="3"/>
      <c r="K29" s="17">
        <f t="shared" si="1"/>
        <v>0</v>
      </c>
      <c r="L29" s="18">
        <f t="shared" si="2"/>
        <v>2</v>
      </c>
      <c r="M29" s="3"/>
      <c r="N29" s="3"/>
      <c r="O29" s="3"/>
      <c r="P29" s="3"/>
      <c r="Q29" s="3"/>
      <c r="R29" s="3"/>
      <c r="S29" s="3"/>
      <c r="T29" s="3"/>
      <c r="U29" s="3"/>
      <c r="V29" s="3"/>
      <c r="AD29" s="4"/>
      <c r="AE29" s="2"/>
      <c r="AF29" s="4"/>
      <c r="AG29" s="4"/>
      <c r="AH29" s="4"/>
      <c r="AI29" s="4"/>
      <c r="AJ29" s="4"/>
      <c r="AK29" s="4"/>
      <c r="AL29" s="4"/>
    </row>
    <row r="30" ht="15.75" customHeight="1">
      <c r="A30" s="29"/>
      <c r="B30" s="113">
        <v>45712.0</v>
      </c>
      <c r="C30" s="49" t="s">
        <v>100</v>
      </c>
      <c r="D30" s="115" t="s">
        <v>108</v>
      </c>
      <c r="E30" s="107" t="s">
        <v>31</v>
      </c>
      <c r="F30" s="15">
        <v>10.0</v>
      </c>
      <c r="G30" s="16" t="s">
        <v>24</v>
      </c>
      <c r="H30" s="15">
        <v>4.0</v>
      </c>
      <c r="I30" s="107" t="s">
        <v>103</v>
      </c>
      <c r="J30" s="3"/>
      <c r="K30" s="17">
        <f t="shared" si="1"/>
        <v>2</v>
      </c>
      <c r="L30" s="18">
        <f t="shared" si="2"/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AD30" s="4"/>
      <c r="AE30" s="2"/>
      <c r="AF30" s="4"/>
      <c r="AG30" s="4"/>
      <c r="AH30" s="4"/>
      <c r="AI30" s="4"/>
      <c r="AJ30" s="4"/>
      <c r="AK30" s="4"/>
      <c r="AL30" s="4"/>
    </row>
    <row r="31" ht="15.75" customHeight="1">
      <c r="A31" s="29"/>
      <c r="B31" s="113">
        <v>45712.0</v>
      </c>
      <c r="C31" s="49" t="s">
        <v>101</v>
      </c>
      <c r="D31" s="115" t="s">
        <v>108</v>
      </c>
      <c r="E31" s="107" t="s">
        <v>73</v>
      </c>
      <c r="F31" s="15">
        <v>14.0</v>
      </c>
      <c r="G31" s="16" t="s">
        <v>24</v>
      </c>
      <c r="H31" s="15">
        <v>13.0</v>
      </c>
      <c r="I31" s="107" t="s">
        <v>42</v>
      </c>
      <c r="J31" s="3"/>
      <c r="K31" s="17">
        <f t="shared" si="1"/>
        <v>2</v>
      </c>
      <c r="L31" s="18">
        <f t="shared" si="2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AD31" s="4"/>
      <c r="AE31" s="2"/>
      <c r="AF31" s="4"/>
      <c r="AG31" s="4"/>
      <c r="AH31" s="4"/>
      <c r="AI31" s="4"/>
      <c r="AJ31" s="4"/>
      <c r="AK31" s="4"/>
      <c r="AL31" s="4"/>
    </row>
    <row r="32" ht="15.75" customHeight="1">
      <c r="A32" s="37"/>
      <c r="B32" s="113">
        <v>45712.0</v>
      </c>
      <c r="C32" s="49" t="s">
        <v>101</v>
      </c>
      <c r="D32" s="115" t="s">
        <v>108</v>
      </c>
      <c r="E32" s="107" t="s">
        <v>34</v>
      </c>
      <c r="F32" s="15">
        <v>14.0</v>
      </c>
      <c r="G32" s="16" t="s">
        <v>24</v>
      </c>
      <c r="H32" s="15">
        <v>6.0</v>
      </c>
      <c r="I32" s="107" t="s">
        <v>37</v>
      </c>
      <c r="J32" s="3"/>
      <c r="K32" s="17">
        <f t="shared" si="1"/>
        <v>2</v>
      </c>
      <c r="L32" s="18">
        <f t="shared" si="2"/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AD32" s="4"/>
      <c r="AE32" s="2"/>
      <c r="AF32" s="4"/>
      <c r="AG32" s="4"/>
      <c r="AH32" s="4"/>
      <c r="AI32" s="4"/>
      <c r="AJ32" s="4"/>
      <c r="AK32" s="4"/>
      <c r="AL32" s="4"/>
    </row>
    <row r="33" ht="15.75" customHeight="1">
      <c r="A33" s="106">
        <v>7.0</v>
      </c>
      <c r="B33" s="113">
        <v>45735.0</v>
      </c>
      <c r="C33" s="49" t="s">
        <v>105</v>
      </c>
      <c r="D33" s="49" t="s">
        <v>22</v>
      </c>
      <c r="E33" s="107" t="s">
        <v>37</v>
      </c>
      <c r="F33" s="15">
        <v>5.0</v>
      </c>
      <c r="G33" s="16" t="s">
        <v>24</v>
      </c>
      <c r="H33" s="15">
        <v>9.0</v>
      </c>
      <c r="I33" s="107" t="s">
        <v>25</v>
      </c>
      <c r="J33" s="3"/>
      <c r="K33" s="17">
        <f t="shared" si="1"/>
        <v>0</v>
      </c>
      <c r="L33" s="18">
        <f t="shared" si="2"/>
        <v>2</v>
      </c>
      <c r="M33" s="3"/>
      <c r="N33" s="3"/>
      <c r="O33" s="3"/>
      <c r="P33" s="3"/>
      <c r="Q33" s="3"/>
      <c r="R33" s="3"/>
      <c r="S33" s="3"/>
      <c r="T33" s="3"/>
      <c r="U33" s="3"/>
      <c r="V33" s="3"/>
      <c r="AD33" s="4"/>
      <c r="AE33" s="2"/>
      <c r="AF33" s="4"/>
      <c r="AG33" s="4"/>
      <c r="AH33" s="4"/>
      <c r="AI33" s="4"/>
      <c r="AJ33" s="4"/>
      <c r="AK33" s="4"/>
      <c r="AL33" s="4"/>
    </row>
    <row r="34" ht="15.75" customHeight="1">
      <c r="A34" s="29"/>
      <c r="B34" s="113">
        <v>45784.0</v>
      </c>
      <c r="C34" s="49" t="s">
        <v>106</v>
      </c>
      <c r="D34" s="49" t="s">
        <v>22</v>
      </c>
      <c r="E34" s="107" t="s">
        <v>33</v>
      </c>
      <c r="F34" s="15">
        <v>9.0</v>
      </c>
      <c r="G34" s="16" t="s">
        <v>24</v>
      </c>
      <c r="H34" s="15">
        <v>11.0</v>
      </c>
      <c r="I34" s="107" t="s">
        <v>68</v>
      </c>
      <c r="J34" s="3"/>
      <c r="K34" s="17">
        <f t="shared" si="1"/>
        <v>0</v>
      </c>
      <c r="L34" s="18">
        <f t="shared" si="2"/>
        <v>2</v>
      </c>
      <c r="M34" s="3"/>
      <c r="N34" s="3"/>
      <c r="O34" s="3"/>
      <c r="P34" s="3"/>
      <c r="Q34" s="3"/>
      <c r="R34" s="3"/>
      <c r="S34" s="3"/>
      <c r="T34" s="3"/>
      <c r="U34" s="3"/>
      <c r="V34" s="3"/>
      <c r="AD34" s="4"/>
      <c r="AE34" s="2"/>
      <c r="AF34" s="4"/>
      <c r="AG34" s="4"/>
      <c r="AH34" s="4"/>
      <c r="AI34" s="4"/>
      <c r="AJ34" s="4"/>
      <c r="AK34" s="4"/>
      <c r="AL34" s="4"/>
    </row>
    <row r="35" ht="15.75" customHeight="1">
      <c r="A35" s="29"/>
      <c r="B35" s="113">
        <v>45735.0</v>
      </c>
      <c r="C35" s="49" t="s">
        <v>106</v>
      </c>
      <c r="D35" s="49" t="s">
        <v>22</v>
      </c>
      <c r="E35" s="107" t="s">
        <v>32</v>
      </c>
      <c r="F35" s="15">
        <v>14.0</v>
      </c>
      <c r="G35" s="16" t="s">
        <v>24</v>
      </c>
      <c r="H35" s="15">
        <v>19.0</v>
      </c>
      <c r="I35" s="107" t="s">
        <v>31</v>
      </c>
      <c r="J35" s="3"/>
      <c r="K35" s="17">
        <f t="shared" si="1"/>
        <v>0</v>
      </c>
      <c r="L35" s="18">
        <f t="shared" si="2"/>
        <v>2</v>
      </c>
      <c r="M35" s="3"/>
      <c r="N35" s="3"/>
      <c r="O35" s="3"/>
      <c r="P35" s="3"/>
      <c r="Q35" s="3"/>
      <c r="R35" s="3"/>
      <c r="S35" s="3"/>
      <c r="T35" s="3"/>
      <c r="U35" s="3"/>
      <c r="V35" s="3"/>
      <c r="AD35" s="4"/>
      <c r="AE35" s="2"/>
      <c r="AF35" s="4"/>
      <c r="AG35" s="4"/>
      <c r="AH35" s="4"/>
      <c r="AI35" s="4"/>
      <c r="AJ35" s="4"/>
      <c r="AK35" s="4"/>
      <c r="AL35" s="4"/>
    </row>
    <row r="36" ht="15.75" customHeight="1">
      <c r="A36" s="29"/>
      <c r="B36" s="113">
        <v>45735.0</v>
      </c>
      <c r="C36" s="49" t="s">
        <v>106</v>
      </c>
      <c r="D36" s="49" t="s">
        <v>22</v>
      </c>
      <c r="E36" s="107" t="s">
        <v>103</v>
      </c>
      <c r="F36" s="15">
        <v>6.0</v>
      </c>
      <c r="G36" s="16" t="s">
        <v>24</v>
      </c>
      <c r="H36" s="15">
        <v>17.0</v>
      </c>
      <c r="I36" s="107" t="s">
        <v>73</v>
      </c>
      <c r="J36" s="3"/>
      <c r="K36" s="17">
        <f t="shared" si="1"/>
        <v>0</v>
      </c>
      <c r="L36" s="18">
        <f t="shared" si="2"/>
        <v>2</v>
      </c>
      <c r="M36" s="3"/>
      <c r="N36" s="3"/>
      <c r="O36" s="3"/>
      <c r="P36" s="3"/>
      <c r="Q36" s="3"/>
      <c r="R36" s="3"/>
      <c r="S36" s="3"/>
      <c r="T36" s="3"/>
      <c r="U36" s="3"/>
      <c r="V36" s="3"/>
      <c r="AD36" s="4"/>
      <c r="AE36" s="2"/>
      <c r="AF36" s="4"/>
      <c r="AG36" s="4"/>
      <c r="AH36" s="4"/>
      <c r="AI36" s="4"/>
      <c r="AJ36" s="4"/>
      <c r="AK36" s="4"/>
      <c r="AL36" s="4"/>
    </row>
    <row r="37" ht="15.75" customHeight="1">
      <c r="A37" s="37"/>
      <c r="B37" s="113">
        <v>45735.0</v>
      </c>
      <c r="C37" s="49" t="s">
        <v>59</v>
      </c>
      <c r="D37" s="49" t="s">
        <v>22</v>
      </c>
      <c r="E37" s="107" t="s">
        <v>42</v>
      </c>
      <c r="F37" s="15">
        <v>12.0</v>
      </c>
      <c r="G37" s="16" t="s">
        <v>24</v>
      </c>
      <c r="H37" s="15">
        <v>11.0</v>
      </c>
      <c r="I37" s="107" t="s">
        <v>34</v>
      </c>
      <c r="J37" s="3"/>
      <c r="K37" s="17">
        <f t="shared" si="1"/>
        <v>2</v>
      </c>
      <c r="L37" s="18">
        <f t="shared" si="2"/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AD37" s="4"/>
      <c r="AE37" s="2"/>
      <c r="AF37" s="4"/>
      <c r="AG37" s="4"/>
      <c r="AH37" s="4"/>
      <c r="AI37" s="4"/>
      <c r="AJ37" s="4"/>
      <c r="AK37" s="4"/>
      <c r="AL37" s="4"/>
    </row>
    <row r="38" ht="15.75" customHeight="1">
      <c r="A38" s="106">
        <v>8.0</v>
      </c>
      <c r="B38" s="113">
        <v>45735.0</v>
      </c>
      <c r="C38" s="49" t="s">
        <v>107</v>
      </c>
      <c r="D38" s="49" t="s">
        <v>22</v>
      </c>
      <c r="E38" s="107" t="s">
        <v>25</v>
      </c>
      <c r="F38" s="15">
        <v>13.0</v>
      </c>
      <c r="G38" s="16" t="s">
        <v>24</v>
      </c>
      <c r="H38" s="15">
        <v>4.0</v>
      </c>
      <c r="I38" s="107" t="s">
        <v>34</v>
      </c>
      <c r="J38" s="3"/>
      <c r="K38" s="17">
        <f t="shared" si="1"/>
        <v>2</v>
      </c>
      <c r="L38" s="18">
        <f t="shared" si="2"/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AD38" s="4"/>
      <c r="AE38" s="2"/>
      <c r="AF38" s="4"/>
      <c r="AG38" s="4"/>
      <c r="AH38" s="4"/>
      <c r="AI38" s="4"/>
      <c r="AJ38" s="4"/>
      <c r="AK38" s="4"/>
      <c r="AL38" s="4"/>
    </row>
    <row r="39" ht="15.75" customHeight="1">
      <c r="A39" s="29"/>
      <c r="B39" s="113">
        <v>45735.0</v>
      </c>
      <c r="C39" s="49" t="s">
        <v>59</v>
      </c>
      <c r="D39" s="49" t="s">
        <v>22</v>
      </c>
      <c r="E39" s="107" t="s">
        <v>68</v>
      </c>
      <c r="F39" s="15">
        <v>15.0</v>
      </c>
      <c r="G39" s="16" t="s">
        <v>24</v>
      </c>
      <c r="H39" s="15">
        <v>14.0</v>
      </c>
      <c r="I39" s="107" t="s">
        <v>37</v>
      </c>
      <c r="J39" s="3"/>
      <c r="K39" s="17">
        <f t="shared" si="1"/>
        <v>2</v>
      </c>
      <c r="L39" s="18">
        <f t="shared" si="2"/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AD39" s="4"/>
      <c r="AE39" s="2"/>
      <c r="AF39" s="4"/>
      <c r="AG39" s="4"/>
      <c r="AH39" s="4"/>
      <c r="AI39" s="4"/>
      <c r="AJ39" s="4"/>
      <c r="AK39" s="4"/>
      <c r="AL39" s="4"/>
    </row>
    <row r="40" ht="15.75" customHeight="1">
      <c r="A40" s="29"/>
      <c r="B40" s="113">
        <v>45784.0</v>
      </c>
      <c r="C40" s="49" t="s">
        <v>109</v>
      </c>
      <c r="D40" s="49" t="s">
        <v>22</v>
      </c>
      <c r="E40" s="107" t="s">
        <v>31</v>
      </c>
      <c r="F40" s="15">
        <v>13.0</v>
      </c>
      <c r="G40" s="16" t="s">
        <v>24</v>
      </c>
      <c r="H40" s="15">
        <v>15.0</v>
      </c>
      <c r="I40" s="107" t="s">
        <v>33</v>
      </c>
      <c r="J40" s="3"/>
      <c r="K40" s="17">
        <f t="shared" si="1"/>
        <v>0</v>
      </c>
      <c r="L40" s="18">
        <f t="shared" si="2"/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AD40" s="4"/>
      <c r="AE40" s="2"/>
      <c r="AF40" s="4"/>
      <c r="AG40" s="4"/>
      <c r="AH40" s="4"/>
      <c r="AI40" s="4"/>
      <c r="AJ40" s="4"/>
      <c r="AK40" s="4"/>
      <c r="AL40" s="4"/>
    </row>
    <row r="41" ht="15.75" customHeight="1">
      <c r="A41" s="29"/>
      <c r="B41" s="113">
        <v>45735.0</v>
      </c>
      <c r="C41" s="49" t="s">
        <v>109</v>
      </c>
      <c r="D41" s="49" t="s">
        <v>22</v>
      </c>
      <c r="E41" s="107" t="s">
        <v>73</v>
      </c>
      <c r="F41" s="15">
        <v>22.0</v>
      </c>
      <c r="G41" s="16" t="s">
        <v>24</v>
      </c>
      <c r="H41" s="15">
        <v>0.0</v>
      </c>
      <c r="I41" s="107" t="s">
        <v>32</v>
      </c>
      <c r="J41" s="3"/>
      <c r="K41" s="17">
        <f t="shared" si="1"/>
        <v>2</v>
      </c>
      <c r="L41" s="18">
        <f t="shared" si="2"/>
        <v>0</v>
      </c>
      <c r="M41" s="3"/>
      <c r="N41" s="3"/>
      <c r="O41" s="3"/>
      <c r="P41" s="3"/>
      <c r="Q41" s="3"/>
      <c r="R41" s="3"/>
      <c r="S41" s="3"/>
      <c r="T41" s="3"/>
      <c r="U41" s="3"/>
      <c r="V41" s="3"/>
      <c r="AD41" s="4"/>
      <c r="AE41" s="2"/>
      <c r="AF41" s="4"/>
      <c r="AG41" s="4"/>
      <c r="AH41" s="4"/>
      <c r="AI41" s="4"/>
      <c r="AJ41" s="4"/>
      <c r="AK41" s="4"/>
      <c r="AL41" s="4"/>
    </row>
    <row r="42" ht="15.75" customHeight="1">
      <c r="A42" s="37"/>
      <c r="B42" s="113">
        <v>45735.0</v>
      </c>
      <c r="C42" s="49" t="s">
        <v>109</v>
      </c>
      <c r="D42" s="49" t="s">
        <v>22</v>
      </c>
      <c r="E42" s="107" t="s">
        <v>103</v>
      </c>
      <c r="F42" s="15">
        <v>14.0</v>
      </c>
      <c r="G42" s="16" t="s">
        <v>24</v>
      </c>
      <c r="H42" s="15">
        <v>11.0</v>
      </c>
      <c r="I42" s="107" t="s">
        <v>42</v>
      </c>
      <c r="J42" s="3"/>
      <c r="K42" s="17">
        <f t="shared" si="1"/>
        <v>2</v>
      </c>
      <c r="L42" s="18">
        <f t="shared" si="2"/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AD42" s="4"/>
      <c r="AE42" s="2"/>
      <c r="AF42" s="4"/>
      <c r="AG42" s="4"/>
      <c r="AH42" s="4"/>
      <c r="AI42" s="4"/>
      <c r="AJ42" s="4"/>
      <c r="AK42" s="4"/>
      <c r="AL42" s="4"/>
    </row>
    <row r="43" ht="15.75" customHeight="1">
      <c r="A43" s="106">
        <v>9.0</v>
      </c>
      <c r="B43" s="113">
        <v>45784.0</v>
      </c>
      <c r="C43" s="49" t="s">
        <v>106</v>
      </c>
      <c r="D43" s="49" t="s">
        <v>22</v>
      </c>
      <c r="E43" s="107" t="s">
        <v>42</v>
      </c>
      <c r="F43" s="15">
        <v>6.0</v>
      </c>
      <c r="G43" s="16" t="s">
        <v>24</v>
      </c>
      <c r="H43" s="15">
        <v>10.0</v>
      </c>
      <c r="I43" s="107" t="s">
        <v>25</v>
      </c>
      <c r="J43" s="3"/>
      <c r="K43" s="17">
        <f t="shared" si="1"/>
        <v>0</v>
      </c>
      <c r="L43" s="18">
        <f t="shared" si="2"/>
        <v>2</v>
      </c>
      <c r="M43" s="3"/>
      <c r="N43" s="3"/>
      <c r="O43" s="3"/>
      <c r="P43" s="3"/>
      <c r="Q43" s="3"/>
      <c r="R43" s="3"/>
      <c r="S43" s="3"/>
      <c r="T43" s="3"/>
      <c r="U43" s="3"/>
      <c r="V43" s="3"/>
      <c r="AD43" s="4"/>
      <c r="AE43" s="2"/>
      <c r="AF43" s="4"/>
      <c r="AG43" s="4"/>
      <c r="AH43" s="4"/>
      <c r="AI43" s="4"/>
      <c r="AJ43" s="4"/>
      <c r="AK43" s="4"/>
      <c r="AL43" s="4"/>
    </row>
    <row r="44" ht="15.75" customHeight="1">
      <c r="A44" s="29"/>
      <c r="B44" s="113">
        <v>45784.0</v>
      </c>
      <c r="C44" s="49" t="s">
        <v>59</v>
      </c>
      <c r="D44" s="49" t="s">
        <v>22</v>
      </c>
      <c r="E44" s="107" t="s">
        <v>34</v>
      </c>
      <c r="F44" s="15">
        <v>13.0</v>
      </c>
      <c r="G44" s="16" t="s">
        <v>24</v>
      </c>
      <c r="H44" s="15">
        <v>9.0</v>
      </c>
      <c r="I44" s="107" t="s">
        <v>68</v>
      </c>
      <c r="J44" s="3"/>
      <c r="K44" s="17">
        <f t="shared" si="1"/>
        <v>2</v>
      </c>
      <c r="L44" s="18">
        <f t="shared" si="2"/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AD44" s="4"/>
      <c r="AE44" s="2"/>
      <c r="AF44" s="4"/>
      <c r="AG44" s="4"/>
      <c r="AH44" s="4"/>
      <c r="AI44" s="4"/>
      <c r="AJ44" s="4"/>
      <c r="AK44" s="4"/>
      <c r="AL44" s="4"/>
    </row>
    <row r="45" ht="15.75" customHeight="1">
      <c r="A45" s="29"/>
      <c r="B45" s="113">
        <v>45784.0</v>
      </c>
      <c r="C45" s="49" t="s">
        <v>59</v>
      </c>
      <c r="D45" s="49" t="s">
        <v>22</v>
      </c>
      <c r="E45" s="107" t="s">
        <v>37</v>
      </c>
      <c r="F45" s="15">
        <v>10.0</v>
      </c>
      <c r="G45" s="16" t="s">
        <v>24</v>
      </c>
      <c r="H45" s="15">
        <v>19.0</v>
      </c>
      <c r="I45" s="107" t="s">
        <v>31</v>
      </c>
      <c r="J45" s="3"/>
      <c r="K45" s="17">
        <f t="shared" si="1"/>
        <v>0</v>
      </c>
      <c r="L45" s="18">
        <f t="shared" si="2"/>
        <v>2</v>
      </c>
      <c r="M45" s="3"/>
      <c r="N45" s="3"/>
      <c r="O45" s="3"/>
      <c r="P45" s="3"/>
      <c r="Q45" s="3"/>
      <c r="R45" s="3"/>
      <c r="S45" s="3"/>
      <c r="T45" s="3"/>
      <c r="U45" s="3"/>
      <c r="V45" s="3"/>
      <c r="AD45" s="4"/>
      <c r="AE45" s="2"/>
      <c r="AF45" s="4"/>
      <c r="AG45" s="4"/>
      <c r="AH45" s="4"/>
      <c r="AI45" s="4"/>
      <c r="AJ45" s="4"/>
      <c r="AK45" s="4"/>
      <c r="AL45" s="4"/>
    </row>
    <row r="46" ht="15.75" customHeight="1">
      <c r="A46" s="29"/>
      <c r="B46" s="113">
        <v>45784.0</v>
      </c>
      <c r="C46" s="49" t="s">
        <v>107</v>
      </c>
      <c r="D46" s="49" t="s">
        <v>22</v>
      </c>
      <c r="E46" s="107" t="s">
        <v>33</v>
      </c>
      <c r="F46" s="15">
        <v>19.0</v>
      </c>
      <c r="G46" s="16" t="s">
        <v>24</v>
      </c>
      <c r="H46" s="15">
        <v>16.0</v>
      </c>
      <c r="I46" s="107" t="s">
        <v>73</v>
      </c>
      <c r="J46" s="3"/>
      <c r="K46" s="17">
        <f t="shared" si="1"/>
        <v>2</v>
      </c>
      <c r="L46" s="18">
        <f t="shared" si="2"/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AD46" s="4"/>
      <c r="AE46" s="2"/>
      <c r="AF46" s="4"/>
      <c r="AG46" s="4"/>
      <c r="AH46" s="4"/>
      <c r="AI46" s="4"/>
      <c r="AJ46" s="4"/>
      <c r="AK46" s="4"/>
      <c r="AL46" s="4"/>
    </row>
    <row r="47" ht="15.75" customHeight="1">
      <c r="A47" s="37"/>
      <c r="B47" s="113">
        <v>45784.0</v>
      </c>
      <c r="C47" s="49" t="s">
        <v>107</v>
      </c>
      <c r="D47" s="49" t="s">
        <v>22</v>
      </c>
      <c r="E47" s="107" t="s">
        <v>32</v>
      </c>
      <c r="F47" s="15">
        <v>1.0</v>
      </c>
      <c r="G47" s="16" t="s">
        <v>24</v>
      </c>
      <c r="H47" s="15">
        <v>14.0</v>
      </c>
      <c r="I47" s="107" t="s">
        <v>103</v>
      </c>
      <c r="J47" s="3"/>
      <c r="K47" s="17">
        <f t="shared" si="1"/>
        <v>0</v>
      </c>
      <c r="L47" s="18">
        <f t="shared" si="2"/>
        <v>2</v>
      </c>
      <c r="M47" s="3"/>
      <c r="N47" s="3"/>
      <c r="O47" s="3"/>
      <c r="P47" s="3"/>
      <c r="Q47" s="3"/>
      <c r="R47" s="3"/>
      <c r="S47" s="3"/>
      <c r="T47" s="3"/>
      <c r="U47" s="3"/>
      <c r="V47" s="3"/>
      <c r="AD47" s="4"/>
      <c r="AE47" s="2"/>
      <c r="AF47" s="4"/>
      <c r="AG47" s="4"/>
      <c r="AH47" s="4"/>
      <c r="AI47" s="4"/>
      <c r="AJ47" s="4"/>
      <c r="AK47" s="4"/>
      <c r="AL47" s="4"/>
    </row>
    <row r="48" ht="15.75" customHeight="1">
      <c r="A48" s="104"/>
      <c r="B48" s="1"/>
      <c r="C48" s="1"/>
      <c r="D48" s="1"/>
      <c r="E48" s="116"/>
      <c r="F48" s="1"/>
      <c r="G48" s="1"/>
      <c r="I48" s="2"/>
      <c r="AD48" s="4"/>
      <c r="AE48" s="2"/>
      <c r="AF48" s="4"/>
      <c r="AG48" s="4"/>
      <c r="AH48" s="4"/>
      <c r="AI48" s="4"/>
      <c r="AJ48" s="4"/>
      <c r="AK48" s="4"/>
      <c r="AL48" s="4"/>
    </row>
    <row r="49" ht="15.75" customHeight="1">
      <c r="A49" s="104"/>
      <c r="B49" s="1"/>
      <c r="C49" s="1"/>
      <c r="D49" s="1"/>
      <c r="E49" s="116"/>
      <c r="F49" s="1"/>
      <c r="G49" s="1"/>
      <c r="I49" s="2"/>
      <c r="AD49" s="4"/>
      <c r="AE49" s="2"/>
      <c r="AF49" s="4"/>
      <c r="AG49" s="4"/>
      <c r="AH49" s="4"/>
      <c r="AI49" s="4"/>
      <c r="AJ49" s="4"/>
      <c r="AK49" s="4"/>
      <c r="AL49" s="4"/>
    </row>
    <row r="50" ht="15.75" customHeight="1">
      <c r="A50" s="104"/>
      <c r="B50" s="1"/>
      <c r="C50" s="1"/>
      <c r="D50" s="1"/>
      <c r="E50" s="116"/>
      <c r="F50" s="1"/>
      <c r="G50" s="1"/>
      <c r="I50" s="2"/>
      <c r="AD50" s="4"/>
      <c r="AE50" s="2"/>
      <c r="AF50" s="4"/>
      <c r="AG50" s="4"/>
      <c r="AH50" s="4"/>
      <c r="AI50" s="4"/>
      <c r="AJ50" s="4"/>
      <c r="AK50" s="4"/>
      <c r="AL50" s="4"/>
    </row>
    <row r="51" ht="15.75" customHeight="1">
      <c r="A51" s="104" t="s">
        <v>110</v>
      </c>
      <c r="I51" s="2"/>
      <c r="AD51" s="4"/>
      <c r="AE51" s="2"/>
      <c r="AF51" s="4"/>
      <c r="AG51" s="4"/>
      <c r="AH51" s="4"/>
      <c r="AI51" s="4"/>
      <c r="AJ51" s="4"/>
      <c r="AK51" s="4"/>
      <c r="AL51" s="4"/>
    </row>
    <row r="52" ht="15.75" customHeight="1">
      <c r="A52" s="105" t="s">
        <v>1</v>
      </c>
      <c r="B52" s="5" t="s">
        <v>2</v>
      </c>
      <c r="C52" s="5" t="s">
        <v>3</v>
      </c>
      <c r="D52" s="5" t="s">
        <v>4</v>
      </c>
      <c r="E52" s="5" t="s">
        <v>5</v>
      </c>
      <c r="F52" s="6" t="s">
        <v>6</v>
      </c>
      <c r="G52" s="7"/>
      <c r="H52" s="8"/>
      <c r="I52" s="5" t="s">
        <v>7</v>
      </c>
      <c r="J52" s="9" t="s">
        <v>8</v>
      </c>
      <c r="K52" s="9" t="s">
        <v>9</v>
      </c>
      <c r="L52" s="9" t="s">
        <v>10</v>
      </c>
      <c r="M52" s="9"/>
      <c r="N52" s="9" t="s">
        <v>11</v>
      </c>
      <c r="O52" s="9" t="s">
        <v>12</v>
      </c>
      <c r="P52" s="9" t="s">
        <v>13</v>
      </c>
      <c r="Q52" s="9" t="s">
        <v>14</v>
      </c>
      <c r="R52" s="9" t="s">
        <v>15</v>
      </c>
      <c r="S52" s="9" t="s">
        <v>16</v>
      </c>
      <c r="T52" s="76" t="s">
        <v>82</v>
      </c>
      <c r="U52" s="76" t="s">
        <v>83</v>
      </c>
      <c r="V52" s="76" t="s">
        <v>84</v>
      </c>
      <c r="W52" s="4"/>
      <c r="X52" s="4"/>
      <c r="Y52" s="4"/>
      <c r="Z52" s="4"/>
      <c r="AA52" s="4"/>
      <c r="AB52" s="4"/>
      <c r="AC52" s="4"/>
      <c r="AD52" s="5" t="s">
        <v>11</v>
      </c>
      <c r="AE52" s="5" t="s">
        <v>12</v>
      </c>
      <c r="AF52" s="5" t="s">
        <v>13</v>
      </c>
      <c r="AG52" s="5" t="s">
        <v>14</v>
      </c>
      <c r="AH52" s="5" t="s">
        <v>15</v>
      </c>
      <c r="AI52" s="5" t="s">
        <v>16</v>
      </c>
      <c r="AJ52" s="77" t="s">
        <v>82</v>
      </c>
      <c r="AK52" s="77" t="s">
        <v>83</v>
      </c>
      <c r="AL52" s="77" t="s">
        <v>84</v>
      </c>
    </row>
    <row r="53" ht="15.75" customHeight="1">
      <c r="A53" s="117">
        <v>1.0</v>
      </c>
      <c r="B53" s="68">
        <v>45609.0</v>
      </c>
      <c r="C53" s="49" t="s">
        <v>77</v>
      </c>
      <c r="D53" s="49" t="s">
        <v>22</v>
      </c>
      <c r="E53" s="14" t="s">
        <v>67</v>
      </c>
      <c r="F53" s="56">
        <v>10.0</v>
      </c>
      <c r="G53" s="16" t="s">
        <v>24</v>
      </c>
      <c r="H53" s="56">
        <v>3.0</v>
      </c>
      <c r="I53" s="118" t="s">
        <v>111</v>
      </c>
      <c r="J53" s="3"/>
      <c r="K53" s="17">
        <f t="shared" ref="K53:K97" si="11">IF(F53="","",IFS(F53&gt;H53,2,F53=H53,1,H53&gt;F53,0,F53="",0))</f>
        <v>2</v>
      </c>
      <c r="L53" s="18">
        <f t="shared" ref="L53:L97" si="12">IF(H53="","",IFS(F53&lt;H53,2,F53=H53,1,H53&lt;F53,0))</f>
        <v>0</v>
      </c>
      <c r="M53" s="3"/>
      <c r="N53" s="18">
        <v>1.0</v>
      </c>
      <c r="O53" s="102" t="s">
        <v>111</v>
      </c>
      <c r="P53" s="18">
        <f t="shared" ref="P53:P62" si="13">SUMIF(E$53:E$97,O53,K$53:K$97)+SUMIF(I$53:I$97,O53,L$53:L$97)</f>
        <v>4</v>
      </c>
      <c r="Q53" s="20">
        <f t="shared" ref="Q53:Q62" si="14">COUNTIFS(E$53:E$97,O53,K$53:K$97,2)+COUNTIFS(I$53:I$97,O53,L$53:L$97,2)</f>
        <v>2</v>
      </c>
      <c r="R53" s="22">
        <f t="shared" ref="R53:R62" si="15">COUNTIFS(E$53:E$97,O53,K$53:K$97,1)+COUNTIFS(I$53:I$97,O53,L$53:L$97,1)</f>
        <v>0</v>
      </c>
      <c r="S53" s="22">
        <f t="shared" ref="S53:S62" si="16">COUNTIFS(E$53:E$97,O53,K$53:K$97,0)+COUNTIFS(I$53:I$97,O53,L$53:L$97,0)</f>
        <v>7</v>
      </c>
      <c r="T53" s="18">
        <f t="shared" ref="T53:T62" si="17">SUMIF(E$53:E$97,O53,F$53:F$97)+SUMIF(I$53:I$97,O53,H$53:H$97)</f>
        <v>39</v>
      </c>
      <c r="U53" s="22">
        <f t="shared" ref="U53:U62" si="18">SUMIF(E$53:E$97,O53,H$53:H$97)+SUMIF(I$53:I$97,O53,F$53:F$97)</f>
        <v>80</v>
      </c>
      <c r="V53" s="18">
        <f t="shared" ref="V53:V62" si="19">T53-U53</f>
        <v>-41</v>
      </c>
      <c r="AD53" s="119" t="s">
        <v>29</v>
      </c>
      <c r="AE53" s="108" t="str">
        <f t="array" ref="AE53:AM62">SORT(O53:X62,2,FALSE,9,FALSE,8,FALSE())</f>
        <v>TI</v>
      </c>
      <c r="AF53" s="26">
        <v>18.0</v>
      </c>
      <c r="AG53" s="26">
        <v>9.0</v>
      </c>
      <c r="AH53" s="27">
        <v>0.0</v>
      </c>
      <c r="AI53" s="27">
        <v>0.0</v>
      </c>
      <c r="AJ53" s="26">
        <v>115.0</v>
      </c>
      <c r="AK53" s="27">
        <v>59.0</v>
      </c>
      <c r="AL53" s="26">
        <v>56.0</v>
      </c>
    </row>
    <row r="54" ht="15.75" customHeight="1">
      <c r="A54" s="29"/>
      <c r="B54" s="68">
        <v>45609.0</v>
      </c>
      <c r="C54" s="49" t="s">
        <v>77</v>
      </c>
      <c r="D54" s="49" t="s">
        <v>22</v>
      </c>
      <c r="E54" s="14" t="s">
        <v>66</v>
      </c>
      <c r="F54" s="56">
        <v>9.0</v>
      </c>
      <c r="G54" s="16" t="s">
        <v>24</v>
      </c>
      <c r="H54" s="56">
        <v>11.0</v>
      </c>
      <c r="I54" s="118" t="s">
        <v>112</v>
      </c>
      <c r="J54" s="3"/>
      <c r="K54" s="17">
        <f t="shared" si="11"/>
        <v>0</v>
      </c>
      <c r="L54" s="18">
        <f t="shared" si="12"/>
        <v>2</v>
      </c>
      <c r="M54" s="3"/>
      <c r="N54" s="18">
        <v>2.0</v>
      </c>
      <c r="O54" s="102" t="s">
        <v>67</v>
      </c>
      <c r="P54" s="18">
        <f t="shared" si="13"/>
        <v>10</v>
      </c>
      <c r="Q54" s="20">
        <f t="shared" si="14"/>
        <v>5</v>
      </c>
      <c r="R54" s="22">
        <f t="shared" si="15"/>
        <v>0</v>
      </c>
      <c r="S54" s="22">
        <f t="shared" si="16"/>
        <v>4</v>
      </c>
      <c r="T54" s="18">
        <f t="shared" si="17"/>
        <v>66</v>
      </c>
      <c r="U54" s="22">
        <f t="shared" si="18"/>
        <v>70</v>
      </c>
      <c r="V54" s="18">
        <f t="shared" si="19"/>
        <v>-4</v>
      </c>
      <c r="AD54" s="119">
        <v>2.0</v>
      </c>
      <c r="AE54" s="108" t="s">
        <v>23</v>
      </c>
      <c r="AF54" s="26">
        <v>16.0</v>
      </c>
      <c r="AG54" s="26">
        <v>8.0</v>
      </c>
      <c r="AH54" s="27">
        <v>0.0</v>
      </c>
      <c r="AI54" s="27">
        <v>1.0</v>
      </c>
      <c r="AJ54" s="26">
        <v>79.0</v>
      </c>
      <c r="AK54" s="27">
        <v>52.0</v>
      </c>
      <c r="AL54" s="26">
        <v>27.0</v>
      </c>
    </row>
    <row r="55" ht="15.75" customHeight="1">
      <c r="A55" s="29"/>
      <c r="B55" s="68">
        <v>45609.0</v>
      </c>
      <c r="C55" s="49" t="s">
        <v>100</v>
      </c>
      <c r="D55" s="49" t="s">
        <v>22</v>
      </c>
      <c r="E55" s="14" t="s">
        <v>23</v>
      </c>
      <c r="F55" s="56">
        <v>9.0</v>
      </c>
      <c r="G55" s="16" t="s">
        <v>24</v>
      </c>
      <c r="H55" s="56">
        <v>4.0</v>
      </c>
      <c r="I55" s="118" t="s">
        <v>64</v>
      </c>
      <c r="J55" s="3"/>
      <c r="K55" s="17">
        <f t="shared" si="11"/>
        <v>2</v>
      </c>
      <c r="L55" s="18">
        <f t="shared" si="12"/>
        <v>0</v>
      </c>
      <c r="M55" s="3"/>
      <c r="N55" s="18">
        <v>3.0</v>
      </c>
      <c r="O55" s="102" t="s">
        <v>66</v>
      </c>
      <c r="P55" s="18">
        <f t="shared" si="13"/>
        <v>8</v>
      </c>
      <c r="Q55" s="20">
        <f t="shared" si="14"/>
        <v>4</v>
      </c>
      <c r="R55" s="22">
        <f t="shared" si="15"/>
        <v>0</v>
      </c>
      <c r="S55" s="22">
        <f t="shared" si="16"/>
        <v>5</v>
      </c>
      <c r="T55" s="18">
        <f t="shared" si="17"/>
        <v>80</v>
      </c>
      <c r="U55" s="22">
        <f t="shared" si="18"/>
        <v>76</v>
      </c>
      <c r="V55" s="18">
        <f t="shared" si="19"/>
        <v>4</v>
      </c>
      <c r="AD55" s="24">
        <v>3.0</v>
      </c>
      <c r="AE55" s="108" t="s">
        <v>64</v>
      </c>
      <c r="AF55" s="26">
        <v>10.0</v>
      </c>
      <c r="AG55" s="26">
        <v>5.0</v>
      </c>
      <c r="AH55" s="27">
        <v>0.0</v>
      </c>
      <c r="AI55" s="27">
        <v>4.0</v>
      </c>
      <c r="AJ55" s="26">
        <v>70.0</v>
      </c>
      <c r="AK55" s="27">
        <v>63.0</v>
      </c>
      <c r="AL55" s="26">
        <v>7.0</v>
      </c>
    </row>
    <row r="56" ht="15.75" customHeight="1">
      <c r="A56" s="29"/>
      <c r="B56" s="68">
        <v>45609.0</v>
      </c>
      <c r="C56" s="49" t="s">
        <v>100</v>
      </c>
      <c r="D56" s="49" t="s">
        <v>22</v>
      </c>
      <c r="E56" s="14" t="s">
        <v>113</v>
      </c>
      <c r="F56" s="56">
        <v>3.0</v>
      </c>
      <c r="G56" s="16" t="s">
        <v>24</v>
      </c>
      <c r="H56" s="56">
        <v>2.0</v>
      </c>
      <c r="I56" s="118" t="s">
        <v>62</v>
      </c>
      <c r="J56" s="3"/>
      <c r="K56" s="17">
        <f t="shared" si="11"/>
        <v>2</v>
      </c>
      <c r="L56" s="18">
        <f t="shared" si="12"/>
        <v>0</v>
      </c>
      <c r="M56" s="3"/>
      <c r="N56" s="18">
        <v>4.0</v>
      </c>
      <c r="O56" s="102" t="s">
        <v>23</v>
      </c>
      <c r="P56" s="18">
        <f t="shared" si="13"/>
        <v>16</v>
      </c>
      <c r="Q56" s="20">
        <f t="shared" si="14"/>
        <v>8</v>
      </c>
      <c r="R56" s="22">
        <f t="shared" si="15"/>
        <v>0</v>
      </c>
      <c r="S56" s="22">
        <f t="shared" si="16"/>
        <v>1</v>
      </c>
      <c r="T56" s="18">
        <f t="shared" si="17"/>
        <v>79</v>
      </c>
      <c r="U56" s="22">
        <f t="shared" si="18"/>
        <v>52</v>
      </c>
      <c r="V56" s="18">
        <f t="shared" si="19"/>
        <v>27</v>
      </c>
      <c r="AD56" s="24">
        <v>4.0</v>
      </c>
      <c r="AE56" s="108" t="s">
        <v>72</v>
      </c>
      <c r="AF56" s="26">
        <v>10.0</v>
      </c>
      <c r="AG56" s="26">
        <v>5.0</v>
      </c>
      <c r="AH56" s="27">
        <v>0.0</v>
      </c>
      <c r="AI56" s="27">
        <v>4.0</v>
      </c>
      <c r="AJ56" s="26">
        <v>72.0</v>
      </c>
      <c r="AK56" s="27">
        <v>69.0</v>
      </c>
      <c r="AL56" s="26">
        <v>3.0</v>
      </c>
    </row>
    <row r="57" ht="15.75" customHeight="1">
      <c r="A57" s="37"/>
      <c r="B57" s="68">
        <v>45609.0</v>
      </c>
      <c r="C57" s="49" t="s">
        <v>101</v>
      </c>
      <c r="D57" s="49" t="s">
        <v>22</v>
      </c>
      <c r="E57" s="14" t="s">
        <v>72</v>
      </c>
      <c r="F57" s="56">
        <v>7.0</v>
      </c>
      <c r="G57" s="16" t="s">
        <v>24</v>
      </c>
      <c r="H57" s="56">
        <v>3.0</v>
      </c>
      <c r="I57" s="118" t="s">
        <v>69</v>
      </c>
      <c r="J57" s="3"/>
      <c r="K57" s="17">
        <f t="shared" si="11"/>
        <v>2</v>
      </c>
      <c r="L57" s="18">
        <f t="shared" si="12"/>
        <v>0</v>
      </c>
      <c r="M57" s="3"/>
      <c r="N57" s="18">
        <v>5.0</v>
      </c>
      <c r="O57" s="102" t="s">
        <v>113</v>
      </c>
      <c r="P57" s="18">
        <f t="shared" si="13"/>
        <v>8</v>
      </c>
      <c r="Q57" s="20">
        <f t="shared" si="14"/>
        <v>4</v>
      </c>
      <c r="R57" s="22">
        <f t="shared" si="15"/>
        <v>0</v>
      </c>
      <c r="S57" s="22">
        <f t="shared" si="16"/>
        <v>5</v>
      </c>
      <c r="T57" s="18">
        <f t="shared" si="17"/>
        <v>50</v>
      </c>
      <c r="U57" s="22">
        <f t="shared" si="18"/>
        <v>59</v>
      </c>
      <c r="V57" s="18">
        <f t="shared" si="19"/>
        <v>-9</v>
      </c>
      <c r="AD57" s="24">
        <v>5.0</v>
      </c>
      <c r="AE57" s="108" t="s">
        <v>67</v>
      </c>
      <c r="AF57" s="26">
        <v>10.0</v>
      </c>
      <c r="AG57" s="26">
        <v>5.0</v>
      </c>
      <c r="AH57" s="27">
        <v>0.0</v>
      </c>
      <c r="AI57" s="27">
        <v>4.0</v>
      </c>
      <c r="AJ57" s="26">
        <v>66.0</v>
      </c>
      <c r="AK57" s="27">
        <v>70.0</v>
      </c>
      <c r="AL57" s="26">
        <v>-4.0</v>
      </c>
    </row>
    <row r="58" ht="15.75" customHeight="1">
      <c r="A58" s="117">
        <v>2.0</v>
      </c>
      <c r="B58" s="68">
        <v>45609.0</v>
      </c>
      <c r="C58" s="49" t="s">
        <v>101</v>
      </c>
      <c r="D58" s="49" t="s">
        <v>22</v>
      </c>
      <c r="E58" s="14" t="s">
        <v>111</v>
      </c>
      <c r="F58" s="56">
        <v>5.0</v>
      </c>
      <c r="G58" s="16" t="s">
        <v>24</v>
      </c>
      <c r="H58" s="56">
        <v>6.0</v>
      </c>
      <c r="I58" s="118" t="s">
        <v>66</v>
      </c>
      <c r="J58" s="3"/>
      <c r="K58" s="17">
        <f t="shared" si="11"/>
        <v>0</v>
      </c>
      <c r="L58" s="18">
        <f t="shared" si="12"/>
        <v>2</v>
      </c>
      <c r="M58" s="3"/>
      <c r="N58" s="18">
        <v>6.0</v>
      </c>
      <c r="O58" s="102" t="s">
        <v>72</v>
      </c>
      <c r="P58" s="18">
        <f t="shared" si="13"/>
        <v>10</v>
      </c>
      <c r="Q58" s="20">
        <f t="shared" si="14"/>
        <v>5</v>
      </c>
      <c r="R58" s="22">
        <f t="shared" si="15"/>
        <v>0</v>
      </c>
      <c r="S58" s="22">
        <f t="shared" si="16"/>
        <v>4</v>
      </c>
      <c r="T58" s="18">
        <f t="shared" si="17"/>
        <v>72</v>
      </c>
      <c r="U58" s="22">
        <f t="shared" si="18"/>
        <v>69</v>
      </c>
      <c r="V58" s="18">
        <f t="shared" si="19"/>
        <v>3</v>
      </c>
      <c r="AD58" s="24">
        <v>6.0</v>
      </c>
      <c r="AE58" s="108" t="s">
        <v>66</v>
      </c>
      <c r="AF58" s="26">
        <v>8.0</v>
      </c>
      <c r="AG58" s="26">
        <v>4.0</v>
      </c>
      <c r="AH58" s="27">
        <v>0.0</v>
      </c>
      <c r="AI58" s="27">
        <v>5.0</v>
      </c>
      <c r="AJ58" s="26">
        <v>80.0</v>
      </c>
      <c r="AK58" s="27">
        <v>76.0</v>
      </c>
      <c r="AL58" s="26">
        <v>4.0</v>
      </c>
    </row>
    <row r="59" ht="15.75" customHeight="1">
      <c r="A59" s="29"/>
      <c r="B59" s="68">
        <v>45609.0</v>
      </c>
      <c r="C59" s="49" t="s">
        <v>58</v>
      </c>
      <c r="D59" s="49" t="s">
        <v>22</v>
      </c>
      <c r="E59" s="14" t="s">
        <v>69</v>
      </c>
      <c r="F59" s="56">
        <v>3.0</v>
      </c>
      <c r="G59" s="16" t="s">
        <v>24</v>
      </c>
      <c r="H59" s="56">
        <v>7.0</v>
      </c>
      <c r="I59" s="118" t="s">
        <v>67</v>
      </c>
      <c r="J59" s="3"/>
      <c r="K59" s="17">
        <f t="shared" si="11"/>
        <v>0</v>
      </c>
      <c r="L59" s="18">
        <f t="shared" si="12"/>
        <v>2</v>
      </c>
      <c r="M59" s="3"/>
      <c r="N59" s="18">
        <v>7.0</v>
      </c>
      <c r="O59" s="102" t="s">
        <v>62</v>
      </c>
      <c r="P59" s="18">
        <f t="shared" si="13"/>
        <v>2</v>
      </c>
      <c r="Q59" s="20">
        <f t="shared" si="14"/>
        <v>1</v>
      </c>
      <c r="R59" s="22">
        <f t="shared" si="15"/>
        <v>0</v>
      </c>
      <c r="S59" s="22">
        <f t="shared" si="16"/>
        <v>8</v>
      </c>
      <c r="T59" s="18">
        <f t="shared" si="17"/>
        <v>79</v>
      </c>
      <c r="U59" s="22">
        <f t="shared" si="18"/>
        <v>111</v>
      </c>
      <c r="V59" s="18">
        <f t="shared" si="19"/>
        <v>-32</v>
      </c>
      <c r="AD59" s="24">
        <v>7.0</v>
      </c>
      <c r="AE59" s="108" t="s">
        <v>113</v>
      </c>
      <c r="AF59" s="26">
        <v>8.0</v>
      </c>
      <c r="AG59" s="26">
        <v>4.0</v>
      </c>
      <c r="AH59" s="27">
        <v>0.0</v>
      </c>
      <c r="AI59" s="27">
        <v>5.0</v>
      </c>
      <c r="AJ59" s="26">
        <v>50.0</v>
      </c>
      <c r="AK59" s="27">
        <v>59.0</v>
      </c>
      <c r="AL59" s="26">
        <v>-9.0</v>
      </c>
    </row>
    <row r="60" ht="15.75" customHeight="1">
      <c r="A60" s="29"/>
      <c r="B60" s="68">
        <v>45609.0</v>
      </c>
      <c r="C60" s="49" t="s">
        <v>58</v>
      </c>
      <c r="D60" s="49" t="s">
        <v>22</v>
      </c>
      <c r="E60" s="118" t="s">
        <v>112</v>
      </c>
      <c r="F60" s="56">
        <v>12.0</v>
      </c>
      <c r="G60" s="16" t="s">
        <v>24</v>
      </c>
      <c r="H60" s="56">
        <v>9.0</v>
      </c>
      <c r="I60" s="118" t="s">
        <v>23</v>
      </c>
      <c r="J60" s="3"/>
      <c r="K60" s="17">
        <f t="shared" si="11"/>
        <v>2</v>
      </c>
      <c r="L60" s="18">
        <f t="shared" si="12"/>
        <v>0</v>
      </c>
      <c r="M60" s="3"/>
      <c r="N60" s="18">
        <v>8.0</v>
      </c>
      <c r="O60" s="102" t="s">
        <v>64</v>
      </c>
      <c r="P60" s="18">
        <f t="shared" si="13"/>
        <v>10</v>
      </c>
      <c r="Q60" s="20">
        <f t="shared" si="14"/>
        <v>5</v>
      </c>
      <c r="R60" s="22">
        <f t="shared" si="15"/>
        <v>0</v>
      </c>
      <c r="S60" s="22">
        <f t="shared" si="16"/>
        <v>4</v>
      </c>
      <c r="T60" s="18">
        <f t="shared" si="17"/>
        <v>70</v>
      </c>
      <c r="U60" s="22">
        <f t="shared" si="18"/>
        <v>63</v>
      </c>
      <c r="V60" s="18">
        <f t="shared" si="19"/>
        <v>7</v>
      </c>
      <c r="AD60" s="24">
        <v>8.0</v>
      </c>
      <c r="AE60" s="108" t="s">
        <v>69</v>
      </c>
      <c r="AF60" s="26">
        <v>4.0</v>
      </c>
      <c r="AG60" s="26">
        <v>2.0</v>
      </c>
      <c r="AH60" s="27">
        <v>0.0</v>
      </c>
      <c r="AI60" s="27">
        <v>7.0</v>
      </c>
      <c r="AJ60" s="26">
        <v>48.0</v>
      </c>
      <c r="AK60" s="27">
        <v>59.0</v>
      </c>
      <c r="AL60" s="26">
        <v>-11.0</v>
      </c>
    </row>
    <row r="61" ht="15.75" customHeight="1">
      <c r="A61" s="29"/>
      <c r="B61" s="113">
        <v>45609.0</v>
      </c>
      <c r="C61" s="49" t="s">
        <v>105</v>
      </c>
      <c r="D61" s="49" t="s">
        <v>22</v>
      </c>
      <c r="E61" s="14" t="s">
        <v>64</v>
      </c>
      <c r="F61" s="56">
        <v>5.0</v>
      </c>
      <c r="G61" s="16" t="s">
        <v>24</v>
      </c>
      <c r="H61" s="56">
        <v>4.0</v>
      </c>
      <c r="I61" s="118" t="s">
        <v>113</v>
      </c>
      <c r="J61" s="3"/>
      <c r="K61" s="17">
        <f t="shared" si="11"/>
        <v>2</v>
      </c>
      <c r="L61" s="18">
        <f t="shared" si="12"/>
        <v>0</v>
      </c>
      <c r="M61" s="3"/>
      <c r="N61" s="36">
        <v>9.0</v>
      </c>
      <c r="O61" s="120" t="s">
        <v>112</v>
      </c>
      <c r="P61" s="18">
        <f t="shared" si="13"/>
        <v>18</v>
      </c>
      <c r="Q61" s="20">
        <f t="shared" si="14"/>
        <v>9</v>
      </c>
      <c r="R61" s="22">
        <f t="shared" si="15"/>
        <v>0</v>
      </c>
      <c r="S61" s="22">
        <f t="shared" si="16"/>
        <v>0</v>
      </c>
      <c r="T61" s="18">
        <f t="shared" si="17"/>
        <v>115</v>
      </c>
      <c r="U61" s="22">
        <f t="shared" si="18"/>
        <v>59</v>
      </c>
      <c r="V61" s="18">
        <f t="shared" si="19"/>
        <v>56</v>
      </c>
      <c r="AD61" s="40">
        <v>9.0</v>
      </c>
      <c r="AE61" s="34" t="s">
        <v>111</v>
      </c>
      <c r="AF61" s="32">
        <v>4.0</v>
      </c>
      <c r="AG61" s="32">
        <v>2.0</v>
      </c>
      <c r="AH61" s="32">
        <v>0.0</v>
      </c>
      <c r="AI61" s="32">
        <v>7.0</v>
      </c>
      <c r="AJ61" s="32">
        <v>39.0</v>
      </c>
      <c r="AK61" s="32">
        <v>80.0</v>
      </c>
      <c r="AL61" s="32">
        <v>-41.0</v>
      </c>
    </row>
    <row r="62" ht="15.75" customHeight="1">
      <c r="A62" s="37"/>
      <c r="B62" s="113">
        <v>45609.0</v>
      </c>
      <c r="C62" s="49" t="s">
        <v>105</v>
      </c>
      <c r="D62" s="49" t="s">
        <v>22</v>
      </c>
      <c r="E62" s="14" t="s">
        <v>62</v>
      </c>
      <c r="F62" s="56">
        <v>11.0</v>
      </c>
      <c r="G62" s="16" t="s">
        <v>24</v>
      </c>
      <c r="H62" s="56">
        <v>16.0</v>
      </c>
      <c r="I62" s="118" t="s">
        <v>72</v>
      </c>
      <c r="J62" s="3"/>
      <c r="K62" s="17">
        <f t="shared" si="11"/>
        <v>0</v>
      </c>
      <c r="L62" s="18">
        <f t="shared" si="12"/>
        <v>2</v>
      </c>
      <c r="M62" s="3"/>
      <c r="N62" s="36">
        <v>10.0</v>
      </c>
      <c r="O62" s="120" t="s">
        <v>69</v>
      </c>
      <c r="P62" s="18">
        <f t="shared" si="13"/>
        <v>4</v>
      </c>
      <c r="Q62" s="20">
        <f t="shared" si="14"/>
        <v>2</v>
      </c>
      <c r="R62" s="22">
        <f t="shared" si="15"/>
        <v>0</v>
      </c>
      <c r="S62" s="22">
        <f t="shared" si="16"/>
        <v>7</v>
      </c>
      <c r="T62" s="18">
        <f t="shared" si="17"/>
        <v>48</v>
      </c>
      <c r="U62" s="22">
        <f t="shared" si="18"/>
        <v>59</v>
      </c>
      <c r="V62" s="18">
        <f t="shared" si="19"/>
        <v>-11</v>
      </c>
      <c r="AD62" s="40">
        <v>10.0</v>
      </c>
      <c r="AE62" s="34" t="s">
        <v>62</v>
      </c>
      <c r="AF62" s="32">
        <v>2.0</v>
      </c>
      <c r="AG62" s="32">
        <v>1.0</v>
      </c>
      <c r="AH62" s="32">
        <v>0.0</v>
      </c>
      <c r="AI62" s="32">
        <v>8.0</v>
      </c>
      <c r="AJ62" s="32">
        <v>79.0</v>
      </c>
      <c r="AK62" s="32">
        <v>111.0</v>
      </c>
      <c r="AL62" s="32">
        <v>-32.0</v>
      </c>
    </row>
    <row r="63" ht="15.75" customHeight="1">
      <c r="A63" s="117">
        <v>3.0</v>
      </c>
      <c r="B63" s="113">
        <v>45630.0</v>
      </c>
      <c r="C63" s="49" t="s">
        <v>91</v>
      </c>
      <c r="D63" s="49" t="s">
        <v>22</v>
      </c>
      <c r="E63" s="14" t="s">
        <v>23</v>
      </c>
      <c r="F63" s="56">
        <v>7.0</v>
      </c>
      <c r="G63" s="16" t="s">
        <v>24</v>
      </c>
      <c r="H63" s="56">
        <v>3.0</v>
      </c>
      <c r="I63" s="118" t="s">
        <v>111</v>
      </c>
      <c r="J63" s="3"/>
      <c r="K63" s="17">
        <f t="shared" si="11"/>
        <v>2</v>
      </c>
      <c r="L63" s="18">
        <f t="shared" si="12"/>
        <v>0</v>
      </c>
      <c r="M63" s="3"/>
      <c r="AD63" s="46" t="s">
        <v>114</v>
      </c>
      <c r="AI63" s="4"/>
      <c r="AJ63" s="4"/>
      <c r="AK63" s="4"/>
      <c r="AL63" s="4"/>
    </row>
    <row r="64" ht="15.75" customHeight="1">
      <c r="A64" s="29"/>
      <c r="B64" s="113">
        <v>45630.0</v>
      </c>
      <c r="C64" s="49" t="s">
        <v>91</v>
      </c>
      <c r="D64" s="49" t="s">
        <v>22</v>
      </c>
      <c r="E64" s="14" t="s">
        <v>66</v>
      </c>
      <c r="F64" s="56">
        <v>9.0</v>
      </c>
      <c r="G64" s="16" t="s">
        <v>24</v>
      </c>
      <c r="H64" s="56">
        <v>6.0</v>
      </c>
      <c r="I64" s="118" t="s">
        <v>67</v>
      </c>
      <c r="J64" s="3"/>
      <c r="K64" s="17">
        <f t="shared" si="11"/>
        <v>2</v>
      </c>
      <c r="L64" s="18">
        <f t="shared" si="12"/>
        <v>0</v>
      </c>
      <c r="M64" s="3"/>
      <c r="AI64" s="4"/>
      <c r="AJ64" s="4"/>
      <c r="AK64" s="4"/>
      <c r="AL64" s="4"/>
    </row>
    <row r="65" ht="15.75" customHeight="1">
      <c r="A65" s="29"/>
      <c r="B65" s="113">
        <v>45630.0</v>
      </c>
      <c r="C65" s="49" t="s">
        <v>99</v>
      </c>
      <c r="D65" s="49" t="s">
        <v>22</v>
      </c>
      <c r="E65" s="14" t="s">
        <v>113</v>
      </c>
      <c r="F65" s="56">
        <v>3.0</v>
      </c>
      <c r="G65" s="16" t="s">
        <v>24</v>
      </c>
      <c r="H65" s="56">
        <v>13.0</v>
      </c>
      <c r="I65" s="118" t="s">
        <v>112</v>
      </c>
      <c r="J65" s="3"/>
      <c r="K65" s="17">
        <f t="shared" si="11"/>
        <v>0</v>
      </c>
      <c r="L65" s="18">
        <f t="shared" si="12"/>
        <v>2</v>
      </c>
      <c r="M65" s="3"/>
      <c r="N65" s="3"/>
      <c r="O65" s="3"/>
      <c r="P65" s="3"/>
      <c r="Q65" s="3"/>
      <c r="R65" s="3"/>
      <c r="S65" s="3"/>
      <c r="T65" s="3"/>
      <c r="U65" s="3"/>
      <c r="V65" s="3"/>
      <c r="AD65" s="48"/>
      <c r="AG65" s="47"/>
      <c r="AI65" s="4"/>
      <c r="AJ65" s="4"/>
      <c r="AK65" s="4"/>
      <c r="AL65" s="4"/>
    </row>
    <row r="66" ht="15.75" customHeight="1">
      <c r="A66" s="29"/>
      <c r="B66" s="113">
        <v>45630.0</v>
      </c>
      <c r="C66" s="49" t="s">
        <v>99</v>
      </c>
      <c r="D66" s="49" t="s">
        <v>22</v>
      </c>
      <c r="E66" s="14" t="s">
        <v>72</v>
      </c>
      <c r="F66" s="56">
        <v>5.0</v>
      </c>
      <c r="G66" s="16" t="s">
        <v>24</v>
      </c>
      <c r="H66" s="56">
        <v>9.0</v>
      </c>
      <c r="I66" s="118" t="s">
        <v>64</v>
      </c>
      <c r="J66" s="3"/>
      <c r="K66" s="17">
        <f t="shared" si="11"/>
        <v>0</v>
      </c>
      <c r="L66" s="18">
        <f t="shared" si="12"/>
        <v>2</v>
      </c>
      <c r="M66" s="3"/>
      <c r="N66" s="3"/>
      <c r="O66" s="3"/>
      <c r="P66" s="3"/>
      <c r="Q66" s="3"/>
      <c r="R66" s="3"/>
      <c r="S66" s="3"/>
      <c r="T66" s="3"/>
      <c r="U66" s="3"/>
      <c r="V66" s="3"/>
      <c r="AI66" s="4"/>
      <c r="AJ66" s="4"/>
      <c r="AK66" s="4"/>
      <c r="AL66" s="4"/>
    </row>
    <row r="67" ht="15.75" customHeight="1">
      <c r="A67" s="37"/>
      <c r="B67" s="113">
        <v>45630.0</v>
      </c>
      <c r="C67" s="49" t="s">
        <v>77</v>
      </c>
      <c r="D67" s="49" t="s">
        <v>22</v>
      </c>
      <c r="E67" s="14" t="s">
        <v>69</v>
      </c>
      <c r="F67" s="56">
        <v>9.0</v>
      </c>
      <c r="G67" s="16" t="s">
        <v>24</v>
      </c>
      <c r="H67" s="56">
        <v>10.0</v>
      </c>
      <c r="I67" s="118" t="s">
        <v>62</v>
      </c>
      <c r="J67" s="3"/>
      <c r="K67" s="17">
        <f t="shared" si="11"/>
        <v>0</v>
      </c>
      <c r="L67" s="18">
        <f t="shared" si="12"/>
        <v>2</v>
      </c>
      <c r="M67" s="3"/>
      <c r="N67" s="3"/>
      <c r="O67" s="3"/>
      <c r="P67" s="3"/>
      <c r="Q67" s="3"/>
      <c r="R67" s="3"/>
      <c r="S67" s="3"/>
      <c r="T67" s="3"/>
      <c r="U67" s="3"/>
      <c r="V67" s="3"/>
      <c r="AI67" s="4"/>
      <c r="AJ67" s="4"/>
      <c r="AK67" s="4"/>
      <c r="AL67" s="4"/>
    </row>
    <row r="68" ht="15.75" customHeight="1">
      <c r="A68" s="117">
        <v>4.0</v>
      </c>
      <c r="B68" s="113">
        <v>45630.0</v>
      </c>
      <c r="C68" s="49" t="s">
        <v>77</v>
      </c>
      <c r="D68" s="49" t="s">
        <v>22</v>
      </c>
      <c r="E68" s="14" t="s">
        <v>111</v>
      </c>
      <c r="F68" s="56">
        <v>2.0</v>
      </c>
      <c r="G68" s="16" t="s">
        <v>24</v>
      </c>
      <c r="H68" s="56">
        <v>6.0</v>
      </c>
      <c r="I68" s="118" t="s">
        <v>113</v>
      </c>
      <c r="J68" s="50"/>
      <c r="K68" s="17">
        <f t="shared" si="11"/>
        <v>0</v>
      </c>
      <c r="L68" s="18">
        <f t="shared" si="12"/>
        <v>2</v>
      </c>
      <c r="M68" s="3"/>
      <c r="N68" s="3"/>
      <c r="O68" s="3"/>
      <c r="P68" s="3"/>
      <c r="R68" s="3"/>
      <c r="S68" s="3"/>
      <c r="T68" s="3"/>
      <c r="U68" s="3"/>
      <c r="V68" s="3"/>
      <c r="AI68" s="4"/>
      <c r="AJ68" s="4"/>
      <c r="AK68" s="4"/>
      <c r="AL68" s="4"/>
    </row>
    <row r="69" ht="15.75" customHeight="1">
      <c r="A69" s="29"/>
      <c r="B69" s="113">
        <v>45630.0</v>
      </c>
      <c r="C69" s="49" t="s">
        <v>100</v>
      </c>
      <c r="D69" s="49" t="s">
        <v>22</v>
      </c>
      <c r="E69" s="14" t="s">
        <v>67</v>
      </c>
      <c r="F69" s="56">
        <v>4.0</v>
      </c>
      <c r="G69" s="16" t="s">
        <v>24</v>
      </c>
      <c r="H69" s="56">
        <v>10.0</v>
      </c>
      <c r="I69" s="118" t="s">
        <v>23</v>
      </c>
      <c r="J69" s="3"/>
      <c r="K69" s="17">
        <f t="shared" si="11"/>
        <v>0</v>
      </c>
      <c r="L69" s="18">
        <f t="shared" si="12"/>
        <v>2</v>
      </c>
      <c r="M69" s="3"/>
      <c r="N69" s="3"/>
      <c r="O69" s="3"/>
      <c r="P69" s="3"/>
      <c r="Q69" s="3"/>
      <c r="R69" s="3"/>
      <c r="S69" s="3"/>
      <c r="T69" s="3"/>
      <c r="U69" s="3"/>
      <c r="V69" s="3"/>
      <c r="AI69" s="4"/>
      <c r="AJ69" s="4"/>
      <c r="AK69" s="4"/>
      <c r="AL69" s="4"/>
    </row>
    <row r="70" ht="15.75" customHeight="1">
      <c r="A70" s="29"/>
      <c r="B70" s="113">
        <v>45630.0</v>
      </c>
      <c r="C70" s="49" t="s">
        <v>100</v>
      </c>
      <c r="D70" s="49" t="s">
        <v>22</v>
      </c>
      <c r="E70" s="14" t="s">
        <v>66</v>
      </c>
      <c r="F70" s="56">
        <v>6.0</v>
      </c>
      <c r="G70" s="16" t="s">
        <v>24</v>
      </c>
      <c r="H70" s="56">
        <v>8.0</v>
      </c>
      <c r="I70" s="118" t="s">
        <v>69</v>
      </c>
      <c r="J70" s="3"/>
      <c r="K70" s="17">
        <f t="shared" si="11"/>
        <v>0</v>
      </c>
      <c r="L70" s="18">
        <f t="shared" si="12"/>
        <v>2</v>
      </c>
      <c r="M70" s="3"/>
      <c r="N70" s="3"/>
      <c r="O70" s="3"/>
      <c r="P70" s="3"/>
      <c r="Q70" s="3"/>
      <c r="R70" s="3"/>
      <c r="S70" s="3"/>
      <c r="T70" s="3"/>
      <c r="U70" s="3"/>
      <c r="V70" s="3"/>
      <c r="AI70" s="4"/>
      <c r="AJ70" s="4"/>
      <c r="AK70" s="4"/>
      <c r="AL70" s="4"/>
    </row>
    <row r="71" ht="15.75" customHeight="1">
      <c r="A71" s="29"/>
      <c r="B71" s="113">
        <v>45630.0</v>
      </c>
      <c r="C71" s="49" t="s">
        <v>101</v>
      </c>
      <c r="D71" s="49" t="s">
        <v>22</v>
      </c>
      <c r="E71" s="118" t="s">
        <v>112</v>
      </c>
      <c r="F71" s="56">
        <v>18.0</v>
      </c>
      <c r="G71" s="16" t="s">
        <v>24</v>
      </c>
      <c r="H71" s="56">
        <v>7.0</v>
      </c>
      <c r="I71" s="118" t="s">
        <v>72</v>
      </c>
      <c r="J71" s="3"/>
      <c r="K71" s="17">
        <f t="shared" si="11"/>
        <v>2</v>
      </c>
      <c r="L71" s="18">
        <f t="shared" si="12"/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AI71" s="4"/>
      <c r="AJ71" s="4"/>
      <c r="AK71" s="4"/>
      <c r="AL71" s="4"/>
    </row>
    <row r="72" ht="15.75" customHeight="1">
      <c r="A72" s="37"/>
      <c r="B72" s="113">
        <v>45630.0</v>
      </c>
      <c r="C72" s="49" t="s">
        <v>101</v>
      </c>
      <c r="D72" s="49" t="s">
        <v>22</v>
      </c>
      <c r="E72" s="14" t="s">
        <v>64</v>
      </c>
      <c r="F72" s="56">
        <v>13.0</v>
      </c>
      <c r="G72" s="16" t="s">
        <v>24</v>
      </c>
      <c r="H72" s="56">
        <v>11.0</v>
      </c>
      <c r="I72" s="118" t="s">
        <v>62</v>
      </c>
      <c r="J72" s="3"/>
      <c r="K72" s="17">
        <f t="shared" si="11"/>
        <v>2</v>
      </c>
      <c r="L72" s="18">
        <f t="shared" si="12"/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AI72" s="4"/>
      <c r="AJ72" s="4"/>
      <c r="AK72" s="4"/>
      <c r="AL72" s="4"/>
    </row>
    <row r="73" ht="15.75" customHeight="1">
      <c r="A73" s="117">
        <v>5.0</v>
      </c>
      <c r="B73" s="113">
        <v>45712.0</v>
      </c>
      <c r="C73" s="49" t="s">
        <v>58</v>
      </c>
      <c r="D73" s="115" t="s">
        <v>108</v>
      </c>
      <c r="E73" s="14" t="s">
        <v>72</v>
      </c>
      <c r="F73" s="56">
        <v>17.0</v>
      </c>
      <c r="G73" s="16" t="s">
        <v>24</v>
      </c>
      <c r="H73" s="56">
        <v>3.0</v>
      </c>
      <c r="I73" s="118" t="s">
        <v>111</v>
      </c>
      <c r="J73" s="3"/>
      <c r="K73" s="17">
        <f t="shared" si="11"/>
        <v>2</v>
      </c>
      <c r="L73" s="18">
        <f t="shared" si="12"/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AD73" s="4"/>
      <c r="AE73" s="2"/>
      <c r="AF73" s="4"/>
      <c r="AG73" s="4"/>
      <c r="AH73" s="4"/>
      <c r="AI73" s="4"/>
      <c r="AJ73" s="4"/>
      <c r="AK73" s="4"/>
      <c r="AL73" s="4"/>
    </row>
    <row r="74" ht="15.75" customHeight="1">
      <c r="A74" s="29"/>
      <c r="B74" s="113">
        <v>45712.0</v>
      </c>
      <c r="C74" s="49" t="s">
        <v>58</v>
      </c>
      <c r="D74" s="115" t="s">
        <v>108</v>
      </c>
      <c r="E74" s="14" t="s">
        <v>113</v>
      </c>
      <c r="F74" s="56">
        <v>7.0</v>
      </c>
      <c r="G74" s="16" t="s">
        <v>24</v>
      </c>
      <c r="H74" s="56">
        <v>8.0</v>
      </c>
      <c r="I74" s="118" t="s">
        <v>67</v>
      </c>
      <c r="J74" s="3"/>
      <c r="K74" s="17">
        <f t="shared" si="11"/>
        <v>0</v>
      </c>
      <c r="L74" s="18">
        <f t="shared" si="12"/>
        <v>2</v>
      </c>
      <c r="M74" s="3"/>
      <c r="N74" s="3"/>
      <c r="O74" s="3"/>
      <c r="P74" s="3"/>
      <c r="Q74" s="3"/>
      <c r="R74" s="3"/>
      <c r="S74" s="3"/>
      <c r="T74" s="3"/>
      <c r="U74" s="3"/>
      <c r="V74" s="3"/>
      <c r="AD74" s="4"/>
      <c r="AE74" s="2"/>
      <c r="AF74" s="4"/>
      <c r="AG74" s="4"/>
      <c r="AH74" s="4"/>
      <c r="AI74" s="4"/>
      <c r="AJ74" s="4"/>
      <c r="AK74" s="4"/>
      <c r="AL74" s="4"/>
    </row>
    <row r="75" ht="15.75" customHeight="1">
      <c r="A75" s="29"/>
      <c r="B75" s="113">
        <v>45712.0</v>
      </c>
      <c r="C75" s="49" t="s">
        <v>105</v>
      </c>
      <c r="D75" s="115" t="s">
        <v>108</v>
      </c>
      <c r="E75" s="14" t="s">
        <v>23</v>
      </c>
      <c r="F75" s="56">
        <v>9.0</v>
      </c>
      <c r="G75" s="16" t="s">
        <v>24</v>
      </c>
      <c r="H75" s="56">
        <v>8.0</v>
      </c>
      <c r="I75" s="118" t="s">
        <v>66</v>
      </c>
      <c r="J75" s="3"/>
      <c r="K75" s="17">
        <f t="shared" si="11"/>
        <v>2</v>
      </c>
      <c r="L75" s="18">
        <f t="shared" si="12"/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AD75" s="4"/>
      <c r="AE75" s="2"/>
      <c r="AF75" s="4"/>
      <c r="AG75" s="4"/>
      <c r="AH75" s="4"/>
      <c r="AI75" s="4"/>
      <c r="AJ75" s="4"/>
      <c r="AK75" s="4"/>
      <c r="AL75" s="4"/>
    </row>
    <row r="76" ht="15.75" customHeight="1">
      <c r="A76" s="29"/>
      <c r="B76" s="113">
        <v>45712.0</v>
      </c>
      <c r="C76" s="49" t="s">
        <v>105</v>
      </c>
      <c r="D76" s="115" t="s">
        <v>108</v>
      </c>
      <c r="E76" s="14" t="s">
        <v>62</v>
      </c>
      <c r="F76" s="56">
        <v>10.0</v>
      </c>
      <c r="G76" s="16" t="s">
        <v>24</v>
      </c>
      <c r="H76" s="56">
        <v>19.0</v>
      </c>
      <c r="I76" s="118" t="s">
        <v>112</v>
      </c>
      <c r="J76" s="3"/>
      <c r="K76" s="17">
        <f t="shared" si="11"/>
        <v>0</v>
      </c>
      <c r="L76" s="18">
        <f t="shared" si="12"/>
        <v>2</v>
      </c>
      <c r="M76" s="3"/>
      <c r="N76" s="3"/>
      <c r="O76" s="3"/>
      <c r="P76" s="3"/>
      <c r="Q76" s="3"/>
      <c r="R76" s="3"/>
      <c r="S76" s="3"/>
      <c r="T76" s="3"/>
      <c r="U76" s="3"/>
      <c r="V76" s="3"/>
      <c r="AD76" s="4"/>
      <c r="AE76" s="2"/>
      <c r="AF76" s="4"/>
      <c r="AG76" s="4"/>
      <c r="AH76" s="4"/>
      <c r="AI76" s="4"/>
      <c r="AJ76" s="4"/>
      <c r="AK76" s="4"/>
      <c r="AL76" s="4"/>
    </row>
    <row r="77" ht="15.75" customHeight="1">
      <c r="A77" s="37"/>
      <c r="B77" s="113">
        <v>45712.0</v>
      </c>
      <c r="C77" s="49" t="s">
        <v>106</v>
      </c>
      <c r="D77" s="115" t="s">
        <v>108</v>
      </c>
      <c r="E77" s="14" t="s">
        <v>69</v>
      </c>
      <c r="F77" s="56">
        <v>4.0</v>
      </c>
      <c r="G77" s="16" t="s">
        <v>24</v>
      </c>
      <c r="H77" s="56">
        <v>11.0</v>
      </c>
      <c r="I77" s="118" t="s">
        <v>64</v>
      </c>
      <c r="J77" s="3"/>
      <c r="K77" s="17">
        <f t="shared" si="11"/>
        <v>0</v>
      </c>
      <c r="L77" s="18">
        <f t="shared" si="12"/>
        <v>2</v>
      </c>
      <c r="M77" s="3"/>
      <c r="N77" s="3"/>
      <c r="O77" s="3"/>
      <c r="P77" s="3"/>
      <c r="Q77" s="3"/>
      <c r="R77" s="3"/>
      <c r="S77" s="3"/>
      <c r="T77" s="3"/>
      <c r="U77" s="3"/>
      <c r="V77" s="3"/>
      <c r="AD77" s="4"/>
      <c r="AE77" s="2"/>
      <c r="AF77" s="4"/>
      <c r="AG77" s="4"/>
      <c r="AH77" s="4"/>
      <c r="AI77" s="4"/>
      <c r="AJ77" s="4"/>
      <c r="AK77" s="4"/>
      <c r="AL77" s="4"/>
    </row>
    <row r="78" ht="15.75" customHeight="1">
      <c r="A78" s="117">
        <v>6.0</v>
      </c>
      <c r="B78" s="113">
        <v>45712.0</v>
      </c>
      <c r="C78" s="49" t="s">
        <v>106</v>
      </c>
      <c r="D78" s="115" t="s">
        <v>108</v>
      </c>
      <c r="E78" s="14" t="s">
        <v>111</v>
      </c>
      <c r="F78" s="56">
        <v>11.0</v>
      </c>
      <c r="G78" s="16" t="s">
        <v>24</v>
      </c>
      <c r="H78" s="56">
        <v>10.0</v>
      </c>
      <c r="I78" s="118" t="s">
        <v>62</v>
      </c>
      <c r="J78" s="3"/>
      <c r="K78" s="17">
        <f t="shared" si="11"/>
        <v>2</v>
      </c>
      <c r="L78" s="18">
        <f t="shared" si="12"/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AD78" s="4"/>
      <c r="AE78" s="2"/>
      <c r="AF78" s="4"/>
      <c r="AG78" s="4"/>
      <c r="AH78" s="4"/>
      <c r="AI78" s="4"/>
      <c r="AJ78" s="4"/>
      <c r="AK78" s="4"/>
      <c r="AL78" s="4"/>
    </row>
    <row r="79" ht="15.75" customHeight="1">
      <c r="A79" s="29"/>
      <c r="B79" s="113">
        <v>45712.0</v>
      </c>
      <c r="C79" s="49" t="s">
        <v>59</v>
      </c>
      <c r="D79" s="115" t="s">
        <v>108</v>
      </c>
      <c r="E79" s="14" t="s">
        <v>67</v>
      </c>
      <c r="F79" s="56">
        <v>4.0</v>
      </c>
      <c r="G79" s="16" t="s">
        <v>24</v>
      </c>
      <c r="H79" s="56">
        <v>6.0</v>
      </c>
      <c r="I79" s="118" t="s">
        <v>72</v>
      </c>
      <c r="J79" s="3"/>
      <c r="K79" s="17">
        <f t="shared" si="11"/>
        <v>0</v>
      </c>
      <c r="L79" s="18">
        <f t="shared" si="12"/>
        <v>2</v>
      </c>
      <c r="M79" s="3"/>
      <c r="N79" s="3"/>
      <c r="O79" s="3"/>
      <c r="P79" s="3"/>
      <c r="Q79" s="3"/>
      <c r="R79" s="3"/>
      <c r="S79" s="3"/>
      <c r="T79" s="3"/>
      <c r="U79" s="3"/>
      <c r="V79" s="3"/>
      <c r="AD79" s="4"/>
      <c r="AE79" s="2"/>
      <c r="AF79" s="4"/>
      <c r="AG79" s="4"/>
      <c r="AH79" s="4"/>
      <c r="AI79" s="4"/>
      <c r="AJ79" s="4"/>
      <c r="AK79" s="4"/>
      <c r="AL79" s="4"/>
    </row>
    <row r="80" ht="15.75" customHeight="1">
      <c r="A80" s="29"/>
      <c r="B80" s="113">
        <v>45712.0</v>
      </c>
      <c r="C80" s="49" t="s">
        <v>59</v>
      </c>
      <c r="D80" s="115" t="s">
        <v>108</v>
      </c>
      <c r="E80" s="14" t="s">
        <v>66</v>
      </c>
      <c r="F80" s="56">
        <v>12.0</v>
      </c>
      <c r="G80" s="16" t="s">
        <v>24</v>
      </c>
      <c r="H80" s="56">
        <v>11.0</v>
      </c>
      <c r="I80" s="118" t="s">
        <v>113</v>
      </c>
      <c r="J80" s="3"/>
      <c r="K80" s="17">
        <f t="shared" si="11"/>
        <v>2</v>
      </c>
      <c r="L80" s="18">
        <f t="shared" si="12"/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AD80" s="4"/>
      <c r="AE80" s="2"/>
      <c r="AF80" s="4"/>
      <c r="AG80" s="4"/>
      <c r="AH80" s="4"/>
      <c r="AI80" s="4"/>
      <c r="AJ80" s="4"/>
      <c r="AK80" s="4"/>
      <c r="AL80" s="4"/>
    </row>
    <row r="81" ht="15.75" customHeight="1">
      <c r="A81" s="29"/>
      <c r="B81" s="113">
        <v>45712.0</v>
      </c>
      <c r="C81" s="49" t="s">
        <v>107</v>
      </c>
      <c r="D81" s="115" t="s">
        <v>108</v>
      </c>
      <c r="E81" s="14" t="s">
        <v>23</v>
      </c>
      <c r="F81" s="56">
        <v>6.0</v>
      </c>
      <c r="G81" s="16" t="s">
        <v>24</v>
      </c>
      <c r="H81" s="56">
        <v>4.0</v>
      </c>
      <c r="I81" s="118" t="s">
        <v>69</v>
      </c>
      <c r="K81" s="17">
        <f t="shared" si="11"/>
        <v>2</v>
      </c>
      <c r="L81" s="18">
        <f t="shared" si="12"/>
        <v>0</v>
      </c>
      <c r="AD81" s="4"/>
      <c r="AE81" s="2"/>
      <c r="AF81" s="4"/>
      <c r="AG81" s="4"/>
      <c r="AH81" s="4"/>
      <c r="AI81" s="4"/>
      <c r="AJ81" s="4"/>
      <c r="AK81" s="4"/>
      <c r="AL81" s="4"/>
    </row>
    <row r="82" ht="15.75" customHeight="1">
      <c r="A82" s="37"/>
      <c r="B82" s="113">
        <v>45712.0</v>
      </c>
      <c r="C82" s="49" t="s">
        <v>107</v>
      </c>
      <c r="D82" s="115" t="s">
        <v>108</v>
      </c>
      <c r="E82" s="118" t="s">
        <v>112</v>
      </c>
      <c r="F82" s="56">
        <v>10.0</v>
      </c>
      <c r="G82" s="16" t="s">
        <v>24</v>
      </c>
      <c r="H82" s="56">
        <v>6.0</v>
      </c>
      <c r="I82" s="118" t="s">
        <v>64</v>
      </c>
      <c r="K82" s="17">
        <f t="shared" si="11"/>
        <v>2</v>
      </c>
      <c r="L82" s="18">
        <f t="shared" si="12"/>
        <v>0</v>
      </c>
      <c r="AD82" s="4"/>
      <c r="AE82" s="2"/>
      <c r="AF82" s="4"/>
      <c r="AG82" s="4"/>
      <c r="AH82" s="4"/>
      <c r="AI82" s="4"/>
      <c r="AJ82" s="4"/>
      <c r="AK82" s="4"/>
      <c r="AL82" s="4"/>
    </row>
    <row r="83" ht="15.75" customHeight="1">
      <c r="A83" s="117">
        <v>7.0</v>
      </c>
      <c r="B83" s="113">
        <v>45735.0</v>
      </c>
      <c r="C83" s="49" t="s">
        <v>99</v>
      </c>
      <c r="D83" s="49" t="s">
        <v>22</v>
      </c>
      <c r="E83" s="14" t="s">
        <v>64</v>
      </c>
      <c r="F83" s="56">
        <v>6.0</v>
      </c>
      <c r="G83" s="16" t="s">
        <v>24</v>
      </c>
      <c r="H83" s="56">
        <v>7.0</v>
      </c>
      <c r="I83" s="118" t="s">
        <v>111</v>
      </c>
      <c r="K83" s="17">
        <f t="shared" si="11"/>
        <v>0</v>
      </c>
      <c r="L83" s="18">
        <f t="shared" si="12"/>
        <v>2</v>
      </c>
    </row>
    <row r="84" ht="15.75" customHeight="1">
      <c r="A84" s="29"/>
      <c r="B84" s="113">
        <v>45735.0</v>
      </c>
      <c r="C84" s="49" t="s">
        <v>99</v>
      </c>
      <c r="D84" s="49" t="s">
        <v>22</v>
      </c>
      <c r="E84" s="14" t="s">
        <v>62</v>
      </c>
      <c r="F84" s="56">
        <v>9.0</v>
      </c>
      <c r="G84" s="16" t="s">
        <v>24</v>
      </c>
      <c r="H84" s="56">
        <v>12.0</v>
      </c>
      <c r="I84" s="118" t="s">
        <v>67</v>
      </c>
      <c r="K84" s="17">
        <f t="shared" si="11"/>
        <v>0</v>
      </c>
      <c r="L84" s="18">
        <f t="shared" si="12"/>
        <v>2</v>
      </c>
    </row>
    <row r="85" ht="15.75" customHeight="1">
      <c r="A85" s="29"/>
      <c r="B85" s="113">
        <v>45735.0</v>
      </c>
      <c r="C85" s="49" t="s">
        <v>77</v>
      </c>
      <c r="D85" s="49" t="s">
        <v>22</v>
      </c>
      <c r="E85" s="14" t="s">
        <v>72</v>
      </c>
      <c r="F85" s="56">
        <v>10.0</v>
      </c>
      <c r="G85" s="16" t="s">
        <v>24</v>
      </c>
      <c r="H85" s="56">
        <v>9.0</v>
      </c>
      <c r="I85" s="118" t="s">
        <v>66</v>
      </c>
      <c r="K85" s="17">
        <f t="shared" si="11"/>
        <v>2</v>
      </c>
      <c r="L85" s="18">
        <f t="shared" si="12"/>
        <v>0</v>
      </c>
    </row>
    <row r="86" ht="15.75" customHeight="1">
      <c r="A86" s="29"/>
      <c r="B86" s="113">
        <v>45735.0</v>
      </c>
      <c r="C86" s="49" t="s">
        <v>77</v>
      </c>
      <c r="D86" s="49" t="s">
        <v>22</v>
      </c>
      <c r="E86" s="14" t="s">
        <v>113</v>
      </c>
      <c r="F86" s="56">
        <v>6.0</v>
      </c>
      <c r="G86" s="16" t="s">
        <v>24</v>
      </c>
      <c r="H86" s="56">
        <v>13.0</v>
      </c>
      <c r="I86" s="118" t="s">
        <v>23</v>
      </c>
      <c r="K86" s="17">
        <f t="shared" si="11"/>
        <v>0</v>
      </c>
      <c r="L86" s="18">
        <f t="shared" si="12"/>
        <v>2</v>
      </c>
    </row>
    <row r="87" ht="15.75" customHeight="1">
      <c r="A87" s="37"/>
      <c r="B87" s="113">
        <v>45735.0</v>
      </c>
      <c r="C87" s="49" t="s">
        <v>100</v>
      </c>
      <c r="D87" s="49" t="s">
        <v>22</v>
      </c>
      <c r="E87" s="14" t="s">
        <v>69</v>
      </c>
      <c r="F87" s="56">
        <v>5.0</v>
      </c>
      <c r="G87" s="16" t="s">
        <v>24</v>
      </c>
      <c r="H87" s="56">
        <v>8.0</v>
      </c>
      <c r="I87" s="118" t="s">
        <v>112</v>
      </c>
      <c r="K87" s="17">
        <f t="shared" si="11"/>
        <v>0</v>
      </c>
      <c r="L87" s="18">
        <f t="shared" si="12"/>
        <v>2</v>
      </c>
    </row>
    <row r="88" ht="15.75" customHeight="1">
      <c r="A88" s="117">
        <v>8.0</v>
      </c>
      <c r="B88" s="113">
        <v>45735.0</v>
      </c>
      <c r="C88" s="49" t="s">
        <v>101</v>
      </c>
      <c r="D88" s="49" t="s">
        <v>22</v>
      </c>
      <c r="E88" s="14" t="s">
        <v>111</v>
      </c>
      <c r="F88" s="56">
        <v>5.0</v>
      </c>
      <c r="G88" s="16" t="s">
        <v>24</v>
      </c>
      <c r="H88" s="56">
        <v>9.0</v>
      </c>
      <c r="I88" s="118" t="s">
        <v>112</v>
      </c>
      <c r="K88" s="17">
        <f t="shared" si="11"/>
        <v>0</v>
      </c>
      <c r="L88" s="18">
        <f t="shared" si="12"/>
        <v>2</v>
      </c>
    </row>
    <row r="89" ht="15.75" customHeight="1">
      <c r="A89" s="29"/>
      <c r="B89" s="113">
        <v>45735.0</v>
      </c>
      <c r="C89" s="49" t="s">
        <v>100</v>
      </c>
      <c r="D89" s="49" t="s">
        <v>22</v>
      </c>
      <c r="E89" s="14" t="s">
        <v>67</v>
      </c>
      <c r="F89" s="56">
        <v>10.0</v>
      </c>
      <c r="G89" s="16" t="s">
        <v>24</v>
      </c>
      <c r="H89" s="56">
        <v>8.0</v>
      </c>
      <c r="I89" s="118" t="s">
        <v>64</v>
      </c>
      <c r="K89" s="17">
        <f t="shared" si="11"/>
        <v>2</v>
      </c>
      <c r="L89" s="18">
        <f t="shared" si="12"/>
        <v>0</v>
      </c>
    </row>
    <row r="90" ht="15.75" customHeight="1">
      <c r="A90" s="29"/>
      <c r="B90" s="113">
        <v>45735.0</v>
      </c>
      <c r="C90" s="49" t="s">
        <v>101</v>
      </c>
      <c r="D90" s="49" t="s">
        <v>22</v>
      </c>
      <c r="E90" s="14" t="s">
        <v>66</v>
      </c>
      <c r="F90" s="56">
        <v>18.0</v>
      </c>
      <c r="G90" s="16" t="s">
        <v>24</v>
      </c>
      <c r="H90" s="56">
        <v>8.0</v>
      </c>
      <c r="I90" s="118" t="s">
        <v>62</v>
      </c>
      <c r="K90" s="17">
        <f t="shared" si="11"/>
        <v>2</v>
      </c>
      <c r="L90" s="18">
        <f t="shared" si="12"/>
        <v>0</v>
      </c>
    </row>
    <row r="91" ht="15.75" customHeight="1">
      <c r="A91" s="29"/>
      <c r="B91" s="113">
        <v>45735.0</v>
      </c>
      <c r="C91" s="49" t="s">
        <v>58</v>
      </c>
      <c r="D91" s="49" t="s">
        <v>22</v>
      </c>
      <c r="E91" s="14" t="s">
        <v>23</v>
      </c>
      <c r="F91" s="56">
        <v>6.0</v>
      </c>
      <c r="G91" s="16" t="s">
        <v>24</v>
      </c>
      <c r="H91" s="56">
        <v>3.0</v>
      </c>
      <c r="I91" s="118" t="s">
        <v>72</v>
      </c>
      <c r="K91" s="17">
        <f t="shared" si="11"/>
        <v>2</v>
      </c>
      <c r="L91" s="18">
        <f t="shared" si="12"/>
        <v>0</v>
      </c>
    </row>
    <row r="92" ht="15.75" customHeight="1">
      <c r="A92" s="37"/>
      <c r="B92" s="113">
        <v>45735.0</v>
      </c>
      <c r="C92" s="49" t="s">
        <v>58</v>
      </c>
      <c r="D92" s="49" t="s">
        <v>22</v>
      </c>
      <c r="E92" s="14" t="s">
        <v>113</v>
      </c>
      <c r="F92" s="56">
        <v>4.0</v>
      </c>
      <c r="G92" s="16" t="s">
        <v>24</v>
      </c>
      <c r="H92" s="56">
        <v>3.0</v>
      </c>
      <c r="I92" s="118" t="s">
        <v>69</v>
      </c>
      <c r="K92" s="17">
        <f t="shared" si="11"/>
        <v>2</v>
      </c>
      <c r="L92" s="18">
        <f t="shared" si="12"/>
        <v>0</v>
      </c>
    </row>
    <row r="93" ht="15.75" customHeight="1">
      <c r="A93" s="117">
        <v>9.0</v>
      </c>
      <c r="B93" s="113">
        <v>45784.0</v>
      </c>
      <c r="C93" s="49" t="s">
        <v>101</v>
      </c>
      <c r="D93" s="49" t="s">
        <v>22</v>
      </c>
      <c r="E93" s="14" t="s">
        <v>69</v>
      </c>
      <c r="F93" s="56">
        <v>9.0</v>
      </c>
      <c r="G93" s="16" t="s">
        <v>24</v>
      </c>
      <c r="H93" s="56">
        <v>0.0</v>
      </c>
      <c r="I93" s="118" t="s">
        <v>111</v>
      </c>
      <c r="K93" s="17">
        <f t="shared" si="11"/>
        <v>2</v>
      </c>
      <c r="L93" s="18">
        <f t="shared" si="12"/>
        <v>0</v>
      </c>
    </row>
    <row r="94" ht="15.75" customHeight="1">
      <c r="A94" s="29"/>
      <c r="B94" s="113">
        <v>45784.0</v>
      </c>
      <c r="C94" s="49" t="s">
        <v>58</v>
      </c>
      <c r="D94" s="49" t="s">
        <v>22</v>
      </c>
      <c r="E94" s="14" t="s">
        <v>112</v>
      </c>
      <c r="F94" s="56">
        <v>15.0</v>
      </c>
      <c r="G94" s="16" t="s">
        <v>24</v>
      </c>
      <c r="H94" s="56">
        <v>5.0</v>
      </c>
      <c r="I94" s="118" t="s">
        <v>67</v>
      </c>
      <c r="K94" s="17">
        <f t="shared" si="11"/>
        <v>2</v>
      </c>
      <c r="L94" s="18">
        <f t="shared" si="12"/>
        <v>0</v>
      </c>
    </row>
    <row r="95" ht="15.75" customHeight="1">
      <c r="A95" s="29"/>
      <c r="B95" s="113">
        <v>45784.0</v>
      </c>
      <c r="C95" s="49" t="s">
        <v>58</v>
      </c>
      <c r="D95" s="49" t="s">
        <v>22</v>
      </c>
      <c r="E95" s="14" t="s">
        <v>64</v>
      </c>
      <c r="F95" s="56">
        <v>8.0</v>
      </c>
      <c r="G95" s="16" t="s">
        <v>24</v>
      </c>
      <c r="H95" s="56">
        <v>3.0</v>
      </c>
      <c r="I95" s="118" t="s">
        <v>66</v>
      </c>
      <c r="K95" s="17">
        <f t="shared" si="11"/>
        <v>2</v>
      </c>
      <c r="L95" s="18">
        <f t="shared" si="12"/>
        <v>0</v>
      </c>
    </row>
    <row r="96" ht="15.75" customHeight="1">
      <c r="A96" s="29"/>
      <c r="B96" s="113">
        <v>45784.0</v>
      </c>
      <c r="C96" s="49" t="s">
        <v>100</v>
      </c>
      <c r="D96" s="49" t="s">
        <v>22</v>
      </c>
      <c r="E96" s="14" t="s">
        <v>62</v>
      </c>
      <c r="F96" s="56">
        <v>8.0</v>
      </c>
      <c r="G96" s="16" t="s">
        <v>24</v>
      </c>
      <c r="H96" s="56">
        <v>10.0</v>
      </c>
      <c r="I96" s="118" t="s">
        <v>23</v>
      </c>
      <c r="K96" s="17">
        <f t="shared" si="11"/>
        <v>0</v>
      </c>
      <c r="L96" s="18">
        <f t="shared" si="12"/>
        <v>2</v>
      </c>
    </row>
    <row r="97" ht="15.75" customHeight="1">
      <c r="A97" s="37"/>
      <c r="B97" s="113">
        <v>45784.0</v>
      </c>
      <c r="C97" s="49" t="s">
        <v>100</v>
      </c>
      <c r="D97" s="49" t="s">
        <v>22</v>
      </c>
      <c r="E97" s="14" t="s">
        <v>72</v>
      </c>
      <c r="F97" s="56">
        <v>1.0</v>
      </c>
      <c r="G97" s="16" t="s">
        <v>24</v>
      </c>
      <c r="H97" s="56">
        <v>6.0</v>
      </c>
      <c r="I97" s="118" t="s">
        <v>113</v>
      </c>
      <c r="K97" s="17">
        <f t="shared" si="11"/>
        <v>0</v>
      </c>
      <c r="L97" s="18">
        <f t="shared" si="12"/>
        <v>2</v>
      </c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>
      <c r="A110" s="104"/>
      <c r="B110" s="1"/>
      <c r="C110" s="1"/>
      <c r="D110" s="1"/>
      <c r="E110" s="116"/>
      <c r="F110" s="1"/>
      <c r="G110" s="1"/>
      <c r="I110" s="2"/>
      <c r="AD110" s="4"/>
      <c r="AE110" s="2"/>
      <c r="AF110" s="4"/>
      <c r="AG110" s="4"/>
      <c r="AH110" s="4"/>
      <c r="AI110" s="4"/>
      <c r="AJ110" s="4"/>
      <c r="AK110" s="4"/>
      <c r="AL110" s="4"/>
    </row>
    <row r="111" ht="15.75" customHeight="1">
      <c r="A111" s="104" t="s">
        <v>115</v>
      </c>
      <c r="I111" s="2"/>
      <c r="AD111" s="4"/>
      <c r="AE111" s="2"/>
      <c r="AF111" s="4"/>
      <c r="AG111" s="4"/>
      <c r="AH111" s="4"/>
      <c r="AI111" s="4"/>
      <c r="AJ111" s="4"/>
      <c r="AK111" s="4"/>
      <c r="AL111" s="4"/>
    </row>
    <row r="112" ht="15.75" customHeight="1">
      <c r="A112" s="105" t="s">
        <v>1</v>
      </c>
      <c r="B112" s="5" t="s">
        <v>2</v>
      </c>
      <c r="C112" s="5" t="s">
        <v>3</v>
      </c>
      <c r="D112" s="5" t="s">
        <v>4</v>
      </c>
      <c r="E112" s="5" t="s">
        <v>5</v>
      </c>
      <c r="F112" s="6" t="s">
        <v>6</v>
      </c>
      <c r="G112" s="7"/>
      <c r="H112" s="8"/>
      <c r="I112" s="5" t="s">
        <v>7</v>
      </c>
      <c r="J112" s="9" t="s">
        <v>8</v>
      </c>
      <c r="K112" s="9" t="s">
        <v>9</v>
      </c>
      <c r="L112" s="9" t="s">
        <v>10</v>
      </c>
      <c r="M112" s="9"/>
      <c r="N112" s="9" t="s">
        <v>11</v>
      </c>
      <c r="O112" s="9" t="s">
        <v>12</v>
      </c>
      <c r="P112" s="9" t="s">
        <v>13</v>
      </c>
      <c r="Q112" s="9" t="s">
        <v>14</v>
      </c>
      <c r="R112" s="9" t="s">
        <v>15</v>
      </c>
      <c r="S112" s="9" t="s">
        <v>16</v>
      </c>
      <c r="T112" s="76" t="s">
        <v>82</v>
      </c>
      <c r="U112" s="76" t="s">
        <v>83</v>
      </c>
      <c r="V112" s="76" t="s">
        <v>84</v>
      </c>
      <c r="W112" s="4"/>
      <c r="X112" s="10" t="s">
        <v>20</v>
      </c>
      <c r="Y112" s="8"/>
      <c r="Z112" s="4"/>
      <c r="AA112" s="4"/>
      <c r="AB112" s="4"/>
      <c r="AC112" s="4"/>
      <c r="AD112" s="5" t="s">
        <v>11</v>
      </c>
      <c r="AE112" s="5" t="s">
        <v>12</v>
      </c>
      <c r="AF112" s="5" t="s">
        <v>13</v>
      </c>
      <c r="AG112" s="5" t="s">
        <v>14</v>
      </c>
      <c r="AH112" s="5" t="s">
        <v>15</v>
      </c>
      <c r="AI112" s="5" t="s">
        <v>16</v>
      </c>
      <c r="AJ112" s="77" t="s">
        <v>82</v>
      </c>
      <c r="AK112" s="77" t="s">
        <v>83</v>
      </c>
      <c r="AL112" s="77" t="s">
        <v>84</v>
      </c>
    </row>
    <row r="113" ht="15.75" customHeight="1">
      <c r="A113" s="117">
        <v>1.0</v>
      </c>
      <c r="B113" s="68">
        <v>45609.0</v>
      </c>
      <c r="C113" s="49" t="s">
        <v>106</v>
      </c>
      <c r="D113" s="49" t="s">
        <v>22</v>
      </c>
      <c r="E113" s="14" t="s">
        <v>94</v>
      </c>
      <c r="F113" s="56">
        <v>14.0</v>
      </c>
      <c r="G113" s="16" t="s">
        <v>24</v>
      </c>
      <c r="H113" s="56">
        <v>3.0</v>
      </c>
      <c r="I113" s="14" t="s">
        <v>50</v>
      </c>
      <c r="J113" s="3"/>
      <c r="K113" s="17">
        <f t="shared" ref="K113:K157" si="20">IF(F113="","",IFS(F113&gt;H113,2,F113=H113,1,H113&gt;F113,0,F113="",0))</f>
        <v>2</v>
      </c>
      <c r="L113" s="18">
        <f t="shared" ref="L113:L157" si="21">IF(H113="","",IFS(F113&lt;H113,2,F113=H113,1,H113&lt;F113,0))</f>
        <v>0</v>
      </c>
      <c r="M113" s="3"/>
      <c r="N113" s="18">
        <v>1.0</v>
      </c>
      <c r="O113" s="121" t="s">
        <v>50</v>
      </c>
      <c r="P113" s="18">
        <f t="shared" ref="P113:P122" si="22">SUMIF(E$113:E$157,O113,K$113:K$157)+SUMIF(I$113:I$157,O113,L$113:L$157)</f>
        <v>10</v>
      </c>
      <c r="Q113" s="20">
        <f t="shared" ref="Q113:Q122" si="23">COUNTIFS(E$113:E$157,O113,K$113:K$157,2)+COUNTIFS(I$113:I$157,O113,L$113:L$157,2)</f>
        <v>5</v>
      </c>
      <c r="R113" s="22">
        <f t="shared" ref="R113:R122" si="24">COUNTIFS(E$113:E$157,O113,K$113:K$157,1)+COUNTIFS(I$113:I$157,O113,L$113:L$157,1)</f>
        <v>0</v>
      </c>
      <c r="S113" s="22">
        <f t="shared" ref="S113:S122" si="25">COUNTIFS(E$113:E$157,O113,K$113:K$157,0)+COUNTIFS(I$113:I$157,O113,L$113:L$157,0)</f>
        <v>4</v>
      </c>
      <c r="T113" s="18">
        <f t="shared" ref="T113:T122" si="26">SUMIF(E$113:E$157,O113,F$113:F$157)+SUMIF(I$113:I$157,O113,H$113:H$157)</f>
        <v>93</v>
      </c>
      <c r="U113" s="22">
        <f t="shared" ref="U113:U122" si="27">SUMIF(E$113:E$157,O113,H$113:H$157)+SUMIF(I$113:I$157,O113,F$113:F$157)</f>
        <v>97</v>
      </c>
      <c r="V113" s="18">
        <f t="shared" ref="V113:V122" si="28">T113-U113</f>
        <v>-4</v>
      </c>
      <c r="X113" s="23" t="s">
        <v>26</v>
      </c>
      <c r="Y113" s="23" t="s">
        <v>13</v>
      </c>
      <c r="AD113" s="119" t="s">
        <v>29</v>
      </c>
      <c r="AE113" s="108" t="str">
        <f t="array" ref="AE113:AM122">SORT(O113:X122,2,FALSE,9,FALSE,8,FALSE())</f>
        <v>Eng. Informática</v>
      </c>
      <c r="AF113" s="26">
        <v>16.0</v>
      </c>
      <c r="AG113" s="26">
        <v>8.0</v>
      </c>
      <c r="AH113" s="27">
        <v>0.0</v>
      </c>
      <c r="AI113" s="27">
        <v>1.0</v>
      </c>
      <c r="AJ113" s="26">
        <v>116.0</v>
      </c>
      <c r="AK113" s="27">
        <v>69.0</v>
      </c>
      <c r="AL113" s="26">
        <v>47.0</v>
      </c>
    </row>
    <row r="114" ht="15.75" customHeight="1">
      <c r="A114" s="29"/>
      <c r="B114" s="68">
        <v>45609.0</v>
      </c>
      <c r="C114" s="49" t="s">
        <v>106</v>
      </c>
      <c r="D114" s="49" t="s">
        <v>22</v>
      </c>
      <c r="E114" s="14" t="s">
        <v>116</v>
      </c>
      <c r="F114" s="56">
        <v>5.0</v>
      </c>
      <c r="G114" s="16" t="s">
        <v>24</v>
      </c>
      <c r="H114" s="56">
        <v>9.0</v>
      </c>
      <c r="I114" s="14" t="s">
        <v>38</v>
      </c>
      <c r="J114" s="3"/>
      <c r="K114" s="17">
        <f t="shared" si="20"/>
        <v>0</v>
      </c>
      <c r="L114" s="18">
        <f t="shared" si="21"/>
        <v>2</v>
      </c>
      <c r="M114" s="3"/>
      <c r="N114" s="18">
        <v>2.0</v>
      </c>
      <c r="O114" s="102" t="s">
        <v>94</v>
      </c>
      <c r="P114" s="18">
        <f t="shared" si="22"/>
        <v>14</v>
      </c>
      <c r="Q114" s="20">
        <f t="shared" si="23"/>
        <v>7</v>
      </c>
      <c r="R114" s="22">
        <f t="shared" si="24"/>
        <v>0</v>
      </c>
      <c r="S114" s="22">
        <f t="shared" si="25"/>
        <v>2</v>
      </c>
      <c r="T114" s="18">
        <f t="shared" si="26"/>
        <v>126</v>
      </c>
      <c r="U114" s="22">
        <f t="shared" si="27"/>
        <v>66</v>
      </c>
      <c r="V114" s="18">
        <f t="shared" si="28"/>
        <v>60</v>
      </c>
      <c r="X114" s="32" t="s">
        <v>39</v>
      </c>
      <c r="Y114" s="32">
        <v>3.0</v>
      </c>
      <c r="AD114" s="119">
        <v>2.0</v>
      </c>
      <c r="AE114" s="108" t="s">
        <v>94</v>
      </c>
      <c r="AF114" s="26">
        <v>14.0</v>
      </c>
      <c r="AG114" s="26">
        <v>7.0</v>
      </c>
      <c r="AH114" s="27">
        <v>0.0</v>
      </c>
      <c r="AI114" s="27">
        <v>2.0</v>
      </c>
      <c r="AJ114" s="26">
        <v>126.0</v>
      </c>
      <c r="AK114" s="27">
        <v>66.0</v>
      </c>
      <c r="AL114" s="26">
        <v>60.0</v>
      </c>
    </row>
    <row r="115" ht="15.75" customHeight="1">
      <c r="A115" s="29"/>
      <c r="B115" s="68">
        <v>45609.0</v>
      </c>
      <c r="C115" s="49" t="s">
        <v>59</v>
      </c>
      <c r="D115" s="49" t="s">
        <v>22</v>
      </c>
      <c r="E115" s="14" t="s">
        <v>39</v>
      </c>
      <c r="F115" s="56">
        <v>12.0</v>
      </c>
      <c r="G115" s="16" t="s">
        <v>24</v>
      </c>
      <c r="H115" s="56">
        <v>8.0</v>
      </c>
      <c r="I115" s="14" t="s">
        <v>117</v>
      </c>
      <c r="J115" s="3"/>
      <c r="K115" s="17">
        <f t="shared" si="20"/>
        <v>2</v>
      </c>
      <c r="L115" s="18">
        <f t="shared" si="21"/>
        <v>0</v>
      </c>
      <c r="M115" s="3"/>
      <c r="N115" s="18">
        <v>3.0</v>
      </c>
      <c r="O115" s="102" t="s">
        <v>116</v>
      </c>
      <c r="P115" s="18">
        <f t="shared" si="22"/>
        <v>6</v>
      </c>
      <c r="Q115" s="20">
        <f t="shared" si="23"/>
        <v>3</v>
      </c>
      <c r="R115" s="22">
        <f t="shared" si="24"/>
        <v>0</v>
      </c>
      <c r="S115" s="22">
        <f t="shared" si="25"/>
        <v>6</v>
      </c>
      <c r="T115" s="18">
        <f t="shared" si="26"/>
        <v>65</v>
      </c>
      <c r="U115" s="22">
        <f t="shared" si="27"/>
        <v>102</v>
      </c>
      <c r="V115" s="18">
        <f t="shared" si="28"/>
        <v>-37</v>
      </c>
      <c r="X115" s="32" t="s">
        <v>94</v>
      </c>
      <c r="Y115" s="32">
        <v>0.0</v>
      </c>
      <c r="AD115" s="24">
        <v>3.0</v>
      </c>
      <c r="AE115" s="108" t="s">
        <v>39</v>
      </c>
      <c r="AF115" s="26">
        <v>14.0</v>
      </c>
      <c r="AG115" s="26">
        <v>7.0</v>
      </c>
      <c r="AH115" s="27">
        <v>0.0</v>
      </c>
      <c r="AI115" s="27">
        <v>2.0</v>
      </c>
      <c r="AJ115" s="26">
        <v>92.0</v>
      </c>
      <c r="AK115" s="27">
        <v>63.0</v>
      </c>
      <c r="AL115" s="26">
        <v>29.0</v>
      </c>
    </row>
    <row r="116" ht="15.75" customHeight="1">
      <c r="A116" s="29"/>
      <c r="B116" s="68">
        <v>45609.0</v>
      </c>
      <c r="C116" s="49" t="s">
        <v>59</v>
      </c>
      <c r="D116" s="49" t="s">
        <v>22</v>
      </c>
      <c r="E116" s="14" t="s">
        <v>86</v>
      </c>
      <c r="F116" s="56">
        <v>12.0</v>
      </c>
      <c r="G116" s="16" t="s">
        <v>24</v>
      </c>
      <c r="H116" s="56">
        <v>17.0</v>
      </c>
      <c r="I116" s="14" t="s">
        <v>71</v>
      </c>
      <c r="J116" s="3"/>
      <c r="K116" s="17">
        <f t="shared" si="20"/>
        <v>0</v>
      </c>
      <c r="L116" s="18">
        <f t="shared" si="21"/>
        <v>2</v>
      </c>
      <c r="M116" s="3"/>
      <c r="N116" s="18">
        <v>4.0</v>
      </c>
      <c r="O116" s="102" t="s">
        <v>39</v>
      </c>
      <c r="P116" s="18">
        <f t="shared" si="22"/>
        <v>14</v>
      </c>
      <c r="Q116" s="20">
        <f t="shared" si="23"/>
        <v>7</v>
      </c>
      <c r="R116" s="22">
        <f t="shared" si="24"/>
        <v>0</v>
      </c>
      <c r="S116" s="22">
        <f t="shared" si="25"/>
        <v>2</v>
      </c>
      <c r="T116" s="18">
        <f t="shared" si="26"/>
        <v>92</v>
      </c>
      <c r="U116" s="22">
        <f t="shared" si="27"/>
        <v>63</v>
      </c>
      <c r="V116" s="18">
        <f t="shared" si="28"/>
        <v>29</v>
      </c>
      <c r="AD116" s="24">
        <v>4.0</v>
      </c>
      <c r="AE116" s="108" t="s">
        <v>117</v>
      </c>
      <c r="AF116" s="26">
        <v>10.0</v>
      </c>
      <c r="AG116" s="26">
        <v>5.0</v>
      </c>
      <c r="AH116" s="27">
        <v>0.0</v>
      </c>
      <c r="AI116" s="27">
        <v>4.0</v>
      </c>
      <c r="AJ116" s="26">
        <v>117.0</v>
      </c>
      <c r="AK116" s="27">
        <v>82.0</v>
      </c>
      <c r="AL116" s="26">
        <v>35.0</v>
      </c>
    </row>
    <row r="117" ht="15.75" customHeight="1">
      <c r="A117" s="37"/>
      <c r="B117" s="68">
        <v>45609.0</v>
      </c>
      <c r="C117" s="49" t="s">
        <v>107</v>
      </c>
      <c r="D117" s="49" t="s">
        <v>22</v>
      </c>
      <c r="E117" s="14" t="s">
        <v>96</v>
      </c>
      <c r="F117" s="56">
        <v>2.0</v>
      </c>
      <c r="G117" s="16" t="s">
        <v>24</v>
      </c>
      <c r="H117" s="56">
        <v>11.0</v>
      </c>
      <c r="I117" s="14" t="s">
        <v>118</v>
      </c>
      <c r="J117" s="3"/>
      <c r="K117" s="17">
        <f t="shared" si="20"/>
        <v>0</v>
      </c>
      <c r="L117" s="18">
        <f t="shared" si="21"/>
        <v>2</v>
      </c>
      <c r="M117" s="3"/>
      <c r="N117" s="18">
        <v>5.0</v>
      </c>
      <c r="O117" s="102" t="s">
        <v>86</v>
      </c>
      <c r="P117" s="18">
        <f t="shared" si="22"/>
        <v>2</v>
      </c>
      <c r="Q117" s="20">
        <f t="shared" si="23"/>
        <v>1</v>
      </c>
      <c r="R117" s="22">
        <f t="shared" si="24"/>
        <v>0</v>
      </c>
      <c r="S117" s="22">
        <f t="shared" si="25"/>
        <v>8</v>
      </c>
      <c r="T117" s="18">
        <f t="shared" si="26"/>
        <v>64</v>
      </c>
      <c r="U117" s="22">
        <f t="shared" si="27"/>
        <v>107</v>
      </c>
      <c r="V117" s="18">
        <f t="shared" si="28"/>
        <v>-43</v>
      </c>
      <c r="AD117" s="24">
        <v>5.0</v>
      </c>
      <c r="AE117" s="108" t="s">
        <v>71</v>
      </c>
      <c r="AF117" s="26">
        <v>10.0</v>
      </c>
      <c r="AG117" s="26">
        <v>5.0</v>
      </c>
      <c r="AH117" s="27">
        <v>0.0</v>
      </c>
      <c r="AI117" s="27">
        <v>4.0</v>
      </c>
      <c r="AJ117" s="26">
        <v>114.0</v>
      </c>
      <c r="AK117" s="27">
        <v>93.0</v>
      </c>
      <c r="AL117" s="26">
        <v>21.0</v>
      </c>
    </row>
    <row r="118" ht="15.75" customHeight="1">
      <c r="A118" s="117">
        <v>2.0</v>
      </c>
      <c r="B118" s="68">
        <v>45609.0</v>
      </c>
      <c r="C118" s="49" t="s">
        <v>107</v>
      </c>
      <c r="D118" s="49" t="s">
        <v>22</v>
      </c>
      <c r="E118" s="14" t="s">
        <v>50</v>
      </c>
      <c r="F118" s="56">
        <v>6.0</v>
      </c>
      <c r="G118" s="16" t="s">
        <v>24</v>
      </c>
      <c r="H118" s="56">
        <v>13.0</v>
      </c>
      <c r="I118" s="14" t="s">
        <v>116</v>
      </c>
      <c r="J118" s="3"/>
      <c r="K118" s="17">
        <f t="shared" si="20"/>
        <v>0</v>
      </c>
      <c r="L118" s="18">
        <f t="shared" si="21"/>
        <v>2</v>
      </c>
      <c r="M118" s="3"/>
      <c r="N118" s="18">
        <v>6.0</v>
      </c>
      <c r="O118" s="102" t="s">
        <v>96</v>
      </c>
      <c r="P118" s="18">
        <f t="shared" si="22"/>
        <v>0</v>
      </c>
      <c r="Q118" s="20">
        <f t="shared" si="23"/>
        <v>0</v>
      </c>
      <c r="R118" s="22">
        <f t="shared" si="24"/>
        <v>0</v>
      </c>
      <c r="S118" s="22">
        <f t="shared" si="25"/>
        <v>9</v>
      </c>
      <c r="T118" s="18">
        <f t="shared" si="26"/>
        <v>22</v>
      </c>
      <c r="U118" s="22">
        <f t="shared" si="27"/>
        <v>116</v>
      </c>
      <c r="V118" s="18">
        <f t="shared" si="28"/>
        <v>-94</v>
      </c>
      <c r="AD118" s="24">
        <v>6.0</v>
      </c>
      <c r="AE118" s="108" t="s">
        <v>50</v>
      </c>
      <c r="AF118" s="26">
        <v>10.0</v>
      </c>
      <c r="AG118" s="26">
        <v>5.0</v>
      </c>
      <c r="AH118" s="27">
        <v>0.0</v>
      </c>
      <c r="AI118" s="27">
        <v>4.0</v>
      </c>
      <c r="AJ118" s="26">
        <v>93.0</v>
      </c>
      <c r="AK118" s="27">
        <v>97.0</v>
      </c>
      <c r="AL118" s="26">
        <v>-4.0</v>
      </c>
    </row>
    <row r="119" ht="15.75" customHeight="1">
      <c r="A119" s="29"/>
      <c r="B119" s="68">
        <v>45609.0</v>
      </c>
      <c r="C119" s="49" t="s">
        <v>109</v>
      </c>
      <c r="D119" s="49" t="s">
        <v>22</v>
      </c>
      <c r="E119" s="14" t="s">
        <v>118</v>
      </c>
      <c r="F119" s="56">
        <v>9.0</v>
      </c>
      <c r="G119" s="16" t="s">
        <v>24</v>
      </c>
      <c r="H119" s="56">
        <v>14.0</v>
      </c>
      <c r="I119" s="14" t="s">
        <v>94</v>
      </c>
      <c r="J119" s="3"/>
      <c r="K119" s="17">
        <f t="shared" si="20"/>
        <v>0</v>
      </c>
      <c r="L119" s="18">
        <f t="shared" si="21"/>
        <v>2</v>
      </c>
      <c r="M119" s="3"/>
      <c r="N119" s="18">
        <v>7.0</v>
      </c>
      <c r="O119" s="102" t="s">
        <v>71</v>
      </c>
      <c r="P119" s="18">
        <f t="shared" si="22"/>
        <v>10</v>
      </c>
      <c r="Q119" s="20">
        <f t="shared" si="23"/>
        <v>5</v>
      </c>
      <c r="R119" s="22">
        <f t="shared" si="24"/>
        <v>0</v>
      </c>
      <c r="S119" s="22">
        <f t="shared" si="25"/>
        <v>4</v>
      </c>
      <c r="T119" s="18">
        <f t="shared" si="26"/>
        <v>114</v>
      </c>
      <c r="U119" s="22">
        <f t="shared" si="27"/>
        <v>93</v>
      </c>
      <c r="V119" s="18">
        <f t="shared" si="28"/>
        <v>21</v>
      </c>
      <c r="AD119" s="24">
        <v>7.0</v>
      </c>
      <c r="AE119" s="108" t="s">
        <v>118</v>
      </c>
      <c r="AF119" s="26">
        <v>8.0</v>
      </c>
      <c r="AG119" s="26">
        <v>4.0</v>
      </c>
      <c r="AH119" s="27">
        <v>0.0</v>
      </c>
      <c r="AI119" s="27">
        <v>5.0</v>
      </c>
      <c r="AJ119" s="26">
        <v>80.0</v>
      </c>
      <c r="AK119" s="27">
        <v>94.0</v>
      </c>
      <c r="AL119" s="26">
        <v>-14.0</v>
      </c>
    </row>
    <row r="120" ht="15.75" customHeight="1">
      <c r="A120" s="29"/>
      <c r="B120" s="68">
        <v>45609.0</v>
      </c>
      <c r="C120" s="49" t="s">
        <v>109</v>
      </c>
      <c r="D120" s="49" t="s">
        <v>22</v>
      </c>
      <c r="E120" s="14" t="s">
        <v>38</v>
      </c>
      <c r="F120" s="56">
        <v>9.0</v>
      </c>
      <c r="G120" s="16" t="s">
        <v>24</v>
      </c>
      <c r="H120" s="56">
        <v>5.0</v>
      </c>
      <c r="I120" s="14" t="s">
        <v>39</v>
      </c>
      <c r="J120" s="3"/>
      <c r="K120" s="17">
        <f t="shared" si="20"/>
        <v>2</v>
      </c>
      <c r="L120" s="18">
        <f t="shared" si="21"/>
        <v>0</v>
      </c>
      <c r="M120" s="3"/>
      <c r="N120" s="61">
        <v>8.0</v>
      </c>
      <c r="O120" s="102" t="s">
        <v>117</v>
      </c>
      <c r="P120" s="18">
        <f t="shared" si="22"/>
        <v>10</v>
      </c>
      <c r="Q120" s="20">
        <f t="shared" si="23"/>
        <v>5</v>
      </c>
      <c r="R120" s="22">
        <f t="shared" si="24"/>
        <v>0</v>
      </c>
      <c r="S120" s="22">
        <f t="shared" si="25"/>
        <v>4</v>
      </c>
      <c r="T120" s="18">
        <f t="shared" si="26"/>
        <v>117</v>
      </c>
      <c r="U120" s="22">
        <f t="shared" si="27"/>
        <v>82</v>
      </c>
      <c r="V120" s="18">
        <f t="shared" si="28"/>
        <v>35</v>
      </c>
      <c r="AD120" s="40">
        <v>8.0</v>
      </c>
      <c r="AE120" s="108" t="s">
        <v>116</v>
      </c>
      <c r="AF120" s="26">
        <v>6.0</v>
      </c>
      <c r="AG120" s="26">
        <v>3.0</v>
      </c>
      <c r="AH120" s="26">
        <v>0.0</v>
      </c>
      <c r="AI120" s="26">
        <v>6.0</v>
      </c>
      <c r="AJ120" s="26">
        <v>65.0</v>
      </c>
      <c r="AK120" s="26">
        <v>102.0</v>
      </c>
      <c r="AL120" s="26">
        <v>-37.0</v>
      </c>
    </row>
    <row r="121" ht="15.75" customHeight="1">
      <c r="A121" s="29"/>
      <c r="B121" s="113">
        <v>45609.0</v>
      </c>
      <c r="C121" s="49" t="s">
        <v>119</v>
      </c>
      <c r="D121" s="49" t="s">
        <v>22</v>
      </c>
      <c r="E121" s="14" t="s">
        <v>117</v>
      </c>
      <c r="F121" s="56">
        <v>14.0</v>
      </c>
      <c r="G121" s="16" t="s">
        <v>24</v>
      </c>
      <c r="H121" s="56">
        <v>6.0</v>
      </c>
      <c r="I121" s="14" t="s">
        <v>86</v>
      </c>
      <c r="J121" s="3"/>
      <c r="K121" s="17">
        <f t="shared" si="20"/>
        <v>2</v>
      </c>
      <c r="L121" s="18">
        <f t="shared" si="21"/>
        <v>0</v>
      </c>
      <c r="M121" s="3"/>
      <c r="N121" s="36">
        <v>9.0</v>
      </c>
      <c r="O121" s="120" t="s">
        <v>38</v>
      </c>
      <c r="P121" s="18">
        <f t="shared" si="22"/>
        <v>16</v>
      </c>
      <c r="Q121" s="20">
        <f t="shared" si="23"/>
        <v>8</v>
      </c>
      <c r="R121" s="22">
        <f t="shared" si="24"/>
        <v>0</v>
      </c>
      <c r="S121" s="22">
        <f t="shared" si="25"/>
        <v>1</v>
      </c>
      <c r="T121" s="18">
        <f t="shared" si="26"/>
        <v>116</v>
      </c>
      <c r="U121" s="22">
        <f t="shared" si="27"/>
        <v>69</v>
      </c>
      <c r="V121" s="18">
        <f t="shared" si="28"/>
        <v>47</v>
      </c>
      <c r="AD121" s="40">
        <v>9.0</v>
      </c>
      <c r="AE121" s="34" t="s">
        <v>86</v>
      </c>
      <c r="AF121" s="32">
        <v>2.0</v>
      </c>
      <c r="AG121" s="32">
        <v>1.0</v>
      </c>
      <c r="AH121" s="32">
        <v>0.0</v>
      </c>
      <c r="AI121" s="32">
        <v>8.0</v>
      </c>
      <c r="AJ121" s="32">
        <v>64.0</v>
      </c>
      <c r="AK121" s="32">
        <v>107.0</v>
      </c>
      <c r="AL121" s="32">
        <v>-43.0</v>
      </c>
    </row>
    <row r="122" ht="15.75" customHeight="1">
      <c r="A122" s="37"/>
      <c r="B122" s="113">
        <v>45609.0</v>
      </c>
      <c r="C122" s="49" t="s">
        <v>119</v>
      </c>
      <c r="D122" s="49" t="s">
        <v>22</v>
      </c>
      <c r="E122" s="14" t="s">
        <v>71</v>
      </c>
      <c r="F122" s="56">
        <v>21.0</v>
      </c>
      <c r="G122" s="16" t="s">
        <v>24</v>
      </c>
      <c r="H122" s="56">
        <v>2.0</v>
      </c>
      <c r="I122" s="14" t="s">
        <v>96</v>
      </c>
      <c r="J122" s="3"/>
      <c r="K122" s="17">
        <f t="shared" si="20"/>
        <v>2</v>
      </c>
      <c r="L122" s="18">
        <f t="shared" si="21"/>
        <v>0</v>
      </c>
      <c r="M122" s="3"/>
      <c r="N122" s="36">
        <v>10.0</v>
      </c>
      <c r="O122" s="120" t="s">
        <v>118</v>
      </c>
      <c r="P122" s="18">
        <f t="shared" si="22"/>
        <v>8</v>
      </c>
      <c r="Q122" s="20">
        <f t="shared" si="23"/>
        <v>4</v>
      </c>
      <c r="R122" s="22">
        <f t="shared" si="24"/>
        <v>0</v>
      </c>
      <c r="S122" s="22">
        <f t="shared" si="25"/>
        <v>5</v>
      </c>
      <c r="T122" s="18">
        <f t="shared" si="26"/>
        <v>80</v>
      </c>
      <c r="U122" s="22">
        <f t="shared" si="27"/>
        <v>94</v>
      </c>
      <c r="V122" s="18">
        <f t="shared" si="28"/>
        <v>-14</v>
      </c>
      <c r="AD122" s="40">
        <v>10.0</v>
      </c>
      <c r="AE122" s="34" t="s">
        <v>96</v>
      </c>
      <c r="AF122" s="32">
        <v>0.0</v>
      </c>
      <c r="AG122" s="32">
        <v>0.0</v>
      </c>
      <c r="AH122" s="32">
        <v>0.0</v>
      </c>
      <c r="AI122" s="32">
        <v>9.0</v>
      </c>
      <c r="AJ122" s="32">
        <v>22.0</v>
      </c>
      <c r="AK122" s="32">
        <v>116.0</v>
      </c>
      <c r="AL122" s="32">
        <v>-94.0</v>
      </c>
    </row>
    <row r="123" ht="15.75" customHeight="1">
      <c r="A123" s="117">
        <v>3.0</v>
      </c>
      <c r="B123" s="113">
        <v>45630.0</v>
      </c>
      <c r="C123" s="49" t="s">
        <v>120</v>
      </c>
      <c r="D123" s="49" t="s">
        <v>22</v>
      </c>
      <c r="E123" s="14" t="s">
        <v>39</v>
      </c>
      <c r="F123" s="56">
        <v>6.0</v>
      </c>
      <c r="G123" s="16" t="s">
        <v>24</v>
      </c>
      <c r="H123" s="56">
        <v>10.0</v>
      </c>
      <c r="I123" s="14" t="s">
        <v>50</v>
      </c>
      <c r="J123" s="3"/>
      <c r="K123" s="17">
        <f t="shared" si="20"/>
        <v>0</v>
      </c>
      <c r="L123" s="18">
        <f t="shared" si="21"/>
        <v>2</v>
      </c>
      <c r="M123" s="3"/>
      <c r="AD123" s="46" t="s">
        <v>121</v>
      </c>
      <c r="AI123" s="4"/>
      <c r="AJ123" s="4"/>
      <c r="AK123" s="4"/>
      <c r="AL123" s="4"/>
    </row>
    <row r="124" ht="15.75" customHeight="1">
      <c r="A124" s="29"/>
      <c r="B124" s="113">
        <v>45630.0</v>
      </c>
      <c r="C124" s="49" t="s">
        <v>120</v>
      </c>
      <c r="D124" s="49" t="s">
        <v>22</v>
      </c>
      <c r="E124" s="14" t="s">
        <v>116</v>
      </c>
      <c r="F124" s="56">
        <v>3.0</v>
      </c>
      <c r="G124" s="16" t="s">
        <v>24</v>
      </c>
      <c r="H124" s="56">
        <v>20.0</v>
      </c>
      <c r="I124" s="14" t="s">
        <v>94</v>
      </c>
      <c r="J124" s="3"/>
      <c r="K124" s="17">
        <f t="shared" si="20"/>
        <v>0</v>
      </c>
      <c r="L124" s="18">
        <f t="shared" si="21"/>
        <v>2</v>
      </c>
      <c r="M124" s="3"/>
      <c r="AI124" s="4"/>
      <c r="AJ124" s="4"/>
      <c r="AK124" s="4"/>
      <c r="AL124" s="4"/>
    </row>
    <row r="125" ht="15.75" customHeight="1">
      <c r="A125" s="29"/>
      <c r="B125" s="113">
        <v>45630.0</v>
      </c>
      <c r="C125" s="49" t="s">
        <v>75</v>
      </c>
      <c r="D125" s="49" t="s">
        <v>22</v>
      </c>
      <c r="E125" s="14" t="s">
        <v>86</v>
      </c>
      <c r="F125" s="56">
        <v>4.0</v>
      </c>
      <c r="G125" s="16" t="s">
        <v>24</v>
      </c>
      <c r="H125" s="56">
        <v>8.0</v>
      </c>
      <c r="I125" s="14" t="s">
        <v>38</v>
      </c>
      <c r="J125" s="3"/>
      <c r="K125" s="17">
        <f t="shared" si="20"/>
        <v>0</v>
      </c>
      <c r="L125" s="18">
        <f t="shared" si="21"/>
        <v>2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AD125" s="48"/>
      <c r="AG125" s="47"/>
      <c r="AI125" s="4"/>
      <c r="AJ125" s="4"/>
      <c r="AK125" s="4"/>
      <c r="AL125" s="4"/>
    </row>
    <row r="126" ht="15.75" customHeight="1">
      <c r="A126" s="29"/>
      <c r="B126" s="113">
        <v>45630.0</v>
      </c>
      <c r="C126" s="49" t="s">
        <v>75</v>
      </c>
      <c r="D126" s="49" t="s">
        <v>22</v>
      </c>
      <c r="E126" s="14" t="s">
        <v>96</v>
      </c>
      <c r="F126" s="56">
        <v>3.0</v>
      </c>
      <c r="G126" s="16" t="s">
        <v>24</v>
      </c>
      <c r="H126" s="56">
        <v>18.0</v>
      </c>
      <c r="I126" s="14" t="s">
        <v>117</v>
      </c>
      <c r="J126" s="3"/>
      <c r="K126" s="17">
        <f t="shared" si="20"/>
        <v>0</v>
      </c>
      <c r="L126" s="18">
        <f t="shared" si="21"/>
        <v>2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AI126" s="4"/>
      <c r="AJ126" s="4"/>
      <c r="AK126" s="4"/>
      <c r="AL126" s="4"/>
    </row>
    <row r="127" ht="15.75" customHeight="1">
      <c r="A127" s="37"/>
      <c r="B127" s="113">
        <v>45630.0</v>
      </c>
      <c r="C127" s="49" t="s">
        <v>89</v>
      </c>
      <c r="D127" s="49" t="s">
        <v>22</v>
      </c>
      <c r="E127" s="14" t="s">
        <v>118</v>
      </c>
      <c r="F127" s="56">
        <v>8.0</v>
      </c>
      <c r="G127" s="16" t="s">
        <v>24</v>
      </c>
      <c r="H127" s="56">
        <v>16.0</v>
      </c>
      <c r="I127" s="14" t="s">
        <v>71</v>
      </c>
      <c r="J127" s="3"/>
      <c r="K127" s="17">
        <f t="shared" si="20"/>
        <v>0</v>
      </c>
      <c r="L127" s="18">
        <f t="shared" si="21"/>
        <v>2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AI127" s="4"/>
      <c r="AJ127" s="4"/>
      <c r="AK127" s="4"/>
      <c r="AL127" s="4"/>
    </row>
    <row r="128" ht="15.75" customHeight="1">
      <c r="A128" s="117">
        <v>4.0</v>
      </c>
      <c r="B128" s="113">
        <v>45630.0</v>
      </c>
      <c r="C128" s="49" t="s">
        <v>89</v>
      </c>
      <c r="D128" s="49" t="s">
        <v>22</v>
      </c>
      <c r="E128" s="14" t="s">
        <v>50</v>
      </c>
      <c r="F128" s="56">
        <v>12.0</v>
      </c>
      <c r="G128" s="16" t="s">
        <v>24</v>
      </c>
      <c r="H128" s="56">
        <v>6.0</v>
      </c>
      <c r="I128" s="14" t="s">
        <v>86</v>
      </c>
      <c r="J128" s="50"/>
      <c r="K128" s="17">
        <f t="shared" si="20"/>
        <v>2</v>
      </c>
      <c r="L128" s="18">
        <f t="shared" si="21"/>
        <v>0</v>
      </c>
      <c r="M128" s="3"/>
      <c r="N128" s="3"/>
      <c r="O128" s="3"/>
      <c r="P128" s="3"/>
      <c r="R128" s="3"/>
      <c r="S128" s="3"/>
      <c r="T128" s="3"/>
      <c r="U128" s="3"/>
      <c r="V128" s="3"/>
      <c r="AI128" s="4"/>
      <c r="AJ128" s="4"/>
      <c r="AK128" s="4"/>
      <c r="AL128" s="4"/>
    </row>
    <row r="129" ht="15.75" customHeight="1">
      <c r="A129" s="29"/>
      <c r="B129" s="113">
        <v>45630.0</v>
      </c>
      <c r="C129" s="49" t="s">
        <v>90</v>
      </c>
      <c r="D129" s="49" t="s">
        <v>22</v>
      </c>
      <c r="E129" s="14" t="s">
        <v>94</v>
      </c>
      <c r="F129" s="56">
        <v>6.0</v>
      </c>
      <c r="G129" s="16" t="s">
        <v>24</v>
      </c>
      <c r="H129" s="56">
        <v>8.0</v>
      </c>
      <c r="I129" s="14" t="s">
        <v>39</v>
      </c>
      <c r="J129" s="3"/>
      <c r="K129" s="17">
        <f t="shared" si="20"/>
        <v>0</v>
      </c>
      <c r="L129" s="18">
        <f t="shared" si="21"/>
        <v>2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AI129" s="4"/>
      <c r="AJ129" s="4"/>
      <c r="AK129" s="4"/>
      <c r="AL129" s="4"/>
    </row>
    <row r="130" ht="15.75" customHeight="1">
      <c r="A130" s="29"/>
      <c r="B130" s="113">
        <v>45630.0</v>
      </c>
      <c r="C130" s="49" t="s">
        <v>90</v>
      </c>
      <c r="D130" s="49" t="s">
        <v>22</v>
      </c>
      <c r="E130" s="14" t="s">
        <v>116</v>
      </c>
      <c r="F130" s="56">
        <v>6.0</v>
      </c>
      <c r="G130" s="16" t="s">
        <v>24</v>
      </c>
      <c r="H130" s="56">
        <v>15.0</v>
      </c>
      <c r="I130" s="14" t="s">
        <v>118</v>
      </c>
      <c r="J130" s="3"/>
      <c r="K130" s="17">
        <f t="shared" si="20"/>
        <v>0</v>
      </c>
      <c r="L130" s="18">
        <f t="shared" si="21"/>
        <v>2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AI130" s="4"/>
      <c r="AJ130" s="4"/>
      <c r="AK130" s="4"/>
      <c r="AL130" s="4"/>
    </row>
    <row r="131" ht="15.75" customHeight="1">
      <c r="A131" s="29"/>
      <c r="B131" s="113">
        <v>45630.0</v>
      </c>
      <c r="C131" s="49" t="s">
        <v>76</v>
      </c>
      <c r="D131" s="49" t="s">
        <v>22</v>
      </c>
      <c r="E131" s="14" t="s">
        <v>38</v>
      </c>
      <c r="F131" s="56">
        <v>14.0</v>
      </c>
      <c r="G131" s="16" t="s">
        <v>24</v>
      </c>
      <c r="H131" s="56">
        <v>1.0</v>
      </c>
      <c r="I131" s="14" t="s">
        <v>96</v>
      </c>
      <c r="J131" s="3"/>
      <c r="K131" s="17">
        <f t="shared" si="20"/>
        <v>2</v>
      </c>
      <c r="L131" s="18">
        <f t="shared" si="21"/>
        <v>0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AI131" s="4"/>
      <c r="AJ131" s="4"/>
      <c r="AK131" s="4"/>
      <c r="AL131" s="4"/>
    </row>
    <row r="132" ht="15.75" customHeight="1">
      <c r="A132" s="37"/>
      <c r="B132" s="113">
        <v>45630.0</v>
      </c>
      <c r="C132" s="49" t="s">
        <v>76</v>
      </c>
      <c r="D132" s="49" t="s">
        <v>22</v>
      </c>
      <c r="E132" s="14" t="s">
        <v>117</v>
      </c>
      <c r="F132" s="56">
        <v>11.0</v>
      </c>
      <c r="G132" s="16" t="s">
        <v>24</v>
      </c>
      <c r="H132" s="56">
        <v>9.0</v>
      </c>
      <c r="I132" s="14" t="s">
        <v>71</v>
      </c>
      <c r="J132" s="3"/>
      <c r="K132" s="17">
        <f t="shared" si="20"/>
        <v>2</v>
      </c>
      <c r="L132" s="18">
        <f t="shared" si="21"/>
        <v>0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AI132" s="4"/>
      <c r="AJ132" s="4"/>
      <c r="AK132" s="4"/>
      <c r="AL132" s="4"/>
    </row>
    <row r="133" ht="15.75" customHeight="1">
      <c r="A133" s="117">
        <v>5.0</v>
      </c>
      <c r="B133" s="113">
        <v>45713.0</v>
      </c>
      <c r="C133" s="49" t="s">
        <v>100</v>
      </c>
      <c r="D133" s="115" t="s">
        <v>108</v>
      </c>
      <c r="E133" s="14" t="s">
        <v>96</v>
      </c>
      <c r="F133" s="56">
        <v>4.0</v>
      </c>
      <c r="G133" s="16" t="s">
        <v>24</v>
      </c>
      <c r="H133" s="56">
        <v>8.0</v>
      </c>
      <c r="I133" s="14" t="s">
        <v>50</v>
      </c>
      <c r="J133" s="3"/>
      <c r="K133" s="17">
        <f t="shared" si="20"/>
        <v>0</v>
      </c>
      <c r="L133" s="18">
        <f t="shared" si="21"/>
        <v>2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AD133" s="4"/>
      <c r="AE133" s="2"/>
      <c r="AF133" s="4"/>
      <c r="AG133" s="4"/>
      <c r="AH133" s="4"/>
      <c r="AI133" s="4"/>
      <c r="AJ133" s="4"/>
      <c r="AK133" s="4"/>
      <c r="AL133" s="4"/>
    </row>
    <row r="134" ht="15.75" customHeight="1">
      <c r="A134" s="29"/>
      <c r="B134" s="113">
        <v>45713.0</v>
      </c>
      <c r="C134" s="49" t="s">
        <v>100</v>
      </c>
      <c r="D134" s="115" t="s">
        <v>108</v>
      </c>
      <c r="E134" s="14" t="s">
        <v>86</v>
      </c>
      <c r="F134" s="56">
        <v>4.0</v>
      </c>
      <c r="G134" s="16" t="s">
        <v>24</v>
      </c>
      <c r="H134" s="56">
        <v>16.0</v>
      </c>
      <c r="I134" s="14" t="s">
        <v>94</v>
      </c>
      <c r="J134" s="3"/>
      <c r="K134" s="17">
        <f t="shared" si="20"/>
        <v>0</v>
      </c>
      <c r="L134" s="18">
        <f t="shared" si="21"/>
        <v>2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AD134" s="4"/>
      <c r="AE134" s="2"/>
      <c r="AF134" s="4"/>
      <c r="AG134" s="4"/>
      <c r="AH134" s="4"/>
      <c r="AI134" s="4"/>
      <c r="AJ134" s="4"/>
      <c r="AK134" s="4"/>
      <c r="AL134" s="4"/>
    </row>
    <row r="135" ht="15.75" customHeight="1">
      <c r="A135" s="29"/>
      <c r="B135" s="113">
        <v>45713.0</v>
      </c>
      <c r="C135" s="49" t="s">
        <v>101</v>
      </c>
      <c r="D135" s="115" t="s">
        <v>108</v>
      </c>
      <c r="E135" s="14" t="s">
        <v>39</v>
      </c>
      <c r="F135" s="56">
        <v>12.0</v>
      </c>
      <c r="G135" s="16" t="s">
        <v>24</v>
      </c>
      <c r="H135" s="56">
        <v>8.0</v>
      </c>
      <c r="I135" s="14" t="s">
        <v>116</v>
      </c>
      <c r="J135" s="3"/>
      <c r="K135" s="17">
        <f t="shared" si="20"/>
        <v>2</v>
      </c>
      <c r="L135" s="18">
        <f t="shared" si="21"/>
        <v>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AD135" s="4"/>
      <c r="AE135" s="2"/>
      <c r="AF135" s="4"/>
      <c r="AG135" s="4"/>
      <c r="AH135" s="4"/>
      <c r="AI135" s="4"/>
      <c r="AJ135" s="4"/>
      <c r="AK135" s="4"/>
      <c r="AL135" s="4"/>
    </row>
    <row r="136" ht="15.75" customHeight="1">
      <c r="A136" s="29"/>
      <c r="B136" s="113">
        <v>45713.0</v>
      </c>
      <c r="C136" s="49" t="s">
        <v>101</v>
      </c>
      <c r="D136" s="115" t="s">
        <v>108</v>
      </c>
      <c r="E136" s="14" t="s">
        <v>71</v>
      </c>
      <c r="F136" s="56">
        <v>16.0</v>
      </c>
      <c r="G136" s="16" t="s">
        <v>24</v>
      </c>
      <c r="H136" s="56">
        <v>11.0</v>
      </c>
      <c r="I136" s="14" t="s">
        <v>38</v>
      </c>
      <c r="J136" s="3"/>
      <c r="K136" s="17">
        <f t="shared" si="20"/>
        <v>2</v>
      </c>
      <c r="L136" s="18">
        <f t="shared" si="21"/>
        <v>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AD136" s="4"/>
      <c r="AE136" s="2"/>
      <c r="AF136" s="4"/>
      <c r="AG136" s="4"/>
      <c r="AH136" s="4"/>
      <c r="AI136" s="4"/>
      <c r="AJ136" s="4"/>
      <c r="AK136" s="4"/>
      <c r="AL136" s="4"/>
    </row>
    <row r="137" ht="15.75" customHeight="1">
      <c r="A137" s="37"/>
      <c r="B137" s="113">
        <v>45713.0</v>
      </c>
      <c r="C137" s="13" t="s">
        <v>58</v>
      </c>
      <c r="D137" s="115" t="s">
        <v>108</v>
      </c>
      <c r="E137" s="14" t="s">
        <v>118</v>
      </c>
      <c r="F137" s="56">
        <v>8.0</v>
      </c>
      <c r="G137" s="16" t="s">
        <v>24</v>
      </c>
      <c r="H137" s="56">
        <v>7.0</v>
      </c>
      <c r="I137" s="14" t="s">
        <v>117</v>
      </c>
      <c r="K137" s="17">
        <f t="shared" si="20"/>
        <v>2</v>
      </c>
      <c r="L137" s="18">
        <f t="shared" si="21"/>
        <v>0</v>
      </c>
      <c r="AD137" s="4"/>
      <c r="AE137" s="2"/>
      <c r="AF137" s="4"/>
      <c r="AG137" s="4"/>
      <c r="AH137" s="4"/>
      <c r="AI137" s="4"/>
      <c r="AJ137" s="4"/>
      <c r="AK137" s="4"/>
      <c r="AL137" s="4"/>
    </row>
    <row r="138" ht="15.75" customHeight="1">
      <c r="A138" s="117">
        <v>6.0</v>
      </c>
      <c r="B138" s="113">
        <v>45713.0</v>
      </c>
      <c r="C138" s="13" t="s">
        <v>58</v>
      </c>
      <c r="D138" s="115" t="s">
        <v>108</v>
      </c>
      <c r="E138" s="14" t="s">
        <v>50</v>
      </c>
      <c r="F138" s="56">
        <v>16.0</v>
      </c>
      <c r="G138" s="16" t="s">
        <v>24</v>
      </c>
      <c r="H138" s="56">
        <v>12.0</v>
      </c>
      <c r="I138" s="14" t="s">
        <v>71</v>
      </c>
      <c r="K138" s="17">
        <f t="shared" si="20"/>
        <v>2</v>
      </c>
      <c r="L138" s="18">
        <f t="shared" si="21"/>
        <v>0</v>
      </c>
      <c r="AD138" s="4"/>
      <c r="AE138" s="2"/>
      <c r="AF138" s="4"/>
      <c r="AG138" s="4"/>
      <c r="AH138" s="4"/>
      <c r="AI138" s="4"/>
      <c r="AJ138" s="4"/>
      <c r="AK138" s="4"/>
      <c r="AL138" s="4"/>
    </row>
    <row r="139" ht="15.75" customHeight="1">
      <c r="A139" s="29"/>
      <c r="B139" s="113">
        <v>45713.0</v>
      </c>
      <c r="C139" s="13" t="s">
        <v>105</v>
      </c>
      <c r="D139" s="115" t="s">
        <v>108</v>
      </c>
      <c r="E139" s="14" t="s">
        <v>94</v>
      </c>
      <c r="F139" s="56">
        <v>9.0</v>
      </c>
      <c r="G139" s="16" t="s">
        <v>24</v>
      </c>
      <c r="H139" s="56">
        <v>3.0</v>
      </c>
      <c r="I139" s="14" t="s">
        <v>96</v>
      </c>
      <c r="K139" s="17">
        <f t="shared" si="20"/>
        <v>2</v>
      </c>
      <c r="L139" s="18">
        <f t="shared" si="21"/>
        <v>0</v>
      </c>
      <c r="AD139" s="4"/>
      <c r="AE139" s="2"/>
      <c r="AF139" s="4"/>
      <c r="AG139" s="4"/>
      <c r="AH139" s="4"/>
      <c r="AI139" s="4"/>
      <c r="AJ139" s="4"/>
      <c r="AK139" s="4"/>
      <c r="AL139" s="4"/>
    </row>
    <row r="140" ht="15.75" customHeight="1">
      <c r="A140" s="29"/>
      <c r="B140" s="113">
        <v>45713.0</v>
      </c>
      <c r="C140" s="49" t="s">
        <v>105</v>
      </c>
      <c r="D140" s="115" t="s">
        <v>108</v>
      </c>
      <c r="E140" s="14" t="s">
        <v>116</v>
      </c>
      <c r="F140" s="56">
        <v>13.0</v>
      </c>
      <c r="G140" s="16" t="s">
        <v>24</v>
      </c>
      <c r="H140" s="56">
        <v>8.0</v>
      </c>
      <c r="I140" s="14" t="s">
        <v>86</v>
      </c>
      <c r="K140" s="17">
        <f t="shared" si="20"/>
        <v>2</v>
      </c>
      <c r="L140" s="18">
        <f t="shared" si="21"/>
        <v>0</v>
      </c>
      <c r="AD140" s="4"/>
      <c r="AE140" s="2"/>
      <c r="AF140" s="4"/>
      <c r="AG140" s="4"/>
      <c r="AH140" s="4"/>
      <c r="AI140" s="4"/>
      <c r="AJ140" s="4"/>
      <c r="AK140" s="4"/>
      <c r="AL140" s="4"/>
    </row>
    <row r="141" ht="15.75" customHeight="1">
      <c r="A141" s="29"/>
      <c r="B141" s="113">
        <v>45713.0</v>
      </c>
      <c r="C141" s="13" t="s">
        <v>106</v>
      </c>
      <c r="D141" s="115" t="s">
        <v>108</v>
      </c>
      <c r="E141" s="14" t="s">
        <v>39</v>
      </c>
      <c r="F141" s="56">
        <v>9.0</v>
      </c>
      <c r="G141" s="16" t="s">
        <v>24</v>
      </c>
      <c r="H141" s="56">
        <v>6.0</v>
      </c>
      <c r="I141" s="14" t="s">
        <v>118</v>
      </c>
      <c r="K141" s="17">
        <f t="shared" si="20"/>
        <v>2</v>
      </c>
      <c r="L141" s="18">
        <f t="shared" si="21"/>
        <v>0</v>
      </c>
      <c r="AD141" s="4"/>
      <c r="AE141" s="2"/>
      <c r="AF141" s="4"/>
      <c r="AG141" s="4"/>
      <c r="AH141" s="4"/>
      <c r="AI141" s="4"/>
      <c r="AJ141" s="4"/>
      <c r="AK141" s="4"/>
      <c r="AL141" s="4"/>
    </row>
    <row r="142" ht="15.75" customHeight="1">
      <c r="A142" s="37"/>
      <c r="B142" s="113">
        <v>45713.0</v>
      </c>
      <c r="C142" s="49" t="s">
        <v>106</v>
      </c>
      <c r="D142" s="115" t="s">
        <v>108</v>
      </c>
      <c r="E142" s="14" t="s">
        <v>38</v>
      </c>
      <c r="F142" s="56">
        <v>14.0</v>
      </c>
      <c r="G142" s="16" t="s">
        <v>24</v>
      </c>
      <c r="H142" s="56">
        <v>4.0</v>
      </c>
      <c r="I142" s="14" t="s">
        <v>117</v>
      </c>
      <c r="K142" s="17">
        <f t="shared" si="20"/>
        <v>2</v>
      </c>
      <c r="L142" s="18">
        <f t="shared" si="21"/>
        <v>0</v>
      </c>
      <c r="AD142" s="4"/>
      <c r="AE142" s="2"/>
      <c r="AF142" s="4"/>
      <c r="AG142" s="4"/>
      <c r="AH142" s="4"/>
      <c r="AI142" s="4"/>
      <c r="AJ142" s="4"/>
      <c r="AK142" s="4"/>
      <c r="AL142" s="4"/>
    </row>
    <row r="143" ht="15.75" customHeight="1">
      <c r="A143" s="117">
        <v>7.0</v>
      </c>
      <c r="B143" s="113">
        <v>45735.0</v>
      </c>
      <c r="C143" s="49" t="s">
        <v>75</v>
      </c>
      <c r="D143" s="49" t="s">
        <v>22</v>
      </c>
      <c r="E143" s="14" t="s">
        <v>117</v>
      </c>
      <c r="F143" s="56">
        <v>19.0</v>
      </c>
      <c r="G143" s="16" t="s">
        <v>24</v>
      </c>
      <c r="H143" s="56">
        <v>11.0</v>
      </c>
      <c r="I143" s="14" t="s">
        <v>50</v>
      </c>
      <c r="K143" s="17">
        <f t="shared" si="20"/>
        <v>2</v>
      </c>
      <c r="L143" s="18">
        <f t="shared" si="21"/>
        <v>0</v>
      </c>
      <c r="AD143" s="4"/>
      <c r="AE143" s="2"/>
      <c r="AF143" s="4"/>
      <c r="AG143" s="4"/>
      <c r="AH143" s="4"/>
      <c r="AI143" s="4"/>
      <c r="AJ143" s="4"/>
      <c r="AK143" s="4"/>
      <c r="AL143" s="4"/>
    </row>
    <row r="144" ht="15.75" customHeight="1">
      <c r="A144" s="29"/>
      <c r="B144" s="113">
        <v>45735.0</v>
      </c>
      <c r="C144" s="49" t="s">
        <v>75</v>
      </c>
      <c r="D144" s="49" t="s">
        <v>22</v>
      </c>
      <c r="E144" s="14" t="s">
        <v>71</v>
      </c>
      <c r="F144" s="56">
        <v>5.0</v>
      </c>
      <c r="G144" s="16" t="s">
        <v>24</v>
      </c>
      <c r="H144" s="56">
        <v>14.0</v>
      </c>
      <c r="I144" s="14" t="s">
        <v>94</v>
      </c>
      <c r="K144" s="17">
        <f t="shared" si="20"/>
        <v>0</v>
      </c>
      <c r="L144" s="18">
        <f t="shared" si="21"/>
        <v>2</v>
      </c>
      <c r="AD144" s="4"/>
      <c r="AE144" s="2"/>
      <c r="AF144" s="4"/>
      <c r="AG144" s="4"/>
      <c r="AH144" s="4"/>
      <c r="AI144" s="4"/>
      <c r="AJ144" s="4"/>
      <c r="AK144" s="4"/>
      <c r="AL144" s="4"/>
    </row>
    <row r="145" ht="15.75" customHeight="1">
      <c r="A145" s="29"/>
      <c r="B145" s="113">
        <v>45735.0</v>
      </c>
      <c r="C145" s="49" t="s">
        <v>89</v>
      </c>
      <c r="D145" s="49" t="s">
        <v>22</v>
      </c>
      <c r="E145" s="14" t="s">
        <v>96</v>
      </c>
      <c r="F145" s="56">
        <v>1.0</v>
      </c>
      <c r="G145" s="16" t="s">
        <v>24</v>
      </c>
      <c r="H145" s="56">
        <v>8.0</v>
      </c>
      <c r="I145" s="14" t="s">
        <v>116</v>
      </c>
      <c r="K145" s="17">
        <f t="shared" si="20"/>
        <v>0</v>
      </c>
      <c r="L145" s="18">
        <f t="shared" si="21"/>
        <v>2</v>
      </c>
      <c r="AD145" s="4"/>
      <c r="AE145" s="2"/>
      <c r="AF145" s="4"/>
      <c r="AG145" s="4"/>
      <c r="AH145" s="4"/>
      <c r="AI145" s="4"/>
      <c r="AJ145" s="4"/>
      <c r="AK145" s="4"/>
      <c r="AL145" s="4"/>
    </row>
    <row r="146" ht="15.75" customHeight="1">
      <c r="A146" s="29"/>
      <c r="B146" s="113">
        <v>45735.0</v>
      </c>
      <c r="C146" s="49" t="s">
        <v>89</v>
      </c>
      <c r="D146" s="49" t="s">
        <v>22</v>
      </c>
      <c r="E146" s="14" t="s">
        <v>86</v>
      </c>
      <c r="F146" s="56">
        <v>7.0</v>
      </c>
      <c r="G146" s="16" t="s">
        <v>24</v>
      </c>
      <c r="H146" s="56">
        <v>10.0</v>
      </c>
      <c r="I146" s="14" t="s">
        <v>39</v>
      </c>
      <c r="K146" s="17">
        <f t="shared" si="20"/>
        <v>0</v>
      </c>
      <c r="L146" s="18">
        <f t="shared" si="21"/>
        <v>2</v>
      </c>
      <c r="AD146" s="4"/>
      <c r="AE146" s="2"/>
      <c r="AF146" s="4"/>
      <c r="AG146" s="4"/>
      <c r="AH146" s="4"/>
      <c r="AI146" s="4"/>
      <c r="AJ146" s="4"/>
      <c r="AK146" s="4"/>
      <c r="AL146" s="4"/>
    </row>
    <row r="147" ht="15.75" customHeight="1">
      <c r="A147" s="37"/>
      <c r="B147" s="113">
        <v>45735.0</v>
      </c>
      <c r="C147" s="49" t="s">
        <v>90</v>
      </c>
      <c r="D147" s="49" t="s">
        <v>22</v>
      </c>
      <c r="E147" s="14" t="s">
        <v>118</v>
      </c>
      <c r="F147" s="56">
        <v>7.0</v>
      </c>
      <c r="G147" s="16" t="s">
        <v>24</v>
      </c>
      <c r="H147" s="56">
        <v>16.0</v>
      </c>
      <c r="I147" s="14" t="s">
        <v>38</v>
      </c>
      <c r="K147" s="17">
        <f t="shared" si="20"/>
        <v>0</v>
      </c>
      <c r="L147" s="18">
        <f t="shared" si="21"/>
        <v>2</v>
      </c>
      <c r="AD147" s="4"/>
      <c r="AE147" s="2"/>
      <c r="AF147" s="4"/>
      <c r="AG147" s="4"/>
      <c r="AH147" s="4"/>
      <c r="AI147" s="4"/>
      <c r="AJ147" s="4"/>
      <c r="AK147" s="4"/>
      <c r="AL147" s="4"/>
    </row>
    <row r="148" ht="15.75" customHeight="1">
      <c r="A148" s="117">
        <v>8.0</v>
      </c>
      <c r="B148" s="113">
        <v>45735.0</v>
      </c>
      <c r="C148" s="49" t="s">
        <v>76</v>
      </c>
      <c r="D148" s="49" t="s">
        <v>22</v>
      </c>
      <c r="E148" s="14" t="s">
        <v>50</v>
      </c>
      <c r="F148" s="56">
        <v>13.0</v>
      </c>
      <c r="G148" s="16" t="s">
        <v>24</v>
      </c>
      <c r="H148" s="56">
        <v>19.0</v>
      </c>
      <c r="I148" s="14" t="s">
        <v>38</v>
      </c>
      <c r="K148" s="17">
        <f t="shared" si="20"/>
        <v>0</v>
      </c>
      <c r="L148" s="18">
        <f t="shared" si="21"/>
        <v>2</v>
      </c>
      <c r="AD148" s="4"/>
      <c r="AE148" s="2"/>
      <c r="AF148" s="4"/>
      <c r="AG148" s="4"/>
      <c r="AH148" s="4"/>
      <c r="AI148" s="4"/>
      <c r="AJ148" s="4"/>
      <c r="AK148" s="4"/>
      <c r="AL148" s="4"/>
    </row>
    <row r="149" ht="15.75" customHeight="1">
      <c r="A149" s="29"/>
      <c r="B149" s="113">
        <v>45735.0</v>
      </c>
      <c r="C149" s="49" t="s">
        <v>90</v>
      </c>
      <c r="D149" s="49" t="s">
        <v>22</v>
      </c>
      <c r="E149" s="14" t="s">
        <v>94</v>
      </c>
      <c r="F149" s="56">
        <v>19.0</v>
      </c>
      <c r="G149" s="16" t="s">
        <v>24</v>
      </c>
      <c r="H149" s="56">
        <v>15.0</v>
      </c>
      <c r="I149" s="14" t="s">
        <v>117</v>
      </c>
      <c r="K149" s="17">
        <f t="shared" si="20"/>
        <v>2</v>
      </c>
      <c r="L149" s="18">
        <f t="shared" si="21"/>
        <v>0</v>
      </c>
      <c r="AD149" s="4"/>
      <c r="AE149" s="2"/>
      <c r="AF149" s="4"/>
      <c r="AG149" s="4"/>
      <c r="AH149" s="4"/>
      <c r="AI149" s="4"/>
      <c r="AJ149" s="4"/>
      <c r="AK149" s="4"/>
      <c r="AL149" s="4"/>
    </row>
    <row r="150" ht="15.75" customHeight="1">
      <c r="A150" s="29"/>
      <c r="B150" s="113">
        <v>45735.0</v>
      </c>
      <c r="C150" s="49" t="s">
        <v>76</v>
      </c>
      <c r="D150" s="49" t="s">
        <v>22</v>
      </c>
      <c r="E150" s="14" t="s">
        <v>116</v>
      </c>
      <c r="F150" s="56">
        <v>9.0</v>
      </c>
      <c r="G150" s="16" t="s">
        <v>24</v>
      </c>
      <c r="H150" s="56">
        <v>10.0</v>
      </c>
      <c r="I150" s="14" t="s">
        <v>71</v>
      </c>
      <c r="K150" s="17">
        <f t="shared" si="20"/>
        <v>0</v>
      </c>
      <c r="L150" s="18">
        <f t="shared" si="21"/>
        <v>2</v>
      </c>
      <c r="AD150" s="4"/>
      <c r="AE150" s="2"/>
      <c r="AF150" s="4"/>
      <c r="AG150" s="4"/>
      <c r="AH150" s="4"/>
      <c r="AI150" s="4"/>
      <c r="AJ150" s="4"/>
      <c r="AK150" s="4"/>
      <c r="AL150" s="4"/>
    </row>
    <row r="151" ht="15.75" customHeight="1">
      <c r="A151" s="29"/>
      <c r="B151" s="113">
        <v>45735.0</v>
      </c>
      <c r="C151" s="49" t="s">
        <v>91</v>
      </c>
      <c r="D151" s="49" t="s">
        <v>22</v>
      </c>
      <c r="E151" s="14" t="s">
        <v>39</v>
      </c>
      <c r="F151" s="56">
        <v>20.0</v>
      </c>
      <c r="G151" s="16" t="s">
        <v>24</v>
      </c>
      <c r="H151" s="56">
        <v>1.0</v>
      </c>
      <c r="I151" s="14" t="s">
        <v>96</v>
      </c>
      <c r="K151" s="17">
        <f t="shared" si="20"/>
        <v>2</v>
      </c>
      <c r="L151" s="18">
        <f t="shared" si="21"/>
        <v>0</v>
      </c>
      <c r="AD151" s="4"/>
      <c r="AE151" s="2"/>
      <c r="AF151" s="4"/>
      <c r="AG151" s="4"/>
      <c r="AH151" s="4"/>
      <c r="AI151" s="4"/>
      <c r="AJ151" s="4"/>
      <c r="AK151" s="4"/>
      <c r="AL151" s="4"/>
    </row>
    <row r="152" ht="15.75" customHeight="1">
      <c r="A152" s="37"/>
      <c r="B152" s="113">
        <v>45735.0</v>
      </c>
      <c r="C152" s="49" t="s">
        <v>91</v>
      </c>
      <c r="D152" s="49" t="s">
        <v>22</v>
      </c>
      <c r="E152" s="14" t="s">
        <v>86</v>
      </c>
      <c r="F152" s="56">
        <v>10.0</v>
      </c>
      <c r="G152" s="16" t="s">
        <v>24</v>
      </c>
      <c r="H152" s="56">
        <v>12.0</v>
      </c>
      <c r="I152" s="14" t="s">
        <v>118</v>
      </c>
      <c r="K152" s="17">
        <f t="shared" si="20"/>
        <v>0</v>
      </c>
      <c r="L152" s="18">
        <f t="shared" si="21"/>
        <v>2</v>
      </c>
      <c r="AD152" s="4"/>
      <c r="AE152" s="2"/>
      <c r="AF152" s="4"/>
      <c r="AG152" s="4"/>
      <c r="AH152" s="4"/>
      <c r="AI152" s="4"/>
      <c r="AJ152" s="4"/>
      <c r="AK152" s="4"/>
      <c r="AL152" s="4"/>
    </row>
    <row r="153" ht="15.75" customHeight="1">
      <c r="A153" s="117">
        <v>9.0</v>
      </c>
      <c r="B153" s="113">
        <v>45784.0</v>
      </c>
      <c r="C153" s="49" t="s">
        <v>77</v>
      </c>
      <c r="D153" s="49" t="s">
        <v>22</v>
      </c>
      <c r="E153" s="14" t="s">
        <v>118</v>
      </c>
      <c r="F153" s="56">
        <v>4.0</v>
      </c>
      <c r="G153" s="16" t="s">
        <v>24</v>
      </c>
      <c r="H153" s="56">
        <v>14.0</v>
      </c>
      <c r="I153" s="14" t="s">
        <v>50</v>
      </c>
      <c r="K153" s="17">
        <f t="shared" si="20"/>
        <v>0</v>
      </c>
      <c r="L153" s="18">
        <f t="shared" si="21"/>
        <v>2</v>
      </c>
      <c r="AD153" s="4"/>
      <c r="AE153" s="2"/>
      <c r="AF153" s="4"/>
      <c r="AG153" s="4"/>
      <c r="AH153" s="4"/>
      <c r="AI153" s="4"/>
      <c r="AJ153" s="4"/>
      <c r="AK153" s="4"/>
      <c r="AL153" s="4"/>
    </row>
    <row r="154" ht="15.75" customHeight="1">
      <c r="A154" s="29"/>
      <c r="B154" s="113">
        <v>45784.0</v>
      </c>
      <c r="C154" s="49" t="s">
        <v>77</v>
      </c>
      <c r="D154" s="49" t="s">
        <v>22</v>
      </c>
      <c r="E154" s="14" t="s">
        <v>38</v>
      </c>
      <c r="F154" s="56">
        <v>16.0</v>
      </c>
      <c r="G154" s="16" t="s">
        <v>24</v>
      </c>
      <c r="H154" s="56">
        <v>14.0</v>
      </c>
      <c r="I154" s="14" t="s">
        <v>94</v>
      </c>
      <c r="K154" s="17">
        <f t="shared" si="20"/>
        <v>2</v>
      </c>
      <c r="L154" s="18">
        <f t="shared" si="21"/>
        <v>0</v>
      </c>
      <c r="AD154" s="4"/>
      <c r="AE154" s="2"/>
      <c r="AF154" s="4"/>
      <c r="AG154" s="4"/>
      <c r="AH154" s="4"/>
      <c r="AI154" s="4"/>
      <c r="AJ154" s="4"/>
      <c r="AK154" s="4"/>
      <c r="AL154" s="4"/>
    </row>
    <row r="155" ht="15.75" customHeight="1">
      <c r="A155" s="29"/>
      <c r="B155" s="113">
        <v>45784.0</v>
      </c>
      <c r="C155" s="49" t="s">
        <v>100</v>
      </c>
      <c r="D155" s="49" t="s">
        <v>22</v>
      </c>
      <c r="E155" s="14" t="s">
        <v>117</v>
      </c>
      <c r="F155" s="56">
        <v>21.0</v>
      </c>
      <c r="G155" s="16" t="s">
        <v>24</v>
      </c>
      <c r="H155" s="56">
        <v>0.0</v>
      </c>
      <c r="I155" s="14" t="s">
        <v>116</v>
      </c>
      <c r="K155" s="17">
        <f t="shared" si="20"/>
        <v>2</v>
      </c>
      <c r="L155" s="18">
        <f t="shared" si="21"/>
        <v>0</v>
      </c>
      <c r="AD155" s="4"/>
      <c r="AE155" s="2"/>
      <c r="AF155" s="4"/>
      <c r="AG155" s="4"/>
      <c r="AH155" s="4"/>
      <c r="AI155" s="4"/>
      <c r="AJ155" s="4"/>
      <c r="AK155" s="4"/>
      <c r="AL155" s="4"/>
    </row>
    <row r="156" ht="15.75" customHeight="1">
      <c r="A156" s="29"/>
      <c r="B156" s="113">
        <v>45784.0</v>
      </c>
      <c r="C156" s="49" t="s">
        <v>100</v>
      </c>
      <c r="D156" s="49" t="s">
        <v>22</v>
      </c>
      <c r="E156" s="14" t="s">
        <v>71</v>
      </c>
      <c r="F156" s="56">
        <v>8.0</v>
      </c>
      <c r="G156" s="16" t="s">
        <v>24</v>
      </c>
      <c r="H156" s="56">
        <v>10.0</v>
      </c>
      <c r="I156" s="14" t="s">
        <v>39</v>
      </c>
      <c r="K156" s="17">
        <f t="shared" si="20"/>
        <v>0</v>
      </c>
      <c r="L156" s="18">
        <f t="shared" si="21"/>
        <v>2</v>
      </c>
      <c r="AD156" s="4"/>
      <c r="AE156" s="2"/>
      <c r="AF156" s="4"/>
      <c r="AG156" s="4"/>
      <c r="AH156" s="4"/>
      <c r="AI156" s="4"/>
      <c r="AJ156" s="4"/>
      <c r="AK156" s="4"/>
      <c r="AL156" s="4"/>
    </row>
    <row r="157" ht="15.75" customHeight="1">
      <c r="A157" s="37"/>
      <c r="B157" s="113">
        <v>45784.0</v>
      </c>
      <c r="C157" s="49" t="s">
        <v>101</v>
      </c>
      <c r="D157" s="49" t="s">
        <v>22</v>
      </c>
      <c r="E157" s="14" t="s">
        <v>96</v>
      </c>
      <c r="F157" s="56">
        <v>5.0</v>
      </c>
      <c r="G157" s="16" t="s">
        <v>24</v>
      </c>
      <c r="H157" s="56">
        <v>7.0</v>
      </c>
      <c r="I157" s="14" t="s">
        <v>86</v>
      </c>
      <c r="K157" s="17">
        <f t="shared" si="20"/>
        <v>0</v>
      </c>
      <c r="L157" s="18">
        <f t="shared" si="21"/>
        <v>2</v>
      </c>
      <c r="AD157" s="4"/>
      <c r="AE157" s="2"/>
      <c r="AF157" s="4"/>
      <c r="AG157" s="4"/>
      <c r="AH157" s="4"/>
      <c r="AI157" s="4"/>
      <c r="AJ157" s="4"/>
      <c r="AK157" s="4"/>
      <c r="AL157" s="4"/>
    </row>
    <row r="158" ht="15.75" customHeight="1">
      <c r="A158" s="122"/>
      <c r="E158" s="2"/>
      <c r="I158" s="2"/>
      <c r="AD158" s="4"/>
      <c r="AE158" s="2"/>
      <c r="AF158" s="4"/>
      <c r="AG158" s="4"/>
      <c r="AH158" s="4"/>
      <c r="AI158" s="4"/>
      <c r="AJ158" s="4"/>
      <c r="AK158" s="4"/>
      <c r="AL158" s="4"/>
    </row>
    <row r="159" ht="15.75" customHeight="1">
      <c r="A159" s="122"/>
      <c r="E159" s="2"/>
      <c r="I159" s="2"/>
      <c r="AD159" s="4"/>
      <c r="AE159" s="2"/>
      <c r="AF159" s="4"/>
      <c r="AG159" s="4"/>
      <c r="AH159" s="4"/>
      <c r="AI159" s="4"/>
      <c r="AJ159" s="4"/>
      <c r="AK159" s="4"/>
      <c r="AL159" s="4"/>
    </row>
    <row r="160" ht="15.75" customHeight="1">
      <c r="A160" s="122"/>
      <c r="E160" s="2"/>
      <c r="I160" s="2"/>
      <c r="AD160" s="4"/>
      <c r="AE160" s="2"/>
      <c r="AF160" s="4"/>
      <c r="AG160" s="4"/>
      <c r="AH160" s="4"/>
      <c r="AI160" s="4"/>
      <c r="AJ160" s="4"/>
      <c r="AK160" s="4"/>
      <c r="AL160" s="4"/>
    </row>
    <row r="161" ht="15.75" customHeight="1">
      <c r="A161" s="122"/>
      <c r="E161" s="2"/>
      <c r="I161" s="2"/>
      <c r="AD161" s="4"/>
      <c r="AE161" s="2"/>
      <c r="AF161" s="4"/>
      <c r="AG161" s="4"/>
      <c r="AH161" s="4"/>
      <c r="AI161" s="4"/>
      <c r="AJ161" s="4"/>
      <c r="AK161" s="4"/>
      <c r="AL161" s="4"/>
    </row>
    <row r="162" ht="15.75" customHeight="1">
      <c r="A162" s="122"/>
      <c r="E162" s="2"/>
      <c r="I162" s="2"/>
      <c r="AD162" s="4"/>
      <c r="AE162" s="2"/>
      <c r="AF162" s="4"/>
      <c r="AG162" s="4"/>
      <c r="AH162" s="4"/>
      <c r="AI162" s="4"/>
      <c r="AJ162" s="4"/>
      <c r="AK162" s="4"/>
      <c r="AL162" s="4"/>
    </row>
    <row r="163" ht="15.75" customHeight="1">
      <c r="A163" s="122"/>
      <c r="E163" s="2"/>
      <c r="I163" s="2"/>
      <c r="AD163" s="4"/>
      <c r="AE163" s="2"/>
      <c r="AF163" s="4"/>
      <c r="AG163" s="4"/>
      <c r="AH163" s="4"/>
      <c r="AI163" s="4"/>
      <c r="AJ163" s="4"/>
      <c r="AK163" s="4"/>
      <c r="AL163" s="4"/>
    </row>
    <row r="164" ht="15.75" customHeight="1">
      <c r="A164" s="122"/>
      <c r="E164" s="2"/>
      <c r="I164" s="2"/>
      <c r="AD164" s="4"/>
      <c r="AE164" s="2"/>
      <c r="AF164" s="4"/>
      <c r="AG164" s="4"/>
      <c r="AH164" s="4"/>
      <c r="AI164" s="4"/>
      <c r="AJ164" s="4"/>
      <c r="AK164" s="4"/>
      <c r="AL164" s="4"/>
    </row>
    <row r="165" ht="15.75" customHeight="1">
      <c r="A165" s="122"/>
      <c r="E165" s="2"/>
      <c r="I165" s="2"/>
      <c r="AD165" s="4"/>
      <c r="AE165" s="2"/>
      <c r="AF165" s="4"/>
      <c r="AG165" s="4"/>
      <c r="AH165" s="4"/>
      <c r="AI165" s="4"/>
      <c r="AJ165" s="4"/>
      <c r="AK165" s="4"/>
      <c r="AL165" s="4"/>
    </row>
    <row r="166" ht="15.75" customHeight="1">
      <c r="A166" s="122"/>
      <c r="E166" s="2"/>
      <c r="I166" s="2"/>
      <c r="AD166" s="4"/>
      <c r="AE166" s="2"/>
      <c r="AF166" s="4"/>
      <c r="AG166" s="4"/>
      <c r="AH166" s="4"/>
      <c r="AI166" s="4"/>
      <c r="AJ166" s="4"/>
      <c r="AK166" s="4"/>
      <c r="AL166" s="4"/>
    </row>
    <row r="167" ht="15.75" customHeight="1">
      <c r="A167" s="122"/>
      <c r="E167" s="2"/>
      <c r="I167" s="2"/>
      <c r="AD167" s="4"/>
      <c r="AE167" s="2"/>
      <c r="AF167" s="4"/>
      <c r="AG167" s="4"/>
      <c r="AH167" s="4"/>
      <c r="AI167" s="4"/>
      <c r="AJ167" s="4"/>
      <c r="AK167" s="4"/>
      <c r="AL167" s="4"/>
    </row>
    <row r="168" ht="15.75" customHeight="1">
      <c r="A168" s="122"/>
      <c r="E168" s="2"/>
      <c r="I168" s="2"/>
      <c r="AD168" s="4"/>
      <c r="AE168" s="2"/>
      <c r="AF168" s="4"/>
      <c r="AG168" s="4"/>
      <c r="AH168" s="4"/>
      <c r="AI168" s="4"/>
      <c r="AJ168" s="4"/>
      <c r="AK168" s="4"/>
      <c r="AL168" s="4"/>
    </row>
    <row r="169" ht="15.75" customHeight="1">
      <c r="A169" s="122"/>
      <c r="E169" s="2"/>
      <c r="I169" s="2"/>
      <c r="AD169" s="4"/>
      <c r="AE169" s="2"/>
      <c r="AF169" s="4"/>
      <c r="AG169" s="4"/>
      <c r="AH169" s="4"/>
      <c r="AI169" s="4"/>
      <c r="AJ169" s="4"/>
      <c r="AK169" s="4"/>
      <c r="AL169" s="4"/>
    </row>
    <row r="170" ht="15.75" customHeight="1">
      <c r="A170" s="122"/>
      <c r="E170" s="2"/>
      <c r="I170" s="2"/>
      <c r="AD170" s="4"/>
      <c r="AE170" s="2"/>
      <c r="AF170" s="4"/>
      <c r="AG170" s="4"/>
      <c r="AH170" s="4"/>
      <c r="AI170" s="4"/>
      <c r="AJ170" s="4"/>
      <c r="AK170" s="4"/>
      <c r="AL170" s="4"/>
    </row>
    <row r="171" ht="15.75" customHeight="1">
      <c r="A171" s="122"/>
      <c r="E171" s="2"/>
      <c r="I171" s="2"/>
      <c r="AD171" s="4"/>
      <c r="AE171" s="2"/>
      <c r="AF171" s="4"/>
      <c r="AG171" s="4"/>
      <c r="AH171" s="4"/>
      <c r="AI171" s="4"/>
      <c r="AJ171" s="4"/>
      <c r="AK171" s="4"/>
      <c r="AL171" s="4"/>
    </row>
    <row r="172" ht="15.75" customHeight="1">
      <c r="A172" s="122"/>
      <c r="E172" s="2"/>
      <c r="I172" s="2"/>
      <c r="AD172" s="4"/>
      <c r="AE172" s="2"/>
      <c r="AF172" s="4"/>
      <c r="AG172" s="4"/>
      <c r="AH172" s="4"/>
      <c r="AI172" s="4"/>
      <c r="AJ172" s="4"/>
      <c r="AK172" s="4"/>
      <c r="AL172" s="4"/>
    </row>
    <row r="173" ht="15.75" customHeight="1">
      <c r="A173" s="122"/>
      <c r="E173" s="2"/>
      <c r="I173" s="2"/>
      <c r="AD173" s="4"/>
      <c r="AE173" s="2"/>
      <c r="AF173" s="4"/>
      <c r="AG173" s="4"/>
      <c r="AH173" s="4"/>
      <c r="AI173" s="4"/>
      <c r="AJ173" s="4"/>
      <c r="AK173" s="4"/>
      <c r="AL173" s="4"/>
    </row>
    <row r="174" ht="15.75" customHeight="1">
      <c r="A174" s="122"/>
      <c r="E174" s="2"/>
      <c r="I174" s="2"/>
      <c r="AD174" s="4"/>
      <c r="AE174" s="2"/>
      <c r="AF174" s="4"/>
      <c r="AG174" s="4"/>
      <c r="AH174" s="4"/>
      <c r="AI174" s="4"/>
      <c r="AJ174" s="4"/>
      <c r="AK174" s="4"/>
      <c r="AL174" s="4"/>
    </row>
    <row r="175" ht="15.75" customHeight="1">
      <c r="A175" s="122"/>
      <c r="E175" s="2"/>
      <c r="I175" s="2"/>
      <c r="AD175" s="4"/>
      <c r="AE175" s="2"/>
      <c r="AF175" s="4"/>
      <c r="AG175" s="4"/>
      <c r="AH175" s="4"/>
      <c r="AI175" s="4"/>
      <c r="AJ175" s="4"/>
      <c r="AK175" s="4"/>
      <c r="AL175" s="4"/>
    </row>
    <row r="176" ht="15.75" customHeight="1">
      <c r="A176" s="122"/>
      <c r="E176" s="2"/>
      <c r="I176" s="2"/>
      <c r="AD176" s="4"/>
      <c r="AE176" s="2"/>
      <c r="AF176" s="4"/>
      <c r="AG176" s="4"/>
      <c r="AH176" s="4"/>
      <c r="AI176" s="4"/>
      <c r="AJ176" s="4"/>
      <c r="AK176" s="4"/>
      <c r="AL176" s="4"/>
    </row>
    <row r="177" ht="15.75" customHeight="1">
      <c r="A177" s="122"/>
      <c r="E177" s="2"/>
      <c r="I177" s="2"/>
      <c r="AD177" s="4"/>
      <c r="AE177" s="2"/>
      <c r="AF177" s="4"/>
      <c r="AG177" s="4"/>
      <c r="AH177" s="4"/>
      <c r="AI177" s="4"/>
      <c r="AJ177" s="4"/>
      <c r="AK177" s="4"/>
      <c r="AL177" s="4"/>
    </row>
    <row r="178" ht="15.75" customHeight="1">
      <c r="A178" s="122"/>
      <c r="E178" s="2"/>
      <c r="I178" s="2"/>
      <c r="AD178" s="4"/>
      <c r="AE178" s="2"/>
      <c r="AF178" s="4"/>
      <c r="AG178" s="4"/>
      <c r="AH178" s="4"/>
      <c r="AI178" s="4"/>
      <c r="AJ178" s="4"/>
      <c r="AK178" s="4"/>
      <c r="AL178" s="4"/>
    </row>
    <row r="179" ht="15.75" customHeight="1">
      <c r="A179" s="122"/>
      <c r="E179" s="2"/>
      <c r="I179" s="2"/>
      <c r="AD179" s="4"/>
      <c r="AE179" s="2"/>
      <c r="AF179" s="4"/>
      <c r="AG179" s="4"/>
      <c r="AH179" s="4"/>
      <c r="AI179" s="4"/>
      <c r="AJ179" s="4"/>
      <c r="AK179" s="4"/>
      <c r="AL179" s="4"/>
    </row>
    <row r="180" ht="15.75" customHeight="1">
      <c r="A180" s="122"/>
      <c r="E180" s="2"/>
      <c r="I180" s="2"/>
      <c r="AD180" s="4"/>
      <c r="AE180" s="2"/>
      <c r="AF180" s="4"/>
      <c r="AG180" s="4"/>
      <c r="AH180" s="4"/>
      <c r="AI180" s="4"/>
      <c r="AJ180" s="4"/>
      <c r="AK180" s="4"/>
      <c r="AL180" s="4"/>
    </row>
    <row r="181" ht="15.75" customHeight="1">
      <c r="A181" s="122"/>
      <c r="E181" s="2"/>
      <c r="I181" s="2"/>
      <c r="AD181" s="4"/>
      <c r="AE181" s="2"/>
      <c r="AF181" s="4"/>
      <c r="AG181" s="4"/>
      <c r="AH181" s="4"/>
      <c r="AI181" s="4"/>
      <c r="AJ181" s="4"/>
      <c r="AK181" s="4"/>
      <c r="AL181" s="4"/>
    </row>
    <row r="182" ht="15.75" customHeight="1">
      <c r="A182" s="122"/>
      <c r="E182" s="2"/>
      <c r="I182" s="2"/>
      <c r="AD182" s="4"/>
      <c r="AE182" s="2"/>
      <c r="AF182" s="4"/>
      <c r="AG182" s="4"/>
      <c r="AH182" s="4"/>
      <c r="AI182" s="4"/>
      <c r="AJ182" s="4"/>
      <c r="AK182" s="4"/>
      <c r="AL182" s="4"/>
    </row>
    <row r="183" ht="15.75" customHeight="1">
      <c r="A183" s="122"/>
      <c r="E183" s="2"/>
      <c r="I183" s="2"/>
      <c r="AD183" s="4"/>
      <c r="AE183" s="2"/>
      <c r="AF183" s="4"/>
      <c r="AG183" s="4"/>
      <c r="AH183" s="4"/>
      <c r="AI183" s="4"/>
      <c r="AJ183" s="4"/>
      <c r="AK183" s="4"/>
      <c r="AL183" s="4"/>
    </row>
    <row r="184" ht="15.75" customHeight="1">
      <c r="A184" s="122"/>
      <c r="E184" s="2"/>
      <c r="I184" s="2"/>
      <c r="AD184" s="4"/>
      <c r="AE184" s="2"/>
      <c r="AF184" s="4"/>
      <c r="AG184" s="4"/>
      <c r="AH184" s="4"/>
      <c r="AI184" s="4"/>
      <c r="AJ184" s="4"/>
      <c r="AK184" s="4"/>
      <c r="AL184" s="4"/>
    </row>
    <row r="185" ht="15.75" customHeight="1">
      <c r="A185" s="122"/>
      <c r="E185" s="2"/>
      <c r="I185" s="2"/>
      <c r="AD185" s="4"/>
      <c r="AE185" s="2"/>
      <c r="AF185" s="4"/>
      <c r="AG185" s="4"/>
      <c r="AH185" s="4"/>
      <c r="AI185" s="4"/>
      <c r="AJ185" s="4"/>
      <c r="AK185" s="4"/>
      <c r="AL185" s="4"/>
    </row>
    <row r="186" ht="15.75" customHeight="1">
      <c r="A186" s="122"/>
      <c r="E186" s="2"/>
      <c r="I186" s="2"/>
      <c r="AD186" s="4"/>
      <c r="AE186" s="2"/>
      <c r="AF186" s="4"/>
      <c r="AG186" s="4"/>
      <c r="AH186" s="4"/>
      <c r="AI186" s="4"/>
      <c r="AJ186" s="4"/>
      <c r="AK186" s="4"/>
      <c r="AL186" s="4"/>
    </row>
    <row r="187" ht="15.75" customHeight="1">
      <c r="A187" s="122"/>
      <c r="E187" s="2"/>
      <c r="I187" s="2"/>
      <c r="AD187" s="4"/>
      <c r="AE187" s="2"/>
      <c r="AF187" s="4"/>
      <c r="AG187" s="4"/>
      <c r="AH187" s="4"/>
      <c r="AI187" s="4"/>
      <c r="AJ187" s="4"/>
      <c r="AK187" s="4"/>
      <c r="AL187" s="4"/>
    </row>
    <row r="188" ht="15.75" customHeight="1">
      <c r="A188" s="122"/>
      <c r="E188" s="2"/>
      <c r="I188" s="2"/>
      <c r="AD188" s="4"/>
      <c r="AE188" s="2"/>
      <c r="AF188" s="4"/>
      <c r="AG188" s="4"/>
      <c r="AH188" s="4"/>
      <c r="AI188" s="4"/>
      <c r="AJ188" s="4"/>
      <c r="AK188" s="4"/>
      <c r="AL188" s="4"/>
    </row>
    <row r="189" ht="15.75" customHeight="1">
      <c r="A189" s="122"/>
      <c r="E189" s="2"/>
      <c r="I189" s="2"/>
      <c r="AD189" s="4"/>
      <c r="AE189" s="2"/>
      <c r="AF189" s="4"/>
      <c r="AG189" s="4"/>
      <c r="AH189" s="4"/>
      <c r="AI189" s="4"/>
      <c r="AJ189" s="4"/>
      <c r="AK189" s="4"/>
      <c r="AL189" s="4"/>
    </row>
    <row r="190" ht="15.75" customHeight="1">
      <c r="A190" s="122"/>
      <c r="E190" s="2"/>
      <c r="I190" s="2"/>
      <c r="AD190" s="4"/>
      <c r="AE190" s="2"/>
      <c r="AF190" s="4"/>
      <c r="AG190" s="4"/>
      <c r="AH190" s="4"/>
      <c r="AI190" s="4"/>
      <c r="AJ190" s="4"/>
      <c r="AK190" s="4"/>
      <c r="AL190" s="4"/>
    </row>
    <row r="191" ht="15.75" customHeight="1">
      <c r="A191" s="122"/>
      <c r="E191" s="2"/>
      <c r="I191" s="2"/>
      <c r="AD191" s="4"/>
      <c r="AE191" s="2"/>
      <c r="AF191" s="4"/>
      <c r="AG191" s="4"/>
      <c r="AH191" s="4"/>
      <c r="AI191" s="4"/>
      <c r="AJ191" s="4"/>
      <c r="AK191" s="4"/>
      <c r="AL191" s="4"/>
    </row>
    <row r="192" ht="15.75" customHeight="1">
      <c r="A192" s="122"/>
      <c r="E192" s="2"/>
      <c r="I192" s="2"/>
      <c r="AD192" s="4"/>
      <c r="AE192" s="2"/>
      <c r="AF192" s="4"/>
      <c r="AG192" s="4"/>
      <c r="AH192" s="4"/>
      <c r="AI192" s="4"/>
      <c r="AJ192" s="4"/>
      <c r="AK192" s="4"/>
      <c r="AL192" s="4"/>
    </row>
    <row r="193" ht="15.75" customHeight="1">
      <c r="A193" s="122"/>
      <c r="E193" s="2"/>
      <c r="I193" s="2"/>
      <c r="AD193" s="4"/>
      <c r="AE193" s="2"/>
      <c r="AF193" s="4"/>
      <c r="AG193" s="4"/>
      <c r="AH193" s="4"/>
      <c r="AI193" s="4"/>
      <c r="AJ193" s="4"/>
      <c r="AK193" s="4"/>
      <c r="AL193" s="4"/>
    </row>
    <row r="194" ht="15.75" customHeight="1">
      <c r="A194" s="122"/>
      <c r="E194" s="2"/>
      <c r="I194" s="2"/>
      <c r="AD194" s="4"/>
      <c r="AE194" s="2"/>
      <c r="AF194" s="4"/>
      <c r="AG194" s="4"/>
      <c r="AH194" s="4"/>
      <c r="AI194" s="4"/>
      <c r="AJ194" s="4"/>
      <c r="AK194" s="4"/>
      <c r="AL194" s="4"/>
    </row>
    <row r="195" ht="15.75" customHeight="1">
      <c r="A195" s="122"/>
      <c r="E195" s="2"/>
      <c r="I195" s="2"/>
      <c r="AD195" s="4"/>
      <c r="AE195" s="2"/>
      <c r="AF195" s="4"/>
      <c r="AG195" s="4"/>
      <c r="AH195" s="4"/>
      <c r="AI195" s="4"/>
      <c r="AJ195" s="4"/>
      <c r="AK195" s="4"/>
      <c r="AL195" s="4"/>
    </row>
    <row r="196" ht="15.75" customHeight="1">
      <c r="A196" s="122"/>
      <c r="E196" s="2"/>
      <c r="I196" s="2"/>
      <c r="AD196" s="4"/>
      <c r="AE196" s="2"/>
      <c r="AF196" s="4"/>
      <c r="AG196" s="4"/>
      <c r="AH196" s="4"/>
      <c r="AI196" s="4"/>
      <c r="AJ196" s="4"/>
      <c r="AK196" s="4"/>
      <c r="AL196" s="4"/>
    </row>
    <row r="197" ht="15.75" customHeight="1">
      <c r="A197" s="122"/>
      <c r="E197" s="2"/>
      <c r="I197" s="2"/>
      <c r="AD197" s="4"/>
      <c r="AE197" s="2"/>
      <c r="AF197" s="4"/>
      <c r="AG197" s="4"/>
      <c r="AH197" s="4"/>
      <c r="AI197" s="4"/>
      <c r="AJ197" s="4"/>
      <c r="AK197" s="4"/>
      <c r="AL197" s="4"/>
    </row>
    <row r="198" ht="15.75" customHeight="1">
      <c r="A198" s="122"/>
      <c r="E198" s="2"/>
      <c r="I198" s="2"/>
      <c r="AD198" s="4"/>
      <c r="AE198" s="2"/>
      <c r="AF198" s="4"/>
      <c r="AG198" s="4"/>
      <c r="AH198" s="4"/>
      <c r="AI198" s="4"/>
      <c r="AJ198" s="4"/>
      <c r="AK198" s="4"/>
      <c r="AL198" s="4"/>
    </row>
    <row r="199" ht="15.75" customHeight="1">
      <c r="A199" s="122"/>
      <c r="E199" s="2"/>
      <c r="I199" s="2"/>
      <c r="AD199" s="4"/>
      <c r="AE199" s="2"/>
      <c r="AF199" s="4"/>
      <c r="AG199" s="4"/>
      <c r="AH199" s="4"/>
      <c r="AI199" s="4"/>
      <c r="AJ199" s="4"/>
      <c r="AK199" s="4"/>
      <c r="AL199" s="4"/>
    </row>
    <row r="200" ht="15.75" customHeight="1">
      <c r="A200" s="122"/>
      <c r="E200" s="2"/>
      <c r="I200" s="2"/>
      <c r="AD200" s="4"/>
      <c r="AE200" s="2"/>
      <c r="AF200" s="4"/>
      <c r="AG200" s="4"/>
      <c r="AH200" s="4"/>
      <c r="AI200" s="4"/>
      <c r="AJ200" s="4"/>
      <c r="AK200" s="4"/>
      <c r="AL200" s="4"/>
    </row>
    <row r="201" ht="15.75" customHeight="1">
      <c r="A201" s="122"/>
      <c r="E201" s="2"/>
      <c r="I201" s="2"/>
      <c r="AD201" s="4"/>
      <c r="AE201" s="2"/>
      <c r="AF201" s="4"/>
      <c r="AG201" s="4"/>
      <c r="AH201" s="4"/>
      <c r="AI201" s="4"/>
      <c r="AJ201" s="4"/>
      <c r="AK201" s="4"/>
      <c r="AL201" s="4"/>
    </row>
    <row r="202" ht="15.75" customHeight="1">
      <c r="A202" s="122"/>
      <c r="E202" s="2"/>
      <c r="I202" s="2"/>
      <c r="AD202" s="4"/>
      <c r="AE202" s="2"/>
      <c r="AF202" s="4"/>
      <c r="AG202" s="4"/>
      <c r="AH202" s="4"/>
      <c r="AI202" s="4"/>
      <c r="AJ202" s="4"/>
      <c r="AK202" s="4"/>
      <c r="AL202" s="4"/>
    </row>
    <row r="203" ht="15.75" customHeight="1">
      <c r="A203" s="122"/>
      <c r="E203" s="2"/>
      <c r="I203" s="2"/>
      <c r="AD203" s="4"/>
      <c r="AE203" s="2"/>
      <c r="AF203" s="4"/>
      <c r="AG203" s="4"/>
      <c r="AH203" s="4"/>
      <c r="AI203" s="4"/>
      <c r="AJ203" s="4"/>
      <c r="AK203" s="4"/>
      <c r="AL203" s="4"/>
    </row>
    <row r="204" ht="15.75" customHeight="1">
      <c r="A204" s="122"/>
      <c r="E204" s="2"/>
      <c r="I204" s="2"/>
      <c r="AD204" s="4"/>
      <c r="AE204" s="2"/>
      <c r="AF204" s="4"/>
      <c r="AG204" s="4"/>
      <c r="AH204" s="4"/>
      <c r="AI204" s="4"/>
      <c r="AJ204" s="4"/>
      <c r="AK204" s="4"/>
      <c r="AL204" s="4"/>
    </row>
    <row r="205" ht="15.75" customHeight="1">
      <c r="A205" s="122"/>
      <c r="E205" s="2"/>
      <c r="I205" s="2"/>
      <c r="AD205" s="4"/>
      <c r="AE205" s="2"/>
      <c r="AF205" s="4"/>
      <c r="AG205" s="4"/>
      <c r="AH205" s="4"/>
      <c r="AI205" s="4"/>
      <c r="AJ205" s="4"/>
      <c r="AK205" s="4"/>
      <c r="AL205" s="4"/>
    </row>
    <row r="206" ht="15.75" customHeight="1">
      <c r="A206" s="122"/>
      <c r="E206" s="2"/>
      <c r="I206" s="2"/>
      <c r="AD206" s="4"/>
      <c r="AE206" s="2"/>
      <c r="AF206" s="4"/>
      <c r="AG206" s="4"/>
      <c r="AH206" s="4"/>
      <c r="AI206" s="4"/>
      <c r="AJ206" s="4"/>
      <c r="AK206" s="4"/>
      <c r="AL206" s="4"/>
    </row>
    <row r="207" ht="15.75" customHeight="1">
      <c r="A207" s="122"/>
      <c r="E207" s="2"/>
      <c r="I207" s="2"/>
      <c r="AD207" s="4"/>
      <c r="AE207" s="2"/>
      <c r="AF207" s="4"/>
      <c r="AG207" s="4"/>
      <c r="AH207" s="4"/>
      <c r="AI207" s="4"/>
      <c r="AJ207" s="4"/>
      <c r="AK207" s="4"/>
      <c r="AL207" s="4"/>
    </row>
    <row r="208" ht="15.75" customHeight="1">
      <c r="A208" s="122"/>
      <c r="E208" s="2"/>
      <c r="I208" s="2"/>
      <c r="AD208" s="4"/>
      <c r="AE208" s="2"/>
      <c r="AF208" s="4"/>
      <c r="AG208" s="4"/>
      <c r="AH208" s="4"/>
      <c r="AI208" s="4"/>
      <c r="AJ208" s="4"/>
      <c r="AK208" s="4"/>
      <c r="AL208" s="4"/>
    </row>
    <row r="209" ht="15.75" customHeight="1">
      <c r="A209" s="122"/>
      <c r="E209" s="2"/>
      <c r="I209" s="2"/>
      <c r="AD209" s="4"/>
      <c r="AE209" s="2"/>
      <c r="AF209" s="4"/>
      <c r="AG209" s="4"/>
      <c r="AH209" s="4"/>
      <c r="AI209" s="4"/>
      <c r="AJ209" s="4"/>
      <c r="AK209" s="4"/>
      <c r="AL209" s="4"/>
    </row>
    <row r="210" ht="15.75" customHeight="1">
      <c r="A210" s="122"/>
      <c r="E210" s="2"/>
      <c r="I210" s="2"/>
      <c r="AD210" s="4"/>
      <c r="AE210" s="2"/>
      <c r="AF210" s="4"/>
      <c r="AG210" s="4"/>
      <c r="AH210" s="4"/>
      <c r="AI210" s="4"/>
      <c r="AJ210" s="4"/>
      <c r="AK210" s="4"/>
      <c r="AL210" s="4"/>
    </row>
    <row r="211" ht="15.75" customHeight="1">
      <c r="A211" s="122"/>
      <c r="E211" s="2"/>
      <c r="I211" s="2"/>
      <c r="AD211" s="4"/>
      <c r="AE211" s="2"/>
      <c r="AF211" s="4"/>
      <c r="AG211" s="4"/>
      <c r="AH211" s="4"/>
      <c r="AI211" s="4"/>
      <c r="AJ211" s="4"/>
      <c r="AK211" s="4"/>
      <c r="AL211" s="4"/>
    </row>
    <row r="212" ht="15.75" customHeight="1">
      <c r="A212" s="122"/>
      <c r="E212" s="2"/>
      <c r="I212" s="2"/>
      <c r="AD212" s="4"/>
      <c r="AE212" s="2"/>
      <c r="AF212" s="4"/>
      <c r="AG212" s="4"/>
      <c r="AH212" s="4"/>
      <c r="AI212" s="4"/>
      <c r="AJ212" s="4"/>
      <c r="AK212" s="4"/>
      <c r="AL212" s="4"/>
    </row>
    <row r="213" ht="15.75" customHeight="1">
      <c r="A213" s="122"/>
      <c r="E213" s="2"/>
      <c r="I213" s="2"/>
      <c r="AD213" s="4"/>
      <c r="AE213" s="2"/>
      <c r="AF213" s="4"/>
      <c r="AG213" s="4"/>
      <c r="AH213" s="4"/>
      <c r="AI213" s="4"/>
      <c r="AJ213" s="4"/>
      <c r="AK213" s="4"/>
      <c r="AL213" s="4"/>
    </row>
    <row r="214" ht="15.75" customHeight="1">
      <c r="A214" s="122"/>
      <c r="E214" s="2"/>
      <c r="I214" s="2"/>
      <c r="AD214" s="4"/>
      <c r="AE214" s="2"/>
      <c r="AF214" s="4"/>
      <c r="AG214" s="4"/>
      <c r="AH214" s="4"/>
      <c r="AI214" s="4"/>
      <c r="AJ214" s="4"/>
      <c r="AK214" s="4"/>
      <c r="AL214" s="4"/>
    </row>
    <row r="215" ht="15.75" customHeight="1">
      <c r="A215" s="122"/>
      <c r="E215" s="2"/>
      <c r="I215" s="2"/>
      <c r="AD215" s="4"/>
      <c r="AE215" s="2"/>
      <c r="AF215" s="4"/>
      <c r="AG215" s="4"/>
      <c r="AH215" s="4"/>
      <c r="AI215" s="4"/>
      <c r="AJ215" s="4"/>
      <c r="AK215" s="4"/>
      <c r="AL215" s="4"/>
    </row>
    <row r="216" ht="15.75" customHeight="1">
      <c r="A216" s="122"/>
      <c r="E216" s="2"/>
      <c r="I216" s="2"/>
      <c r="AD216" s="4"/>
      <c r="AE216" s="2"/>
      <c r="AF216" s="4"/>
      <c r="AG216" s="4"/>
      <c r="AH216" s="4"/>
      <c r="AI216" s="4"/>
      <c r="AJ216" s="4"/>
      <c r="AK216" s="4"/>
      <c r="AL216" s="4"/>
    </row>
    <row r="217" ht="15.75" customHeight="1">
      <c r="A217" s="122"/>
      <c r="E217" s="2"/>
      <c r="I217" s="2"/>
      <c r="AD217" s="4"/>
      <c r="AE217" s="2"/>
      <c r="AF217" s="4"/>
      <c r="AG217" s="4"/>
      <c r="AH217" s="4"/>
      <c r="AI217" s="4"/>
      <c r="AJ217" s="4"/>
      <c r="AK217" s="4"/>
      <c r="AL217" s="4"/>
    </row>
    <row r="218" ht="15.75" customHeight="1">
      <c r="A218" s="122"/>
      <c r="E218" s="2"/>
      <c r="I218" s="2"/>
      <c r="AD218" s="4"/>
      <c r="AE218" s="2"/>
      <c r="AF218" s="4"/>
      <c r="AG218" s="4"/>
      <c r="AH218" s="4"/>
      <c r="AI218" s="4"/>
      <c r="AJ218" s="4"/>
      <c r="AK218" s="4"/>
      <c r="AL218" s="4"/>
    </row>
    <row r="219" ht="15.75" customHeight="1">
      <c r="A219" s="122"/>
      <c r="E219" s="2"/>
      <c r="I219" s="2"/>
      <c r="AD219" s="4"/>
      <c r="AE219" s="2"/>
      <c r="AF219" s="4"/>
      <c r="AG219" s="4"/>
      <c r="AH219" s="4"/>
      <c r="AI219" s="4"/>
      <c r="AJ219" s="4"/>
      <c r="AK219" s="4"/>
      <c r="AL219" s="4"/>
    </row>
    <row r="220" ht="15.75" customHeight="1">
      <c r="A220" s="122"/>
      <c r="E220" s="2"/>
      <c r="I220" s="2"/>
      <c r="AD220" s="4"/>
      <c r="AE220" s="2"/>
      <c r="AF220" s="4"/>
      <c r="AG220" s="4"/>
      <c r="AH220" s="4"/>
      <c r="AI220" s="4"/>
      <c r="AJ220" s="4"/>
      <c r="AK220" s="4"/>
      <c r="AL220" s="4"/>
    </row>
    <row r="221" ht="15.75" customHeight="1">
      <c r="A221" s="122"/>
      <c r="E221" s="2"/>
      <c r="I221" s="2"/>
      <c r="AD221" s="4"/>
      <c r="AE221" s="2"/>
      <c r="AF221" s="4"/>
      <c r="AG221" s="4"/>
      <c r="AH221" s="4"/>
      <c r="AI221" s="4"/>
      <c r="AJ221" s="4"/>
      <c r="AK221" s="4"/>
      <c r="AL221" s="4"/>
    </row>
    <row r="222" ht="15.75" customHeight="1">
      <c r="A222" s="122"/>
      <c r="E222" s="2"/>
      <c r="I222" s="2"/>
      <c r="AD222" s="4"/>
      <c r="AE222" s="2"/>
      <c r="AF222" s="4"/>
      <c r="AG222" s="4"/>
      <c r="AH222" s="4"/>
      <c r="AI222" s="4"/>
      <c r="AJ222" s="4"/>
      <c r="AK222" s="4"/>
      <c r="AL222" s="4"/>
    </row>
    <row r="223" ht="15.75" customHeight="1">
      <c r="A223" s="122"/>
      <c r="E223" s="2"/>
      <c r="I223" s="2"/>
      <c r="AD223" s="4"/>
      <c r="AE223" s="2"/>
      <c r="AF223" s="4"/>
      <c r="AG223" s="4"/>
      <c r="AH223" s="4"/>
      <c r="AI223" s="4"/>
      <c r="AJ223" s="4"/>
      <c r="AK223" s="4"/>
      <c r="AL223" s="4"/>
    </row>
    <row r="224" ht="15.75" customHeight="1">
      <c r="A224" s="122"/>
      <c r="E224" s="2"/>
      <c r="I224" s="2"/>
      <c r="AD224" s="4"/>
      <c r="AE224" s="2"/>
      <c r="AF224" s="4"/>
      <c r="AG224" s="4"/>
      <c r="AH224" s="4"/>
      <c r="AI224" s="4"/>
      <c r="AJ224" s="4"/>
      <c r="AK224" s="4"/>
      <c r="AL224" s="4"/>
    </row>
    <row r="225" ht="15.75" customHeight="1">
      <c r="A225" s="122"/>
      <c r="E225" s="2"/>
      <c r="I225" s="2"/>
      <c r="AD225" s="4"/>
      <c r="AE225" s="2"/>
      <c r="AF225" s="4"/>
      <c r="AG225" s="4"/>
      <c r="AH225" s="4"/>
      <c r="AI225" s="4"/>
      <c r="AJ225" s="4"/>
      <c r="AK225" s="4"/>
      <c r="AL225" s="4"/>
    </row>
    <row r="226" ht="15.75" customHeight="1">
      <c r="A226" s="122"/>
      <c r="E226" s="2"/>
      <c r="I226" s="2"/>
      <c r="AD226" s="4"/>
      <c r="AE226" s="2"/>
      <c r="AF226" s="4"/>
      <c r="AG226" s="4"/>
      <c r="AH226" s="4"/>
      <c r="AI226" s="4"/>
      <c r="AJ226" s="4"/>
      <c r="AK226" s="4"/>
      <c r="AL226" s="4"/>
    </row>
    <row r="227" ht="15.75" customHeight="1">
      <c r="A227" s="122"/>
      <c r="E227" s="2"/>
      <c r="I227" s="2"/>
      <c r="AD227" s="4"/>
      <c r="AE227" s="2"/>
      <c r="AF227" s="4"/>
      <c r="AG227" s="4"/>
      <c r="AH227" s="4"/>
      <c r="AI227" s="4"/>
      <c r="AJ227" s="4"/>
      <c r="AK227" s="4"/>
      <c r="AL227" s="4"/>
    </row>
    <row r="228" ht="15.75" customHeight="1">
      <c r="A228" s="122"/>
      <c r="E228" s="2"/>
      <c r="I228" s="2"/>
      <c r="AD228" s="4"/>
      <c r="AE228" s="2"/>
      <c r="AF228" s="4"/>
      <c r="AG228" s="4"/>
      <c r="AH228" s="4"/>
      <c r="AI228" s="4"/>
      <c r="AJ228" s="4"/>
      <c r="AK228" s="4"/>
      <c r="AL228" s="4"/>
    </row>
    <row r="229" ht="15.75" customHeight="1">
      <c r="A229" s="122"/>
      <c r="E229" s="2"/>
      <c r="I229" s="2"/>
      <c r="AD229" s="4"/>
      <c r="AE229" s="2"/>
      <c r="AF229" s="4"/>
      <c r="AG229" s="4"/>
      <c r="AH229" s="4"/>
      <c r="AI229" s="4"/>
      <c r="AJ229" s="4"/>
      <c r="AK229" s="4"/>
      <c r="AL229" s="4"/>
    </row>
    <row r="230" ht="15.75" customHeight="1">
      <c r="A230" s="122"/>
      <c r="E230" s="2"/>
      <c r="I230" s="2"/>
      <c r="AD230" s="4"/>
      <c r="AE230" s="2"/>
      <c r="AF230" s="4"/>
      <c r="AG230" s="4"/>
      <c r="AH230" s="4"/>
      <c r="AI230" s="4"/>
      <c r="AJ230" s="4"/>
      <c r="AK230" s="4"/>
      <c r="AL230" s="4"/>
    </row>
    <row r="231" ht="15.75" customHeight="1">
      <c r="A231" s="122"/>
      <c r="E231" s="2"/>
      <c r="I231" s="2"/>
      <c r="AD231" s="4"/>
      <c r="AE231" s="2"/>
      <c r="AF231" s="4"/>
      <c r="AG231" s="4"/>
      <c r="AH231" s="4"/>
      <c r="AI231" s="4"/>
      <c r="AJ231" s="4"/>
      <c r="AK231" s="4"/>
      <c r="AL231" s="4"/>
    </row>
    <row r="232" ht="15.75" customHeight="1">
      <c r="A232" s="122"/>
      <c r="E232" s="2"/>
      <c r="I232" s="2"/>
      <c r="AD232" s="4"/>
      <c r="AE232" s="2"/>
      <c r="AF232" s="4"/>
      <c r="AG232" s="4"/>
      <c r="AH232" s="4"/>
      <c r="AI232" s="4"/>
      <c r="AJ232" s="4"/>
      <c r="AK232" s="4"/>
      <c r="AL232" s="4"/>
    </row>
    <row r="233" ht="15.75" customHeight="1">
      <c r="A233" s="122"/>
      <c r="E233" s="2"/>
      <c r="I233" s="2"/>
      <c r="AD233" s="4"/>
      <c r="AE233" s="2"/>
      <c r="AF233" s="4"/>
      <c r="AG233" s="4"/>
      <c r="AH233" s="4"/>
      <c r="AI233" s="4"/>
      <c r="AJ233" s="4"/>
      <c r="AK233" s="4"/>
      <c r="AL233" s="4"/>
    </row>
    <row r="234" ht="15.75" customHeight="1">
      <c r="A234" s="122"/>
      <c r="E234" s="2"/>
      <c r="I234" s="2"/>
      <c r="AD234" s="4"/>
      <c r="AE234" s="2"/>
      <c r="AF234" s="4"/>
      <c r="AG234" s="4"/>
      <c r="AH234" s="4"/>
      <c r="AI234" s="4"/>
      <c r="AJ234" s="4"/>
      <c r="AK234" s="4"/>
      <c r="AL234" s="4"/>
    </row>
    <row r="235" ht="15.75" customHeight="1">
      <c r="A235" s="122"/>
      <c r="E235" s="2"/>
      <c r="I235" s="2"/>
      <c r="AD235" s="4"/>
      <c r="AE235" s="2"/>
      <c r="AF235" s="4"/>
      <c r="AG235" s="4"/>
      <c r="AH235" s="4"/>
      <c r="AI235" s="4"/>
      <c r="AJ235" s="4"/>
      <c r="AK235" s="4"/>
      <c r="AL235" s="4"/>
    </row>
    <row r="236" ht="15.75" customHeight="1">
      <c r="A236" s="122"/>
      <c r="E236" s="2"/>
      <c r="I236" s="2"/>
      <c r="AD236" s="4"/>
      <c r="AE236" s="2"/>
      <c r="AF236" s="4"/>
      <c r="AG236" s="4"/>
      <c r="AH236" s="4"/>
      <c r="AI236" s="4"/>
      <c r="AJ236" s="4"/>
      <c r="AK236" s="4"/>
      <c r="AL236" s="4"/>
    </row>
    <row r="237" ht="15.75" customHeight="1">
      <c r="A237" s="122"/>
      <c r="E237" s="2"/>
      <c r="I237" s="2"/>
      <c r="AD237" s="4"/>
      <c r="AE237" s="2"/>
      <c r="AF237" s="4"/>
      <c r="AG237" s="4"/>
      <c r="AH237" s="4"/>
      <c r="AI237" s="4"/>
      <c r="AJ237" s="4"/>
      <c r="AK237" s="4"/>
      <c r="AL237" s="4"/>
    </row>
    <row r="238" ht="15.75" customHeight="1">
      <c r="A238" s="122"/>
      <c r="E238" s="2"/>
      <c r="I238" s="2"/>
      <c r="AD238" s="4"/>
      <c r="AE238" s="2"/>
      <c r="AF238" s="4"/>
      <c r="AG238" s="4"/>
      <c r="AH238" s="4"/>
      <c r="AI238" s="4"/>
      <c r="AJ238" s="4"/>
      <c r="AK238" s="4"/>
      <c r="AL238" s="4"/>
    </row>
    <row r="239" ht="15.75" customHeight="1">
      <c r="A239" s="122"/>
      <c r="E239" s="2"/>
      <c r="I239" s="2"/>
      <c r="AD239" s="4"/>
      <c r="AE239" s="2"/>
      <c r="AF239" s="4"/>
      <c r="AG239" s="4"/>
      <c r="AH239" s="4"/>
      <c r="AI239" s="4"/>
      <c r="AJ239" s="4"/>
      <c r="AK239" s="4"/>
      <c r="AL239" s="4"/>
    </row>
    <row r="240" ht="15.75" customHeight="1">
      <c r="A240" s="122"/>
      <c r="E240" s="2"/>
      <c r="I240" s="2"/>
      <c r="AD240" s="4"/>
      <c r="AE240" s="2"/>
      <c r="AF240" s="4"/>
      <c r="AG240" s="4"/>
      <c r="AH240" s="4"/>
      <c r="AI240" s="4"/>
      <c r="AJ240" s="4"/>
      <c r="AK240" s="4"/>
      <c r="AL240" s="4"/>
    </row>
    <row r="241" ht="15.75" customHeight="1">
      <c r="A241" s="122"/>
      <c r="E241" s="2"/>
      <c r="I241" s="2"/>
      <c r="AD241" s="4"/>
      <c r="AE241" s="2"/>
      <c r="AF241" s="4"/>
      <c r="AG241" s="4"/>
      <c r="AH241" s="4"/>
      <c r="AI241" s="4"/>
      <c r="AJ241" s="4"/>
      <c r="AK241" s="4"/>
      <c r="AL241" s="4"/>
    </row>
    <row r="242" ht="15.75" customHeight="1">
      <c r="A242" s="122"/>
      <c r="E242" s="2"/>
      <c r="I242" s="2"/>
      <c r="AD242" s="4"/>
      <c r="AE242" s="2"/>
      <c r="AF242" s="4"/>
      <c r="AG242" s="4"/>
      <c r="AH242" s="4"/>
      <c r="AI242" s="4"/>
      <c r="AJ242" s="4"/>
      <c r="AK242" s="4"/>
      <c r="AL242" s="4"/>
    </row>
    <row r="243" ht="15.75" customHeight="1">
      <c r="A243" s="122"/>
      <c r="E243" s="2"/>
      <c r="I243" s="2"/>
      <c r="AD243" s="4"/>
      <c r="AE243" s="2"/>
      <c r="AF243" s="4"/>
      <c r="AG243" s="4"/>
      <c r="AH243" s="4"/>
      <c r="AI243" s="4"/>
      <c r="AJ243" s="4"/>
      <c r="AK243" s="4"/>
      <c r="AL243" s="4"/>
    </row>
    <row r="244" ht="15.75" customHeight="1">
      <c r="A244" s="122"/>
      <c r="E244" s="2"/>
      <c r="I244" s="2"/>
      <c r="AD244" s="4"/>
      <c r="AE244" s="2"/>
      <c r="AF244" s="4"/>
      <c r="AG244" s="4"/>
      <c r="AH244" s="4"/>
      <c r="AI244" s="4"/>
      <c r="AJ244" s="4"/>
      <c r="AK244" s="4"/>
      <c r="AL244" s="4"/>
    </row>
    <row r="245" ht="15.75" customHeight="1">
      <c r="A245" s="122"/>
      <c r="E245" s="2"/>
      <c r="I245" s="2"/>
      <c r="AD245" s="4"/>
      <c r="AE245" s="2"/>
      <c r="AF245" s="4"/>
      <c r="AG245" s="4"/>
      <c r="AH245" s="4"/>
      <c r="AI245" s="4"/>
      <c r="AJ245" s="4"/>
      <c r="AK245" s="4"/>
      <c r="AL245" s="4"/>
    </row>
    <row r="246" ht="15.75" customHeight="1">
      <c r="A246" s="122"/>
      <c r="E246" s="2"/>
      <c r="I246" s="2"/>
      <c r="AD246" s="4"/>
      <c r="AE246" s="2"/>
      <c r="AF246" s="4"/>
      <c r="AG246" s="4"/>
      <c r="AH246" s="4"/>
      <c r="AI246" s="4"/>
      <c r="AJ246" s="4"/>
      <c r="AK246" s="4"/>
      <c r="AL246" s="4"/>
    </row>
    <row r="247" ht="15.75" customHeight="1">
      <c r="A247" s="122"/>
      <c r="E247" s="2"/>
      <c r="I247" s="2"/>
      <c r="AD247" s="4"/>
      <c r="AE247" s="2"/>
      <c r="AF247" s="4"/>
      <c r="AG247" s="4"/>
      <c r="AH247" s="4"/>
      <c r="AI247" s="4"/>
      <c r="AJ247" s="4"/>
      <c r="AK247" s="4"/>
      <c r="AL247" s="4"/>
    </row>
    <row r="248" ht="15.75" customHeight="1">
      <c r="A248" s="122"/>
      <c r="E248" s="2"/>
      <c r="I248" s="2"/>
      <c r="AD248" s="4"/>
      <c r="AE248" s="2"/>
      <c r="AF248" s="4"/>
      <c r="AG248" s="4"/>
      <c r="AH248" s="4"/>
      <c r="AI248" s="4"/>
      <c r="AJ248" s="4"/>
      <c r="AK248" s="4"/>
      <c r="AL248" s="4"/>
    </row>
    <row r="249" ht="15.75" customHeight="1">
      <c r="A249" s="122"/>
      <c r="E249" s="2"/>
      <c r="I249" s="2"/>
      <c r="AD249" s="4"/>
      <c r="AE249" s="2"/>
      <c r="AF249" s="4"/>
      <c r="AG249" s="4"/>
      <c r="AH249" s="4"/>
      <c r="AI249" s="4"/>
      <c r="AJ249" s="4"/>
      <c r="AK249" s="4"/>
      <c r="AL249" s="4"/>
    </row>
    <row r="250" ht="15.75" customHeight="1">
      <c r="A250" s="122"/>
      <c r="E250" s="2"/>
      <c r="I250" s="2"/>
      <c r="AD250" s="4"/>
      <c r="AE250" s="2"/>
      <c r="AF250" s="4"/>
      <c r="AG250" s="4"/>
      <c r="AH250" s="4"/>
      <c r="AI250" s="4"/>
      <c r="AJ250" s="4"/>
      <c r="AK250" s="4"/>
      <c r="AL250" s="4"/>
    </row>
    <row r="251" ht="15.75" customHeight="1">
      <c r="A251" s="122"/>
      <c r="E251" s="2"/>
      <c r="I251" s="2"/>
      <c r="AD251" s="4"/>
      <c r="AE251" s="2"/>
      <c r="AF251" s="4"/>
      <c r="AG251" s="4"/>
      <c r="AH251" s="4"/>
      <c r="AI251" s="4"/>
      <c r="AJ251" s="4"/>
      <c r="AK251" s="4"/>
      <c r="AL251" s="4"/>
    </row>
    <row r="252" ht="15.75" customHeight="1">
      <c r="A252" s="122"/>
      <c r="E252" s="2"/>
      <c r="I252" s="2"/>
      <c r="AD252" s="4"/>
      <c r="AE252" s="2"/>
      <c r="AF252" s="4"/>
      <c r="AG252" s="4"/>
      <c r="AH252" s="4"/>
      <c r="AI252" s="4"/>
      <c r="AJ252" s="4"/>
      <c r="AK252" s="4"/>
      <c r="AL252" s="4"/>
    </row>
    <row r="253" ht="15.75" customHeight="1">
      <c r="A253" s="122"/>
      <c r="E253" s="2"/>
      <c r="I253" s="2"/>
      <c r="AD253" s="4"/>
      <c r="AE253" s="2"/>
      <c r="AF253" s="4"/>
      <c r="AG253" s="4"/>
      <c r="AH253" s="4"/>
      <c r="AI253" s="4"/>
      <c r="AJ253" s="4"/>
      <c r="AK253" s="4"/>
      <c r="AL253" s="4"/>
    </row>
    <row r="254" ht="15.75" customHeight="1">
      <c r="A254" s="122"/>
      <c r="E254" s="2"/>
      <c r="I254" s="2"/>
      <c r="AD254" s="4"/>
      <c r="AE254" s="2"/>
      <c r="AF254" s="4"/>
      <c r="AG254" s="4"/>
      <c r="AH254" s="4"/>
      <c r="AI254" s="4"/>
      <c r="AJ254" s="4"/>
      <c r="AK254" s="4"/>
      <c r="AL254" s="4"/>
    </row>
    <row r="255" ht="15.75" customHeight="1">
      <c r="A255" s="122"/>
      <c r="E255" s="2"/>
      <c r="I255" s="2"/>
      <c r="AD255" s="4"/>
      <c r="AE255" s="2"/>
      <c r="AF255" s="4"/>
      <c r="AG255" s="4"/>
      <c r="AH255" s="4"/>
      <c r="AI255" s="4"/>
      <c r="AJ255" s="4"/>
      <c r="AK255" s="4"/>
      <c r="AL255" s="4"/>
    </row>
    <row r="256" ht="15.75" customHeight="1">
      <c r="A256" s="122"/>
      <c r="E256" s="2"/>
      <c r="I256" s="2"/>
      <c r="AD256" s="4"/>
      <c r="AE256" s="2"/>
      <c r="AF256" s="4"/>
      <c r="AG256" s="4"/>
      <c r="AH256" s="4"/>
      <c r="AI256" s="4"/>
      <c r="AJ256" s="4"/>
      <c r="AK256" s="4"/>
      <c r="AL256" s="4"/>
    </row>
    <row r="257" ht="15.75" customHeight="1">
      <c r="A257" s="122"/>
      <c r="E257" s="2"/>
      <c r="I257" s="2"/>
      <c r="AD257" s="4"/>
      <c r="AE257" s="2"/>
      <c r="AF257" s="4"/>
      <c r="AG257" s="4"/>
      <c r="AH257" s="4"/>
      <c r="AI257" s="4"/>
      <c r="AJ257" s="4"/>
      <c r="AK257" s="4"/>
      <c r="AL257" s="4"/>
    </row>
    <row r="258" ht="15.75" customHeight="1">
      <c r="A258" s="122"/>
      <c r="E258" s="2"/>
      <c r="I258" s="2"/>
      <c r="AD258" s="4"/>
      <c r="AE258" s="2"/>
      <c r="AF258" s="4"/>
      <c r="AG258" s="4"/>
      <c r="AH258" s="4"/>
      <c r="AI258" s="4"/>
      <c r="AJ258" s="4"/>
      <c r="AK258" s="4"/>
      <c r="AL258" s="4"/>
    </row>
    <row r="259" ht="15.75" customHeight="1">
      <c r="A259" s="122"/>
      <c r="E259" s="2"/>
      <c r="I259" s="2"/>
      <c r="AD259" s="4"/>
      <c r="AE259" s="2"/>
      <c r="AF259" s="4"/>
      <c r="AG259" s="4"/>
      <c r="AH259" s="4"/>
      <c r="AI259" s="4"/>
      <c r="AJ259" s="4"/>
      <c r="AK259" s="4"/>
      <c r="AL259" s="4"/>
    </row>
    <row r="260" ht="15.75" customHeight="1">
      <c r="A260" s="122"/>
      <c r="E260" s="2"/>
      <c r="I260" s="2"/>
      <c r="AD260" s="4"/>
      <c r="AE260" s="2"/>
      <c r="AF260" s="4"/>
      <c r="AG260" s="4"/>
      <c r="AH260" s="4"/>
      <c r="AI260" s="4"/>
      <c r="AJ260" s="4"/>
      <c r="AK260" s="4"/>
      <c r="AL260" s="4"/>
    </row>
    <row r="261" ht="15.75" customHeight="1">
      <c r="A261" s="122"/>
      <c r="E261" s="2"/>
      <c r="I261" s="2"/>
      <c r="AD261" s="4"/>
      <c r="AE261" s="2"/>
      <c r="AF261" s="4"/>
      <c r="AG261" s="4"/>
      <c r="AH261" s="4"/>
      <c r="AI261" s="4"/>
      <c r="AJ261" s="4"/>
      <c r="AK261" s="4"/>
      <c r="AL261" s="4"/>
    </row>
    <row r="262" ht="15.75" customHeight="1">
      <c r="A262" s="122"/>
      <c r="E262" s="2"/>
      <c r="I262" s="2"/>
      <c r="AD262" s="4"/>
      <c r="AE262" s="2"/>
      <c r="AF262" s="4"/>
      <c r="AG262" s="4"/>
      <c r="AH262" s="4"/>
      <c r="AI262" s="4"/>
      <c r="AJ262" s="4"/>
      <c r="AK262" s="4"/>
      <c r="AL262" s="4"/>
    </row>
    <row r="263" ht="15.75" customHeight="1">
      <c r="A263" s="122"/>
      <c r="E263" s="2"/>
      <c r="I263" s="2"/>
      <c r="AD263" s="4"/>
      <c r="AE263" s="2"/>
      <c r="AF263" s="4"/>
      <c r="AG263" s="4"/>
      <c r="AH263" s="4"/>
      <c r="AI263" s="4"/>
      <c r="AJ263" s="4"/>
      <c r="AK263" s="4"/>
      <c r="AL263" s="4"/>
    </row>
    <row r="264" ht="15.75" customHeight="1">
      <c r="A264" s="122"/>
      <c r="E264" s="2"/>
      <c r="I264" s="2"/>
      <c r="AD264" s="4"/>
      <c r="AE264" s="2"/>
      <c r="AF264" s="4"/>
      <c r="AG264" s="4"/>
      <c r="AH264" s="4"/>
      <c r="AI264" s="4"/>
      <c r="AJ264" s="4"/>
      <c r="AK264" s="4"/>
      <c r="AL264" s="4"/>
    </row>
    <row r="265" ht="15.75" customHeight="1">
      <c r="A265" s="122"/>
      <c r="E265" s="2"/>
      <c r="I265" s="2"/>
      <c r="AD265" s="4"/>
      <c r="AE265" s="2"/>
      <c r="AF265" s="4"/>
      <c r="AG265" s="4"/>
      <c r="AH265" s="4"/>
      <c r="AI265" s="4"/>
      <c r="AJ265" s="4"/>
      <c r="AK265" s="4"/>
      <c r="AL265" s="4"/>
    </row>
    <row r="266" ht="15.75" customHeight="1">
      <c r="A266" s="122"/>
      <c r="E266" s="2"/>
      <c r="I266" s="2"/>
      <c r="AD266" s="4"/>
      <c r="AE266" s="2"/>
      <c r="AF266" s="4"/>
      <c r="AG266" s="4"/>
      <c r="AH266" s="4"/>
      <c r="AI266" s="4"/>
      <c r="AJ266" s="4"/>
      <c r="AK266" s="4"/>
      <c r="AL266" s="4"/>
    </row>
    <row r="267" ht="15.75" customHeight="1">
      <c r="A267" s="122"/>
      <c r="E267" s="2"/>
      <c r="I267" s="2"/>
      <c r="AD267" s="4"/>
      <c r="AE267" s="2"/>
      <c r="AF267" s="4"/>
      <c r="AG267" s="4"/>
      <c r="AH267" s="4"/>
      <c r="AI267" s="4"/>
      <c r="AJ267" s="4"/>
      <c r="AK267" s="4"/>
      <c r="AL267" s="4"/>
    </row>
    <row r="268" ht="15.75" customHeight="1">
      <c r="A268" s="122"/>
      <c r="E268" s="2"/>
      <c r="I268" s="2"/>
      <c r="AD268" s="4"/>
      <c r="AE268" s="2"/>
      <c r="AF268" s="4"/>
      <c r="AG268" s="4"/>
      <c r="AH268" s="4"/>
      <c r="AI268" s="4"/>
      <c r="AJ268" s="4"/>
      <c r="AK268" s="4"/>
      <c r="AL268" s="4"/>
    </row>
    <row r="269" ht="15.75" customHeight="1">
      <c r="A269" s="122"/>
      <c r="E269" s="2"/>
      <c r="I269" s="2"/>
      <c r="AD269" s="4"/>
      <c r="AE269" s="2"/>
      <c r="AF269" s="4"/>
      <c r="AG269" s="4"/>
      <c r="AH269" s="4"/>
      <c r="AI269" s="4"/>
      <c r="AJ269" s="4"/>
      <c r="AK269" s="4"/>
      <c r="AL269" s="4"/>
    </row>
    <row r="270" ht="15.75" customHeight="1">
      <c r="A270" s="122"/>
      <c r="E270" s="2"/>
      <c r="I270" s="2"/>
      <c r="AD270" s="4"/>
      <c r="AE270" s="2"/>
      <c r="AF270" s="4"/>
      <c r="AG270" s="4"/>
      <c r="AH270" s="4"/>
      <c r="AI270" s="4"/>
      <c r="AJ270" s="4"/>
      <c r="AK270" s="4"/>
      <c r="AL270" s="4"/>
    </row>
    <row r="271" ht="15.75" customHeight="1">
      <c r="A271" s="122"/>
      <c r="E271" s="2"/>
      <c r="I271" s="2"/>
      <c r="AD271" s="4"/>
      <c r="AE271" s="2"/>
      <c r="AF271" s="4"/>
      <c r="AG271" s="4"/>
      <c r="AH271" s="4"/>
      <c r="AI271" s="4"/>
      <c r="AJ271" s="4"/>
      <c r="AK271" s="4"/>
      <c r="AL271" s="4"/>
    </row>
    <row r="272" ht="15.75" customHeight="1">
      <c r="A272" s="122"/>
      <c r="E272" s="2"/>
      <c r="I272" s="2"/>
      <c r="AD272" s="4"/>
      <c r="AE272" s="2"/>
      <c r="AF272" s="4"/>
      <c r="AG272" s="4"/>
      <c r="AH272" s="4"/>
      <c r="AI272" s="4"/>
      <c r="AJ272" s="4"/>
      <c r="AK272" s="4"/>
      <c r="AL272" s="4"/>
    </row>
    <row r="273" ht="15.75" customHeight="1">
      <c r="A273" s="122"/>
      <c r="E273" s="2"/>
      <c r="I273" s="2"/>
      <c r="AD273" s="4"/>
      <c r="AE273" s="2"/>
      <c r="AF273" s="4"/>
      <c r="AG273" s="4"/>
      <c r="AH273" s="4"/>
      <c r="AI273" s="4"/>
      <c r="AJ273" s="4"/>
      <c r="AK273" s="4"/>
      <c r="AL273" s="4"/>
    </row>
    <row r="274" ht="15.75" customHeight="1">
      <c r="A274" s="122"/>
      <c r="E274" s="2"/>
      <c r="I274" s="2"/>
      <c r="AD274" s="4"/>
      <c r="AE274" s="2"/>
      <c r="AF274" s="4"/>
      <c r="AG274" s="4"/>
      <c r="AH274" s="4"/>
      <c r="AI274" s="4"/>
      <c r="AJ274" s="4"/>
      <c r="AK274" s="4"/>
      <c r="AL274" s="4"/>
    </row>
    <row r="275" ht="15.75" customHeight="1">
      <c r="A275" s="122"/>
      <c r="E275" s="2"/>
      <c r="I275" s="2"/>
      <c r="AD275" s="4"/>
      <c r="AE275" s="2"/>
      <c r="AF275" s="4"/>
      <c r="AG275" s="4"/>
      <c r="AH275" s="4"/>
      <c r="AI275" s="4"/>
      <c r="AJ275" s="4"/>
      <c r="AK275" s="4"/>
      <c r="AL275" s="4"/>
    </row>
    <row r="276" ht="15.75" customHeight="1">
      <c r="A276" s="122"/>
      <c r="E276" s="2"/>
      <c r="I276" s="2"/>
      <c r="AD276" s="4"/>
      <c r="AE276" s="2"/>
      <c r="AF276" s="4"/>
      <c r="AG276" s="4"/>
      <c r="AH276" s="4"/>
      <c r="AI276" s="4"/>
      <c r="AJ276" s="4"/>
      <c r="AK276" s="4"/>
      <c r="AL276" s="4"/>
    </row>
    <row r="277" ht="15.75" customHeight="1">
      <c r="A277" s="122"/>
      <c r="E277" s="2"/>
      <c r="I277" s="2"/>
      <c r="AD277" s="4"/>
      <c r="AE277" s="2"/>
      <c r="AF277" s="4"/>
      <c r="AG277" s="4"/>
      <c r="AH277" s="4"/>
      <c r="AI277" s="4"/>
      <c r="AJ277" s="4"/>
      <c r="AK277" s="4"/>
      <c r="AL277" s="4"/>
    </row>
    <row r="278" ht="15.75" customHeight="1">
      <c r="A278" s="122"/>
      <c r="E278" s="2"/>
      <c r="I278" s="2"/>
      <c r="AD278" s="4"/>
      <c r="AE278" s="2"/>
      <c r="AF278" s="4"/>
      <c r="AG278" s="4"/>
      <c r="AH278" s="4"/>
      <c r="AI278" s="4"/>
      <c r="AJ278" s="4"/>
      <c r="AK278" s="4"/>
      <c r="AL278" s="4"/>
    </row>
    <row r="279" ht="15.75" customHeight="1">
      <c r="A279" s="122"/>
      <c r="E279" s="2"/>
      <c r="I279" s="2"/>
      <c r="AD279" s="4"/>
      <c r="AE279" s="2"/>
      <c r="AF279" s="4"/>
      <c r="AG279" s="4"/>
      <c r="AH279" s="4"/>
      <c r="AI279" s="4"/>
      <c r="AJ279" s="4"/>
      <c r="AK279" s="4"/>
      <c r="AL279" s="4"/>
    </row>
    <row r="280" ht="15.75" customHeight="1">
      <c r="A280" s="122"/>
      <c r="E280" s="2"/>
      <c r="I280" s="2"/>
      <c r="AD280" s="4"/>
      <c r="AE280" s="2"/>
      <c r="AF280" s="4"/>
      <c r="AG280" s="4"/>
      <c r="AH280" s="4"/>
      <c r="AI280" s="4"/>
      <c r="AJ280" s="4"/>
      <c r="AK280" s="4"/>
      <c r="AL280" s="4"/>
    </row>
    <row r="281" ht="15.75" customHeight="1">
      <c r="A281" s="122"/>
      <c r="E281" s="2"/>
      <c r="I281" s="2"/>
      <c r="AD281" s="4"/>
      <c r="AE281" s="2"/>
      <c r="AF281" s="4"/>
      <c r="AG281" s="4"/>
      <c r="AH281" s="4"/>
      <c r="AI281" s="4"/>
      <c r="AJ281" s="4"/>
      <c r="AK281" s="4"/>
      <c r="AL281" s="4"/>
    </row>
    <row r="282" ht="15.75" customHeight="1">
      <c r="A282" s="122"/>
      <c r="E282" s="2"/>
      <c r="I282" s="2"/>
      <c r="AD282" s="4"/>
      <c r="AE282" s="2"/>
      <c r="AF282" s="4"/>
      <c r="AG282" s="4"/>
      <c r="AH282" s="4"/>
      <c r="AI282" s="4"/>
      <c r="AJ282" s="4"/>
      <c r="AK282" s="4"/>
      <c r="AL282" s="4"/>
    </row>
    <row r="283" ht="15.75" customHeight="1">
      <c r="A283" s="122"/>
      <c r="E283" s="2"/>
      <c r="I283" s="2"/>
      <c r="AD283" s="4"/>
      <c r="AE283" s="2"/>
      <c r="AF283" s="4"/>
      <c r="AG283" s="4"/>
      <c r="AH283" s="4"/>
      <c r="AI283" s="4"/>
      <c r="AJ283" s="4"/>
      <c r="AK283" s="4"/>
      <c r="AL283" s="4"/>
    </row>
    <row r="284" ht="15.75" customHeight="1">
      <c r="A284" s="122"/>
      <c r="E284" s="2"/>
      <c r="I284" s="2"/>
      <c r="AD284" s="4"/>
      <c r="AE284" s="2"/>
      <c r="AF284" s="4"/>
      <c r="AG284" s="4"/>
      <c r="AH284" s="4"/>
      <c r="AI284" s="4"/>
      <c r="AJ284" s="4"/>
      <c r="AK284" s="4"/>
      <c r="AL284" s="4"/>
    </row>
    <row r="285" ht="15.75" customHeight="1">
      <c r="A285" s="122"/>
      <c r="E285" s="2"/>
      <c r="I285" s="2"/>
      <c r="AD285" s="4"/>
      <c r="AE285" s="2"/>
      <c r="AF285" s="4"/>
      <c r="AG285" s="4"/>
      <c r="AH285" s="4"/>
      <c r="AI285" s="4"/>
      <c r="AJ285" s="4"/>
      <c r="AK285" s="4"/>
      <c r="AL285" s="4"/>
    </row>
    <row r="286" ht="15.75" customHeight="1">
      <c r="A286" s="122"/>
      <c r="E286" s="2"/>
      <c r="I286" s="2"/>
      <c r="AD286" s="4"/>
      <c r="AE286" s="2"/>
      <c r="AF286" s="4"/>
      <c r="AG286" s="4"/>
      <c r="AH286" s="4"/>
      <c r="AI286" s="4"/>
      <c r="AJ286" s="4"/>
      <c r="AK286" s="4"/>
      <c r="AL286" s="4"/>
    </row>
    <row r="287" ht="15.75" customHeight="1">
      <c r="A287" s="122"/>
      <c r="E287" s="2"/>
      <c r="I287" s="2"/>
      <c r="AD287" s="4"/>
      <c r="AE287" s="2"/>
      <c r="AF287" s="4"/>
      <c r="AG287" s="4"/>
      <c r="AH287" s="4"/>
      <c r="AI287" s="4"/>
      <c r="AJ287" s="4"/>
      <c r="AK287" s="4"/>
      <c r="AL287" s="4"/>
    </row>
    <row r="288" ht="15.75" customHeight="1">
      <c r="A288" s="122"/>
      <c r="E288" s="2"/>
      <c r="I288" s="2"/>
      <c r="AD288" s="4"/>
      <c r="AE288" s="2"/>
      <c r="AF288" s="4"/>
      <c r="AG288" s="4"/>
      <c r="AH288" s="4"/>
      <c r="AI288" s="4"/>
      <c r="AJ288" s="4"/>
      <c r="AK288" s="4"/>
      <c r="AL288" s="4"/>
    </row>
    <row r="289" ht="15.75" customHeight="1">
      <c r="A289" s="122"/>
      <c r="E289" s="2"/>
      <c r="I289" s="2"/>
      <c r="AD289" s="4"/>
      <c r="AE289" s="2"/>
      <c r="AF289" s="4"/>
      <c r="AG289" s="4"/>
      <c r="AH289" s="4"/>
      <c r="AI289" s="4"/>
      <c r="AJ289" s="4"/>
      <c r="AK289" s="4"/>
      <c r="AL289" s="4"/>
    </row>
    <row r="290" ht="15.75" customHeight="1">
      <c r="A290" s="122"/>
      <c r="E290" s="2"/>
      <c r="I290" s="2"/>
      <c r="AD290" s="4"/>
      <c r="AE290" s="2"/>
      <c r="AF290" s="4"/>
      <c r="AG290" s="4"/>
      <c r="AH290" s="4"/>
      <c r="AI290" s="4"/>
      <c r="AJ290" s="4"/>
      <c r="AK290" s="4"/>
      <c r="AL290" s="4"/>
    </row>
    <row r="291" ht="15.75" customHeight="1">
      <c r="A291" s="122"/>
      <c r="E291" s="2"/>
      <c r="I291" s="2"/>
      <c r="AD291" s="4"/>
      <c r="AE291" s="2"/>
      <c r="AF291" s="4"/>
      <c r="AG291" s="4"/>
      <c r="AH291" s="4"/>
      <c r="AI291" s="4"/>
      <c r="AJ291" s="4"/>
      <c r="AK291" s="4"/>
      <c r="AL291" s="4"/>
    </row>
    <row r="292" ht="15.75" customHeight="1">
      <c r="A292" s="122"/>
      <c r="E292" s="2"/>
      <c r="I292" s="2"/>
      <c r="AD292" s="4"/>
      <c r="AE292" s="2"/>
      <c r="AF292" s="4"/>
      <c r="AG292" s="4"/>
      <c r="AH292" s="4"/>
      <c r="AI292" s="4"/>
      <c r="AJ292" s="4"/>
      <c r="AK292" s="4"/>
      <c r="AL292" s="4"/>
    </row>
    <row r="293" ht="15.75" customHeight="1">
      <c r="A293" s="122"/>
      <c r="E293" s="2"/>
      <c r="I293" s="2"/>
      <c r="AD293" s="4"/>
      <c r="AE293" s="2"/>
      <c r="AF293" s="4"/>
      <c r="AG293" s="4"/>
      <c r="AH293" s="4"/>
      <c r="AI293" s="4"/>
      <c r="AJ293" s="4"/>
      <c r="AK293" s="4"/>
      <c r="AL293" s="4"/>
    </row>
    <row r="294" ht="15.75" customHeight="1">
      <c r="A294" s="122"/>
      <c r="E294" s="2"/>
      <c r="I294" s="2"/>
      <c r="AD294" s="4"/>
      <c r="AE294" s="2"/>
      <c r="AF294" s="4"/>
      <c r="AG294" s="4"/>
      <c r="AH294" s="4"/>
      <c r="AI294" s="4"/>
      <c r="AJ294" s="4"/>
      <c r="AK294" s="4"/>
      <c r="AL294" s="4"/>
    </row>
    <row r="295" ht="15.75" customHeight="1">
      <c r="A295" s="122"/>
      <c r="E295" s="2"/>
      <c r="I295" s="2"/>
      <c r="AD295" s="4"/>
      <c r="AE295" s="2"/>
      <c r="AF295" s="4"/>
      <c r="AG295" s="4"/>
      <c r="AH295" s="4"/>
      <c r="AI295" s="4"/>
      <c r="AJ295" s="4"/>
      <c r="AK295" s="4"/>
      <c r="AL295" s="4"/>
    </row>
    <row r="296" ht="15.75" customHeight="1">
      <c r="A296" s="122"/>
      <c r="E296" s="2"/>
      <c r="I296" s="2"/>
      <c r="AD296" s="4"/>
      <c r="AE296" s="2"/>
      <c r="AF296" s="4"/>
      <c r="AG296" s="4"/>
      <c r="AH296" s="4"/>
      <c r="AI296" s="4"/>
      <c r="AJ296" s="4"/>
      <c r="AK296" s="4"/>
      <c r="AL296" s="4"/>
    </row>
    <row r="297" ht="15.75" customHeight="1">
      <c r="A297" s="122"/>
      <c r="E297" s="2"/>
      <c r="I297" s="2"/>
      <c r="AD297" s="4"/>
      <c r="AE297" s="2"/>
      <c r="AF297" s="4"/>
      <c r="AG297" s="4"/>
      <c r="AH297" s="4"/>
      <c r="AI297" s="4"/>
      <c r="AJ297" s="4"/>
      <c r="AK297" s="4"/>
      <c r="AL297" s="4"/>
    </row>
    <row r="298" ht="15.75" customHeight="1">
      <c r="A298" s="122"/>
      <c r="E298" s="2"/>
      <c r="I298" s="2"/>
      <c r="AD298" s="4"/>
      <c r="AE298" s="2"/>
      <c r="AF298" s="4"/>
      <c r="AG298" s="4"/>
      <c r="AH298" s="4"/>
      <c r="AI298" s="4"/>
      <c r="AJ298" s="4"/>
      <c r="AK298" s="4"/>
      <c r="AL298" s="4"/>
    </row>
    <row r="299" ht="15.75" customHeight="1">
      <c r="A299" s="122"/>
      <c r="E299" s="2"/>
      <c r="I299" s="2"/>
      <c r="AD299" s="4"/>
      <c r="AE299" s="2"/>
      <c r="AF299" s="4"/>
      <c r="AG299" s="4"/>
      <c r="AH299" s="4"/>
      <c r="AI299" s="4"/>
      <c r="AJ299" s="4"/>
      <c r="AK299" s="4"/>
      <c r="AL299" s="4"/>
    </row>
    <row r="300" ht="15.75" customHeight="1">
      <c r="A300" s="122"/>
      <c r="E300" s="2"/>
      <c r="I300" s="2"/>
      <c r="AD300" s="4"/>
      <c r="AE300" s="2"/>
      <c r="AF300" s="4"/>
      <c r="AG300" s="4"/>
      <c r="AH300" s="4"/>
      <c r="AI300" s="4"/>
      <c r="AJ300" s="4"/>
      <c r="AK300" s="4"/>
      <c r="AL300" s="4"/>
    </row>
    <row r="301" ht="15.75" customHeight="1">
      <c r="A301" s="122"/>
      <c r="E301" s="2"/>
      <c r="I301" s="2"/>
      <c r="AD301" s="4"/>
      <c r="AE301" s="2"/>
      <c r="AF301" s="4"/>
      <c r="AG301" s="4"/>
      <c r="AH301" s="4"/>
      <c r="AI301" s="4"/>
      <c r="AJ301" s="4"/>
      <c r="AK301" s="4"/>
      <c r="AL301" s="4"/>
    </row>
    <row r="302" ht="15.75" customHeight="1">
      <c r="A302" s="122"/>
      <c r="E302" s="2"/>
      <c r="I302" s="2"/>
      <c r="AD302" s="4"/>
      <c r="AE302" s="2"/>
      <c r="AF302" s="4"/>
      <c r="AG302" s="4"/>
      <c r="AH302" s="4"/>
      <c r="AI302" s="4"/>
      <c r="AJ302" s="4"/>
      <c r="AK302" s="4"/>
      <c r="AL302" s="4"/>
    </row>
    <row r="303" ht="15.75" customHeight="1">
      <c r="A303" s="122"/>
      <c r="E303" s="2"/>
      <c r="I303" s="2"/>
      <c r="AD303" s="4"/>
      <c r="AE303" s="2"/>
      <c r="AF303" s="4"/>
      <c r="AG303" s="4"/>
      <c r="AH303" s="4"/>
      <c r="AI303" s="4"/>
      <c r="AJ303" s="4"/>
      <c r="AK303" s="4"/>
      <c r="AL303" s="4"/>
    </row>
    <row r="304" ht="15.75" customHeight="1">
      <c r="A304" s="122"/>
      <c r="E304" s="2"/>
      <c r="I304" s="2"/>
      <c r="AD304" s="4"/>
      <c r="AE304" s="2"/>
      <c r="AF304" s="4"/>
      <c r="AG304" s="4"/>
      <c r="AH304" s="4"/>
      <c r="AI304" s="4"/>
      <c r="AJ304" s="4"/>
      <c r="AK304" s="4"/>
      <c r="AL304" s="4"/>
    </row>
    <row r="305" ht="15.75" customHeight="1">
      <c r="A305" s="122"/>
      <c r="E305" s="2"/>
      <c r="I305" s="2"/>
      <c r="AD305" s="4"/>
      <c r="AE305" s="2"/>
      <c r="AF305" s="4"/>
      <c r="AG305" s="4"/>
      <c r="AH305" s="4"/>
      <c r="AI305" s="4"/>
      <c r="AJ305" s="4"/>
      <c r="AK305" s="4"/>
      <c r="AL305" s="4"/>
    </row>
    <row r="306" ht="15.75" customHeight="1">
      <c r="A306" s="122"/>
      <c r="E306" s="2"/>
      <c r="I306" s="2"/>
      <c r="AD306" s="4"/>
      <c r="AE306" s="2"/>
      <c r="AF306" s="4"/>
      <c r="AG306" s="4"/>
      <c r="AH306" s="4"/>
      <c r="AI306" s="4"/>
      <c r="AJ306" s="4"/>
      <c r="AK306" s="4"/>
      <c r="AL306" s="4"/>
    </row>
    <row r="307" ht="15.75" customHeight="1">
      <c r="A307" s="122"/>
      <c r="E307" s="2"/>
      <c r="I307" s="2"/>
      <c r="AD307" s="4"/>
      <c r="AE307" s="2"/>
      <c r="AF307" s="4"/>
      <c r="AG307" s="4"/>
      <c r="AH307" s="4"/>
      <c r="AI307" s="4"/>
      <c r="AJ307" s="4"/>
      <c r="AK307" s="4"/>
      <c r="AL307" s="4"/>
    </row>
    <row r="308" ht="15.75" customHeight="1">
      <c r="A308" s="122"/>
      <c r="E308" s="2"/>
      <c r="I308" s="2"/>
      <c r="AD308" s="4"/>
      <c r="AE308" s="2"/>
      <c r="AF308" s="4"/>
      <c r="AG308" s="4"/>
      <c r="AH308" s="4"/>
      <c r="AI308" s="4"/>
      <c r="AJ308" s="4"/>
      <c r="AK308" s="4"/>
      <c r="AL308" s="4"/>
    </row>
    <row r="309" ht="15.75" customHeight="1">
      <c r="A309" s="122"/>
      <c r="E309" s="2"/>
      <c r="I309" s="2"/>
      <c r="AD309" s="4"/>
      <c r="AE309" s="2"/>
      <c r="AF309" s="4"/>
      <c r="AG309" s="4"/>
      <c r="AH309" s="4"/>
      <c r="AI309" s="4"/>
      <c r="AJ309" s="4"/>
      <c r="AK309" s="4"/>
      <c r="AL309" s="4"/>
    </row>
    <row r="310" ht="15.75" customHeight="1">
      <c r="A310" s="122"/>
      <c r="E310" s="2"/>
      <c r="I310" s="2"/>
      <c r="AD310" s="4"/>
      <c r="AE310" s="2"/>
      <c r="AF310" s="4"/>
      <c r="AG310" s="4"/>
      <c r="AH310" s="4"/>
      <c r="AI310" s="4"/>
      <c r="AJ310" s="4"/>
      <c r="AK310" s="4"/>
      <c r="AL310" s="4"/>
    </row>
    <row r="311" ht="15.75" customHeight="1">
      <c r="A311" s="122"/>
      <c r="E311" s="2"/>
      <c r="I311" s="2"/>
      <c r="AD311" s="4"/>
      <c r="AE311" s="2"/>
      <c r="AF311" s="4"/>
      <c r="AG311" s="4"/>
      <c r="AH311" s="4"/>
      <c r="AI311" s="4"/>
      <c r="AJ311" s="4"/>
      <c r="AK311" s="4"/>
      <c r="AL311" s="4"/>
    </row>
    <row r="312" ht="15.75" customHeight="1">
      <c r="A312" s="122"/>
      <c r="E312" s="2"/>
      <c r="I312" s="2"/>
      <c r="AD312" s="4"/>
      <c r="AE312" s="2"/>
      <c r="AF312" s="4"/>
      <c r="AG312" s="4"/>
      <c r="AH312" s="4"/>
      <c r="AI312" s="4"/>
      <c r="AJ312" s="4"/>
      <c r="AK312" s="4"/>
      <c r="AL312" s="4"/>
    </row>
    <row r="313" ht="15.75" customHeight="1">
      <c r="A313" s="122"/>
      <c r="E313" s="2"/>
      <c r="I313" s="2"/>
      <c r="AD313" s="4"/>
      <c r="AE313" s="2"/>
      <c r="AF313" s="4"/>
      <c r="AG313" s="4"/>
      <c r="AH313" s="4"/>
      <c r="AI313" s="4"/>
      <c r="AJ313" s="4"/>
      <c r="AK313" s="4"/>
      <c r="AL313" s="4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1:G1"/>
    <mergeCell ref="F2:H2"/>
    <mergeCell ref="X2:Y2"/>
    <mergeCell ref="A3:A7"/>
    <mergeCell ref="A8:A12"/>
    <mergeCell ref="X8:AB8"/>
    <mergeCell ref="A13:A17"/>
    <mergeCell ref="A18:A22"/>
    <mergeCell ref="A23:A27"/>
    <mergeCell ref="A28:A32"/>
    <mergeCell ref="A33:A37"/>
    <mergeCell ref="A38:A42"/>
    <mergeCell ref="A51:G51"/>
    <mergeCell ref="F52:H52"/>
    <mergeCell ref="A83:A87"/>
    <mergeCell ref="A88:A92"/>
    <mergeCell ref="A93:A97"/>
    <mergeCell ref="A111:G111"/>
    <mergeCell ref="F112:H112"/>
    <mergeCell ref="X112:Y112"/>
    <mergeCell ref="A43:A47"/>
    <mergeCell ref="A53:A57"/>
    <mergeCell ref="A58:A62"/>
    <mergeCell ref="A63:A67"/>
    <mergeCell ref="A68:A72"/>
    <mergeCell ref="A73:A77"/>
    <mergeCell ref="A78:A82"/>
    <mergeCell ref="AD125:AF132"/>
    <mergeCell ref="AG125:AH132"/>
    <mergeCell ref="AD13:AF13"/>
    <mergeCell ref="AG14:AH21"/>
    <mergeCell ref="AD15:AF22"/>
    <mergeCell ref="AD63:AF63"/>
    <mergeCell ref="AD65:AF72"/>
    <mergeCell ref="AG65:AH72"/>
    <mergeCell ref="AD123:AF123"/>
    <mergeCell ref="A148:A152"/>
    <mergeCell ref="A153:A157"/>
    <mergeCell ref="A113:A117"/>
    <mergeCell ref="A118:A122"/>
    <mergeCell ref="A123:A127"/>
    <mergeCell ref="A128:A132"/>
    <mergeCell ref="A133:A137"/>
    <mergeCell ref="A138:A142"/>
    <mergeCell ref="A143:A147"/>
  </mergeCells>
  <conditionalFormatting sqref="AJ69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3" width="7.25"/>
    <col customWidth="1" min="4" max="4" width="7.0"/>
    <col customWidth="1" min="5" max="5" width="13.75"/>
    <col customWidth="1" min="6" max="6" width="12.63"/>
    <col customWidth="1" min="7" max="7" width="2.38"/>
    <col customWidth="1" min="9" max="9" width="14.25"/>
    <col customWidth="1" hidden="1" min="10" max="10" width="14.88"/>
    <col hidden="1" min="11" max="14" width="12.63"/>
    <col customWidth="1" hidden="1" min="15" max="15" width="22.75"/>
    <col hidden="1" min="16" max="22" width="12.63"/>
    <col customWidth="1" min="27" max="27" width="15.63"/>
    <col customWidth="1" min="28" max="28" width="22.75"/>
    <col customWidth="1" hidden="1" min="36" max="46" width="12.63"/>
  </cols>
  <sheetData>
    <row r="1" ht="15.75" customHeight="1">
      <c r="A1" s="70" t="s">
        <v>122</v>
      </c>
      <c r="H1" s="71"/>
      <c r="I1" s="72"/>
      <c r="AA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ht="15.75" customHeight="1">
      <c r="A2" s="73" t="s">
        <v>1</v>
      </c>
      <c r="B2" s="74" t="s">
        <v>2</v>
      </c>
      <c r="C2" s="74" t="s">
        <v>3</v>
      </c>
      <c r="D2" s="74" t="s">
        <v>4</v>
      </c>
      <c r="E2" s="74" t="s">
        <v>5</v>
      </c>
      <c r="F2" s="75" t="s">
        <v>6</v>
      </c>
      <c r="G2" s="7"/>
      <c r="H2" s="8"/>
      <c r="I2" s="74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76" t="s">
        <v>82</v>
      </c>
      <c r="U2" s="76" t="s">
        <v>83</v>
      </c>
      <c r="V2" s="76" t="s">
        <v>84</v>
      </c>
      <c r="W2" s="4"/>
      <c r="X2" s="123" t="s">
        <v>20</v>
      </c>
      <c r="Y2" s="8"/>
      <c r="Z2" s="4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17</v>
      </c>
      <c r="AH2" s="5" t="s">
        <v>18</v>
      </c>
      <c r="AI2" s="5" t="s">
        <v>19</v>
      </c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15.75" customHeight="1">
      <c r="A3" s="78">
        <v>1.0</v>
      </c>
      <c r="B3" s="68">
        <v>45588.0</v>
      </c>
      <c r="C3" s="13" t="s">
        <v>58</v>
      </c>
      <c r="D3" s="13" t="s">
        <v>22</v>
      </c>
      <c r="E3" s="107" t="s">
        <v>50</v>
      </c>
      <c r="F3" s="79">
        <v>3.0</v>
      </c>
      <c r="G3" s="80" t="s">
        <v>24</v>
      </c>
      <c r="H3" s="79">
        <v>4.0</v>
      </c>
      <c r="I3" s="107" t="s">
        <v>123</v>
      </c>
      <c r="J3" s="3"/>
      <c r="K3" s="17">
        <f t="shared" ref="K3:K30" si="1">IF(F3="","",IFS(F3&gt;H3,3,F3=H3,1,H3&gt;F3,0,F3="",0))</f>
        <v>0</v>
      </c>
      <c r="L3" s="18">
        <f t="shared" ref="L3:L30" si="2">IF(H3="","",IFS(F3&lt;H3,3,F3=H3,1,H3&lt;F3,0))</f>
        <v>3</v>
      </c>
      <c r="M3" s="3"/>
      <c r="N3" s="18">
        <v>1.0</v>
      </c>
      <c r="O3" s="102" t="s">
        <v>123</v>
      </c>
      <c r="P3" s="18">
        <f t="shared" ref="P3:P9" si="3">SUMIF(E$3:E$30,O3,K$3:K$30)+SUMIF(I$3:I$30,O3,L$3:L$30)</f>
        <v>15</v>
      </c>
      <c r="Q3" s="20">
        <f t="shared" ref="Q3:Q9" si="4">COUNTIFS(E$3:E$30,O3,K$3:K$30,3)+COUNTIFS(I$3:I$30,O3,L$3:L$30,3)</f>
        <v>5</v>
      </c>
      <c r="R3" s="20">
        <f t="shared" ref="R3:R9" si="5">COUNTIFS(E$3:E$30,O3,K$3:K$30,1)+COUNTIFS(I$3:I$30,O3,L$3:L$30,1)</f>
        <v>0</v>
      </c>
      <c r="S3" s="22">
        <f t="shared" ref="S3:S9" si="6">COUNTIFS(E$3:E$30,O3,K$3:K$30,0)+COUNTIFS(I$3:I$30,O3,L$3:L$30,0)</f>
        <v>1</v>
      </c>
      <c r="T3" s="18">
        <f t="shared" ref="T3:T9" si="7">SUMIF(E$3:E$30,O3,F$3:F$30)+SUMIF(I$3:I$30,O3,H$3:H$30)</f>
        <v>32</v>
      </c>
      <c r="U3" s="22">
        <f t="shared" ref="U3:U9" si="8">SUMIF(E$3:E$30,O3,H$3:H$30)+SUMIF(I$3:I$30,O3,F$3:F$30)</f>
        <v>13</v>
      </c>
      <c r="V3" s="18">
        <f t="shared" ref="V3:V9" si="9">T3-U3</f>
        <v>19</v>
      </c>
      <c r="X3" s="124" t="s">
        <v>26</v>
      </c>
      <c r="Y3" s="124" t="s">
        <v>13</v>
      </c>
      <c r="AA3" s="24" t="s">
        <v>29</v>
      </c>
      <c r="AB3" s="108" t="str">
        <f t="array" ref="AB3:AI9">SORT(O3:V9,2,FALSE,8,FALSE,8,FALSE())</f>
        <v>Eng. Civil</v>
      </c>
      <c r="AC3" s="26">
        <v>15.0</v>
      </c>
      <c r="AD3" s="26">
        <v>5.0</v>
      </c>
      <c r="AE3" s="26">
        <v>0.0</v>
      </c>
      <c r="AF3" s="27">
        <v>1.0</v>
      </c>
      <c r="AG3" s="26">
        <v>58.0</v>
      </c>
      <c r="AH3" s="27">
        <v>13.0</v>
      </c>
      <c r="AI3" s="26">
        <v>45.0</v>
      </c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</row>
    <row r="4" ht="15.75" customHeight="1">
      <c r="A4" s="29"/>
      <c r="B4" s="68">
        <v>45588.0</v>
      </c>
      <c r="C4" s="13" t="s">
        <v>59</v>
      </c>
      <c r="D4" s="13" t="s">
        <v>22</v>
      </c>
      <c r="E4" s="107" t="s">
        <v>38</v>
      </c>
      <c r="F4" s="79">
        <v>2.0</v>
      </c>
      <c r="G4" s="80" t="s">
        <v>24</v>
      </c>
      <c r="H4" s="79">
        <v>5.0</v>
      </c>
      <c r="I4" s="107" t="s">
        <v>86</v>
      </c>
      <c r="J4" s="3"/>
      <c r="K4" s="17">
        <f t="shared" si="1"/>
        <v>0</v>
      </c>
      <c r="L4" s="18">
        <f t="shared" si="2"/>
        <v>3</v>
      </c>
      <c r="M4" s="3"/>
      <c r="N4" s="18">
        <v>2.0</v>
      </c>
      <c r="O4" s="102" t="s">
        <v>50</v>
      </c>
      <c r="P4" s="18">
        <f t="shared" si="3"/>
        <v>15</v>
      </c>
      <c r="Q4" s="20">
        <f t="shared" si="4"/>
        <v>5</v>
      </c>
      <c r="R4" s="20">
        <f t="shared" si="5"/>
        <v>0</v>
      </c>
      <c r="S4" s="22">
        <f t="shared" si="6"/>
        <v>1</v>
      </c>
      <c r="T4" s="18">
        <f t="shared" si="7"/>
        <v>58</v>
      </c>
      <c r="U4" s="22">
        <f t="shared" si="8"/>
        <v>13</v>
      </c>
      <c r="V4" s="18">
        <f t="shared" si="9"/>
        <v>45</v>
      </c>
      <c r="X4" s="125" t="s">
        <v>33</v>
      </c>
      <c r="Y4" s="126">
        <v>3.0</v>
      </c>
      <c r="AA4" s="24" t="s">
        <v>35</v>
      </c>
      <c r="AB4" s="108" t="s">
        <v>123</v>
      </c>
      <c r="AC4" s="26">
        <v>15.0</v>
      </c>
      <c r="AD4" s="26">
        <v>5.0</v>
      </c>
      <c r="AE4" s="26">
        <v>0.0</v>
      </c>
      <c r="AF4" s="27">
        <v>1.0</v>
      </c>
      <c r="AG4" s="26">
        <v>32.0</v>
      </c>
      <c r="AH4" s="27">
        <v>13.0</v>
      </c>
      <c r="AI4" s="26">
        <v>19.0</v>
      </c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</row>
    <row r="5" ht="15.75" customHeight="1">
      <c r="A5" s="29"/>
      <c r="B5" s="68">
        <v>45589.0</v>
      </c>
      <c r="C5" s="13" t="s">
        <v>21</v>
      </c>
      <c r="D5" s="13" t="s">
        <v>22</v>
      </c>
      <c r="E5" s="107" t="s">
        <v>66</v>
      </c>
      <c r="F5" s="79">
        <v>7.0</v>
      </c>
      <c r="G5" s="80" t="s">
        <v>24</v>
      </c>
      <c r="H5" s="79">
        <v>0.0</v>
      </c>
      <c r="I5" s="107" t="s">
        <v>31</v>
      </c>
      <c r="J5" s="3"/>
      <c r="K5" s="17">
        <f t="shared" si="1"/>
        <v>3</v>
      </c>
      <c r="L5" s="18">
        <f t="shared" si="2"/>
        <v>0</v>
      </c>
      <c r="M5" s="3"/>
      <c r="N5" s="18">
        <v>3.0</v>
      </c>
      <c r="O5" s="102" t="s">
        <v>38</v>
      </c>
      <c r="P5" s="18">
        <f t="shared" si="3"/>
        <v>4</v>
      </c>
      <c r="Q5" s="20">
        <f t="shared" si="4"/>
        <v>1</v>
      </c>
      <c r="R5" s="20">
        <f t="shared" si="5"/>
        <v>1</v>
      </c>
      <c r="S5" s="22">
        <f t="shared" si="6"/>
        <v>4</v>
      </c>
      <c r="T5" s="18">
        <f t="shared" si="7"/>
        <v>15</v>
      </c>
      <c r="U5" s="22">
        <f t="shared" si="8"/>
        <v>30</v>
      </c>
      <c r="V5" s="18">
        <f t="shared" si="9"/>
        <v>-15</v>
      </c>
      <c r="X5" s="125" t="s">
        <v>50</v>
      </c>
      <c r="Y5" s="125">
        <v>0.0</v>
      </c>
      <c r="AA5" s="24" t="s">
        <v>40</v>
      </c>
      <c r="AB5" s="108" t="s">
        <v>86</v>
      </c>
      <c r="AC5" s="26">
        <v>12.0</v>
      </c>
      <c r="AD5" s="26">
        <v>4.0</v>
      </c>
      <c r="AE5" s="26">
        <v>0.0</v>
      </c>
      <c r="AF5" s="27">
        <v>2.0</v>
      </c>
      <c r="AG5" s="26">
        <v>28.0</v>
      </c>
      <c r="AH5" s="27">
        <v>22.0</v>
      </c>
      <c r="AI5" s="26">
        <v>6.0</v>
      </c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</row>
    <row r="6" ht="15.75" customHeight="1">
      <c r="A6" s="37"/>
      <c r="B6" s="68"/>
      <c r="C6" s="13"/>
      <c r="D6" s="13"/>
      <c r="E6" s="107" t="s">
        <v>96</v>
      </c>
      <c r="F6" s="79"/>
      <c r="G6" s="80" t="s">
        <v>24</v>
      </c>
      <c r="H6" s="79"/>
      <c r="I6" s="107">
        <v>0.0</v>
      </c>
      <c r="J6" s="3"/>
      <c r="K6" s="17" t="str">
        <f t="shared" si="1"/>
        <v/>
      </c>
      <c r="L6" s="18" t="str">
        <f t="shared" si="2"/>
        <v/>
      </c>
      <c r="M6" s="3"/>
      <c r="N6" s="18">
        <v>4.0</v>
      </c>
      <c r="O6" s="102" t="s">
        <v>66</v>
      </c>
      <c r="P6" s="18">
        <f t="shared" si="3"/>
        <v>9</v>
      </c>
      <c r="Q6" s="20">
        <f t="shared" si="4"/>
        <v>3</v>
      </c>
      <c r="R6" s="20">
        <f t="shared" si="5"/>
        <v>0</v>
      </c>
      <c r="S6" s="22">
        <f t="shared" si="6"/>
        <v>3</v>
      </c>
      <c r="T6" s="18">
        <f t="shared" si="7"/>
        <v>23</v>
      </c>
      <c r="U6" s="22">
        <f t="shared" si="8"/>
        <v>21</v>
      </c>
      <c r="V6" s="18">
        <f t="shared" si="9"/>
        <v>2</v>
      </c>
      <c r="AA6" s="24" t="s">
        <v>44</v>
      </c>
      <c r="AB6" s="108" t="s">
        <v>66</v>
      </c>
      <c r="AC6" s="26">
        <v>9.0</v>
      </c>
      <c r="AD6" s="26">
        <v>3.0</v>
      </c>
      <c r="AE6" s="26">
        <v>0.0</v>
      </c>
      <c r="AF6" s="27">
        <v>3.0</v>
      </c>
      <c r="AG6" s="26">
        <v>23.0</v>
      </c>
      <c r="AH6" s="27">
        <v>21.0</v>
      </c>
      <c r="AI6" s="26">
        <v>2.0</v>
      </c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</row>
    <row r="7" ht="15.75" customHeight="1">
      <c r="A7" s="78">
        <v>2.0</v>
      </c>
      <c r="B7" s="68">
        <v>45622.0</v>
      </c>
      <c r="C7" s="13" t="s">
        <v>21</v>
      </c>
      <c r="D7" s="13" t="s">
        <v>22</v>
      </c>
      <c r="E7" s="107" t="s">
        <v>123</v>
      </c>
      <c r="F7" s="83">
        <v>6.0</v>
      </c>
      <c r="G7" s="80" t="s">
        <v>24</v>
      </c>
      <c r="H7" s="83">
        <v>1.0</v>
      </c>
      <c r="I7" s="107" t="s">
        <v>38</v>
      </c>
      <c r="J7" s="3"/>
      <c r="K7" s="17">
        <f t="shared" si="1"/>
        <v>3</v>
      </c>
      <c r="L7" s="18">
        <f t="shared" si="2"/>
        <v>0</v>
      </c>
      <c r="M7" s="3"/>
      <c r="N7" s="18">
        <v>5.0</v>
      </c>
      <c r="O7" s="102" t="s">
        <v>96</v>
      </c>
      <c r="P7" s="18">
        <f t="shared" si="3"/>
        <v>4</v>
      </c>
      <c r="Q7" s="20">
        <f t="shared" si="4"/>
        <v>1</v>
      </c>
      <c r="R7" s="20">
        <f t="shared" si="5"/>
        <v>1</v>
      </c>
      <c r="S7" s="22">
        <f t="shared" si="6"/>
        <v>4</v>
      </c>
      <c r="T7" s="18">
        <f t="shared" si="7"/>
        <v>12</v>
      </c>
      <c r="U7" s="22">
        <f t="shared" si="8"/>
        <v>41</v>
      </c>
      <c r="V7" s="18">
        <f t="shared" si="9"/>
        <v>-29</v>
      </c>
      <c r="AA7" s="24">
        <v>5.0</v>
      </c>
      <c r="AB7" s="108" t="s">
        <v>38</v>
      </c>
      <c r="AC7" s="26">
        <v>4.0</v>
      </c>
      <c r="AD7" s="26">
        <v>1.0</v>
      </c>
      <c r="AE7" s="26">
        <v>1.0</v>
      </c>
      <c r="AF7" s="27">
        <v>4.0</v>
      </c>
      <c r="AG7" s="26">
        <v>15.0</v>
      </c>
      <c r="AH7" s="27">
        <v>30.0</v>
      </c>
      <c r="AI7" s="26">
        <v>-15.0</v>
      </c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</row>
    <row r="8" ht="15.75" customHeight="1">
      <c r="A8" s="29"/>
      <c r="B8" s="127"/>
      <c r="C8" s="92"/>
      <c r="D8" s="13"/>
      <c r="E8" s="107">
        <v>0.0</v>
      </c>
      <c r="F8" s="79"/>
      <c r="G8" s="80" t="s">
        <v>24</v>
      </c>
      <c r="H8" s="79"/>
      <c r="I8" s="107" t="s">
        <v>50</v>
      </c>
      <c r="J8" s="3"/>
      <c r="K8" s="17" t="str">
        <f t="shared" si="1"/>
        <v/>
      </c>
      <c r="L8" s="18" t="str">
        <f t="shared" si="2"/>
        <v/>
      </c>
      <c r="M8" s="3"/>
      <c r="N8" s="18">
        <v>6.0</v>
      </c>
      <c r="O8" s="102" t="s">
        <v>31</v>
      </c>
      <c r="P8" s="18">
        <f t="shared" si="3"/>
        <v>3</v>
      </c>
      <c r="Q8" s="20">
        <f t="shared" si="4"/>
        <v>1</v>
      </c>
      <c r="R8" s="20">
        <f t="shared" si="5"/>
        <v>0</v>
      </c>
      <c r="S8" s="22">
        <f t="shared" si="6"/>
        <v>5</v>
      </c>
      <c r="T8" s="18">
        <f t="shared" si="7"/>
        <v>2</v>
      </c>
      <c r="U8" s="22">
        <f t="shared" si="8"/>
        <v>30</v>
      </c>
      <c r="V8" s="18">
        <f t="shared" si="9"/>
        <v>-28</v>
      </c>
      <c r="AA8" s="24">
        <v>6.0</v>
      </c>
      <c r="AB8" s="108" t="s">
        <v>96</v>
      </c>
      <c r="AC8" s="26">
        <v>4.0</v>
      </c>
      <c r="AD8" s="26">
        <v>1.0</v>
      </c>
      <c r="AE8" s="26">
        <v>1.0</v>
      </c>
      <c r="AF8" s="27">
        <v>4.0</v>
      </c>
      <c r="AG8" s="26">
        <v>12.0</v>
      </c>
      <c r="AH8" s="27">
        <v>41.0</v>
      </c>
      <c r="AI8" s="26">
        <v>-29.0</v>
      </c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</row>
    <row r="9" ht="15.75" customHeight="1">
      <c r="A9" s="29"/>
      <c r="B9" s="68">
        <v>45603.0</v>
      </c>
      <c r="C9" s="13" t="s">
        <v>30</v>
      </c>
      <c r="D9" s="13" t="s">
        <v>22</v>
      </c>
      <c r="E9" s="107" t="s">
        <v>86</v>
      </c>
      <c r="F9" s="79">
        <v>4.0</v>
      </c>
      <c r="G9" s="80" t="s">
        <v>24</v>
      </c>
      <c r="H9" s="79">
        <v>3.0</v>
      </c>
      <c r="I9" s="107" t="s">
        <v>66</v>
      </c>
      <c r="J9" s="3"/>
      <c r="K9" s="17">
        <f t="shared" si="1"/>
        <v>3</v>
      </c>
      <c r="L9" s="18">
        <f t="shared" si="2"/>
        <v>0</v>
      </c>
      <c r="M9" s="3"/>
      <c r="N9" s="18">
        <v>7.0</v>
      </c>
      <c r="O9" s="121" t="s">
        <v>86</v>
      </c>
      <c r="P9" s="18">
        <f t="shared" si="3"/>
        <v>12</v>
      </c>
      <c r="Q9" s="20">
        <f t="shared" si="4"/>
        <v>4</v>
      </c>
      <c r="R9" s="20">
        <f t="shared" si="5"/>
        <v>0</v>
      </c>
      <c r="S9" s="22">
        <f t="shared" si="6"/>
        <v>2</v>
      </c>
      <c r="T9" s="18">
        <f t="shared" si="7"/>
        <v>28</v>
      </c>
      <c r="U9" s="22">
        <f t="shared" si="8"/>
        <v>22</v>
      </c>
      <c r="V9" s="18">
        <f t="shared" si="9"/>
        <v>6</v>
      </c>
      <c r="AA9" s="24">
        <v>7.0</v>
      </c>
      <c r="AB9" s="108" t="s">
        <v>31</v>
      </c>
      <c r="AC9" s="26">
        <v>3.0</v>
      </c>
      <c r="AD9" s="26">
        <v>1.0</v>
      </c>
      <c r="AE9" s="26">
        <v>0.0</v>
      </c>
      <c r="AF9" s="27">
        <v>5.0</v>
      </c>
      <c r="AG9" s="26">
        <v>2.0</v>
      </c>
      <c r="AH9" s="27">
        <v>30.0</v>
      </c>
      <c r="AI9" s="26">
        <v>-28.0</v>
      </c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</row>
    <row r="10" ht="15.75" customHeight="1">
      <c r="A10" s="37"/>
      <c r="B10" s="68">
        <v>45624.0</v>
      </c>
      <c r="C10" s="13" t="s">
        <v>21</v>
      </c>
      <c r="D10" s="13" t="s">
        <v>22</v>
      </c>
      <c r="E10" s="107" t="s">
        <v>31</v>
      </c>
      <c r="F10" s="79">
        <v>0.0</v>
      </c>
      <c r="G10" s="80" t="s">
        <v>24</v>
      </c>
      <c r="H10" s="79">
        <v>1.0</v>
      </c>
      <c r="I10" s="107" t="s">
        <v>96</v>
      </c>
      <c r="J10" s="3"/>
      <c r="K10" s="17">
        <f t="shared" si="1"/>
        <v>0</v>
      </c>
      <c r="L10" s="18">
        <f t="shared" si="2"/>
        <v>3</v>
      </c>
      <c r="M10" s="3"/>
      <c r="N10" s="18"/>
      <c r="O10" s="84"/>
      <c r="P10" s="18"/>
      <c r="Q10" s="20"/>
      <c r="R10" s="20"/>
      <c r="S10" s="22"/>
      <c r="T10" s="18"/>
      <c r="U10" s="22"/>
      <c r="V10" s="18"/>
      <c r="AA10" s="85" t="s">
        <v>124</v>
      </c>
      <c r="AD10" s="86"/>
      <c r="AE10" s="86"/>
      <c r="AF10" s="87"/>
      <c r="AG10" s="86"/>
      <c r="AH10" s="87"/>
      <c r="AI10" s="86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</row>
    <row r="11" ht="15.75" customHeight="1">
      <c r="A11" s="88">
        <v>3.0</v>
      </c>
      <c r="B11" s="54">
        <v>45637.0</v>
      </c>
      <c r="C11" s="13" t="s">
        <v>125</v>
      </c>
      <c r="D11" s="13" t="s">
        <v>22</v>
      </c>
      <c r="E11" s="107" t="s">
        <v>66</v>
      </c>
      <c r="F11" s="79">
        <v>2.0</v>
      </c>
      <c r="G11" s="80"/>
      <c r="H11" s="79">
        <v>3.0</v>
      </c>
      <c r="I11" s="107" t="s">
        <v>123</v>
      </c>
      <c r="J11" s="3"/>
      <c r="K11" s="17">
        <f t="shared" si="1"/>
        <v>0</v>
      </c>
      <c r="L11" s="18">
        <f t="shared" si="2"/>
        <v>3</v>
      </c>
      <c r="M11" s="3"/>
      <c r="AA11" s="48"/>
      <c r="AD11" s="47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ht="15.75" customHeight="1">
      <c r="A12" s="29"/>
      <c r="B12" s="54">
        <v>45637.0</v>
      </c>
      <c r="C12" s="13" t="s">
        <v>126</v>
      </c>
      <c r="D12" s="13" t="s">
        <v>22</v>
      </c>
      <c r="E12" s="107" t="s">
        <v>38</v>
      </c>
      <c r="F12" s="79">
        <v>3.0</v>
      </c>
      <c r="G12" s="80" t="s">
        <v>24</v>
      </c>
      <c r="H12" s="79">
        <v>7.0</v>
      </c>
      <c r="I12" s="107" t="s">
        <v>50</v>
      </c>
      <c r="J12" s="3"/>
      <c r="K12" s="17">
        <f t="shared" si="1"/>
        <v>0</v>
      </c>
      <c r="L12" s="18">
        <f t="shared" si="2"/>
        <v>3</v>
      </c>
      <c r="M12" s="3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ht="15.75" customHeight="1">
      <c r="A13" s="29"/>
      <c r="B13" s="54">
        <v>45637.0</v>
      </c>
      <c r="C13" s="13" t="s">
        <v>127</v>
      </c>
      <c r="D13" s="13" t="s">
        <v>22</v>
      </c>
      <c r="E13" s="107" t="s">
        <v>96</v>
      </c>
      <c r="F13" s="79">
        <v>2.0</v>
      </c>
      <c r="G13" s="80" t="s">
        <v>24</v>
      </c>
      <c r="H13" s="79">
        <v>12.0</v>
      </c>
      <c r="I13" s="107" t="s">
        <v>86</v>
      </c>
      <c r="J13" s="3"/>
      <c r="K13" s="17">
        <f t="shared" si="1"/>
        <v>0</v>
      </c>
      <c r="L13" s="18">
        <f t="shared" si="2"/>
        <v>3</v>
      </c>
      <c r="M13" s="3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ht="15.75" customHeight="1">
      <c r="A14" s="37"/>
      <c r="B14" s="54"/>
      <c r="C14" s="13"/>
      <c r="D14" s="13"/>
      <c r="E14" s="107">
        <v>0.0</v>
      </c>
      <c r="F14" s="79"/>
      <c r="G14" s="80" t="s">
        <v>24</v>
      </c>
      <c r="H14" s="79"/>
      <c r="I14" s="107" t="s">
        <v>31</v>
      </c>
      <c r="J14" s="3"/>
      <c r="K14" s="17" t="str">
        <f t="shared" si="1"/>
        <v/>
      </c>
      <c r="L14" s="18" t="str">
        <f t="shared" si="2"/>
        <v/>
      </c>
      <c r="M14" s="3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ht="15.75" customHeight="1">
      <c r="A15" s="78">
        <v>4.0</v>
      </c>
      <c r="B15" s="54">
        <v>45705.0</v>
      </c>
      <c r="C15" s="13" t="s">
        <v>77</v>
      </c>
      <c r="D15" s="13" t="s">
        <v>108</v>
      </c>
      <c r="E15" s="14" t="s">
        <v>123</v>
      </c>
      <c r="F15" s="79">
        <v>7.0</v>
      </c>
      <c r="G15" s="80" t="s">
        <v>24</v>
      </c>
      <c r="H15" s="79">
        <v>3.0</v>
      </c>
      <c r="I15" s="14" t="s">
        <v>96</v>
      </c>
      <c r="J15" s="3"/>
      <c r="K15" s="17">
        <f t="shared" si="1"/>
        <v>3</v>
      </c>
      <c r="L15" s="18">
        <f t="shared" si="2"/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</row>
    <row r="16" ht="15.75" customHeight="1">
      <c r="A16" s="29"/>
      <c r="B16" s="54">
        <v>45705.0</v>
      </c>
      <c r="C16" s="13" t="s">
        <v>58</v>
      </c>
      <c r="D16" s="13" t="s">
        <v>108</v>
      </c>
      <c r="E16" s="14" t="s">
        <v>50</v>
      </c>
      <c r="F16" s="79">
        <v>14.0</v>
      </c>
      <c r="G16" s="80" t="s">
        <v>24</v>
      </c>
      <c r="H16" s="79">
        <v>2.0</v>
      </c>
      <c r="I16" s="14" t="s">
        <v>66</v>
      </c>
      <c r="J16" s="3"/>
      <c r="K16" s="17">
        <f t="shared" si="1"/>
        <v>3</v>
      </c>
      <c r="L16" s="18">
        <f t="shared" si="2"/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</row>
    <row r="17" ht="15.75" customHeight="1">
      <c r="A17" s="29"/>
      <c r="B17" s="91"/>
      <c r="C17" s="92"/>
      <c r="D17" s="92"/>
      <c r="E17" s="107" t="s">
        <v>38</v>
      </c>
      <c r="F17" s="79"/>
      <c r="G17" s="80" t="s">
        <v>24</v>
      </c>
      <c r="H17" s="79"/>
      <c r="I17" s="107">
        <v>0.0</v>
      </c>
      <c r="J17" s="3"/>
      <c r="K17" s="17" t="str">
        <f t="shared" si="1"/>
        <v/>
      </c>
      <c r="L17" s="18" t="str">
        <f t="shared" si="2"/>
        <v/>
      </c>
      <c r="M17" s="3"/>
      <c r="N17" s="3"/>
      <c r="O17" s="3"/>
      <c r="P17" s="3"/>
      <c r="Q17" s="3"/>
      <c r="R17" s="3"/>
      <c r="S17" s="3"/>
      <c r="T17" s="3"/>
      <c r="U17" s="3"/>
      <c r="V17" s="3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</row>
    <row r="18" ht="15.75" customHeight="1">
      <c r="A18" s="37"/>
      <c r="B18" s="54">
        <v>45705.0</v>
      </c>
      <c r="C18" s="13" t="s">
        <v>59</v>
      </c>
      <c r="D18" s="13" t="s">
        <v>108</v>
      </c>
      <c r="E18" s="107" t="s">
        <v>86</v>
      </c>
      <c r="F18" s="79">
        <v>0.0</v>
      </c>
      <c r="G18" s="80" t="s">
        <v>24</v>
      </c>
      <c r="H18" s="79">
        <v>1.0</v>
      </c>
      <c r="I18" s="14" t="s">
        <v>31</v>
      </c>
      <c r="J18" s="50"/>
      <c r="K18" s="17">
        <f t="shared" si="1"/>
        <v>0</v>
      </c>
      <c r="L18" s="18">
        <f t="shared" si="2"/>
        <v>3</v>
      </c>
      <c r="M18" s="3"/>
      <c r="N18" s="3"/>
      <c r="O18" s="3"/>
      <c r="P18" s="3"/>
      <c r="R18" s="3"/>
      <c r="S18" s="3"/>
      <c r="T18" s="3"/>
      <c r="U18" s="3"/>
      <c r="V18" s="3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</row>
    <row r="19" ht="15.75" customHeight="1">
      <c r="A19" s="78">
        <v>5.0</v>
      </c>
      <c r="B19" s="54">
        <v>45756.0</v>
      </c>
      <c r="C19" s="13" t="s">
        <v>41</v>
      </c>
      <c r="D19" s="13" t="s">
        <v>22</v>
      </c>
      <c r="E19" s="107" t="s">
        <v>31</v>
      </c>
      <c r="F19" s="79">
        <v>0.0</v>
      </c>
      <c r="G19" s="80" t="s">
        <v>24</v>
      </c>
      <c r="H19" s="79">
        <v>9.0</v>
      </c>
      <c r="I19" s="14" t="s">
        <v>123</v>
      </c>
      <c r="J19" s="3"/>
      <c r="K19" s="17">
        <f t="shared" si="1"/>
        <v>0</v>
      </c>
      <c r="L19" s="18">
        <f t="shared" si="2"/>
        <v>3</v>
      </c>
      <c r="M19" s="3"/>
      <c r="N19" s="3"/>
      <c r="O19" s="3"/>
      <c r="P19" s="3"/>
      <c r="Q19" s="3"/>
      <c r="R19" s="3"/>
      <c r="S19" s="3"/>
      <c r="T19" s="3"/>
      <c r="U19" s="3"/>
      <c r="V19" s="3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</row>
    <row r="20" ht="15.75" customHeight="1">
      <c r="A20" s="29"/>
      <c r="B20" s="54">
        <v>45782.0</v>
      </c>
      <c r="C20" s="13" t="s">
        <v>76</v>
      </c>
      <c r="D20" s="13" t="s">
        <v>108</v>
      </c>
      <c r="E20" s="107" t="s">
        <v>96</v>
      </c>
      <c r="F20" s="79">
        <v>1.0</v>
      </c>
      <c r="G20" s="80" t="s">
        <v>24</v>
      </c>
      <c r="H20" s="79">
        <v>14.0</v>
      </c>
      <c r="I20" s="107" t="s">
        <v>50</v>
      </c>
      <c r="J20" s="3"/>
      <c r="K20" s="17">
        <f t="shared" si="1"/>
        <v>0</v>
      </c>
      <c r="L20" s="18">
        <f t="shared" si="2"/>
        <v>3</v>
      </c>
      <c r="M20" s="3"/>
      <c r="N20" s="3"/>
      <c r="O20" s="3"/>
      <c r="P20" s="3"/>
      <c r="Q20" s="3"/>
      <c r="R20" s="3"/>
      <c r="S20" s="3"/>
      <c r="T20" s="3"/>
      <c r="U20" s="3"/>
      <c r="V20" s="3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</row>
    <row r="21" ht="15.75" customHeight="1">
      <c r="A21" s="29"/>
      <c r="B21" s="54">
        <v>45782.0</v>
      </c>
      <c r="C21" s="13" t="s">
        <v>77</v>
      </c>
      <c r="D21" s="13" t="s">
        <v>108</v>
      </c>
      <c r="E21" s="107" t="s">
        <v>66</v>
      </c>
      <c r="F21" s="79">
        <v>6.0</v>
      </c>
      <c r="G21" s="80" t="s">
        <v>24</v>
      </c>
      <c r="H21" s="79">
        <v>0.0</v>
      </c>
      <c r="I21" s="107" t="s">
        <v>38</v>
      </c>
      <c r="J21" s="3"/>
      <c r="K21" s="17">
        <f t="shared" si="1"/>
        <v>3</v>
      </c>
      <c r="L21" s="18">
        <f t="shared" si="2"/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AA21" s="93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</row>
    <row r="22" ht="15.75" customHeight="1">
      <c r="A22" s="37"/>
      <c r="B22" s="54"/>
      <c r="C22" s="13"/>
      <c r="D22" s="13"/>
      <c r="E22" s="107">
        <v>0.0</v>
      </c>
      <c r="F22" s="79"/>
      <c r="G22" s="80" t="s">
        <v>24</v>
      </c>
      <c r="H22" s="79"/>
      <c r="I22" s="107" t="s">
        <v>86</v>
      </c>
      <c r="J22" s="3"/>
      <c r="K22" s="17" t="str">
        <f t="shared" si="1"/>
        <v/>
      </c>
      <c r="L22" s="18" t="str">
        <f t="shared" si="2"/>
        <v/>
      </c>
      <c r="M22" s="3"/>
      <c r="N22" s="3"/>
      <c r="O22" s="3"/>
      <c r="P22" s="3"/>
      <c r="Q22" s="3"/>
      <c r="R22" s="3"/>
      <c r="S22" s="3"/>
      <c r="T22" s="3"/>
      <c r="U22" s="3"/>
      <c r="V22" s="3"/>
      <c r="AA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ht="15.75" customHeight="1">
      <c r="A23" s="78">
        <v>6.0</v>
      </c>
      <c r="B23" s="54">
        <v>45743.0</v>
      </c>
      <c r="C23" s="13" t="s">
        <v>76</v>
      </c>
      <c r="D23" s="13" t="s">
        <v>22</v>
      </c>
      <c r="E23" s="14" t="s">
        <v>123</v>
      </c>
      <c r="F23" s="79">
        <v>3.0</v>
      </c>
      <c r="G23" s="80" t="s">
        <v>24</v>
      </c>
      <c r="H23" s="79">
        <v>4.0</v>
      </c>
      <c r="I23" s="107" t="s">
        <v>86</v>
      </c>
      <c r="J23" s="3"/>
      <c r="K23" s="17">
        <f t="shared" si="1"/>
        <v>0</v>
      </c>
      <c r="L23" s="18">
        <f t="shared" si="2"/>
        <v>3</v>
      </c>
      <c r="M23" s="3"/>
      <c r="N23" s="3"/>
      <c r="O23" s="3"/>
      <c r="P23" s="3"/>
      <c r="Q23" s="3"/>
      <c r="R23" s="3"/>
      <c r="S23" s="3"/>
      <c r="T23" s="3"/>
      <c r="U23" s="3"/>
      <c r="V23" s="3"/>
      <c r="AA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ht="15.75" customHeight="1">
      <c r="A24" s="29"/>
      <c r="B24" s="54">
        <v>45743.0</v>
      </c>
      <c r="C24" s="13" t="s">
        <v>77</v>
      </c>
      <c r="D24" s="13" t="s">
        <v>22</v>
      </c>
      <c r="E24" s="107" t="s">
        <v>50</v>
      </c>
      <c r="F24" s="79">
        <v>9.0</v>
      </c>
      <c r="G24" s="80" t="s">
        <v>24</v>
      </c>
      <c r="H24" s="79">
        <v>0.0</v>
      </c>
      <c r="I24" s="107" t="s">
        <v>31</v>
      </c>
      <c r="J24" s="3"/>
      <c r="K24" s="17">
        <f t="shared" si="1"/>
        <v>3</v>
      </c>
      <c r="L24" s="18">
        <f t="shared" si="2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AA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ht="15.75" customHeight="1">
      <c r="A25" s="29"/>
      <c r="B25" s="54">
        <v>45743.0</v>
      </c>
      <c r="C25" s="13" t="s">
        <v>58</v>
      </c>
      <c r="D25" s="13" t="s">
        <v>22</v>
      </c>
      <c r="E25" s="107" t="s">
        <v>38</v>
      </c>
      <c r="F25" s="79">
        <v>5.0</v>
      </c>
      <c r="G25" s="80" t="s">
        <v>24</v>
      </c>
      <c r="H25" s="79">
        <v>5.0</v>
      </c>
      <c r="I25" s="107" t="s">
        <v>96</v>
      </c>
      <c r="J25" s="3"/>
      <c r="K25" s="17">
        <f t="shared" si="1"/>
        <v>1</v>
      </c>
      <c r="L25" s="18">
        <f t="shared" si="2"/>
        <v>1</v>
      </c>
      <c r="M25" s="3"/>
      <c r="N25" s="3"/>
      <c r="O25" s="3"/>
      <c r="P25" s="3"/>
      <c r="Q25" s="3"/>
      <c r="R25" s="3"/>
      <c r="S25" s="3"/>
      <c r="T25" s="3"/>
      <c r="U25" s="3"/>
      <c r="V25" s="3"/>
      <c r="AA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ht="15.75" customHeight="1">
      <c r="A26" s="37"/>
      <c r="B26" s="54"/>
      <c r="C26" s="13"/>
      <c r="D26" s="13"/>
      <c r="E26" s="107" t="s">
        <v>66</v>
      </c>
      <c r="F26" s="79"/>
      <c r="G26" s="80" t="s">
        <v>24</v>
      </c>
      <c r="H26" s="79"/>
      <c r="I26" s="107">
        <v>0.0</v>
      </c>
      <c r="J26" s="3"/>
      <c r="K26" s="17" t="str">
        <f t="shared" si="1"/>
        <v/>
      </c>
      <c r="L26" s="18" t="str">
        <f t="shared" si="2"/>
        <v/>
      </c>
      <c r="M26" s="3"/>
      <c r="N26" s="3"/>
      <c r="O26" s="3"/>
      <c r="P26" s="3"/>
      <c r="Q26" s="3"/>
      <c r="R26" s="3"/>
      <c r="S26" s="3"/>
      <c r="T26" s="3"/>
      <c r="U26" s="3"/>
      <c r="V26" s="3"/>
      <c r="AA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ht="15.75" customHeight="1">
      <c r="A27" s="78">
        <v>7.0</v>
      </c>
      <c r="B27" s="54"/>
      <c r="C27" s="13"/>
      <c r="D27" s="13"/>
      <c r="E27" s="107">
        <v>0.0</v>
      </c>
      <c r="F27" s="79"/>
      <c r="G27" s="80" t="s">
        <v>24</v>
      </c>
      <c r="H27" s="79"/>
      <c r="I27" s="14" t="s">
        <v>123</v>
      </c>
      <c r="J27" s="3"/>
      <c r="K27" s="17" t="str">
        <f t="shared" si="1"/>
        <v/>
      </c>
      <c r="L27" s="18" t="str">
        <f t="shared" si="2"/>
        <v/>
      </c>
      <c r="M27" s="3"/>
      <c r="N27" s="3"/>
      <c r="O27" s="3"/>
      <c r="P27" s="3"/>
      <c r="Q27" s="3"/>
      <c r="R27" s="3"/>
      <c r="S27" s="3"/>
      <c r="T27" s="3"/>
      <c r="U27" s="3"/>
      <c r="V27" s="3"/>
      <c r="AA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ht="15.75" customHeight="1">
      <c r="A28" s="29"/>
      <c r="B28" s="54">
        <v>45791.0</v>
      </c>
      <c r="C28" s="13" t="s">
        <v>128</v>
      </c>
      <c r="D28" s="13" t="s">
        <v>22</v>
      </c>
      <c r="E28" s="107" t="s">
        <v>86</v>
      </c>
      <c r="F28" s="79">
        <v>3.0</v>
      </c>
      <c r="G28" s="80" t="s">
        <v>24</v>
      </c>
      <c r="H28" s="79">
        <v>11.0</v>
      </c>
      <c r="I28" s="107" t="s">
        <v>50</v>
      </c>
      <c r="J28" s="3"/>
      <c r="K28" s="17">
        <f t="shared" si="1"/>
        <v>0</v>
      </c>
      <c r="L28" s="18">
        <f t="shared" si="2"/>
        <v>3</v>
      </c>
      <c r="M28" s="3"/>
      <c r="N28" s="3"/>
      <c r="O28" s="3"/>
      <c r="P28" s="3"/>
      <c r="Q28" s="3"/>
      <c r="R28" s="3"/>
      <c r="S28" s="3"/>
      <c r="T28" s="3"/>
      <c r="U28" s="3"/>
      <c r="V28" s="3"/>
      <c r="AA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ht="15.75" customHeight="1">
      <c r="A29" s="29"/>
      <c r="B29" s="54">
        <v>45791.0</v>
      </c>
      <c r="C29" s="13" t="s">
        <v>129</v>
      </c>
      <c r="D29" s="13" t="s">
        <v>22</v>
      </c>
      <c r="E29" s="107" t="s">
        <v>31</v>
      </c>
      <c r="F29" s="79">
        <v>1.0</v>
      </c>
      <c r="G29" s="80" t="s">
        <v>24</v>
      </c>
      <c r="H29" s="79">
        <v>4.0</v>
      </c>
      <c r="I29" s="107" t="s">
        <v>38</v>
      </c>
      <c r="J29" s="3"/>
      <c r="K29" s="17">
        <f t="shared" si="1"/>
        <v>0</v>
      </c>
      <c r="L29" s="18">
        <f t="shared" si="2"/>
        <v>3</v>
      </c>
      <c r="M29" s="3"/>
      <c r="N29" s="3"/>
      <c r="O29" s="3"/>
      <c r="P29" s="3"/>
      <c r="Q29" s="3"/>
      <c r="R29" s="3"/>
      <c r="S29" s="3"/>
      <c r="T29" s="3"/>
      <c r="U29" s="3"/>
      <c r="V29" s="3"/>
      <c r="AA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ht="15.75" customHeight="1">
      <c r="A30" s="37"/>
      <c r="B30" s="54">
        <v>45791.0</v>
      </c>
      <c r="C30" s="13" t="s">
        <v>130</v>
      </c>
      <c r="D30" s="13" t="s">
        <v>22</v>
      </c>
      <c r="E30" s="128" t="s">
        <v>96</v>
      </c>
      <c r="F30" s="79">
        <v>0.0</v>
      </c>
      <c r="G30" s="80" t="s">
        <v>24</v>
      </c>
      <c r="H30" s="79">
        <v>3.0</v>
      </c>
      <c r="I30" s="107" t="s">
        <v>66</v>
      </c>
      <c r="J30" s="3"/>
      <c r="K30" s="17">
        <f t="shared" si="1"/>
        <v>0</v>
      </c>
      <c r="L30" s="18">
        <f t="shared" si="2"/>
        <v>3</v>
      </c>
      <c r="M30" s="3"/>
      <c r="N30" s="3"/>
      <c r="O30" s="3"/>
      <c r="P30" s="3"/>
      <c r="Q30" s="3"/>
      <c r="R30" s="3"/>
      <c r="S30" s="3"/>
      <c r="T30" s="3"/>
      <c r="U30" s="3"/>
      <c r="V30" s="3"/>
      <c r="AA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ht="15.75" customHeight="1">
      <c r="A31" s="94"/>
      <c r="B31" s="95"/>
      <c r="C31" s="95"/>
      <c r="D31" s="95"/>
      <c r="E31" s="96"/>
      <c r="F31" s="97"/>
      <c r="G31" s="97"/>
      <c r="H31" s="71"/>
      <c r="I31" s="72"/>
      <c r="AA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ht="15.75" customHeight="1">
      <c r="A32" s="94"/>
      <c r="B32" s="95"/>
      <c r="C32" s="95"/>
      <c r="D32" s="95"/>
      <c r="E32" s="96"/>
      <c r="F32" s="97"/>
      <c r="G32" s="97"/>
      <c r="H32" s="71"/>
      <c r="I32" s="72"/>
      <c r="AA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ht="15.75" customHeight="1">
      <c r="A33" s="94"/>
      <c r="B33" s="95"/>
      <c r="C33" s="95"/>
      <c r="D33" s="95"/>
      <c r="E33" s="96"/>
      <c r="F33" s="97"/>
      <c r="G33" s="97"/>
      <c r="H33" s="71"/>
      <c r="I33" s="72"/>
      <c r="AA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ht="15.75" customHeight="1">
      <c r="A34" s="70" t="s">
        <v>131</v>
      </c>
      <c r="H34" s="71"/>
      <c r="I34" s="72"/>
      <c r="AA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ht="15.75" customHeight="1">
      <c r="A35" s="73" t="s">
        <v>1</v>
      </c>
      <c r="B35" s="74" t="s">
        <v>2</v>
      </c>
      <c r="C35" s="74" t="s">
        <v>3</v>
      </c>
      <c r="D35" s="74" t="s">
        <v>4</v>
      </c>
      <c r="E35" s="74" t="s">
        <v>5</v>
      </c>
      <c r="F35" s="75" t="s">
        <v>6</v>
      </c>
      <c r="G35" s="7"/>
      <c r="H35" s="8"/>
      <c r="I35" s="74" t="s">
        <v>7</v>
      </c>
      <c r="J35" s="9" t="s">
        <v>8</v>
      </c>
      <c r="K35" s="9" t="s">
        <v>9</v>
      </c>
      <c r="L35" s="9" t="s">
        <v>10</v>
      </c>
      <c r="M35" s="9"/>
      <c r="N35" s="9" t="s">
        <v>11</v>
      </c>
      <c r="O35" s="9" t="s">
        <v>12</v>
      </c>
      <c r="P35" s="9" t="s">
        <v>13</v>
      </c>
      <c r="Q35" s="9" t="s">
        <v>14</v>
      </c>
      <c r="R35" s="9" t="s">
        <v>15</v>
      </c>
      <c r="S35" s="9" t="s">
        <v>16</v>
      </c>
      <c r="T35" s="76" t="s">
        <v>82</v>
      </c>
      <c r="U35" s="76" t="s">
        <v>83</v>
      </c>
      <c r="V35" s="76" t="s">
        <v>84</v>
      </c>
      <c r="W35" s="4"/>
      <c r="X35" s="123" t="s">
        <v>20</v>
      </c>
      <c r="Y35" s="8"/>
      <c r="Z35" s="4"/>
      <c r="AA35" s="5" t="s">
        <v>11</v>
      </c>
      <c r="AB35" s="5" t="s">
        <v>12</v>
      </c>
      <c r="AC35" s="5" t="s">
        <v>13</v>
      </c>
      <c r="AD35" s="5" t="s">
        <v>14</v>
      </c>
      <c r="AE35" s="5" t="s">
        <v>15</v>
      </c>
      <c r="AF35" s="5" t="s">
        <v>16</v>
      </c>
      <c r="AG35" s="5" t="s">
        <v>17</v>
      </c>
      <c r="AH35" s="5" t="s">
        <v>18</v>
      </c>
      <c r="AI35" s="5" t="s">
        <v>19</v>
      </c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</row>
    <row r="36" ht="15.75" customHeight="1">
      <c r="A36" s="78">
        <v>1.0</v>
      </c>
      <c r="B36" s="68">
        <v>45589.0</v>
      </c>
      <c r="C36" s="13" t="s">
        <v>30</v>
      </c>
      <c r="D36" s="13" t="s">
        <v>22</v>
      </c>
      <c r="E36" s="107" t="s">
        <v>32</v>
      </c>
      <c r="F36" s="79">
        <v>0.0</v>
      </c>
      <c r="G36" s="80" t="s">
        <v>24</v>
      </c>
      <c r="H36" s="79">
        <v>19.0</v>
      </c>
      <c r="I36" s="107" t="s">
        <v>23</v>
      </c>
      <c r="J36" s="3"/>
      <c r="K36" s="17">
        <f t="shared" ref="K36:K63" si="10">IF(F36="","",IFS(F36&gt;H36,3,F36=H36,1,H36&gt;F36,0,F36="",0))</f>
        <v>0</v>
      </c>
      <c r="L36" s="18">
        <f t="shared" ref="L36:L63" si="11">IF(H36="","",IFS(F36&lt;H36,3,F36=H36,1,H36&lt;F36,0))</f>
        <v>3</v>
      </c>
      <c r="M36" s="3"/>
      <c r="N36" s="18">
        <v>1.0</v>
      </c>
      <c r="O36" s="102" t="s">
        <v>23</v>
      </c>
      <c r="P36" s="18">
        <f t="shared" ref="P36:P42" si="12">SUMIF(E$36:E$63,O36,K$36:K$63)+SUMIF(I$36:I$63,O36,L$36:L$63)</f>
        <v>15</v>
      </c>
      <c r="Q36" s="20">
        <f t="shared" ref="Q36:Q42" si="13">COUNTIFS(E$36:E$63,O36,K$36:K$63,3)+COUNTIFS(I$36:I$63,O36,L$36:L$63,3)</f>
        <v>5</v>
      </c>
      <c r="R36" s="22">
        <f t="shared" ref="R36:R42" si="14">COUNTIFS(E$36:E$63,O36,K$36:K$63,1)+COUNTIFS(I$36:I$63,O36,L$36:L$63,1)</f>
        <v>0</v>
      </c>
      <c r="S36" s="22">
        <f t="shared" ref="S36:S42" si="15">COUNTIFS(E$36:E$63,O36,K$36:K$63,0)+COUNTIFS(I$36:I$63,O36,L$36:L$63,0)</f>
        <v>1</v>
      </c>
      <c r="T36" s="18">
        <f t="shared" ref="T36:T42" si="16">SUMIF(E$36:E$63,O36,F$36:F$63)+SUMIF(I$36:I$63,O36,H$36:H$63)</f>
        <v>53</v>
      </c>
      <c r="U36" s="22">
        <f t="shared" ref="U36:U42" si="17">SUMIF(E$36:E$63,O36,H$36:H$63)+SUMIF(I$36:I$63,O36,F$36:F$63)</f>
        <v>6</v>
      </c>
      <c r="V36" s="18">
        <f t="shared" ref="V36:V42" si="18">T36-U36</f>
        <v>47</v>
      </c>
      <c r="X36" s="124" t="s">
        <v>26</v>
      </c>
      <c r="Y36" s="124" t="s">
        <v>13</v>
      </c>
      <c r="AA36" s="24" t="s">
        <v>29</v>
      </c>
      <c r="AB36" s="108" t="str">
        <f t="array" ref="AB36:AI42">SORT(O36:V42,2,FALSE,9,FALSE,8,FALSE())</f>
        <v>Matemática</v>
      </c>
      <c r="AC36" s="26">
        <v>15.0</v>
      </c>
      <c r="AD36" s="26">
        <v>5.0</v>
      </c>
      <c r="AE36" s="27">
        <v>0.0</v>
      </c>
      <c r="AF36" s="27">
        <v>1.0</v>
      </c>
      <c r="AG36" s="26">
        <v>53.0</v>
      </c>
      <c r="AH36" s="27">
        <v>6.0</v>
      </c>
      <c r="AI36" s="26">
        <v>47.0</v>
      </c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</row>
    <row r="37" ht="15.75" customHeight="1">
      <c r="A37" s="29"/>
      <c r="B37" s="68">
        <v>45589.0</v>
      </c>
      <c r="C37" s="13" t="s">
        <v>36</v>
      </c>
      <c r="D37" s="13" t="s">
        <v>22</v>
      </c>
      <c r="E37" s="107" t="s">
        <v>71</v>
      </c>
      <c r="F37" s="79">
        <v>4.0</v>
      </c>
      <c r="G37" s="80" t="s">
        <v>24</v>
      </c>
      <c r="H37" s="79">
        <v>3.0</v>
      </c>
      <c r="I37" s="107" t="s">
        <v>65</v>
      </c>
      <c r="J37" s="3"/>
      <c r="K37" s="17">
        <f t="shared" si="10"/>
        <v>3</v>
      </c>
      <c r="L37" s="18">
        <f t="shared" si="11"/>
        <v>0</v>
      </c>
      <c r="M37" s="3"/>
      <c r="N37" s="18">
        <v>2.0</v>
      </c>
      <c r="O37" s="102" t="s">
        <v>32</v>
      </c>
      <c r="P37" s="18">
        <f t="shared" si="12"/>
        <v>0</v>
      </c>
      <c r="Q37" s="20">
        <f t="shared" si="13"/>
        <v>0</v>
      </c>
      <c r="R37" s="22">
        <f t="shared" si="14"/>
        <v>0</v>
      </c>
      <c r="S37" s="22">
        <f t="shared" si="15"/>
        <v>6</v>
      </c>
      <c r="T37" s="18">
        <f t="shared" si="16"/>
        <v>3</v>
      </c>
      <c r="U37" s="22">
        <f t="shared" si="17"/>
        <v>56</v>
      </c>
      <c r="V37" s="18">
        <f t="shared" si="18"/>
        <v>-53</v>
      </c>
      <c r="X37" s="125" t="s">
        <v>37</v>
      </c>
      <c r="Y37" s="126">
        <v>3.0</v>
      </c>
      <c r="AA37" s="24" t="s">
        <v>35</v>
      </c>
      <c r="AB37" s="108" t="s">
        <v>37</v>
      </c>
      <c r="AC37" s="26">
        <v>15.0</v>
      </c>
      <c r="AD37" s="26">
        <v>5.0</v>
      </c>
      <c r="AE37" s="27">
        <v>0.0</v>
      </c>
      <c r="AF37" s="27">
        <v>1.0</v>
      </c>
      <c r="AG37" s="26">
        <v>36.0</v>
      </c>
      <c r="AH37" s="27">
        <v>6.0</v>
      </c>
      <c r="AI37" s="26">
        <v>30.0</v>
      </c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</row>
    <row r="38" ht="15.75" customHeight="1">
      <c r="A38" s="29"/>
      <c r="B38" s="68">
        <v>45589.0</v>
      </c>
      <c r="C38" s="13" t="s">
        <v>41</v>
      </c>
      <c r="D38" s="13" t="s">
        <v>22</v>
      </c>
      <c r="E38" s="107" t="s">
        <v>34</v>
      </c>
      <c r="F38" s="79">
        <v>5.0</v>
      </c>
      <c r="G38" s="80" t="s">
        <v>24</v>
      </c>
      <c r="H38" s="79">
        <v>7.0</v>
      </c>
      <c r="I38" s="107" t="s">
        <v>25</v>
      </c>
      <c r="J38" s="3"/>
      <c r="K38" s="17">
        <f t="shared" si="10"/>
        <v>0</v>
      </c>
      <c r="L38" s="18">
        <f t="shared" si="11"/>
        <v>3</v>
      </c>
      <c r="M38" s="3"/>
      <c r="N38" s="18">
        <v>3.0</v>
      </c>
      <c r="O38" s="102" t="s">
        <v>71</v>
      </c>
      <c r="P38" s="18">
        <f t="shared" si="12"/>
        <v>9</v>
      </c>
      <c r="Q38" s="20">
        <f t="shared" si="13"/>
        <v>3</v>
      </c>
      <c r="R38" s="22">
        <f t="shared" si="14"/>
        <v>0</v>
      </c>
      <c r="S38" s="22">
        <f t="shared" si="15"/>
        <v>3</v>
      </c>
      <c r="T38" s="18">
        <f t="shared" si="16"/>
        <v>10</v>
      </c>
      <c r="U38" s="22">
        <f t="shared" si="17"/>
        <v>19</v>
      </c>
      <c r="V38" s="18">
        <f t="shared" si="18"/>
        <v>-9</v>
      </c>
      <c r="X38" s="125" t="s">
        <v>23</v>
      </c>
      <c r="Y38" s="125">
        <v>0.0</v>
      </c>
      <c r="AA38" s="24" t="s">
        <v>40</v>
      </c>
      <c r="AB38" s="108" t="s">
        <v>25</v>
      </c>
      <c r="AC38" s="26">
        <v>12.0</v>
      </c>
      <c r="AD38" s="26">
        <v>4.0</v>
      </c>
      <c r="AE38" s="27">
        <v>0.0</v>
      </c>
      <c r="AF38" s="27">
        <v>2.0</v>
      </c>
      <c r="AG38" s="26">
        <v>29.0</v>
      </c>
      <c r="AH38" s="27">
        <v>22.0</v>
      </c>
      <c r="AI38" s="26">
        <v>7.0</v>
      </c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</row>
    <row r="39" ht="15.75" customHeight="1">
      <c r="A39" s="37"/>
      <c r="B39" s="98"/>
      <c r="C39" s="98"/>
      <c r="D39" s="80"/>
      <c r="E39" s="107" t="s">
        <v>37</v>
      </c>
      <c r="F39" s="80"/>
      <c r="G39" s="80" t="s">
        <v>24</v>
      </c>
      <c r="H39" s="80"/>
      <c r="I39" s="107">
        <v>0.0</v>
      </c>
      <c r="J39" s="3"/>
      <c r="K39" s="17" t="str">
        <f t="shared" si="10"/>
        <v/>
      </c>
      <c r="L39" s="18" t="str">
        <f t="shared" si="11"/>
        <v/>
      </c>
      <c r="M39" s="3"/>
      <c r="N39" s="18">
        <v>4.0</v>
      </c>
      <c r="O39" s="102" t="s">
        <v>34</v>
      </c>
      <c r="P39" s="18">
        <f t="shared" si="12"/>
        <v>9</v>
      </c>
      <c r="Q39" s="20">
        <f t="shared" si="13"/>
        <v>3</v>
      </c>
      <c r="R39" s="22">
        <f t="shared" si="14"/>
        <v>0</v>
      </c>
      <c r="S39" s="22">
        <f t="shared" si="15"/>
        <v>3</v>
      </c>
      <c r="T39" s="18">
        <f t="shared" si="16"/>
        <v>23</v>
      </c>
      <c r="U39" s="22">
        <f t="shared" si="17"/>
        <v>33</v>
      </c>
      <c r="V39" s="18">
        <f t="shared" si="18"/>
        <v>-10</v>
      </c>
      <c r="AA39" s="24" t="s">
        <v>44</v>
      </c>
      <c r="AB39" s="108" t="s">
        <v>71</v>
      </c>
      <c r="AC39" s="26">
        <v>9.0</v>
      </c>
      <c r="AD39" s="26">
        <v>3.0</v>
      </c>
      <c r="AE39" s="27">
        <v>0.0</v>
      </c>
      <c r="AF39" s="27">
        <v>3.0</v>
      </c>
      <c r="AG39" s="26">
        <v>10.0</v>
      </c>
      <c r="AH39" s="27">
        <v>19.0</v>
      </c>
      <c r="AI39" s="26">
        <v>-9.0</v>
      </c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</row>
    <row r="40" ht="15.75" customHeight="1">
      <c r="A40" s="78">
        <v>2.0</v>
      </c>
      <c r="B40" s="68">
        <v>45624.0</v>
      </c>
      <c r="C40" s="13" t="s">
        <v>30</v>
      </c>
      <c r="D40" s="13" t="s">
        <v>22</v>
      </c>
      <c r="E40" s="107" t="s">
        <v>23</v>
      </c>
      <c r="F40" s="79">
        <v>7.0</v>
      </c>
      <c r="G40" s="80" t="s">
        <v>24</v>
      </c>
      <c r="H40" s="79">
        <v>0.0</v>
      </c>
      <c r="I40" s="107" t="s">
        <v>71</v>
      </c>
      <c r="J40" s="3"/>
      <c r="K40" s="17">
        <f t="shared" si="10"/>
        <v>3</v>
      </c>
      <c r="L40" s="18">
        <f t="shared" si="11"/>
        <v>0</v>
      </c>
      <c r="M40" s="3"/>
      <c r="N40" s="18">
        <v>5.0</v>
      </c>
      <c r="O40" s="102" t="s">
        <v>37</v>
      </c>
      <c r="P40" s="18">
        <f t="shared" si="12"/>
        <v>15</v>
      </c>
      <c r="Q40" s="20">
        <f t="shared" si="13"/>
        <v>5</v>
      </c>
      <c r="R40" s="22">
        <f t="shared" si="14"/>
        <v>0</v>
      </c>
      <c r="S40" s="22">
        <f t="shared" si="15"/>
        <v>1</v>
      </c>
      <c r="T40" s="18">
        <f t="shared" si="16"/>
        <v>36</v>
      </c>
      <c r="U40" s="22">
        <f t="shared" si="17"/>
        <v>6</v>
      </c>
      <c r="V40" s="18">
        <f t="shared" si="18"/>
        <v>30</v>
      </c>
      <c r="X40" s="123" t="s">
        <v>20</v>
      </c>
      <c r="Y40" s="8"/>
      <c r="AA40" s="24">
        <v>5.0</v>
      </c>
      <c r="AB40" s="108" t="s">
        <v>34</v>
      </c>
      <c r="AC40" s="26">
        <v>9.0</v>
      </c>
      <c r="AD40" s="26">
        <v>3.0</v>
      </c>
      <c r="AE40" s="27">
        <v>0.0</v>
      </c>
      <c r="AF40" s="27">
        <v>3.0</v>
      </c>
      <c r="AG40" s="26">
        <v>23.0</v>
      </c>
      <c r="AH40" s="27">
        <v>33.0</v>
      </c>
      <c r="AI40" s="26">
        <v>-10.0</v>
      </c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</row>
    <row r="41" ht="15.75" customHeight="1">
      <c r="A41" s="29"/>
      <c r="B41" s="127"/>
      <c r="C41" s="91"/>
      <c r="D41" s="100"/>
      <c r="E41" s="107">
        <v>0.0</v>
      </c>
      <c r="F41" s="80"/>
      <c r="G41" s="80" t="s">
        <v>24</v>
      </c>
      <c r="H41" s="80"/>
      <c r="I41" s="107" t="s">
        <v>32</v>
      </c>
      <c r="J41" s="3"/>
      <c r="K41" s="17" t="str">
        <f t="shared" si="10"/>
        <v/>
      </c>
      <c r="L41" s="18" t="str">
        <f t="shared" si="11"/>
        <v/>
      </c>
      <c r="M41" s="3"/>
      <c r="N41" s="18">
        <v>6.0</v>
      </c>
      <c r="O41" s="102" t="s">
        <v>25</v>
      </c>
      <c r="P41" s="18">
        <f t="shared" si="12"/>
        <v>12</v>
      </c>
      <c r="Q41" s="20">
        <f t="shared" si="13"/>
        <v>4</v>
      </c>
      <c r="R41" s="22">
        <f t="shared" si="14"/>
        <v>0</v>
      </c>
      <c r="S41" s="22">
        <f t="shared" si="15"/>
        <v>2</v>
      </c>
      <c r="T41" s="18">
        <f t="shared" si="16"/>
        <v>29</v>
      </c>
      <c r="U41" s="22">
        <f t="shared" si="17"/>
        <v>22</v>
      </c>
      <c r="V41" s="18">
        <f t="shared" si="18"/>
        <v>7</v>
      </c>
      <c r="X41" s="124" t="s">
        <v>26</v>
      </c>
      <c r="Y41" s="124" t="s">
        <v>13</v>
      </c>
      <c r="AA41" s="24">
        <v>6.0</v>
      </c>
      <c r="AB41" s="108" t="s">
        <v>65</v>
      </c>
      <c r="AC41" s="26">
        <v>3.0</v>
      </c>
      <c r="AD41" s="26">
        <v>1.0</v>
      </c>
      <c r="AE41" s="27">
        <v>0.0</v>
      </c>
      <c r="AF41" s="27">
        <v>5.0</v>
      </c>
      <c r="AG41" s="26">
        <v>17.0</v>
      </c>
      <c r="AH41" s="27">
        <v>29.0</v>
      </c>
      <c r="AI41" s="26">
        <v>-12.0</v>
      </c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</row>
    <row r="42" ht="15.75" customHeight="1">
      <c r="A42" s="29"/>
      <c r="B42" s="68">
        <v>45624.0</v>
      </c>
      <c r="C42" s="13" t="s">
        <v>36</v>
      </c>
      <c r="D42" s="13" t="s">
        <v>22</v>
      </c>
      <c r="E42" s="107" t="s">
        <v>65</v>
      </c>
      <c r="F42" s="79">
        <v>1.0</v>
      </c>
      <c r="G42" s="80" t="s">
        <v>24</v>
      </c>
      <c r="H42" s="79">
        <v>7.0</v>
      </c>
      <c r="I42" s="107" t="s">
        <v>34</v>
      </c>
      <c r="J42" s="3"/>
      <c r="K42" s="17">
        <f t="shared" si="10"/>
        <v>0</v>
      </c>
      <c r="L42" s="18">
        <f t="shared" si="11"/>
        <v>3</v>
      </c>
      <c r="M42" s="3"/>
      <c r="N42" s="18">
        <v>7.0</v>
      </c>
      <c r="O42" s="102" t="s">
        <v>65</v>
      </c>
      <c r="P42" s="18">
        <f t="shared" si="12"/>
        <v>3</v>
      </c>
      <c r="Q42" s="20">
        <f t="shared" si="13"/>
        <v>1</v>
      </c>
      <c r="R42" s="22">
        <f t="shared" si="14"/>
        <v>0</v>
      </c>
      <c r="S42" s="22">
        <f t="shared" si="15"/>
        <v>5</v>
      </c>
      <c r="T42" s="18">
        <f t="shared" si="16"/>
        <v>17</v>
      </c>
      <c r="U42" s="22">
        <f t="shared" si="17"/>
        <v>29</v>
      </c>
      <c r="V42" s="18">
        <f t="shared" si="18"/>
        <v>-12</v>
      </c>
      <c r="X42" s="126" t="s">
        <v>34</v>
      </c>
      <c r="Y42" s="125">
        <v>3.0</v>
      </c>
      <c r="AA42" s="24">
        <v>7.0</v>
      </c>
      <c r="AB42" s="108" t="s">
        <v>32</v>
      </c>
      <c r="AC42" s="26">
        <v>0.0</v>
      </c>
      <c r="AD42" s="26">
        <v>0.0</v>
      </c>
      <c r="AE42" s="27">
        <v>0.0</v>
      </c>
      <c r="AF42" s="27">
        <v>6.0</v>
      </c>
      <c r="AG42" s="26">
        <v>3.0</v>
      </c>
      <c r="AH42" s="27">
        <v>56.0</v>
      </c>
      <c r="AI42" s="26">
        <v>-53.0</v>
      </c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</row>
    <row r="43" ht="15.75" customHeight="1">
      <c r="A43" s="37"/>
      <c r="B43" s="68">
        <v>45624.0</v>
      </c>
      <c r="C43" s="13" t="s">
        <v>41</v>
      </c>
      <c r="D43" s="13" t="s">
        <v>22</v>
      </c>
      <c r="E43" s="107" t="s">
        <v>25</v>
      </c>
      <c r="F43" s="79">
        <v>1.0</v>
      </c>
      <c r="G43" s="80" t="s">
        <v>24</v>
      </c>
      <c r="H43" s="79">
        <v>9.0</v>
      </c>
      <c r="I43" s="107" t="s">
        <v>37</v>
      </c>
      <c r="J43" s="3"/>
      <c r="K43" s="17">
        <f t="shared" si="10"/>
        <v>0</v>
      </c>
      <c r="L43" s="18">
        <f t="shared" si="11"/>
        <v>3</v>
      </c>
      <c r="M43" s="3"/>
      <c r="N43" s="18"/>
      <c r="O43" s="99"/>
      <c r="P43" s="18"/>
      <c r="Q43" s="20"/>
      <c r="R43" s="22"/>
      <c r="S43" s="22"/>
      <c r="T43" s="18"/>
      <c r="U43" s="22"/>
      <c r="V43" s="18"/>
      <c r="X43" s="125" t="s">
        <v>71</v>
      </c>
      <c r="Y43" s="125">
        <v>0.0</v>
      </c>
      <c r="AA43" s="85" t="s">
        <v>132</v>
      </c>
      <c r="AD43" s="4"/>
      <c r="AE43" s="4"/>
      <c r="AF43" s="4"/>
      <c r="AG43" s="4"/>
      <c r="AH43" s="4"/>
      <c r="AI43" s="4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</row>
    <row r="44" ht="15.75" customHeight="1">
      <c r="A44" s="78">
        <v>3.0</v>
      </c>
      <c r="B44" s="54">
        <v>45637.0</v>
      </c>
      <c r="C44" s="13" t="s">
        <v>133</v>
      </c>
      <c r="D44" s="13" t="s">
        <v>22</v>
      </c>
      <c r="E44" s="107" t="s">
        <v>34</v>
      </c>
      <c r="F44" s="79">
        <v>0.0</v>
      </c>
      <c r="G44" s="80" t="s">
        <v>24</v>
      </c>
      <c r="H44" s="79">
        <v>12.0</v>
      </c>
      <c r="I44" s="107" t="s">
        <v>23</v>
      </c>
      <c r="J44" s="3"/>
      <c r="K44" s="17">
        <f t="shared" si="10"/>
        <v>0</v>
      </c>
      <c r="L44" s="18">
        <f t="shared" si="11"/>
        <v>3</v>
      </c>
      <c r="M44" s="3"/>
      <c r="AA44" s="48"/>
      <c r="AD44" s="47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ht="15.75" customHeight="1">
      <c r="A45" s="29"/>
      <c r="B45" s="54">
        <v>45638.0</v>
      </c>
      <c r="C45" s="13" t="s">
        <v>21</v>
      </c>
      <c r="D45" s="13" t="s">
        <v>22</v>
      </c>
      <c r="E45" s="107" t="s">
        <v>71</v>
      </c>
      <c r="F45" s="79">
        <v>3.0</v>
      </c>
      <c r="G45" s="80" t="s">
        <v>24</v>
      </c>
      <c r="H45" s="79">
        <v>0.0</v>
      </c>
      <c r="I45" s="107" t="s">
        <v>32</v>
      </c>
      <c r="J45" s="3"/>
      <c r="K45" s="17">
        <f t="shared" si="10"/>
        <v>3</v>
      </c>
      <c r="L45" s="18">
        <f t="shared" si="11"/>
        <v>0</v>
      </c>
      <c r="M45" s="3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ht="15.75" customHeight="1">
      <c r="A46" s="29"/>
      <c r="B46" s="54">
        <v>45638.0</v>
      </c>
      <c r="C46" s="13" t="s">
        <v>30</v>
      </c>
      <c r="D46" s="13" t="s">
        <v>22</v>
      </c>
      <c r="E46" s="107" t="s">
        <v>37</v>
      </c>
      <c r="F46" s="79">
        <v>5.0</v>
      </c>
      <c r="G46" s="80" t="s">
        <v>24</v>
      </c>
      <c r="H46" s="79">
        <v>1.0</v>
      </c>
      <c r="I46" s="107" t="s">
        <v>65</v>
      </c>
      <c r="J46" s="3"/>
      <c r="K46" s="17">
        <f t="shared" si="10"/>
        <v>3</v>
      </c>
      <c r="L46" s="18">
        <f t="shared" si="11"/>
        <v>0</v>
      </c>
      <c r="M46" s="3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ht="15.75" customHeight="1">
      <c r="A47" s="37"/>
      <c r="B47" s="98"/>
      <c r="C47" s="98"/>
      <c r="D47" s="80"/>
      <c r="E47" s="107">
        <v>0.0</v>
      </c>
      <c r="F47" s="80"/>
      <c r="G47" s="80" t="s">
        <v>24</v>
      </c>
      <c r="H47" s="80"/>
      <c r="I47" s="107" t="s">
        <v>25</v>
      </c>
      <c r="J47" s="3"/>
      <c r="K47" s="17" t="str">
        <f t="shared" si="10"/>
        <v/>
      </c>
      <c r="L47" s="18" t="str">
        <f t="shared" si="11"/>
        <v/>
      </c>
      <c r="M47" s="3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ht="15.75" customHeight="1">
      <c r="A48" s="78">
        <v>4.0</v>
      </c>
      <c r="B48" s="54">
        <v>45706.0</v>
      </c>
      <c r="C48" s="13" t="s">
        <v>21</v>
      </c>
      <c r="D48" s="13" t="s">
        <v>22</v>
      </c>
      <c r="E48" s="14" t="s">
        <v>23</v>
      </c>
      <c r="F48" s="79">
        <v>1.0</v>
      </c>
      <c r="G48" s="80" t="s">
        <v>24</v>
      </c>
      <c r="H48" s="79">
        <v>3.0</v>
      </c>
      <c r="I48" s="14" t="s">
        <v>37</v>
      </c>
      <c r="J48" s="3"/>
      <c r="K48" s="17">
        <f t="shared" si="10"/>
        <v>0</v>
      </c>
      <c r="L48" s="18">
        <f t="shared" si="11"/>
        <v>3</v>
      </c>
      <c r="M48" s="3"/>
      <c r="N48" s="3"/>
      <c r="O48" s="3"/>
      <c r="P48" s="3"/>
      <c r="Q48" s="3"/>
      <c r="R48" s="3"/>
      <c r="S48" s="3"/>
      <c r="T48" s="3"/>
      <c r="U48" s="3"/>
      <c r="V48" s="3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ht="15.75" customHeight="1">
      <c r="A49" s="29"/>
      <c r="B49" s="54">
        <v>45706.0</v>
      </c>
      <c r="C49" s="13" t="s">
        <v>30</v>
      </c>
      <c r="D49" s="13" t="s">
        <v>22</v>
      </c>
      <c r="E49" s="14" t="s">
        <v>32</v>
      </c>
      <c r="F49" s="79">
        <v>2.0</v>
      </c>
      <c r="G49" s="80" t="s">
        <v>24</v>
      </c>
      <c r="H49" s="79">
        <v>6.0</v>
      </c>
      <c r="I49" s="14" t="s">
        <v>34</v>
      </c>
      <c r="J49" s="3"/>
      <c r="K49" s="17">
        <f t="shared" si="10"/>
        <v>0</v>
      </c>
      <c r="L49" s="18">
        <f t="shared" si="11"/>
        <v>3</v>
      </c>
      <c r="M49" s="3"/>
      <c r="N49" s="3"/>
      <c r="O49" s="3"/>
      <c r="P49" s="3"/>
      <c r="Q49" s="3"/>
      <c r="R49" s="3"/>
      <c r="S49" s="3"/>
      <c r="T49" s="3"/>
      <c r="U49" s="3"/>
      <c r="V49" s="3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ht="15.75" customHeight="1">
      <c r="A50" s="29"/>
      <c r="B50" s="91"/>
      <c r="C50" s="91"/>
      <c r="D50" s="100"/>
      <c r="E50" s="107" t="s">
        <v>71</v>
      </c>
      <c r="F50" s="80"/>
      <c r="G50" s="80" t="s">
        <v>24</v>
      </c>
      <c r="H50" s="80"/>
      <c r="I50" s="107">
        <v>0.0</v>
      </c>
      <c r="J50" s="3"/>
      <c r="K50" s="17" t="str">
        <f t="shared" si="10"/>
        <v/>
      </c>
      <c r="L50" s="18" t="str">
        <f t="shared" si="11"/>
        <v/>
      </c>
      <c r="M50" s="3"/>
      <c r="N50" s="3"/>
      <c r="O50" s="3"/>
      <c r="P50" s="3"/>
      <c r="Q50" s="3"/>
      <c r="R50" s="3"/>
      <c r="S50" s="3"/>
      <c r="T50" s="3"/>
      <c r="U50" s="3"/>
      <c r="V50" s="3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ht="15.75" customHeight="1">
      <c r="A51" s="37"/>
      <c r="B51" s="54">
        <v>45705.0</v>
      </c>
      <c r="C51" s="13" t="s">
        <v>76</v>
      </c>
      <c r="D51" s="13" t="s">
        <v>108</v>
      </c>
      <c r="E51" s="14" t="s">
        <v>65</v>
      </c>
      <c r="F51" s="79">
        <v>1.0</v>
      </c>
      <c r="G51" s="80" t="s">
        <v>24</v>
      </c>
      <c r="H51" s="79">
        <v>4.0</v>
      </c>
      <c r="I51" s="14" t="s">
        <v>25</v>
      </c>
      <c r="J51" s="50"/>
      <c r="K51" s="17">
        <f t="shared" si="10"/>
        <v>0</v>
      </c>
      <c r="L51" s="18">
        <f t="shared" si="11"/>
        <v>3</v>
      </c>
      <c r="M51" s="3"/>
      <c r="N51" s="3"/>
      <c r="O51" s="3"/>
      <c r="P51" s="3"/>
      <c r="R51" s="3"/>
      <c r="S51" s="3"/>
      <c r="T51" s="3"/>
      <c r="U51" s="3"/>
      <c r="V51" s="3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ht="15.75" customHeight="1">
      <c r="A52" s="78">
        <v>5.0</v>
      </c>
      <c r="B52" s="54">
        <v>45756.0</v>
      </c>
      <c r="C52" s="13" t="s">
        <v>127</v>
      </c>
      <c r="D52" s="13" t="s">
        <v>22</v>
      </c>
      <c r="E52" s="107" t="s">
        <v>25</v>
      </c>
      <c r="F52" s="79">
        <v>2.0</v>
      </c>
      <c r="G52" s="80" t="s">
        <v>24</v>
      </c>
      <c r="H52" s="79">
        <v>6.0</v>
      </c>
      <c r="I52" s="107" t="s">
        <v>23</v>
      </c>
      <c r="J52" s="3"/>
      <c r="K52" s="17">
        <f t="shared" si="10"/>
        <v>0</v>
      </c>
      <c r="L52" s="18">
        <f t="shared" si="11"/>
        <v>3</v>
      </c>
      <c r="M52" s="3"/>
      <c r="N52" s="3"/>
      <c r="O52" s="3"/>
      <c r="P52" s="3"/>
      <c r="Q52" s="3"/>
      <c r="R52" s="3"/>
      <c r="S52" s="3"/>
      <c r="T52" s="3"/>
      <c r="U52" s="3"/>
      <c r="V52" s="3"/>
      <c r="AA52" s="93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ht="15.75" customHeight="1">
      <c r="A53" s="29"/>
      <c r="B53" s="54">
        <v>45756.0</v>
      </c>
      <c r="C53" s="13" t="s">
        <v>133</v>
      </c>
      <c r="D53" s="13" t="s">
        <v>22</v>
      </c>
      <c r="E53" s="107" t="s">
        <v>37</v>
      </c>
      <c r="F53" s="79">
        <v>8.0</v>
      </c>
      <c r="G53" s="80" t="s">
        <v>24</v>
      </c>
      <c r="H53" s="79">
        <v>0.0</v>
      </c>
      <c r="I53" s="107" t="s">
        <v>32</v>
      </c>
      <c r="J53" s="3"/>
      <c r="K53" s="17">
        <f t="shared" si="10"/>
        <v>3</v>
      </c>
      <c r="L53" s="18">
        <f t="shared" si="11"/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AA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ht="15.75" customHeight="1">
      <c r="A54" s="29"/>
      <c r="B54" s="54">
        <v>45756.0</v>
      </c>
      <c r="C54" s="13" t="s">
        <v>21</v>
      </c>
      <c r="D54" s="13" t="s">
        <v>22</v>
      </c>
      <c r="E54" s="14" t="s">
        <v>34</v>
      </c>
      <c r="F54" s="79">
        <v>4.0</v>
      </c>
      <c r="G54" s="80" t="s">
        <v>24</v>
      </c>
      <c r="H54" s="79">
        <v>0.0</v>
      </c>
      <c r="I54" s="107" t="s">
        <v>71</v>
      </c>
      <c r="J54" s="3"/>
      <c r="K54" s="17">
        <f t="shared" si="10"/>
        <v>3</v>
      </c>
      <c r="L54" s="18">
        <f t="shared" si="11"/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AA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ht="15.75" customHeight="1">
      <c r="A55" s="37"/>
      <c r="B55" s="98"/>
      <c r="C55" s="98"/>
      <c r="D55" s="13"/>
      <c r="E55" s="107">
        <v>0.0</v>
      </c>
      <c r="F55" s="80"/>
      <c r="G55" s="80" t="s">
        <v>24</v>
      </c>
      <c r="H55" s="80"/>
      <c r="I55" s="107" t="s">
        <v>65</v>
      </c>
      <c r="J55" s="3"/>
      <c r="K55" s="17" t="str">
        <f t="shared" si="10"/>
        <v/>
      </c>
      <c r="L55" s="18" t="str">
        <f t="shared" si="11"/>
        <v/>
      </c>
      <c r="M55" s="3"/>
      <c r="N55" s="3"/>
      <c r="O55" s="3"/>
      <c r="P55" s="3"/>
      <c r="Q55" s="3"/>
      <c r="R55" s="3"/>
      <c r="S55" s="3"/>
      <c r="T55" s="3"/>
      <c r="U55" s="3"/>
      <c r="V55" s="3"/>
      <c r="AA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ht="15.75" customHeight="1">
      <c r="A56" s="78">
        <v>6.0</v>
      </c>
      <c r="B56" s="54">
        <v>45741.0</v>
      </c>
      <c r="C56" s="13" t="s">
        <v>77</v>
      </c>
      <c r="D56" s="13" t="s">
        <v>22</v>
      </c>
      <c r="E56" s="107" t="s">
        <v>23</v>
      </c>
      <c r="F56" s="79">
        <v>8.0</v>
      </c>
      <c r="G56" s="80" t="s">
        <v>24</v>
      </c>
      <c r="H56" s="79">
        <v>1.0</v>
      </c>
      <c r="I56" s="14" t="s">
        <v>65</v>
      </c>
      <c r="J56" s="3"/>
      <c r="K56" s="17">
        <f t="shared" si="10"/>
        <v>3</v>
      </c>
      <c r="L56" s="18">
        <f t="shared" si="11"/>
        <v>0</v>
      </c>
      <c r="M56" s="3"/>
      <c r="N56" s="3"/>
      <c r="O56" s="3"/>
      <c r="P56" s="3"/>
      <c r="Q56" s="3"/>
      <c r="R56" s="3"/>
      <c r="S56" s="3"/>
      <c r="T56" s="3"/>
      <c r="U56" s="3"/>
      <c r="V56" s="3"/>
      <c r="AA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ht="15.75" customHeight="1">
      <c r="A57" s="29"/>
      <c r="B57" s="54">
        <v>45741.0</v>
      </c>
      <c r="C57" s="13" t="s">
        <v>58</v>
      </c>
      <c r="D57" s="13" t="s">
        <v>22</v>
      </c>
      <c r="E57" s="107" t="s">
        <v>32</v>
      </c>
      <c r="F57" s="79">
        <v>0.0</v>
      </c>
      <c r="G57" s="80" t="s">
        <v>24</v>
      </c>
      <c r="H57" s="79">
        <v>10.0</v>
      </c>
      <c r="I57" s="107" t="s">
        <v>25</v>
      </c>
      <c r="J57" s="3"/>
      <c r="K57" s="17">
        <f t="shared" si="10"/>
        <v>0</v>
      </c>
      <c r="L57" s="18">
        <f t="shared" si="11"/>
        <v>3</v>
      </c>
      <c r="M57" s="3"/>
      <c r="N57" s="3"/>
      <c r="O57" s="3"/>
      <c r="P57" s="3"/>
      <c r="Q57" s="3"/>
      <c r="R57" s="3"/>
      <c r="S57" s="3"/>
      <c r="T57" s="3"/>
      <c r="U57" s="3"/>
      <c r="V57" s="3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ht="15.75" customHeight="1">
      <c r="A58" s="29"/>
      <c r="B58" s="54">
        <v>45741.0</v>
      </c>
      <c r="C58" s="13" t="s">
        <v>59</v>
      </c>
      <c r="D58" s="13" t="s">
        <v>22</v>
      </c>
      <c r="E58" s="107" t="s">
        <v>71</v>
      </c>
      <c r="F58" s="79">
        <v>2.0</v>
      </c>
      <c r="G58" s="80" t="s">
        <v>24</v>
      </c>
      <c r="H58" s="79">
        <v>0.0</v>
      </c>
      <c r="I58" s="107" t="s">
        <v>37</v>
      </c>
      <c r="J58" s="3"/>
      <c r="K58" s="17">
        <f t="shared" si="10"/>
        <v>3</v>
      </c>
      <c r="L58" s="18">
        <f t="shared" si="11"/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ht="15.75" customHeight="1">
      <c r="A59" s="37"/>
      <c r="B59" s="98"/>
      <c r="C59" s="98"/>
      <c r="D59" s="13"/>
      <c r="E59" s="107" t="s">
        <v>34</v>
      </c>
      <c r="F59" s="80"/>
      <c r="G59" s="80" t="s">
        <v>24</v>
      </c>
      <c r="H59" s="80"/>
      <c r="I59" s="107">
        <v>0.0</v>
      </c>
      <c r="J59" s="3"/>
      <c r="K59" s="17" t="str">
        <f t="shared" si="10"/>
        <v/>
      </c>
      <c r="L59" s="18" t="str">
        <f t="shared" si="11"/>
        <v/>
      </c>
      <c r="M59" s="3"/>
      <c r="N59" s="3"/>
      <c r="O59" s="3"/>
      <c r="P59" s="3"/>
      <c r="Q59" s="3"/>
      <c r="R59" s="3"/>
      <c r="S59" s="3"/>
      <c r="T59" s="3"/>
      <c r="U59" s="3"/>
      <c r="V59" s="3"/>
      <c r="AA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ht="15.75" customHeight="1">
      <c r="A60" s="78">
        <v>7.0</v>
      </c>
      <c r="B60" s="54"/>
      <c r="C60" s="13"/>
      <c r="D60" s="13"/>
      <c r="E60" s="107">
        <v>0.0</v>
      </c>
      <c r="F60" s="80"/>
      <c r="G60" s="80" t="s">
        <v>24</v>
      </c>
      <c r="H60" s="80"/>
      <c r="I60" s="107" t="s">
        <v>23</v>
      </c>
      <c r="J60" s="3"/>
      <c r="K60" s="17" t="str">
        <f t="shared" si="10"/>
        <v/>
      </c>
      <c r="L60" s="18" t="str">
        <f t="shared" si="11"/>
        <v/>
      </c>
      <c r="M60" s="3"/>
      <c r="N60" s="3"/>
      <c r="O60" s="3"/>
      <c r="P60" s="3"/>
      <c r="Q60" s="3"/>
      <c r="R60" s="3"/>
      <c r="S60" s="3"/>
      <c r="T60" s="3"/>
      <c r="U60" s="3"/>
      <c r="V60" s="3"/>
      <c r="AA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ht="15.75" customHeight="1">
      <c r="A61" s="29"/>
      <c r="B61" s="54">
        <v>45783.0</v>
      </c>
      <c r="C61" s="13" t="s">
        <v>77</v>
      </c>
      <c r="D61" s="13" t="s">
        <v>108</v>
      </c>
      <c r="E61" s="14" t="s">
        <v>65</v>
      </c>
      <c r="F61" s="79">
        <v>10.0</v>
      </c>
      <c r="G61" s="80" t="s">
        <v>24</v>
      </c>
      <c r="H61" s="79">
        <v>1.0</v>
      </c>
      <c r="I61" s="107" t="s">
        <v>32</v>
      </c>
      <c r="J61" s="3"/>
      <c r="K61" s="17">
        <f t="shared" si="10"/>
        <v>3</v>
      </c>
      <c r="L61" s="18">
        <f t="shared" si="11"/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AA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ht="15.75" customHeight="1">
      <c r="A62" s="29"/>
      <c r="B62" s="54">
        <v>45783.0</v>
      </c>
      <c r="C62" s="13" t="s">
        <v>58</v>
      </c>
      <c r="D62" s="13" t="s">
        <v>108</v>
      </c>
      <c r="E62" s="107" t="s">
        <v>25</v>
      </c>
      <c r="F62" s="79">
        <v>5.0</v>
      </c>
      <c r="G62" s="80" t="s">
        <v>24</v>
      </c>
      <c r="H62" s="79">
        <v>1.0</v>
      </c>
      <c r="I62" s="107" t="s">
        <v>71</v>
      </c>
      <c r="J62" s="3"/>
      <c r="K62" s="17">
        <f t="shared" si="10"/>
        <v>3</v>
      </c>
      <c r="L62" s="18">
        <f t="shared" si="11"/>
        <v>0</v>
      </c>
      <c r="M62" s="3"/>
      <c r="N62" s="3"/>
      <c r="O62" s="3"/>
      <c r="P62" s="3"/>
      <c r="Q62" s="3"/>
      <c r="R62" s="3"/>
      <c r="S62" s="3"/>
      <c r="T62" s="3"/>
      <c r="U62" s="3"/>
      <c r="V62" s="3"/>
      <c r="AA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ht="15.75" customHeight="1">
      <c r="A63" s="37"/>
      <c r="B63" s="54">
        <v>45783.0</v>
      </c>
      <c r="C63" s="13" t="s">
        <v>59</v>
      </c>
      <c r="D63" s="13" t="s">
        <v>108</v>
      </c>
      <c r="E63" s="107" t="s">
        <v>37</v>
      </c>
      <c r="F63" s="79">
        <v>11.0</v>
      </c>
      <c r="G63" s="80" t="s">
        <v>24</v>
      </c>
      <c r="H63" s="79">
        <v>1.0</v>
      </c>
      <c r="I63" s="14" t="s">
        <v>34</v>
      </c>
      <c r="J63" s="3"/>
      <c r="K63" s="17">
        <f t="shared" si="10"/>
        <v>3</v>
      </c>
      <c r="L63" s="18">
        <f t="shared" si="11"/>
        <v>0</v>
      </c>
      <c r="M63" s="3"/>
      <c r="N63" s="3"/>
      <c r="O63" s="3"/>
      <c r="P63" s="3"/>
      <c r="Q63" s="3"/>
      <c r="R63" s="3"/>
      <c r="S63" s="3"/>
      <c r="T63" s="3"/>
      <c r="U63" s="3"/>
      <c r="V63" s="3"/>
      <c r="AA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ht="15.75" customHeight="1">
      <c r="A64" s="101"/>
      <c r="B64" s="54"/>
      <c r="C64" s="13"/>
      <c r="D64" s="13"/>
      <c r="E64" s="72"/>
      <c r="F64" s="71"/>
      <c r="G64" s="71"/>
      <c r="H64" s="71"/>
      <c r="I64" s="72"/>
      <c r="AA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ht="15.75" customHeight="1">
      <c r="A65" s="101"/>
      <c r="B65" s="102"/>
      <c r="C65" s="102"/>
      <c r="D65" s="102"/>
      <c r="E65" s="72"/>
      <c r="F65" s="71"/>
      <c r="G65" s="71"/>
      <c r="H65" s="71"/>
      <c r="I65" s="72"/>
      <c r="AA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ht="15.75" customHeight="1">
      <c r="A66" s="101"/>
      <c r="B66" s="102"/>
      <c r="C66" s="102"/>
      <c r="D66" s="102"/>
      <c r="E66" s="72"/>
      <c r="F66" s="71"/>
      <c r="G66" s="71"/>
      <c r="H66" s="71"/>
      <c r="I66" s="72"/>
      <c r="AA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ht="15.75" customHeight="1">
      <c r="A67" s="101"/>
      <c r="B67" s="102"/>
      <c r="C67" s="102"/>
      <c r="D67" s="102"/>
      <c r="E67" s="72"/>
      <c r="F67" s="71"/>
      <c r="G67" s="71"/>
      <c r="H67" s="71"/>
      <c r="I67" s="72"/>
      <c r="AA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</row>
    <row r="68" ht="15.75" customHeight="1">
      <c r="A68" s="101"/>
      <c r="B68" s="102"/>
      <c r="C68" s="102"/>
      <c r="D68" s="102"/>
      <c r="E68" s="72"/>
      <c r="F68" s="71"/>
      <c r="G68" s="71"/>
      <c r="H68" s="71"/>
      <c r="I68" s="72"/>
      <c r="AA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</row>
    <row r="69" ht="15.75" customHeight="1">
      <c r="A69" s="101"/>
      <c r="B69" s="102"/>
      <c r="C69" s="102"/>
      <c r="D69" s="102"/>
      <c r="E69" s="72"/>
      <c r="F69" s="71"/>
      <c r="G69" s="71"/>
      <c r="H69" s="71"/>
      <c r="I69" s="72"/>
      <c r="AA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</row>
    <row r="70" ht="15.75" customHeight="1">
      <c r="A70" s="101"/>
      <c r="B70" s="102"/>
      <c r="C70" s="102"/>
      <c r="D70" s="102"/>
      <c r="E70" s="72"/>
      <c r="F70" s="71"/>
      <c r="G70" s="71"/>
      <c r="H70" s="71"/>
      <c r="I70" s="72"/>
      <c r="AA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</row>
    <row r="71" ht="15.75" customHeight="1">
      <c r="A71" s="101"/>
      <c r="B71" s="102"/>
      <c r="C71" s="102"/>
      <c r="D71" s="102"/>
      <c r="E71" s="72"/>
      <c r="F71" s="71"/>
      <c r="G71" s="71"/>
      <c r="H71" s="71"/>
      <c r="I71" s="72"/>
      <c r="AA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</row>
    <row r="72" ht="15.75" customHeight="1">
      <c r="A72" s="101"/>
      <c r="B72" s="102"/>
      <c r="C72" s="102"/>
      <c r="D72" s="102"/>
      <c r="E72" s="72"/>
      <c r="F72" s="71"/>
      <c r="G72" s="71"/>
      <c r="H72" s="71"/>
      <c r="I72" s="72"/>
      <c r="AA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</row>
    <row r="73" ht="15.75" customHeight="1">
      <c r="A73" s="101"/>
      <c r="B73" s="102"/>
      <c r="C73" s="102"/>
      <c r="D73" s="102"/>
      <c r="E73" s="72"/>
      <c r="F73" s="71"/>
      <c r="G73" s="71"/>
      <c r="H73" s="71"/>
      <c r="I73" s="72"/>
      <c r="AA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ht="15.75" customHeight="1">
      <c r="A74" s="101"/>
      <c r="B74" s="102"/>
      <c r="C74" s="102"/>
      <c r="D74" s="102"/>
      <c r="E74" s="72"/>
      <c r="F74" s="71"/>
      <c r="G74" s="71"/>
      <c r="H74" s="71"/>
      <c r="I74" s="72"/>
      <c r="AA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ht="15.75" customHeight="1">
      <c r="A75" s="101"/>
      <c r="B75" s="102"/>
      <c r="C75" s="102"/>
      <c r="D75" s="102"/>
      <c r="E75" s="72"/>
      <c r="F75" s="71"/>
      <c r="G75" s="71"/>
      <c r="H75" s="71"/>
      <c r="I75" s="72"/>
      <c r="AA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ht="15.75" customHeight="1">
      <c r="A76" s="101"/>
      <c r="B76" s="102"/>
      <c r="C76" s="102"/>
      <c r="D76" s="102"/>
      <c r="E76" s="72"/>
      <c r="F76" s="71"/>
      <c r="G76" s="71"/>
      <c r="H76" s="71"/>
      <c r="I76" s="72"/>
      <c r="AA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ht="15.75" customHeight="1">
      <c r="A77" s="101"/>
      <c r="B77" s="102"/>
      <c r="C77" s="102"/>
      <c r="D77" s="102"/>
      <c r="E77" s="72"/>
      <c r="F77" s="71"/>
      <c r="G77" s="71"/>
      <c r="H77" s="71"/>
      <c r="I77" s="72"/>
      <c r="AA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ht="15.75" customHeight="1">
      <c r="A78" s="101"/>
      <c r="B78" s="102"/>
      <c r="C78" s="102"/>
      <c r="D78" s="102"/>
      <c r="E78" s="72"/>
      <c r="F78" s="71"/>
      <c r="G78" s="71"/>
      <c r="H78" s="71"/>
      <c r="I78" s="72"/>
      <c r="AA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ht="15.75" customHeight="1">
      <c r="A79" s="101"/>
      <c r="B79" s="102"/>
      <c r="C79" s="102"/>
      <c r="D79" s="102"/>
      <c r="E79" s="72"/>
      <c r="F79" s="71"/>
      <c r="G79" s="71"/>
      <c r="H79" s="71"/>
      <c r="I79" s="72"/>
      <c r="AA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ht="15.75" customHeight="1">
      <c r="A80" s="101"/>
      <c r="B80" s="102"/>
      <c r="C80" s="102"/>
      <c r="D80" s="102"/>
      <c r="E80" s="72"/>
      <c r="F80" s="71"/>
      <c r="G80" s="71"/>
      <c r="H80" s="71"/>
      <c r="I80" s="72"/>
      <c r="AA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ht="15.75" customHeight="1">
      <c r="A81" s="101"/>
      <c r="B81" s="102"/>
      <c r="C81" s="102"/>
      <c r="D81" s="102"/>
      <c r="E81" s="72"/>
      <c r="F81" s="71"/>
      <c r="G81" s="71"/>
      <c r="H81" s="71"/>
      <c r="I81" s="72"/>
      <c r="AA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ht="15.75" customHeight="1">
      <c r="A82" s="101"/>
      <c r="B82" s="102"/>
      <c r="C82" s="102"/>
      <c r="D82" s="102"/>
      <c r="E82" s="72"/>
      <c r="F82" s="71"/>
      <c r="G82" s="71"/>
      <c r="H82" s="71"/>
      <c r="I82" s="72"/>
      <c r="AA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ht="15.75" customHeight="1">
      <c r="A83" s="101"/>
      <c r="B83" s="102"/>
      <c r="C83" s="102"/>
      <c r="D83" s="102"/>
      <c r="E83" s="72"/>
      <c r="F83" s="71"/>
      <c r="G83" s="71"/>
      <c r="H83" s="71"/>
      <c r="I83" s="72"/>
      <c r="AA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ht="15.75" customHeight="1">
      <c r="A84" s="101"/>
      <c r="B84" s="102"/>
      <c r="C84" s="102"/>
      <c r="D84" s="102"/>
      <c r="E84" s="72"/>
      <c r="F84" s="71"/>
      <c r="G84" s="71"/>
      <c r="H84" s="71"/>
      <c r="I84" s="72"/>
      <c r="AA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ht="15.75" customHeight="1">
      <c r="A85" s="101"/>
      <c r="B85" s="102"/>
      <c r="C85" s="102"/>
      <c r="D85" s="102"/>
      <c r="E85" s="72"/>
      <c r="F85" s="71"/>
      <c r="G85" s="71"/>
      <c r="H85" s="71"/>
      <c r="I85" s="72"/>
      <c r="AA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ht="15.75" customHeight="1">
      <c r="A86" s="101"/>
      <c r="B86" s="102"/>
      <c r="C86" s="102"/>
      <c r="D86" s="102"/>
      <c r="E86" s="72"/>
      <c r="F86" s="71"/>
      <c r="G86" s="71"/>
      <c r="H86" s="71"/>
      <c r="I86" s="72"/>
      <c r="AA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ht="15.75" customHeight="1">
      <c r="A87" s="101"/>
      <c r="B87" s="102"/>
      <c r="C87" s="102"/>
      <c r="D87" s="102"/>
      <c r="E87" s="72"/>
      <c r="F87" s="71"/>
      <c r="G87" s="71"/>
      <c r="H87" s="71"/>
      <c r="I87" s="72"/>
      <c r="AA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ht="15.75" customHeight="1">
      <c r="A88" s="101"/>
      <c r="B88" s="102"/>
      <c r="C88" s="102"/>
      <c r="D88" s="102"/>
      <c r="E88" s="72"/>
      <c r="F88" s="71"/>
      <c r="G88" s="71"/>
      <c r="H88" s="71"/>
      <c r="I88" s="72"/>
      <c r="AA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ht="15.75" customHeight="1">
      <c r="A89" s="101"/>
      <c r="B89" s="102"/>
      <c r="C89" s="102"/>
      <c r="D89" s="102"/>
      <c r="E89" s="72"/>
      <c r="F89" s="71"/>
      <c r="G89" s="71"/>
      <c r="H89" s="71"/>
      <c r="I89" s="72"/>
      <c r="AA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ht="15.75" customHeight="1">
      <c r="A90" s="101"/>
      <c r="B90" s="102"/>
      <c r="C90" s="102"/>
      <c r="D90" s="102"/>
      <c r="E90" s="72"/>
      <c r="F90" s="71"/>
      <c r="G90" s="71"/>
      <c r="H90" s="71"/>
      <c r="I90" s="72"/>
      <c r="AA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ht="15.75" customHeight="1">
      <c r="A91" s="101"/>
      <c r="B91" s="102"/>
      <c r="C91" s="102"/>
      <c r="D91" s="102"/>
      <c r="E91" s="72"/>
      <c r="F91" s="71"/>
      <c r="G91" s="71"/>
      <c r="H91" s="71"/>
      <c r="I91" s="72"/>
      <c r="AA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ht="15.75" customHeight="1">
      <c r="A92" s="101"/>
      <c r="B92" s="102"/>
      <c r="C92" s="102"/>
      <c r="D92" s="102"/>
      <c r="E92" s="72"/>
      <c r="F92" s="71"/>
      <c r="G92" s="71"/>
      <c r="H92" s="71"/>
      <c r="I92" s="72"/>
      <c r="AA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ht="15.75" customHeight="1">
      <c r="A93" s="101"/>
      <c r="B93" s="102"/>
      <c r="C93" s="102"/>
      <c r="D93" s="102"/>
      <c r="E93" s="72"/>
      <c r="F93" s="71"/>
      <c r="G93" s="71"/>
      <c r="H93" s="71"/>
      <c r="I93" s="72"/>
      <c r="AA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ht="15.75" customHeight="1">
      <c r="A94" s="101"/>
      <c r="B94" s="102"/>
      <c r="C94" s="102"/>
      <c r="D94" s="102"/>
      <c r="E94" s="72"/>
      <c r="F94" s="71"/>
      <c r="G94" s="71"/>
      <c r="H94" s="71"/>
      <c r="I94" s="72"/>
      <c r="AA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ht="15.75" customHeight="1">
      <c r="A95" s="101"/>
      <c r="B95" s="102"/>
      <c r="C95" s="102"/>
      <c r="D95" s="102"/>
      <c r="E95" s="72"/>
      <c r="F95" s="71"/>
      <c r="G95" s="71"/>
      <c r="H95" s="71"/>
      <c r="I95" s="72"/>
      <c r="AA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ht="15.75" customHeight="1">
      <c r="A96" s="101"/>
      <c r="B96" s="102"/>
      <c r="C96" s="102"/>
      <c r="D96" s="102"/>
      <c r="E96" s="72"/>
      <c r="F96" s="71"/>
      <c r="G96" s="71"/>
      <c r="H96" s="71"/>
      <c r="I96" s="72"/>
      <c r="AA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ht="15.75" customHeight="1">
      <c r="A97" s="101"/>
      <c r="B97" s="102"/>
      <c r="C97" s="102"/>
      <c r="D97" s="102"/>
      <c r="E97" s="72"/>
      <c r="F97" s="71"/>
      <c r="G97" s="71"/>
      <c r="H97" s="71"/>
      <c r="I97" s="72"/>
      <c r="AA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ht="15.75" customHeight="1">
      <c r="A98" s="101"/>
      <c r="B98" s="102"/>
      <c r="C98" s="102"/>
      <c r="D98" s="102"/>
      <c r="E98" s="72"/>
      <c r="F98" s="71"/>
      <c r="G98" s="71"/>
      <c r="H98" s="71"/>
      <c r="I98" s="72"/>
      <c r="AA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ht="15.75" customHeight="1">
      <c r="A99" s="101"/>
      <c r="B99" s="102"/>
      <c r="C99" s="102"/>
      <c r="D99" s="102"/>
      <c r="E99" s="72"/>
      <c r="F99" s="71"/>
      <c r="G99" s="71"/>
      <c r="H99" s="71"/>
      <c r="I99" s="72"/>
      <c r="AA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ht="15.75" customHeight="1">
      <c r="A100" s="101"/>
      <c r="B100" s="102"/>
      <c r="C100" s="102"/>
      <c r="D100" s="102"/>
      <c r="E100" s="72"/>
      <c r="F100" s="71"/>
      <c r="G100" s="71"/>
      <c r="H100" s="71"/>
      <c r="I100" s="72"/>
      <c r="AA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ht="15.75" customHeight="1">
      <c r="A101" s="101"/>
      <c r="B101" s="102"/>
      <c r="C101" s="102"/>
      <c r="D101" s="102"/>
      <c r="E101" s="72"/>
      <c r="F101" s="71"/>
      <c r="G101" s="71"/>
      <c r="H101" s="71"/>
      <c r="I101" s="72"/>
      <c r="AA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ht="15.75" customHeight="1">
      <c r="A102" s="101"/>
      <c r="B102" s="102"/>
      <c r="C102" s="102"/>
      <c r="D102" s="102"/>
      <c r="E102" s="72"/>
      <c r="F102" s="71"/>
      <c r="G102" s="71"/>
      <c r="H102" s="71"/>
      <c r="I102" s="72"/>
      <c r="AA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ht="15.75" customHeight="1">
      <c r="A103" s="101"/>
      <c r="B103" s="102"/>
      <c r="C103" s="102"/>
      <c r="D103" s="102"/>
      <c r="E103" s="72"/>
      <c r="F103" s="71"/>
      <c r="G103" s="71"/>
      <c r="H103" s="71"/>
      <c r="I103" s="72"/>
      <c r="AA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ht="15.75" customHeight="1">
      <c r="A104" s="101"/>
      <c r="B104" s="102"/>
      <c r="C104" s="102"/>
      <c r="D104" s="102"/>
      <c r="E104" s="72"/>
      <c r="F104" s="71"/>
      <c r="G104" s="71"/>
      <c r="H104" s="71"/>
      <c r="I104" s="72"/>
      <c r="AA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ht="15.75" customHeight="1">
      <c r="A105" s="101"/>
      <c r="B105" s="102"/>
      <c r="C105" s="102"/>
      <c r="D105" s="102"/>
      <c r="E105" s="72"/>
      <c r="F105" s="71"/>
      <c r="G105" s="71"/>
      <c r="H105" s="71"/>
      <c r="I105" s="72"/>
      <c r="AA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ht="15.75" customHeight="1">
      <c r="A106" s="101"/>
      <c r="B106" s="102"/>
      <c r="C106" s="102"/>
      <c r="D106" s="102"/>
      <c r="E106" s="72"/>
      <c r="F106" s="71"/>
      <c r="G106" s="71"/>
      <c r="H106" s="71"/>
      <c r="I106" s="72"/>
      <c r="AA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ht="15.75" customHeight="1">
      <c r="A107" s="101"/>
      <c r="B107" s="102"/>
      <c r="C107" s="102"/>
      <c r="D107" s="102"/>
      <c r="E107" s="72"/>
      <c r="F107" s="71"/>
      <c r="G107" s="71"/>
      <c r="H107" s="71"/>
      <c r="I107" s="72"/>
      <c r="AA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ht="15.75" customHeight="1">
      <c r="A108" s="101"/>
      <c r="B108" s="102"/>
      <c r="C108" s="102"/>
      <c r="D108" s="102"/>
      <c r="E108" s="72"/>
      <c r="F108" s="71"/>
      <c r="G108" s="71"/>
      <c r="H108" s="71"/>
      <c r="I108" s="72"/>
      <c r="AA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ht="15.75" customHeight="1">
      <c r="A109" s="101"/>
      <c r="B109" s="102"/>
      <c r="C109" s="102"/>
      <c r="D109" s="102"/>
      <c r="E109" s="72"/>
      <c r="F109" s="71"/>
      <c r="G109" s="71"/>
      <c r="H109" s="71"/>
      <c r="I109" s="72"/>
      <c r="AA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ht="15.75" customHeight="1">
      <c r="A110" s="101"/>
      <c r="B110" s="102"/>
      <c r="C110" s="102"/>
      <c r="D110" s="102"/>
      <c r="E110" s="72"/>
      <c r="F110" s="71"/>
      <c r="G110" s="71"/>
      <c r="H110" s="71"/>
      <c r="I110" s="72"/>
      <c r="AA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ht="15.75" customHeight="1">
      <c r="A111" s="101"/>
      <c r="B111" s="102"/>
      <c r="C111" s="102"/>
      <c r="D111" s="102"/>
      <c r="E111" s="72"/>
      <c r="F111" s="71"/>
      <c r="G111" s="71"/>
      <c r="H111" s="71"/>
      <c r="I111" s="72"/>
      <c r="AA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ht="15.75" customHeight="1">
      <c r="A112" s="101"/>
      <c r="B112" s="102"/>
      <c r="C112" s="102"/>
      <c r="D112" s="102"/>
      <c r="E112" s="72"/>
      <c r="F112" s="71"/>
      <c r="G112" s="71"/>
      <c r="H112" s="71"/>
      <c r="I112" s="72"/>
      <c r="AA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ht="15.75" customHeight="1">
      <c r="A113" s="101"/>
      <c r="B113" s="102"/>
      <c r="C113" s="102"/>
      <c r="D113" s="102"/>
      <c r="E113" s="72"/>
      <c r="F113" s="71"/>
      <c r="G113" s="71"/>
      <c r="H113" s="71"/>
      <c r="I113" s="72"/>
      <c r="AA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ht="15.75" customHeight="1">
      <c r="A114" s="101"/>
      <c r="B114" s="102"/>
      <c r="C114" s="102"/>
      <c r="D114" s="102"/>
      <c r="E114" s="72"/>
      <c r="F114" s="71"/>
      <c r="G114" s="71"/>
      <c r="H114" s="71"/>
      <c r="I114" s="72"/>
      <c r="AA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ht="15.75" customHeight="1">
      <c r="A115" s="101"/>
      <c r="B115" s="102"/>
      <c r="C115" s="102"/>
      <c r="D115" s="102"/>
      <c r="E115" s="72"/>
      <c r="F115" s="71"/>
      <c r="G115" s="71"/>
      <c r="H115" s="71"/>
      <c r="I115" s="72"/>
      <c r="AA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ht="15.75" customHeight="1">
      <c r="A116" s="101"/>
      <c r="B116" s="102"/>
      <c r="C116" s="102"/>
      <c r="D116" s="102"/>
      <c r="E116" s="72"/>
      <c r="F116" s="71"/>
      <c r="G116" s="71"/>
      <c r="H116" s="71"/>
      <c r="I116" s="72"/>
      <c r="AA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ht="15.75" customHeight="1">
      <c r="A117" s="101"/>
      <c r="B117" s="102"/>
      <c r="C117" s="102"/>
      <c r="D117" s="102"/>
      <c r="E117" s="72"/>
      <c r="F117" s="71"/>
      <c r="G117" s="71"/>
      <c r="H117" s="71"/>
      <c r="I117" s="72"/>
      <c r="AA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ht="15.75" customHeight="1">
      <c r="A118" s="101"/>
      <c r="B118" s="102"/>
      <c r="C118" s="102"/>
      <c r="D118" s="102"/>
      <c r="E118" s="72"/>
      <c r="F118" s="71"/>
      <c r="G118" s="71"/>
      <c r="H118" s="71"/>
      <c r="I118" s="72"/>
      <c r="AA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ht="15.75" customHeight="1">
      <c r="A119" s="101"/>
      <c r="B119" s="102"/>
      <c r="C119" s="102"/>
      <c r="D119" s="102"/>
      <c r="E119" s="72"/>
      <c r="F119" s="71"/>
      <c r="G119" s="71"/>
      <c r="H119" s="71"/>
      <c r="I119" s="72"/>
      <c r="AA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ht="15.75" customHeight="1">
      <c r="A120" s="101"/>
      <c r="B120" s="102"/>
      <c r="C120" s="102"/>
      <c r="D120" s="102"/>
      <c r="E120" s="72"/>
      <c r="F120" s="71"/>
      <c r="G120" s="71"/>
      <c r="H120" s="71"/>
      <c r="I120" s="72"/>
      <c r="AA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ht="15.75" customHeight="1">
      <c r="A121" s="101"/>
      <c r="B121" s="102"/>
      <c r="C121" s="102"/>
      <c r="D121" s="102"/>
      <c r="E121" s="72"/>
      <c r="F121" s="71"/>
      <c r="G121" s="71"/>
      <c r="H121" s="71"/>
      <c r="I121" s="72"/>
      <c r="AA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ht="15.75" customHeight="1">
      <c r="A122" s="101"/>
      <c r="B122" s="102"/>
      <c r="C122" s="102"/>
      <c r="D122" s="102"/>
      <c r="E122" s="72"/>
      <c r="F122" s="71"/>
      <c r="G122" s="71"/>
      <c r="H122" s="71"/>
      <c r="I122" s="72"/>
      <c r="AA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ht="15.75" customHeight="1">
      <c r="A123" s="101"/>
      <c r="B123" s="102"/>
      <c r="C123" s="102"/>
      <c r="D123" s="102"/>
      <c r="E123" s="72"/>
      <c r="F123" s="71"/>
      <c r="G123" s="71"/>
      <c r="H123" s="71"/>
      <c r="I123" s="72"/>
      <c r="AA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ht="15.75" customHeight="1">
      <c r="A124" s="101"/>
      <c r="B124" s="102"/>
      <c r="C124" s="102"/>
      <c r="D124" s="102"/>
      <c r="E124" s="72"/>
      <c r="F124" s="71"/>
      <c r="G124" s="71"/>
      <c r="H124" s="71"/>
      <c r="I124" s="72"/>
      <c r="AA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ht="15.75" customHeight="1">
      <c r="A125" s="101"/>
      <c r="B125" s="102"/>
      <c r="C125" s="102"/>
      <c r="D125" s="102"/>
      <c r="E125" s="72"/>
      <c r="F125" s="71"/>
      <c r="G125" s="71"/>
      <c r="H125" s="71"/>
      <c r="I125" s="72"/>
      <c r="AA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ht="15.75" customHeight="1">
      <c r="A126" s="101"/>
      <c r="B126" s="102"/>
      <c r="C126" s="102"/>
      <c r="D126" s="102"/>
      <c r="E126" s="72"/>
      <c r="F126" s="71"/>
      <c r="G126" s="71"/>
      <c r="H126" s="71"/>
      <c r="I126" s="72"/>
      <c r="AA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ht="15.75" customHeight="1">
      <c r="A127" s="101"/>
      <c r="B127" s="102"/>
      <c r="C127" s="102"/>
      <c r="D127" s="102"/>
      <c r="E127" s="72"/>
      <c r="F127" s="71"/>
      <c r="G127" s="71"/>
      <c r="H127" s="71"/>
      <c r="I127" s="72"/>
      <c r="AA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ht="15.75" customHeight="1">
      <c r="A128" s="101"/>
      <c r="B128" s="102"/>
      <c r="C128" s="102"/>
      <c r="D128" s="102"/>
      <c r="E128" s="72"/>
      <c r="F128" s="71"/>
      <c r="G128" s="71"/>
      <c r="H128" s="71"/>
      <c r="I128" s="72"/>
      <c r="AA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ht="15.75" customHeight="1">
      <c r="A129" s="101"/>
      <c r="B129" s="102"/>
      <c r="C129" s="102"/>
      <c r="D129" s="102"/>
      <c r="E129" s="72"/>
      <c r="F129" s="71"/>
      <c r="G129" s="71"/>
      <c r="H129" s="71"/>
      <c r="I129" s="72"/>
      <c r="AA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ht="15.75" customHeight="1">
      <c r="A130" s="101"/>
      <c r="B130" s="102"/>
      <c r="C130" s="102"/>
      <c r="D130" s="102"/>
      <c r="E130" s="72"/>
      <c r="F130" s="71"/>
      <c r="G130" s="71"/>
      <c r="H130" s="71"/>
      <c r="I130" s="72"/>
      <c r="AA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ht="15.75" customHeight="1">
      <c r="A131" s="101"/>
      <c r="B131" s="102"/>
      <c r="C131" s="102"/>
      <c r="D131" s="102"/>
      <c r="E131" s="72"/>
      <c r="F131" s="71"/>
      <c r="G131" s="71"/>
      <c r="H131" s="71"/>
      <c r="I131" s="72"/>
      <c r="AA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ht="15.75" customHeight="1">
      <c r="A132" s="101"/>
      <c r="B132" s="102"/>
      <c r="C132" s="102"/>
      <c r="D132" s="102"/>
      <c r="E132" s="72"/>
      <c r="F132" s="71"/>
      <c r="G132" s="71"/>
      <c r="H132" s="71"/>
      <c r="I132" s="72"/>
      <c r="AA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ht="15.75" customHeight="1">
      <c r="A133" s="101"/>
      <c r="B133" s="102"/>
      <c r="C133" s="102"/>
      <c r="D133" s="102"/>
      <c r="E133" s="72"/>
      <c r="F133" s="71"/>
      <c r="G133" s="71"/>
      <c r="H133" s="71"/>
      <c r="I133" s="72"/>
      <c r="AA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ht="15.75" customHeight="1">
      <c r="A134" s="101"/>
      <c r="B134" s="102"/>
      <c r="C134" s="102"/>
      <c r="D134" s="102"/>
      <c r="E134" s="72"/>
      <c r="F134" s="71"/>
      <c r="G134" s="71"/>
      <c r="H134" s="71"/>
      <c r="I134" s="72"/>
      <c r="AA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ht="15.75" customHeight="1">
      <c r="A135" s="101"/>
      <c r="B135" s="102"/>
      <c r="C135" s="102"/>
      <c r="D135" s="102"/>
      <c r="E135" s="72"/>
      <c r="F135" s="71"/>
      <c r="G135" s="71"/>
      <c r="H135" s="71"/>
      <c r="I135" s="72"/>
      <c r="AA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ht="15.75" customHeight="1">
      <c r="A136" s="101"/>
      <c r="B136" s="102"/>
      <c r="C136" s="102"/>
      <c r="D136" s="102"/>
      <c r="E136" s="72"/>
      <c r="F136" s="71"/>
      <c r="G136" s="71"/>
      <c r="H136" s="71"/>
      <c r="I136" s="72"/>
      <c r="AA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ht="15.75" customHeight="1">
      <c r="A137" s="101"/>
      <c r="B137" s="102"/>
      <c r="C137" s="102"/>
      <c r="D137" s="102"/>
      <c r="E137" s="72"/>
      <c r="F137" s="71"/>
      <c r="G137" s="71"/>
      <c r="H137" s="71"/>
      <c r="I137" s="72"/>
      <c r="AA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ht="15.75" customHeight="1">
      <c r="A138" s="101"/>
      <c r="B138" s="102"/>
      <c r="C138" s="102"/>
      <c r="D138" s="102"/>
      <c r="E138" s="72"/>
      <c r="F138" s="71"/>
      <c r="G138" s="71"/>
      <c r="H138" s="71"/>
      <c r="I138" s="72"/>
      <c r="AA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ht="15.75" customHeight="1">
      <c r="A139" s="101"/>
      <c r="B139" s="102"/>
      <c r="C139" s="102"/>
      <c r="D139" s="102"/>
      <c r="E139" s="72"/>
      <c r="F139" s="71"/>
      <c r="G139" s="71"/>
      <c r="H139" s="71"/>
      <c r="I139" s="72"/>
      <c r="AA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ht="15.75" customHeight="1">
      <c r="A140" s="101"/>
      <c r="B140" s="102"/>
      <c r="C140" s="102"/>
      <c r="D140" s="102"/>
      <c r="E140" s="72"/>
      <c r="F140" s="71"/>
      <c r="G140" s="71"/>
      <c r="H140" s="71"/>
      <c r="I140" s="72"/>
      <c r="AA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ht="15.75" customHeight="1">
      <c r="A141" s="101"/>
      <c r="B141" s="102"/>
      <c r="C141" s="102"/>
      <c r="D141" s="102"/>
      <c r="E141" s="72"/>
      <c r="F141" s="71"/>
      <c r="G141" s="71"/>
      <c r="H141" s="71"/>
      <c r="I141" s="72"/>
      <c r="AA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ht="15.75" customHeight="1">
      <c r="A142" s="101"/>
      <c r="B142" s="102"/>
      <c r="C142" s="102"/>
      <c r="D142" s="102"/>
      <c r="E142" s="72"/>
      <c r="F142" s="71"/>
      <c r="G142" s="71"/>
      <c r="H142" s="71"/>
      <c r="I142" s="72"/>
      <c r="AA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ht="15.75" customHeight="1">
      <c r="A143" s="101"/>
      <c r="B143" s="102"/>
      <c r="C143" s="102"/>
      <c r="D143" s="102"/>
      <c r="E143" s="72"/>
      <c r="F143" s="71"/>
      <c r="G143" s="71"/>
      <c r="H143" s="71"/>
      <c r="I143" s="72"/>
      <c r="AA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ht="15.75" customHeight="1">
      <c r="A144" s="101"/>
      <c r="B144" s="102"/>
      <c r="C144" s="102"/>
      <c r="D144" s="102"/>
      <c r="E144" s="72"/>
      <c r="F144" s="71"/>
      <c r="G144" s="71"/>
      <c r="H144" s="71"/>
      <c r="I144" s="72"/>
      <c r="AA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ht="15.75" customHeight="1">
      <c r="A145" s="101"/>
      <c r="B145" s="102"/>
      <c r="C145" s="102"/>
      <c r="D145" s="102"/>
      <c r="E145" s="72"/>
      <c r="F145" s="71"/>
      <c r="G145" s="71"/>
      <c r="H145" s="71"/>
      <c r="I145" s="72"/>
      <c r="AA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ht="15.75" customHeight="1">
      <c r="A146" s="101"/>
      <c r="B146" s="102"/>
      <c r="C146" s="102"/>
      <c r="D146" s="102"/>
      <c r="E146" s="72"/>
      <c r="F146" s="71"/>
      <c r="G146" s="71"/>
      <c r="H146" s="71"/>
      <c r="I146" s="72"/>
      <c r="AA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ht="15.75" customHeight="1">
      <c r="A147" s="101"/>
      <c r="B147" s="102"/>
      <c r="C147" s="102"/>
      <c r="D147" s="102"/>
      <c r="E147" s="72"/>
      <c r="F147" s="71"/>
      <c r="G147" s="71"/>
      <c r="H147" s="71"/>
      <c r="I147" s="72"/>
      <c r="AA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ht="15.75" customHeight="1">
      <c r="A148" s="101"/>
      <c r="B148" s="102"/>
      <c r="C148" s="102"/>
      <c r="D148" s="102"/>
      <c r="E148" s="72"/>
      <c r="F148" s="71"/>
      <c r="G148" s="71"/>
      <c r="H148" s="71"/>
      <c r="I148" s="72"/>
      <c r="AA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ht="15.75" customHeight="1">
      <c r="A149" s="101"/>
      <c r="B149" s="102"/>
      <c r="C149" s="102"/>
      <c r="D149" s="102"/>
      <c r="E149" s="72"/>
      <c r="F149" s="71"/>
      <c r="G149" s="71"/>
      <c r="H149" s="71"/>
      <c r="I149" s="72"/>
      <c r="AA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ht="15.75" customHeight="1">
      <c r="A150" s="101"/>
      <c r="B150" s="102"/>
      <c r="C150" s="102"/>
      <c r="D150" s="102"/>
      <c r="E150" s="72"/>
      <c r="F150" s="71"/>
      <c r="G150" s="71"/>
      <c r="H150" s="71"/>
      <c r="I150" s="72"/>
      <c r="AA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ht="15.75" customHeight="1">
      <c r="A151" s="101"/>
      <c r="B151" s="102"/>
      <c r="C151" s="102"/>
      <c r="D151" s="102"/>
      <c r="E151" s="72"/>
      <c r="F151" s="71"/>
      <c r="G151" s="71"/>
      <c r="H151" s="71"/>
      <c r="I151" s="72"/>
      <c r="AA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ht="15.75" customHeight="1">
      <c r="A152" s="101"/>
      <c r="B152" s="102"/>
      <c r="C152" s="102"/>
      <c r="D152" s="102"/>
      <c r="E152" s="72"/>
      <c r="F152" s="71"/>
      <c r="G152" s="71"/>
      <c r="H152" s="71"/>
      <c r="I152" s="72"/>
      <c r="AA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ht="15.75" customHeight="1">
      <c r="A153" s="101"/>
      <c r="B153" s="102"/>
      <c r="C153" s="102"/>
      <c r="D153" s="102"/>
      <c r="E153" s="72"/>
      <c r="F153" s="71"/>
      <c r="G153" s="71"/>
      <c r="H153" s="71"/>
      <c r="I153" s="72"/>
      <c r="AA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ht="15.75" customHeight="1">
      <c r="A154" s="101"/>
      <c r="B154" s="102"/>
      <c r="C154" s="102"/>
      <c r="D154" s="102"/>
      <c r="E154" s="72"/>
      <c r="F154" s="71"/>
      <c r="G154" s="71"/>
      <c r="H154" s="71"/>
      <c r="I154" s="72"/>
      <c r="AA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ht="15.75" customHeight="1">
      <c r="A155" s="101"/>
      <c r="B155" s="102"/>
      <c r="C155" s="102"/>
      <c r="D155" s="102"/>
      <c r="E155" s="72"/>
      <c r="F155" s="71"/>
      <c r="G155" s="71"/>
      <c r="H155" s="71"/>
      <c r="I155" s="72"/>
      <c r="AA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ht="15.75" customHeight="1">
      <c r="A156" s="101"/>
      <c r="B156" s="102"/>
      <c r="C156" s="102"/>
      <c r="D156" s="102"/>
      <c r="E156" s="72"/>
      <c r="F156" s="71"/>
      <c r="G156" s="71"/>
      <c r="H156" s="71"/>
      <c r="I156" s="72"/>
      <c r="AA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ht="15.75" customHeight="1">
      <c r="A157" s="101"/>
      <c r="B157" s="102"/>
      <c r="C157" s="102"/>
      <c r="D157" s="102"/>
      <c r="E157" s="72"/>
      <c r="F157" s="71"/>
      <c r="G157" s="71"/>
      <c r="H157" s="71"/>
      <c r="I157" s="72"/>
      <c r="AA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ht="15.75" customHeight="1">
      <c r="A158" s="101"/>
      <c r="B158" s="102"/>
      <c r="C158" s="102"/>
      <c r="D158" s="102"/>
      <c r="E158" s="72"/>
      <c r="F158" s="71"/>
      <c r="G158" s="71"/>
      <c r="H158" s="71"/>
      <c r="I158" s="72"/>
      <c r="AA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ht="15.75" customHeight="1">
      <c r="A159" s="101"/>
      <c r="B159" s="102"/>
      <c r="C159" s="102"/>
      <c r="D159" s="102"/>
      <c r="E159" s="72"/>
      <c r="F159" s="71"/>
      <c r="G159" s="71"/>
      <c r="H159" s="71"/>
      <c r="I159" s="72"/>
      <c r="AA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ht="15.75" customHeight="1">
      <c r="A160" s="101"/>
      <c r="B160" s="102"/>
      <c r="C160" s="102"/>
      <c r="D160" s="102"/>
      <c r="E160" s="72"/>
      <c r="F160" s="71"/>
      <c r="G160" s="71"/>
      <c r="H160" s="71"/>
      <c r="I160" s="72"/>
      <c r="AA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ht="15.75" customHeight="1">
      <c r="A161" s="101"/>
      <c r="B161" s="102"/>
      <c r="C161" s="102"/>
      <c r="D161" s="102"/>
      <c r="E161" s="72"/>
      <c r="F161" s="71"/>
      <c r="G161" s="71"/>
      <c r="H161" s="71"/>
      <c r="I161" s="72"/>
      <c r="AA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ht="15.75" customHeight="1">
      <c r="A162" s="101"/>
      <c r="B162" s="102"/>
      <c r="C162" s="102"/>
      <c r="D162" s="102"/>
      <c r="E162" s="72"/>
      <c r="F162" s="71"/>
      <c r="G162" s="71"/>
      <c r="H162" s="71"/>
      <c r="I162" s="72"/>
      <c r="AA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ht="15.75" customHeight="1">
      <c r="A163" s="101"/>
      <c r="B163" s="102"/>
      <c r="C163" s="102"/>
      <c r="D163" s="102"/>
      <c r="E163" s="72"/>
      <c r="F163" s="71"/>
      <c r="G163" s="71"/>
      <c r="H163" s="71"/>
      <c r="I163" s="72"/>
      <c r="AA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ht="15.75" customHeight="1">
      <c r="A164" s="101"/>
      <c r="B164" s="102"/>
      <c r="C164" s="102"/>
      <c r="D164" s="102"/>
      <c r="E164" s="72"/>
      <c r="F164" s="71"/>
      <c r="G164" s="71"/>
      <c r="H164" s="71"/>
      <c r="I164" s="72"/>
      <c r="AA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ht="15.75" customHeight="1">
      <c r="A165" s="101"/>
      <c r="B165" s="102"/>
      <c r="C165" s="102"/>
      <c r="D165" s="102"/>
      <c r="E165" s="72"/>
      <c r="F165" s="71"/>
      <c r="G165" s="71"/>
      <c r="H165" s="71"/>
      <c r="I165" s="72"/>
      <c r="AA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ht="15.75" customHeight="1">
      <c r="A166" s="101"/>
      <c r="B166" s="102"/>
      <c r="C166" s="102"/>
      <c r="D166" s="102"/>
      <c r="E166" s="72"/>
      <c r="F166" s="71"/>
      <c r="G166" s="71"/>
      <c r="H166" s="71"/>
      <c r="I166" s="72"/>
      <c r="AA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ht="15.75" customHeight="1">
      <c r="A167" s="101"/>
      <c r="B167" s="102"/>
      <c r="C167" s="102"/>
      <c r="D167" s="102"/>
      <c r="E167" s="72"/>
      <c r="F167" s="71"/>
      <c r="G167" s="71"/>
      <c r="H167" s="71"/>
      <c r="I167" s="72"/>
      <c r="AA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ht="15.75" customHeight="1">
      <c r="A168" s="101"/>
      <c r="B168" s="102"/>
      <c r="C168" s="102"/>
      <c r="D168" s="102"/>
      <c r="E168" s="72"/>
      <c r="F168" s="71"/>
      <c r="G168" s="71"/>
      <c r="H168" s="71"/>
      <c r="I168" s="72"/>
      <c r="AA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ht="15.75" customHeight="1">
      <c r="A169" s="101"/>
      <c r="B169" s="102"/>
      <c r="C169" s="102"/>
      <c r="D169" s="102"/>
      <c r="E169" s="72"/>
      <c r="F169" s="71"/>
      <c r="G169" s="71"/>
      <c r="H169" s="71"/>
      <c r="I169" s="72"/>
      <c r="AA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ht="15.75" customHeight="1">
      <c r="A170" s="101"/>
      <c r="B170" s="102"/>
      <c r="C170" s="102"/>
      <c r="D170" s="102"/>
      <c r="E170" s="72"/>
      <c r="F170" s="71"/>
      <c r="G170" s="71"/>
      <c r="H170" s="71"/>
      <c r="I170" s="72"/>
      <c r="AA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ht="15.75" customHeight="1">
      <c r="A171" s="101"/>
      <c r="B171" s="102"/>
      <c r="C171" s="102"/>
      <c r="D171" s="102"/>
      <c r="E171" s="72"/>
      <c r="F171" s="71"/>
      <c r="G171" s="71"/>
      <c r="H171" s="71"/>
      <c r="I171" s="72"/>
      <c r="AA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ht="15.75" customHeight="1">
      <c r="A172" s="101"/>
      <c r="B172" s="102"/>
      <c r="C172" s="102"/>
      <c r="D172" s="102"/>
      <c r="E172" s="72"/>
      <c r="F172" s="71"/>
      <c r="G172" s="71"/>
      <c r="H172" s="71"/>
      <c r="I172" s="72"/>
      <c r="AA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ht="15.75" customHeight="1">
      <c r="A173" s="101"/>
      <c r="B173" s="102"/>
      <c r="C173" s="102"/>
      <c r="D173" s="102"/>
      <c r="E173" s="72"/>
      <c r="F173" s="71"/>
      <c r="G173" s="71"/>
      <c r="H173" s="71"/>
      <c r="I173" s="72"/>
      <c r="AA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ht="15.75" customHeight="1">
      <c r="A174" s="101"/>
      <c r="B174" s="102"/>
      <c r="C174" s="102"/>
      <c r="D174" s="102"/>
      <c r="E174" s="72"/>
      <c r="F174" s="71"/>
      <c r="G174" s="71"/>
      <c r="H174" s="71"/>
      <c r="I174" s="72"/>
      <c r="AA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ht="15.75" customHeight="1">
      <c r="A175" s="101"/>
      <c r="B175" s="102"/>
      <c r="C175" s="102"/>
      <c r="D175" s="102"/>
      <c r="E175" s="72"/>
      <c r="F175" s="71"/>
      <c r="G175" s="71"/>
      <c r="H175" s="71"/>
      <c r="I175" s="72"/>
      <c r="AA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ht="15.75" customHeight="1">
      <c r="A176" s="101"/>
      <c r="B176" s="102"/>
      <c r="C176" s="102"/>
      <c r="D176" s="102"/>
      <c r="E176" s="72"/>
      <c r="F176" s="71"/>
      <c r="G176" s="71"/>
      <c r="H176" s="71"/>
      <c r="I176" s="72"/>
      <c r="AA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ht="15.75" customHeight="1">
      <c r="A177" s="101"/>
      <c r="B177" s="102"/>
      <c r="C177" s="102"/>
      <c r="D177" s="102"/>
      <c r="E177" s="72"/>
      <c r="F177" s="71"/>
      <c r="G177" s="71"/>
      <c r="H177" s="71"/>
      <c r="I177" s="72"/>
      <c r="AA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ht="15.75" customHeight="1">
      <c r="A178" s="101"/>
      <c r="B178" s="102"/>
      <c r="C178" s="102"/>
      <c r="D178" s="102"/>
      <c r="E178" s="72"/>
      <c r="F178" s="71"/>
      <c r="G178" s="71"/>
      <c r="H178" s="71"/>
      <c r="I178" s="72"/>
      <c r="AA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ht="15.75" customHeight="1">
      <c r="A179" s="101"/>
      <c r="B179" s="102"/>
      <c r="C179" s="102"/>
      <c r="D179" s="102"/>
      <c r="E179" s="72"/>
      <c r="F179" s="71"/>
      <c r="G179" s="71"/>
      <c r="H179" s="71"/>
      <c r="I179" s="72"/>
      <c r="AA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ht="15.75" customHeight="1">
      <c r="A180" s="101"/>
      <c r="B180" s="102"/>
      <c r="C180" s="102"/>
      <c r="D180" s="102"/>
      <c r="E180" s="72"/>
      <c r="F180" s="71"/>
      <c r="G180" s="71"/>
      <c r="H180" s="71"/>
      <c r="I180" s="72"/>
      <c r="AA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ht="15.75" customHeight="1">
      <c r="A181" s="101"/>
      <c r="B181" s="102"/>
      <c r="C181" s="102"/>
      <c r="D181" s="102"/>
      <c r="E181" s="72"/>
      <c r="F181" s="71"/>
      <c r="G181" s="71"/>
      <c r="H181" s="71"/>
      <c r="I181" s="72"/>
      <c r="AA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ht="15.75" customHeight="1">
      <c r="A182" s="101"/>
      <c r="B182" s="102"/>
      <c r="C182" s="102"/>
      <c r="D182" s="102"/>
      <c r="E182" s="72"/>
      <c r="F182" s="71"/>
      <c r="G182" s="71"/>
      <c r="H182" s="71"/>
      <c r="I182" s="72"/>
      <c r="AA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ht="15.75" customHeight="1">
      <c r="A183" s="101"/>
      <c r="B183" s="102"/>
      <c r="C183" s="102"/>
      <c r="D183" s="102"/>
      <c r="E183" s="72"/>
      <c r="F183" s="71"/>
      <c r="G183" s="71"/>
      <c r="H183" s="71"/>
      <c r="I183" s="72"/>
      <c r="AA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ht="15.75" customHeight="1">
      <c r="A184" s="101"/>
      <c r="B184" s="102"/>
      <c r="C184" s="102"/>
      <c r="D184" s="102"/>
      <c r="E184" s="72"/>
      <c r="F184" s="71"/>
      <c r="G184" s="71"/>
      <c r="H184" s="71"/>
      <c r="I184" s="72"/>
      <c r="AA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ht="15.75" customHeight="1">
      <c r="A185" s="101"/>
      <c r="B185" s="102"/>
      <c r="C185" s="102"/>
      <c r="D185" s="102"/>
      <c r="E185" s="72"/>
      <c r="F185" s="71"/>
      <c r="G185" s="71"/>
      <c r="H185" s="71"/>
      <c r="I185" s="72"/>
      <c r="AA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ht="15.75" customHeight="1">
      <c r="A186" s="101"/>
      <c r="B186" s="102"/>
      <c r="C186" s="102"/>
      <c r="D186" s="102"/>
      <c r="E186" s="72"/>
      <c r="F186" s="71"/>
      <c r="G186" s="71"/>
      <c r="H186" s="71"/>
      <c r="I186" s="72"/>
      <c r="AA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ht="15.75" customHeight="1">
      <c r="A187" s="101"/>
      <c r="B187" s="102"/>
      <c r="C187" s="102"/>
      <c r="D187" s="102"/>
      <c r="E187" s="72"/>
      <c r="F187" s="71"/>
      <c r="G187" s="71"/>
      <c r="H187" s="71"/>
      <c r="I187" s="72"/>
      <c r="AA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ht="15.75" customHeight="1">
      <c r="A188" s="101"/>
      <c r="B188" s="102"/>
      <c r="C188" s="102"/>
      <c r="D188" s="102"/>
      <c r="E188" s="72"/>
      <c r="F188" s="71"/>
      <c r="G188" s="71"/>
      <c r="H188" s="71"/>
      <c r="I188" s="72"/>
      <c r="AA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ht="15.75" customHeight="1">
      <c r="A189" s="101"/>
      <c r="B189" s="102"/>
      <c r="C189" s="102"/>
      <c r="D189" s="102"/>
      <c r="E189" s="72"/>
      <c r="F189" s="71"/>
      <c r="G189" s="71"/>
      <c r="H189" s="71"/>
      <c r="I189" s="72"/>
      <c r="AA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ht="15.75" customHeight="1">
      <c r="A190" s="101"/>
      <c r="B190" s="102"/>
      <c r="C190" s="102"/>
      <c r="D190" s="102"/>
      <c r="E190" s="72"/>
      <c r="F190" s="71"/>
      <c r="G190" s="71"/>
      <c r="H190" s="71"/>
      <c r="I190" s="72"/>
      <c r="AA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ht="15.75" customHeight="1">
      <c r="A191" s="101"/>
      <c r="B191" s="102"/>
      <c r="C191" s="102"/>
      <c r="D191" s="102"/>
      <c r="E191" s="72"/>
      <c r="F191" s="71"/>
      <c r="G191" s="71"/>
      <c r="H191" s="71"/>
      <c r="I191" s="72"/>
      <c r="AA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ht="15.75" customHeight="1">
      <c r="A192" s="101"/>
      <c r="B192" s="102"/>
      <c r="C192" s="102"/>
      <c r="D192" s="102"/>
      <c r="E192" s="72"/>
      <c r="F192" s="71"/>
      <c r="G192" s="71"/>
      <c r="H192" s="71"/>
      <c r="I192" s="72"/>
      <c r="AA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ht="15.75" customHeight="1">
      <c r="A193" s="101"/>
      <c r="B193" s="102"/>
      <c r="C193" s="102"/>
      <c r="D193" s="102"/>
      <c r="E193" s="72"/>
      <c r="F193" s="71"/>
      <c r="G193" s="71"/>
      <c r="H193" s="71"/>
      <c r="I193" s="72"/>
      <c r="AA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ht="15.75" customHeight="1">
      <c r="A194" s="101"/>
      <c r="B194" s="102"/>
      <c r="C194" s="102"/>
      <c r="D194" s="102"/>
      <c r="E194" s="72"/>
      <c r="F194" s="71"/>
      <c r="G194" s="71"/>
      <c r="H194" s="71"/>
      <c r="I194" s="72"/>
      <c r="AA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ht="15.75" customHeight="1">
      <c r="A195" s="101"/>
      <c r="B195" s="102"/>
      <c r="C195" s="102"/>
      <c r="D195" s="102"/>
      <c r="E195" s="72"/>
      <c r="F195" s="71"/>
      <c r="G195" s="71"/>
      <c r="H195" s="71"/>
      <c r="I195" s="72"/>
      <c r="AA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ht="15.75" customHeight="1">
      <c r="A196" s="101"/>
      <c r="B196" s="102"/>
      <c r="C196" s="102"/>
      <c r="D196" s="102"/>
      <c r="E196" s="72"/>
      <c r="F196" s="71"/>
      <c r="G196" s="71"/>
      <c r="H196" s="71"/>
      <c r="I196" s="72"/>
      <c r="AA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ht="15.75" customHeight="1">
      <c r="A197" s="101"/>
      <c r="B197" s="102"/>
      <c r="C197" s="102"/>
      <c r="D197" s="102"/>
      <c r="E197" s="72"/>
      <c r="F197" s="71"/>
      <c r="G197" s="71"/>
      <c r="H197" s="71"/>
      <c r="I197" s="72"/>
      <c r="AA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ht="15.75" customHeight="1">
      <c r="A198" s="101"/>
      <c r="B198" s="102"/>
      <c r="C198" s="102"/>
      <c r="D198" s="102"/>
      <c r="E198" s="72"/>
      <c r="F198" s="71"/>
      <c r="G198" s="71"/>
      <c r="H198" s="71"/>
      <c r="I198" s="72"/>
      <c r="AA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ht="15.75" customHeight="1">
      <c r="A199" s="101"/>
      <c r="B199" s="102"/>
      <c r="C199" s="102"/>
      <c r="D199" s="102"/>
      <c r="E199" s="72"/>
      <c r="F199" s="71"/>
      <c r="G199" s="71"/>
      <c r="H199" s="71"/>
      <c r="I199" s="72"/>
      <c r="AA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ht="15.75" customHeight="1">
      <c r="A200" s="101"/>
      <c r="B200" s="102"/>
      <c r="C200" s="102"/>
      <c r="D200" s="102"/>
      <c r="E200" s="72"/>
      <c r="F200" s="71"/>
      <c r="G200" s="71"/>
      <c r="H200" s="71"/>
      <c r="I200" s="72"/>
      <c r="AA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ht="15.75" customHeight="1">
      <c r="A201" s="101"/>
      <c r="B201" s="102"/>
      <c r="C201" s="102"/>
      <c r="D201" s="102"/>
      <c r="E201" s="72"/>
      <c r="F201" s="71"/>
      <c r="G201" s="71"/>
      <c r="H201" s="71"/>
      <c r="I201" s="72"/>
      <c r="AA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ht="15.75" customHeight="1">
      <c r="A202" s="101"/>
      <c r="B202" s="102"/>
      <c r="C202" s="102"/>
      <c r="D202" s="102"/>
      <c r="E202" s="72"/>
      <c r="F202" s="71"/>
      <c r="G202" s="71"/>
      <c r="H202" s="71"/>
      <c r="I202" s="72"/>
      <c r="AA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ht="15.75" customHeight="1">
      <c r="A203" s="101"/>
      <c r="B203" s="102"/>
      <c r="C203" s="102"/>
      <c r="D203" s="102"/>
      <c r="E203" s="72"/>
      <c r="F203" s="71"/>
      <c r="G203" s="71"/>
      <c r="H203" s="71"/>
      <c r="I203" s="72"/>
      <c r="AA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ht="15.75" customHeight="1">
      <c r="A204" s="101"/>
      <c r="B204" s="102"/>
      <c r="C204" s="102"/>
      <c r="D204" s="102"/>
      <c r="E204" s="72"/>
      <c r="F204" s="71"/>
      <c r="G204" s="71"/>
      <c r="H204" s="71"/>
      <c r="I204" s="72"/>
      <c r="AA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ht="15.75" customHeight="1">
      <c r="A205" s="101"/>
      <c r="B205" s="102"/>
      <c r="C205" s="102"/>
      <c r="D205" s="102"/>
      <c r="E205" s="72"/>
      <c r="F205" s="71"/>
      <c r="G205" s="71"/>
      <c r="H205" s="71"/>
      <c r="I205" s="72"/>
      <c r="AA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ht="15.75" customHeight="1">
      <c r="A206" s="101"/>
      <c r="B206" s="102"/>
      <c r="C206" s="102"/>
      <c r="D206" s="102"/>
      <c r="E206" s="72"/>
      <c r="F206" s="71"/>
      <c r="G206" s="71"/>
      <c r="H206" s="71"/>
      <c r="I206" s="72"/>
      <c r="AA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ht="15.75" customHeight="1">
      <c r="A207" s="101"/>
      <c r="B207" s="102"/>
      <c r="C207" s="102"/>
      <c r="D207" s="102"/>
      <c r="E207" s="72"/>
      <c r="F207" s="71"/>
      <c r="G207" s="71"/>
      <c r="H207" s="71"/>
      <c r="I207" s="72"/>
      <c r="AA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ht="15.75" customHeight="1">
      <c r="A208" s="101"/>
      <c r="B208" s="102"/>
      <c r="C208" s="102"/>
      <c r="D208" s="102"/>
      <c r="E208" s="72"/>
      <c r="F208" s="71"/>
      <c r="G208" s="71"/>
      <c r="H208" s="71"/>
      <c r="I208" s="72"/>
      <c r="AA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ht="15.75" customHeight="1">
      <c r="A209" s="101"/>
      <c r="B209" s="102"/>
      <c r="C209" s="102"/>
      <c r="D209" s="102"/>
      <c r="E209" s="72"/>
      <c r="F209" s="71"/>
      <c r="G209" s="71"/>
      <c r="H209" s="71"/>
      <c r="I209" s="72"/>
      <c r="AA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ht="15.75" customHeight="1">
      <c r="A210" s="101"/>
      <c r="B210" s="102"/>
      <c r="C210" s="102"/>
      <c r="D210" s="102"/>
      <c r="E210" s="72"/>
      <c r="F210" s="71"/>
      <c r="G210" s="71"/>
      <c r="H210" s="71"/>
      <c r="I210" s="72"/>
      <c r="AA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ht="15.75" customHeight="1">
      <c r="A211" s="101"/>
      <c r="B211" s="102"/>
      <c r="C211" s="102"/>
      <c r="D211" s="102"/>
      <c r="E211" s="72"/>
      <c r="F211" s="71"/>
      <c r="G211" s="71"/>
      <c r="H211" s="71"/>
      <c r="I211" s="72"/>
      <c r="AA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ht="15.75" customHeight="1">
      <c r="A212" s="101"/>
      <c r="B212" s="102"/>
      <c r="C212" s="102"/>
      <c r="D212" s="102"/>
      <c r="E212" s="72"/>
      <c r="F212" s="71"/>
      <c r="G212" s="71"/>
      <c r="H212" s="71"/>
      <c r="I212" s="72"/>
      <c r="AA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ht="15.75" customHeight="1">
      <c r="A213" s="101"/>
      <c r="B213" s="102"/>
      <c r="C213" s="102"/>
      <c r="D213" s="102"/>
      <c r="E213" s="72"/>
      <c r="F213" s="71"/>
      <c r="G213" s="71"/>
      <c r="H213" s="71"/>
      <c r="I213" s="72"/>
      <c r="AA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ht="15.75" customHeight="1">
      <c r="A214" s="101"/>
      <c r="B214" s="102"/>
      <c r="C214" s="102"/>
      <c r="D214" s="102"/>
      <c r="E214" s="72"/>
      <c r="F214" s="71"/>
      <c r="G214" s="71"/>
      <c r="H214" s="71"/>
      <c r="I214" s="72"/>
      <c r="AA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ht="15.75" customHeight="1">
      <c r="A215" s="101"/>
      <c r="B215" s="102"/>
      <c r="C215" s="102"/>
      <c r="D215" s="102"/>
      <c r="E215" s="72"/>
      <c r="F215" s="71"/>
      <c r="G215" s="71"/>
      <c r="H215" s="71"/>
      <c r="I215" s="72"/>
      <c r="AA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ht="15.75" customHeight="1">
      <c r="A216" s="101"/>
      <c r="B216" s="102"/>
      <c r="C216" s="102"/>
      <c r="D216" s="102"/>
      <c r="E216" s="72"/>
      <c r="F216" s="71"/>
      <c r="G216" s="71"/>
      <c r="H216" s="71"/>
      <c r="I216" s="72"/>
      <c r="AA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ht="15.75" customHeight="1">
      <c r="A217" s="101"/>
      <c r="B217" s="102"/>
      <c r="C217" s="102"/>
      <c r="D217" s="102"/>
      <c r="E217" s="72"/>
      <c r="F217" s="71"/>
      <c r="G217" s="71"/>
      <c r="H217" s="71"/>
      <c r="I217" s="72"/>
      <c r="AA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ht="15.75" customHeight="1">
      <c r="A218" s="101"/>
      <c r="B218" s="102"/>
      <c r="C218" s="102"/>
      <c r="D218" s="102"/>
      <c r="E218" s="72"/>
      <c r="F218" s="71"/>
      <c r="G218" s="71"/>
      <c r="H218" s="71"/>
      <c r="I218" s="72"/>
      <c r="AA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ht="15.75" customHeight="1">
      <c r="A219" s="101"/>
      <c r="B219" s="102"/>
      <c r="C219" s="102"/>
      <c r="D219" s="102"/>
      <c r="E219" s="72"/>
      <c r="F219" s="71"/>
      <c r="G219" s="71"/>
      <c r="H219" s="71"/>
      <c r="I219" s="72"/>
      <c r="AA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ht="15.75" customHeight="1">
      <c r="A220" s="101"/>
      <c r="B220" s="102"/>
      <c r="C220" s="102"/>
      <c r="D220" s="102"/>
      <c r="E220" s="72"/>
      <c r="F220" s="71"/>
      <c r="G220" s="71"/>
      <c r="H220" s="71"/>
      <c r="I220" s="72"/>
      <c r="AA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ht="15.75" customHeight="1">
      <c r="A221" s="101"/>
      <c r="B221" s="102"/>
      <c r="C221" s="102"/>
      <c r="D221" s="102"/>
      <c r="E221" s="72"/>
      <c r="F221" s="71"/>
      <c r="G221" s="71"/>
      <c r="H221" s="71"/>
      <c r="I221" s="72"/>
      <c r="AA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ht="15.75" customHeight="1">
      <c r="A222" s="101"/>
      <c r="B222" s="102"/>
      <c r="C222" s="102"/>
      <c r="D222" s="102"/>
      <c r="E222" s="72"/>
      <c r="F222" s="71"/>
      <c r="G222" s="71"/>
      <c r="H222" s="71"/>
      <c r="I222" s="72"/>
      <c r="AA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ht="15.75" customHeight="1">
      <c r="A223" s="101"/>
      <c r="B223" s="102"/>
      <c r="C223" s="102"/>
      <c r="D223" s="102"/>
      <c r="E223" s="72"/>
      <c r="F223" s="71"/>
      <c r="G223" s="71"/>
      <c r="H223" s="71"/>
      <c r="I223" s="72"/>
      <c r="AA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ht="15.75" customHeight="1">
      <c r="A224" s="101"/>
      <c r="B224" s="102"/>
      <c r="C224" s="102"/>
      <c r="D224" s="102"/>
      <c r="E224" s="72"/>
      <c r="F224" s="71"/>
      <c r="G224" s="71"/>
      <c r="H224" s="71"/>
      <c r="I224" s="72"/>
      <c r="AA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ht="15.75" customHeight="1">
      <c r="A225" s="101"/>
      <c r="B225" s="102"/>
      <c r="C225" s="102"/>
      <c r="D225" s="102"/>
      <c r="E225" s="72"/>
      <c r="F225" s="71"/>
      <c r="G225" s="71"/>
      <c r="H225" s="71"/>
      <c r="I225" s="72"/>
      <c r="AA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ht="15.75" customHeight="1">
      <c r="A226" s="101"/>
      <c r="B226" s="102"/>
      <c r="C226" s="102"/>
      <c r="D226" s="102"/>
      <c r="E226" s="72"/>
      <c r="F226" s="71"/>
      <c r="G226" s="71"/>
      <c r="H226" s="71"/>
      <c r="I226" s="72"/>
      <c r="AA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ht="15.75" customHeight="1">
      <c r="A227" s="101"/>
      <c r="B227" s="102"/>
      <c r="C227" s="102"/>
      <c r="D227" s="102"/>
      <c r="E227" s="72"/>
      <c r="F227" s="71"/>
      <c r="G227" s="71"/>
      <c r="H227" s="71"/>
      <c r="I227" s="72"/>
      <c r="AA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ht="15.75" customHeight="1">
      <c r="A228" s="101"/>
      <c r="B228" s="102"/>
      <c r="C228" s="102"/>
      <c r="D228" s="102"/>
      <c r="E228" s="72"/>
      <c r="F228" s="71"/>
      <c r="G228" s="71"/>
      <c r="H228" s="71"/>
      <c r="I228" s="72"/>
      <c r="AA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ht="15.75" customHeight="1">
      <c r="A229" s="101"/>
      <c r="B229" s="102"/>
      <c r="C229" s="102"/>
      <c r="D229" s="102"/>
      <c r="E229" s="72"/>
      <c r="F229" s="71"/>
      <c r="G229" s="71"/>
      <c r="H229" s="71"/>
      <c r="I229" s="72"/>
      <c r="AA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ht="15.75" customHeight="1">
      <c r="A230" s="101"/>
      <c r="B230" s="102"/>
      <c r="C230" s="102"/>
      <c r="D230" s="102"/>
      <c r="E230" s="72"/>
      <c r="F230" s="71"/>
      <c r="G230" s="71"/>
      <c r="H230" s="71"/>
      <c r="I230" s="72"/>
      <c r="AA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ht="15.75" customHeight="1">
      <c r="A231" s="101"/>
      <c r="B231" s="102"/>
      <c r="C231" s="102"/>
      <c r="D231" s="102"/>
      <c r="E231" s="72"/>
      <c r="F231" s="71"/>
      <c r="G231" s="71"/>
      <c r="H231" s="71"/>
      <c r="I231" s="72"/>
      <c r="AA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ht="15.75" customHeight="1">
      <c r="A232" s="101"/>
      <c r="B232" s="102"/>
      <c r="C232" s="102"/>
      <c r="D232" s="102"/>
      <c r="E232" s="72"/>
      <c r="F232" s="71"/>
      <c r="G232" s="71"/>
      <c r="H232" s="71"/>
      <c r="I232" s="72"/>
      <c r="AA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ht="15.75" customHeight="1">
      <c r="A233" s="101"/>
      <c r="B233" s="102"/>
      <c r="C233" s="102"/>
      <c r="D233" s="102"/>
      <c r="E233" s="72"/>
      <c r="F233" s="71"/>
      <c r="G233" s="71"/>
      <c r="H233" s="71"/>
      <c r="I233" s="72"/>
      <c r="AA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ht="15.75" customHeight="1">
      <c r="A234" s="101"/>
      <c r="B234" s="102"/>
      <c r="C234" s="102"/>
      <c r="D234" s="102"/>
      <c r="E234" s="72"/>
      <c r="F234" s="71"/>
      <c r="G234" s="71"/>
      <c r="H234" s="71"/>
      <c r="I234" s="72"/>
      <c r="AA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ht="15.75" customHeight="1">
      <c r="A235" s="101"/>
      <c r="B235" s="102"/>
      <c r="C235" s="102"/>
      <c r="D235" s="102"/>
      <c r="E235" s="72"/>
      <c r="F235" s="71"/>
      <c r="G235" s="71"/>
      <c r="H235" s="71"/>
      <c r="I235" s="72"/>
      <c r="AA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ht="15.75" customHeight="1">
      <c r="A236" s="101"/>
      <c r="B236" s="102"/>
      <c r="C236" s="102"/>
      <c r="D236" s="102"/>
      <c r="E236" s="72"/>
      <c r="F236" s="71"/>
      <c r="G236" s="71"/>
      <c r="H236" s="71"/>
      <c r="I236" s="72"/>
      <c r="AA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ht="15.75" customHeight="1">
      <c r="A237" s="101"/>
      <c r="B237" s="102"/>
      <c r="C237" s="102"/>
      <c r="D237" s="102"/>
      <c r="E237" s="72"/>
      <c r="F237" s="71"/>
      <c r="G237" s="71"/>
      <c r="H237" s="71"/>
      <c r="I237" s="72"/>
      <c r="AA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ht="15.75" customHeight="1">
      <c r="A238" s="101"/>
      <c r="B238" s="102"/>
      <c r="C238" s="102"/>
      <c r="D238" s="102"/>
      <c r="E238" s="72"/>
      <c r="F238" s="71"/>
      <c r="G238" s="71"/>
      <c r="H238" s="71"/>
      <c r="I238" s="72"/>
      <c r="AA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ht="15.75" customHeight="1">
      <c r="A239" s="101"/>
      <c r="B239" s="102"/>
      <c r="C239" s="102"/>
      <c r="D239" s="102"/>
      <c r="E239" s="72"/>
      <c r="F239" s="71"/>
      <c r="G239" s="71"/>
      <c r="H239" s="71"/>
      <c r="I239" s="72"/>
      <c r="AA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ht="15.75" customHeight="1">
      <c r="A240" s="101"/>
      <c r="B240" s="102"/>
      <c r="C240" s="102"/>
      <c r="D240" s="102"/>
      <c r="E240" s="72"/>
      <c r="F240" s="71"/>
      <c r="G240" s="71"/>
      <c r="H240" s="71"/>
      <c r="I240" s="72"/>
      <c r="AA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ht="15.75" customHeight="1">
      <c r="A241" s="101"/>
      <c r="B241" s="102"/>
      <c r="C241" s="102"/>
      <c r="D241" s="102"/>
      <c r="E241" s="72"/>
      <c r="F241" s="71"/>
      <c r="G241" s="71"/>
      <c r="H241" s="71"/>
      <c r="I241" s="72"/>
      <c r="AA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ht="15.75" customHeight="1">
      <c r="A242" s="101"/>
      <c r="B242" s="102"/>
      <c r="C242" s="102"/>
      <c r="D242" s="102"/>
      <c r="E242" s="72"/>
      <c r="F242" s="71"/>
      <c r="G242" s="71"/>
      <c r="H242" s="71"/>
      <c r="I242" s="72"/>
      <c r="AA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ht="15.75" customHeight="1">
      <c r="A243" s="101"/>
      <c r="B243" s="102"/>
      <c r="C243" s="102"/>
      <c r="D243" s="102"/>
      <c r="E243" s="72"/>
      <c r="F243" s="71"/>
      <c r="G243" s="71"/>
      <c r="H243" s="71"/>
      <c r="I243" s="72"/>
      <c r="AA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ht="15.75" customHeight="1">
      <c r="A244" s="101"/>
      <c r="B244" s="102"/>
      <c r="C244" s="102"/>
      <c r="D244" s="102"/>
      <c r="E244" s="72"/>
      <c r="F244" s="71"/>
      <c r="G244" s="71"/>
      <c r="H244" s="71"/>
      <c r="I244" s="72"/>
      <c r="AA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ht="15.75" customHeight="1">
      <c r="A245" s="101"/>
      <c r="B245" s="102"/>
      <c r="C245" s="102"/>
      <c r="D245" s="102"/>
      <c r="E245" s="72"/>
      <c r="F245" s="71"/>
      <c r="G245" s="71"/>
      <c r="H245" s="71"/>
      <c r="I245" s="72"/>
      <c r="AA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ht="15.75" customHeight="1">
      <c r="A246" s="101"/>
      <c r="B246" s="102"/>
      <c r="C246" s="102"/>
      <c r="D246" s="102"/>
      <c r="E246" s="72"/>
      <c r="F246" s="71"/>
      <c r="G246" s="71"/>
      <c r="H246" s="71"/>
      <c r="I246" s="72"/>
      <c r="AA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ht="15.75" customHeight="1">
      <c r="A247" s="101"/>
      <c r="B247" s="102"/>
      <c r="C247" s="102"/>
      <c r="D247" s="102"/>
      <c r="E247" s="72"/>
      <c r="F247" s="71"/>
      <c r="G247" s="71"/>
      <c r="H247" s="71"/>
      <c r="I247" s="72"/>
      <c r="AA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ht="15.75" customHeight="1">
      <c r="A248" s="101"/>
      <c r="B248" s="102"/>
      <c r="C248" s="102"/>
      <c r="D248" s="102"/>
      <c r="E248" s="72"/>
      <c r="F248" s="71"/>
      <c r="G248" s="71"/>
      <c r="H248" s="71"/>
      <c r="I248" s="72"/>
      <c r="AA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ht="15.75" customHeight="1">
      <c r="A249" s="101"/>
      <c r="B249" s="102"/>
      <c r="C249" s="102"/>
      <c r="D249" s="102"/>
      <c r="E249" s="72"/>
      <c r="F249" s="71"/>
      <c r="G249" s="71"/>
      <c r="H249" s="71"/>
      <c r="I249" s="72"/>
      <c r="AA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ht="15.75" customHeight="1">
      <c r="A250" s="101"/>
      <c r="B250" s="102"/>
      <c r="C250" s="102"/>
      <c r="D250" s="102"/>
      <c r="E250" s="72"/>
      <c r="F250" s="71"/>
      <c r="G250" s="71"/>
      <c r="H250" s="71"/>
      <c r="I250" s="72"/>
      <c r="AA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ht="15.75" customHeight="1">
      <c r="A251" s="101"/>
      <c r="B251" s="102"/>
      <c r="C251" s="102"/>
      <c r="D251" s="102"/>
      <c r="E251" s="72"/>
      <c r="F251" s="71"/>
      <c r="G251" s="71"/>
      <c r="H251" s="71"/>
      <c r="I251" s="72"/>
      <c r="AA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ht="15.75" customHeight="1">
      <c r="A252" s="101"/>
      <c r="B252" s="102"/>
      <c r="C252" s="102"/>
      <c r="D252" s="102"/>
      <c r="E252" s="72"/>
      <c r="F252" s="71"/>
      <c r="G252" s="71"/>
      <c r="H252" s="71"/>
      <c r="I252" s="72"/>
      <c r="AA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ht="15.75" customHeight="1">
      <c r="A253" s="101"/>
      <c r="B253" s="102"/>
      <c r="C253" s="102"/>
      <c r="D253" s="102"/>
      <c r="E253" s="72"/>
      <c r="F253" s="71"/>
      <c r="G253" s="71"/>
      <c r="H253" s="71"/>
      <c r="I253" s="72"/>
      <c r="AA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ht="15.75" customHeight="1">
      <c r="A254" s="101"/>
      <c r="B254" s="102"/>
      <c r="C254" s="102"/>
      <c r="D254" s="102"/>
      <c r="E254" s="72"/>
      <c r="F254" s="71"/>
      <c r="G254" s="71"/>
      <c r="H254" s="71"/>
      <c r="I254" s="72"/>
      <c r="AA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ht="15.75" customHeight="1">
      <c r="A255" s="101"/>
      <c r="B255" s="102"/>
      <c r="C255" s="102"/>
      <c r="D255" s="102"/>
      <c r="E255" s="72"/>
      <c r="F255" s="71"/>
      <c r="G255" s="71"/>
      <c r="H255" s="71"/>
      <c r="I255" s="72"/>
      <c r="AA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ht="15.75" customHeight="1">
      <c r="A256" s="101"/>
      <c r="B256" s="102"/>
      <c r="C256" s="102"/>
      <c r="D256" s="102"/>
      <c r="E256" s="72"/>
      <c r="F256" s="71"/>
      <c r="G256" s="71"/>
      <c r="H256" s="71"/>
      <c r="I256" s="72"/>
      <c r="AA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ht="15.75" customHeight="1">
      <c r="A257" s="101"/>
      <c r="B257" s="102"/>
      <c r="C257" s="102"/>
      <c r="D257" s="102"/>
      <c r="E257" s="72"/>
      <c r="F257" s="71"/>
      <c r="G257" s="71"/>
      <c r="H257" s="71"/>
      <c r="I257" s="72"/>
      <c r="AA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ht="15.75" customHeight="1">
      <c r="A258" s="101"/>
      <c r="B258" s="102"/>
      <c r="C258" s="102"/>
      <c r="D258" s="102"/>
      <c r="E258" s="72"/>
      <c r="F258" s="71"/>
      <c r="G258" s="71"/>
      <c r="H258" s="71"/>
      <c r="I258" s="72"/>
      <c r="AA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ht="15.75" customHeight="1">
      <c r="A259" s="101"/>
      <c r="B259" s="102"/>
      <c r="C259" s="102"/>
      <c r="D259" s="102"/>
      <c r="E259" s="72"/>
      <c r="F259" s="71"/>
      <c r="G259" s="71"/>
      <c r="H259" s="71"/>
      <c r="I259" s="72"/>
      <c r="AA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ht="15.75" customHeight="1">
      <c r="A260" s="101"/>
      <c r="B260" s="102"/>
      <c r="C260" s="102"/>
      <c r="D260" s="102"/>
      <c r="E260" s="72"/>
      <c r="F260" s="71"/>
      <c r="G260" s="71"/>
      <c r="H260" s="71"/>
      <c r="I260" s="72"/>
      <c r="AA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ht="15.75" customHeight="1">
      <c r="A261" s="101"/>
      <c r="B261" s="102"/>
      <c r="C261" s="102"/>
      <c r="D261" s="102"/>
      <c r="E261" s="72"/>
      <c r="F261" s="71"/>
      <c r="G261" s="71"/>
      <c r="H261" s="71"/>
      <c r="I261" s="72"/>
      <c r="AA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ht="15.75" customHeight="1">
      <c r="A262" s="101"/>
      <c r="B262" s="102"/>
      <c r="C262" s="102"/>
      <c r="D262" s="102"/>
      <c r="E262" s="72"/>
      <c r="F262" s="71"/>
      <c r="G262" s="71"/>
      <c r="H262" s="71"/>
      <c r="I262" s="72"/>
      <c r="AA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ht="15.75" customHeight="1">
      <c r="A263" s="101"/>
      <c r="B263" s="102"/>
      <c r="C263" s="102"/>
      <c r="D263" s="102"/>
      <c r="E263" s="72"/>
      <c r="F263" s="71"/>
      <c r="G263" s="71"/>
      <c r="H263" s="71"/>
      <c r="I263" s="72"/>
      <c r="AA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ht="15.75" customHeight="1">
      <c r="F264" s="103"/>
      <c r="G264" s="103"/>
      <c r="H264" s="103"/>
    </row>
    <row r="265" ht="15.75" customHeight="1">
      <c r="F265" s="103"/>
      <c r="G265" s="103"/>
      <c r="H265" s="103"/>
    </row>
    <row r="266" ht="15.75" customHeight="1">
      <c r="F266" s="103"/>
      <c r="G266" s="103"/>
      <c r="H266" s="103"/>
    </row>
    <row r="267" ht="15.75" customHeight="1">
      <c r="F267" s="103"/>
      <c r="G267" s="103"/>
      <c r="H267" s="103"/>
    </row>
    <row r="268" ht="15.75" customHeight="1">
      <c r="F268" s="103"/>
      <c r="G268" s="103"/>
      <c r="H268" s="103"/>
    </row>
    <row r="269" ht="15.75" customHeight="1">
      <c r="F269" s="103"/>
      <c r="G269" s="103"/>
      <c r="H269" s="103"/>
    </row>
    <row r="270" ht="15.75" customHeight="1">
      <c r="F270" s="103"/>
      <c r="G270" s="103"/>
      <c r="H270" s="103"/>
    </row>
    <row r="271" ht="15.75" customHeight="1">
      <c r="F271" s="103"/>
      <c r="G271" s="103"/>
      <c r="H271" s="103"/>
    </row>
    <row r="272" ht="15.75" customHeight="1">
      <c r="F272" s="103"/>
      <c r="G272" s="103"/>
      <c r="H272" s="103"/>
    </row>
    <row r="273" ht="15.75" customHeight="1">
      <c r="F273" s="103"/>
      <c r="G273" s="103"/>
      <c r="H273" s="103"/>
    </row>
    <row r="274" ht="15.75" customHeight="1">
      <c r="F274" s="103"/>
      <c r="G274" s="103"/>
      <c r="H274" s="103"/>
    </row>
    <row r="275" ht="15.75" customHeight="1">
      <c r="F275" s="103"/>
      <c r="G275" s="103"/>
      <c r="H275" s="103"/>
    </row>
    <row r="276" ht="15.75" customHeight="1">
      <c r="F276" s="103"/>
      <c r="G276" s="103"/>
      <c r="H276" s="103"/>
    </row>
    <row r="277" ht="15.75" customHeight="1">
      <c r="F277" s="103"/>
      <c r="G277" s="103"/>
      <c r="H277" s="103"/>
    </row>
    <row r="278" ht="15.75" customHeight="1">
      <c r="F278" s="103"/>
      <c r="G278" s="103"/>
      <c r="H278" s="103"/>
    </row>
    <row r="279" ht="15.75" customHeight="1">
      <c r="F279" s="103"/>
      <c r="G279" s="103"/>
      <c r="H279" s="103"/>
    </row>
    <row r="280" ht="15.75" customHeight="1">
      <c r="F280" s="103"/>
      <c r="G280" s="103"/>
      <c r="H280" s="103"/>
    </row>
    <row r="281" ht="15.75" customHeight="1">
      <c r="F281" s="103"/>
      <c r="G281" s="103"/>
      <c r="H281" s="103"/>
    </row>
    <row r="282" ht="15.75" customHeight="1">
      <c r="F282" s="103"/>
      <c r="G282" s="103"/>
      <c r="H282" s="103"/>
    </row>
    <row r="283" ht="15.75" customHeight="1">
      <c r="F283" s="103"/>
      <c r="G283" s="103"/>
      <c r="H283" s="103"/>
    </row>
    <row r="284" ht="15.75" customHeight="1">
      <c r="F284" s="103"/>
      <c r="G284" s="103"/>
      <c r="H284" s="103"/>
    </row>
    <row r="285" ht="15.75" customHeight="1">
      <c r="F285" s="103"/>
      <c r="G285" s="103"/>
      <c r="H285" s="103"/>
    </row>
    <row r="286" ht="15.75" customHeight="1">
      <c r="F286" s="103"/>
      <c r="G286" s="103"/>
      <c r="H286" s="103"/>
    </row>
    <row r="287" ht="15.75" customHeight="1">
      <c r="F287" s="103"/>
      <c r="G287" s="103"/>
      <c r="H287" s="103"/>
    </row>
    <row r="288" ht="15.75" customHeight="1">
      <c r="F288" s="103"/>
      <c r="G288" s="103"/>
      <c r="H288" s="103"/>
    </row>
    <row r="289" ht="15.75" customHeight="1">
      <c r="F289" s="103"/>
      <c r="G289" s="103"/>
      <c r="H289" s="103"/>
    </row>
    <row r="290" ht="15.75" customHeight="1">
      <c r="F290" s="103"/>
      <c r="G290" s="103"/>
      <c r="H290" s="103"/>
    </row>
    <row r="291" ht="15.75" customHeight="1">
      <c r="F291" s="103"/>
      <c r="G291" s="103"/>
      <c r="H291" s="103"/>
    </row>
    <row r="292" ht="15.75" customHeight="1">
      <c r="F292" s="103"/>
      <c r="G292" s="103"/>
      <c r="H292" s="103"/>
    </row>
    <row r="293" ht="15.75" customHeight="1">
      <c r="F293" s="103"/>
      <c r="G293" s="103"/>
      <c r="H293" s="103"/>
    </row>
    <row r="294" ht="15.75" customHeight="1">
      <c r="F294" s="103"/>
      <c r="G294" s="103"/>
      <c r="H294" s="103"/>
    </row>
    <row r="295" ht="15.75" customHeight="1">
      <c r="F295" s="103"/>
      <c r="G295" s="103"/>
      <c r="H295" s="103"/>
    </row>
    <row r="296" ht="15.75" customHeight="1">
      <c r="F296" s="103"/>
      <c r="G296" s="103"/>
      <c r="H296" s="103"/>
    </row>
    <row r="297" ht="15.75" customHeight="1">
      <c r="F297" s="103"/>
      <c r="G297" s="103"/>
      <c r="H297" s="103"/>
    </row>
    <row r="298" ht="15.75" customHeight="1">
      <c r="F298" s="103"/>
      <c r="G298" s="103"/>
      <c r="H298" s="103"/>
    </row>
    <row r="299" ht="15.75" customHeight="1">
      <c r="F299" s="103"/>
      <c r="G299" s="103"/>
      <c r="H299" s="103"/>
    </row>
    <row r="300" ht="15.75" customHeight="1">
      <c r="F300" s="103"/>
      <c r="G300" s="103"/>
      <c r="H300" s="103"/>
    </row>
    <row r="301" ht="15.75" customHeight="1">
      <c r="F301" s="103"/>
      <c r="G301" s="103"/>
      <c r="H301" s="103"/>
    </row>
    <row r="302" ht="15.75" customHeight="1">
      <c r="F302" s="103"/>
      <c r="G302" s="103"/>
      <c r="H302" s="103"/>
    </row>
    <row r="303" ht="15.75" customHeight="1">
      <c r="F303" s="103"/>
      <c r="G303" s="103"/>
      <c r="H303" s="103"/>
    </row>
    <row r="304" ht="15.75" customHeight="1">
      <c r="F304" s="103"/>
      <c r="G304" s="103"/>
      <c r="H304" s="103"/>
    </row>
    <row r="305" ht="15.75" customHeight="1">
      <c r="F305" s="103"/>
      <c r="G305" s="103"/>
      <c r="H305" s="103"/>
    </row>
    <row r="306" ht="15.75" customHeight="1">
      <c r="F306" s="103"/>
      <c r="G306" s="103"/>
      <c r="H306" s="103"/>
    </row>
    <row r="307" ht="15.75" customHeight="1">
      <c r="F307" s="103"/>
      <c r="G307" s="103"/>
      <c r="H307" s="103"/>
    </row>
    <row r="308" ht="15.75" customHeight="1">
      <c r="F308" s="103"/>
      <c r="G308" s="103"/>
      <c r="H308" s="103"/>
    </row>
    <row r="309" ht="15.75" customHeight="1">
      <c r="F309" s="103"/>
      <c r="G309" s="103"/>
      <c r="H309" s="103"/>
    </row>
    <row r="310" ht="15.75" customHeight="1">
      <c r="F310" s="103"/>
      <c r="G310" s="103"/>
      <c r="H310" s="103"/>
    </row>
    <row r="311" ht="15.75" customHeight="1">
      <c r="F311" s="103"/>
      <c r="G311" s="103"/>
      <c r="H311" s="103"/>
    </row>
    <row r="312" ht="15.75" customHeight="1">
      <c r="F312" s="103"/>
      <c r="G312" s="103"/>
      <c r="H312" s="103"/>
    </row>
    <row r="313" ht="15.75" customHeight="1">
      <c r="F313" s="103"/>
      <c r="G313" s="103"/>
      <c r="H313" s="103"/>
    </row>
    <row r="314" ht="15.75" customHeight="1">
      <c r="F314" s="103"/>
      <c r="G314" s="103"/>
      <c r="H314" s="103"/>
    </row>
    <row r="315" ht="15.75" customHeight="1">
      <c r="F315" s="103"/>
      <c r="G315" s="103"/>
      <c r="H315" s="103"/>
    </row>
    <row r="316" ht="15.75" customHeight="1">
      <c r="F316" s="103"/>
      <c r="G316" s="103"/>
      <c r="H316" s="103"/>
    </row>
    <row r="317" ht="15.75" customHeight="1">
      <c r="F317" s="103"/>
      <c r="G317" s="103"/>
      <c r="H317" s="103"/>
    </row>
    <row r="318" ht="15.75" customHeight="1">
      <c r="F318" s="103"/>
      <c r="G318" s="103"/>
      <c r="H318" s="103"/>
    </row>
    <row r="319" ht="15.75" customHeight="1">
      <c r="F319" s="103"/>
      <c r="G319" s="103"/>
      <c r="H319" s="103"/>
    </row>
    <row r="320" ht="15.75" customHeight="1">
      <c r="F320" s="103"/>
      <c r="G320" s="103"/>
      <c r="H320" s="103"/>
    </row>
    <row r="321" ht="15.75" customHeight="1">
      <c r="F321" s="103"/>
      <c r="G321" s="103"/>
      <c r="H321" s="103"/>
    </row>
    <row r="322" ht="15.75" customHeight="1">
      <c r="F322" s="103"/>
      <c r="G322" s="103"/>
      <c r="H322" s="103"/>
    </row>
    <row r="323" ht="15.75" customHeight="1">
      <c r="F323" s="103"/>
      <c r="G323" s="103"/>
      <c r="H323" s="103"/>
    </row>
    <row r="324" ht="15.75" customHeight="1">
      <c r="F324" s="103"/>
      <c r="G324" s="103"/>
      <c r="H324" s="103"/>
    </row>
    <row r="325" ht="15.75" customHeight="1">
      <c r="F325" s="103"/>
      <c r="G325" s="103"/>
      <c r="H325" s="103"/>
    </row>
    <row r="326" ht="15.75" customHeight="1">
      <c r="F326" s="103"/>
      <c r="G326" s="103"/>
      <c r="H326" s="103"/>
    </row>
    <row r="327" ht="15.75" customHeight="1">
      <c r="F327" s="103"/>
      <c r="G327" s="103"/>
      <c r="H327" s="103"/>
    </row>
    <row r="328" ht="15.75" customHeight="1">
      <c r="F328" s="103"/>
      <c r="G328" s="103"/>
      <c r="H328" s="103"/>
    </row>
    <row r="329" ht="15.75" customHeight="1">
      <c r="F329" s="103"/>
      <c r="G329" s="103"/>
      <c r="H329" s="103"/>
    </row>
    <row r="330" ht="15.75" customHeight="1">
      <c r="F330" s="103"/>
      <c r="G330" s="103"/>
      <c r="H330" s="103"/>
    </row>
    <row r="331" ht="15.75" customHeight="1">
      <c r="F331" s="103"/>
      <c r="G331" s="103"/>
      <c r="H331" s="103"/>
    </row>
    <row r="332" ht="15.75" customHeight="1">
      <c r="F332" s="103"/>
      <c r="G332" s="103"/>
      <c r="H332" s="103"/>
    </row>
    <row r="333" ht="15.75" customHeight="1">
      <c r="F333" s="103"/>
      <c r="G333" s="103"/>
      <c r="H333" s="103"/>
    </row>
    <row r="334" ht="15.75" customHeight="1">
      <c r="F334" s="103"/>
      <c r="G334" s="103"/>
      <c r="H334" s="103"/>
    </row>
    <row r="335" ht="15.75" customHeight="1">
      <c r="F335" s="103"/>
      <c r="G335" s="103"/>
      <c r="H335" s="103"/>
    </row>
    <row r="336" ht="15.75" customHeight="1">
      <c r="F336" s="103"/>
      <c r="G336" s="103"/>
      <c r="H336" s="103"/>
    </row>
    <row r="337" ht="15.75" customHeight="1">
      <c r="F337" s="103"/>
      <c r="G337" s="103"/>
      <c r="H337" s="103"/>
    </row>
    <row r="338" ht="15.75" customHeight="1">
      <c r="F338" s="103"/>
      <c r="G338" s="103"/>
      <c r="H338" s="103"/>
    </row>
    <row r="339" ht="15.75" customHeight="1">
      <c r="F339" s="103"/>
      <c r="G339" s="103"/>
      <c r="H339" s="103"/>
    </row>
    <row r="340" ht="15.75" customHeight="1">
      <c r="F340" s="103"/>
      <c r="G340" s="103"/>
      <c r="H340" s="103"/>
    </row>
    <row r="341" ht="15.75" customHeight="1">
      <c r="F341" s="103"/>
      <c r="G341" s="103"/>
      <c r="H341" s="103"/>
    </row>
    <row r="342" ht="15.75" customHeight="1">
      <c r="F342" s="103"/>
      <c r="G342" s="103"/>
      <c r="H342" s="103"/>
    </row>
    <row r="343" ht="15.75" customHeight="1">
      <c r="F343" s="103"/>
      <c r="G343" s="103"/>
      <c r="H343" s="103"/>
    </row>
    <row r="344" ht="15.75" customHeight="1">
      <c r="F344" s="103"/>
      <c r="G344" s="103"/>
      <c r="H344" s="103"/>
    </row>
    <row r="345" ht="15.75" customHeight="1">
      <c r="F345" s="103"/>
      <c r="G345" s="103"/>
      <c r="H345" s="103"/>
    </row>
    <row r="346" ht="15.75" customHeight="1">
      <c r="F346" s="103"/>
      <c r="G346" s="103"/>
      <c r="H346" s="103"/>
    </row>
    <row r="347" ht="15.75" customHeight="1">
      <c r="F347" s="103"/>
      <c r="G347" s="103"/>
      <c r="H347" s="103"/>
    </row>
    <row r="348" ht="15.75" customHeight="1">
      <c r="F348" s="103"/>
      <c r="G348" s="103"/>
      <c r="H348" s="103"/>
    </row>
    <row r="349" ht="15.75" customHeight="1">
      <c r="F349" s="103"/>
      <c r="G349" s="103"/>
      <c r="H349" s="103"/>
    </row>
    <row r="350" ht="15.75" customHeight="1">
      <c r="F350" s="103"/>
      <c r="G350" s="103"/>
      <c r="H350" s="103"/>
    </row>
    <row r="351" ht="15.75" customHeight="1">
      <c r="F351" s="103"/>
      <c r="G351" s="103"/>
      <c r="H351" s="103"/>
    </row>
    <row r="352" ht="15.75" customHeight="1">
      <c r="F352" s="103"/>
      <c r="G352" s="103"/>
      <c r="H352" s="103"/>
    </row>
    <row r="353" ht="15.75" customHeight="1">
      <c r="F353" s="103"/>
      <c r="G353" s="103"/>
      <c r="H353" s="103"/>
    </row>
    <row r="354" ht="15.75" customHeight="1">
      <c r="F354" s="103"/>
      <c r="G354" s="103"/>
      <c r="H354" s="103"/>
    </row>
    <row r="355" ht="15.75" customHeight="1">
      <c r="F355" s="103"/>
      <c r="G355" s="103"/>
      <c r="H355" s="103"/>
    </row>
    <row r="356" ht="15.75" customHeight="1">
      <c r="F356" s="103"/>
      <c r="G356" s="103"/>
      <c r="H356" s="103"/>
    </row>
    <row r="357" ht="15.75" customHeight="1">
      <c r="F357" s="103"/>
      <c r="G357" s="103"/>
      <c r="H357" s="103"/>
    </row>
    <row r="358" ht="15.75" customHeight="1">
      <c r="F358" s="103"/>
      <c r="G358" s="103"/>
      <c r="H358" s="103"/>
    </row>
    <row r="359" ht="15.75" customHeight="1">
      <c r="F359" s="103"/>
      <c r="G359" s="103"/>
      <c r="H359" s="103"/>
    </row>
    <row r="360" ht="15.75" customHeight="1">
      <c r="F360" s="103"/>
      <c r="G360" s="103"/>
      <c r="H360" s="103"/>
    </row>
    <row r="361" ht="15.75" customHeight="1">
      <c r="F361" s="103"/>
      <c r="G361" s="103"/>
      <c r="H361" s="103"/>
    </row>
    <row r="362" ht="15.75" customHeight="1">
      <c r="F362" s="103"/>
      <c r="G362" s="103"/>
      <c r="H362" s="103"/>
    </row>
    <row r="363" ht="15.75" customHeight="1">
      <c r="F363" s="103"/>
      <c r="G363" s="103"/>
      <c r="H363" s="103"/>
    </row>
    <row r="364" ht="15.75" customHeight="1">
      <c r="F364" s="103"/>
      <c r="G364" s="103"/>
      <c r="H364" s="103"/>
    </row>
    <row r="365" ht="15.75" customHeight="1">
      <c r="F365" s="103"/>
      <c r="G365" s="103"/>
      <c r="H365" s="103"/>
    </row>
    <row r="366" ht="15.75" customHeight="1">
      <c r="F366" s="103"/>
      <c r="G366" s="103"/>
      <c r="H366" s="103"/>
    </row>
    <row r="367" ht="15.75" customHeight="1">
      <c r="F367" s="103"/>
      <c r="G367" s="103"/>
      <c r="H367" s="103"/>
    </row>
    <row r="368" ht="15.75" customHeight="1">
      <c r="F368" s="103"/>
      <c r="G368" s="103"/>
      <c r="H368" s="103"/>
    </row>
    <row r="369" ht="15.75" customHeight="1">
      <c r="F369" s="103"/>
      <c r="G369" s="103"/>
      <c r="H369" s="103"/>
    </row>
    <row r="370" ht="15.75" customHeight="1">
      <c r="F370" s="103"/>
      <c r="G370" s="103"/>
      <c r="H370" s="103"/>
    </row>
    <row r="371" ht="15.75" customHeight="1">
      <c r="F371" s="103"/>
      <c r="G371" s="103"/>
      <c r="H371" s="103"/>
    </row>
    <row r="372" ht="15.75" customHeight="1">
      <c r="F372" s="103"/>
      <c r="G372" s="103"/>
      <c r="H372" s="103"/>
    </row>
    <row r="373" ht="15.75" customHeight="1">
      <c r="F373" s="103"/>
      <c r="G373" s="103"/>
      <c r="H373" s="103"/>
    </row>
    <row r="374" ht="15.75" customHeight="1">
      <c r="F374" s="103"/>
      <c r="G374" s="103"/>
      <c r="H374" s="103"/>
    </row>
    <row r="375" ht="15.75" customHeight="1">
      <c r="F375" s="103"/>
      <c r="G375" s="103"/>
      <c r="H375" s="103"/>
    </row>
    <row r="376" ht="15.75" customHeight="1">
      <c r="F376" s="103"/>
      <c r="G376" s="103"/>
      <c r="H376" s="103"/>
    </row>
    <row r="377" ht="15.75" customHeight="1">
      <c r="F377" s="103"/>
      <c r="G377" s="103"/>
      <c r="H377" s="103"/>
    </row>
    <row r="378" ht="15.75" customHeight="1">
      <c r="F378" s="103"/>
      <c r="G378" s="103"/>
      <c r="H378" s="103"/>
    </row>
    <row r="379" ht="15.75" customHeight="1">
      <c r="F379" s="103"/>
      <c r="G379" s="103"/>
      <c r="H379" s="103"/>
    </row>
    <row r="380" ht="15.75" customHeight="1">
      <c r="F380" s="103"/>
      <c r="G380" s="103"/>
      <c r="H380" s="103"/>
    </row>
    <row r="381" ht="15.75" customHeight="1">
      <c r="F381" s="103"/>
      <c r="G381" s="103"/>
      <c r="H381" s="103"/>
    </row>
    <row r="382" ht="15.75" customHeight="1">
      <c r="F382" s="103"/>
      <c r="G382" s="103"/>
      <c r="H382" s="103"/>
    </row>
    <row r="383" ht="15.75" customHeight="1">
      <c r="F383" s="103"/>
      <c r="G383" s="103"/>
      <c r="H383" s="103"/>
    </row>
    <row r="384" ht="15.75" customHeight="1">
      <c r="F384" s="103"/>
      <c r="G384" s="103"/>
      <c r="H384" s="103"/>
    </row>
    <row r="385" ht="15.75" customHeight="1">
      <c r="F385" s="103"/>
      <c r="G385" s="103"/>
      <c r="H385" s="103"/>
    </row>
    <row r="386" ht="15.75" customHeight="1">
      <c r="F386" s="103"/>
      <c r="G386" s="103"/>
      <c r="H386" s="103"/>
    </row>
    <row r="387" ht="15.75" customHeight="1">
      <c r="F387" s="103"/>
      <c r="G387" s="103"/>
      <c r="H387" s="103"/>
    </row>
    <row r="388" ht="15.75" customHeight="1">
      <c r="F388" s="103"/>
      <c r="G388" s="103"/>
      <c r="H388" s="103"/>
    </row>
    <row r="389" ht="15.75" customHeight="1">
      <c r="F389" s="103"/>
      <c r="G389" s="103"/>
      <c r="H389" s="103"/>
    </row>
    <row r="390" ht="15.75" customHeight="1">
      <c r="F390" s="103"/>
      <c r="G390" s="103"/>
      <c r="H390" s="103"/>
    </row>
    <row r="391" ht="15.75" customHeight="1">
      <c r="F391" s="103"/>
      <c r="G391" s="103"/>
      <c r="H391" s="103"/>
    </row>
    <row r="392" ht="15.75" customHeight="1">
      <c r="F392" s="103"/>
      <c r="G392" s="103"/>
      <c r="H392" s="103"/>
    </row>
    <row r="393" ht="15.75" customHeight="1">
      <c r="F393" s="103"/>
      <c r="G393" s="103"/>
      <c r="H393" s="103"/>
    </row>
    <row r="394" ht="15.75" customHeight="1">
      <c r="F394" s="103"/>
      <c r="G394" s="103"/>
      <c r="H394" s="103"/>
    </row>
    <row r="395" ht="15.75" customHeight="1">
      <c r="F395" s="103"/>
      <c r="G395" s="103"/>
      <c r="H395" s="103"/>
    </row>
    <row r="396" ht="15.75" customHeight="1">
      <c r="F396" s="103"/>
      <c r="G396" s="103"/>
      <c r="H396" s="103"/>
    </row>
    <row r="397" ht="15.75" customHeight="1">
      <c r="F397" s="103"/>
      <c r="G397" s="103"/>
      <c r="H397" s="103"/>
    </row>
    <row r="398" ht="15.75" customHeight="1">
      <c r="F398" s="103"/>
      <c r="G398" s="103"/>
      <c r="H398" s="103"/>
    </row>
    <row r="399" ht="15.75" customHeight="1">
      <c r="F399" s="103"/>
      <c r="G399" s="103"/>
      <c r="H399" s="103"/>
    </row>
    <row r="400" ht="15.75" customHeight="1">
      <c r="F400" s="103"/>
      <c r="G400" s="103"/>
      <c r="H400" s="103"/>
    </row>
    <row r="401" ht="15.75" customHeight="1">
      <c r="F401" s="103"/>
      <c r="G401" s="103"/>
      <c r="H401" s="103"/>
    </row>
    <row r="402" ht="15.75" customHeight="1">
      <c r="F402" s="103"/>
      <c r="G402" s="103"/>
      <c r="H402" s="103"/>
    </row>
    <row r="403" ht="15.75" customHeight="1">
      <c r="F403" s="103"/>
      <c r="G403" s="103"/>
      <c r="H403" s="103"/>
    </row>
    <row r="404" ht="15.75" customHeight="1">
      <c r="F404" s="103"/>
      <c r="G404" s="103"/>
      <c r="H404" s="103"/>
    </row>
    <row r="405" ht="15.75" customHeight="1">
      <c r="F405" s="103"/>
      <c r="G405" s="103"/>
      <c r="H405" s="103"/>
    </row>
    <row r="406" ht="15.75" customHeight="1">
      <c r="F406" s="103"/>
      <c r="G406" s="103"/>
      <c r="H406" s="103"/>
    </row>
    <row r="407" ht="15.75" customHeight="1">
      <c r="F407" s="103"/>
      <c r="G407" s="103"/>
      <c r="H407" s="103"/>
    </row>
    <row r="408" ht="15.75" customHeight="1">
      <c r="F408" s="103"/>
      <c r="G408" s="103"/>
      <c r="H408" s="103"/>
    </row>
    <row r="409" ht="15.75" customHeight="1">
      <c r="F409" s="103"/>
      <c r="G409" s="103"/>
      <c r="H409" s="103"/>
    </row>
    <row r="410" ht="15.75" customHeight="1">
      <c r="F410" s="103"/>
      <c r="G410" s="103"/>
      <c r="H410" s="103"/>
    </row>
    <row r="411" ht="15.75" customHeight="1">
      <c r="F411" s="103"/>
      <c r="G411" s="103"/>
      <c r="H411" s="103"/>
    </row>
    <row r="412" ht="15.75" customHeight="1">
      <c r="F412" s="103"/>
      <c r="G412" s="103"/>
      <c r="H412" s="103"/>
    </row>
    <row r="413" ht="15.75" customHeight="1">
      <c r="F413" s="103"/>
      <c r="G413" s="103"/>
      <c r="H413" s="103"/>
    </row>
    <row r="414" ht="15.75" customHeight="1">
      <c r="F414" s="103"/>
      <c r="G414" s="103"/>
      <c r="H414" s="103"/>
    </row>
    <row r="415" ht="15.75" customHeight="1">
      <c r="F415" s="103"/>
      <c r="G415" s="103"/>
      <c r="H415" s="103"/>
    </row>
    <row r="416" ht="15.75" customHeight="1">
      <c r="F416" s="103"/>
      <c r="G416" s="103"/>
      <c r="H416" s="103"/>
    </row>
    <row r="417" ht="15.75" customHeight="1">
      <c r="F417" s="103"/>
      <c r="G417" s="103"/>
      <c r="H417" s="103"/>
    </row>
    <row r="418" ht="15.75" customHeight="1">
      <c r="F418" s="103"/>
      <c r="G418" s="103"/>
      <c r="H418" s="103"/>
    </row>
    <row r="419" ht="15.75" customHeight="1">
      <c r="F419" s="103"/>
      <c r="G419" s="103"/>
      <c r="H419" s="103"/>
    </row>
    <row r="420" ht="15.75" customHeight="1">
      <c r="F420" s="103"/>
      <c r="G420" s="103"/>
      <c r="H420" s="103"/>
    </row>
    <row r="421" ht="15.75" customHeight="1">
      <c r="F421" s="103"/>
      <c r="G421" s="103"/>
      <c r="H421" s="103"/>
    </row>
    <row r="422" ht="15.75" customHeight="1">
      <c r="F422" s="103"/>
      <c r="G422" s="103"/>
      <c r="H422" s="103"/>
    </row>
    <row r="423" ht="15.75" customHeight="1">
      <c r="F423" s="103"/>
      <c r="G423" s="103"/>
      <c r="H423" s="103"/>
    </row>
    <row r="424" ht="15.75" customHeight="1">
      <c r="F424" s="103"/>
      <c r="G424" s="103"/>
      <c r="H424" s="103"/>
    </row>
    <row r="425" ht="15.75" customHeight="1">
      <c r="F425" s="103"/>
      <c r="G425" s="103"/>
      <c r="H425" s="103"/>
    </row>
    <row r="426" ht="15.75" customHeight="1">
      <c r="F426" s="103"/>
      <c r="G426" s="103"/>
      <c r="H426" s="103"/>
    </row>
    <row r="427" ht="15.75" customHeight="1">
      <c r="F427" s="103"/>
      <c r="G427" s="103"/>
      <c r="H427" s="103"/>
    </row>
    <row r="428" ht="15.75" customHeight="1">
      <c r="F428" s="103"/>
      <c r="G428" s="103"/>
      <c r="H428" s="103"/>
    </row>
    <row r="429" ht="15.75" customHeight="1">
      <c r="F429" s="103"/>
      <c r="G429" s="103"/>
      <c r="H429" s="103"/>
    </row>
    <row r="430" ht="15.75" customHeight="1">
      <c r="F430" s="103"/>
      <c r="G430" s="103"/>
      <c r="H430" s="103"/>
    </row>
    <row r="431" ht="15.75" customHeight="1">
      <c r="F431" s="103"/>
      <c r="G431" s="103"/>
      <c r="H431" s="103"/>
    </row>
    <row r="432" ht="15.75" customHeight="1">
      <c r="F432" s="103"/>
      <c r="G432" s="103"/>
      <c r="H432" s="103"/>
    </row>
    <row r="433" ht="15.75" customHeight="1">
      <c r="F433" s="103"/>
      <c r="G433" s="103"/>
      <c r="H433" s="103"/>
    </row>
    <row r="434" ht="15.75" customHeight="1">
      <c r="F434" s="103"/>
      <c r="G434" s="103"/>
      <c r="H434" s="103"/>
    </row>
    <row r="435" ht="15.75" customHeight="1">
      <c r="F435" s="103"/>
      <c r="G435" s="103"/>
      <c r="H435" s="103"/>
    </row>
    <row r="436" ht="15.75" customHeight="1">
      <c r="F436" s="103"/>
      <c r="G436" s="103"/>
      <c r="H436" s="103"/>
    </row>
    <row r="437" ht="15.75" customHeight="1">
      <c r="F437" s="103"/>
      <c r="G437" s="103"/>
      <c r="H437" s="103"/>
    </row>
    <row r="438" ht="15.75" customHeight="1">
      <c r="F438" s="103"/>
      <c r="G438" s="103"/>
      <c r="H438" s="103"/>
    </row>
    <row r="439" ht="15.75" customHeight="1">
      <c r="F439" s="103"/>
      <c r="G439" s="103"/>
      <c r="H439" s="103"/>
    </row>
    <row r="440" ht="15.75" customHeight="1">
      <c r="F440" s="103"/>
      <c r="G440" s="103"/>
      <c r="H440" s="103"/>
    </row>
    <row r="441" ht="15.75" customHeight="1">
      <c r="F441" s="103"/>
      <c r="G441" s="103"/>
      <c r="H441" s="103"/>
    </row>
    <row r="442" ht="15.75" customHeight="1">
      <c r="F442" s="103"/>
      <c r="G442" s="103"/>
      <c r="H442" s="103"/>
    </row>
    <row r="443" ht="15.75" customHeight="1">
      <c r="F443" s="103"/>
      <c r="G443" s="103"/>
      <c r="H443" s="103"/>
    </row>
    <row r="444" ht="15.75" customHeight="1">
      <c r="F444" s="103"/>
      <c r="G444" s="103"/>
      <c r="H444" s="103"/>
    </row>
    <row r="445" ht="15.75" customHeight="1">
      <c r="F445" s="103"/>
      <c r="G445" s="103"/>
      <c r="H445" s="103"/>
    </row>
    <row r="446" ht="15.75" customHeight="1">
      <c r="F446" s="103"/>
      <c r="G446" s="103"/>
      <c r="H446" s="103"/>
    </row>
    <row r="447" ht="15.75" customHeight="1">
      <c r="F447" s="103"/>
      <c r="G447" s="103"/>
      <c r="H447" s="103"/>
    </row>
    <row r="448" ht="15.75" customHeight="1">
      <c r="F448" s="103"/>
      <c r="G448" s="103"/>
      <c r="H448" s="103"/>
    </row>
    <row r="449" ht="15.75" customHeight="1">
      <c r="F449" s="103"/>
      <c r="G449" s="103"/>
      <c r="H449" s="103"/>
    </row>
    <row r="450" ht="15.75" customHeight="1">
      <c r="F450" s="103"/>
      <c r="G450" s="103"/>
      <c r="H450" s="103"/>
    </row>
    <row r="451" ht="15.75" customHeight="1">
      <c r="F451" s="103"/>
      <c r="G451" s="103"/>
      <c r="H451" s="103"/>
    </row>
    <row r="452" ht="15.75" customHeight="1">
      <c r="F452" s="103"/>
      <c r="G452" s="103"/>
      <c r="H452" s="103"/>
    </row>
    <row r="453" ht="15.75" customHeight="1">
      <c r="F453" s="103"/>
      <c r="G453" s="103"/>
      <c r="H453" s="103"/>
    </row>
    <row r="454" ht="15.75" customHeight="1">
      <c r="F454" s="103"/>
      <c r="G454" s="103"/>
      <c r="H454" s="103"/>
    </row>
    <row r="455" ht="15.75" customHeight="1">
      <c r="F455" s="103"/>
      <c r="G455" s="103"/>
      <c r="H455" s="103"/>
    </row>
    <row r="456" ht="15.75" customHeight="1">
      <c r="F456" s="103"/>
      <c r="G456" s="103"/>
      <c r="H456" s="103"/>
    </row>
    <row r="457" ht="15.75" customHeight="1">
      <c r="F457" s="103"/>
      <c r="G457" s="103"/>
      <c r="H457" s="103"/>
    </row>
    <row r="458" ht="15.75" customHeight="1">
      <c r="F458" s="103"/>
      <c r="G458" s="103"/>
      <c r="H458" s="103"/>
    </row>
    <row r="459" ht="15.75" customHeight="1">
      <c r="F459" s="103"/>
      <c r="G459" s="103"/>
      <c r="H459" s="103"/>
    </row>
    <row r="460" ht="15.75" customHeight="1">
      <c r="F460" s="103"/>
      <c r="G460" s="103"/>
      <c r="H460" s="103"/>
    </row>
    <row r="461" ht="15.75" customHeight="1">
      <c r="F461" s="103"/>
      <c r="G461" s="103"/>
      <c r="H461" s="103"/>
    </row>
    <row r="462" ht="15.75" customHeight="1">
      <c r="F462" s="103"/>
      <c r="G462" s="103"/>
      <c r="H462" s="103"/>
    </row>
    <row r="463" ht="15.75" customHeight="1">
      <c r="F463" s="103"/>
      <c r="G463" s="103"/>
      <c r="H463" s="103"/>
    </row>
    <row r="464" ht="15.75" customHeight="1">
      <c r="F464" s="103"/>
      <c r="G464" s="103"/>
      <c r="H464" s="103"/>
    </row>
    <row r="465" ht="15.75" customHeight="1">
      <c r="F465" s="103"/>
      <c r="G465" s="103"/>
      <c r="H465" s="103"/>
    </row>
    <row r="466" ht="15.75" customHeight="1">
      <c r="F466" s="103"/>
      <c r="G466" s="103"/>
      <c r="H466" s="103"/>
    </row>
    <row r="467" ht="15.75" customHeight="1">
      <c r="F467" s="103"/>
      <c r="G467" s="103"/>
      <c r="H467" s="103"/>
    </row>
    <row r="468" ht="15.75" customHeight="1">
      <c r="F468" s="103"/>
      <c r="G468" s="103"/>
      <c r="H468" s="103"/>
    </row>
    <row r="469" ht="15.75" customHeight="1">
      <c r="F469" s="103"/>
      <c r="G469" s="103"/>
      <c r="H469" s="103"/>
    </row>
    <row r="470" ht="15.75" customHeight="1">
      <c r="F470" s="103"/>
      <c r="G470" s="103"/>
      <c r="H470" s="103"/>
    </row>
    <row r="471" ht="15.75" customHeight="1">
      <c r="F471" s="103"/>
      <c r="G471" s="103"/>
      <c r="H471" s="103"/>
    </row>
    <row r="472" ht="15.75" customHeight="1">
      <c r="F472" s="103"/>
      <c r="G472" s="103"/>
      <c r="H472" s="103"/>
    </row>
    <row r="473" ht="15.75" customHeight="1">
      <c r="F473" s="103"/>
      <c r="G473" s="103"/>
      <c r="H473" s="103"/>
    </row>
    <row r="474" ht="15.75" customHeight="1">
      <c r="F474" s="103"/>
      <c r="G474" s="103"/>
      <c r="H474" s="103"/>
    </row>
    <row r="475" ht="15.75" customHeight="1">
      <c r="F475" s="103"/>
      <c r="G475" s="103"/>
      <c r="H475" s="103"/>
    </row>
    <row r="476" ht="15.75" customHeight="1">
      <c r="F476" s="103"/>
      <c r="G476" s="103"/>
      <c r="H476" s="103"/>
    </row>
    <row r="477" ht="15.75" customHeight="1">
      <c r="F477" s="103"/>
      <c r="G477" s="103"/>
      <c r="H477" s="103"/>
    </row>
    <row r="478" ht="15.75" customHeight="1">
      <c r="F478" s="103"/>
      <c r="G478" s="103"/>
      <c r="H478" s="103"/>
    </row>
    <row r="479" ht="15.75" customHeight="1">
      <c r="F479" s="103"/>
      <c r="G479" s="103"/>
      <c r="H479" s="103"/>
    </row>
    <row r="480" ht="15.75" customHeight="1">
      <c r="F480" s="103"/>
      <c r="G480" s="103"/>
      <c r="H480" s="103"/>
    </row>
    <row r="481" ht="15.75" customHeight="1">
      <c r="F481" s="103"/>
      <c r="G481" s="103"/>
      <c r="H481" s="103"/>
    </row>
    <row r="482" ht="15.75" customHeight="1">
      <c r="F482" s="103"/>
      <c r="G482" s="103"/>
      <c r="H482" s="103"/>
    </row>
    <row r="483" ht="15.75" customHeight="1">
      <c r="F483" s="103"/>
      <c r="G483" s="103"/>
      <c r="H483" s="103"/>
    </row>
    <row r="484" ht="15.75" customHeight="1">
      <c r="F484" s="103"/>
      <c r="G484" s="103"/>
      <c r="H484" s="103"/>
    </row>
    <row r="485" ht="15.75" customHeight="1">
      <c r="F485" s="103"/>
      <c r="G485" s="103"/>
      <c r="H485" s="103"/>
    </row>
    <row r="486" ht="15.75" customHeight="1">
      <c r="F486" s="103"/>
      <c r="G486" s="103"/>
      <c r="H486" s="103"/>
    </row>
    <row r="487" ht="15.75" customHeight="1">
      <c r="F487" s="103"/>
      <c r="G487" s="103"/>
      <c r="H487" s="103"/>
    </row>
    <row r="488" ht="15.75" customHeight="1">
      <c r="F488" s="103"/>
      <c r="G488" s="103"/>
      <c r="H488" s="103"/>
    </row>
    <row r="489" ht="15.75" customHeight="1">
      <c r="F489" s="103"/>
      <c r="G489" s="103"/>
      <c r="H489" s="103"/>
    </row>
    <row r="490" ht="15.75" customHeight="1">
      <c r="F490" s="103"/>
      <c r="G490" s="103"/>
      <c r="H490" s="103"/>
    </row>
    <row r="491" ht="15.75" customHeight="1">
      <c r="F491" s="103"/>
      <c r="G491" s="103"/>
      <c r="H491" s="103"/>
    </row>
    <row r="492" ht="15.75" customHeight="1">
      <c r="F492" s="103"/>
      <c r="G492" s="103"/>
      <c r="H492" s="103"/>
    </row>
    <row r="493" ht="15.75" customHeight="1">
      <c r="F493" s="103"/>
      <c r="G493" s="103"/>
      <c r="H493" s="103"/>
    </row>
    <row r="494" ht="15.75" customHeight="1">
      <c r="F494" s="103"/>
      <c r="G494" s="103"/>
      <c r="H494" s="103"/>
    </row>
    <row r="495" ht="15.75" customHeight="1">
      <c r="F495" s="103"/>
      <c r="G495" s="103"/>
      <c r="H495" s="103"/>
    </row>
    <row r="496" ht="15.75" customHeight="1">
      <c r="F496" s="103"/>
      <c r="G496" s="103"/>
      <c r="H496" s="103"/>
    </row>
    <row r="497" ht="15.75" customHeight="1">
      <c r="F497" s="103"/>
      <c r="G497" s="103"/>
      <c r="H497" s="103"/>
    </row>
    <row r="498" ht="15.75" customHeight="1">
      <c r="F498" s="103"/>
      <c r="G498" s="103"/>
      <c r="H498" s="103"/>
    </row>
    <row r="499" ht="15.75" customHeight="1">
      <c r="F499" s="103"/>
      <c r="G499" s="103"/>
      <c r="H499" s="103"/>
    </row>
    <row r="500" ht="15.75" customHeight="1">
      <c r="F500" s="103"/>
      <c r="G500" s="103"/>
      <c r="H500" s="103"/>
    </row>
    <row r="501" ht="15.75" customHeight="1">
      <c r="F501" s="103"/>
      <c r="G501" s="103"/>
      <c r="H501" s="103"/>
    </row>
    <row r="502" ht="15.75" customHeight="1">
      <c r="F502" s="103"/>
      <c r="G502" s="103"/>
      <c r="H502" s="103"/>
    </row>
    <row r="503" ht="15.75" customHeight="1">
      <c r="F503" s="103"/>
      <c r="G503" s="103"/>
      <c r="H503" s="103"/>
    </row>
    <row r="504" ht="15.75" customHeight="1">
      <c r="F504" s="103"/>
      <c r="G504" s="103"/>
      <c r="H504" s="103"/>
    </row>
    <row r="505" ht="15.75" customHeight="1">
      <c r="F505" s="103"/>
      <c r="G505" s="103"/>
      <c r="H505" s="103"/>
    </row>
    <row r="506" ht="15.75" customHeight="1">
      <c r="F506" s="103"/>
      <c r="G506" s="103"/>
      <c r="H506" s="103"/>
    </row>
    <row r="507" ht="15.75" customHeight="1">
      <c r="F507" s="103"/>
      <c r="G507" s="103"/>
      <c r="H507" s="103"/>
    </row>
    <row r="508" ht="15.75" customHeight="1">
      <c r="F508" s="103"/>
      <c r="G508" s="103"/>
      <c r="H508" s="103"/>
    </row>
    <row r="509" ht="15.75" customHeight="1">
      <c r="F509" s="103"/>
      <c r="G509" s="103"/>
      <c r="H509" s="103"/>
    </row>
    <row r="510" ht="15.75" customHeight="1">
      <c r="F510" s="103"/>
      <c r="G510" s="103"/>
      <c r="H510" s="103"/>
    </row>
    <row r="511" ht="15.75" customHeight="1">
      <c r="F511" s="103"/>
      <c r="G511" s="103"/>
      <c r="H511" s="103"/>
    </row>
    <row r="512" ht="15.75" customHeight="1">
      <c r="F512" s="103"/>
      <c r="G512" s="103"/>
      <c r="H512" s="103"/>
    </row>
    <row r="513" ht="15.75" customHeight="1">
      <c r="F513" s="103"/>
      <c r="G513" s="103"/>
      <c r="H513" s="103"/>
    </row>
    <row r="514" ht="15.75" customHeight="1">
      <c r="F514" s="103"/>
      <c r="G514" s="103"/>
      <c r="H514" s="103"/>
    </row>
    <row r="515" ht="15.75" customHeight="1">
      <c r="F515" s="103"/>
      <c r="G515" s="103"/>
      <c r="H515" s="103"/>
    </row>
    <row r="516" ht="15.75" customHeight="1">
      <c r="F516" s="103"/>
      <c r="G516" s="103"/>
      <c r="H516" s="103"/>
    </row>
    <row r="517" ht="15.75" customHeight="1">
      <c r="F517" s="103"/>
      <c r="G517" s="103"/>
      <c r="H517" s="103"/>
    </row>
    <row r="518" ht="15.75" customHeight="1">
      <c r="F518" s="103"/>
      <c r="G518" s="103"/>
      <c r="H518" s="103"/>
    </row>
    <row r="519" ht="15.75" customHeight="1">
      <c r="F519" s="103"/>
      <c r="G519" s="103"/>
      <c r="H519" s="103"/>
    </row>
    <row r="520" ht="15.75" customHeight="1">
      <c r="F520" s="103"/>
      <c r="G520" s="103"/>
      <c r="H520" s="103"/>
    </row>
    <row r="521" ht="15.75" customHeight="1">
      <c r="F521" s="103"/>
      <c r="G521" s="103"/>
      <c r="H521" s="103"/>
    </row>
    <row r="522" ht="15.75" customHeight="1">
      <c r="F522" s="103"/>
      <c r="G522" s="103"/>
      <c r="H522" s="103"/>
    </row>
    <row r="523" ht="15.75" customHeight="1">
      <c r="F523" s="103"/>
      <c r="G523" s="103"/>
      <c r="H523" s="103"/>
    </row>
    <row r="524" ht="15.75" customHeight="1">
      <c r="F524" s="103"/>
      <c r="G524" s="103"/>
      <c r="H524" s="103"/>
    </row>
    <row r="525" ht="15.75" customHeight="1">
      <c r="F525" s="103"/>
      <c r="G525" s="103"/>
      <c r="H525" s="103"/>
    </row>
    <row r="526" ht="15.75" customHeight="1">
      <c r="F526" s="103"/>
      <c r="G526" s="103"/>
      <c r="H526" s="103"/>
    </row>
    <row r="527" ht="15.75" customHeight="1">
      <c r="F527" s="103"/>
      <c r="G527" s="103"/>
      <c r="H527" s="103"/>
    </row>
    <row r="528" ht="15.75" customHeight="1">
      <c r="F528" s="103"/>
      <c r="G528" s="103"/>
      <c r="H528" s="103"/>
    </row>
    <row r="529" ht="15.75" customHeight="1">
      <c r="F529" s="103"/>
      <c r="G529" s="103"/>
      <c r="H529" s="103"/>
    </row>
    <row r="530" ht="15.75" customHeight="1">
      <c r="F530" s="103"/>
      <c r="G530" s="103"/>
      <c r="H530" s="103"/>
    </row>
    <row r="531" ht="15.75" customHeight="1">
      <c r="F531" s="103"/>
      <c r="G531" s="103"/>
      <c r="H531" s="103"/>
    </row>
    <row r="532" ht="15.75" customHeight="1">
      <c r="F532" s="103"/>
      <c r="G532" s="103"/>
      <c r="H532" s="103"/>
    </row>
    <row r="533" ht="15.75" customHeight="1">
      <c r="F533" s="103"/>
      <c r="G533" s="103"/>
      <c r="H533" s="103"/>
    </row>
    <row r="534" ht="15.75" customHeight="1">
      <c r="F534" s="103"/>
      <c r="G534" s="103"/>
      <c r="H534" s="103"/>
    </row>
    <row r="535" ht="15.75" customHeight="1">
      <c r="F535" s="103"/>
      <c r="G535" s="103"/>
      <c r="H535" s="103"/>
    </row>
    <row r="536" ht="15.75" customHeight="1">
      <c r="F536" s="103"/>
      <c r="G536" s="103"/>
      <c r="H536" s="103"/>
    </row>
    <row r="537" ht="15.75" customHeight="1">
      <c r="F537" s="103"/>
      <c r="G537" s="103"/>
      <c r="H537" s="103"/>
    </row>
    <row r="538" ht="15.75" customHeight="1">
      <c r="F538" s="103"/>
      <c r="G538" s="103"/>
      <c r="H538" s="103"/>
    </row>
    <row r="539" ht="15.75" customHeight="1">
      <c r="F539" s="103"/>
      <c r="G539" s="103"/>
      <c r="H539" s="103"/>
    </row>
    <row r="540" ht="15.75" customHeight="1">
      <c r="F540" s="103"/>
      <c r="G540" s="103"/>
      <c r="H540" s="103"/>
    </row>
    <row r="541" ht="15.75" customHeight="1">
      <c r="F541" s="103"/>
      <c r="G541" s="103"/>
      <c r="H541" s="103"/>
    </row>
    <row r="542" ht="15.75" customHeight="1">
      <c r="F542" s="103"/>
      <c r="G542" s="103"/>
      <c r="H542" s="103"/>
    </row>
    <row r="543" ht="15.75" customHeight="1">
      <c r="F543" s="103"/>
      <c r="G543" s="103"/>
      <c r="H543" s="103"/>
    </row>
    <row r="544" ht="15.75" customHeight="1">
      <c r="F544" s="103"/>
      <c r="G544" s="103"/>
      <c r="H544" s="103"/>
    </row>
    <row r="545" ht="15.75" customHeight="1">
      <c r="F545" s="103"/>
      <c r="G545" s="103"/>
      <c r="H545" s="103"/>
    </row>
    <row r="546" ht="15.75" customHeight="1">
      <c r="F546" s="103"/>
      <c r="G546" s="103"/>
      <c r="H546" s="103"/>
    </row>
    <row r="547" ht="15.75" customHeight="1">
      <c r="F547" s="103"/>
      <c r="G547" s="103"/>
      <c r="H547" s="103"/>
    </row>
    <row r="548" ht="15.75" customHeight="1">
      <c r="F548" s="103"/>
      <c r="G548" s="103"/>
      <c r="H548" s="103"/>
    </row>
    <row r="549" ht="15.75" customHeight="1">
      <c r="F549" s="103"/>
      <c r="G549" s="103"/>
      <c r="H549" s="103"/>
    </row>
    <row r="550" ht="15.75" customHeight="1">
      <c r="F550" s="103"/>
      <c r="G550" s="103"/>
      <c r="H550" s="103"/>
    </row>
    <row r="551" ht="15.75" customHeight="1">
      <c r="F551" s="103"/>
      <c r="G551" s="103"/>
      <c r="H551" s="103"/>
    </row>
    <row r="552" ht="15.75" customHeight="1">
      <c r="F552" s="103"/>
      <c r="G552" s="103"/>
      <c r="H552" s="103"/>
    </row>
    <row r="553" ht="15.75" customHeight="1">
      <c r="F553" s="103"/>
      <c r="G553" s="103"/>
      <c r="H553" s="103"/>
    </row>
    <row r="554" ht="15.75" customHeight="1">
      <c r="F554" s="103"/>
      <c r="G554" s="103"/>
      <c r="H554" s="103"/>
    </row>
    <row r="555" ht="15.75" customHeight="1">
      <c r="F555" s="103"/>
      <c r="G555" s="103"/>
      <c r="H555" s="103"/>
    </row>
    <row r="556" ht="15.75" customHeight="1">
      <c r="F556" s="103"/>
      <c r="G556" s="103"/>
      <c r="H556" s="103"/>
    </row>
    <row r="557" ht="15.75" customHeight="1">
      <c r="F557" s="103"/>
      <c r="G557" s="103"/>
      <c r="H557" s="103"/>
    </row>
    <row r="558" ht="15.75" customHeight="1">
      <c r="F558" s="103"/>
      <c r="G558" s="103"/>
      <c r="H558" s="103"/>
    </row>
    <row r="559" ht="15.75" customHeight="1">
      <c r="F559" s="103"/>
      <c r="G559" s="103"/>
      <c r="H559" s="103"/>
    </row>
    <row r="560" ht="15.75" customHeight="1">
      <c r="F560" s="103"/>
      <c r="G560" s="103"/>
      <c r="H560" s="103"/>
    </row>
    <row r="561" ht="15.75" customHeight="1">
      <c r="F561" s="103"/>
      <c r="G561" s="103"/>
      <c r="H561" s="103"/>
    </row>
    <row r="562" ht="15.75" customHeight="1">
      <c r="F562" s="103"/>
      <c r="G562" s="103"/>
      <c r="H562" s="103"/>
    </row>
    <row r="563" ht="15.75" customHeight="1">
      <c r="F563" s="103"/>
      <c r="G563" s="103"/>
      <c r="H563" s="103"/>
    </row>
    <row r="564" ht="15.75" customHeight="1">
      <c r="F564" s="103"/>
      <c r="G564" s="103"/>
      <c r="H564" s="103"/>
    </row>
    <row r="565" ht="15.75" customHeight="1">
      <c r="F565" s="103"/>
      <c r="G565" s="103"/>
      <c r="H565" s="103"/>
    </row>
    <row r="566" ht="15.75" customHeight="1">
      <c r="F566" s="103"/>
      <c r="G566" s="103"/>
      <c r="H566" s="103"/>
    </row>
    <row r="567" ht="15.75" customHeight="1">
      <c r="F567" s="103"/>
      <c r="G567" s="103"/>
      <c r="H567" s="103"/>
    </row>
    <row r="568" ht="15.75" customHeight="1">
      <c r="F568" s="103"/>
      <c r="G568" s="103"/>
      <c r="H568" s="103"/>
    </row>
    <row r="569" ht="15.75" customHeight="1">
      <c r="F569" s="103"/>
      <c r="G569" s="103"/>
      <c r="H569" s="103"/>
    </row>
    <row r="570" ht="15.75" customHeight="1">
      <c r="F570" s="103"/>
      <c r="G570" s="103"/>
      <c r="H570" s="103"/>
    </row>
    <row r="571" ht="15.75" customHeight="1">
      <c r="F571" s="103"/>
      <c r="G571" s="103"/>
      <c r="H571" s="103"/>
    </row>
    <row r="572" ht="15.75" customHeight="1">
      <c r="F572" s="103"/>
      <c r="G572" s="103"/>
      <c r="H572" s="103"/>
    </row>
    <row r="573" ht="15.75" customHeight="1">
      <c r="F573" s="103"/>
      <c r="G573" s="103"/>
      <c r="H573" s="103"/>
    </row>
    <row r="574" ht="15.75" customHeight="1">
      <c r="F574" s="103"/>
      <c r="G574" s="103"/>
      <c r="H574" s="103"/>
    </row>
    <row r="575" ht="15.75" customHeight="1">
      <c r="F575" s="103"/>
      <c r="G575" s="103"/>
      <c r="H575" s="103"/>
    </row>
    <row r="576" ht="15.75" customHeight="1">
      <c r="F576" s="103"/>
      <c r="G576" s="103"/>
      <c r="H576" s="103"/>
    </row>
    <row r="577" ht="15.75" customHeight="1">
      <c r="F577" s="103"/>
      <c r="G577" s="103"/>
      <c r="H577" s="103"/>
    </row>
    <row r="578" ht="15.75" customHeight="1">
      <c r="F578" s="103"/>
      <c r="G578" s="103"/>
      <c r="H578" s="103"/>
    </row>
    <row r="579" ht="15.75" customHeight="1">
      <c r="F579" s="103"/>
      <c r="G579" s="103"/>
      <c r="H579" s="103"/>
    </row>
    <row r="580" ht="15.75" customHeight="1">
      <c r="F580" s="103"/>
      <c r="G580" s="103"/>
      <c r="H580" s="103"/>
    </row>
    <row r="581" ht="15.75" customHeight="1">
      <c r="F581" s="103"/>
      <c r="G581" s="103"/>
      <c r="H581" s="103"/>
    </row>
    <row r="582" ht="15.75" customHeight="1">
      <c r="F582" s="103"/>
      <c r="G582" s="103"/>
      <c r="H582" s="103"/>
    </row>
    <row r="583" ht="15.75" customHeight="1">
      <c r="F583" s="103"/>
      <c r="G583" s="103"/>
      <c r="H583" s="103"/>
    </row>
    <row r="584" ht="15.75" customHeight="1">
      <c r="F584" s="103"/>
      <c r="G584" s="103"/>
      <c r="H584" s="103"/>
    </row>
    <row r="585" ht="15.75" customHeight="1">
      <c r="F585" s="103"/>
      <c r="G585" s="103"/>
      <c r="H585" s="103"/>
    </row>
    <row r="586" ht="15.75" customHeight="1">
      <c r="F586" s="103"/>
      <c r="G586" s="103"/>
      <c r="H586" s="103"/>
    </row>
    <row r="587" ht="15.75" customHeight="1">
      <c r="F587" s="103"/>
      <c r="G587" s="103"/>
      <c r="H587" s="103"/>
    </row>
    <row r="588" ht="15.75" customHeight="1">
      <c r="F588" s="103"/>
      <c r="G588" s="103"/>
      <c r="H588" s="103"/>
    </row>
    <row r="589" ht="15.75" customHeight="1">
      <c r="F589" s="103"/>
      <c r="G589" s="103"/>
      <c r="H589" s="103"/>
    </row>
    <row r="590" ht="15.75" customHeight="1">
      <c r="F590" s="103"/>
      <c r="G590" s="103"/>
      <c r="H590" s="103"/>
    </row>
    <row r="591" ht="15.75" customHeight="1">
      <c r="F591" s="103"/>
      <c r="G591" s="103"/>
      <c r="H591" s="103"/>
    </row>
    <row r="592" ht="15.75" customHeight="1">
      <c r="F592" s="103"/>
      <c r="G592" s="103"/>
      <c r="H592" s="103"/>
    </row>
    <row r="593" ht="15.75" customHeight="1">
      <c r="F593" s="103"/>
      <c r="G593" s="103"/>
      <c r="H593" s="103"/>
    </row>
    <row r="594" ht="15.75" customHeight="1">
      <c r="F594" s="103"/>
      <c r="G594" s="103"/>
      <c r="H594" s="103"/>
    </row>
    <row r="595" ht="15.75" customHeight="1">
      <c r="F595" s="103"/>
      <c r="G595" s="103"/>
      <c r="H595" s="103"/>
    </row>
    <row r="596" ht="15.75" customHeight="1">
      <c r="F596" s="103"/>
      <c r="G596" s="103"/>
      <c r="H596" s="103"/>
    </row>
    <row r="597" ht="15.75" customHeight="1">
      <c r="F597" s="103"/>
      <c r="G597" s="103"/>
      <c r="H597" s="103"/>
    </row>
    <row r="598" ht="15.75" customHeight="1">
      <c r="F598" s="103"/>
      <c r="G598" s="103"/>
      <c r="H598" s="103"/>
    </row>
    <row r="599" ht="15.75" customHeight="1">
      <c r="F599" s="103"/>
      <c r="G599" s="103"/>
      <c r="H599" s="103"/>
    </row>
    <row r="600" ht="15.75" customHeight="1">
      <c r="F600" s="103"/>
      <c r="G600" s="103"/>
      <c r="H600" s="103"/>
    </row>
    <row r="601" ht="15.75" customHeight="1">
      <c r="F601" s="103"/>
      <c r="G601" s="103"/>
      <c r="H601" s="103"/>
    </row>
    <row r="602" ht="15.75" customHeight="1">
      <c r="F602" s="103"/>
      <c r="G602" s="103"/>
      <c r="H602" s="103"/>
    </row>
    <row r="603" ht="15.75" customHeight="1">
      <c r="F603" s="103"/>
      <c r="G603" s="103"/>
      <c r="H603" s="103"/>
    </row>
    <row r="604" ht="15.75" customHeight="1">
      <c r="F604" s="103"/>
      <c r="G604" s="103"/>
      <c r="H604" s="103"/>
    </row>
    <row r="605" ht="15.75" customHeight="1">
      <c r="F605" s="103"/>
      <c r="G605" s="103"/>
      <c r="H605" s="103"/>
    </row>
    <row r="606" ht="15.75" customHeight="1">
      <c r="F606" s="103"/>
      <c r="G606" s="103"/>
      <c r="H606" s="103"/>
    </row>
    <row r="607" ht="15.75" customHeight="1">
      <c r="F607" s="103"/>
      <c r="G607" s="103"/>
      <c r="H607" s="103"/>
    </row>
    <row r="608" ht="15.75" customHeight="1">
      <c r="F608" s="103"/>
      <c r="G608" s="103"/>
      <c r="H608" s="103"/>
    </row>
    <row r="609" ht="15.75" customHeight="1">
      <c r="F609" s="103"/>
      <c r="G609" s="103"/>
      <c r="H609" s="103"/>
    </row>
    <row r="610" ht="15.75" customHeight="1">
      <c r="F610" s="103"/>
      <c r="G610" s="103"/>
      <c r="H610" s="103"/>
    </row>
    <row r="611" ht="15.75" customHeight="1">
      <c r="F611" s="103"/>
      <c r="G611" s="103"/>
      <c r="H611" s="103"/>
    </row>
    <row r="612" ht="15.75" customHeight="1">
      <c r="F612" s="103"/>
      <c r="G612" s="103"/>
      <c r="H612" s="103"/>
    </row>
    <row r="613" ht="15.75" customHeight="1">
      <c r="F613" s="103"/>
      <c r="G613" s="103"/>
      <c r="H613" s="103"/>
    </row>
    <row r="614" ht="15.75" customHeight="1">
      <c r="F614" s="103"/>
      <c r="G614" s="103"/>
      <c r="H614" s="103"/>
    </row>
    <row r="615" ht="15.75" customHeight="1">
      <c r="F615" s="103"/>
      <c r="G615" s="103"/>
      <c r="H615" s="103"/>
    </row>
    <row r="616" ht="15.75" customHeight="1">
      <c r="F616" s="103"/>
      <c r="G616" s="103"/>
      <c r="H616" s="103"/>
    </row>
    <row r="617" ht="15.75" customHeight="1">
      <c r="F617" s="103"/>
      <c r="G617" s="103"/>
      <c r="H617" s="103"/>
    </row>
    <row r="618" ht="15.75" customHeight="1">
      <c r="F618" s="103"/>
      <c r="G618" s="103"/>
      <c r="H618" s="103"/>
    </row>
    <row r="619" ht="15.75" customHeight="1">
      <c r="F619" s="103"/>
      <c r="G619" s="103"/>
      <c r="H619" s="103"/>
    </row>
    <row r="620" ht="15.75" customHeight="1">
      <c r="F620" s="103"/>
      <c r="G620" s="103"/>
      <c r="H620" s="103"/>
    </row>
    <row r="621" ht="15.75" customHeight="1">
      <c r="F621" s="103"/>
      <c r="G621" s="103"/>
      <c r="H621" s="103"/>
    </row>
    <row r="622" ht="15.75" customHeight="1">
      <c r="F622" s="103"/>
      <c r="G622" s="103"/>
      <c r="H622" s="103"/>
    </row>
    <row r="623" ht="15.75" customHeight="1">
      <c r="F623" s="103"/>
      <c r="G623" s="103"/>
      <c r="H623" s="103"/>
    </row>
    <row r="624" ht="15.75" customHeight="1">
      <c r="F624" s="103"/>
      <c r="G624" s="103"/>
      <c r="H624" s="103"/>
    </row>
    <row r="625" ht="15.75" customHeight="1">
      <c r="F625" s="103"/>
      <c r="G625" s="103"/>
      <c r="H625" s="103"/>
    </row>
    <row r="626" ht="15.75" customHeight="1">
      <c r="F626" s="103"/>
      <c r="G626" s="103"/>
      <c r="H626" s="103"/>
    </row>
    <row r="627" ht="15.75" customHeight="1">
      <c r="F627" s="103"/>
      <c r="G627" s="103"/>
      <c r="H627" s="103"/>
    </row>
    <row r="628" ht="15.75" customHeight="1">
      <c r="F628" s="103"/>
      <c r="G628" s="103"/>
      <c r="H628" s="103"/>
    </row>
    <row r="629" ht="15.75" customHeight="1">
      <c r="F629" s="103"/>
      <c r="G629" s="103"/>
      <c r="H629" s="103"/>
    </row>
    <row r="630" ht="15.75" customHeight="1">
      <c r="F630" s="103"/>
      <c r="G630" s="103"/>
      <c r="H630" s="103"/>
    </row>
    <row r="631" ht="15.75" customHeight="1">
      <c r="F631" s="103"/>
      <c r="G631" s="103"/>
      <c r="H631" s="103"/>
    </row>
    <row r="632" ht="15.75" customHeight="1">
      <c r="F632" s="103"/>
      <c r="G632" s="103"/>
      <c r="H632" s="103"/>
    </row>
    <row r="633" ht="15.75" customHeight="1">
      <c r="F633" s="103"/>
      <c r="G633" s="103"/>
      <c r="H633" s="103"/>
    </row>
    <row r="634" ht="15.75" customHeight="1">
      <c r="F634" s="103"/>
      <c r="G634" s="103"/>
      <c r="H634" s="103"/>
    </row>
    <row r="635" ht="15.75" customHeight="1">
      <c r="F635" s="103"/>
      <c r="G635" s="103"/>
      <c r="H635" s="103"/>
    </row>
    <row r="636" ht="15.75" customHeight="1">
      <c r="F636" s="103"/>
      <c r="G636" s="103"/>
      <c r="H636" s="103"/>
    </row>
    <row r="637" ht="15.75" customHeight="1">
      <c r="F637" s="103"/>
      <c r="G637" s="103"/>
      <c r="H637" s="103"/>
    </row>
    <row r="638" ht="15.75" customHeight="1">
      <c r="F638" s="103"/>
      <c r="G638" s="103"/>
      <c r="H638" s="103"/>
    </row>
    <row r="639" ht="15.75" customHeight="1">
      <c r="F639" s="103"/>
      <c r="G639" s="103"/>
      <c r="H639" s="103"/>
    </row>
    <row r="640" ht="15.75" customHeight="1">
      <c r="F640" s="103"/>
      <c r="G640" s="103"/>
      <c r="H640" s="103"/>
    </row>
    <row r="641" ht="15.75" customHeight="1">
      <c r="F641" s="103"/>
      <c r="G641" s="103"/>
      <c r="H641" s="103"/>
    </row>
    <row r="642" ht="15.75" customHeight="1">
      <c r="F642" s="103"/>
      <c r="G642" s="103"/>
      <c r="H642" s="103"/>
    </row>
    <row r="643" ht="15.75" customHeight="1">
      <c r="F643" s="103"/>
      <c r="G643" s="103"/>
      <c r="H643" s="103"/>
    </row>
    <row r="644" ht="15.75" customHeight="1">
      <c r="F644" s="103"/>
      <c r="G644" s="103"/>
      <c r="H644" s="103"/>
    </row>
    <row r="645" ht="15.75" customHeight="1">
      <c r="F645" s="103"/>
      <c r="G645" s="103"/>
      <c r="H645" s="103"/>
    </row>
    <row r="646" ht="15.75" customHeight="1">
      <c r="F646" s="103"/>
      <c r="G646" s="103"/>
      <c r="H646" s="103"/>
    </row>
    <row r="647" ht="15.75" customHeight="1">
      <c r="F647" s="103"/>
      <c r="G647" s="103"/>
      <c r="H647" s="103"/>
    </row>
    <row r="648" ht="15.75" customHeight="1">
      <c r="F648" s="103"/>
      <c r="G648" s="103"/>
      <c r="H648" s="103"/>
    </row>
    <row r="649" ht="15.75" customHeight="1">
      <c r="F649" s="103"/>
      <c r="G649" s="103"/>
      <c r="H649" s="103"/>
    </row>
    <row r="650" ht="15.75" customHeight="1">
      <c r="F650" s="103"/>
      <c r="G650" s="103"/>
      <c r="H650" s="103"/>
    </row>
    <row r="651" ht="15.75" customHeight="1">
      <c r="F651" s="103"/>
      <c r="G651" s="103"/>
      <c r="H651" s="103"/>
    </row>
    <row r="652" ht="15.75" customHeight="1">
      <c r="F652" s="103"/>
      <c r="G652" s="103"/>
      <c r="H652" s="103"/>
    </row>
    <row r="653" ht="15.75" customHeight="1">
      <c r="F653" s="103"/>
      <c r="G653" s="103"/>
      <c r="H653" s="103"/>
    </row>
    <row r="654" ht="15.75" customHeight="1">
      <c r="F654" s="103"/>
      <c r="G654" s="103"/>
      <c r="H654" s="103"/>
    </row>
    <row r="655" ht="15.75" customHeight="1">
      <c r="F655" s="103"/>
      <c r="G655" s="103"/>
      <c r="H655" s="103"/>
    </row>
    <row r="656" ht="15.75" customHeight="1">
      <c r="F656" s="103"/>
      <c r="G656" s="103"/>
      <c r="H656" s="103"/>
    </row>
    <row r="657" ht="15.75" customHeight="1">
      <c r="F657" s="103"/>
      <c r="G657" s="103"/>
      <c r="H657" s="103"/>
    </row>
    <row r="658" ht="15.75" customHeight="1">
      <c r="F658" s="103"/>
      <c r="G658" s="103"/>
      <c r="H658" s="103"/>
    </row>
    <row r="659" ht="15.75" customHeight="1">
      <c r="F659" s="103"/>
      <c r="G659" s="103"/>
      <c r="H659" s="103"/>
    </row>
    <row r="660" ht="15.75" customHeight="1">
      <c r="F660" s="103"/>
      <c r="G660" s="103"/>
      <c r="H660" s="103"/>
    </row>
    <row r="661" ht="15.75" customHeight="1">
      <c r="F661" s="103"/>
      <c r="G661" s="103"/>
      <c r="H661" s="103"/>
    </row>
    <row r="662" ht="15.75" customHeight="1">
      <c r="F662" s="103"/>
      <c r="G662" s="103"/>
      <c r="H662" s="103"/>
    </row>
    <row r="663" ht="15.75" customHeight="1">
      <c r="F663" s="103"/>
      <c r="G663" s="103"/>
      <c r="H663" s="103"/>
    </row>
    <row r="664" ht="15.75" customHeight="1">
      <c r="F664" s="103"/>
      <c r="G664" s="103"/>
      <c r="H664" s="103"/>
    </row>
    <row r="665" ht="15.75" customHeight="1">
      <c r="F665" s="103"/>
      <c r="G665" s="103"/>
      <c r="H665" s="103"/>
    </row>
    <row r="666" ht="15.75" customHeight="1">
      <c r="F666" s="103"/>
      <c r="G666" s="103"/>
      <c r="H666" s="103"/>
    </row>
    <row r="667" ht="15.75" customHeight="1">
      <c r="F667" s="103"/>
      <c r="G667" s="103"/>
      <c r="H667" s="103"/>
    </row>
    <row r="668" ht="15.75" customHeight="1">
      <c r="F668" s="103"/>
      <c r="G668" s="103"/>
      <c r="H668" s="103"/>
    </row>
    <row r="669" ht="15.75" customHeight="1">
      <c r="F669" s="103"/>
      <c r="G669" s="103"/>
      <c r="H669" s="103"/>
    </row>
    <row r="670" ht="15.75" customHeight="1">
      <c r="F670" s="103"/>
      <c r="G670" s="103"/>
      <c r="H670" s="103"/>
    </row>
    <row r="671" ht="15.75" customHeight="1">
      <c r="F671" s="103"/>
      <c r="G671" s="103"/>
      <c r="H671" s="103"/>
    </row>
    <row r="672" ht="15.75" customHeight="1">
      <c r="F672" s="103"/>
      <c r="G672" s="103"/>
      <c r="H672" s="103"/>
    </row>
    <row r="673" ht="15.75" customHeight="1">
      <c r="F673" s="103"/>
      <c r="G673" s="103"/>
      <c r="H673" s="103"/>
    </row>
    <row r="674" ht="15.75" customHeight="1">
      <c r="F674" s="103"/>
      <c r="G674" s="103"/>
      <c r="H674" s="103"/>
    </row>
    <row r="675" ht="15.75" customHeight="1">
      <c r="F675" s="103"/>
      <c r="G675" s="103"/>
      <c r="H675" s="103"/>
    </row>
    <row r="676" ht="15.75" customHeight="1">
      <c r="F676" s="103"/>
      <c r="G676" s="103"/>
      <c r="H676" s="103"/>
    </row>
    <row r="677" ht="15.75" customHeight="1">
      <c r="F677" s="103"/>
      <c r="G677" s="103"/>
      <c r="H677" s="103"/>
    </row>
    <row r="678" ht="15.75" customHeight="1">
      <c r="F678" s="103"/>
      <c r="G678" s="103"/>
      <c r="H678" s="103"/>
    </row>
    <row r="679" ht="15.75" customHeight="1">
      <c r="F679" s="103"/>
      <c r="G679" s="103"/>
      <c r="H679" s="103"/>
    </row>
    <row r="680" ht="15.75" customHeight="1">
      <c r="F680" s="103"/>
      <c r="G680" s="103"/>
      <c r="H680" s="103"/>
    </row>
    <row r="681" ht="15.75" customHeight="1">
      <c r="F681" s="103"/>
      <c r="G681" s="103"/>
      <c r="H681" s="103"/>
    </row>
    <row r="682" ht="15.75" customHeight="1">
      <c r="F682" s="103"/>
      <c r="G682" s="103"/>
      <c r="H682" s="103"/>
    </row>
    <row r="683" ht="15.75" customHeight="1">
      <c r="F683" s="103"/>
      <c r="G683" s="103"/>
      <c r="H683" s="103"/>
    </row>
    <row r="684" ht="15.75" customHeight="1">
      <c r="F684" s="103"/>
      <c r="G684" s="103"/>
      <c r="H684" s="103"/>
    </row>
    <row r="685" ht="15.75" customHeight="1">
      <c r="F685" s="103"/>
      <c r="G685" s="103"/>
      <c r="H685" s="103"/>
    </row>
    <row r="686" ht="15.75" customHeight="1">
      <c r="F686" s="103"/>
      <c r="G686" s="103"/>
      <c r="H686" s="103"/>
    </row>
    <row r="687" ht="15.75" customHeight="1">
      <c r="F687" s="103"/>
      <c r="G687" s="103"/>
      <c r="H687" s="103"/>
    </row>
    <row r="688" ht="15.75" customHeight="1">
      <c r="F688" s="103"/>
      <c r="G688" s="103"/>
      <c r="H688" s="103"/>
    </row>
    <row r="689" ht="15.75" customHeight="1">
      <c r="F689" s="103"/>
      <c r="G689" s="103"/>
      <c r="H689" s="103"/>
    </row>
    <row r="690" ht="15.75" customHeight="1">
      <c r="F690" s="103"/>
      <c r="G690" s="103"/>
      <c r="H690" s="103"/>
    </row>
    <row r="691" ht="15.75" customHeight="1">
      <c r="F691" s="103"/>
      <c r="G691" s="103"/>
      <c r="H691" s="103"/>
    </row>
    <row r="692" ht="15.75" customHeight="1">
      <c r="F692" s="103"/>
      <c r="G692" s="103"/>
      <c r="H692" s="103"/>
    </row>
    <row r="693" ht="15.75" customHeight="1">
      <c r="F693" s="103"/>
      <c r="G693" s="103"/>
      <c r="H693" s="103"/>
    </row>
    <row r="694" ht="15.75" customHeight="1">
      <c r="F694" s="103"/>
      <c r="G694" s="103"/>
      <c r="H694" s="103"/>
    </row>
    <row r="695" ht="15.75" customHeight="1">
      <c r="F695" s="103"/>
      <c r="G695" s="103"/>
      <c r="H695" s="103"/>
    </row>
    <row r="696" ht="15.75" customHeight="1">
      <c r="F696" s="103"/>
      <c r="G696" s="103"/>
      <c r="H696" s="103"/>
    </row>
    <row r="697" ht="15.75" customHeight="1">
      <c r="F697" s="103"/>
      <c r="G697" s="103"/>
      <c r="H697" s="103"/>
    </row>
    <row r="698" ht="15.75" customHeight="1">
      <c r="F698" s="103"/>
      <c r="G698" s="103"/>
      <c r="H698" s="103"/>
    </row>
    <row r="699" ht="15.75" customHeight="1">
      <c r="F699" s="103"/>
      <c r="G699" s="103"/>
      <c r="H699" s="103"/>
    </row>
    <row r="700" ht="15.75" customHeight="1">
      <c r="F700" s="103"/>
      <c r="G700" s="103"/>
      <c r="H700" s="103"/>
    </row>
    <row r="701" ht="15.75" customHeight="1">
      <c r="F701" s="103"/>
      <c r="G701" s="103"/>
      <c r="H701" s="103"/>
    </row>
    <row r="702" ht="15.75" customHeight="1">
      <c r="F702" s="103"/>
      <c r="G702" s="103"/>
      <c r="H702" s="103"/>
    </row>
    <row r="703" ht="15.75" customHeight="1">
      <c r="F703" s="103"/>
      <c r="G703" s="103"/>
      <c r="H703" s="103"/>
    </row>
    <row r="704" ht="15.75" customHeight="1">
      <c r="F704" s="103"/>
      <c r="G704" s="103"/>
      <c r="H704" s="103"/>
    </row>
    <row r="705" ht="15.75" customHeight="1">
      <c r="F705" s="103"/>
      <c r="G705" s="103"/>
      <c r="H705" s="103"/>
    </row>
    <row r="706" ht="15.75" customHeight="1">
      <c r="F706" s="103"/>
      <c r="G706" s="103"/>
      <c r="H706" s="103"/>
    </row>
    <row r="707" ht="15.75" customHeight="1">
      <c r="F707" s="103"/>
      <c r="G707" s="103"/>
      <c r="H707" s="103"/>
    </row>
    <row r="708" ht="15.75" customHeight="1">
      <c r="F708" s="103"/>
      <c r="G708" s="103"/>
      <c r="H708" s="103"/>
    </row>
    <row r="709" ht="15.75" customHeight="1">
      <c r="F709" s="103"/>
      <c r="G709" s="103"/>
      <c r="H709" s="103"/>
    </row>
    <row r="710" ht="15.75" customHeight="1">
      <c r="F710" s="103"/>
      <c r="G710" s="103"/>
      <c r="H710" s="103"/>
    </row>
    <row r="711" ht="15.75" customHeight="1">
      <c r="F711" s="103"/>
      <c r="G711" s="103"/>
      <c r="H711" s="103"/>
    </row>
    <row r="712" ht="15.75" customHeight="1">
      <c r="F712" s="103"/>
      <c r="G712" s="103"/>
      <c r="H712" s="103"/>
    </row>
    <row r="713" ht="15.75" customHeight="1">
      <c r="F713" s="103"/>
      <c r="G713" s="103"/>
      <c r="H713" s="103"/>
    </row>
    <row r="714" ht="15.75" customHeight="1">
      <c r="F714" s="103"/>
      <c r="G714" s="103"/>
      <c r="H714" s="103"/>
    </row>
    <row r="715" ht="15.75" customHeight="1">
      <c r="F715" s="103"/>
      <c r="G715" s="103"/>
      <c r="H715" s="103"/>
    </row>
    <row r="716" ht="15.75" customHeight="1">
      <c r="F716" s="103"/>
      <c r="G716" s="103"/>
      <c r="H716" s="103"/>
    </row>
    <row r="717" ht="15.75" customHeight="1">
      <c r="F717" s="103"/>
      <c r="G717" s="103"/>
      <c r="H717" s="103"/>
    </row>
    <row r="718" ht="15.75" customHeight="1">
      <c r="F718" s="103"/>
      <c r="G718" s="103"/>
      <c r="H718" s="103"/>
    </row>
    <row r="719" ht="15.75" customHeight="1">
      <c r="F719" s="103"/>
      <c r="G719" s="103"/>
      <c r="H719" s="103"/>
    </row>
    <row r="720" ht="15.75" customHeight="1">
      <c r="F720" s="103"/>
      <c r="G720" s="103"/>
      <c r="H720" s="103"/>
    </row>
    <row r="721" ht="15.75" customHeight="1">
      <c r="F721" s="103"/>
      <c r="G721" s="103"/>
      <c r="H721" s="103"/>
    </row>
    <row r="722" ht="15.75" customHeight="1">
      <c r="F722" s="103"/>
      <c r="G722" s="103"/>
      <c r="H722" s="103"/>
    </row>
    <row r="723" ht="15.75" customHeight="1">
      <c r="F723" s="103"/>
      <c r="G723" s="103"/>
      <c r="H723" s="103"/>
    </row>
    <row r="724" ht="15.75" customHeight="1">
      <c r="F724" s="103"/>
      <c r="G724" s="103"/>
      <c r="H724" s="103"/>
    </row>
    <row r="725" ht="15.75" customHeight="1">
      <c r="F725" s="103"/>
      <c r="G725" s="103"/>
      <c r="H725" s="103"/>
    </row>
    <row r="726" ht="15.75" customHeight="1">
      <c r="F726" s="103"/>
      <c r="G726" s="103"/>
      <c r="H726" s="103"/>
    </row>
    <row r="727" ht="15.75" customHeight="1">
      <c r="F727" s="103"/>
      <c r="G727" s="103"/>
      <c r="H727" s="103"/>
    </row>
    <row r="728" ht="15.75" customHeight="1">
      <c r="F728" s="103"/>
      <c r="G728" s="103"/>
      <c r="H728" s="103"/>
    </row>
    <row r="729" ht="15.75" customHeight="1">
      <c r="F729" s="103"/>
      <c r="G729" s="103"/>
      <c r="H729" s="103"/>
    </row>
    <row r="730" ht="15.75" customHeight="1">
      <c r="F730" s="103"/>
      <c r="G730" s="103"/>
      <c r="H730" s="103"/>
    </row>
    <row r="731" ht="15.75" customHeight="1">
      <c r="F731" s="103"/>
      <c r="G731" s="103"/>
      <c r="H731" s="103"/>
    </row>
    <row r="732" ht="15.75" customHeight="1">
      <c r="F732" s="103"/>
      <c r="G732" s="103"/>
      <c r="H732" s="103"/>
    </row>
    <row r="733" ht="15.75" customHeight="1">
      <c r="F733" s="103"/>
      <c r="G733" s="103"/>
      <c r="H733" s="103"/>
    </row>
    <row r="734" ht="15.75" customHeight="1">
      <c r="F734" s="103"/>
      <c r="G734" s="103"/>
      <c r="H734" s="103"/>
    </row>
    <row r="735" ht="15.75" customHeight="1">
      <c r="F735" s="103"/>
      <c r="G735" s="103"/>
      <c r="H735" s="103"/>
    </row>
    <row r="736" ht="15.75" customHeight="1">
      <c r="F736" s="103"/>
      <c r="G736" s="103"/>
      <c r="H736" s="103"/>
    </row>
    <row r="737" ht="15.75" customHeight="1">
      <c r="F737" s="103"/>
      <c r="G737" s="103"/>
      <c r="H737" s="103"/>
    </row>
    <row r="738" ht="15.75" customHeight="1">
      <c r="F738" s="103"/>
      <c r="G738" s="103"/>
      <c r="H738" s="103"/>
    </row>
    <row r="739" ht="15.75" customHeight="1">
      <c r="F739" s="103"/>
      <c r="G739" s="103"/>
      <c r="H739" s="103"/>
    </row>
    <row r="740" ht="15.75" customHeight="1">
      <c r="F740" s="103"/>
      <c r="G740" s="103"/>
      <c r="H740" s="103"/>
    </row>
    <row r="741" ht="15.75" customHeight="1">
      <c r="F741" s="103"/>
      <c r="G741" s="103"/>
      <c r="H741" s="103"/>
    </row>
    <row r="742" ht="15.75" customHeight="1">
      <c r="F742" s="103"/>
      <c r="G742" s="103"/>
      <c r="H742" s="103"/>
    </row>
    <row r="743" ht="15.75" customHeight="1">
      <c r="F743" s="103"/>
      <c r="G743" s="103"/>
      <c r="H743" s="103"/>
    </row>
    <row r="744" ht="15.75" customHeight="1">
      <c r="F744" s="103"/>
      <c r="G744" s="103"/>
      <c r="H744" s="103"/>
    </row>
    <row r="745" ht="15.75" customHeight="1">
      <c r="F745" s="103"/>
      <c r="G745" s="103"/>
      <c r="H745" s="103"/>
    </row>
    <row r="746" ht="15.75" customHeight="1">
      <c r="F746" s="103"/>
      <c r="G746" s="103"/>
      <c r="H746" s="103"/>
    </row>
    <row r="747" ht="15.75" customHeight="1">
      <c r="F747" s="103"/>
      <c r="G747" s="103"/>
      <c r="H747" s="103"/>
    </row>
    <row r="748" ht="15.75" customHeight="1">
      <c r="F748" s="103"/>
      <c r="G748" s="103"/>
      <c r="H748" s="103"/>
    </row>
    <row r="749" ht="15.75" customHeight="1">
      <c r="F749" s="103"/>
      <c r="G749" s="103"/>
      <c r="H749" s="103"/>
    </row>
    <row r="750" ht="15.75" customHeight="1">
      <c r="F750" s="103"/>
      <c r="G750" s="103"/>
      <c r="H750" s="103"/>
    </row>
    <row r="751" ht="15.75" customHeight="1">
      <c r="F751" s="103"/>
      <c r="G751" s="103"/>
      <c r="H751" s="103"/>
    </row>
    <row r="752" ht="15.75" customHeight="1">
      <c r="F752" s="103"/>
      <c r="G752" s="103"/>
      <c r="H752" s="103"/>
    </row>
    <row r="753" ht="15.75" customHeight="1">
      <c r="F753" s="103"/>
      <c r="G753" s="103"/>
      <c r="H753" s="103"/>
    </row>
    <row r="754" ht="15.75" customHeight="1">
      <c r="F754" s="103"/>
      <c r="G754" s="103"/>
      <c r="H754" s="103"/>
    </row>
    <row r="755" ht="15.75" customHeight="1">
      <c r="F755" s="103"/>
      <c r="G755" s="103"/>
      <c r="H755" s="103"/>
    </row>
    <row r="756" ht="15.75" customHeight="1">
      <c r="F756" s="103"/>
      <c r="G756" s="103"/>
      <c r="H756" s="103"/>
    </row>
    <row r="757" ht="15.75" customHeight="1">
      <c r="F757" s="103"/>
      <c r="G757" s="103"/>
      <c r="H757" s="103"/>
    </row>
    <row r="758" ht="15.75" customHeight="1">
      <c r="F758" s="103"/>
      <c r="G758" s="103"/>
      <c r="H758" s="103"/>
    </row>
    <row r="759" ht="15.75" customHeight="1">
      <c r="F759" s="103"/>
      <c r="G759" s="103"/>
      <c r="H759" s="103"/>
    </row>
    <row r="760" ht="15.75" customHeight="1">
      <c r="F760" s="103"/>
      <c r="G760" s="103"/>
      <c r="H760" s="103"/>
    </row>
    <row r="761" ht="15.75" customHeight="1">
      <c r="F761" s="103"/>
      <c r="G761" s="103"/>
      <c r="H761" s="103"/>
    </row>
    <row r="762" ht="15.75" customHeight="1">
      <c r="F762" s="103"/>
      <c r="G762" s="103"/>
      <c r="H762" s="103"/>
    </row>
    <row r="763" ht="15.75" customHeight="1">
      <c r="F763" s="103"/>
      <c r="G763" s="103"/>
      <c r="H763" s="103"/>
    </row>
    <row r="764" ht="15.75" customHeight="1">
      <c r="F764" s="103"/>
      <c r="G764" s="103"/>
      <c r="H764" s="103"/>
    </row>
    <row r="765" ht="15.75" customHeight="1">
      <c r="F765" s="103"/>
      <c r="G765" s="103"/>
      <c r="H765" s="103"/>
    </row>
    <row r="766" ht="15.75" customHeight="1">
      <c r="F766" s="103"/>
      <c r="G766" s="103"/>
      <c r="H766" s="103"/>
    </row>
    <row r="767" ht="15.75" customHeight="1">
      <c r="F767" s="103"/>
      <c r="G767" s="103"/>
      <c r="H767" s="103"/>
    </row>
    <row r="768" ht="15.75" customHeight="1">
      <c r="F768" s="103"/>
      <c r="G768" s="103"/>
      <c r="H768" s="103"/>
    </row>
    <row r="769" ht="15.75" customHeight="1">
      <c r="F769" s="103"/>
      <c r="G769" s="103"/>
      <c r="H769" s="103"/>
    </row>
    <row r="770" ht="15.75" customHeight="1">
      <c r="F770" s="103"/>
      <c r="G770" s="103"/>
      <c r="H770" s="103"/>
    </row>
    <row r="771" ht="15.75" customHeight="1">
      <c r="F771" s="103"/>
      <c r="G771" s="103"/>
      <c r="H771" s="103"/>
    </row>
    <row r="772" ht="15.75" customHeight="1">
      <c r="F772" s="103"/>
      <c r="G772" s="103"/>
      <c r="H772" s="103"/>
    </row>
    <row r="773" ht="15.75" customHeight="1">
      <c r="F773" s="103"/>
      <c r="G773" s="103"/>
      <c r="H773" s="103"/>
    </row>
    <row r="774" ht="15.75" customHeight="1">
      <c r="F774" s="103"/>
      <c r="G774" s="103"/>
      <c r="H774" s="103"/>
    </row>
    <row r="775" ht="15.75" customHeight="1">
      <c r="F775" s="103"/>
      <c r="G775" s="103"/>
      <c r="H775" s="103"/>
    </row>
    <row r="776" ht="15.75" customHeight="1">
      <c r="F776" s="103"/>
      <c r="G776" s="103"/>
      <c r="H776" s="103"/>
    </row>
    <row r="777" ht="15.75" customHeight="1">
      <c r="F777" s="103"/>
      <c r="G777" s="103"/>
      <c r="H777" s="103"/>
    </row>
    <row r="778" ht="15.75" customHeight="1">
      <c r="F778" s="103"/>
      <c r="G778" s="103"/>
      <c r="H778" s="103"/>
    </row>
    <row r="779" ht="15.75" customHeight="1">
      <c r="F779" s="103"/>
      <c r="G779" s="103"/>
      <c r="H779" s="103"/>
    </row>
    <row r="780" ht="15.75" customHeight="1">
      <c r="F780" s="103"/>
      <c r="G780" s="103"/>
      <c r="H780" s="103"/>
    </row>
    <row r="781" ht="15.75" customHeight="1">
      <c r="F781" s="103"/>
      <c r="G781" s="103"/>
      <c r="H781" s="103"/>
    </row>
    <row r="782" ht="15.75" customHeight="1">
      <c r="F782" s="103"/>
      <c r="G782" s="103"/>
      <c r="H782" s="103"/>
    </row>
    <row r="783" ht="15.75" customHeight="1">
      <c r="F783" s="103"/>
      <c r="G783" s="103"/>
      <c r="H783" s="103"/>
    </row>
    <row r="784" ht="15.75" customHeight="1">
      <c r="F784" s="103"/>
      <c r="G784" s="103"/>
      <c r="H784" s="103"/>
    </row>
    <row r="785" ht="15.75" customHeight="1">
      <c r="F785" s="103"/>
      <c r="G785" s="103"/>
      <c r="H785" s="103"/>
    </row>
    <row r="786" ht="15.75" customHeight="1">
      <c r="F786" s="103"/>
      <c r="G786" s="103"/>
      <c r="H786" s="103"/>
    </row>
    <row r="787" ht="15.75" customHeight="1">
      <c r="F787" s="103"/>
      <c r="G787" s="103"/>
      <c r="H787" s="103"/>
    </row>
    <row r="788" ht="15.75" customHeight="1">
      <c r="F788" s="103"/>
      <c r="G788" s="103"/>
      <c r="H788" s="103"/>
    </row>
    <row r="789" ht="15.75" customHeight="1">
      <c r="F789" s="103"/>
      <c r="G789" s="103"/>
      <c r="H789" s="103"/>
    </row>
    <row r="790" ht="15.75" customHeight="1">
      <c r="F790" s="103"/>
      <c r="G790" s="103"/>
      <c r="H790" s="103"/>
    </row>
    <row r="791" ht="15.75" customHeight="1">
      <c r="F791" s="103"/>
      <c r="G791" s="103"/>
      <c r="H791" s="103"/>
    </row>
    <row r="792" ht="15.75" customHeight="1">
      <c r="F792" s="103"/>
      <c r="G792" s="103"/>
      <c r="H792" s="103"/>
    </row>
    <row r="793" ht="15.75" customHeight="1">
      <c r="F793" s="103"/>
      <c r="G793" s="103"/>
      <c r="H793" s="103"/>
    </row>
    <row r="794" ht="15.75" customHeight="1">
      <c r="F794" s="103"/>
      <c r="G794" s="103"/>
      <c r="H794" s="103"/>
    </row>
    <row r="795" ht="15.75" customHeight="1">
      <c r="F795" s="103"/>
      <c r="G795" s="103"/>
      <c r="H795" s="103"/>
    </row>
    <row r="796" ht="15.75" customHeight="1">
      <c r="F796" s="103"/>
      <c r="G796" s="103"/>
      <c r="H796" s="103"/>
    </row>
    <row r="797" ht="15.75" customHeight="1">
      <c r="F797" s="103"/>
      <c r="G797" s="103"/>
      <c r="H797" s="103"/>
    </row>
    <row r="798" ht="15.75" customHeight="1">
      <c r="F798" s="103"/>
      <c r="G798" s="103"/>
      <c r="H798" s="103"/>
    </row>
    <row r="799" ht="15.75" customHeight="1">
      <c r="F799" s="103"/>
      <c r="G799" s="103"/>
      <c r="H799" s="103"/>
    </row>
    <row r="800" ht="15.75" customHeight="1">
      <c r="F800" s="103"/>
      <c r="G800" s="103"/>
      <c r="H800" s="103"/>
    </row>
    <row r="801" ht="15.75" customHeight="1">
      <c r="F801" s="103"/>
      <c r="G801" s="103"/>
      <c r="H801" s="103"/>
    </row>
    <row r="802" ht="15.75" customHeight="1">
      <c r="F802" s="103"/>
      <c r="G802" s="103"/>
      <c r="H802" s="103"/>
    </row>
    <row r="803" ht="15.75" customHeight="1">
      <c r="F803" s="103"/>
      <c r="G803" s="103"/>
      <c r="H803" s="103"/>
    </row>
    <row r="804" ht="15.75" customHeight="1">
      <c r="F804" s="103"/>
      <c r="G804" s="103"/>
      <c r="H804" s="103"/>
    </row>
    <row r="805" ht="15.75" customHeight="1">
      <c r="F805" s="103"/>
      <c r="G805" s="103"/>
      <c r="H805" s="103"/>
    </row>
    <row r="806" ht="15.75" customHeight="1">
      <c r="F806" s="103"/>
      <c r="G806" s="103"/>
      <c r="H806" s="103"/>
    </row>
    <row r="807" ht="15.75" customHeight="1">
      <c r="F807" s="103"/>
      <c r="G807" s="103"/>
      <c r="H807" s="103"/>
    </row>
    <row r="808" ht="15.75" customHeight="1">
      <c r="F808" s="103"/>
      <c r="G808" s="103"/>
      <c r="H808" s="103"/>
    </row>
    <row r="809" ht="15.75" customHeight="1">
      <c r="F809" s="103"/>
      <c r="G809" s="103"/>
      <c r="H809" s="103"/>
    </row>
    <row r="810" ht="15.75" customHeight="1">
      <c r="F810" s="103"/>
      <c r="G810" s="103"/>
      <c r="H810" s="103"/>
    </row>
    <row r="811" ht="15.75" customHeight="1">
      <c r="F811" s="103"/>
      <c r="G811" s="103"/>
      <c r="H811" s="103"/>
    </row>
    <row r="812" ht="15.75" customHeight="1">
      <c r="F812" s="103"/>
      <c r="G812" s="103"/>
      <c r="H812" s="103"/>
    </row>
    <row r="813" ht="15.75" customHeight="1">
      <c r="F813" s="103"/>
      <c r="G813" s="103"/>
      <c r="H813" s="103"/>
    </row>
    <row r="814" ht="15.75" customHeight="1">
      <c r="F814" s="103"/>
      <c r="G814" s="103"/>
      <c r="H814" s="103"/>
    </row>
    <row r="815" ht="15.75" customHeight="1">
      <c r="F815" s="103"/>
      <c r="G815" s="103"/>
      <c r="H815" s="103"/>
    </row>
    <row r="816" ht="15.75" customHeight="1">
      <c r="F816" s="103"/>
      <c r="G816" s="103"/>
      <c r="H816" s="103"/>
    </row>
    <row r="817" ht="15.75" customHeight="1">
      <c r="F817" s="103"/>
      <c r="G817" s="103"/>
      <c r="H817" s="103"/>
    </row>
    <row r="818" ht="15.75" customHeight="1">
      <c r="F818" s="103"/>
      <c r="G818" s="103"/>
      <c r="H818" s="103"/>
    </row>
    <row r="819" ht="15.75" customHeight="1">
      <c r="F819" s="103"/>
      <c r="G819" s="103"/>
      <c r="H819" s="103"/>
    </row>
    <row r="820" ht="15.75" customHeight="1">
      <c r="F820" s="103"/>
      <c r="G820" s="103"/>
      <c r="H820" s="103"/>
    </row>
    <row r="821" ht="15.75" customHeight="1">
      <c r="F821" s="103"/>
      <c r="G821" s="103"/>
      <c r="H821" s="103"/>
    </row>
    <row r="822" ht="15.75" customHeight="1">
      <c r="F822" s="103"/>
      <c r="G822" s="103"/>
      <c r="H822" s="103"/>
    </row>
    <row r="823" ht="15.75" customHeight="1">
      <c r="F823" s="103"/>
      <c r="G823" s="103"/>
      <c r="H823" s="103"/>
    </row>
    <row r="824" ht="15.75" customHeight="1">
      <c r="F824" s="103"/>
      <c r="G824" s="103"/>
      <c r="H824" s="103"/>
    </row>
    <row r="825" ht="15.75" customHeight="1">
      <c r="F825" s="103"/>
      <c r="G825" s="103"/>
      <c r="H825" s="103"/>
    </row>
    <row r="826" ht="15.75" customHeight="1">
      <c r="F826" s="103"/>
      <c r="G826" s="103"/>
      <c r="H826" s="103"/>
    </row>
    <row r="827" ht="15.75" customHeight="1">
      <c r="F827" s="103"/>
      <c r="G827" s="103"/>
      <c r="H827" s="103"/>
    </row>
    <row r="828" ht="15.75" customHeight="1">
      <c r="F828" s="103"/>
      <c r="G828" s="103"/>
      <c r="H828" s="103"/>
    </row>
    <row r="829" ht="15.75" customHeight="1">
      <c r="F829" s="103"/>
      <c r="G829" s="103"/>
      <c r="H829" s="103"/>
    </row>
    <row r="830" ht="15.75" customHeight="1">
      <c r="F830" s="103"/>
      <c r="G830" s="103"/>
      <c r="H830" s="103"/>
    </row>
    <row r="831" ht="15.75" customHeight="1">
      <c r="F831" s="103"/>
      <c r="G831" s="103"/>
      <c r="H831" s="103"/>
    </row>
    <row r="832" ht="15.75" customHeight="1">
      <c r="F832" s="103"/>
      <c r="G832" s="103"/>
      <c r="H832" s="103"/>
    </row>
    <row r="833" ht="15.75" customHeight="1">
      <c r="F833" s="103"/>
      <c r="G833" s="103"/>
      <c r="H833" s="103"/>
    </row>
    <row r="834" ht="15.75" customHeight="1">
      <c r="F834" s="103"/>
      <c r="G834" s="103"/>
      <c r="H834" s="103"/>
    </row>
    <row r="835" ht="15.75" customHeight="1">
      <c r="F835" s="103"/>
      <c r="G835" s="103"/>
      <c r="H835" s="103"/>
    </row>
    <row r="836" ht="15.75" customHeight="1">
      <c r="F836" s="103"/>
      <c r="G836" s="103"/>
      <c r="H836" s="103"/>
    </row>
    <row r="837" ht="15.75" customHeight="1">
      <c r="F837" s="103"/>
      <c r="G837" s="103"/>
      <c r="H837" s="103"/>
    </row>
    <row r="838" ht="15.75" customHeight="1">
      <c r="F838" s="103"/>
      <c r="G838" s="103"/>
      <c r="H838" s="103"/>
    </row>
    <row r="839" ht="15.75" customHeight="1">
      <c r="F839" s="103"/>
      <c r="G839" s="103"/>
      <c r="H839" s="103"/>
    </row>
    <row r="840" ht="15.75" customHeight="1">
      <c r="F840" s="103"/>
      <c r="G840" s="103"/>
      <c r="H840" s="103"/>
    </row>
    <row r="841" ht="15.75" customHeight="1">
      <c r="F841" s="103"/>
      <c r="G841" s="103"/>
      <c r="H841" s="103"/>
    </row>
    <row r="842" ht="15.75" customHeight="1">
      <c r="F842" s="103"/>
      <c r="G842" s="103"/>
      <c r="H842" s="103"/>
    </row>
    <row r="843" ht="15.75" customHeight="1">
      <c r="F843" s="103"/>
      <c r="G843" s="103"/>
      <c r="H843" s="103"/>
    </row>
    <row r="844" ht="15.75" customHeight="1">
      <c r="F844" s="103"/>
      <c r="G844" s="103"/>
      <c r="H844" s="103"/>
    </row>
    <row r="845" ht="15.75" customHeight="1">
      <c r="F845" s="103"/>
      <c r="G845" s="103"/>
      <c r="H845" s="103"/>
    </row>
    <row r="846" ht="15.75" customHeight="1">
      <c r="F846" s="103"/>
      <c r="G846" s="103"/>
      <c r="H846" s="103"/>
    </row>
    <row r="847" ht="15.75" customHeight="1">
      <c r="F847" s="103"/>
      <c r="G847" s="103"/>
      <c r="H847" s="103"/>
    </row>
    <row r="848" ht="15.75" customHeight="1">
      <c r="F848" s="103"/>
      <c r="G848" s="103"/>
      <c r="H848" s="103"/>
    </row>
    <row r="849" ht="15.75" customHeight="1">
      <c r="F849" s="103"/>
      <c r="G849" s="103"/>
      <c r="H849" s="103"/>
    </row>
    <row r="850" ht="15.75" customHeight="1">
      <c r="F850" s="103"/>
      <c r="G850" s="103"/>
      <c r="H850" s="103"/>
    </row>
    <row r="851" ht="15.75" customHeight="1">
      <c r="F851" s="103"/>
      <c r="G851" s="103"/>
      <c r="H851" s="103"/>
    </row>
    <row r="852" ht="15.75" customHeight="1">
      <c r="F852" s="103"/>
      <c r="G852" s="103"/>
      <c r="H852" s="103"/>
    </row>
    <row r="853" ht="15.75" customHeight="1">
      <c r="F853" s="103"/>
      <c r="G853" s="103"/>
      <c r="H853" s="103"/>
    </row>
    <row r="854" ht="15.75" customHeight="1">
      <c r="F854" s="103"/>
      <c r="G854" s="103"/>
      <c r="H854" s="103"/>
    </row>
    <row r="855" ht="15.75" customHeight="1">
      <c r="F855" s="103"/>
      <c r="G855" s="103"/>
      <c r="H855" s="103"/>
    </row>
    <row r="856" ht="15.75" customHeight="1">
      <c r="F856" s="103"/>
      <c r="G856" s="103"/>
      <c r="H856" s="103"/>
    </row>
    <row r="857" ht="15.75" customHeight="1">
      <c r="F857" s="103"/>
      <c r="G857" s="103"/>
      <c r="H857" s="103"/>
    </row>
    <row r="858" ht="15.75" customHeight="1">
      <c r="F858" s="103"/>
      <c r="G858" s="103"/>
      <c r="H858" s="103"/>
    </row>
    <row r="859" ht="15.75" customHeight="1">
      <c r="F859" s="103"/>
      <c r="G859" s="103"/>
      <c r="H859" s="103"/>
    </row>
    <row r="860" ht="15.75" customHeight="1">
      <c r="F860" s="103"/>
      <c r="G860" s="103"/>
      <c r="H860" s="103"/>
    </row>
    <row r="861" ht="15.75" customHeight="1">
      <c r="F861" s="103"/>
      <c r="G861" s="103"/>
      <c r="H861" s="103"/>
    </row>
    <row r="862" ht="15.75" customHeight="1">
      <c r="F862" s="103"/>
      <c r="G862" s="103"/>
      <c r="H862" s="103"/>
    </row>
    <row r="863" ht="15.75" customHeight="1">
      <c r="F863" s="103"/>
      <c r="G863" s="103"/>
      <c r="H863" s="103"/>
    </row>
    <row r="864" ht="15.75" customHeight="1">
      <c r="F864" s="103"/>
      <c r="G864" s="103"/>
      <c r="H864" s="103"/>
    </row>
    <row r="865" ht="15.75" customHeight="1">
      <c r="F865" s="103"/>
      <c r="G865" s="103"/>
      <c r="H865" s="103"/>
    </row>
    <row r="866" ht="15.75" customHeight="1">
      <c r="F866" s="103"/>
      <c r="G866" s="103"/>
      <c r="H866" s="103"/>
    </row>
    <row r="867" ht="15.75" customHeight="1">
      <c r="F867" s="103"/>
      <c r="G867" s="103"/>
      <c r="H867" s="103"/>
    </row>
    <row r="868" ht="15.75" customHeight="1">
      <c r="F868" s="103"/>
      <c r="G868" s="103"/>
      <c r="H868" s="103"/>
    </row>
    <row r="869" ht="15.75" customHeight="1">
      <c r="F869" s="103"/>
      <c r="G869" s="103"/>
      <c r="H869" s="103"/>
    </row>
    <row r="870" ht="15.75" customHeight="1">
      <c r="F870" s="103"/>
      <c r="G870" s="103"/>
      <c r="H870" s="103"/>
    </row>
    <row r="871" ht="15.75" customHeight="1">
      <c r="F871" s="103"/>
      <c r="G871" s="103"/>
      <c r="H871" s="103"/>
    </row>
    <row r="872" ht="15.75" customHeight="1">
      <c r="F872" s="103"/>
      <c r="G872" s="103"/>
      <c r="H872" s="103"/>
    </row>
    <row r="873" ht="15.75" customHeight="1">
      <c r="F873" s="103"/>
      <c r="G873" s="103"/>
      <c r="H873" s="103"/>
    </row>
    <row r="874" ht="15.75" customHeight="1">
      <c r="F874" s="103"/>
      <c r="G874" s="103"/>
      <c r="H874" s="103"/>
    </row>
    <row r="875" ht="15.75" customHeight="1">
      <c r="F875" s="103"/>
      <c r="G875" s="103"/>
      <c r="H875" s="103"/>
    </row>
    <row r="876" ht="15.75" customHeight="1">
      <c r="F876" s="103"/>
      <c r="G876" s="103"/>
      <c r="H876" s="103"/>
    </row>
    <row r="877" ht="15.75" customHeight="1">
      <c r="F877" s="103"/>
      <c r="G877" s="103"/>
      <c r="H877" s="103"/>
    </row>
    <row r="878" ht="15.75" customHeight="1">
      <c r="F878" s="103"/>
      <c r="G878" s="103"/>
      <c r="H878" s="103"/>
    </row>
    <row r="879" ht="15.75" customHeight="1">
      <c r="F879" s="103"/>
      <c r="G879" s="103"/>
      <c r="H879" s="103"/>
    </row>
    <row r="880" ht="15.75" customHeight="1">
      <c r="F880" s="103"/>
      <c r="G880" s="103"/>
      <c r="H880" s="103"/>
    </row>
    <row r="881" ht="15.75" customHeight="1">
      <c r="F881" s="103"/>
      <c r="G881" s="103"/>
      <c r="H881" s="103"/>
    </row>
    <row r="882" ht="15.75" customHeight="1">
      <c r="F882" s="103"/>
      <c r="G882" s="103"/>
      <c r="H882" s="103"/>
    </row>
    <row r="883" ht="15.75" customHeight="1">
      <c r="F883" s="103"/>
      <c r="G883" s="103"/>
      <c r="H883" s="103"/>
    </row>
    <row r="884" ht="15.75" customHeight="1">
      <c r="F884" s="103"/>
      <c r="G884" s="103"/>
      <c r="H884" s="103"/>
    </row>
    <row r="885" ht="15.75" customHeight="1">
      <c r="F885" s="103"/>
      <c r="G885" s="103"/>
      <c r="H885" s="103"/>
    </row>
    <row r="886" ht="15.75" customHeight="1">
      <c r="F886" s="103"/>
      <c r="G886" s="103"/>
      <c r="H886" s="103"/>
    </row>
    <row r="887" ht="15.75" customHeight="1">
      <c r="F887" s="103"/>
      <c r="G887" s="103"/>
      <c r="H887" s="103"/>
    </row>
    <row r="888" ht="15.75" customHeight="1">
      <c r="F888" s="103"/>
      <c r="G888" s="103"/>
      <c r="H888" s="103"/>
    </row>
    <row r="889" ht="15.75" customHeight="1">
      <c r="F889" s="103"/>
      <c r="G889" s="103"/>
      <c r="H889" s="103"/>
    </row>
    <row r="890" ht="15.75" customHeight="1">
      <c r="F890" s="103"/>
      <c r="G890" s="103"/>
      <c r="H890" s="103"/>
    </row>
    <row r="891" ht="15.75" customHeight="1">
      <c r="F891" s="103"/>
      <c r="G891" s="103"/>
      <c r="H891" s="103"/>
    </row>
    <row r="892" ht="15.75" customHeight="1">
      <c r="F892" s="103"/>
      <c r="G892" s="103"/>
      <c r="H892" s="103"/>
    </row>
    <row r="893" ht="15.75" customHeight="1">
      <c r="F893" s="103"/>
      <c r="G893" s="103"/>
      <c r="H893" s="103"/>
    </row>
    <row r="894" ht="15.75" customHeight="1">
      <c r="F894" s="103"/>
      <c r="G894" s="103"/>
      <c r="H894" s="103"/>
    </row>
    <row r="895" ht="15.75" customHeight="1">
      <c r="F895" s="103"/>
      <c r="G895" s="103"/>
      <c r="H895" s="103"/>
    </row>
    <row r="896" ht="15.75" customHeight="1">
      <c r="F896" s="103"/>
      <c r="G896" s="103"/>
      <c r="H896" s="103"/>
    </row>
    <row r="897" ht="15.75" customHeight="1">
      <c r="F897" s="103"/>
      <c r="G897" s="103"/>
      <c r="H897" s="103"/>
    </row>
    <row r="898" ht="15.75" customHeight="1">
      <c r="F898" s="103"/>
      <c r="G898" s="103"/>
      <c r="H898" s="103"/>
    </row>
    <row r="899" ht="15.75" customHeight="1">
      <c r="F899" s="103"/>
      <c r="G899" s="103"/>
      <c r="H899" s="103"/>
    </row>
    <row r="900" ht="15.75" customHeight="1">
      <c r="F900" s="103"/>
      <c r="G900" s="103"/>
      <c r="H900" s="103"/>
    </row>
    <row r="901" ht="15.75" customHeight="1">
      <c r="F901" s="103"/>
      <c r="G901" s="103"/>
      <c r="H901" s="103"/>
    </row>
    <row r="902" ht="15.75" customHeight="1">
      <c r="F902" s="103"/>
      <c r="G902" s="103"/>
      <c r="H902" s="103"/>
    </row>
    <row r="903" ht="15.75" customHeight="1">
      <c r="F903" s="103"/>
      <c r="G903" s="103"/>
      <c r="H903" s="103"/>
    </row>
    <row r="904" ht="15.75" customHeight="1">
      <c r="F904" s="103"/>
      <c r="G904" s="103"/>
      <c r="H904" s="103"/>
    </row>
    <row r="905" ht="15.75" customHeight="1">
      <c r="F905" s="103"/>
      <c r="G905" s="103"/>
      <c r="H905" s="103"/>
    </row>
    <row r="906" ht="15.75" customHeight="1">
      <c r="F906" s="103"/>
      <c r="G906" s="103"/>
      <c r="H906" s="103"/>
    </row>
    <row r="907" ht="15.75" customHeight="1">
      <c r="F907" s="103"/>
      <c r="G907" s="103"/>
      <c r="H907" s="103"/>
    </row>
    <row r="908" ht="15.75" customHeight="1">
      <c r="F908" s="103"/>
      <c r="G908" s="103"/>
      <c r="H908" s="103"/>
    </row>
    <row r="909" ht="15.75" customHeight="1">
      <c r="F909" s="103"/>
      <c r="G909" s="103"/>
      <c r="H909" s="103"/>
    </row>
    <row r="910" ht="15.75" customHeight="1">
      <c r="F910" s="103"/>
      <c r="G910" s="103"/>
      <c r="H910" s="103"/>
    </row>
    <row r="911" ht="15.75" customHeight="1">
      <c r="F911" s="103"/>
      <c r="G911" s="103"/>
      <c r="H911" s="103"/>
    </row>
    <row r="912" ht="15.75" customHeight="1">
      <c r="F912" s="103"/>
      <c r="G912" s="103"/>
      <c r="H912" s="103"/>
    </row>
    <row r="913" ht="15.75" customHeight="1">
      <c r="F913" s="103"/>
      <c r="G913" s="103"/>
      <c r="H913" s="103"/>
    </row>
    <row r="914" ht="15.75" customHeight="1">
      <c r="F914" s="103"/>
      <c r="G914" s="103"/>
      <c r="H914" s="103"/>
    </row>
    <row r="915" ht="15.75" customHeight="1">
      <c r="F915" s="103"/>
      <c r="G915" s="103"/>
      <c r="H915" s="103"/>
    </row>
    <row r="916" ht="15.75" customHeight="1">
      <c r="F916" s="103"/>
      <c r="G916" s="103"/>
      <c r="H916" s="103"/>
    </row>
    <row r="917" ht="15.75" customHeight="1">
      <c r="F917" s="103"/>
      <c r="G917" s="103"/>
      <c r="H917" s="103"/>
    </row>
    <row r="918" ht="15.75" customHeight="1">
      <c r="F918" s="103"/>
      <c r="G918" s="103"/>
      <c r="H918" s="103"/>
    </row>
    <row r="919" ht="15.75" customHeight="1">
      <c r="F919" s="103"/>
      <c r="G919" s="103"/>
      <c r="H919" s="103"/>
    </row>
    <row r="920" ht="15.75" customHeight="1">
      <c r="F920" s="103"/>
      <c r="G920" s="103"/>
      <c r="H920" s="103"/>
    </row>
    <row r="921" ht="15.75" customHeight="1">
      <c r="F921" s="103"/>
      <c r="G921" s="103"/>
      <c r="H921" s="103"/>
    </row>
    <row r="922" ht="15.75" customHeight="1">
      <c r="F922" s="103"/>
      <c r="G922" s="103"/>
      <c r="H922" s="103"/>
    </row>
    <row r="923" ht="15.75" customHeight="1">
      <c r="F923" s="103"/>
      <c r="G923" s="103"/>
      <c r="H923" s="103"/>
    </row>
    <row r="924" ht="15.75" customHeight="1">
      <c r="F924" s="103"/>
      <c r="G924" s="103"/>
      <c r="H924" s="103"/>
    </row>
    <row r="925" ht="15.75" customHeight="1">
      <c r="F925" s="103"/>
      <c r="G925" s="103"/>
      <c r="H925" s="103"/>
    </row>
    <row r="926" ht="15.75" customHeight="1">
      <c r="F926" s="103"/>
      <c r="G926" s="103"/>
      <c r="H926" s="103"/>
    </row>
    <row r="927" ht="15.75" customHeight="1">
      <c r="F927" s="103"/>
      <c r="G927" s="103"/>
      <c r="H927" s="103"/>
    </row>
    <row r="928" ht="15.75" customHeight="1">
      <c r="F928" s="103"/>
      <c r="G928" s="103"/>
      <c r="H928" s="103"/>
    </row>
    <row r="929" ht="15.75" customHeight="1">
      <c r="F929" s="103"/>
      <c r="G929" s="103"/>
      <c r="H929" s="103"/>
    </row>
    <row r="930" ht="15.75" customHeight="1">
      <c r="F930" s="103"/>
      <c r="G930" s="103"/>
      <c r="H930" s="103"/>
    </row>
    <row r="931" ht="15.75" customHeight="1">
      <c r="F931" s="103"/>
      <c r="G931" s="103"/>
      <c r="H931" s="103"/>
    </row>
    <row r="932" ht="15.75" customHeight="1">
      <c r="F932" s="103"/>
      <c r="G932" s="103"/>
      <c r="H932" s="103"/>
    </row>
    <row r="933" ht="15.75" customHeight="1">
      <c r="F933" s="103"/>
      <c r="G933" s="103"/>
      <c r="H933" s="103"/>
    </row>
    <row r="934" ht="15.75" customHeight="1">
      <c r="F934" s="103"/>
      <c r="G934" s="103"/>
      <c r="H934" s="103"/>
    </row>
    <row r="935" ht="15.75" customHeight="1">
      <c r="F935" s="103"/>
      <c r="G935" s="103"/>
      <c r="H935" s="103"/>
    </row>
    <row r="936" ht="15.75" customHeight="1">
      <c r="F936" s="103"/>
      <c r="G936" s="103"/>
      <c r="H936" s="103"/>
    </row>
    <row r="937" ht="15.75" customHeight="1">
      <c r="F937" s="103"/>
      <c r="G937" s="103"/>
      <c r="H937" s="103"/>
    </row>
    <row r="938" ht="15.75" customHeight="1">
      <c r="F938" s="103"/>
      <c r="G938" s="103"/>
      <c r="H938" s="103"/>
    </row>
    <row r="939" ht="15.75" customHeight="1">
      <c r="F939" s="103"/>
      <c r="G939" s="103"/>
      <c r="H939" s="103"/>
    </row>
    <row r="940" ht="15.75" customHeight="1">
      <c r="F940" s="103"/>
      <c r="G940" s="103"/>
      <c r="H940" s="103"/>
    </row>
    <row r="941" ht="15.75" customHeight="1">
      <c r="F941" s="103"/>
      <c r="G941" s="103"/>
      <c r="H941" s="103"/>
    </row>
    <row r="942" ht="15.75" customHeight="1">
      <c r="F942" s="103"/>
      <c r="G942" s="103"/>
      <c r="H942" s="103"/>
    </row>
    <row r="943" ht="15.75" customHeight="1">
      <c r="F943" s="103"/>
      <c r="G943" s="103"/>
      <c r="H943" s="103"/>
    </row>
    <row r="944" ht="15.75" customHeight="1">
      <c r="F944" s="103"/>
      <c r="G944" s="103"/>
      <c r="H944" s="103"/>
    </row>
    <row r="945" ht="15.75" customHeight="1">
      <c r="F945" s="103"/>
      <c r="G945" s="103"/>
      <c r="H945" s="103"/>
    </row>
    <row r="946" ht="15.75" customHeight="1">
      <c r="F946" s="103"/>
      <c r="G946" s="103"/>
      <c r="H946" s="103"/>
    </row>
    <row r="947" ht="15.75" customHeight="1">
      <c r="F947" s="103"/>
      <c r="G947" s="103"/>
      <c r="H947" s="103"/>
    </row>
    <row r="948" ht="15.75" customHeight="1">
      <c r="F948" s="103"/>
      <c r="G948" s="103"/>
      <c r="H948" s="103"/>
    </row>
    <row r="949" ht="15.75" customHeight="1">
      <c r="F949" s="103"/>
      <c r="G949" s="103"/>
      <c r="H949" s="103"/>
    </row>
    <row r="950" ht="15.75" customHeight="1">
      <c r="F950" s="103"/>
      <c r="G950" s="103"/>
      <c r="H950" s="103"/>
    </row>
    <row r="951" ht="15.75" customHeight="1">
      <c r="F951" s="103"/>
      <c r="G951" s="103"/>
      <c r="H951" s="103"/>
    </row>
    <row r="952" ht="15.75" customHeight="1">
      <c r="F952" s="103"/>
      <c r="G952" s="103"/>
      <c r="H952" s="103"/>
    </row>
    <row r="953" ht="15.75" customHeight="1">
      <c r="F953" s="103"/>
      <c r="G953" s="103"/>
      <c r="H953" s="103"/>
    </row>
    <row r="954" ht="15.75" customHeight="1">
      <c r="F954" s="103"/>
      <c r="G954" s="103"/>
      <c r="H954" s="103"/>
    </row>
    <row r="955" ht="15.75" customHeight="1">
      <c r="F955" s="103"/>
      <c r="G955" s="103"/>
      <c r="H955" s="103"/>
    </row>
    <row r="956" ht="15.75" customHeight="1">
      <c r="F956" s="103"/>
      <c r="G956" s="103"/>
      <c r="H956" s="103"/>
    </row>
    <row r="957" ht="15.75" customHeight="1">
      <c r="F957" s="103"/>
      <c r="G957" s="103"/>
      <c r="H957" s="103"/>
    </row>
    <row r="958" ht="15.75" customHeight="1">
      <c r="F958" s="103"/>
      <c r="G958" s="103"/>
      <c r="H958" s="103"/>
    </row>
    <row r="959" ht="15.75" customHeight="1">
      <c r="F959" s="103"/>
      <c r="G959" s="103"/>
      <c r="H959" s="103"/>
    </row>
    <row r="960" ht="15.75" customHeight="1">
      <c r="F960" s="103"/>
      <c r="G960" s="103"/>
      <c r="H960" s="103"/>
    </row>
    <row r="961" ht="15.75" customHeight="1">
      <c r="F961" s="103"/>
      <c r="G961" s="103"/>
      <c r="H961" s="103"/>
    </row>
    <row r="962" ht="15.75" customHeight="1">
      <c r="F962" s="103"/>
      <c r="G962" s="103"/>
      <c r="H962" s="103"/>
    </row>
    <row r="963" ht="15.75" customHeight="1">
      <c r="F963" s="103"/>
      <c r="G963" s="103"/>
      <c r="H963" s="103"/>
    </row>
    <row r="964" ht="15.75" customHeight="1">
      <c r="F964" s="103"/>
      <c r="G964" s="103"/>
      <c r="H964" s="103"/>
    </row>
    <row r="965" ht="15.75" customHeight="1">
      <c r="F965" s="103"/>
      <c r="G965" s="103"/>
      <c r="H965" s="103"/>
    </row>
    <row r="966" ht="15.75" customHeight="1">
      <c r="F966" s="103"/>
      <c r="G966" s="103"/>
      <c r="H966" s="103"/>
    </row>
    <row r="967" ht="15.75" customHeight="1">
      <c r="F967" s="103"/>
      <c r="G967" s="103"/>
      <c r="H967" s="103"/>
    </row>
    <row r="968" ht="15.75" customHeight="1">
      <c r="F968" s="103"/>
      <c r="G968" s="103"/>
      <c r="H968" s="103"/>
    </row>
    <row r="969" ht="15.75" customHeight="1">
      <c r="F969" s="103"/>
      <c r="G969" s="103"/>
      <c r="H969" s="103"/>
    </row>
    <row r="970" ht="15.75" customHeight="1">
      <c r="F970" s="103"/>
      <c r="G970" s="103"/>
      <c r="H970" s="103"/>
    </row>
    <row r="971" ht="15.75" customHeight="1">
      <c r="F971" s="103"/>
      <c r="G971" s="103"/>
      <c r="H971" s="103"/>
    </row>
    <row r="972" ht="15.75" customHeight="1">
      <c r="F972" s="103"/>
      <c r="G972" s="103"/>
      <c r="H972" s="103"/>
    </row>
    <row r="973" ht="15.75" customHeight="1">
      <c r="F973" s="103"/>
      <c r="G973" s="103"/>
      <c r="H973" s="103"/>
    </row>
    <row r="974" ht="15.75" customHeight="1">
      <c r="F974" s="103"/>
      <c r="G974" s="103"/>
      <c r="H974" s="103"/>
    </row>
    <row r="975" ht="15.75" customHeight="1">
      <c r="F975" s="103"/>
      <c r="G975" s="103"/>
      <c r="H975" s="103"/>
    </row>
    <row r="976" ht="15.75" customHeight="1">
      <c r="F976" s="103"/>
      <c r="G976" s="103"/>
      <c r="H976" s="103"/>
    </row>
    <row r="977" ht="15.75" customHeight="1">
      <c r="F977" s="103"/>
      <c r="G977" s="103"/>
      <c r="H977" s="103"/>
    </row>
    <row r="978" ht="15.75" customHeight="1">
      <c r="F978" s="103"/>
      <c r="G978" s="103"/>
      <c r="H978" s="103"/>
    </row>
    <row r="979" ht="15.75" customHeight="1">
      <c r="F979" s="103"/>
      <c r="G979" s="103"/>
      <c r="H979" s="103"/>
    </row>
    <row r="980" ht="15.75" customHeight="1">
      <c r="F980" s="103"/>
      <c r="G980" s="103"/>
      <c r="H980" s="103"/>
    </row>
    <row r="981" ht="15.75" customHeight="1">
      <c r="F981" s="103"/>
      <c r="G981" s="103"/>
      <c r="H981" s="103"/>
    </row>
    <row r="982" ht="15.75" customHeight="1">
      <c r="F982" s="103"/>
      <c r="G982" s="103"/>
      <c r="H982" s="103"/>
    </row>
    <row r="983" ht="15.75" customHeight="1">
      <c r="F983" s="103"/>
      <c r="G983" s="103"/>
      <c r="H983" s="103"/>
    </row>
    <row r="984" ht="15.75" customHeight="1">
      <c r="F984" s="103"/>
      <c r="G984" s="103"/>
      <c r="H984" s="103"/>
    </row>
    <row r="985" ht="15.75" customHeight="1">
      <c r="F985" s="103"/>
      <c r="G985" s="103"/>
      <c r="H985" s="103"/>
    </row>
    <row r="986" ht="15.75" customHeight="1">
      <c r="F986" s="103"/>
      <c r="G986" s="103"/>
      <c r="H986" s="103"/>
    </row>
    <row r="987" ht="15.75" customHeight="1">
      <c r="F987" s="103"/>
      <c r="G987" s="103"/>
      <c r="H987" s="103"/>
    </row>
    <row r="988" ht="15.75" customHeight="1">
      <c r="F988" s="103"/>
      <c r="G988" s="103"/>
      <c r="H988" s="103"/>
    </row>
    <row r="989" ht="15.75" customHeight="1">
      <c r="F989" s="103"/>
      <c r="G989" s="103"/>
      <c r="H989" s="103"/>
    </row>
    <row r="990" ht="15.75" customHeight="1">
      <c r="F990" s="103"/>
      <c r="G990" s="103"/>
      <c r="H990" s="103"/>
    </row>
    <row r="991" ht="15.75" customHeight="1">
      <c r="F991" s="103"/>
      <c r="G991" s="103"/>
      <c r="H991" s="103"/>
    </row>
    <row r="992" ht="15.75" customHeight="1">
      <c r="F992" s="103"/>
      <c r="G992" s="103"/>
      <c r="H992" s="103"/>
    </row>
    <row r="993" ht="15.75" customHeight="1">
      <c r="F993" s="103"/>
      <c r="G993" s="103"/>
      <c r="H993" s="103"/>
    </row>
    <row r="994" ht="15.75" customHeight="1">
      <c r="F994" s="103"/>
      <c r="G994" s="103"/>
      <c r="H994" s="103"/>
    </row>
    <row r="995" ht="15.75" customHeight="1">
      <c r="F995" s="103"/>
      <c r="G995" s="103"/>
      <c r="H995" s="103"/>
    </row>
    <row r="996" ht="15.75" customHeight="1">
      <c r="F996" s="103"/>
      <c r="G996" s="103"/>
      <c r="H996" s="103"/>
    </row>
    <row r="997" ht="15.75" customHeight="1">
      <c r="F997" s="103"/>
      <c r="G997" s="103"/>
      <c r="H997" s="103"/>
    </row>
    <row r="998" ht="15.75" customHeight="1">
      <c r="F998" s="103"/>
      <c r="G998" s="103"/>
      <c r="H998" s="103"/>
    </row>
    <row r="999" ht="15.75" customHeight="1">
      <c r="F999" s="103"/>
      <c r="G999" s="103"/>
      <c r="H999" s="103"/>
    </row>
    <row r="1000" ht="15.75" customHeight="1">
      <c r="F1000" s="103"/>
      <c r="G1000" s="103"/>
      <c r="H1000" s="103"/>
    </row>
    <row r="1001" ht="15.75" customHeight="1">
      <c r="F1001" s="103"/>
      <c r="G1001" s="103"/>
      <c r="H1001" s="103"/>
    </row>
  </sheetData>
  <mergeCells count="29">
    <mergeCell ref="A1:G1"/>
    <mergeCell ref="F2:H2"/>
    <mergeCell ref="X2:Y2"/>
    <mergeCell ref="A3:A6"/>
    <mergeCell ref="A7:A10"/>
    <mergeCell ref="AA10:AC10"/>
    <mergeCell ref="A11:A14"/>
    <mergeCell ref="A40:A43"/>
    <mergeCell ref="A44:A47"/>
    <mergeCell ref="A48:A51"/>
    <mergeCell ref="A52:A55"/>
    <mergeCell ref="A56:A59"/>
    <mergeCell ref="A60:A63"/>
    <mergeCell ref="A15:A18"/>
    <mergeCell ref="A19:A22"/>
    <mergeCell ref="A23:A26"/>
    <mergeCell ref="A27:A30"/>
    <mergeCell ref="A34:G34"/>
    <mergeCell ref="F35:H35"/>
    <mergeCell ref="A36:A39"/>
    <mergeCell ref="AA44:AC51"/>
    <mergeCell ref="AA52:AC52"/>
    <mergeCell ref="AA11:AC18"/>
    <mergeCell ref="AD11:AE18"/>
    <mergeCell ref="AA21:AC21"/>
    <mergeCell ref="X35:Y35"/>
    <mergeCell ref="X40:Y40"/>
    <mergeCell ref="AA43:AC43"/>
    <mergeCell ref="AD44:AE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6.63"/>
    <col customWidth="1" min="3" max="3" width="6.0"/>
    <col customWidth="1" min="4" max="4" width="7.75"/>
    <col customWidth="1" min="5" max="5" width="15.88"/>
    <col customWidth="1" min="6" max="6" width="12.63"/>
    <col customWidth="1" min="7" max="7" width="2.38"/>
    <col customWidth="1" min="9" max="9" width="17.25"/>
    <col hidden="1" min="10" max="23" width="12.63"/>
    <col customWidth="1" min="31" max="31" width="14.5"/>
    <col customWidth="1" min="32" max="32" width="21.63"/>
    <col customWidth="1" hidden="1" min="40" max="40" width="12.63"/>
  </cols>
  <sheetData>
    <row r="1" ht="15.75" customHeight="1">
      <c r="A1" s="1" t="s">
        <v>134</v>
      </c>
      <c r="I1" s="2"/>
      <c r="AE1" s="4"/>
      <c r="AF1" s="2"/>
      <c r="AG1" s="4"/>
      <c r="AH1" s="4"/>
      <c r="AI1" s="4"/>
      <c r="AJ1" s="4"/>
      <c r="AK1" s="4"/>
      <c r="AL1" s="4"/>
      <c r="AM1" s="4"/>
      <c r="AN1" s="4"/>
    </row>
    <row r="2" ht="15.75" customHeight="1">
      <c r="A2" s="74" t="s">
        <v>1</v>
      </c>
      <c r="B2" s="74" t="s">
        <v>2</v>
      </c>
      <c r="C2" s="74" t="s">
        <v>3</v>
      </c>
      <c r="D2" s="74" t="s">
        <v>4</v>
      </c>
      <c r="E2" s="129" t="s">
        <v>5</v>
      </c>
      <c r="F2" s="75" t="s">
        <v>6</v>
      </c>
      <c r="G2" s="7"/>
      <c r="H2" s="8"/>
      <c r="I2" s="130" t="s">
        <v>7</v>
      </c>
      <c r="J2" s="131" t="s">
        <v>8</v>
      </c>
      <c r="K2" s="132" t="s">
        <v>9</v>
      </c>
      <c r="L2" s="132" t="s">
        <v>10</v>
      </c>
      <c r="M2" s="131"/>
      <c r="N2" s="131" t="s">
        <v>11</v>
      </c>
      <c r="O2" s="131" t="s">
        <v>12</v>
      </c>
      <c r="P2" s="131" t="s">
        <v>13</v>
      </c>
      <c r="Q2" s="131" t="s">
        <v>14</v>
      </c>
      <c r="R2" s="131" t="s">
        <v>15</v>
      </c>
      <c r="S2" s="131" t="s">
        <v>16</v>
      </c>
      <c r="T2" s="131" t="s">
        <v>17</v>
      </c>
      <c r="U2" s="131" t="s">
        <v>18</v>
      </c>
      <c r="V2" s="131" t="s">
        <v>19</v>
      </c>
      <c r="W2" s="93" t="s">
        <v>20</v>
      </c>
      <c r="Y2" s="10" t="s">
        <v>20</v>
      </c>
      <c r="Z2" s="8"/>
      <c r="AA2" s="38"/>
      <c r="AB2" s="38"/>
      <c r="AC2" s="38"/>
      <c r="AE2" s="74" t="s">
        <v>11</v>
      </c>
      <c r="AF2" s="74" t="s">
        <v>12</v>
      </c>
      <c r="AG2" s="74" t="s">
        <v>13</v>
      </c>
      <c r="AH2" s="74" t="s">
        <v>14</v>
      </c>
      <c r="AI2" s="74" t="s">
        <v>15</v>
      </c>
      <c r="AJ2" s="74" t="s">
        <v>16</v>
      </c>
      <c r="AK2" s="74" t="s">
        <v>17</v>
      </c>
      <c r="AL2" s="74" t="s">
        <v>18</v>
      </c>
      <c r="AM2" s="74" t="s">
        <v>19</v>
      </c>
      <c r="AN2" s="132"/>
    </row>
    <row r="3" ht="15.75" customHeight="1">
      <c r="A3" s="133">
        <v>1.0</v>
      </c>
      <c r="B3" s="134">
        <v>45581.0</v>
      </c>
      <c r="C3" s="89" t="s">
        <v>130</v>
      </c>
      <c r="D3" s="89" t="s">
        <v>22</v>
      </c>
      <c r="E3" s="135" t="s">
        <v>67</v>
      </c>
      <c r="F3" s="14">
        <v>2.0</v>
      </c>
      <c r="G3" s="136" t="s">
        <v>24</v>
      </c>
      <c r="H3" s="14">
        <v>4.0</v>
      </c>
      <c r="I3" s="137" t="s">
        <v>34</v>
      </c>
      <c r="J3" s="138"/>
      <c r="K3" s="139">
        <f t="shared" ref="K3:K68" si="1">IF(F3="","",IFS(F3&gt;H3,3,F3=H3,1,H3&gt;F3,0,F3="",0))</f>
        <v>0</v>
      </c>
      <c r="L3" s="140">
        <f t="shared" ref="L3:L68" si="2">IF(H3="","",IFS(F3&lt;H3,3,F3=H3,1,H3&lt;F3,0))</f>
        <v>3</v>
      </c>
      <c r="M3" s="138"/>
      <c r="N3" s="141">
        <v>1.0</v>
      </c>
      <c r="O3" s="142" t="s">
        <v>67</v>
      </c>
      <c r="P3" s="140">
        <f t="shared" ref="P3:P14" si="3">SUMIF(E$3:E$68,O3,K$3:K$68)+SUMIF(I$3:I$68,O3,L$3:L$68)</f>
        <v>16</v>
      </c>
      <c r="Q3" s="143">
        <f t="shared" ref="Q3:Q14" si="4">COUNTIFS(E$3:E$68,O3,K$3:K$68,3)+COUNTIFS(I$3:I$68,O3,L$3:L$68,3)</f>
        <v>5</v>
      </c>
      <c r="R3" s="143">
        <f t="shared" ref="R3:R14" si="5">COUNTIFS(E$3:E$68,O3,K$3:K$68,1)+COUNTIFS(I$3:I$68,O3,L$3:L$68,1)</f>
        <v>1</v>
      </c>
      <c r="S3" s="21">
        <f t="shared" ref="S3:S14" si="6">COUNTIFS(E$3:E$68,O3,K$3:K$68,0)+COUNTIFS(I$3:I$68,O3,L$3:L$68,0)</f>
        <v>5</v>
      </c>
      <c r="T3" s="141">
        <f t="shared" ref="T3:T14" si="7">SUMIF(E$3:E$68,O3,F$3:F$68)+SUMIF(I$3:I$68,O3,H$3:H$68)</f>
        <v>38</v>
      </c>
      <c r="U3" s="21">
        <f t="shared" ref="U3:U14" si="8">SUMIF(E$3:E$68,O3,H$3:H$68)+SUMIF(I$3:I$68,O3,F$3:F$68)</f>
        <v>32</v>
      </c>
      <c r="V3" s="141">
        <f t="shared" ref="V3:V14" si="9">T3-U3</f>
        <v>6</v>
      </c>
      <c r="Y3" s="23" t="s">
        <v>26</v>
      </c>
      <c r="Z3" s="23" t="s">
        <v>13</v>
      </c>
      <c r="AA3" s="144"/>
      <c r="AB3" s="144"/>
      <c r="AC3" s="144"/>
      <c r="AE3" s="145" t="s">
        <v>29</v>
      </c>
      <c r="AF3" s="146" t="str">
        <f t="array" ref="AF3:AN14">SORT(O3:W14,2,FALSE,9,FALSE,8,FALSE())</f>
        <v>GPT</v>
      </c>
      <c r="AG3" s="147">
        <v>30.0</v>
      </c>
      <c r="AH3" s="147">
        <v>10.0</v>
      </c>
      <c r="AI3" s="147">
        <v>0.0</v>
      </c>
      <c r="AJ3" s="147">
        <v>1.0</v>
      </c>
      <c r="AK3" s="147">
        <v>57.0</v>
      </c>
      <c r="AL3" s="147">
        <v>21.0</v>
      </c>
      <c r="AM3" s="147">
        <v>36.0</v>
      </c>
      <c r="AN3" s="148"/>
    </row>
    <row r="4" ht="15.75" customHeight="1">
      <c r="A4" s="29"/>
      <c r="B4" s="134">
        <v>45581.0</v>
      </c>
      <c r="C4" s="89" t="s">
        <v>75</v>
      </c>
      <c r="D4" s="89" t="s">
        <v>22</v>
      </c>
      <c r="E4" s="135" t="s">
        <v>37</v>
      </c>
      <c r="F4" s="14">
        <v>4.0</v>
      </c>
      <c r="G4" s="136" t="s">
        <v>24</v>
      </c>
      <c r="H4" s="14">
        <v>1.0</v>
      </c>
      <c r="I4" s="137" t="s">
        <v>135</v>
      </c>
      <c r="J4" s="138"/>
      <c r="K4" s="139">
        <f t="shared" si="1"/>
        <v>3</v>
      </c>
      <c r="L4" s="140">
        <f t="shared" si="2"/>
        <v>0</v>
      </c>
      <c r="M4" s="138"/>
      <c r="N4" s="141">
        <v>2.0</v>
      </c>
      <c r="O4" s="142" t="s">
        <v>25</v>
      </c>
      <c r="P4" s="140">
        <f t="shared" si="3"/>
        <v>22</v>
      </c>
      <c r="Q4" s="143">
        <f t="shared" si="4"/>
        <v>7</v>
      </c>
      <c r="R4" s="143">
        <f t="shared" si="5"/>
        <v>1</v>
      </c>
      <c r="S4" s="21">
        <f t="shared" si="6"/>
        <v>3</v>
      </c>
      <c r="T4" s="141">
        <f t="shared" si="7"/>
        <v>51</v>
      </c>
      <c r="U4" s="21">
        <f t="shared" si="8"/>
        <v>27</v>
      </c>
      <c r="V4" s="141">
        <f t="shared" si="9"/>
        <v>24</v>
      </c>
      <c r="Y4" s="32" t="s">
        <v>66</v>
      </c>
      <c r="Z4" s="32">
        <v>3.0</v>
      </c>
      <c r="AA4" s="149"/>
      <c r="AB4" s="149"/>
      <c r="AC4" s="149"/>
      <c r="AE4" s="145" t="s">
        <v>35</v>
      </c>
      <c r="AF4" s="146" t="s">
        <v>34</v>
      </c>
      <c r="AG4" s="147">
        <v>25.0</v>
      </c>
      <c r="AH4" s="147">
        <v>8.0</v>
      </c>
      <c r="AI4" s="147">
        <v>1.0</v>
      </c>
      <c r="AJ4" s="147">
        <v>2.0</v>
      </c>
      <c r="AK4" s="147">
        <v>42.0</v>
      </c>
      <c r="AL4" s="147">
        <v>18.0</v>
      </c>
      <c r="AM4" s="147">
        <v>24.0</v>
      </c>
      <c r="AN4" s="148"/>
    </row>
    <row r="5" ht="15.75" customHeight="1">
      <c r="A5" s="29"/>
      <c r="B5" s="134">
        <v>45581.0</v>
      </c>
      <c r="C5" s="89" t="s">
        <v>76</v>
      </c>
      <c r="D5" s="89" t="s">
        <v>22</v>
      </c>
      <c r="E5" s="135" t="s">
        <v>38</v>
      </c>
      <c r="F5" s="14">
        <v>1.0</v>
      </c>
      <c r="G5" s="136" t="s">
        <v>24</v>
      </c>
      <c r="H5" s="14">
        <v>5.0</v>
      </c>
      <c r="I5" s="137" t="s">
        <v>64</v>
      </c>
      <c r="J5" s="138"/>
      <c r="K5" s="139">
        <f t="shared" si="1"/>
        <v>0</v>
      </c>
      <c r="L5" s="140">
        <f t="shared" si="2"/>
        <v>3</v>
      </c>
      <c r="M5" s="138"/>
      <c r="N5" s="141">
        <v>3.0</v>
      </c>
      <c r="O5" s="142" t="s">
        <v>34</v>
      </c>
      <c r="P5" s="140">
        <f t="shared" si="3"/>
        <v>25</v>
      </c>
      <c r="Q5" s="143">
        <f t="shared" si="4"/>
        <v>8</v>
      </c>
      <c r="R5" s="143">
        <f t="shared" si="5"/>
        <v>1</v>
      </c>
      <c r="S5" s="21">
        <f t="shared" si="6"/>
        <v>2</v>
      </c>
      <c r="T5" s="141">
        <f t="shared" si="7"/>
        <v>42</v>
      </c>
      <c r="U5" s="21">
        <f t="shared" si="8"/>
        <v>18</v>
      </c>
      <c r="V5" s="141">
        <f t="shared" si="9"/>
        <v>24</v>
      </c>
      <c r="Y5" s="32" t="s">
        <v>31</v>
      </c>
      <c r="Z5" s="32">
        <v>0.0</v>
      </c>
      <c r="AA5" s="149"/>
      <c r="AB5" s="149"/>
      <c r="AC5" s="149"/>
      <c r="AE5" s="145" t="s">
        <v>40</v>
      </c>
      <c r="AF5" s="146" t="s">
        <v>25</v>
      </c>
      <c r="AG5" s="147">
        <v>22.0</v>
      </c>
      <c r="AH5" s="147">
        <v>7.0</v>
      </c>
      <c r="AI5" s="147">
        <v>1.0</v>
      </c>
      <c r="AJ5" s="147">
        <v>3.0</v>
      </c>
      <c r="AK5" s="147">
        <v>51.0</v>
      </c>
      <c r="AL5" s="147">
        <v>27.0</v>
      </c>
      <c r="AM5" s="147">
        <v>24.0</v>
      </c>
      <c r="AN5" s="148"/>
    </row>
    <row r="6" ht="15.75" customHeight="1">
      <c r="A6" s="29"/>
      <c r="B6" s="134">
        <v>45581.0</v>
      </c>
      <c r="C6" s="89" t="s">
        <v>77</v>
      </c>
      <c r="D6" s="89" t="s">
        <v>22</v>
      </c>
      <c r="E6" s="135" t="s">
        <v>31</v>
      </c>
      <c r="F6" s="14">
        <v>4.0</v>
      </c>
      <c r="G6" s="136" t="s">
        <v>24</v>
      </c>
      <c r="H6" s="14">
        <v>1.0</v>
      </c>
      <c r="I6" s="137" t="s">
        <v>113</v>
      </c>
      <c r="J6" s="138"/>
      <c r="K6" s="139">
        <f t="shared" si="1"/>
        <v>3</v>
      </c>
      <c r="L6" s="140">
        <f t="shared" si="2"/>
        <v>0</v>
      </c>
      <c r="M6" s="138"/>
      <c r="N6" s="141">
        <v>4.0</v>
      </c>
      <c r="O6" s="142" t="s">
        <v>116</v>
      </c>
      <c r="P6" s="140">
        <f t="shared" si="3"/>
        <v>9</v>
      </c>
      <c r="Q6" s="143">
        <f t="shared" si="4"/>
        <v>3</v>
      </c>
      <c r="R6" s="143">
        <f t="shared" si="5"/>
        <v>0</v>
      </c>
      <c r="S6" s="21">
        <f t="shared" si="6"/>
        <v>8</v>
      </c>
      <c r="T6" s="141">
        <f t="shared" si="7"/>
        <v>22</v>
      </c>
      <c r="U6" s="21">
        <f t="shared" si="8"/>
        <v>51</v>
      </c>
      <c r="V6" s="141">
        <f t="shared" si="9"/>
        <v>-29</v>
      </c>
      <c r="AE6" s="145" t="s">
        <v>44</v>
      </c>
      <c r="AF6" s="146" t="s">
        <v>66</v>
      </c>
      <c r="AG6" s="147">
        <v>19.0</v>
      </c>
      <c r="AH6" s="147">
        <v>6.0</v>
      </c>
      <c r="AI6" s="147">
        <v>1.0</v>
      </c>
      <c r="AJ6" s="147">
        <v>4.0</v>
      </c>
      <c r="AK6" s="147">
        <v>36.0</v>
      </c>
      <c r="AL6" s="147">
        <v>25.0</v>
      </c>
      <c r="AM6" s="147">
        <v>11.0</v>
      </c>
      <c r="AN6" s="148"/>
    </row>
    <row r="7" ht="15.75" customHeight="1">
      <c r="A7" s="29"/>
      <c r="B7" s="134">
        <v>45581.0</v>
      </c>
      <c r="C7" s="89" t="s">
        <v>58</v>
      </c>
      <c r="D7" s="89" t="s">
        <v>22</v>
      </c>
      <c r="E7" s="135" t="s">
        <v>116</v>
      </c>
      <c r="F7" s="14">
        <v>1.0</v>
      </c>
      <c r="G7" s="136" t="s">
        <v>24</v>
      </c>
      <c r="H7" s="14">
        <v>6.0</v>
      </c>
      <c r="I7" s="137" t="s">
        <v>66</v>
      </c>
      <c r="J7" s="138"/>
      <c r="K7" s="139">
        <f t="shared" si="1"/>
        <v>0</v>
      </c>
      <c r="L7" s="140">
        <f t="shared" si="2"/>
        <v>3</v>
      </c>
      <c r="M7" s="138"/>
      <c r="N7" s="141">
        <v>5.0</v>
      </c>
      <c r="O7" s="150" t="s">
        <v>135</v>
      </c>
      <c r="P7" s="140">
        <f t="shared" si="3"/>
        <v>6</v>
      </c>
      <c r="Q7" s="143">
        <f t="shared" si="4"/>
        <v>2</v>
      </c>
      <c r="R7" s="143">
        <f t="shared" si="5"/>
        <v>0</v>
      </c>
      <c r="S7" s="21">
        <f t="shared" si="6"/>
        <v>9</v>
      </c>
      <c r="T7" s="141">
        <f t="shared" si="7"/>
        <v>28</v>
      </c>
      <c r="U7" s="21">
        <f t="shared" si="8"/>
        <v>67</v>
      </c>
      <c r="V7" s="141">
        <f t="shared" si="9"/>
        <v>-39</v>
      </c>
      <c r="AE7" s="151" t="s">
        <v>46</v>
      </c>
      <c r="AF7" s="146" t="s">
        <v>31</v>
      </c>
      <c r="AG7" s="147">
        <v>19.0</v>
      </c>
      <c r="AH7" s="147">
        <v>6.0</v>
      </c>
      <c r="AI7" s="147">
        <v>1.0</v>
      </c>
      <c r="AJ7" s="147">
        <v>4.0</v>
      </c>
      <c r="AK7" s="147">
        <v>33.0</v>
      </c>
      <c r="AL7" s="147">
        <v>33.0</v>
      </c>
      <c r="AM7" s="147">
        <v>0.0</v>
      </c>
      <c r="AN7" s="148"/>
    </row>
    <row r="8" ht="15.75" customHeight="1">
      <c r="A8" s="37"/>
      <c r="B8" s="152">
        <v>45581.0</v>
      </c>
      <c r="C8" s="14" t="s">
        <v>59</v>
      </c>
      <c r="D8" s="14" t="s">
        <v>22</v>
      </c>
      <c r="E8" s="153" t="s">
        <v>42</v>
      </c>
      <c r="F8" s="14">
        <v>2.0</v>
      </c>
      <c r="G8" s="136" t="s">
        <v>24</v>
      </c>
      <c r="H8" s="14">
        <v>7.0</v>
      </c>
      <c r="I8" s="154" t="s">
        <v>25</v>
      </c>
      <c r="J8" s="138"/>
      <c r="K8" s="139">
        <f t="shared" si="1"/>
        <v>0</v>
      </c>
      <c r="L8" s="140">
        <f t="shared" si="2"/>
        <v>3</v>
      </c>
      <c r="M8" s="138"/>
      <c r="N8" s="141">
        <v>6.0</v>
      </c>
      <c r="O8" s="142" t="s">
        <v>31</v>
      </c>
      <c r="P8" s="140">
        <f t="shared" si="3"/>
        <v>19</v>
      </c>
      <c r="Q8" s="143">
        <f t="shared" si="4"/>
        <v>6</v>
      </c>
      <c r="R8" s="143">
        <f t="shared" si="5"/>
        <v>1</v>
      </c>
      <c r="S8" s="21">
        <f t="shared" si="6"/>
        <v>4</v>
      </c>
      <c r="T8" s="141">
        <f t="shared" si="7"/>
        <v>33</v>
      </c>
      <c r="U8" s="21">
        <f t="shared" si="8"/>
        <v>33</v>
      </c>
      <c r="V8" s="141">
        <f t="shared" si="9"/>
        <v>0</v>
      </c>
      <c r="AE8" s="151" t="s">
        <v>48</v>
      </c>
      <c r="AF8" s="146" t="s">
        <v>113</v>
      </c>
      <c r="AG8" s="147">
        <v>18.0</v>
      </c>
      <c r="AH8" s="147">
        <v>6.0</v>
      </c>
      <c r="AI8" s="147">
        <v>0.0</v>
      </c>
      <c r="AJ8" s="147">
        <v>5.0</v>
      </c>
      <c r="AK8" s="147">
        <v>30.0</v>
      </c>
      <c r="AL8" s="147">
        <v>25.0</v>
      </c>
      <c r="AM8" s="147">
        <v>5.0</v>
      </c>
      <c r="AN8" s="148"/>
    </row>
    <row r="9" ht="15.75" customHeight="1">
      <c r="A9" s="133">
        <v>2.0</v>
      </c>
      <c r="B9" s="12">
        <v>45595.0</v>
      </c>
      <c r="C9" s="13" t="s">
        <v>130</v>
      </c>
      <c r="D9" s="13" t="s">
        <v>22</v>
      </c>
      <c r="E9" s="135" t="s">
        <v>34</v>
      </c>
      <c r="F9" s="14">
        <v>3.0</v>
      </c>
      <c r="G9" s="136" t="s">
        <v>24</v>
      </c>
      <c r="H9" s="14">
        <v>2.0</v>
      </c>
      <c r="I9" s="137" t="s">
        <v>42</v>
      </c>
      <c r="J9" s="138"/>
      <c r="K9" s="139">
        <f t="shared" si="1"/>
        <v>3</v>
      </c>
      <c r="L9" s="140">
        <f t="shared" si="2"/>
        <v>0</v>
      </c>
      <c r="M9" s="138"/>
      <c r="N9" s="141">
        <v>7.0</v>
      </c>
      <c r="O9" s="142" t="s">
        <v>64</v>
      </c>
      <c r="P9" s="140">
        <f t="shared" si="3"/>
        <v>30</v>
      </c>
      <c r="Q9" s="143">
        <f t="shared" si="4"/>
        <v>10</v>
      </c>
      <c r="R9" s="143">
        <f t="shared" si="5"/>
        <v>0</v>
      </c>
      <c r="S9" s="21">
        <f t="shared" si="6"/>
        <v>1</v>
      </c>
      <c r="T9" s="141">
        <f t="shared" si="7"/>
        <v>57</v>
      </c>
      <c r="U9" s="21">
        <f t="shared" si="8"/>
        <v>21</v>
      </c>
      <c r="V9" s="141">
        <f t="shared" si="9"/>
        <v>36</v>
      </c>
      <c r="Y9" s="10" t="s">
        <v>20</v>
      </c>
      <c r="Z9" s="7"/>
      <c r="AA9" s="7"/>
      <c r="AB9" s="7"/>
      <c r="AC9" s="8"/>
      <c r="AE9" s="145">
        <v>7.0</v>
      </c>
      <c r="AF9" s="146" t="s">
        <v>37</v>
      </c>
      <c r="AG9" s="147">
        <v>16.0</v>
      </c>
      <c r="AH9" s="147">
        <v>4.0</v>
      </c>
      <c r="AI9" s="147">
        <v>4.0</v>
      </c>
      <c r="AJ9" s="147">
        <v>3.0</v>
      </c>
      <c r="AK9" s="147">
        <v>37.0</v>
      </c>
      <c r="AL9" s="147">
        <v>28.0</v>
      </c>
      <c r="AM9" s="147">
        <v>9.0</v>
      </c>
      <c r="AN9" s="148"/>
    </row>
    <row r="10" ht="15.75" customHeight="1">
      <c r="A10" s="29"/>
      <c r="B10" s="12">
        <v>45595.0</v>
      </c>
      <c r="C10" s="13" t="s">
        <v>75</v>
      </c>
      <c r="D10" s="13" t="s">
        <v>22</v>
      </c>
      <c r="E10" s="135" t="s">
        <v>135</v>
      </c>
      <c r="F10" s="14">
        <v>2.0</v>
      </c>
      <c r="G10" s="136" t="s">
        <v>24</v>
      </c>
      <c r="H10" s="14">
        <v>9.0</v>
      </c>
      <c r="I10" s="137" t="s">
        <v>67</v>
      </c>
      <c r="J10" s="138"/>
      <c r="K10" s="139">
        <f t="shared" si="1"/>
        <v>0</v>
      </c>
      <c r="L10" s="140">
        <f t="shared" si="2"/>
        <v>3</v>
      </c>
      <c r="M10" s="138"/>
      <c r="N10" s="141">
        <v>8.0</v>
      </c>
      <c r="O10" s="142" t="s">
        <v>38</v>
      </c>
      <c r="P10" s="140">
        <f t="shared" si="3"/>
        <v>3</v>
      </c>
      <c r="Q10" s="143">
        <f t="shared" si="4"/>
        <v>1</v>
      </c>
      <c r="R10" s="143">
        <f t="shared" si="5"/>
        <v>0</v>
      </c>
      <c r="S10" s="21">
        <f t="shared" si="6"/>
        <v>10</v>
      </c>
      <c r="T10" s="141">
        <f t="shared" si="7"/>
        <v>19</v>
      </c>
      <c r="U10" s="21">
        <f t="shared" si="8"/>
        <v>62</v>
      </c>
      <c r="V10" s="141">
        <f t="shared" si="9"/>
        <v>-43</v>
      </c>
      <c r="Y10" s="23" t="s">
        <v>26</v>
      </c>
      <c r="Z10" s="23" t="s">
        <v>13</v>
      </c>
      <c r="AA10" s="23" t="s">
        <v>27</v>
      </c>
      <c r="AB10" s="23" t="s">
        <v>28</v>
      </c>
      <c r="AC10" s="23" t="s">
        <v>19</v>
      </c>
      <c r="AE10" s="151">
        <v>8.0</v>
      </c>
      <c r="AF10" s="146" t="s">
        <v>67</v>
      </c>
      <c r="AG10" s="147">
        <v>16.0</v>
      </c>
      <c r="AH10" s="147">
        <v>5.0</v>
      </c>
      <c r="AI10" s="147">
        <v>1.0</v>
      </c>
      <c r="AJ10" s="147">
        <v>5.0</v>
      </c>
      <c r="AK10" s="147">
        <v>38.0</v>
      </c>
      <c r="AL10" s="147">
        <v>32.0</v>
      </c>
      <c r="AM10" s="147">
        <v>6.0</v>
      </c>
      <c r="AN10" s="148"/>
    </row>
    <row r="11" ht="15.75" customHeight="1">
      <c r="A11" s="29"/>
      <c r="B11" s="12">
        <v>45596.0</v>
      </c>
      <c r="C11" s="13" t="s">
        <v>21</v>
      </c>
      <c r="D11" s="13" t="s">
        <v>22</v>
      </c>
      <c r="E11" s="135" t="s">
        <v>64</v>
      </c>
      <c r="F11" s="14">
        <v>4.0</v>
      </c>
      <c r="G11" s="136" t="s">
        <v>24</v>
      </c>
      <c r="H11" s="14">
        <v>2.0</v>
      </c>
      <c r="I11" s="137" t="s">
        <v>37</v>
      </c>
      <c r="J11" s="138"/>
      <c r="K11" s="139">
        <f t="shared" si="1"/>
        <v>3</v>
      </c>
      <c r="L11" s="140">
        <f t="shared" si="2"/>
        <v>0</v>
      </c>
      <c r="M11" s="138"/>
      <c r="N11" s="141">
        <v>9.0</v>
      </c>
      <c r="O11" s="142" t="s">
        <v>113</v>
      </c>
      <c r="P11" s="140">
        <f t="shared" si="3"/>
        <v>18</v>
      </c>
      <c r="Q11" s="143">
        <f t="shared" si="4"/>
        <v>6</v>
      </c>
      <c r="R11" s="143">
        <f t="shared" si="5"/>
        <v>0</v>
      </c>
      <c r="S11" s="21">
        <f t="shared" si="6"/>
        <v>5</v>
      </c>
      <c r="T11" s="141">
        <f t="shared" si="7"/>
        <v>30</v>
      </c>
      <c r="U11" s="21">
        <f t="shared" si="8"/>
        <v>25</v>
      </c>
      <c r="V11" s="141">
        <f t="shared" si="9"/>
        <v>5</v>
      </c>
      <c r="Y11" s="31" t="s">
        <v>37</v>
      </c>
      <c r="Z11" s="31">
        <v>1.0</v>
      </c>
      <c r="AA11" s="32">
        <v>37.0</v>
      </c>
      <c r="AB11" s="32">
        <v>28.0</v>
      </c>
      <c r="AC11" s="32">
        <f t="shared" ref="AC11:AC12" si="10">AA11-AB11</f>
        <v>9</v>
      </c>
      <c r="AE11" s="155">
        <v>9.0</v>
      </c>
      <c r="AF11" s="146" t="s">
        <v>42</v>
      </c>
      <c r="AG11" s="147">
        <v>10.0</v>
      </c>
      <c r="AH11" s="147">
        <v>3.0</v>
      </c>
      <c r="AI11" s="147">
        <v>1.0</v>
      </c>
      <c r="AJ11" s="147">
        <v>7.0</v>
      </c>
      <c r="AK11" s="147">
        <v>35.0</v>
      </c>
      <c r="AL11" s="147">
        <v>39.0</v>
      </c>
      <c r="AM11" s="147">
        <v>-4.0</v>
      </c>
      <c r="AN11" s="148"/>
    </row>
    <row r="12" ht="15.75" customHeight="1">
      <c r="A12" s="29"/>
      <c r="B12" s="12">
        <v>45596.0</v>
      </c>
      <c r="C12" s="13" t="s">
        <v>30</v>
      </c>
      <c r="D12" s="13" t="s">
        <v>22</v>
      </c>
      <c r="E12" s="156" t="s">
        <v>113</v>
      </c>
      <c r="F12" s="14">
        <v>0.0</v>
      </c>
      <c r="G12" s="136" t="s">
        <v>24</v>
      </c>
      <c r="H12" s="14">
        <v>3.0</v>
      </c>
      <c r="I12" s="137" t="s">
        <v>38</v>
      </c>
      <c r="J12" s="138"/>
      <c r="K12" s="139">
        <f t="shared" si="1"/>
        <v>0</v>
      </c>
      <c r="L12" s="140">
        <f t="shared" si="2"/>
        <v>3</v>
      </c>
      <c r="M12" s="138"/>
      <c r="N12" s="141">
        <v>10.0</v>
      </c>
      <c r="O12" s="142" t="s">
        <v>37</v>
      </c>
      <c r="P12" s="140">
        <f t="shared" si="3"/>
        <v>16</v>
      </c>
      <c r="Q12" s="143">
        <f t="shared" si="4"/>
        <v>4</v>
      </c>
      <c r="R12" s="143">
        <f t="shared" si="5"/>
        <v>4</v>
      </c>
      <c r="S12" s="21">
        <f t="shared" si="6"/>
        <v>3</v>
      </c>
      <c r="T12" s="141">
        <f t="shared" si="7"/>
        <v>37</v>
      </c>
      <c r="U12" s="21">
        <f t="shared" si="8"/>
        <v>28</v>
      </c>
      <c r="V12" s="141">
        <f t="shared" si="9"/>
        <v>9</v>
      </c>
      <c r="Y12" s="32" t="s">
        <v>136</v>
      </c>
      <c r="Z12" s="32">
        <v>1.0</v>
      </c>
      <c r="AA12" s="32">
        <v>38.0</v>
      </c>
      <c r="AB12" s="32">
        <v>32.0</v>
      </c>
      <c r="AC12" s="32">
        <f t="shared" si="10"/>
        <v>6</v>
      </c>
      <c r="AE12" s="155">
        <v>10.0</v>
      </c>
      <c r="AF12" s="146" t="s">
        <v>116</v>
      </c>
      <c r="AG12" s="147">
        <v>9.0</v>
      </c>
      <c r="AH12" s="147">
        <v>3.0</v>
      </c>
      <c r="AI12" s="147">
        <v>0.0</v>
      </c>
      <c r="AJ12" s="147">
        <v>8.0</v>
      </c>
      <c r="AK12" s="147">
        <v>22.0</v>
      </c>
      <c r="AL12" s="147">
        <v>51.0</v>
      </c>
      <c r="AM12" s="147">
        <v>-29.0</v>
      </c>
      <c r="AN12" s="148"/>
    </row>
    <row r="13" ht="15.75" customHeight="1">
      <c r="A13" s="29"/>
      <c r="B13" s="12">
        <v>45596.0</v>
      </c>
      <c r="C13" s="13" t="s">
        <v>36</v>
      </c>
      <c r="D13" s="13" t="s">
        <v>22</v>
      </c>
      <c r="E13" s="135" t="s">
        <v>66</v>
      </c>
      <c r="F13" s="14">
        <v>5.0</v>
      </c>
      <c r="G13" s="136" t="s">
        <v>24</v>
      </c>
      <c r="H13" s="14">
        <v>2.0</v>
      </c>
      <c r="I13" s="137" t="s">
        <v>31</v>
      </c>
      <c r="J13" s="138"/>
      <c r="K13" s="139">
        <f t="shared" si="1"/>
        <v>3</v>
      </c>
      <c r="L13" s="140">
        <f t="shared" si="2"/>
        <v>0</v>
      </c>
      <c r="M13" s="138"/>
      <c r="N13" s="141">
        <v>11.0</v>
      </c>
      <c r="O13" s="142" t="s">
        <v>66</v>
      </c>
      <c r="P13" s="140">
        <f t="shared" si="3"/>
        <v>19</v>
      </c>
      <c r="Q13" s="143">
        <f t="shared" si="4"/>
        <v>6</v>
      </c>
      <c r="R13" s="143">
        <f t="shared" si="5"/>
        <v>1</v>
      </c>
      <c r="S13" s="21">
        <f t="shared" si="6"/>
        <v>4</v>
      </c>
      <c r="T13" s="141">
        <f t="shared" si="7"/>
        <v>36</v>
      </c>
      <c r="U13" s="21">
        <f t="shared" si="8"/>
        <v>25</v>
      </c>
      <c r="V13" s="141">
        <f t="shared" si="9"/>
        <v>11</v>
      </c>
      <c r="AE13" s="157">
        <v>11.0</v>
      </c>
      <c r="AF13" s="158" t="s">
        <v>135</v>
      </c>
      <c r="AG13" s="147">
        <v>6.0</v>
      </c>
      <c r="AH13" s="147">
        <v>2.0</v>
      </c>
      <c r="AI13" s="147">
        <v>0.0</v>
      </c>
      <c r="AJ13" s="147">
        <v>9.0</v>
      </c>
      <c r="AK13" s="147">
        <v>28.0</v>
      </c>
      <c r="AL13" s="147">
        <v>67.0</v>
      </c>
      <c r="AM13" s="147">
        <v>-39.0</v>
      </c>
      <c r="AN13" s="148"/>
    </row>
    <row r="14" ht="15.75" customHeight="1">
      <c r="A14" s="37"/>
      <c r="B14" s="12">
        <v>45596.0</v>
      </c>
      <c r="C14" s="13" t="s">
        <v>41</v>
      </c>
      <c r="D14" s="13" t="s">
        <v>22</v>
      </c>
      <c r="E14" s="153" t="s">
        <v>25</v>
      </c>
      <c r="F14" s="14">
        <v>4.0</v>
      </c>
      <c r="G14" s="136" t="s">
        <v>24</v>
      </c>
      <c r="H14" s="14">
        <v>1.0</v>
      </c>
      <c r="I14" s="154" t="s">
        <v>116</v>
      </c>
      <c r="J14" s="138"/>
      <c r="K14" s="139">
        <f t="shared" si="1"/>
        <v>3</v>
      </c>
      <c r="L14" s="140">
        <f t="shared" si="2"/>
        <v>0</v>
      </c>
      <c r="M14" s="138"/>
      <c r="N14" s="159">
        <v>12.0</v>
      </c>
      <c r="O14" s="142" t="s">
        <v>42</v>
      </c>
      <c r="P14" s="140">
        <f t="shared" si="3"/>
        <v>10</v>
      </c>
      <c r="Q14" s="143">
        <f t="shared" si="4"/>
        <v>3</v>
      </c>
      <c r="R14" s="143">
        <f t="shared" si="5"/>
        <v>1</v>
      </c>
      <c r="S14" s="21">
        <f t="shared" si="6"/>
        <v>7</v>
      </c>
      <c r="T14" s="141">
        <f t="shared" si="7"/>
        <v>35</v>
      </c>
      <c r="U14" s="21">
        <f t="shared" si="8"/>
        <v>39</v>
      </c>
      <c r="V14" s="141">
        <f t="shared" si="9"/>
        <v>-4</v>
      </c>
      <c r="AE14" s="160">
        <v>12.0</v>
      </c>
      <c r="AF14" s="161" t="s">
        <v>38</v>
      </c>
      <c r="AG14" s="147">
        <v>3.0</v>
      </c>
      <c r="AH14" s="147">
        <v>1.0</v>
      </c>
      <c r="AI14" s="147">
        <v>0.0</v>
      </c>
      <c r="AJ14" s="147">
        <v>10.0</v>
      </c>
      <c r="AK14" s="147">
        <v>19.0</v>
      </c>
      <c r="AL14" s="147">
        <v>62.0</v>
      </c>
      <c r="AM14" s="147">
        <v>-43.0</v>
      </c>
      <c r="AN14" s="148"/>
    </row>
    <row r="15" ht="15.75" customHeight="1">
      <c r="A15" s="133">
        <v>3.0</v>
      </c>
      <c r="B15" s="12">
        <v>45614.0</v>
      </c>
      <c r="C15" s="13" t="s">
        <v>21</v>
      </c>
      <c r="D15" s="13" t="s">
        <v>22</v>
      </c>
      <c r="E15" s="135" t="s">
        <v>34</v>
      </c>
      <c r="F15" s="14">
        <v>8.0</v>
      </c>
      <c r="G15" s="136" t="s">
        <v>24</v>
      </c>
      <c r="H15" s="14">
        <v>3.0</v>
      </c>
      <c r="I15" s="137" t="s">
        <v>135</v>
      </c>
      <c r="J15" s="138"/>
      <c r="K15" s="139">
        <f t="shared" si="1"/>
        <v>3</v>
      </c>
      <c r="L15" s="140">
        <f t="shared" si="2"/>
        <v>0</v>
      </c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AE15" s="46" t="s">
        <v>137</v>
      </c>
      <c r="AH15" s="162"/>
      <c r="AI15" s="162"/>
      <c r="AJ15" s="162"/>
      <c r="AK15" s="162"/>
      <c r="AL15" s="162"/>
      <c r="AM15" s="162"/>
      <c r="AN15" s="162"/>
    </row>
    <row r="16" ht="15.75" customHeight="1">
      <c r="A16" s="29"/>
      <c r="B16" s="12">
        <v>45615.0</v>
      </c>
      <c r="C16" s="13" t="s">
        <v>41</v>
      </c>
      <c r="D16" s="13" t="s">
        <v>22</v>
      </c>
      <c r="E16" s="135" t="s">
        <v>67</v>
      </c>
      <c r="F16" s="14">
        <v>4.0</v>
      </c>
      <c r="G16" s="136" t="s">
        <v>24</v>
      </c>
      <c r="H16" s="14">
        <v>6.0</v>
      </c>
      <c r="I16" s="137" t="s">
        <v>64</v>
      </c>
      <c r="J16" s="138"/>
      <c r="K16" s="139">
        <f t="shared" si="1"/>
        <v>0</v>
      </c>
      <c r="L16" s="140">
        <f t="shared" si="2"/>
        <v>3</v>
      </c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AE16" s="48"/>
      <c r="AH16" s="47"/>
      <c r="AJ16" s="162"/>
      <c r="AK16" s="162"/>
      <c r="AL16" s="162"/>
      <c r="AM16" s="162"/>
      <c r="AN16" s="162"/>
    </row>
    <row r="17" ht="15.75" customHeight="1">
      <c r="A17" s="29"/>
      <c r="B17" s="12">
        <v>45614.0</v>
      </c>
      <c r="C17" s="13" t="s">
        <v>36</v>
      </c>
      <c r="D17" s="13" t="s">
        <v>22</v>
      </c>
      <c r="E17" s="135" t="s">
        <v>37</v>
      </c>
      <c r="F17" s="14">
        <v>1.0</v>
      </c>
      <c r="G17" s="136" t="s">
        <v>24</v>
      </c>
      <c r="H17" s="14">
        <v>3.0</v>
      </c>
      <c r="I17" s="137" t="s">
        <v>113</v>
      </c>
      <c r="J17" s="138"/>
      <c r="K17" s="139">
        <f t="shared" si="1"/>
        <v>0</v>
      </c>
      <c r="L17" s="140">
        <f t="shared" si="2"/>
        <v>3</v>
      </c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AJ17" s="162"/>
      <c r="AK17" s="162"/>
      <c r="AL17" s="162"/>
      <c r="AM17" s="162"/>
      <c r="AN17" s="162"/>
    </row>
    <row r="18" ht="15.75" customHeight="1">
      <c r="A18" s="29"/>
      <c r="B18" s="12">
        <v>45614.0</v>
      </c>
      <c r="C18" s="13" t="s">
        <v>41</v>
      </c>
      <c r="D18" s="13" t="s">
        <v>22</v>
      </c>
      <c r="E18" s="135" t="s">
        <v>38</v>
      </c>
      <c r="F18" s="14">
        <v>1.0</v>
      </c>
      <c r="G18" s="136" t="s">
        <v>24</v>
      </c>
      <c r="H18" s="14">
        <v>9.0</v>
      </c>
      <c r="I18" s="137" t="s">
        <v>66</v>
      </c>
      <c r="J18" s="163"/>
      <c r="K18" s="139">
        <f t="shared" si="1"/>
        <v>0</v>
      </c>
      <c r="L18" s="140">
        <f t="shared" si="2"/>
        <v>3</v>
      </c>
      <c r="M18" s="138"/>
      <c r="N18" s="138"/>
      <c r="O18" s="138"/>
      <c r="P18" s="138"/>
      <c r="R18" s="138"/>
      <c r="S18" s="138"/>
      <c r="T18" s="138"/>
      <c r="U18" s="138"/>
      <c r="V18" s="138"/>
      <c r="AJ18" s="4"/>
      <c r="AK18" s="4"/>
      <c r="AL18" s="4"/>
      <c r="AM18" s="4"/>
      <c r="AN18" s="4"/>
    </row>
    <row r="19" ht="15.75" customHeight="1">
      <c r="A19" s="29"/>
      <c r="B19" s="12">
        <v>45615.0</v>
      </c>
      <c r="C19" s="13" t="s">
        <v>21</v>
      </c>
      <c r="D19" s="13" t="s">
        <v>22</v>
      </c>
      <c r="E19" s="153" t="s">
        <v>31</v>
      </c>
      <c r="F19" s="14">
        <v>1.0</v>
      </c>
      <c r="G19" s="136" t="s">
        <v>24</v>
      </c>
      <c r="H19" s="14">
        <v>6.0</v>
      </c>
      <c r="I19" s="154" t="s">
        <v>25</v>
      </c>
      <c r="J19" s="138"/>
      <c r="K19" s="139">
        <f t="shared" si="1"/>
        <v>0</v>
      </c>
      <c r="L19" s="140">
        <f t="shared" si="2"/>
        <v>3</v>
      </c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AJ19" s="162"/>
      <c r="AK19" s="162"/>
      <c r="AL19" s="162"/>
      <c r="AM19" s="162"/>
      <c r="AN19" s="162"/>
    </row>
    <row r="20" ht="15.75" customHeight="1">
      <c r="A20" s="37"/>
      <c r="B20" s="12">
        <v>45615.0</v>
      </c>
      <c r="C20" s="13" t="s">
        <v>30</v>
      </c>
      <c r="D20" s="13" t="s">
        <v>22</v>
      </c>
      <c r="E20" s="135" t="s">
        <v>42</v>
      </c>
      <c r="F20" s="14">
        <v>3.0</v>
      </c>
      <c r="G20" s="136" t="s">
        <v>24</v>
      </c>
      <c r="H20" s="14">
        <v>1.0</v>
      </c>
      <c r="I20" s="137" t="s">
        <v>116</v>
      </c>
      <c r="J20" s="138"/>
      <c r="K20" s="139">
        <f t="shared" si="1"/>
        <v>3</v>
      </c>
      <c r="L20" s="140">
        <f t="shared" si="2"/>
        <v>0</v>
      </c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AJ20" s="162"/>
      <c r="AK20" s="162"/>
      <c r="AL20" s="162"/>
      <c r="AM20" s="162"/>
      <c r="AN20" s="162"/>
    </row>
    <row r="21" ht="15.75" customHeight="1">
      <c r="A21" s="133">
        <v>4.0</v>
      </c>
      <c r="B21" s="54">
        <v>45627.0</v>
      </c>
      <c r="C21" s="13" t="s">
        <v>51</v>
      </c>
      <c r="D21" s="13" t="s">
        <v>22</v>
      </c>
      <c r="E21" s="135" t="s">
        <v>135</v>
      </c>
      <c r="F21" s="14">
        <v>5.0</v>
      </c>
      <c r="G21" s="136" t="s">
        <v>24</v>
      </c>
      <c r="H21" s="14">
        <v>4.0</v>
      </c>
      <c r="I21" s="137" t="s">
        <v>42</v>
      </c>
      <c r="J21" s="138"/>
      <c r="K21" s="139">
        <f t="shared" si="1"/>
        <v>3</v>
      </c>
      <c r="L21" s="140">
        <f t="shared" si="2"/>
        <v>0</v>
      </c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AJ21" s="162"/>
      <c r="AK21" s="162"/>
      <c r="AL21" s="162"/>
      <c r="AM21" s="162"/>
      <c r="AN21" s="162"/>
    </row>
    <row r="22" ht="15.75" customHeight="1">
      <c r="A22" s="29"/>
      <c r="B22" s="54">
        <v>45627.0</v>
      </c>
      <c r="C22" s="13" t="s">
        <v>53</v>
      </c>
      <c r="D22" s="13" t="s">
        <v>22</v>
      </c>
      <c r="E22" s="135" t="s">
        <v>64</v>
      </c>
      <c r="F22" s="14">
        <v>2.0</v>
      </c>
      <c r="G22" s="136" t="s">
        <v>24</v>
      </c>
      <c r="H22" s="14">
        <v>1.0</v>
      </c>
      <c r="I22" s="137" t="s">
        <v>34</v>
      </c>
      <c r="J22" s="138"/>
      <c r="K22" s="139">
        <f t="shared" si="1"/>
        <v>3</v>
      </c>
      <c r="L22" s="140">
        <f t="shared" si="2"/>
        <v>0</v>
      </c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AJ22" s="162"/>
      <c r="AK22" s="162"/>
      <c r="AL22" s="162"/>
      <c r="AM22" s="162"/>
      <c r="AN22" s="162"/>
    </row>
    <row r="23" ht="15.75" customHeight="1">
      <c r="A23" s="29"/>
      <c r="B23" s="54">
        <v>45627.0</v>
      </c>
      <c r="C23" s="13" t="s">
        <v>54</v>
      </c>
      <c r="D23" s="13" t="s">
        <v>22</v>
      </c>
      <c r="E23" s="135" t="s">
        <v>113</v>
      </c>
      <c r="F23" s="14">
        <v>2.0</v>
      </c>
      <c r="G23" s="136" t="s">
        <v>24</v>
      </c>
      <c r="H23" s="14">
        <v>1.0</v>
      </c>
      <c r="I23" s="137" t="s">
        <v>67</v>
      </c>
      <c r="J23" s="138"/>
      <c r="K23" s="139">
        <f t="shared" si="1"/>
        <v>3</v>
      </c>
      <c r="L23" s="140">
        <f t="shared" si="2"/>
        <v>0</v>
      </c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AJ23" s="162"/>
      <c r="AK23" s="162"/>
      <c r="AL23" s="162"/>
      <c r="AM23" s="162"/>
      <c r="AN23" s="162"/>
    </row>
    <row r="24" ht="15.75" customHeight="1">
      <c r="A24" s="29"/>
      <c r="B24" s="54">
        <v>45627.0</v>
      </c>
      <c r="C24" s="49" t="s">
        <v>57</v>
      </c>
      <c r="D24" s="13" t="s">
        <v>22</v>
      </c>
      <c r="E24" s="135" t="s">
        <v>66</v>
      </c>
      <c r="F24" s="14">
        <v>4.0</v>
      </c>
      <c r="G24" s="136" t="s">
        <v>24</v>
      </c>
      <c r="H24" s="14">
        <v>4.0</v>
      </c>
      <c r="I24" s="137" t="s">
        <v>37</v>
      </c>
      <c r="J24" s="138"/>
      <c r="K24" s="139">
        <f t="shared" si="1"/>
        <v>1</v>
      </c>
      <c r="L24" s="140">
        <f t="shared" si="2"/>
        <v>1</v>
      </c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AE24" s="93"/>
      <c r="AH24" s="162"/>
      <c r="AI24" s="162"/>
      <c r="AJ24" s="162"/>
      <c r="AK24" s="162"/>
      <c r="AL24" s="162"/>
      <c r="AM24" s="162"/>
      <c r="AN24" s="162"/>
    </row>
    <row r="25" ht="15.75" customHeight="1">
      <c r="A25" s="29"/>
      <c r="B25" s="54">
        <v>45627.0</v>
      </c>
      <c r="C25" s="13" t="s">
        <v>56</v>
      </c>
      <c r="D25" s="13" t="s">
        <v>22</v>
      </c>
      <c r="E25" s="153" t="s">
        <v>25</v>
      </c>
      <c r="F25" s="14">
        <v>8.0</v>
      </c>
      <c r="G25" s="136" t="s">
        <v>24</v>
      </c>
      <c r="H25" s="14">
        <v>1.0</v>
      </c>
      <c r="I25" s="154" t="s">
        <v>38</v>
      </c>
      <c r="J25" s="138"/>
      <c r="K25" s="139">
        <f t="shared" si="1"/>
        <v>3</v>
      </c>
      <c r="L25" s="140">
        <f t="shared" si="2"/>
        <v>0</v>
      </c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AE25" s="162"/>
      <c r="AF25" s="48"/>
      <c r="AG25" s="162"/>
      <c r="AH25" s="162"/>
      <c r="AI25" s="162"/>
      <c r="AJ25" s="162"/>
      <c r="AK25" s="162"/>
      <c r="AL25" s="162"/>
      <c r="AM25" s="162"/>
      <c r="AN25" s="162"/>
    </row>
    <row r="26" ht="15.75" customHeight="1">
      <c r="A26" s="37"/>
      <c r="B26" s="54">
        <v>45627.0</v>
      </c>
      <c r="C26" s="13" t="s">
        <v>55</v>
      </c>
      <c r="D26" s="13" t="s">
        <v>22</v>
      </c>
      <c r="E26" s="135" t="s">
        <v>116</v>
      </c>
      <c r="F26" s="14">
        <v>0.0</v>
      </c>
      <c r="G26" s="136" t="s">
        <v>24</v>
      </c>
      <c r="H26" s="14">
        <v>5.0</v>
      </c>
      <c r="I26" s="137" t="s">
        <v>31</v>
      </c>
      <c r="J26" s="138"/>
      <c r="K26" s="139">
        <f t="shared" si="1"/>
        <v>0</v>
      </c>
      <c r="L26" s="140">
        <f t="shared" si="2"/>
        <v>3</v>
      </c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AE26" s="162"/>
      <c r="AF26" s="48"/>
      <c r="AG26" s="162"/>
      <c r="AH26" s="162"/>
      <c r="AI26" s="162"/>
      <c r="AJ26" s="162"/>
      <c r="AK26" s="162"/>
      <c r="AL26" s="162"/>
      <c r="AM26" s="162"/>
      <c r="AN26" s="162"/>
    </row>
    <row r="27" ht="15.75" customHeight="1">
      <c r="A27" s="133">
        <v>5.0</v>
      </c>
      <c r="B27" s="54">
        <v>45644.0</v>
      </c>
      <c r="C27" s="13" t="s">
        <v>51</v>
      </c>
      <c r="D27" s="13" t="s">
        <v>22</v>
      </c>
      <c r="E27" s="135" t="s">
        <v>135</v>
      </c>
      <c r="F27" s="14">
        <v>1.0</v>
      </c>
      <c r="G27" s="136" t="s">
        <v>24</v>
      </c>
      <c r="H27" s="14">
        <v>8.0</v>
      </c>
      <c r="I27" s="137" t="s">
        <v>64</v>
      </c>
      <c r="J27" s="138"/>
      <c r="K27" s="139">
        <f t="shared" si="1"/>
        <v>0</v>
      </c>
      <c r="L27" s="140">
        <f t="shared" si="2"/>
        <v>3</v>
      </c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AE27" s="162"/>
      <c r="AF27" s="48"/>
      <c r="AG27" s="162"/>
      <c r="AH27" s="162"/>
      <c r="AI27" s="162"/>
      <c r="AJ27" s="162"/>
      <c r="AK27" s="162"/>
      <c r="AL27" s="162"/>
      <c r="AM27" s="162"/>
      <c r="AN27" s="162"/>
    </row>
    <row r="28" ht="15.75" customHeight="1">
      <c r="A28" s="29"/>
      <c r="B28" s="54">
        <v>45644.0</v>
      </c>
      <c r="C28" s="13" t="s">
        <v>53</v>
      </c>
      <c r="D28" s="13" t="s">
        <v>22</v>
      </c>
      <c r="E28" s="135" t="s">
        <v>34</v>
      </c>
      <c r="F28" s="14">
        <v>3.0</v>
      </c>
      <c r="G28" s="136" t="s">
        <v>24</v>
      </c>
      <c r="H28" s="14">
        <v>0.0</v>
      </c>
      <c r="I28" s="137" t="s">
        <v>113</v>
      </c>
      <c r="J28" s="138"/>
      <c r="K28" s="139">
        <f t="shared" si="1"/>
        <v>3</v>
      </c>
      <c r="L28" s="140">
        <f t="shared" si="2"/>
        <v>0</v>
      </c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AE28" s="162"/>
      <c r="AF28" s="48"/>
      <c r="AG28" s="162"/>
      <c r="AH28" s="162"/>
      <c r="AI28" s="162"/>
      <c r="AJ28" s="162"/>
      <c r="AK28" s="162"/>
      <c r="AL28" s="162"/>
      <c r="AM28" s="162"/>
      <c r="AN28" s="162"/>
    </row>
    <row r="29" ht="15.75" customHeight="1">
      <c r="A29" s="29"/>
      <c r="B29" s="54">
        <v>45644.0</v>
      </c>
      <c r="C29" s="13" t="s">
        <v>54</v>
      </c>
      <c r="D29" s="13" t="s">
        <v>22</v>
      </c>
      <c r="E29" s="135" t="s">
        <v>67</v>
      </c>
      <c r="F29" s="14">
        <v>2.0</v>
      </c>
      <c r="G29" s="136" t="s">
        <v>24</v>
      </c>
      <c r="H29" s="14">
        <v>1.0</v>
      </c>
      <c r="I29" s="137" t="s">
        <v>66</v>
      </c>
      <c r="J29" s="138"/>
      <c r="K29" s="139">
        <f t="shared" si="1"/>
        <v>3</v>
      </c>
      <c r="L29" s="140">
        <f t="shared" si="2"/>
        <v>0</v>
      </c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AE29" s="162"/>
      <c r="AF29" s="48"/>
      <c r="AG29" s="162"/>
      <c r="AH29" s="162"/>
      <c r="AI29" s="162"/>
      <c r="AJ29" s="162"/>
      <c r="AK29" s="162"/>
      <c r="AL29" s="162"/>
      <c r="AM29" s="162"/>
      <c r="AN29" s="162"/>
    </row>
    <row r="30" ht="15.75" customHeight="1">
      <c r="A30" s="29"/>
      <c r="B30" s="54">
        <v>45698.0</v>
      </c>
      <c r="C30" s="49" t="s">
        <v>77</v>
      </c>
      <c r="D30" s="13" t="s">
        <v>108</v>
      </c>
      <c r="E30" s="153" t="s">
        <v>37</v>
      </c>
      <c r="F30" s="14">
        <v>3.0</v>
      </c>
      <c r="G30" s="136" t="s">
        <v>24</v>
      </c>
      <c r="H30" s="14">
        <v>3.0</v>
      </c>
      <c r="I30" s="154" t="s">
        <v>25</v>
      </c>
      <c r="J30" s="138"/>
      <c r="K30" s="139">
        <f t="shared" si="1"/>
        <v>1</v>
      </c>
      <c r="L30" s="140">
        <f t="shared" si="2"/>
        <v>1</v>
      </c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AE30" s="162"/>
      <c r="AF30" s="48"/>
      <c r="AG30" s="162"/>
      <c r="AH30" s="162"/>
      <c r="AI30" s="162"/>
      <c r="AJ30" s="162"/>
      <c r="AK30" s="162"/>
      <c r="AL30" s="162"/>
      <c r="AM30" s="162"/>
      <c r="AN30" s="162"/>
    </row>
    <row r="31" ht="15.75" customHeight="1">
      <c r="A31" s="29"/>
      <c r="B31" s="54">
        <v>45698.0</v>
      </c>
      <c r="C31" s="13" t="s">
        <v>58</v>
      </c>
      <c r="D31" s="13" t="s">
        <v>108</v>
      </c>
      <c r="E31" s="135" t="s">
        <v>38</v>
      </c>
      <c r="F31" s="14">
        <v>2.0</v>
      </c>
      <c r="G31" s="136" t="s">
        <v>24</v>
      </c>
      <c r="H31" s="14">
        <v>4.0</v>
      </c>
      <c r="I31" s="137" t="s">
        <v>116</v>
      </c>
      <c r="J31" s="138"/>
      <c r="K31" s="139">
        <f t="shared" si="1"/>
        <v>0</v>
      </c>
      <c r="L31" s="140">
        <f t="shared" si="2"/>
        <v>3</v>
      </c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AE31" s="162"/>
      <c r="AF31" s="48"/>
      <c r="AG31" s="162"/>
      <c r="AH31" s="162"/>
      <c r="AI31" s="162"/>
      <c r="AJ31" s="162"/>
      <c r="AK31" s="162"/>
      <c r="AL31" s="162"/>
      <c r="AM31" s="162"/>
      <c r="AN31" s="162"/>
    </row>
    <row r="32" ht="15.75" customHeight="1">
      <c r="A32" s="37"/>
      <c r="B32" s="54">
        <v>45698.0</v>
      </c>
      <c r="C32" s="13" t="s">
        <v>59</v>
      </c>
      <c r="D32" s="13" t="s">
        <v>108</v>
      </c>
      <c r="E32" s="135" t="s">
        <v>42</v>
      </c>
      <c r="F32" s="14">
        <v>1.0</v>
      </c>
      <c r="G32" s="136" t="s">
        <v>24</v>
      </c>
      <c r="H32" s="14">
        <v>4.0</v>
      </c>
      <c r="I32" s="137" t="s">
        <v>31</v>
      </c>
      <c r="J32" s="138"/>
      <c r="K32" s="139">
        <f t="shared" si="1"/>
        <v>0</v>
      </c>
      <c r="L32" s="140">
        <f t="shared" si="2"/>
        <v>3</v>
      </c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AE32" s="162"/>
      <c r="AF32" s="48"/>
      <c r="AG32" s="162"/>
      <c r="AH32" s="162"/>
      <c r="AI32" s="162"/>
      <c r="AJ32" s="162"/>
      <c r="AK32" s="162"/>
      <c r="AL32" s="162"/>
      <c r="AM32" s="162"/>
      <c r="AN32" s="162"/>
    </row>
    <row r="33" ht="15.75" customHeight="1">
      <c r="A33" s="133">
        <v>6.0</v>
      </c>
      <c r="B33" s="54">
        <v>45705.0</v>
      </c>
      <c r="C33" s="13" t="s">
        <v>77</v>
      </c>
      <c r="D33" s="13" t="s">
        <v>108</v>
      </c>
      <c r="E33" s="135" t="s">
        <v>64</v>
      </c>
      <c r="F33" s="14">
        <v>5.0</v>
      </c>
      <c r="G33" s="136" t="s">
        <v>24</v>
      </c>
      <c r="H33" s="14">
        <v>4.0</v>
      </c>
      <c r="I33" s="137" t="s">
        <v>42</v>
      </c>
      <c r="J33" s="138"/>
      <c r="K33" s="139">
        <f t="shared" si="1"/>
        <v>3</v>
      </c>
      <c r="L33" s="140">
        <f t="shared" si="2"/>
        <v>0</v>
      </c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AE33" s="162"/>
      <c r="AF33" s="48"/>
      <c r="AG33" s="162"/>
      <c r="AH33" s="162"/>
      <c r="AI33" s="162"/>
      <c r="AJ33" s="162"/>
      <c r="AK33" s="162"/>
      <c r="AL33" s="162"/>
      <c r="AM33" s="162"/>
      <c r="AN33" s="162"/>
    </row>
    <row r="34" ht="15.75" customHeight="1">
      <c r="A34" s="29"/>
      <c r="B34" s="54">
        <v>45701.0</v>
      </c>
      <c r="C34" s="13" t="s">
        <v>76</v>
      </c>
      <c r="D34" s="13" t="s">
        <v>108</v>
      </c>
      <c r="E34" s="135" t="s">
        <v>113</v>
      </c>
      <c r="F34" s="14">
        <v>6.0</v>
      </c>
      <c r="G34" s="136" t="s">
        <v>24</v>
      </c>
      <c r="H34" s="14">
        <v>3.0</v>
      </c>
      <c r="I34" s="137" t="s">
        <v>135</v>
      </c>
      <c r="J34" s="138"/>
      <c r="K34" s="139">
        <f t="shared" si="1"/>
        <v>3</v>
      </c>
      <c r="L34" s="140">
        <f t="shared" si="2"/>
        <v>0</v>
      </c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AE34" s="162"/>
      <c r="AF34" s="48"/>
      <c r="AG34" s="162"/>
      <c r="AH34" s="162"/>
      <c r="AI34" s="162"/>
      <c r="AJ34" s="162"/>
      <c r="AK34" s="162"/>
      <c r="AL34" s="162"/>
      <c r="AM34" s="162"/>
      <c r="AN34" s="162"/>
    </row>
    <row r="35" ht="15.75" customHeight="1">
      <c r="A35" s="29"/>
      <c r="B35" s="54">
        <v>45701.0</v>
      </c>
      <c r="C35" s="13" t="s">
        <v>58</v>
      </c>
      <c r="D35" s="13" t="s">
        <v>108</v>
      </c>
      <c r="E35" s="135" t="s">
        <v>66</v>
      </c>
      <c r="F35" s="14">
        <v>0.0</v>
      </c>
      <c r="G35" s="136" t="s">
        <v>24</v>
      </c>
      <c r="H35" s="14">
        <v>6.0</v>
      </c>
      <c r="I35" s="137" t="s">
        <v>34</v>
      </c>
      <c r="J35" s="138"/>
      <c r="K35" s="139">
        <f t="shared" si="1"/>
        <v>0</v>
      </c>
      <c r="L35" s="140">
        <f t="shared" si="2"/>
        <v>3</v>
      </c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AE35" s="162"/>
      <c r="AF35" s="48"/>
      <c r="AG35" s="162"/>
      <c r="AH35" s="162"/>
      <c r="AI35" s="162"/>
      <c r="AJ35" s="162"/>
      <c r="AK35" s="162"/>
      <c r="AL35" s="162"/>
      <c r="AM35" s="162"/>
      <c r="AN35" s="162"/>
    </row>
    <row r="36" ht="15.75" customHeight="1">
      <c r="A36" s="29"/>
      <c r="B36" s="54">
        <v>45701.0</v>
      </c>
      <c r="C36" s="49" t="s">
        <v>59</v>
      </c>
      <c r="D36" s="13" t="s">
        <v>108</v>
      </c>
      <c r="E36" s="153" t="s">
        <v>25</v>
      </c>
      <c r="F36" s="14">
        <v>4.0</v>
      </c>
      <c r="G36" s="136" t="s">
        <v>24</v>
      </c>
      <c r="H36" s="14">
        <v>3.0</v>
      </c>
      <c r="I36" s="154" t="s">
        <v>67</v>
      </c>
      <c r="J36" s="138"/>
      <c r="K36" s="139">
        <f t="shared" si="1"/>
        <v>3</v>
      </c>
      <c r="L36" s="140">
        <f t="shared" si="2"/>
        <v>0</v>
      </c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AE36" s="162"/>
      <c r="AF36" s="48"/>
      <c r="AG36" s="162"/>
      <c r="AH36" s="162"/>
      <c r="AI36" s="162"/>
      <c r="AJ36" s="162"/>
      <c r="AK36" s="162"/>
      <c r="AL36" s="162"/>
      <c r="AM36" s="162"/>
      <c r="AN36" s="162"/>
    </row>
    <row r="37" ht="15.75" customHeight="1">
      <c r="A37" s="29"/>
      <c r="B37" s="54">
        <v>45705.0</v>
      </c>
      <c r="C37" s="13" t="s">
        <v>58</v>
      </c>
      <c r="D37" s="13" t="s">
        <v>108</v>
      </c>
      <c r="E37" s="135" t="s">
        <v>116</v>
      </c>
      <c r="F37" s="14">
        <v>6.0</v>
      </c>
      <c r="G37" s="136" t="s">
        <v>24</v>
      </c>
      <c r="H37" s="14">
        <v>5.0</v>
      </c>
      <c r="I37" s="137" t="s">
        <v>37</v>
      </c>
      <c r="J37" s="138"/>
      <c r="K37" s="139">
        <f t="shared" si="1"/>
        <v>3</v>
      </c>
      <c r="L37" s="140">
        <f t="shared" si="2"/>
        <v>0</v>
      </c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AE37" s="162"/>
      <c r="AF37" s="48"/>
      <c r="AG37" s="162"/>
      <c r="AH37" s="162"/>
      <c r="AI37" s="162"/>
      <c r="AJ37" s="162"/>
      <c r="AK37" s="162"/>
      <c r="AL37" s="162"/>
      <c r="AM37" s="162"/>
      <c r="AN37" s="162"/>
    </row>
    <row r="38" ht="15.75" customHeight="1">
      <c r="A38" s="37"/>
      <c r="B38" s="54">
        <v>45705.0</v>
      </c>
      <c r="C38" s="49" t="s">
        <v>59</v>
      </c>
      <c r="D38" s="13" t="s">
        <v>108</v>
      </c>
      <c r="E38" s="135" t="s">
        <v>31</v>
      </c>
      <c r="F38" s="14">
        <v>4.0</v>
      </c>
      <c r="G38" s="136" t="s">
        <v>24</v>
      </c>
      <c r="H38" s="14">
        <v>2.0</v>
      </c>
      <c r="I38" s="137" t="s">
        <v>38</v>
      </c>
      <c r="J38" s="138"/>
      <c r="K38" s="139">
        <f t="shared" si="1"/>
        <v>3</v>
      </c>
      <c r="L38" s="140">
        <f t="shared" si="2"/>
        <v>0</v>
      </c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AE38" s="162"/>
      <c r="AF38" s="48"/>
      <c r="AG38" s="162"/>
      <c r="AH38" s="162"/>
      <c r="AI38" s="162"/>
      <c r="AJ38" s="162"/>
      <c r="AK38" s="162"/>
      <c r="AL38" s="162"/>
      <c r="AM38" s="162"/>
      <c r="AN38" s="162"/>
    </row>
    <row r="39" ht="15.75" customHeight="1">
      <c r="A39" s="133">
        <v>7.0</v>
      </c>
      <c r="B39" s="54">
        <v>45715.0</v>
      </c>
      <c r="C39" s="13" t="s">
        <v>21</v>
      </c>
      <c r="D39" s="13" t="s">
        <v>22</v>
      </c>
      <c r="E39" s="135" t="s">
        <v>64</v>
      </c>
      <c r="F39" s="14">
        <v>3.0</v>
      </c>
      <c r="G39" s="136" t="s">
        <v>24</v>
      </c>
      <c r="H39" s="14">
        <v>2.0</v>
      </c>
      <c r="I39" s="137" t="s">
        <v>113</v>
      </c>
      <c r="J39" s="138"/>
      <c r="K39" s="139">
        <f t="shared" si="1"/>
        <v>3</v>
      </c>
      <c r="L39" s="140">
        <f t="shared" si="2"/>
        <v>0</v>
      </c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AE39" s="162"/>
      <c r="AF39" s="48"/>
      <c r="AG39" s="162"/>
      <c r="AH39" s="162"/>
      <c r="AI39" s="162"/>
      <c r="AJ39" s="162"/>
      <c r="AK39" s="162"/>
      <c r="AL39" s="162"/>
      <c r="AM39" s="162"/>
      <c r="AN39" s="162"/>
    </row>
    <row r="40" ht="15.75" customHeight="1">
      <c r="A40" s="29"/>
      <c r="B40" s="54">
        <v>45715.0</v>
      </c>
      <c r="C40" s="13" t="s">
        <v>77</v>
      </c>
      <c r="D40" s="13" t="s">
        <v>108</v>
      </c>
      <c r="E40" s="135" t="s">
        <v>135</v>
      </c>
      <c r="F40" s="14">
        <v>2.0</v>
      </c>
      <c r="G40" s="136" t="s">
        <v>24</v>
      </c>
      <c r="H40" s="14">
        <v>4.0</v>
      </c>
      <c r="I40" s="137" t="s">
        <v>66</v>
      </c>
      <c r="J40" s="138"/>
      <c r="K40" s="139">
        <f t="shared" si="1"/>
        <v>0</v>
      </c>
      <c r="L40" s="140">
        <f t="shared" si="2"/>
        <v>3</v>
      </c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AE40" s="162"/>
      <c r="AF40" s="48"/>
      <c r="AG40" s="162"/>
      <c r="AH40" s="162"/>
      <c r="AI40" s="162"/>
      <c r="AJ40" s="162"/>
      <c r="AK40" s="162"/>
      <c r="AL40" s="162"/>
      <c r="AM40" s="162"/>
      <c r="AN40" s="162"/>
    </row>
    <row r="41" ht="15.75" customHeight="1">
      <c r="A41" s="29"/>
      <c r="B41" s="54">
        <v>45715.0</v>
      </c>
      <c r="C41" s="13" t="s">
        <v>76</v>
      </c>
      <c r="D41" s="13" t="s">
        <v>108</v>
      </c>
      <c r="E41" s="153" t="s">
        <v>34</v>
      </c>
      <c r="F41" s="14">
        <v>3.0</v>
      </c>
      <c r="G41" s="136" t="s">
        <v>24</v>
      </c>
      <c r="H41" s="14">
        <v>2.0</v>
      </c>
      <c r="I41" s="154" t="s">
        <v>25</v>
      </c>
      <c r="J41" s="138"/>
      <c r="K41" s="139">
        <f t="shared" si="1"/>
        <v>3</v>
      </c>
      <c r="L41" s="140">
        <f t="shared" si="2"/>
        <v>0</v>
      </c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AE41" s="162"/>
      <c r="AF41" s="48"/>
      <c r="AG41" s="162"/>
      <c r="AH41" s="162"/>
      <c r="AI41" s="162"/>
      <c r="AJ41" s="162"/>
      <c r="AK41" s="162"/>
      <c r="AL41" s="162"/>
      <c r="AM41" s="162"/>
      <c r="AN41" s="162"/>
    </row>
    <row r="42" ht="15.75" customHeight="1">
      <c r="A42" s="29"/>
      <c r="B42" s="54">
        <v>45715.0</v>
      </c>
      <c r="C42" s="13" t="s">
        <v>30</v>
      </c>
      <c r="D42" s="13" t="s">
        <v>22</v>
      </c>
      <c r="E42" s="135" t="s">
        <v>67</v>
      </c>
      <c r="F42" s="14">
        <v>6.0</v>
      </c>
      <c r="G42" s="136" t="s">
        <v>24</v>
      </c>
      <c r="H42" s="14">
        <v>4.0</v>
      </c>
      <c r="I42" s="137" t="s">
        <v>116</v>
      </c>
      <c r="J42" s="138"/>
      <c r="K42" s="139">
        <f t="shared" si="1"/>
        <v>3</v>
      </c>
      <c r="L42" s="140">
        <f t="shared" si="2"/>
        <v>0</v>
      </c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AE42" s="162"/>
      <c r="AF42" s="48"/>
      <c r="AG42" s="162"/>
      <c r="AH42" s="162"/>
      <c r="AI42" s="162"/>
      <c r="AJ42" s="162"/>
      <c r="AK42" s="162"/>
      <c r="AL42" s="162"/>
      <c r="AM42" s="162"/>
      <c r="AN42" s="162"/>
    </row>
    <row r="43" ht="15.75" customHeight="1">
      <c r="A43" s="29"/>
      <c r="B43" s="54">
        <v>45715.0</v>
      </c>
      <c r="C43" s="13" t="s">
        <v>36</v>
      </c>
      <c r="D43" s="13" t="s">
        <v>22</v>
      </c>
      <c r="E43" s="135" t="s">
        <v>37</v>
      </c>
      <c r="F43" s="14">
        <v>4.0</v>
      </c>
      <c r="G43" s="136" t="s">
        <v>24</v>
      </c>
      <c r="H43" s="14">
        <v>1.0</v>
      </c>
      <c r="I43" s="137" t="s">
        <v>31</v>
      </c>
      <c r="J43" s="138"/>
      <c r="K43" s="139">
        <f t="shared" si="1"/>
        <v>3</v>
      </c>
      <c r="L43" s="140">
        <f t="shared" si="2"/>
        <v>0</v>
      </c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AE43" s="162"/>
      <c r="AF43" s="48"/>
      <c r="AG43" s="162"/>
      <c r="AH43" s="162"/>
      <c r="AI43" s="162"/>
      <c r="AJ43" s="162"/>
      <c r="AK43" s="162"/>
      <c r="AL43" s="162"/>
      <c r="AM43" s="162"/>
      <c r="AN43" s="162"/>
    </row>
    <row r="44" ht="15.75" customHeight="1">
      <c r="A44" s="37"/>
      <c r="B44" s="54">
        <v>45715.0</v>
      </c>
      <c r="C44" s="13" t="s">
        <v>41</v>
      </c>
      <c r="D44" s="13" t="s">
        <v>22</v>
      </c>
      <c r="E44" s="135" t="s">
        <v>42</v>
      </c>
      <c r="F44" s="14">
        <v>10.0</v>
      </c>
      <c r="G44" s="136" t="s">
        <v>24</v>
      </c>
      <c r="H44" s="14">
        <v>1.0</v>
      </c>
      <c r="I44" s="137" t="s">
        <v>38</v>
      </c>
      <c r="J44" s="138"/>
      <c r="K44" s="139">
        <f t="shared" si="1"/>
        <v>3</v>
      </c>
      <c r="L44" s="140">
        <f t="shared" si="2"/>
        <v>0</v>
      </c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AE44" s="162"/>
      <c r="AF44" s="48"/>
      <c r="AG44" s="162"/>
      <c r="AH44" s="162"/>
      <c r="AI44" s="162"/>
      <c r="AJ44" s="162"/>
      <c r="AK44" s="162"/>
      <c r="AL44" s="162"/>
      <c r="AM44" s="162"/>
      <c r="AN44" s="162"/>
    </row>
    <row r="45" ht="15.75" customHeight="1">
      <c r="A45" s="133">
        <v>8.0</v>
      </c>
      <c r="B45" s="54">
        <v>45734.0</v>
      </c>
      <c r="C45" s="13" t="s">
        <v>21</v>
      </c>
      <c r="D45" s="13" t="s">
        <v>22</v>
      </c>
      <c r="E45" s="135" t="s">
        <v>113</v>
      </c>
      <c r="F45" s="14">
        <v>4.0</v>
      </c>
      <c r="G45" s="136" t="s">
        <v>24</v>
      </c>
      <c r="H45" s="14">
        <v>1.0</v>
      </c>
      <c r="I45" s="137" t="s">
        <v>42</v>
      </c>
      <c r="J45" s="138"/>
      <c r="K45" s="139">
        <f t="shared" si="1"/>
        <v>3</v>
      </c>
      <c r="L45" s="140">
        <f t="shared" si="2"/>
        <v>0</v>
      </c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AE45" s="162"/>
      <c r="AF45" s="48"/>
      <c r="AG45" s="162"/>
      <c r="AH45" s="162"/>
      <c r="AI45" s="162"/>
      <c r="AJ45" s="162"/>
      <c r="AK45" s="162"/>
      <c r="AL45" s="162"/>
      <c r="AM45" s="162"/>
      <c r="AN45" s="162"/>
    </row>
    <row r="46" ht="15.75" customHeight="1">
      <c r="A46" s="29"/>
      <c r="B46" s="54">
        <v>45746.0</v>
      </c>
      <c r="C46" s="13" t="s">
        <v>54</v>
      </c>
      <c r="D46" s="13" t="s">
        <v>22</v>
      </c>
      <c r="E46" s="135" t="s">
        <v>66</v>
      </c>
      <c r="F46" s="14">
        <v>4.0</v>
      </c>
      <c r="G46" s="136" t="s">
        <v>24</v>
      </c>
      <c r="H46" s="14">
        <v>3.0</v>
      </c>
      <c r="I46" s="137" t="s">
        <v>64</v>
      </c>
      <c r="J46" s="138"/>
      <c r="K46" s="139">
        <f t="shared" si="1"/>
        <v>3</v>
      </c>
      <c r="L46" s="140">
        <f t="shared" si="2"/>
        <v>0</v>
      </c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AE46" s="162"/>
      <c r="AF46" s="48"/>
      <c r="AG46" s="162"/>
      <c r="AH46" s="162"/>
      <c r="AI46" s="162"/>
      <c r="AJ46" s="162"/>
      <c r="AK46" s="162"/>
      <c r="AL46" s="162"/>
      <c r="AM46" s="162"/>
      <c r="AN46" s="162"/>
    </row>
    <row r="47" ht="15.75" customHeight="1">
      <c r="A47" s="29"/>
      <c r="B47" s="54">
        <v>45734.0</v>
      </c>
      <c r="C47" s="13" t="s">
        <v>30</v>
      </c>
      <c r="D47" s="13" t="s">
        <v>22</v>
      </c>
      <c r="E47" s="153" t="s">
        <v>25</v>
      </c>
      <c r="F47" s="14">
        <v>10.0</v>
      </c>
      <c r="G47" s="136" t="s">
        <v>24</v>
      </c>
      <c r="H47" s="14">
        <v>1.0</v>
      </c>
      <c r="I47" s="137" t="s">
        <v>135</v>
      </c>
      <c r="J47" s="138"/>
      <c r="K47" s="139">
        <f t="shared" si="1"/>
        <v>3</v>
      </c>
      <c r="L47" s="140">
        <f t="shared" si="2"/>
        <v>0</v>
      </c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AE47" s="162"/>
      <c r="AF47" s="48"/>
      <c r="AG47" s="162"/>
      <c r="AH47" s="162"/>
      <c r="AI47" s="162"/>
      <c r="AJ47" s="162"/>
      <c r="AK47" s="162"/>
      <c r="AL47" s="162"/>
      <c r="AM47" s="162"/>
      <c r="AN47" s="162"/>
    </row>
    <row r="48" ht="15.75" customHeight="1">
      <c r="A48" s="29"/>
      <c r="B48" s="54">
        <v>45746.0</v>
      </c>
      <c r="C48" s="13" t="s">
        <v>55</v>
      </c>
      <c r="D48" s="13" t="s">
        <v>22</v>
      </c>
      <c r="E48" s="153" t="s">
        <v>116</v>
      </c>
      <c r="F48" s="14">
        <v>1.0</v>
      </c>
      <c r="G48" s="136" t="s">
        <v>24</v>
      </c>
      <c r="H48" s="14">
        <v>4.0</v>
      </c>
      <c r="I48" s="154" t="s">
        <v>34</v>
      </c>
      <c r="K48" s="139">
        <f t="shared" si="1"/>
        <v>0</v>
      </c>
      <c r="L48" s="140">
        <f t="shared" si="2"/>
        <v>3</v>
      </c>
      <c r="AE48" s="4"/>
      <c r="AF48" s="2"/>
      <c r="AG48" s="4"/>
      <c r="AH48" s="4"/>
      <c r="AI48" s="4"/>
      <c r="AJ48" s="4"/>
      <c r="AK48" s="4"/>
      <c r="AL48" s="4"/>
      <c r="AM48" s="4"/>
      <c r="AN48" s="4"/>
    </row>
    <row r="49" ht="15.75" customHeight="1">
      <c r="A49" s="29"/>
      <c r="B49" s="54">
        <v>45746.0</v>
      </c>
      <c r="C49" s="13" t="s">
        <v>56</v>
      </c>
      <c r="D49" s="13" t="s">
        <v>22</v>
      </c>
      <c r="E49" s="135" t="s">
        <v>31</v>
      </c>
      <c r="F49" s="14">
        <v>3.0</v>
      </c>
      <c r="G49" s="136" t="s">
        <v>24</v>
      </c>
      <c r="H49" s="14">
        <v>2.0</v>
      </c>
      <c r="I49" s="137" t="s">
        <v>67</v>
      </c>
      <c r="K49" s="139">
        <f t="shared" si="1"/>
        <v>3</v>
      </c>
      <c r="L49" s="140">
        <f t="shared" si="2"/>
        <v>0</v>
      </c>
      <c r="AE49" s="4"/>
      <c r="AF49" s="2"/>
      <c r="AG49" s="4"/>
      <c r="AH49" s="4"/>
      <c r="AI49" s="4"/>
      <c r="AJ49" s="4"/>
      <c r="AK49" s="4"/>
      <c r="AL49" s="4"/>
      <c r="AM49" s="4"/>
      <c r="AN49" s="4"/>
    </row>
    <row r="50" ht="15.75" customHeight="1">
      <c r="A50" s="37"/>
      <c r="B50" s="54">
        <v>45746.0</v>
      </c>
      <c r="C50" s="13" t="s">
        <v>57</v>
      </c>
      <c r="D50" s="13" t="s">
        <v>22</v>
      </c>
      <c r="E50" s="135" t="s">
        <v>38</v>
      </c>
      <c r="F50" s="14">
        <v>1.0</v>
      </c>
      <c r="G50" s="136" t="s">
        <v>24</v>
      </c>
      <c r="H50" s="14">
        <v>6.0</v>
      </c>
      <c r="I50" s="137" t="s">
        <v>37</v>
      </c>
      <c r="K50" s="139">
        <f t="shared" si="1"/>
        <v>0</v>
      </c>
      <c r="L50" s="140">
        <f t="shared" si="2"/>
        <v>3</v>
      </c>
      <c r="AE50" s="4"/>
      <c r="AF50" s="2"/>
      <c r="AG50" s="4"/>
      <c r="AH50" s="4"/>
      <c r="AI50" s="4"/>
      <c r="AJ50" s="4"/>
      <c r="AK50" s="4"/>
      <c r="AL50" s="4"/>
      <c r="AM50" s="4"/>
      <c r="AN50" s="4"/>
    </row>
    <row r="51" ht="15.75" customHeight="1">
      <c r="A51" s="133">
        <v>9.0</v>
      </c>
      <c r="B51" s="54">
        <v>45742.0</v>
      </c>
      <c r="C51" s="49" t="s">
        <v>75</v>
      </c>
      <c r="D51" s="13" t="s">
        <v>108</v>
      </c>
      <c r="E51" s="135" t="s">
        <v>113</v>
      </c>
      <c r="F51" s="14">
        <v>1.0</v>
      </c>
      <c r="G51" s="136" t="s">
        <v>24</v>
      </c>
      <c r="H51" s="14">
        <v>0.0</v>
      </c>
      <c r="I51" s="137" t="s">
        <v>66</v>
      </c>
      <c r="K51" s="139">
        <f t="shared" si="1"/>
        <v>3</v>
      </c>
      <c r="L51" s="140">
        <f t="shared" si="2"/>
        <v>0</v>
      </c>
      <c r="AE51" s="4"/>
      <c r="AF51" s="2"/>
      <c r="AG51" s="4"/>
      <c r="AH51" s="4"/>
      <c r="AI51" s="4"/>
      <c r="AJ51" s="4"/>
      <c r="AK51" s="4"/>
      <c r="AL51" s="4"/>
      <c r="AM51" s="4"/>
      <c r="AN51" s="4"/>
    </row>
    <row r="52" ht="15.75" customHeight="1">
      <c r="A52" s="29"/>
      <c r="B52" s="54">
        <v>45742.0</v>
      </c>
      <c r="C52" s="49" t="s">
        <v>76</v>
      </c>
      <c r="D52" s="13" t="s">
        <v>108</v>
      </c>
      <c r="E52" s="153" t="s">
        <v>64</v>
      </c>
      <c r="F52" s="14">
        <v>7.0</v>
      </c>
      <c r="G52" s="136" t="s">
        <v>24</v>
      </c>
      <c r="H52" s="14">
        <v>0.0</v>
      </c>
      <c r="I52" s="154" t="s">
        <v>25</v>
      </c>
      <c r="K52" s="139">
        <f t="shared" si="1"/>
        <v>3</v>
      </c>
      <c r="L52" s="140">
        <f t="shared" si="2"/>
        <v>0</v>
      </c>
      <c r="AE52" s="4"/>
      <c r="AF52" s="2"/>
      <c r="AG52" s="4"/>
      <c r="AH52" s="4"/>
      <c r="AI52" s="4"/>
      <c r="AJ52" s="4"/>
      <c r="AK52" s="4"/>
      <c r="AL52" s="4"/>
      <c r="AM52" s="4"/>
      <c r="AN52" s="4"/>
    </row>
    <row r="53" ht="15.75" customHeight="1">
      <c r="A53" s="29"/>
      <c r="B53" s="54">
        <v>45742.0</v>
      </c>
      <c r="C53" s="13" t="s">
        <v>77</v>
      </c>
      <c r="D53" s="13" t="s">
        <v>108</v>
      </c>
      <c r="E53" s="135" t="s">
        <v>135</v>
      </c>
      <c r="F53" s="14">
        <v>2.0</v>
      </c>
      <c r="G53" s="136" t="s">
        <v>24</v>
      </c>
      <c r="H53" s="14">
        <v>4.0</v>
      </c>
      <c r="I53" s="137" t="s">
        <v>116</v>
      </c>
      <c r="K53" s="139">
        <f t="shared" si="1"/>
        <v>0</v>
      </c>
      <c r="L53" s="140">
        <f t="shared" si="2"/>
        <v>3</v>
      </c>
      <c r="AE53" s="4"/>
      <c r="AF53" s="2"/>
      <c r="AG53" s="4"/>
      <c r="AH53" s="4"/>
      <c r="AI53" s="4"/>
      <c r="AJ53" s="4"/>
      <c r="AK53" s="4"/>
      <c r="AL53" s="4"/>
      <c r="AM53" s="4"/>
      <c r="AN53" s="4"/>
    </row>
    <row r="54" ht="15.75" customHeight="1">
      <c r="A54" s="29"/>
      <c r="B54" s="54">
        <v>45742.0</v>
      </c>
      <c r="C54" s="13" t="s">
        <v>58</v>
      </c>
      <c r="D54" s="13" t="s">
        <v>108</v>
      </c>
      <c r="E54" s="135" t="s">
        <v>34</v>
      </c>
      <c r="F54" s="14">
        <v>1.0</v>
      </c>
      <c r="G54" s="136" t="s">
        <v>24</v>
      </c>
      <c r="H54" s="14">
        <v>1.0</v>
      </c>
      <c r="I54" s="137" t="s">
        <v>31</v>
      </c>
      <c r="K54" s="139">
        <f t="shared" si="1"/>
        <v>1</v>
      </c>
      <c r="L54" s="140">
        <f t="shared" si="2"/>
        <v>1</v>
      </c>
      <c r="AE54" s="4"/>
      <c r="AF54" s="2"/>
      <c r="AG54" s="4"/>
      <c r="AH54" s="4"/>
      <c r="AI54" s="4"/>
      <c r="AJ54" s="4"/>
      <c r="AK54" s="4"/>
      <c r="AL54" s="4"/>
      <c r="AM54" s="4"/>
      <c r="AN54" s="4"/>
    </row>
    <row r="55" ht="15.75" customHeight="1">
      <c r="A55" s="29"/>
      <c r="B55" s="54">
        <v>45742.0</v>
      </c>
      <c r="C55" s="13" t="s">
        <v>59</v>
      </c>
      <c r="D55" s="13" t="s">
        <v>108</v>
      </c>
      <c r="E55" s="135" t="s">
        <v>67</v>
      </c>
      <c r="F55" s="14">
        <v>3.0</v>
      </c>
      <c r="G55" s="136" t="s">
        <v>24</v>
      </c>
      <c r="H55" s="14">
        <v>2.0</v>
      </c>
      <c r="I55" s="137" t="s">
        <v>38</v>
      </c>
      <c r="K55" s="139">
        <f t="shared" si="1"/>
        <v>3</v>
      </c>
      <c r="L55" s="140">
        <f t="shared" si="2"/>
        <v>0</v>
      </c>
      <c r="AE55" s="4"/>
      <c r="AF55" s="2"/>
      <c r="AG55" s="4"/>
      <c r="AH55" s="4"/>
      <c r="AI55" s="4"/>
      <c r="AJ55" s="4"/>
      <c r="AK55" s="4"/>
      <c r="AL55" s="4"/>
      <c r="AM55" s="4"/>
      <c r="AN55" s="4"/>
    </row>
    <row r="56" ht="15.75" customHeight="1">
      <c r="A56" s="37"/>
      <c r="B56" s="54">
        <v>45743.0</v>
      </c>
      <c r="C56" s="13" t="s">
        <v>41</v>
      </c>
      <c r="D56" s="13" t="s">
        <v>22</v>
      </c>
      <c r="E56" s="135" t="s">
        <v>42</v>
      </c>
      <c r="F56" s="14">
        <v>3.0</v>
      </c>
      <c r="G56" s="136" t="s">
        <v>24</v>
      </c>
      <c r="H56" s="14">
        <v>3.0</v>
      </c>
      <c r="I56" s="137" t="s">
        <v>37</v>
      </c>
      <c r="K56" s="139">
        <f t="shared" si="1"/>
        <v>1</v>
      </c>
      <c r="L56" s="140">
        <f t="shared" si="2"/>
        <v>1</v>
      </c>
      <c r="AE56" s="4"/>
      <c r="AF56" s="2"/>
      <c r="AG56" s="4"/>
      <c r="AH56" s="4"/>
      <c r="AI56" s="4"/>
      <c r="AJ56" s="4"/>
      <c r="AK56" s="4"/>
      <c r="AL56" s="4"/>
      <c r="AM56" s="4"/>
      <c r="AN56" s="4"/>
    </row>
    <row r="57" ht="15.75" customHeight="1">
      <c r="A57" s="133">
        <v>10.0</v>
      </c>
      <c r="B57" s="54">
        <v>45763.0</v>
      </c>
      <c r="C57" s="13" t="s">
        <v>128</v>
      </c>
      <c r="D57" s="13" t="s">
        <v>22</v>
      </c>
      <c r="E57" s="135" t="s">
        <v>42</v>
      </c>
      <c r="F57" s="14">
        <v>2.0</v>
      </c>
      <c r="G57" s="136" t="s">
        <v>24</v>
      </c>
      <c r="H57" s="14">
        <v>1.0</v>
      </c>
      <c r="I57" s="137" t="s">
        <v>66</v>
      </c>
      <c r="K57" s="139">
        <f t="shared" si="1"/>
        <v>3</v>
      </c>
      <c r="L57" s="140">
        <f t="shared" si="2"/>
        <v>0</v>
      </c>
      <c r="AE57" s="4"/>
      <c r="AF57" s="2"/>
      <c r="AG57" s="4"/>
      <c r="AH57" s="4"/>
      <c r="AI57" s="4"/>
      <c r="AJ57" s="4"/>
      <c r="AK57" s="4"/>
      <c r="AL57" s="4"/>
      <c r="AM57" s="4"/>
      <c r="AN57" s="4"/>
    </row>
    <row r="58" ht="15.75" customHeight="1">
      <c r="A58" s="29"/>
      <c r="B58" s="54">
        <v>45763.0</v>
      </c>
      <c r="C58" s="13" t="s">
        <v>129</v>
      </c>
      <c r="D58" s="13" t="s">
        <v>22</v>
      </c>
      <c r="E58" s="153" t="s">
        <v>25</v>
      </c>
      <c r="F58" s="14">
        <v>6.0</v>
      </c>
      <c r="G58" s="136" t="s">
        <v>24</v>
      </c>
      <c r="H58" s="14">
        <v>3.0</v>
      </c>
      <c r="I58" s="154" t="s">
        <v>113</v>
      </c>
      <c r="K58" s="139">
        <f t="shared" si="1"/>
        <v>3</v>
      </c>
      <c r="L58" s="140">
        <f t="shared" si="2"/>
        <v>0</v>
      </c>
      <c r="AE58" s="4"/>
      <c r="AF58" s="2"/>
      <c r="AG58" s="4"/>
      <c r="AH58" s="4"/>
      <c r="AI58" s="4"/>
      <c r="AJ58" s="4"/>
      <c r="AK58" s="4"/>
      <c r="AL58" s="4"/>
      <c r="AM58" s="4"/>
      <c r="AN58" s="4"/>
    </row>
    <row r="59" ht="15.75" customHeight="1">
      <c r="A59" s="29"/>
      <c r="B59" s="54">
        <v>45782.0</v>
      </c>
      <c r="C59" s="13" t="s">
        <v>58</v>
      </c>
      <c r="D59" s="13" t="s">
        <v>108</v>
      </c>
      <c r="E59" s="135" t="s">
        <v>116</v>
      </c>
      <c r="F59" s="14">
        <v>0.0</v>
      </c>
      <c r="G59" s="136" t="s">
        <v>24</v>
      </c>
      <c r="H59" s="14">
        <v>6.0</v>
      </c>
      <c r="I59" s="137" t="s">
        <v>64</v>
      </c>
      <c r="K59" s="139">
        <f t="shared" si="1"/>
        <v>0</v>
      </c>
      <c r="L59" s="140">
        <f t="shared" si="2"/>
        <v>3</v>
      </c>
      <c r="AE59" s="4"/>
      <c r="AF59" s="2"/>
      <c r="AG59" s="4"/>
      <c r="AH59" s="4"/>
      <c r="AI59" s="4"/>
      <c r="AJ59" s="4"/>
      <c r="AK59" s="4"/>
      <c r="AL59" s="4"/>
      <c r="AM59" s="4"/>
      <c r="AN59" s="4"/>
    </row>
    <row r="60" ht="15.75" customHeight="1">
      <c r="A60" s="29"/>
      <c r="B60" s="54">
        <v>45782.0</v>
      </c>
      <c r="C60" s="13" t="s">
        <v>59</v>
      </c>
      <c r="D60" s="13" t="s">
        <v>108</v>
      </c>
      <c r="E60" s="135" t="s">
        <v>31</v>
      </c>
      <c r="F60" s="14">
        <v>6.0</v>
      </c>
      <c r="G60" s="136" t="s">
        <v>24</v>
      </c>
      <c r="H60" s="14">
        <v>3.0</v>
      </c>
      <c r="I60" s="137" t="s">
        <v>135</v>
      </c>
      <c r="K60" s="139">
        <f t="shared" si="1"/>
        <v>3</v>
      </c>
      <c r="L60" s="140">
        <f t="shared" si="2"/>
        <v>0</v>
      </c>
      <c r="AE60" s="4"/>
      <c r="AF60" s="2"/>
      <c r="AG60" s="4"/>
      <c r="AH60" s="4"/>
      <c r="AI60" s="4"/>
      <c r="AJ60" s="4"/>
      <c r="AK60" s="4"/>
      <c r="AL60" s="4"/>
      <c r="AM60" s="4"/>
      <c r="AN60" s="4"/>
    </row>
    <row r="61" ht="15.75" customHeight="1">
      <c r="A61" s="29"/>
      <c r="B61" s="54">
        <v>45763.0</v>
      </c>
      <c r="C61" s="13" t="s">
        <v>130</v>
      </c>
      <c r="D61" s="13" t="s">
        <v>22</v>
      </c>
      <c r="E61" s="135" t="s">
        <v>38</v>
      </c>
      <c r="F61" s="14">
        <v>1.0</v>
      </c>
      <c r="G61" s="136" t="s">
        <v>24</v>
      </c>
      <c r="H61" s="14">
        <v>8.0</v>
      </c>
      <c r="I61" s="137" t="s">
        <v>34</v>
      </c>
      <c r="K61" s="139">
        <f t="shared" si="1"/>
        <v>0</v>
      </c>
      <c r="L61" s="140">
        <f t="shared" si="2"/>
        <v>3</v>
      </c>
      <c r="AE61" s="4"/>
      <c r="AF61" s="2"/>
      <c r="AG61" s="4"/>
      <c r="AH61" s="4"/>
      <c r="AI61" s="4"/>
      <c r="AJ61" s="4"/>
      <c r="AK61" s="4"/>
      <c r="AL61" s="4"/>
      <c r="AM61" s="4"/>
      <c r="AN61" s="4"/>
    </row>
    <row r="62" ht="15.75" customHeight="1">
      <c r="A62" s="37"/>
      <c r="B62" s="54">
        <v>45784.0</v>
      </c>
      <c r="C62" s="13" t="s">
        <v>56</v>
      </c>
      <c r="D62" s="13" t="s">
        <v>108</v>
      </c>
      <c r="E62" s="135" t="s">
        <v>37</v>
      </c>
      <c r="F62" s="14">
        <v>1.0</v>
      </c>
      <c r="G62" s="136" t="s">
        <v>24</v>
      </c>
      <c r="H62" s="14">
        <v>1.0</v>
      </c>
      <c r="I62" s="137" t="s">
        <v>67</v>
      </c>
      <c r="K62" s="139">
        <f t="shared" si="1"/>
        <v>1</v>
      </c>
      <c r="L62" s="140">
        <f t="shared" si="2"/>
        <v>1</v>
      </c>
      <c r="AE62" s="4"/>
      <c r="AF62" s="2"/>
      <c r="AG62" s="4"/>
      <c r="AH62" s="4"/>
      <c r="AI62" s="4"/>
      <c r="AJ62" s="4"/>
      <c r="AK62" s="4"/>
      <c r="AL62" s="4"/>
      <c r="AM62" s="4"/>
      <c r="AN62" s="4"/>
    </row>
    <row r="63" ht="15.75" customHeight="1">
      <c r="A63" s="133">
        <v>11.0</v>
      </c>
      <c r="B63" s="54">
        <v>45796.0</v>
      </c>
      <c r="C63" s="13" t="s">
        <v>21</v>
      </c>
      <c r="D63" s="13" t="s">
        <v>22</v>
      </c>
      <c r="E63" s="153" t="s">
        <v>66</v>
      </c>
      <c r="F63" s="14">
        <v>2.0</v>
      </c>
      <c r="G63" s="136" t="s">
        <v>24</v>
      </c>
      <c r="H63" s="14">
        <v>1.0</v>
      </c>
      <c r="I63" s="154" t="s">
        <v>25</v>
      </c>
      <c r="K63" s="139">
        <f t="shared" si="1"/>
        <v>3</v>
      </c>
      <c r="L63" s="140">
        <f t="shared" si="2"/>
        <v>0</v>
      </c>
      <c r="AE63" s="4"/>
      <c r="AF63" s="2"/>
      <c r="AG63" s="4"/>
      <c r="AH63" s="4"/>
      <c r="AI63" s="4"/>
      <c r="AJ63" s="4"/>
      <c r="AK63" s="4"/>
      <c r="AL63" s="4"/>
      <c r="AM63" s="4"/>
      <c r="AN63" s="4"/>
    </row>
    <row r="64" ht="15.75" customHeight="1">
      <c r="A64" s="29"/>
      <c r="B64" s="54">
        <v>45796.0</v>
      </c>
      <c r="C64" s="13" t="s">
        <v>30</v>
      </c>
      <c r="D64" s="13" t="s">
        <v>22</v>
      </c>
      <c r="E64" s="153" t="s">
        <v>113</v>
      </c>
      <c r="F64" s="14">
        <v>8.0</v>
      </c>
      <c r="G64" s="136" t="s">
        <v>24</v>
      </c>
      <c r="H64" s="14">
        <v>0.0</v>
      </c>
      <c r="I64" s="154" t="s">
        <v>116</v>
      </c>
      <c r="K64" s="139">
        <f t="shared" si="1"/>
        <v>3</v>
      </c>
      <c r="L64" s="140">
        <f t="shared" si="2"/>
        <v>0</v>
      </c>
      <c r="AE64" s="4"/>
      <c r="AF64" s="2"/>
      <c r="AG64" s="4"/>
      <c r="AH64" s="4"/>
      <c r="AI64" s="4"/>
      <c r="AJ64" s="4"/>
      <c r="AK64" s="4"/>
      <c r="AL64" s="4"/>
      <c r="AM64" s="4"/>
      <c r="AN64" s="4"/>
    </row>
    <row r="65" ht="15.75" customHeight="1">
      <c r="A65" s="29"/>
      <c r="B65" s="54">
        <v>45796.0</v>
      </c>
      <c r="C65" s="13" t="s">
        <v>36</v>
      </c>
      <c r="D65" s="13" t="s">
        <v>22</v>
      </c>
      <c r="E65" s="153" t="s">
        <v>64</v>
      </c>
      <c r="F65" s="14">
        <v>8.0</v>
      </c>
      <c r="G65" s="136" t="s">
        <v>24</v>
      </c>
      <c r="H65" s="14">
        <v>2.0</v>
      </c>
      <c r="I65" s="154" t="s">
        <v>31</v>
      </c>
      <c r="K65" s="139">
        <f t="shared" si="1"/>
        <v>3</v>
      </c>
      <c r="L65" s="140">
        <f t="shared" si="2"/>
        <v>0</v>
      </c>
      <c r="AE65" s="4"/>
      <c r="AF65" s="2"/>
      <c r="AG65" s="4"/>
      <c r="AH65" s="4"/>
      <c r="AI65" s="4"/>
      <c r="AJ65" s="4"/>
      <c r="AK65" s="4"/>
      <c r="AL65" s="4"/>
      <c r="AM65" s="4"/>
      <c r="AN65" s="4"/>
    </row>
    <row r="66" ht="15.75" customHeight="1">
      <c r="A66" s="29"/>
      <c r="B66" s="54">
        <v>45797.0</v>
      </c>
      <c r="C66" s="13" t="s">
        <v>30</v>
      </c>
      <c r="D66" s="13" t="s">
        <v>22</v>
      </c>
      <c r="E66" s="135" t="s">
        <v>135</v>
      </c>
      <c r="F66" s="14">
        <v>5.0</v>
      </c>
      <c r="G66" s="136" t="s">
        <v>24</v>
      </c>
      <c r="H66" s="14">
        <v>4.0</v>
      </c>
      <c r="I66" s="154" t="s">
        <v>38</v>
      </c>
      <c r="K66" s="139">
        <f t="shared" si="1"/>
        <v>3</v>
      </c>
      <c r="L66" s="140">
        <f t="shared" si="2"/>
        <v>0</v>
      </c>
      <c r="AE66" s="4"/>
      <c r="AF66" s="2"/>
      <c r="AG66" s="4"/>
      <c r="AH66" s="4"/>
      <c r="AI66" s="4"/>
      <c r="AJ66" s="4"/>
      <c r="AK66" s="4"/>
      <c r="AL66" s="4"/>
      <c r="AM66" s="4"/>
      <c r="AN66" s="4"/>
    </row>
    <row r="67" ht="15.75" customHeight="1">
      <c r="A67" s="29"/>
      <c r="B67" s="54">
        <v>45797.0</v>
      </c>
      <c r="C67" s="13" t="s">
        <v>36</v>
      </c>
      <c r="D67" s="13" t="s">
        <v>22</v>
      </c>
      <c r="E67" s="153" t="s">
        <v>34</v>
      </c>
      <c r="F67" s="14">
        <v>1.0</v>
      </c>
      <c r="G67" s="136" t="s">
        <v>24</v>
      </c>
      <c r="H67" s="14">
        <v>4.0</v>
      </c>
      <c r="I67" s="154" t="s">
        <v>37</v>
      </c>
      <c r="K67" s="139">
        <f t="shared" si="1"/>
        <v>0</v>
      </c>
      <c r="L67" s="140">
        <f t="shared" si="2"/>
        <v>3</v>
      </c>
      <c r="R67" s="138"/>
      <c r="S67" s="138"/>
      <c r="T67" s="138"/>
      <c r="U67" s="138"/>
      <c r="V67" s="138"/>
      <c r="AE67" s="4"/>
      <c r="AF67" s="2"/>
      <c r="AG67" s="4"/>
      <c r="AH67" s="4"/>
      <c r="AI67" s="4"/>
      <c r="AJ67" s="4"/>
      <c r="AK67" s="4"/>
      <c r="AL67" s="4"/>
      <c r="AM67" s="4"/>
      <c r="AN67" s="4"/>
    </row>
    <row r="68" ht="15.75" customHeight="1">
      <c r="A68" s="37"/>
      <c r="B68" s="54">
        <v>45797.0</v>
      </c>
      <c r="C68" s="13" t="s">
        <v>41</v>
      </c>
      <c r="D68" s="13" t="s">
        <v>22</v>
      </c>
      <c r="E68" s="153" t="s">
        <v>67</v>
      </c>
      <c r="F68" s="14">
        <v>5.0</v>
      </c>
      <c r="G68" s="136" t="s">
        <v>24</v>
      </c>
      <c r="H68" s="14">
        <v>3.0</v>
      </c>
      <c r="I68" s="154" t="s">
        <v>42</v>
      </c>
      <c r="K68" s="139">
        <f t="shared" si="1"/>
        <v>3</v>
      </c>
      <c r="L68" s="140">
        <f t="shared" si="2"/>
        <v>0</v>
      </c>
      <c r="R68" s="138"/>
      <c r="S68" s="138"/>
      <c r="T68" s="138"/>
      <c r="U68" s="138"/>
      <c r="V68" s="138"/>
      <c r="AE68" s="4"/>
      <c r="AF68" s="2"/>
      <c r="AG68" s="4"/>
      <c r="AH68" s="4"/>
      <c r="AI68" s="4"/>
      <c r="AJ68" s="4"/>
      <c r="AK68" s="4"/>
      <c r="AL68" s="4"/>
      <c r="AM68" s="4"/>
      <c r="AN68" s="4"/>
    </row>
    <row r="69" ht="15.75" customHeight="1">
      <c r="E69" s="164"/>
      <c r="I69" s="2"/>
      <c r="R69" s="138"/>
      <c r="S69" s="138"/>
      <c r="T69" s="138"/>
      <c r="U69" s="138"/>
      <c r="V69" s="138"/>
      <c r="AE69" s="4"/>
      <c r="AF69" s="2"/>
      <c r="AG69" s="4"/>
      <c r="AH69" s="4"/>
      <c r="AI69" s="4"/>
      <c r="AJ69" s="4"/>
      <c r="AK69" s="4"/>
      <c r="AL69" s="4"/>
      <c r="AM69" s="4"/>
      <c r="AN69" s="4"/>
    </row>
    <row r="70" ht="15.75" customHeight="1">
      <c r="E70" s="164"/>
      <c r="I70" s="2"/>
      <c r="R70" s="138"/>
      <c r="S70" s="138"/>
      <c r="T70" s="138"/>
      <c r="U70" s="138"/>
      <c r="V70" s="138"/>
      <c r="AE70" s="4"/>
      <c r="AF70" s="2"/>
      <c r="AG70" s="4"/>
      <c r="AH70" s="4"/>
      <c r="AI70" s="4"/>
      <c r="AJ70" s="4"/>
      <c r="AK70" s="4"/>
      <c r="AL70" s="4"/>
      <c r="AM70" s="4"/>
      <c r="AN70" s="4"/>
    </row>
    <row r="71" ht="15.75" customHeight="1">
      <c r="E71" s="164"/>
      <c r="I71" s="2"/>
      <c r="R71" s="138"/>
      <c r="S71" s="138"/>
      <c r="T71" s="138"/>
      <c r="U71" s="138"/>
      <c r="V71" s="138"/>
      <c r="AE71" s="4"/>
      <c r="AF71" s="2"/>
      <c r="AG71" s="4"/>
      <c r="AH71" s="4"/>
      <c r="AI71" s="4"/>
      <c r="AJ71" s="4"/>
      <c r="AK71" s="4"/>
      <c r="AL71" s="4"/>
      <c r="AM71" s="4"/>
      <c r="AN71" s="4"/>
    </row>
    <row r="72" ht="15.75" customHeight="1">
      <c r="E72" s="164"/>
      <c r="I72" s="2"/>
      <c r="R72" s="138"/>
      <c r="S72" s="138"/>
      <c r="T72" s="138"/>
      <c r="U72" s="138"/>
      <c r="V72" s="138"/>
      <c r="AE72" s="4"/>
      <c r="AF72" s="2"/>
      <c r="AG72" s="4"/>
      <c r="AH72" s="4"/>
      <c r="AI72" s="4"/>
      <c r="AJ72" s="4"/>
      <c r="AK72" s="4"/>
      <c r="AL72" s="4"/>
      <c r="AM72" s="4"/>
      <c r="AN72" s="4"/>
    </row>
    <row r="73" ht="15.75" customHeight="1">
      <c r="A73" s="1" t="s">
        <v>138</v>
      </c>
      <c r="I73" s="2"/>
      <c r="R73" s="138"/>
      <c r="S73" s="138"/>
      <c r="T73" s="138"/>
      <c r="U73" s="138"/>
      <c r="V73" s="138"/>
      <c r="AE73" s="4"/>
      <c r="AF73" s="2"/>
      <c r="AG73" s="4"/>
      <c r="AH73" s="4"/>
      <c r="AI73" s="4"/>
      <c r="AJ73" s="4"/>
      <c r="AK73" s="4"/>
      <c r="AL73" s="4"/>
      <c r="AM73" s="4"/>
      <c r="AN73" s="4"/>
    </row>
    <row r="74" ht="15.75" customHeight="1">
      <c r="A74" s="74" t="s">
        <v>1</v>
      </c>
      <c r="B74" s="74" t="s">
        <v>2</v>
      </c>
      <c r="C74" s="74" t="s">
        <v>3</v>
      </c>
      <c r="D74" s="74" t="s">
        <v>4</v>
      </c>
      <c r="E74" s="129" t="s">
        <v>5</v>
      </c>
      <c r="F74" s="75" t="s">
        <v>6</v>
      </c>
      <c r="G74" s="7"/>
      <c r="H74" s="8"/>
      <c r="I74" s="130" t="s">
        <v>7</v>
      </c>
      <c r="J74" s="131" t="s">
        <v>8</v>
      </c>
      <c r="K74" s="132" t="s">
        <v>9</v>
      </c>
      <c r="L74" s="132" t="s">
        <v>10</v>
      </c>
      <c r="M74" s="131"/>
      <c r="N74" s="131" t="s">
        <v>11</v>
      </c>
      <c r="O74" s="131" t="s">
        <v>12</v>
      </c>
      <c r="P74" s="131" t="s">
        <v>13</v>
      </c>
      <c r="Q74" s="131" t="s">
        <v>14</v>
      </c>
      <c r="R74" s="131" t="s">
        <v>15</v>
      </c>
      <c r="S74" s="131" t="s">
        <v>16</v>
      </c>
      <c r="T74" s="131" t="s">
        <v>17</v>
      </c>
      <c r="U74" s="131" t="s">
        <v>18</v>
      </c>
      <c r="V74" s="131" t="s">
        <v>19</v>
      </c>
      <c r="AE74" s="74" t="s">
        <v>11</v>
      </c>
      <c r="AF74" s="74" t="s">
        <v>12</v>
      </c>
      <c r="AG74" s="74" t="s">
        <v>13</v>
      </c>
      <c r="AH74" s="74" t="s">
        <v>14</v>
      </c>
      <c r="AI74" s="74" t="s">
        <v>15</v>
      </c>
      <c r="AJ74" s="74" t="s">
        <v>16</v>
      </c>
      <c r="AK74" s="74" t="s">
        <v>17</v>
      </c>
      <c r="AL74" s="74" t="s">
        <v>18</v>
      </c>
      <c r="AM74" s="74" t="s">
        <v>19</v>
      </c>
      <c r="AN74" s="132"/>
    </row>
    <row r="75" ht="15.75" customHeight="1">
      <c r="A75" s="165">
        <v>1.0</v>
      </c>
      <c r="B75" s="12">
        <v>45579.0</v>
      </c>
      <c r="C75" s="13" t="s">
        <v>21</v>
      </c>
      <c r="D75" s="49" t="s">
        <v>22</v>
      </c>
      <c r="E75" s="153" t="s">
        <v>73</v>
      </c>
      <c r="F75" s="107">
        <v>3.0</v>
      </c>
      <c r="G75" s="136" t="s">
        <v>24</v>
      </c>
      <c r="H75" s="107">
        <v>3.0</v>
      </c>
      <c r="I75" s="154" t="s">
        <v>94</v>
      </c>
      <c r="J75" s="138"/>
      <c r="K75" s="139">
        <f t="shared" ref="K75:K140" si="11">IF(F75="","",IFS(F75&gt;H75,3,F75=H75,1,H75&gt;F75,0,F75="",0))</f>
        <v>1</v>
      </c>
      <c r="L75" s="140">
        <f t="shared" ref="L75:L140" si="12">IF(H75="","",IFS(F75&lt;H75,3,F75=H75,1,H75&lt;F75,0))</f>
        <v>1</v>
      </c>
      <c r="M75" s="138"/>
      <c r="N75" s="141">
        <v>1.0</v>
      </c>
      <c r="O75" s="19" t="s">
        <v>73</v>
      </c>
      <c r="P75" s="140">
        <f t="shared" ref="P75:P86" si="13">SUMIF(E$75:E$140,O75,K$75:K$140)+SUMIF(I$75:I$140,O75,L$75:L$140)</f>
        <v>17</v>
      </c>
      <c r="Q75" s="143">
        <f t="shared" ref="Q75:Q86" si="14">COUNTIFS(E$75:E$140,O75,K$75:K$140,3)+COUNTIFS(I$75:I$140,O75,L$75:L$140,3)</f>
        <v>5</v>
      </c>
      <c r="R75" s="21">
        <f t="shared" ref="R75:R86" si="15">COUNTIFS(E$75:E$140,O75,K$75:K$140,1)+COUNTIFS(I$75:I$140,O75,L$75:L$140,1)</f>
        <v>2</v>
      </c>
      <c r="S75" s="21">
        <f t="shared" ref="S75:S86" si="16">COUNTIFS(E$75:E$140,O75,K$75:K$140,0)+COUNTIFS(I$75:I$140,O75,L$75:L$140,0)</f>
        <v>4</v>
      </c>
      <c r="T75" s="141">
        <f t="shared" ref="T75:T86" si="17">SUMIF(E$75:E$140,O75,F$75:F$140)+SUMIF(I$75:I$140,O75,H$75:H$140)</f>
        <v>35</v>
      </c>
      <c r="U75" s="21">
        <f t="shared" ref="U75:U86" si="18">SUMIF(E$75:E$140,O75,H$75:H$140)+SUMIF(I$75:I$140,O75,F$75:F$140)</f>
        <v>41</v>
      </c>
      <c r="V75" s="141">
        <f t="shared" ref="V75:V86" si="19">T75-U75</f>
        <v>-6</v>
      </c>
      <c r="AE75" s="166" t="s">
        <v>29</v>
      </c>
      <c r="AF75" s="146" t="str">
        <f t="array" ref="AF75:AN86">SORT(O75:W86,2,FALSE,9,FALSE,8,FALSE())</f>
        <v>Bioquímica</v>
      </c>
      <c r="AG75" s="147">
        <v>27.0</v>
      </c>
      <c r="AH75" s="147">
        <v>8.0</v>
      </c>
      <c r="AI75" s="147">
        <v>3.0</v>
      </c>
      <c r="AJ75" s="147">
        <v>0.0</v>
      </c>
      <c r="AK75" s="147">
        <v>57.0</v>
      </c>
      <c r="AL75" s="147">
        <v>12.0</v>
      </c>
      <c r="AM75" s="147">
        <v>45.0</v>
      </c>
      <c r="AN75" s="148"/>
    </row>
    <row r="76" ht="15.75" customHeight="1">
      <c r="A76" s="29"/>
      <c r="B76" s="12">
        <v>45579.0</v>
      </c>
      <c r="C76" s="13" t="s">
        <v>30</v>
      </c>
      <c r="D76" s="49" t="s">
        <v>22</v>
      </c>
      <c r="E76" s="153" t="s">
        <v>139</v>
      </c>
      <c r="F76" s="107">
        <v>6.0</v>
      </c>
      <c r="G76" s="136" t="s">
        <v>24</v>
      </c>
      <c r="H76" s="107">
        <v>2.0</v>
      </c>
      <c r="I76" s="154" t="s">
        <v>117</v>
      </c>
      <c r="J76" s="138"/>
      <c r="K76" s="139">
        <f t="shared" si="11"/>
        <v>3</v>
      </c>
      <c r="L76" s="140">
        <f t="shared" si="12"/>
        <v>0</v>
      </c>
      <c r="M76" s="138"/>
      <c r="N76" s="141">
        <v>2.0</v>
      </c>
      <c r="O76" s="19" t="s">
        <v>96</v>
      </c>
      <c r="P76" s="140">
        <f t="shared" si="13"/>
        <v>0</v>
      </c>
      <c r="Q76" s="143">
        <f t="shared" si="14"/>
        <v>0</v>
      </c>
      <c r="R76" s="21">
        <f t="shared" si="15"/>
        <v>0</v>
      </c>
      <c r="S76" s="21">
        <f t="shared" si="16"/>
        <v>11</v>
      </c>
      <c r="T76" s="141">
        <f t="shared" si="17"/>
        <v>7</v>
      </c>
      <c r="U76" s="21">
        <f t="shared" si="18"/>
        <v>63</v>
      </c>
      <c r="V76" s="141">
        <f t="shared" si="19"/>
        <v>-56</v>
      </c>
      <c r="AE76" s="167">
        <v>2.0</v>
      </c>
      <c r="AF76" s="146" t="s">
        <v>72</v>
      </c>
      <c r="AG76" s="147">
        <v>26.0</v>
      </c>
      <c r="AH76" s="147">
        <v>8.0</v>
      </c>
      <c r="AI76" s="147">
        <v>2.0</v>
      </c>
      <c r="AJ76" s="147">
        <v>1.0</v>
      </c>
      <c r="AK76" s="147">
        <v>39.0</v>
      </c>
      <c r="AL76" s="147">
        <v>15.0</v>
      </c>
      <c r="AM76" s="147">
        <v>24.0</v>
      </c>
      <c r="AN76" s="148"/>
    </row>
    <row r="77" ht="15.75" customHeight="1">
      <c r="A77" s="29"/>
      <c r="B77" s="12">
        <v>45579.0</v>
      </c>
      <c r="C77" s="49" t="s">
        <v>36</v>
      </c>
      <c r="D77" s="49" t="s">
        <v>22</v>
      </c>
      <c r="E77" s="153" t="s">
        <v>140</v>
      </c>
      <c r="F77" s="107">
        <v>3.0</v>
      </c>
      <c r="G77" s="136" t="s">
        <v>24</v>
      </c>
      <c r="H77" s="107">
        <v>2.0</v>
      </c>
      <c r="I77" s="154" t="s">
        <v>141</v>
      </c>
      <c r="J77" s="138"/>
      <c r="K77" s="139">
        <f t="shared" si="11"/>
        <v>3</v>
      </c>
      <c r="L77" s="140">
        <f t="shared" si="12"/>
        <v>0</v>
      </c>
      <c r="M77" s="138"/>
      <c r="N77" s="141">
        <v>3.0</v>
      </c>
      <c r="O77" s="19" t="s">
        <v>94</v>
      </c>
      <c r="P77" s="140">
        <f t="shared" si="13"/>
        <v>21</v>
      </c>
      <c r="Q77" s="143">
        <f t="shared" si="14"/>
        <v>6</v>
      </c>
      <c r="R77" s="21">
        <f t="shared" si="15"/>
        <v>3</v>
      </c>
      <c r="S77" s="21">
        <f t="shared" si="16"/>
        <v>2</v>
      </c>
      <c r="T77" s="141">
        <f t="shared" si="17"/>
        <v>48</v>
      </c>
      <c r="U77" s="21">
        <f t="shared" si="18"/>
        <v>33</v>
      </c>
      <c r="V77" s="141">
        <f t="shared" si="19"/>
        <v>15</v>
      </c>
      <c r="AE77" s="145">
        <v>3.0</v>
      </c>
      <c r="AF77" s="146" t="s">
        <v>32</v>
      </c>
      <c r="AG77" s="147">
        <v>24.0</v>
      </c>
      <c r="AH77" s="147">
        <v>8.0</v>
      </c>
      <c r="AI77" s="147">
        <v>0.0</v>
      </c>
      <c r="AJ77" s="147">
        <v>3.0</v>
      </c>
      <c r="AK77" s="147">
        <v>55.0</v>
      </c>
      <c r="AL77" s="147">
        <v>30.0</v>
      </c>
      <c r="AM77" s="147">
        <v>25.0</v>
      </c>
      <c r="AN77" s="148"/>
    </row>
    <row r="78" ht="15.75" customHeight="1">
      <c r="A78" s="29"/>
      <c r="B78" s="12">
        <v>45579.0</v>
      </c>
      <c r="C78" s="13" t="s">
        <v>41</v>
      </c>
      <c r="D78" s="49" t="s">
        <v>22</v>
      </c>
      <c r="E78" s="153" t="s">
        <v>72</v>
      </c>
      <c r="F78" s="107">
        <v>3.0</v>
      </c>
      <c r="G78" s="136" t="s">
        <v>24</v>
      </c>
      <c r="H78" s="107">
        <v>3.0</v>
      </c>
      <c r="I78" s="154" t="s">
        <v>86</v>
      </c>
      <c r="J78" s="138"/>
      <c r="K78" s="139">
        <f t="shared" si="11"/>
        <v>1</v>
      </c>
      <c r="L78" s="140">
        <f t="shared" si="12"/>
        <v>1</v>
      </c>
      <c r="M78" s="138"/>
      <c r="N78" s="141">
        <v>4.0</v>
      </c>
      <c r="O78" s="19" t="s">
        <v>111</v>
      </c>
      <c r="P78" s="140">
        <f t="shared" si="13"/>
        <v>16</v>
      </c>
      <c r="Q78" s="143">
        <f t="shared" si="14"/>
        <v>5</v>
      </c>
      <c r="R78" s="21">
        <f t="shared" si="15"/>
        <v>1</v>
      </c>
      <c r="S78" s="21">
        <f t="shared" si="16"/>
        <v>5</v>
      </c>
      <c r="T78" s="141">
        <f t="shared" si="17"/>
        <v>29</v>
      </c>
      <c r="U78" s="21">
        <f t="shared" si="18"/>
        <v>31</v>
      </c>
      <c r="V78" s="141">
        <f t="shared" si="19"/>
        <v>-2</v>
      </c>
      <c r="AE78" s="145">
        <v>4.0</v>
      </c>
      <c r="AF78" s="146" t="s">
        <v>94</v>
      </c>
      <c r="AG78" s="147">
        <v>21.0</v>
      </c>
      <c r="AH78" s="147">
        <v>6.0</v>
      </c>
      <c r="AI78" s="147">
        <v>3.0</v>
      </c>
      <c r="AJ78" s="147">
        <v>2.0</v>
      </c>
      <c r="AK78" s="147">
        <v>48.0</v>
      </c>
      <c r="AL78" s="147">
        <v>33.0</v>
      </c>
      <c r="AM78" s="147">
        <v>15.0</v>
      </c>
      <c r="AN78" s="148"/>
    </row>
    <row r="79" ht="15.75" customHeight="1">
      <c r="A79" s="29"/>
      <c r="B79" s="12">
        <v>45582.0</v>
      </c>
      <c r="C79" s="13" t="s">
        <v>21</v>
      </c>
      <c r="D79" s="49" t="s">
        <v>22</v>
      </c>
      <c r="E79" s="153" t="s">
        <v>111</v>
      </c>
      <c r="F79" s="107">
        <v>1.0</v>
      </c>
      <c r="G79" s="136" t="s">
        <v>24</v>
      </c>
      <c r="H79" s="107">
        <v>7.0</v>
      </c>
      <c r="I79" s="154" t="s">
        <v>32</v>
      </c>
      <c r="J79" s="138"/>
      <c r="K79" s="139">
        <f t="shared" si="11"/>
        <v>0</v>
      </c>
      <c r="L79" s="140">
        <f t="shared" si="12"/>
        <v>3</v>
      </c>
      <c r="M79" s="138"/>
      <c r="N79" s="141">
        <v>5.0</v>
      </c>
      <c r="O79" s="19" t="s">
        <v>117</v>
      </c>
      <c r="P79" s="140">
        <f t="shared" si="13"/>
        <v>8</v>
      </c>
      <c r="Q79" s="143">
        <f t="shared" si="14"/>
        <v>2</v>
      </c>
      <c r="R79" s="21">
        <f t="shared" si="15"/>
        <v>2</v>
      </c>
      <c r="S79" s="21">
        <f t="shared" si="16"/>
        <v>7</v>
      </c>
      <c r="T79" s="141">
        <f t="shared" si="17"/>
        <v>19</v>
      </c>
      <c r="U79" s="21">
        <f t="shared" si="18"/>
        <v>35</v>
      </c>
      <c r="V79" s="141">
        <f t="shared" si="19"/>
        <v>-16</v>
      </c>
      <c r="AE79" s="145">
        <v>5.0</v>
      </c>
      <c r="AF79" s="146" t="s">
        <v>139</v>
      </c>
      <c r="AG79" s="147">
        <v>19.0</v>
      </c>
      <c r="AH79" s="147">
        <v>6.0</v>
      </c>
      <c r="AI79" s="147">
        <v>1.0</v>
      </c>
      <c r="AJ79" s="147">
        <v>4.0</v>
      </c>
      <c r="AK79" s="147">
        <v>41.0</v>
      </c>
      <c r="AL79" s="147">
        <v>30.0</v>
      </c>
      <c r="AM79" s="147">
        <v>11.0</v>
      </c>
      <c r="AN79" s="148"/>
    </row>
    <row r="80" ht="15.75" customHeight="1">
      <c r="A80" s="37"/>
      <c r="B80" s="113">
        <v>45582.0</v>
      </c>
      <c r="C80" s="49" t="s">
        <v>30</v>
      </c>
      <c r="D80" s="49" t="s">
        <v>22</v>
      </c>
      <c r="E80" s="153" t="s">
        <v>68</v>
      </c>
      <c r="F80" s="107">
        <v>3.0</v>
      </c>
      <c r="G80" s="136" t="s">
        <v>24</v>
      </c>
      <c r="H80" s="107">
        <v>1.0</v>
      </c>
      <c r="I80" s="154" t="s">
        <v>96</v>
      </c>
      <c r="J80" s="138"/>
      <c r="K80" s="139">
        <f t="shared" si="11"/>
        <v>3</v>
      </c>
      <c r="L80" s="140">
        <f t="shared" si="12"/>
        <v>0</v>
      </c>
      <c r="M80" s="138"/>
      <c r="N80" s="141">
        <v>6.0</v>
      </c>
      <c r="O80" s="19" t="s">
        <v>72</v>
      </c>
      <c r="P80" s="140">
        <f t="shared" si="13"/>
        <v>26</v>
      </c>
      <c r="Q80" s="143">
        <f t="shared" si="14"/>
        <v>8</v>
      </c>
      <c r="R80" s="21">
        <f t="shared" si="15"/>
        <v>2</v>
      </c>
      <c r="S80" s="21">
        <f t="shared" si="16"/>
        <v>1</v>
      </c>
      <c r="T80" s="141">
        <f t="shared" si="17"/>
        <v>39</v>
      </c>
      <c r="U80" s="21">
        <f t="shared" si="18"/>
        <v>15</v>
      </c>
      <c r="V80" s="141">
        <f t="shared" si="19"/>
        <v>24</v>
      </c>
      <c r="AE80" s="145">
        <v>6.0</v>
      </c>
      <c r="AF80" s="146" t="s">
        <v>140</v>
      </c>
      <c r="AG80" s="147">
        <v>19.0</v>
      </c>
      <c r="AH80" s="147">
        <v>6.0</v>
      </c>
      <c r="AI80" s="147">
        <v>1.0</v>
      </c>
      <c r="AJ80" s="147">
        <v>4.0</v>
      </c>
      <c r="AK80" s="147">
        <v>34.0</v>
      </c>
      <c r="AL80" s="147">
        <v>33.0</v>
      </c>
      <c r="AM80" s="147">
        <v>1.0</v>
      </c>
      <c r="AN80" s="148"/>
    </row>
    <row r="81" ht="15.75" customHeight="1">
      <c r="A81" s="165">
        <v>2.0</v>
      </c>
      <c r="B81" s="12">
        <v>45602.0</v>
      </c>
      <c r="C81" s="13" t="s">
        <v>130</v>
      </c>
      <c r="D81" s="13" t="s">
        <v>22</v>
      </c>
      <c r="E81" s="153" t="s">
        <v>94</v>
      </c>
      <c r="F81" s="107">
        <v>8.0</v>
      </c>
      <c r="G81" s="136" t="s">
        <v>24</v>
      </c>
      <c r="H81" s="107">
        <v>4.0</v>
      </c>
      <c r="I81" s="154" t="s">
        <v>68</v>
      </c>
      <c r="J81" s="138"/>
      <c r="K81" s="139">
        <f t="shared" si="11"/>
        <v>3</v>
      </c>
      <c r="L81" s="140">
        <f t="shared" si="12"/>
        <v>0</v>
      </c>
      <c r="M81" s="138"/>
      <c r="N81" s="141">
        <v>7.0</v>
      </c>
      <c r="O81" s="19" t="s">
        <v>141</v>
      </c>
      <c r="P81" s="140">
        <f t="shared" si="13"/>
        <v>5</v>
      </c>
      <c r="Q81" s="143">
        <f t="shared" si="14"/>
        <v>1</v>
      </c>
      <c r="R81" s="21">
        <f t="shared" si="15"/>
        <v>2</v>
      </c>
      <c r="S81" s="21">
        <f t="shared" si="16"/>
        <v>8</v>
      </c>
      <c r="T81" s="141">
        <f t="shared" si="17"/>
        <v>22</v>
      </c>
      <c r="U81" s="21">
        <f t="shared" si="18"/>
        <v>41</v>
      </c>
      <c r="V81" s="141">
        <f t="shared" si="19"/>
        <v>-19</v>
      </c>
      <c r="AE81" s="145">
        <v>7.0</v>
      </c>
      <c r="AF81" s="146" t="s">
        <v>73</v>
      </c>
      <c r="AG81" s="147">
        <v>17.0</v>
      </c>
      <c r="AH81" s="147">
        <v>5.0</v>
      </c>
      <c r="AI81" s="147">
        <v>2.0</v>
      </c>
      <c r="AJ81" s="147">
        <v>4.0</v>
      </c>
      <c r="AK81" s="147">
        <v>35.0</v>
      </c>
      <c r="AL81" s="147">
        <v>41.0</v>
      </c>
      <c r="AM81" s="147">
        <v>-6.0</v>
      </c>
      <c r="AN81" s="148"/>
    </row>
    <row r="82" ht="15.75" customHeight="1">
      <c r="A82" s="29"/>
      <c r="B82" s="12">
        <v>45602.0</v>
      </c>
      <c r="C82" s="13" t="s">
        <v>75</v>
      </c>
      <c r="D82" s="13" t="s">
        <v>22</v>
      </c>
      <c r="E82" s="153" t="s">
        <v>117</v>
      </c>
      <c r="F82" s="107">
        <v>1.0</v>
      </c>
      <c r="G82" s="136" t="s">
        <v>24</v>
      </c>
      <c r="H82" s="107">
        <v>3.0</v>
      </c>
      <c r="I82" s="154" t="s">
        <v>73</v>
      </c>
      <c r="J82" s="138"/>
      <c r="K82" s="139">
        <f t="shared" si="11"/>
        <v>0</v>
      </c>
      <c r="L82" s="140">
        <f t="shared" si="12"/>
        <v>3</v>
      </c>
      <c r="M82" s="138"/>
      <c r="N82" s="141">
        <v>8.0</v>
      </c>
      <c r="O82" s="19" t="s">
        <v>140</v>
      </c>
      <c r="P82" s="140">
        <f t="shared" si="13"/>
        <v>19</v>
      </c>
      <c r="Q82" s="143">
        <f t="shared" si="14"/>
        <v>6</v>
      </c>
      <c r="R82" s="21">
        <f t="shared" si="15"/>
        <v>1</v>
      </c>
      <c r="S82" s="21">
        <f t="shared" si="16"/>
        <v>4</v>
      </c>
      <c r="T82" s="141">
        <f t="shared" si="17"/>
        <v>34</v>
      </c>
      <c r="U82" s="21">
        <f t="shared" si="18"/>
        <v>33</v>
      </c>
      <c r="V82" s="141">
        <f t="shared" si="19"/>
        <v>1</v>
      </c>
      <c r="AE82" s="145">
        <v>8.0</v>
      </c>
      <c r="AF82" s="146" t="s">
        <v>111</v>
      </c>
      <c r="AG82" s="147">
        <v>16.0</v>
      </c>
      <c r="AH82" s="147">
        <v>5.0</v>
      </c>
      <c r="AI82" s="147">
        <v>1.0</v>
      </c>
      <c r="AJ82" s="147">
        <v>5.0</v>
      </c>
      <c r="AK82" s="147">
        <v>29.0</v>
      </c>
      <c r="AL82" s="147">
        <v>31.0</v>
      </c>
      <c r="AM82" s="147">
        <v>-2.0</v>
      </c>
      <c r="AN82" s="148"/>
    </row>
    <row r="83" ht="15.75" customHeight="1">
      <c r="A83" s="29"/>
      <c r="B83" s="12">
        <v>45603.0</v>
      </c>
      <c r="C83" s="13" t="s">
        <v>21</v>
      </c>
      <c r="D83" s="13" t="s">
        <v>22</v>
      </c>
      <c r="E83" s="153" t="s">
        <v>141</v>
      </c>
      <c r="F83" s="107">
        <v>2.0</v>
      </c>
      <c r="G83" s="136" t="s">
        <v>24</v>
      </c>
      <c r="H83" s="107">
        <v>5.0</v>
      </c>
      <c r="I83" s="154" t="s">
        <v>139</v>
      </c>
      <c r="J83" s="138"/>
      <c r="K83" s="139">
        <f t="shared" si="11"/>
        <v>0</v>
      </c>
      <c r="L83" s="140">
        <f t="shared" si="12"/>
        <v>3</v>
      </c>
      <c r="M83" s="138"/>
      <c r="N83" s="141">
        <v>9.0</v>
      </c>
      <c r="O83" s="19" t="s">
        <v>86</v>
      </c>
      <c r="P83" s="140">
        <f t="shared" si="13"/>
        <v>27</v>
      </c>
      <c r="Q83" s="143">
        <f t="shared" si="14"/>
        <v>8</v>
      </c>
      <c r="R83" s="21">
        <f t="shared" si="15"/>
        <v>3</v>
      </c>
      <c r="S83" s="21">
        <f t="shared" si="16"/>
        <v>0</v>
      </c>
      <c r="T83" s="141">
        <f t="shared" si="17"/>
        <v>57</v>
      </c>
      <c r="U83" s="21">
        <f t="shared" si="18"/>
        <v>12</v>
      </c>
      <c r="V83" s="141">
        <f t="shared" si="19"/>
        <v>45</v>
      </c>
      <c r="AE83" s="145">
        <v>9.0</v>
      </c>
      <c r="AF83" s="146" t="s">
        <v>117</v>
      </c>
      <c r="AG83" s="147">
        <v>8.0</v>
      </c>
      <c r="AH83" s="147">
        <v>2.0</v>
      </c>
      <c r="AI83" s="147">
        <v>2.0</v>
      </c>
      <c r="AJ83" s="147">
        <v>7.0</v>
      </c>
      <c r="AK83" s="147">
        <v>19.0</v>
      </c>
      <c r="AL83" s="147">
        <v>35.0</v>
      </c>
      <c r="AM83" s="147">
        <v>-16.0</v>
      </c>
      <c r="AN83" s="148"/>
    </row>
    <row r="84" ht="15.75" customHeight="1">
      <c r="A84" s="29"/>
      <c r="B84" s="12">
        <v>45622.0</v>
      </c>
      <c r="C84" s="13" t="s">
        <v>30</v>
      </c>
      <c r="D84" s="13" t="s">
        <v>22</v>
      </c>
      <c r="E84" s="153" t="s">
        <v>86</v>
      </c>
      <c r="F84" s="107">
        <v>2.0</v>
      </c>
      <c r="G84" s="136" t="s">
        <v>24</v>
      </c>
      <c r="H84" s="107">
        <v>2.0</v>
      </c>
      <c r="I84" s="154" t="s">
        <v>140</v>
      </c>
      <c r="J84" s="138"/>
      <c r="K84" s="139">
        <f t="shared" si="11"/>
        <v>1</v>
      </c>
      <c r="L84" s="140">
        <f t="shared" si="12"/>
        <v>1</v>
      </c>
      <c r="M84" s="138"/>
      <c r="N84" s="141">
        <v>10.0</v>
      </c>
      <c r="O84" s="19" t="s">
        <v>139</v>
      </c>
      <c r="P84" s="140">
        <f t="shared" si="13"/>
        <v>19</v>
      </c>
      <c r="Q84" s="143">
        <f t="shared" si="14"/>
        <v>6</v>
      </c>
      <c r="R84" s="21">
        <f t="shared" si="15"/>
        <v>1</v>
      </c>
      <c r="S84" s="21">
        <f t="shared" si="16"/>
        <v>4</v>
      </c>
      <c r="T84" s="141">
        <f t="shared" si="17"/>
        <v>41</v>
      </c>
      <c r="U84" s="21">
        <f t="shared" si="18"/>
        <v>30</v>
      </c>
      <c r="V84" s="141">
        <f t="shared" si="19"/>
        <v>11</v>
      </c>
      <c r="AE84" s="145">
        <v>10.0</v>
      </c>
      <c r="AF84" s="146" t="s">
        <v>68</v>
      </c>
      <c r="AG84" s="147">
        <v>7.0</v>
      </c>
      <c r="AH84" s="147">
        <v>2.0</v>
      </c>
      <c r="AI84" s="147">
        <v>1.0</v>
      </c>
      <c r="AJ84" s="147">
        <v>8.0</v>
      </c>
      <c r="AK84" s="147">
        <v>26.0</v>
      </c>
      <c r="AL84" s="147">
        <v>48.0</v>
      </c>
      <c r="AM84" s="147">
        <v>-22.0</v>
      </c>
      <c r="AN84" s="148"/>
    </row>
    <row r="85" ht="15.75" customHeight="1">
      <c r="A85" s="29"/>
      <c r="B85" s="12">
        <v>45603.0</v>
      </c>
      <c r="C85" s="13" t="s">
        <v>36</v>
      </c>
      <c r="D85" s="13" t="s">
        <v>22</v>
      </c>
      <c r="E85" s="153" t="s">
        <v>32</v>
      </c>
      <c r="F85" s="107">
        <v>2.0</v>
      </c>
      <c r="G85" s="136" t="s">
        <v>24</v>
      </c>
      <c r="H85" s="107">
        <v>1.0</v>
      </c>
      <c r="I85" s="154" t="s">
        <v>72</v>
      </c>
      <c r="J85" s="138"/>
      <c r="K85" s="139">
        <f t="shared" si="11"/>
        <v>3</v>
      </c>
      <c r="L85" s="140">
        <f t="shared" si="12"/>
        <v>0</v>
      </c>
      <c r="M85" s="138"/>
      <c r="N85" s="168">
        <v>11.0</v>
      </c>
      <c r="O85" s="168" t="s">
        <v>32</v>
      </c>
      <c r="P85" s="140">
        <f t="shared" si="13"/>
        <v>24</v>
      </c>
      <c r="Q85" s="143">
        <f t="shared" si="14"/>
        <v>8</v>
      </c>
      <c r="R85" s="21">
        <f t="shared" si="15"/>
        <v>0</v>
      </c>
      <c r="S85" s="21">
        <f t="shared" si="16"/>
        <v>3</v>
      </c>
      <c r="T85" s="141">
        <f t="shared" si="17"/>
        <v>55</v>
      </c>
      <c r="U85" s="21">
        <f t="shared" si="18"/>
        <v>30</v>
      </c>
      <c r="V85" s="141">
        <f t="shared" si="19"/>
        <v>25</v>
      </c>
      <c r="AE85" s="151">
        <v>11.0</v>
      </c>
      <c r="AF85" s="146" t="s">
        <v>141</v>
      </c>
      <c r="AG85" s="147">
        <v>5.0</v>
      </c>
      <c r="AH85" s="147">
        <v>1.0</v>
      </c>
      <c r="AI85" s="147">
        <v>2.0</v>
      </c>
      <c r="AJ85" s="147">
        <v>8.0</v>
      </c>
      <c r="AK85" s="147">
        <v>22.0</v>
      </c>
      <c r="AL85" s="147">
        <v>41.0</v>
      </c>
      <c r="AM85" s="147">
        <v>-19.0</v>
      </c>
      <c r="AN85" s="162"/>
    </row>
    <row r="86" ht="15.75" customHeight="1">
      <c r="A86" s="37"/>
      <c r="B86" s="12">
        <v>45603.0</v>
      </c>
      <c r="C86" s="13" t="s">
        <v>41</v>
      </c>
      <c r="D86" s="13" t="s">
        <v>22</v>
      </c>
      <c r="E86" s="153" t="s">
        <v>96</v>
      </c>
      <c r="F86" s="107">
        <v>0.0</v>
      </c>
      <c r="G86" s="136" t="s">
        <v>24</v>
      </c>
      <c r="H86" s="107">
        <v>7.0</v>
      </c>
      <c r="I86" s="154" t="s">
        <v>111</v>
      </c>
      <c r="J86" s="138"/>
      <c r="K86" s="139">
        <f t="shared" si="11"/>
        <v>0</v>
      </c>
      <c r="L86" s="140">
        <f t="shared" si="12"/>
        <v>3</v>
      </c>
      <c r="M86" s="138"/>
      <c r="N86" s="168">
        <v>12.0</v>
      </c>
      <c r="O86" s="168" t="s">
        <v>68</v>
      </c>
      <c r="P86" s="140">
        <f t="shared" si="13"/>
        <v>7</v>
      </c>
      <c r="Q86" s="143">
        <f t="shared" si="14"/>
        <v>2</v>
      </c>
      <c r="R86" s="21">
        <f t="shared" si="15"/>
        <v>1</v>
      </c>
      <c r="S86" s="21">
        <f t="shared" si="16"/>
        <v>8</v>
      </c>
      <c r="T86" s="141">
        <f t="shared" si="17"/>
        <v>26</v>
      </c>
      <c r="U86" s="21">
        <f t="shared" si="18"/>
        <v>48</v>
      </c>
      <c r="V86" s="141">
        <f t="shared" si="19"/>
        <v>-22</v>
      </c>
      <c r="AE86" s="151">
        <v>12.0</v>
      </c>
      <c r="AF86" s="146" t="s">
        <v>96</v>
      </c>
      <c r="AG86" s="147">
        <v>0.0</v>
      </c>
      <c r="AH86" s="147">
        <v>0.0</v>
      </c>
      <c r="AI86" s="147">
        <v>0.0</v>
      </c>
      <c r="AJ86" s="147">
        <v>11.0</v>
      </c>
      <c r="AK86" s="147">
        <v>7.0</v>
      </c>
      <c r="AL86" s="147">
        <v>63.0</v>
      </c>
      <c r="AM86" s="147">
        <v>-56.0</v>
      </c>
      <c r="AN86" s="162"/>
    </row>
    <row r="87" ht="15.75" customHeight="1">
      <c r="A87" s="165">
        <v>3.0</v>
      </c>
      <c r="B87" s="12">
        <v>45613.0</v>
      </c>
      <c r="C87" s="13" t="s">
        <v>51</v>
      </c>
      <c r="D87" s="13" t="s">
        <v>22</v>
      </c>
      <c r="E87" s="153" t="s">
        <v>94</v>
      </c>
      <c r="F87" s="107">
        <v>5.0</v>
      </c>
      <c r="G87" s="136" t="s">
        <v>24</v>
      </c>
      <c r="H87" s="107">
        <v>3.0</v>
      </c>
      <c r="I87" s="154" t="s">
        <v>117</v>
      </c>
      <c r="J87" s="138"/>
      <c r="K87" s="139">
        <f t="shared" si="11"/>
        <v>3</v>
      </c>
      <c r="L87" s="140">
        <f t="shared" si="12"/>
        <v>0</v>
      </c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AE87" s="46" t="s">
        <v>142</v>
      </c>
      <c r="AJ87" s="162"/>
      <c r="AK87" s="162"/>
      <c r="AL87" s="162"/>
      <c r="AM87" s="162"/>
      <c r="AN87" s="162"/>
    </row>
    <row r="88" ht="15.75" customHeight="1">
      <c r="A88" s="29"/>
      <c r="B88" s="12">
        <v>45613.0</v>
      </c>
      <c r="C88" s="13" t="s">
        <v>53</v>
      </c>
      <c r="D88" s="13" t="s">
        <v>22</v>
      </c>
      <c r="E88" s="153" t="s">
        <v>73</v>
      </c>
      <c r="F88" s="107">
        <v>2.0</v>
      </c>
      <c r="G88" s="136" t="s">
        <v>24</v>
      </c>
      <c r="H88" s="107">
        <v>2.0</v>
      </c>
      <c r="I88" s="154" t="s">
        <v>141</v>
      </c>
      <c r="J88" s="138"/>
      <c r="K88" s="139">
        <f t="shared" si="11"/>
        <v>1</v>
      </c>
      <c r="L88" s="140">
        <f t="shared" si="12"/>
        <v>1</v>
      </c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AE88" s="48"/>
      <c r="AJ88" s="162"/>
      <c r="AK88" s="162"/>
      <c r="AL88" s="162"/>
      <c r="AM88" s="162"/>
      <c r="AN88" s="162"/>
    </row>
    <row r="89" ht="15.75" customHeight="1">
      <c r="A89" s="29"/>
      <c r="B89" s="12">
        <v>45613.0</v>
      </c>
      <c r="C89" s="13" t="s">
        <v>54</v>
      </c>
      <c r="D89" s="13" t="s">
        <v>22</v>
      </c>
      <c r="E89" s="153" t="s">
        <v>139</v>
      </c>
      <c r="F89" s="107">
        <v>0.0</v>
      </c>
      <c r="G89" s="136" t="s">
        <v>24</v>
      </c>
      <c r="H89" s="107">
        <v>6.0</v>
      </c>
      <c r="I89" s="154" t="s">
        <v>86</v>
      </c>
      <c r="J89" s="138"/>
      <c r="K89" s="139">
        <f t="shared" si="11"/>
        <v>0</v>
      </c>
      <c r="L89" s="140">
        <f t="shared" si="12"/>
        <v>3</v>
      </c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AH89" s="47"/>
      <c r="AJ89" s="162"/>
      <c r="AK89" s="162"/>
      <c r="AL89" s="162"/>
      <c r="AM89" s="162"/>
      <c r="AN89" s="162"/>
    </row>
    <row r="90" ht="15.75" customHeight="1">
      <c r="A90" s="29"/>
      <c r="B90" s="12">
        <v>45613.0</v>
      </c>
      <c r="C90" s="49" t="s">
        <v>55</v>
      </c>
      <c r="D90" s="13" t="s">
        <v>22</v>
      </c>
      <c r="E90" s="153" t="s">
        <v>140</v>
      </c>
      <c r="F90" s="107">
        <v>1.0</v>
      </c>
      <c r="G90" s="136" t="s">
        <v>24</v>
      </c>
      <c r="H90" s="107">
        <v>8.0</v>
      </c>
      <c r="I90" s="154" t="s">
        <v>32</v>
      </c>
      <c r="J90" s="163"/>
      <c r="K90" s="139">
        <f t="shared" si="11"/>
        <v>0</v>
      </c>
      <c r="L90" s="140">
        <f t="shared" si="12"/>
        <v>3</v>
      </c>
      <c r="M90" s="138"/>
      <c r="N90" s="138"/>
      <c r="O90" s="138"/>
      <c r="P90" s="138"/>
      <c r="R90" s="138"/>
      <c r="S90" s="138"/>
      <c r="T90" s="138"/>
      <c r="U90" s="138"/>
      <c r="V90" s="138"/>
      <c r="AJ90" s="4"/>
      <c r="AK90" s="4"/>
      <c r="AL90" s="4"/>
      <c r="AM90" s="4"/>
      <c r="AN90" s="4"/>
    </row>
    <row r="91" ht="15.75" customHeight="1">
      <c r="A91" s="29"/>
      <c r="B91" s="12">
        <v>45613.0</v>
      </c>
      <c r="C91" s="13" t="s">
        <v>56</v>
      </c>
      <c r="D91" s="13" t="s">
        <v>22</v>
      </c>
      <c r="E91" s="153" t="s">
        <v>72</v>
      </c>
      <c r="F91" s="107">
        <v>6.0</v>
      </c>
      <c r="G91" s="136" t="s">
        <v>24</v>
      </c>
      <c r="H91" s="107">
        <v>2.0</v>
      </c>
      <c r="I91" s="154" t="s">
        <v>96</v>
      </c>
      <c r="J91" s="138"/>
      <c r="K91" s="139">
        <f t="shared" si="11"/>
        <v>3</v>
      </c>
      <c r="L91" s="140">
        <f t="shared" si="12"/>
        <v>0</v>
      </c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AJ91" s="162"/>
      <c r="AK91" s="162"/>
      <c r="AL91" s="162"/>
      <c r="AM91" s="162"/>
      <c r="AN91" s="162"/>
    </row>
    <row r="92" ht="15.75" customHeight="1">
      <c r="A92" s="37"/>
      <c r="B92" s="12">
        <v>45613.0</v>
      </c>
      <c r="C92" s="13" t="s">
        <v>57</v>
      </c>
      <c r="D92" s="13" t="s">
        <v>22</v>
      </c>
      <c r="E92" s="153" t="s">
        <v>68</v>
      </c>
      <c r="F92" s="107">
        <v>0.0</v>
      </c>
      <c r="G92" s="136" t="s">
        <v>24</v>
      </c>
      <c r="H92" s="107">
        <v>5.0</v>
      </c>
      <c r="I92" s="154" t="s">
        <v>111</v>
      </c>
      <c r="J92" s="138"/>
      <c r="K92" s="139">
        <f t="shared" si="11"/>
        <v>0</v>
      </c>
      <c r="L92" s="140">
        <f t="shared" si="12"/>
        <v>3</v>
      </c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AJ92" s="162"/>
      <c r="AK92" s="162"/>
      <c r="AL92" s="162"/>
      <c r="AM92" s="162"/>
      <c r="AN92" s="162"/>
    </row>
    <row r="93" ht="15.75" customHeight="1">
      <c r="A93" s="165">
        <v>4.0</v>
      </c>
      <c r="B93" s="12">
        <v>45629.0</v>
      </c>
      <c r="C93" s="13" t="s">
        <v>54</v>
      </c>
      <c r="D93" s="13" t="s">
        <v>22</v>
      </c>
      <c r="E93" s="153" t="s">
        <v>117</v>
      </c>
      <c r="F93" s="107">
        <v>3.0</v>
      </c>
      <c r="G93" s="136" t="s">
        <v>24</v>
      </c>
      <c r="H93" s="107">
        <v>1.0</v>
      </c>
      <c r="I93" s="154" t="s">
        <v>68</v>
      </c>
      <c r="J93" s="138"/>
      <c r="K93" s="139">
        <f t="shared" si="11"/>
        <v>3</v>
      </c>
      <c r="L93" s="140">
        <f t="shared" si="12"/>
        <v>0</v>
      </c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AJ93" s="162"/>
      <c r="AK93" s="162"/>
      <c r="AL93" s="162"/>
      <c r="AM93" s="162"/>
      <c r="AN93" s="162"/>
    </row>
    <row r="94" ht="15.75" customHeight="1">
      <c r="A94" s="29"/>
      <c r="B94" s="12">
        <v>45629.0</v>
      </c>
      <c r="C94" s="49" t="s">
        <v>55</v>
      </c>
      <c r="D94" s="13" t="s">
        <v>22</v>
      </c>
      <c r="E94" s="153" t="s">
        <v>141</v>
      </c>
      <c r="F94" s="107">
        <v>3.0</v>
      </c>
      <c r="G94" s="136" t="s">
        <v>24</v>
      </c>
      <c r="H94" s="107">
        <v>4.0</v>
      </c>
      <c r="I94" s="154" t="s">
        <v>94</v>
      </c>
      <c r="J94" s="138"/>
      <c r="K94" s="139">
        <f t="shared" si="11"/>
        <v>0</v>
      </c>
      <c r="L94" s="140">
        <f t="shared" si="12"/>
        <v>3</v>
      </c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AJ94" s="162"/>
      <c r="AK94" s="162"/>
      <c r="AL94" s="162"/>
      <c r="AM94" s="162"/>
      <c r="AN94" s="162"/>
    </row>
    <row r="95" ht="15.75" customHeight="1">
      <c r="A95" s="29"/>
      <c r="B95" s="12">
        <v>45628.0</v>
      </c>
      <c r="C95" s="13" t="s">
        <v>21</v>
      </c>
      <c r="D95" s="13" t="s">
        <v>22</v>
      </c>
      <c r="E95" s="153" t="s">
        <v>86</v>
      </c>
      <c r="F95" s="107">
        <v>7.0</v>
      </c>
      <c r="G95" s="136" t="s">
        <v>24</v>
      </c>
      <c r="H95" s="107">
        <v>0.0</v>
      </c>
      <c r="I95" s="154" t="s">
        <v>73</v>
      </c>
      <c r="J95" s="138"/>
      <c r="K95" s="139">
        <f t="shared" si="11"/>
        <v>3</v>
      </c>
      <c r="L95" s="140">
        <f t="shared" si="12"/>
        <v>0</v>
      </c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AJ95" s="162"/>
      <c r="AK95" s="162"/>
      <c r="AL95" s="162"/>
      <c r="AM95" s="162"/>
      <c r="AN95" s="162"/>
    </row>
    <row r="96" ht="15.75" customHeight="1">
      <c r="A96" s="29"/>
      <c r="B96" s="12">
        <v>45628.0</v>
      </c>
      <c r="C96" s="13" t="s">
        <v>30</v>
      </c>
      <c r="D96" s="13" t="s">
        <v>22</v>
      </c>
      <c r="E96" s="153" t="s">
        <v>32</v>
      </c>
      <c r="F96" s="107">
        <v>1.0</v>
      </c>
      <c r="G96" s="136" t="s">
        <v>24</v>
      </c>
      <c r="H96" s="107">
        <v>6.0</v>
      </c>
      <c r="I96" s="154" t="s">
        <v>139</v>
      </c>
      <c r="J96" s="138"/>
      <c r="K96" s="139">
        <f t="shared" si="11"/>
        <v>0</v>
      </c>
      <c r="L96" s="140">
        <f t="shared" si="12"/>
        <v>3</v>
      </c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AE96" s="162"/>
      <c r="AF96" s="48"/>
      <c r="AG96" s="162"/>
      <c r="AJ96" s="162"/>
      <c r="AK96" s="162"/>
      <c r="AL96" s="162"/>
      <c r="AM96" s="162"/>
      <c r="AN96" s="162"/>
    </row>
    <row r="97" ht="15.75" customHeight="1">
      <c r="A97" s="29"/>
      <c r="B97" s="12">
        <v>45628.0</v>
      </c>
      <c r="C97" s="13" t="s">
        <v>36</v>
      </c>
      <c r="D97" s="13" t="s">
        <v>22</v>
      </c>
      <c r="E97" s="153" t="s">
        <v>96</v>
      </c>
      <c r="F97" s="107">
        <v>2.0</v>
      </c>
      <c r="G97" s="136" t="s">
        <v>24</v>
      </c>
      <c r="H97" s="107">
        <v>6.0</v>
      </c>
      <c r="I97" s="154" t="s">
        <v>140</v>
      </c>
      <c r="J97" s="138"/>
      <c r="K97" s="139">
        <f t="shared" si="11"/>
        <v>0</v>
      </c>
      <c r="L97" s="140">
        <f t="shared" si="12"/>
        <v>3</v>
      </c>
      <c r="M97" s="138"/>
      <c r="N97" s="138"/>
      <c r="O97" s="138"/>
      <c r="P97" s="138"/>
      <c r="Q97" s="138"/>
      <c r="AE97" s="162"/>
      <c r="AF97" s="48"/>
      <c r="AG97" s="162"/>
      <c r="AH97" s="162"/>
      <c r="AI97" s="162"/>
      <c r="AJ97" s="162"/>
      <c r="AK97" s="162"/>
      <c r="AL97" s="162"/>
      <c r="AM97" s="162"/>
      <c r="AN97" s="162"/>
    </row>
    <row r="98" ht="15.75" customHeight="1">
      <c r="A98" s="37"/>
      <c r="B98" s="12">
        <v>45628.0</v>
      </c>
      <c r="C98" s="13" t="s">
        <v>41</v>
      </c>
      <c r="D98" s="13" t="s">
        <v>22</v>
      </c>
      <c r="E98" s="153" t="s">
        <v>111</v>
      </c>
      <c r="F98" s="107">
        <v>0.0</v>
      </c>
      <c r="G98" s="136" t="s">
        <v>24</v>
      </c>
      <c r="H98" s="107">
        <v>1.0</v>
      </c>
      <c r="I98" s="154" t="s">
        <v>72</v>
      </c>
      <c r="J98" s="138"/>
      <c r="K98" s="139">
        <f t="shared" si="11"/>
        <v>0</v>
      </c>
      <c r="L98" s="140">
        <f t="shared" si="12"/>
        <v>3</v>
      </c>
      <c r="M98" s="138"/>
      <c r="N98" s="138"/>
      <c r="O98" s="138"/>
      <c r="P98" s="138"/>
      <c r="Q98" s="138"/>
      <c r="AE98" s="162"/>
      <c r="AF98" s="48"/>
      <c r="AG98" s="162"/>
      <c r="AH98" s="162"/>
      <c r="AI98" s="162"/>
      <c r="AJ98" s="162"/>
      <c r="AK98" s="162"/>
      <c r="AL98" s="162"/>
      <c r="AM98" s="162"/>
      <c r="AN98" s="162"/>
    </row>
    <row r="99" ht="15.75" customHeight="1">
      <c r="A99" s="165">
        <v>5.0</v>
      </c>
      <c r="B99" s="12">
        <v>45643.0</v>
      </c>
      <c r="C99" s="13" t="s">
        <v>36</v>
      </c>
      <c r="D99" s="13" t="s">
        <v>22</v>
      </c>
      <c r="E99" s="153" t="s">
        <v>117</v>
      </c>
      <c r="F99" s="107">
        <v>2.0</v>
      </c>
      <c r="G99" s="136" t="s">
        <v>24</v>
      </c>
      <c r="H99" s="107">
        <v>2.0</v>
      </c>
      <c r="I99" s="154" t="s">
        <v>141</v>
      </c>
      <c r="J99" s="138"/>
      <c r="K99" s="139">
        <f t="shared" si="11"/>
        <v>1</v>
      </c>
      <c r="L99" s="140">
        <f t="shared" si="12"/>
        <v>1</v>
      </c>
      <c r="M99" s="138"/>
      <c r="N99" s="138"/>
      <c r="O99" s="138"/>
      <c r="P99" s="138"/>
      <c r="Q99" s="138"/>
      <c r="AE99" s="162"/>
      <c r="AF99" s="48"/>
      <c r="AG99" s="162"/>
      <c r="AH99" s="162"/>
      <c r="AI99" s="162"/>
      <c r="AJ99" s="162"/>
      <c r="AK99" s="162"/>
      <c r="AL99" s="162"/>
      <c r="AM99" s="162"/>
      <c r="AN99" s="162"/>
    </row>
    <row r="100" ht="15.75" customHeight="1">
      <c r="A100" s="29"/>
      <c r="B100" s="12">
        <v>45643.0</v>
      </c>
      <c r="C100" s="13" t="s">
        <v>41</v>
      </c>
      <c r="D100" s="13" t="s">
        <v>22</v>
      </c>
      <c r="E100" s="153" t="s">
        <v>94</v>
      </c>
      <c r="F100" s="107">
        <v>2.0</v>
      </c>
      <c r="G100" s="136" t="s">
        <v>24</v>
      </c>
      <c r="H100" s="107">
        <v>2.0</v>
      </c>
      <c r="I100" s="154" t="s">
        <v>86</v>
      </c>
      <c r="J100" s="138"/>
      <c r="K100" s="139">
        <f t="shared" si="11"/>
        <v>1</v>
      </c>
      <c r="L100" s="140">
        <f t="shared" si="12"/>
        <v>1</v>
      </c>
      <c r="M100" s="138"/>
      <c r="N100" s="138"/>
      <c r="O100" s="138"/>
      <c r="P100" s="138"/>
      <c r="Q100" s="138"/>
      <c r="AE100" s="162"/>
      <c r="AF100" s="48"/>
      <c r="AG100" s="162"/>
      <c r="AH100" s="162"/>
      <c r="AI100" s="162"/>
      <c r="AJ100" s="162"/>
      <c r="AK100" s="162"/>
      <c r="AL100" s="162"/>
      <c r="AM100" s="162"/>
      <c r="AN100" s="162"/>
    </row>
    <row r="101" ht="15.75" customHeight="1">
      <c r="A101" s="29"/>
      <c r="B101" s="12">
        <v>45642.0</v>
      </c>
      <c r="C101" s="13" t="s">
        <v>21</v>
      </c>
      <c r="D101" s="13" t="s">
        <v>22</v>
      </c>
      <c r="E101" s="153" t="s">
        <v>73</v>
      </c>
      <c r="F101" s="107">
        <v>1.0</v>
      </c>
      <c r="G101" s="136" t="s">
        <v>24</v>
      </c>
      <c r="H101" s="107">
        <v>12.0</v>
      </c>
      <c r="I101" s="154" t="s">
        <v>32</v>
      </c>
      <c r="J101" s="138"/>
      <c r="K101" s="139">
        <f t="shared" si="11"/>
        <v>0</v>
      </c>
      <c r="L101" s="140">
        <f t="shared" si="12"/>
        <v>3</v>
      </c>
      <c r="M101" s="138"/>
      <c r="N101" s="138"/>
      <c r="O101" s="138"/>
      <c r="P101" s="138"/>
      <c r="Q101" s="138"/>
      <c r="AE101" s="162"/>
      <c r="AF101" s="48"/>
      <c r="AG101" s="162"/>
      <c r="AH101" s="162"/>
      <c r="AI101" s="162"/>
      <c r="AJ101" s="162"/>
      <c r="AK101" s="162"/>
      <c r="AL101" s="162"/>
      <c r="AM101" s="162"/>
      <c r="AN101" s="162"/>
    </row>
    <row r="102" ht="15.75" customHeight="1">
      <c r="A102" s="29"/>
      <c r="B102" s="12">
        <v>45642.0</v>
      </c>
      <c r="C102" s="13" t="s">
        <v>30</v>
      </c>
      <c r="D102" s="13" t="s">
        <v>22</v>
      </c>
      <c r="E102" s="153" t="s">
        <v>139</v>
      </c>
      <c r="F102" s="107">
        <v>7.0</v>
      </c>
      <c r="G102" s="136" t="s">
        <v>24</v>
      </c>
      <c r="H102" s="107">
        <v>0.0</v>
      </c>
      <c r="I102" s="154" t="s">
        <v>96</v>
      </c>
      <c r="J102" s="138"/>
      <c r="K102" s="139">
        <f t="shared" si="11"/>
        <v>3</v>
      </c>
      <c r="L102" s="140">
        <f t="shared" si="12"/>
        <v>0</v>
      </c>
      <c r="M102" s="138"/>
      <c r="N102" s="138"/>
      <c r="O102" s="138"/>
      <c r="P102" s="138"/>
      <c r="Q102" s="138"/>
      <c r="AE102" s="162"/>
      <c r="AF102" s="48"/>
      <c r="AG102" s="162"/>
      <c r="AH102" s="162"/>
      <c r="AI102" s="162"/>
      <c r="AJ102" s="162"/>
      <c r="AK102" s="162"/>
      <c r="AL102" s="162"/>
      <c r="AM102" s="162"/>
      <c r="AN102" s="162"/>
    </row>
    <row r="103" ht="15.75" customHeight="1">
      <c r="A103" s="29"/>
      <c r="B103" s="12">
        <v>45642.0</v>
      </c>
      <c r="C103" s="13" t="s">
        <v>36</v>
      </c>
      <c r="D103" s="13" t="s">
        <v>22</v>
      </c>
      <c r="E103" s="153" t="s">
        <v>140</v>
      </c>
      <c r="F103" s="107">
        <v>3.0</v>
      </c>
      <c r="G103" s="136" t="s">
        <v>24</v>
      </c>
      <c r="H103" s="107">
        <v>4.0</v>
      </c>
      <c r="I103" s="154" t="s">
        <v>111</v>
      </c>
      <c r="J103" s="138"/>
      <c r="K103" s="139">
        <f t="shared" si="11"/>
        <v>0</v>
      </c>
      <c r="L103" s="140">
        <f t="shared" si="12"/>
        <v>3</v>
      </c>
      <c r="M103" s="138"/>
      <c r="N103" s="138"/>
      <c r="O103" s="138"/>
      <c r="P103" s="138"/>
      <c r="Q103" s="138"/>
      <c r="AE103" s="162"/>
      <c r="AF103" s="48"/>
      <c r="AG103" s="162"/>
      <c r="AH103" s="162"/>
      <c r="AI103" s="162"/>
      <c r="AJ103" s="162"/>
      <c r="AK103" s="162"/>
      <c r="AL103" s="162"/>
      <c r="AM103" s="162"/>
      <c r="AN103" s="162"/>
    </row>
    <row r="104" ht="15.75" customHeight="1">
      <c r="A104" s="37"/>
      <c r="B104" s="12">
        <v>45642.0</v>
      </c>
      <c r="C104" s="13" t="s">
        <v>41</v>
      </c>
      <c r="D104" s="13" t="s">
        <v>22</v>
      </c>
      <c r="E104" s="153" t="s">
        <v>68</v>
      </c>
      <c r="F104" s="107">
        <v>1.0</v>
      </c>
      <c r="G104" s="136" t="s">
        <v>24</v>
      </c>
      <c r="H104" s="107">
        <v>4.0</v>
      </c>
      <c r="I104" s="154" t="s">
        <v>72</v>
      </c>
      <c r="J104" s="138"/>
      <c r="K104" s="139">
        <f t="shared" si="11"/>
        <v>0</v>
      </c>
      <c r="L104" s="140">
        <f t="shared" si="12"/>
        <v>3</v>
      </c>
      <c r="M104" s="138"/>
      <c r="N104" s="138"/>
      <c r="O104" s="138"/>
      <c r="P104" s="138"/>
      <c r="Q104" s="138"/>
      <c r="AE104" s="162"/>
      <c r="AF104" s="48"/>
      <c r="AG104" s="162"/>
      <c r="AH104" s="162"/>
      <c r="AI104" s="162"/>
      <c r="AJ104" s="162"/>
      <c r="AK104" s="162"/>
      <c r="AL104" s="162"/>
      <c r="AM104" s="162"/>
      <c r="AN104" s="162"/>
    </row>
    <row r="105" ht="15.75" customHeight="1">
      <c r="A105" s="165">
        <v>6.0</v>
      </c>
      <c r="B105" s="12">
        <v>45698.0</v>
      </c>
      <c r="C105" s="13" t="s">
        <v>76</v>
      </c>
      <c r="D105" s="13" t="s">
        <v>108</v>
      </c>
      <c r="E105" s="153" t="s">
        <v>141</v>
      </c>
      <c r="F105" s="107">
        <v>1.0</v>
      </c>
      <c r="G105" s="136" t="s">
        <v>24</v>
      </c>
      <c r="H105" s="107">
        <v>4.0</v>
      </c>
      <c r="I105" s="154" t="s">
        <v>68</v>
      </c>
      <c r="J105" s="138"/>
      <c r="K105" s="139">
        <f t="shared" si="11"/>
        <v>0</v>
      </c>
      <c r="L105" s="140">
        <f t="shared" si="12"/>
        <v>3</v>
      </c>
      <c r="M105" s="138"/>
      <c r="N105" s="138"/>
      <c r="O105" s="138"/>
      <c r="P105" s="138"/>
      <c r="Q105" s="138"/>
      <c r="AE105" s="162"/>
      <c r="AF105" s="48"/>
      <c r="AG105" s="162"/>
      <c r="AH105" s="162"/>
      <c r="AI105" s="162"/>
      <c r="AJ105" s="162"/>
      <c r="AK105" s="162"/>
      <c r="AL105" s="162"/>
      <c r="AM105" s="162"/>
      <c r="AN105" s="162"/>
    </row>
    <row r="106" ht="15.75" customHeight="1">
      <c r="A106" s="29"/>
      <c r="B106" s="12">
        <v>45699.0</v>
      </c>
      <c r="C106" s="13" t="s">
        <v>77</v>
      </c>
      <c r="D106" s="13" t="s">
        <v>108</v>
      </c>
      <c r="E106" s="153" t="s">
        <v>86</v>
      </c>
      <c r="F106" s="107">
        <v>3.0</v>
      </c>
      <c r="G106" s="136" t="s">
        <v>24</v>
      </c>
      <c r="H106" s="107">
        <v>0.0</v>
      </c>
      <c r="I106" s="154" t="s">
        <v>117</v>
      </c>
      <c r="J106" s="138"/>
      <c r="K106" s="139">
        <f t="shared" si="11"/>
        <v>3</v>
      </c>
      <c r="L106" s="140">
        <f t="shared" si="12"/>
        <v>0</v>
      </c>
      <c r="M106" s="138"/>
      <c r="N106" s="138"/>
      <c r="O106" s="138"/>
      <c r="P106" s="138"/>
      <c r="Q106" s="138"/>
      <c r="AE106" s="162"/>
      <c r="AF106" s="48"/>
      <c r="AG106" s="162"/>
      <c r="AH106" s="162"/>
      <c r="AI106" s="162"/>
      <c r="AJ106" s="162"/>
      <c r="AK106" s="162"/>
      <c r="AL106" s="162"/>
      <c r="AM106" s="162"/>
      <c r="AN106" s="162"/>
    </row>
    <row r="107" ht="15.75" customHeight="1">
      <c r="A107" s="29"/>
      <c r="B107" s="12">
        <v>45700.0</v>
      </c>
      <c r="C107" s="13" t="s">
        <v>128</v>
      </c>
      <c r="D107" s="13" t="s">
        <v>22</v>
      </c>
      <c r="E107" s="153" t="s">
        <v>32</v>
      </c>
      <c r="F107" s="107">
        <v>4.0</v>
      </c>
      <c r="G107" s="136" t="s">
        <v>24</v>
      </c>
      <c r="H107" s="107">
        <v>6.0</v>
      </c>
      <c r="I107" s="154" t="s">
        <v>94</v>
      </c>
      <c r="J107" s="138"/>
      <c r="K107" s="139">
        <f t="shared" si="11"/>
        <v>0</v>
      </c>
      <c r="L107" s="140">
        <f t="shared" si="12"/>
        <v>3</v>
      </c>
      <c r="M107" s="138"/>
      <c r="N107" s="138"/>
      <c r="O107" s="138"/>
      <c r="P107" s="138"/>
      <c r="Q107" s="138"/>
      <c r="AE107" s="162"/>
      <c r="AF107" s="48"/>
      <c r="AG107" s="162"/>
      <c r="AH107" s="162"/>
      <c r="AI107" s="162"/>
      <c r="AJ107" s="162"/>
      <c r="AK107" s="162"/>
      <c r="AL107" s="162"/>
      <c r="AM107" s="162"/>
      <c r="AN107" s="162"/>
    </row>
    <row r="108" ht="15.75" customHeight="1">
      <c r="A108" s="29"/>
      <c r="B108" s="12">
        <v>45699.0</v>
      </c>
      <c r="C108" s="13" t="s">
        <v>58</v>
      </c>
      <c r="D108" s="13" t="s">
        <v>108</v>
      </c>
      <c r="E108" s="153" t="s">
        <v>96</v>
      </c>
      <c r="F108" s="107">
        <v>0.0</v>
      </c>
      <c r="G108" s="136" t="s">
        <v>24</v>
      </c>
      <c r="H108" s="107">
        <v>9.0</v>
      </c>
      <c r="I108" s="154" t="s">
        <v>73</v>
      </c>
      <c r="J108" s="138"/>
      <c r="K108" s="139">
        <f t="shared" si="11"/>
        <v>0</v>
      </c>
      <c r="L108" s="140">
        <f t="shared" si="12"/>
        <v>3</v>
      </c>
      <c r="M108" s="138"/>
      <c r="N108" s="138"/>
      <c r="O108" s="138"/>
      <c r="P108" s="138"/>
      <c r="Q108" s="138"/>
      <c r="AE108" s="162"/>
      <c r="AF108" s="48"/>
      <c r="AG108" s="162"/>
      <c r="AH108" s="162"/>
      <c r="AI108" s="162"/>
      <c r="AJ108" s="162"/>
      <c r="AK108" s="162"/>
      <c r="AL108" s="162"/>
      <c r="AM108" s="162"/>
      <c r="AN108" s="162"/>
    </row>
    <row r="109" ht="15.75" customHeight="1">
      <c r="A109" s="29"/>
      <c r="B109" s="12">
        <v>45699.0</v>
      </c>
      <c r="C109" s="13" t="s">
        <v>59</v>
      </c>
      <c r="D109" s="13" t="s">
        <v>108</v>
      </c>
      <c r="E109" s="153" t="s">
        <v>111</v>
      </c>
      <c r="F109" s="107">
        <v>1.0</v>
      </c>
      <c r="G109" s="136" t="s">
        <v>24</v>
      </c>
      <c r="H109" s="107">
        <v>2.0</v>
      </c>
      <c r="I109" s="154" t="s">
        <v>139</v>
      </c>
      <c r="J109" s="138"/>
      <c r="K109" s="139">
        <f t="shared" si="11"/>
        <v>0</v>
      </c>
      <c r="L109" s="140">
        <f t="shared" si="12"/>
        <v>3</v>
      </c>
      <c r="M109" s="138"/>
      <c r="N109" s="138"/>
      <c r="O109" s="138"/>
      <c r="P109" s="138"/>
      <c r="Q109" s="138"/>
      <c r="AE109" s="162"/>
      <c r="AF109" s="48"/>
      <c r="AG109" s="162"/>
      <c r="AH109" s="162"/>
      <c r="AI109" s="162"/>
      <c r="AJ109" s="162"/>
      <c r="AK109" s="162"/>
      <c r="AL109" s="162"/>
      <c r="AM109" s="162"/>
      <c r="AN109" s="162"/>
    </row>
    <row r="110" ht="15.75" customHeight="1">
      <c r="A110" s="37"/>
      <c r="B110" s="12">
        <v>45700.0</v>
      </c>
      <c r="C110" s="13" t="s">
        <v>129</v>
      </c>
      <c r="D110" s="13" t="s">
        <v>22</v>
      </c>
      <c r="E110" s="153" t="s">
        <v>72</v>
      </c>
      <c r="F110" s="107">
        <v>5.0</v>
      </c>
      <c r="G110" s="136" t="s">
        <v>24</v>
      </c>
      <c r="H110" s="107">
        <v>2.0</v>
      </c>
      <c r="I110" s="154" t="s">
        <v>140</v>
      </c>
      <c r="J110" s="138"/>
      <c r="K110" s="139">
        <f t="shared" si="11"/>
        <v>3</v>
      </c>
      <c r="L110" s="140">
        <f t="shared" si="12"/>
        <v>0</v>
      </c>
      <c r="M110" s="138"/>
      <c r="N110" s="138"/>
      <c r="O110" s="138"/>
      <c r="P110" s="138"/>
      <c r="Q110" s="138"/>
      <c r="AE110" s="162"/>
      <c r="AF110" s="48"/>
      <c r="AG110" s="162"/>
      <c r="AH110" s="162"/>
      <c r="AI110" s="162"/>
      <c r="AJ110" s="162"/>
      <c r="AK110" s="162"/>
      <c r="AL110" s="162"/>
      <c r="AM110" s="162"/>
      <c r="AN110" s="162"/>
    </row>
    <row r="111" ht="15.75" customHeight="1">
      <c r="A111" s="165">
        <v>7.0</v>
      </c>
      <c r="B111" s="12">
        <v>45706.0</v>
      </c>
      <c r="C111" s="13" t="s">
        <v>36</v>
      </c>
      <c r="D111" s="13" t="s">
        <v>22</v>
      </c>
      <c r="E111" s="153" t="s">
        <v>141</v>
      </c>
      <c r="F111" s="107">
        <v>1.0</v>
      </c>
      <c r="G111" s="136" t="s">
        <v>24</v>
      </c>
      <c r="H111" s="107">
        <v>12.0</v>
      </c>
      <c r="I111" s="154" t="s">
        <v>86</v>
      </c>
      <c r="J111" s="138"/>
      <c r="K111" s="139">
        <f t="shared" si="11"/>
        <v>0</v>
      </c>
      <c r="L111" s="140">
        <f t="shared" si="12"/>
        <v>3</v>
      </c>
      <c r="M111" s="138"/>
      <c r="N111" s="138"/>
      <c r="O111" s="138"/>
      <c r="P111" s="138"/>
      <c r="Q111" s="138"/>
      <c r="AE111" s="162"/>
      <c r="AF111" s="48"/>
      <c r="AG111" s="162"/>
      <c r="AH111" s="162"/>
      <c r="AI111" s="162"/>
      <c r="AJ111" s="162"/>
      <c r="AK111" s="162"/>
      <c r="AL111" s="162"/>
      <c r="AM111" s="162"/>
      <c r="AN111" s="162"/>
    </row>
    <row r="112" ht="15.75" customHeight="1">
      <c r="A112" s="29"/>
      <c r="B112" s="12">
        <v>45721.0</v>
      </c>
      <c r="C112" s="13" t="s">
        <v>51</v>
      </c>
      <c r="D112" s="13" t="s">
        <v>22</v>
      </c>
      <c r="E112" s="153" t="s">
        <v>117</v>
      </c>
      <c r="F112" s="107">
        <v>3.0</v>
      </c>
      <c r="G112" s="136" t="s">
        <v>24</v>
      </c>
      <c r="H112" s="107">
        <v>4.0</v>
      </c>
      <c r="I112" s="154" t="s">
        <v>32</v>
      </c>
      <c r="J112" s="138"/>
      <c r="K112" s="139">
        <f t="shared" si="11"/>
        <v>0</v>
      </c>
      <c r="L112" s="140">
        <f t="shared" si="12"/>
        <v>3</v>
      </c>
      <c r="M112" s="138"/>
      <c r="N112" s="138"/>
      <c r="O112" s="138"/>
      <c r="P112" s="138"/>
      <c r="Q112" s="138"/>
      <c r="AE112" s="162"/>
      <c r="AF112" s="48"/>
      <c r="AG112" s="162"/>
      <c r="AH112" s="162"/>
      <c r="AI112" s="162"/>
      <c r="AJ112" s="162"/>
      <c r="AK112" s="162"/>
      <c r="AL112" s="162"/>
      <c r="AM112" s="162"/>
      <c r="AN112" s="162"/>
    </row>
    <row r="113" ht="15.75" customHeight="1">
      <c r="A113" s="29"/>
      <c r="B113" s="12">
        <v>45706.0</v>
      </c>
      <c r="C113" s="13" t="s">
        <v>41</v>
      </c>
      <c r="D113" s="13" t="s">
        <v>22</v>
      </c>
      <c r="E113" s="153" t="s">
        <v>94</v>
      </c>
      <c r="F113" s="107">
        <v>8.0</v>
      </c>
      <c r="G113" s="136" t="s">
        <v>24</v>
      </c>
      <c r="H113" s="107">
        <v>1.0</v>
      </c>
      <c r="I113" s="154" t="s">
        <v>96</v>
      </c>
      <c r="J113" s="138"/>
      <c r="K113" s="139">
        <f t="shared" si="11"/>
        <v>3</v>
      </c>
      <c r="L113" s="140">
        <f t="shared" si="12"/>
        <v>0</v>
      </c>
      <c r="M113" s="138"/>
      <c r="N113" s="138"/>
      <c r="O113" s="138"/>
      <c r="P113" s="138"/>
      <c r="Q113" s="138"/>
      <c r="AE113" s="162"/>
      <c r="AF113" s="48"/>
      <c r="AG113" s="162"/>
      <c r="AH113" s="162"/>
      <c r="AI113" s="162"/>
      <c r="AJ113" s="162"/>
      <c r="AK113" s="162"/>
      <c r="AL113" s="162"/>
      <c r="AM113" s="162"/>
      <c r="AN113" s="162"/>
    </row>
    <row r="114" ht="15.75" customHeight="1">
      <c r="A114" s="29"/>
      <c r="B114" s="12">
        <v>45721.0</v>
      </c>
      <c r="C114" s="13" t="s">
        <v>53</v>
      </c>
      <c r="D114" s="13" t="s">
        <v>22</v>
      </c>
      <c r="E114" s="153" t="s">
        <v>73</v>
      </c>
      <c r="F114" s="107">
        <v>6.0</v>
      </c>
      <c r="G114" s="136" t="s">
        <v>24</v>
      </c>
      <c r="H114" s="107">
        <v>2.0</v>
      </c>
      <c r="I114" s="154" t="s">
        <v>111</v>
      </c>
      <c r="J114" s="138"/>
      <c r="K114" s="139">
        <f t="shared" si="11"/>
        <v>3</v>
      </c>
      <c r="L114" s="140">
        <f t="shared" si="12"/>
        <v>0</v>
      </c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AE114" s="162"/>
      <c r="AF114" s="48"/>
      <c r="AG114" s="162"/>
      <c r="AH114" s="162"/>
      <c r="AI114" s="162"/>
      <c r="AJ114" s="162"/>
      <c r="AK114" s="162"/>
      <c r="AL114" s="162"/>
      <c r="AM114" s="162"/>
      <c r="AN114" s="162"/>
    </row>
    <row r="115" ht="15.75" customHeight="1">
      <c r="A115" s="29"/>
      <c r="B115" s="12">
        <v>45715.0</v>
      </c>
      <c r="C115" s="13" t="s">
        <v>58</v>
      </c>
      <c r="D115" s="13" t="s">
        <v>108</v>
      </c>
      <c r="E115" s="153" t="s">
        <v>139</v>
      </c>
      <c r="F115" s="107">
        <v>1.0</v>
      </c>
      <c r="G115" s="136" t="s">
        <v>24</v>
      </c>
      <c r="H115" s="107">
        <v>3.0</v>
      </c>
      <c r="I115" s="154" t="s">
        <v>72</v>
      </c>
      <c r="J115" s="138"/>
      <c r="K115" s="139">
        <f t="shared" si="11"/>
        <v>0</v>
      </c>
      <c r="L115" s="140">
        <f t="shared" si="12"/>
        <v>3</v>
      </c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AE115" s="162"/>
      <c r="AF115" s="48"/>
      <c r="AG115" s="162"/>
      <c r="AH115" s="162"/>
      <c r="AI115" s="162"/>
      <c r="AJ115" s="162"/>
      <c r="AK115" s="162"/>
      <c r="AL115" s="162"/>
      <c r="AM115" s="162"/>
      <c r="AN115" s="162"/>
    </row>
    <row r="116" ht="15.75" customHeight="1">
      <c r="A116" s="37"/>
      <c r="B116" s="12">
        <v>45715.0</v>
      </c>
      <c r="C116" s="13" t="s">
        <v>59</v>
      </c>
      <c r="D116" s="13" t="s">
        <v>108</v>
      </c>
      <c r="E116" s="153" t="s">
        <v>68</v>
      </c>
      <c r="F116" s="107">
        <v>3.0</v>
      </c>
      <c r="G116" s="136" t="s">
        <v>24</v>
      </c>
      <c r="H116" s="107">
        <v>4.0</v>
      </c>
      <c r="I116" s="154" t="s">
        <v>140</v>
      </c>
      <c r="J116" s="138"/>
      <c r="K116" s="139">
        <f t="shared" si="11"/>
        <v>0</v>
      </c>
      <c r="L116" s="140">
        <f t="shared" si="12"/>
        <v>3</v>
      </c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AE116" s="162"/>
      <c r="AF116" s="48"/>
      <c r="AG116" s="162"/>
      <c r="AH116" s="162"/>
      <c r="AI116" s="162"/>
      <c r="AJ116" s="162"/>
      <c r="AK116" s="162"/>
      <c r="AL116" s="162"/>
      <c r="AM116" s="162"/>
      <c r="AN116" s="162"/>
    </row>
    <row r="117" ht="15.75" customHeight="1">
      <c r="A117" s="165">
        <v>8.0</v>
      </c>
      <c r="B117" s="12">
        <v>45728.0</v>
      </c>
      <c r="C117" s="13" t="s">
        <v>56</v>
      </c>
      <c r="D117" s="13" t="s">
        <v>22</v>
      </c>
      <c r="E117" s="153" t="s">
        <v>86</v>
      </c>
      <c r="F117" s="107">
        <v>4.0</v>
      </c>
      <c r="G117" s="136" t="s">
        <v>24</v>
      </c>
      <c r="H117" s="107">
        <v>1.0</v>
      </c>
      <c r="I117" s="154" t="s">
        <v>68</v>
      </c>
      <c r="J117" s="138"/>
      <c r="K117" s="139">
        <f t="shared" si="11"/>
        <v>3</v>
      </c>
      <c r="L117" s="140">
        <f t="shared" si="12"/>
        <v>0</v>
      </c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AE117" s="162"/>
      <c r="AF117" s="48"/>
      <c r="AG117" s="162"/>
      <c r="AH117" s="162"/>
      <c r="AI117" s="162"/>
      <c r="AJ117" s="162"/>
      <c r="AK117" s="162"/>
      <c r="AL117" s="162"/>
      <c r="AM117" s="162"/>
      <c r="AN117" s="162"/>
    </row>
    <row r="118" ht="15.75" customHeight="1">
      <c r="A118" s="29"/>
      <c r="B118" s="12">
        <v>45733.0</v>
      </c>
      <c r="C118" s="13" t="s">
        <v>59</v>
      </c>
      <c r="D118" s="115" t="s">
        <v>108</v>
      </c>
      <c r="E118" s="153" t="s">
        <v>32</v>
      </c>
      <c r="F118" s="107">
        <v>4.0</v>
      </c>
      <c r="G118" s="136" t="s">
        <v>24</v>
      </c>
      <c r="H118" s="107">
        <v>3.0</v>
      </c>
      <c r="I118" s="154" t="s">
        <v>141</v>
      </c>
      <c r="J118" s="138"/>
      <c r="K118" s="139">
        <f t="shared" si="11"/>
        <v>3</v>
      </c>
      <c r="L118" s="140">
        <f t="shared" si="12"/>
        <v>0</v>
      </c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AE118" s="162"/>
      <c r="AF118" s="48"/>
      <c r="AG118" s="162"/>
      <c r="AH118" s="162"/>
      <c r="AI118" s="162"/>
      <c r="AJ118" s="162"/>
      <c r="AK118" s="162"/>
      <c r="AL118" s="162"/>
      <c r="AM118" s="162"/>
      <c r="AN118" s="162"/>
    </row>
    <row r="119" ht="15.75" customHeight="1">
      <c r="A119" s="29"/>
      <c r="B119" s="12">
        <v>45728.0</v>
      </c>
      <c r="C119" s="13" t="s">
        <v>57</v>
      </c>
      <c r="D119" s="13" t="s">
        <v>22</v>
      </c>
      <c r="E119" s="153" t="s">
        <v>96</v>
      </c>
      <c r="F119" s="107">
        <v>0.0</v>
      </c>
      <c r="G119" s="136" t="s">
        <v>24</v>
      </c>
      <c r="H119" s="107">
        <v>3.0</v>
      </c>
      <c r="I119" s="154" t="s">
        <v>117</v>
      </c>
      <c r="J119" s="138"/>
      <c r="K119" s="139">
        <f t="shared" si="11"/>
        <v>0</v>
      </c>
      <c r="L119" s="140">
        <f t="shared" si="12"/>
        <v>3</v>
      </c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AE119" s="162"/>
      <c r="AF119" s="48"/>
      <c r="AG119" s="162"/>
      <c r="AH119" s="162"/>
      <c r="AI119" s="162"/>
      <c r="AJ119" s="162"/>
      <c r="AK119" s="162"/>
      <c r="AL119" s="162"/>
      <c r="AM119" s="162"/>
      <c r="AN119" s="162"/>
    </row>
    <row r="120" ht="15.75" customHeight="1">
      <c r="A120" s="29"/>
      <c r="B120" s="12">
        <v>45741.0</v>
      </c>
      <c r="C120" s="13" t="s">
        <v>41</v>
      </c>
      <c r="D120" s="13" t="s">
        <v>22</v>
      </c>
      <c r="E120" s="153" t="s">
        <v>111</v>
      </c>
      <c r="F120" s="107">
        <v>4.0</v>
      </c>
      <c r="G120" s="136" t="s">
        <v>24</v>
      </c>
      <c r="H120" s="107">
        <v>3.0</v>
      </c>
      <c r="I120" s="154" t="s">
        <v>94</v>
      </c>
      <c r="K120" s="139">
        <f t="shared" si="11"/>
        <v>3</v>
      </c>
      <c r="L120" s="140">
        <f t="shared" si="12"/>
        <v>0</v>
      </c>
      <c r="R120" s="138"/>
      <c r="S120" s="138"/>
      <c r="T120" s="138"/>
      <c r="U120" s="138"/>
      <c r="V120" s="138"/>
      <c r="AE120" s="4"/>
      <c r="AF120" s="2"/>
      <c r="AG120" s="4"/>
      <c r="AH120" s="4"/>
      <c r="AI120" s="4"/>
      <c r="AJ120" s="4"/>
      <c r="AK120" s="4"/>
      <c r="AL120" s="4"/>
      <c r="AM120" s="4"/>
      <c r="AN120" s="4"/>
    </row>
    <row r="121" ht="15.75" customHeight="1">
      <c r="A121" s="29"/>
      <c r="B121" s="12">
        <v>45729.0</v>
      </c>
      <c r="C121" s="13" t="s">
        <v>21</v>
      </c>
      <c r="D121" s="13" t="s">
        <v>22</v>
      </c>
      <c r="E121" s="153" t="s">
        <v>72</v>
      </c>
      <c r="F121" s="107">
        <v>6.0</v>
      </c>
      <c r="G121" s="136" t="s">
        <v>24</v>
      </c>
      <c r="H121" s="107">
        <v>2.0</v>
      </c>
      <c r="I121" s="154" t="s">
        <v>73</v>
      </c>
      <c r="K121" s="139">
        <f t="shared" si="11"/>
        <v>3</v>
      </c>
      <c r="L121" s="140">
        <f t="shared" si="12"/>
        <v>0</v>
      </c>
      <c r="R121" s="138"/>
      <c r="S121" s="138"/>
      <c r="T121" s="138"/>
      <c r="U121" s="138"/>
      <c r="V121" s="138"/>
      <c r="AE121" s="4"/>
      <c r="AF121" s="2"/>
      <c r="AG121" s="4"/>
      <c r="AH121" s="4"/>
      <c r="AI121" s="4"/>
      <c r="AJ121" s="4"/>
      <c r="AK121" s="4"/>
      <c r="AL121" s="4"/>
      <c r="AM121" s="4"/>
      <c r="AN121" s="4"/>
    </row>
    <row r="122" ht="15.75" customHeight="1">
      <c r="A122" s="37"/>
      <c r="B122" s="12">
        <v>45757.0</v>
      </c>
      <c r="C122" s="13" t="s">
        <v>41</v>
      </c>
      <c r="D122" s="13" t="s">
        <v>22</v>
      </c>
      <c r="E122" s="153" t="s">
        <v>140</v>
      </c>
      <c r="F122" s="107">
        <v>4.0</v>
      </c>
      <c r="G122" s="136" t="s">
        <v>24</v>
      </c>
      <c r="H122" s="107">
        <v>2.0</v>
      </c>
      <c r="I122" s="154" t="s">
        <v>139</v>
      </c>
      <c r="K122" s="139">
        <f t="shared" si="11"/>
        <v>3</v>
      </c>
      <c r="L122" s="140">
        <f t="shared" si="12"/>
        <v>0</v>
      </c>
      <c r="R122" s="138"/>
      <c r="S122" s="138"/>
      <c r="T122" s="138"/>
      <c r="U122" s="138"/>
      <c r="V122" s="138"/>
      <c r="AE122" s="4"/>
      <c r="AF122" s="2"/>
      <c r="AG122" s="4"/>
      <c r="AH122" s="4"/>
      <c r="AI122" s="4"/>
      <c r="AJ122" s="4"/>
      <c r="AK122" s="4"/>
      <c r="AL122" s="4"/>
      <c r="AM122" s="4"/>
      <c r="AN122" s="4"/>
    </row>
    <row r="123" ht="15.75" customHeight="1">
      <c r="A123" s="165">
        <v>9.0</v>
      </c>
      <c r="B123" s="12">
        <v>45746.0</v>
      </c>
      <c r="C123" s="49" t="s">
        <v>51</v>
      </c>
      <c r="D123" s="13" t="s">
        <v>22</v>
      </c>
      <c r="E123" s="153" t="s">
        <v>86</v>
      </c>
      <c r="F123" s="107">
        <v>5.0</v>
      </c>
      <c r="G123" s="136" t="s">
        <v>24</v>
      </c>
      <c r="H123" s="107">
        <v>1.0</v>
      </c>
      <c r="I123" s="154" t="s">
        <v>32</v>
      </c>
      <c r="K123" s="139">
        <f t="shared" si="11"/>
        <v>3</v>
      </c>
      <c r="L123" s="140">
        <f t="shared" si="12"/>
        <v>0</v>
      </c>
      <c r="R123" s="138"/>
      <c r="S123" s="138"/>
      <c r="T123" s="138"/>
      <c r="U123" s="138"/>
      <c r="V123" s="138"/>
      <c r="AE123" s="4"/>
      <c r="AF123" s="2"/>
      <c r="AG123" s="4"/>
      <c r="AH123" s="4"/>
      <c r="AI123" s="4"/>
      <c r="AJ123" s="4"/>
      <c r="AK123" s="4"/>
      <c r="AL123" s="4"/>
      <c r="AM123" s="4"/>
      <c r="AN123" s="4"/>
    </row>
    <row r="124" ht="15.75" customHeight="1">
      <c r="A124" s="29"/>
      <c r="B124" s="12">
        <v>45746.0</v>
      </c>
      <c r="C124" s="49" t="s">
        <v>53</v>
      </c>
      <c r="D124" s="13" t="s">
        <v>22</v>
      </c>
      <c r="E124" s="153" t="s">
        <v>141</v>
      </c>
      <c r="F124" s="107">
        <v>3.0</v>
      </c>
      <c r="G124" s="136" t="s">
        <v>24</v>
      </c>
      <c r="H124" s="107">
        <v>0.0</v>
      </c>
      <c r="I124" s="169" t="s">
        <v>96</v>
      </c>
      <c r="K124" s="139">
        <f t="shared" si="11"/>
        <v>3</v>
      </c>
      <c r="L124" s="140">
        <f t="shared" si="12"/>
        <v>0</v>
      </c>
      <c r="AN124" s="4"/>
    </row>
    <row r="125" ht="15.75" customHeight="1">
      <c r="A125" s="29"/>
      <c r="B125" s="12">
        <v>45740.0</v>
      </c>
      <c r="C125" s="13" t="s">
        <v>21</v>
      </c>
      <c r="D125" s="13" t="s">
        <v>22</v>
      </c>
      <c r="E125" s="153" t="s">
        <v>117</v>
      </c>
      <c r="F125" s="107">
        <v>1.0</v>
      </c>
      <c r="G125" s="136" t="s">
        <v>24</v>
      </c>
      <c r="H125" s="107">
        <v>1.0</v>
      </c>
      <c r="I125" s="154" t="s">
        <v>111</v>
      </c>
      <c r="K125" s="139">
        <f t="shared" si="11"/>
        <v>1</v>
      </c>
      <c r="L125" s="140">
        <f t="shared" si="12"/>
        <v>1</v>
      </c>
      <c r="AN125" s="4"/>
    </row>
    <row r="126" ht="15.75" customHeight="1">
      <c r="A126" s="29"/>
      <c r="B126" s="12">
        <v>45741.0</v>
      </c>
      <c r="C126" s="49" t="s">
        <v>30</v>
      </c>
      <c r="D126" s="13" t="s">
        <v>22</v>
      </c>
      <c r="E126" s="153" t="s">
        <v>94</v>
      </c>
      <c r="F126" s="107">
        <v>1.0</v>
      </c>
      <c r="G126" s="136" t="s">
        <v>24</v>
      </c>
      <c r="H126" s="107">
        <v>1.0</v>
      </c>
      <c r="I126" s="154" t="s">
        <v>72</v>
      </c>
      <c r="K126" s="139">
        <f t="shared" si="11"/>
        <v>1</v>
      </c>
      <c r="L126" s="140">
        <f t="shared" si="12"/>
        <v>1</v>
      </c>
      <c r="AN126" s="132"/>
    </row>
    <row r="127" ht="15.75" customHeight="1">
      <c r="A127" s="29"/>
      <c r="B127" s="12">
        <v>45740.0</v>
      </c>
      <c r="C127" s="49" t="s">
        <v>36</v>
      </c>
      <c r="D127" s="13" t="s">
        <v>22</v>
      </c>
      <c r="E127" s="153" t="s">
        <v>73</v>
      </c>
      <c r="F127" s="107">
        <v>3.0</v>
      </c>
      <c r="G127" s="136" t="s">
        <v>24</v>
      </c>
      <c r="H127" s="107">
        <v>0.0</v>
      </c>
      <c r="I127" s="169" t="s">
        <v>140</v>
      </c>
      <c r="K127" s="139">
        <f t="shared" si="11"/>
        <v>3</v>
      </c>
      <c r="L127" s="140">
        <f t="shared" si="12"/>
        <v>0</v>
      </c>
      <c r="AN127" s="148"/>
    </row>
    <row r="128" ht="15.75" customHeight="1">
      <c r="A128" s="37"/>
      <c r="B128" s="12">
        <v>45740.0</v>
      </c>
      <c r="C128" s="13" t="s">
        <v>41</v>
      </c>
      <c r="D128" s="13" t="s">
        <v>22</v>
      </c>
      <c r="E128" s="153" t="s">
        <v>68</v>
      </c>
      <c r="F128" s="107">
        <v>4.0</v>
      </c>
      <c r="G128" s="136" t="s">
        <v>24</v>
      </c>
      <c r="H128" s="107">
        <v>4.0</v>
      </c>
      <c r="I128" s="154" t="s">
        <v>139</v>
      </c>
      <c r="K128" s="139">
        <f t="shared" si="11"/>
        <v>1</v>
      </c>
      <c r="L128" s="140">
        <f t="shared" si="12"/>
        <v>1</v>
      </c>
      <c r="AN128" s="148"/>
    </row>
    <row r="129" ht="15.75" customHeight="1">
      <c r="A129" s="165">
        <v>10.0</v>
      </c>
      <c r="B129" s="12">
        <v>45749.0</v>
      </c>
      <c r="C129" s="13" t="s">
        <v>128</v>
      </c>
      <c r="D129" s="13" t="s">
        <v>22</v>
      </c>
      <c r="E129" s="153" t="s">
        <v>68</v>
      </c>
      <c r="F129" s="107">
        <v>3.0</v>
      </c>
      <c r="G129" s="136" t="s">
        <v>24</v>
      </c>
      <c r="H129" s="107">
        <v>8.0</v>
      </c>
      <c r="I129" s="154" t="s">
        <v>32</v>
      </c>
      <c r="K129" s="139">
        <f t="shared" si="11"/>
        <v>0</v>
      </c>
      <c r="L129" s="140">
        <f t="shared" si="12"/>
        <v>3</v>
      </c>
      <c r="AN129" s="148"/>
    </row>
    <row r="130" ht="15.75" customHeight="1">
      <c r="A130" s="29"/>
      <c r="B130" s="12">
        <v>45748.0</v>
      </c>
      <c r="C130" s="13" t="s">
        <v>77</v>
      </c>
      <c r="D130" s="13" t="s">
        <v>22</v>
      </c>
      <c r="E130" s="153" t="s">
        <v>96</v>
      </c>
      <c r="F130" s="107">
        <v>1.0</v>
      </c>
      <c r="G130" s="136" t="s">
        <v>24</v>
      </c>
      <c r="H130" s="107">
        <v>7.0</v>
      </c>
      <c r="I130" s="154" t="s">
        <v>86</v>
      </c>
      <c r="K130" s="139">
        <f t="shared" si="11"/>
        <v>0</v>
      </c>
      <c r="L130" s="140">
        <f t="shared" si="12"/>
        <v>3</v>
      </c>
      <c r="AN130" s="148"/>
    </row>
    <row r="131" ht="15.75" customHeight="1">
      <c r="A131" s="29"/>
      <c r="B131" s="12">
        <v>45748.0</v>
      </c>
      <c r="C131" s="13" t="s">
        <v>58</v>
      </c>
      <c r="D131" s="13" t="s">
        <v>22</v>
      </c>
      <c r="E131" s="153" t="s">
        <v>111</v>
      </c>
      <c r="F131" s="107">
        <v>3.0</v>
      </c>
      <c r="G131" s="136" t="s">
        <v>24</v>
      </c>
      <c r="H131" s="107">
        <v>2.0</v>
      </c>
      <c r="I131" s="154" t="s">
        <v>141</v>
      </c>
      <c r="K131" s="139">
        <f t="shared" si="11"/>
        <v>3</v>
      </c>
      <c r="L131" s="140">
        <f t="shared" si="12"/>
        <v>0</v>
      </c>
      <c r="AN131" s="148"/>
    </row>
    <row r="132" ht="15.75" customHeight="1">
      <c r="A132" s="29"/>
      <c r="B132" s="12">
        <v>45749.0</v>
      </c>
      <c r="C132" s="13" t="s">
        <v>130</v>
      </c>
      <c r="D132" s="13" t="s">
        <v>22</v>
      </c>
      <c r="E132" s="153" t="s">
        <v>72</v>
      </c>
      <c r="F132" s="107">
        <v>7.0</v>
      </c>
      <c r="G132" s="136" t="s">
        <v>24</v>
      </c>
      <c r="H132" s="107">
        <v>0.0</v>
      </c>
      <c r="I132" s="154" t="s">
        <v>117</v>
      </c>
      <c r="K132" s="139">
        <f t="shared" si="11"/>
        <v>3</v>
      </c>
      <c r="L132" s="140">
        <f t="shared" si="12"/>
        <v>0</v>
      </c>
      <c r="AN132" s="148"/>
    </row>
    <row r="133" ht="15.75" customHeight="1">
      <c r="A133" s="29"/>
      <c r="B133" s="12">
        <v>45748.0</v>
      </c>
      <c r="C133" s="13" t="s">
        <v>59</v>
      </c>
      <c r="D133" s="13" t="s">
        <v>22</v>
      </c>
      <c r="E133" s="153" t="s">
        <v>140</v>
      </c>
      <c r="F133" s="107">
        <v>6.0</v>
      </c>
      <c r="G133" s="136" t="s">
        <v>24</v>
      </c>
      <c r="H133" s="107">
        <v>1.0</v>
      </c>
      <c r="I133" s="154" t="s">
        <v>94</v>
      </c>
      <c r="K133" s="139">
        <f t="shared" si="11"/>
        <v>3</v>
      </c>
      <c r="L133" s="140">
        <f t="shared" si="12"/>
        <v>0</v>
      </c>
      <c r="AN133" s="148"/>
    </row>
    <row r="134" ht="15.75" customHeight="1">
      <c r="A134" s="37"/>
      <c r="B134" s="12">
        <v>45749.0</v>
      </c>
      <c r="C134" s="13" t="s">
        <v>75</v>
      </c>
      <c r="D134" s="13" t="s">
        <v>22</v>
      </c>
      <c r="E134" s="153" t="s">
        <v>139</v>
      </c>
      <c r="F134" s="107">
        <v>6.0</v>
      </c>
      <c r="G134" s="136" t="s">
        <v>24</v>
      </c>
      <c r="H134" s="107">
        <v>0.0</v>
      </c>
      <c r="I134" s="154" t="s">
        <v>73</v>
      </c>
      <c r="K134" s="139">
        <f t="shared" si="11"/>
        <v>3</v>
      </c>
      <c r="L134" s="140">
        <f t="shared" si="12"/>
        <v>0</v>
      </c>
      <c r="AN134" s="148"/>
    </row>
    <row r="135" ht="15.75" customHeight="1">
      <c r="A135" s="165">
        <v>11.0</v>
      </c>
      <c r="B135" s="12">
        <v>45785.0</v>
      </c>
      <c r="C135" s="13" t="s">
        <v>76</v>
      </c>
      <c r="D135" s="13" t="s">
        <v>108</v>
      </c>
      <c r="E135" s="153" t="s">
        <v>32</v>
      </c>
      <c r="F135" s="107">
        <v>4.0</v>
      </c>
      <c r="G135" s="136" t="s">
        <v>24</v>
      </c>
      <c r="H135" s="107">
        <v>0.0</v>
      </c>
      <c r="I135" s="154" t="s">
        <v>96</v>
      </c>
      <c r="K135" s="139">
        <f t="shared" si="11"/>
        <v>3</v>
      </c>
      <c r="L135" s="140">
        <f t="shared" si="12"/>
        <v>0</v>
      </c>
      <c r="AN135" s="148"/>
    </row>
    <row r="136" ht="15.75" customHeight="1">
      <c r="A136" s="29"/>
      <c r="B136" s="12">
        <v>45785.0</v>
      </c>
      <c r="C136" s="13" t="s">
        <v>77</v>
      </c>
      <c r="D136" s="13" t="s">
        <v>108</v>
      </c>
      <c r="E136" s="153" t="s">
        <v>86</v>
      </c>
      <c r="F136" s="107">
        <v>6.0</v>
      </c>
      <c r="G136" s="136" t="s">
        <v>24</v>
      </c>
      <c r="H136" s="107">
        <v>1.0</v>
      </c>
      <c r="I136" s="154" t="s">
        <v>111</v>
      </c>
      <c r="K136" s="139">
        <f t="shared" si="11"/>
        <v>3</v>
      </c>
      <c r="L136" s="140">
        <f t="shared" si="12"/>
        <v>0</v>
      </c>
      <c r="AN136" s="170"/>
    </row>
    <row r="137" ht="15.75" customHeight="1">
      <c r="A137" s="29"/>
      <c r="B137" s="12">
        <v>45785.0</v>
      </c>
      <c r="C137" s="13" t="s">
        <v>58</v>
      </c>
      <c r="D137" s="13" t="s">
        <v>108</v>
      </c>
      <c r="E137" s="153" t="s">
        <v>141</v>
      </c>
      <c r="F137" s="107">
        <v>1.0</v>
      </c>
      <c r="G137" s="136" t="s">
        <v>24</v>
      </c>
      <c r="H137" s="107">
        <v>2.0</v>
      </c>
      <c r="I137" s="154" t="s">
        <v>72</v>
      </c>
      <c r="K137" s="139">
        <f t="shared" si="11"/>
        <v>0</v>
      </c>
      <c r="L137" s="140">
        <f t="shared" si="12"/>
        <v>3</v>
      </c>
      <c r="AN137" s="162"/>
    </row>
    <row r="138" ht="15.75" customHeight="1">
      <c r="A138" s="29"/>
      <c r="B138" s="12">
        <v>45784.0</v>
      </c>
      <c r="C138" s="13" t="s">
        <v>54</v>
      </c>
      <c r="D138" s="13" t="s">
        <v>108</v>
      </c>
      <c r="E138" s="153" t="s">
        <v>117</v>
      </c>
      <c r="F138" s="107">
        <v>1.0</v>
      </c>
      <c r="G138" s="136" t="s">
        <v>24</v>
      </c>
      <c r="H138" s="107">
        <v>3.0</v>
      </c>
      <c r="I138" s="154" t="s">
        <v>140</v>
      </c>
      <c r="K138" s="139">
        <f t="shared" si="11"/>
        <v>0</v>
      </c>
      <c r="L138" s="140">
        <f t="shared" si="12"/>
        <v>3</v>
      </c>
      <c r="AN138" s="162"/>
    </row>
    <row r="139" ht="15.75" customHeight="1">
      <c r="A139" s="29"/>
      <c r="B139" s="12">
        <v>45784.0</v>
      </c>
      <c r="C139" s="49" t="s">
        <v>55</v>
      </c>
      <c r="D139" s="13" t="s">
        <v>108</v>
      </c>
      <c r="E139" s="153" t="s">
        <v>94</v>
      </c>
      <c r="F139" s="107">
        <v>7.0</v>
      </c>
      <c r="G139" s="136" t="s">
        <v>24</v>
      </c>
      <c r="H139" s="107">
        <v>2.0</v>
      </c>
      <c r="I139" s="154" t="s">
        <v>139</v>
      </c>
      <c r="K139" s="139">
        <f t="shared" si="11"/>
        <v>3</v>
      </c>
      <c r="L139" s="140">
        <f t="shared" si="12"/>
        <v>0</v>
      </c>
      <c r="AN139" s="162"/>
    </row>
    <row r="140" ht="15.75" customHeight="1">
      <c r="A140" s="37"/>
      <c r="B140" s="12">
        <v>45784.0</v>
      </c>
      <c r="C140" s="13" t="s">
        <v>57</v>
      </c>
      <c r="D140" s="13" t="s">
        <v>108</v>
      </c>
      <c r="E140" s="153" t="s">
        <v>73</v>
      </c>
      <c r="F140" s="107">
        <v>6.0</v>
      </c>
      <c r="G140" s="136" t="s">
        <v>24</v>
      </c>
      <c r="H140" s="107">
        <v>2.0</v>
      </c>
      <c r="I140" s="154" t="s">
        <v>68</v>
      </c>
      <c r="K140" s="139">
        <f t="shared" si="11"/>
        <v>3</v>
      </c>
      <c r="L140" s="140">
        <f t="shared" si="12"/>
        <v>0</v>
      </c>
      <c r="AN140" s="162"/>
    </row>
    <row r="141" ht="15.75" customHeight="1">
      <c r="AN141" s="162"/>
    </row>
    <row r="142" ht="15.75" customHeight="1">
      <c r="AN142" s="4"/>
    </row>
    <row r="143" ht="15.75" customHeight="1">
      <c r="AN143" s="162"/>
    </row>
    <row r="144" ht="15.75" customHeight="1">
      <c r="AN144" s="162"/>
    </row>
    <row r="145" ht="15.75" customHeight="1">
      <c r="AN145" s="162"/>
    </row>
    <row r="146" ht="15.75" customHeight="1">
      <c r="AN146" s="162"/>
    </row>
    <row r="147" ht="15.75" customHeight="1">
      <c r="AN147" s="162"/>
    </row>
    <row r="148" ht="15.75" customHeight="1">
      <c r="AN148" s="162"/>
    </row>
    <row r="149" ht="15.75" customHeight="1">
      <c r="AN149" s="162"/>
    </row>
    <row r="150" ht="15.75" customHeight="1">
      <c r="E150" s="164"/>
      <c r="I150" s="2"/>
      <c r="R150" s="138"/>
      <c r="S150" s="138"/>
      <c r="T150" s="138"/>
      <c r="U150" s="138"/>
      <c r="V150" s="138"/>
      <c r="AE150" s="4"/>
      <c r="AF150" s="2"/>
      <c r="AG150" s="4"/>
      <c r="AH150" s="4"/>
      <c r="AI150" s="4"/>
      <c r="AJ150" s="4"/>
      <c r="AK150" s="4"/>
      <c r="AL150" s="4"/>
      <c r="AM150" s="4"/>
      <c r="AN150" s="162"/>
    </row>
    <row r="151" ht="15.75" customHeight="1">
      <c r="A151" s="1" t="s">
        <v>143</v>
      </c>
      <c r="I151" s="2"/>
      <c r="R151" s="138"/>
      <c r="S151" s="138"/>
      <c r="T151" s="138"/>
      <c r="U151" s="138"/>
      <c r="V151" s="138"/>
      <c r="AE151" s="4"/>
      <c r="AF151" s="2"/>
      <c r="AG151" s="4"/>
      <c r="AH151" s="4"/>
      <c r="AI151" s="4"/>
      <c r="AJ151" s="4"/>
      <c r="AK151" s="4"/>
      <c r="AL151" s="4"/>
      <c r="AM151" s="4"/>
      <c r="AN151" s="162"/>
    </row>
    <row r="152" ht="15.75" customHeight="1">
      <c r="A152" s="74" t="s">
        <v>1</v>
      </c>
      <c r="B152" s="74" t="s">
        <v>2</v>
      </c>
      <c r="C152" s="74" t="s">
        <v>3</v>
      </c>
      <c r="D152" s="74" t="s">
        <v>4</v>
      </c>
      <c r="E152" s="129" t="s">
        <v>5</v>
      </c>
      <c r="F152" s="75" t="s">
        <v>6</v>
      </c>
      <c r="G152" s="7"/>
      <c r="H152" s="8"/>
      <c r="I152" s="130" t="s">
        <v>7</v>
      </c>
      <c r="J152" s="131" t="s">
        <v>8</v>
      </c>
      <c r="K152" s="132" t="s">
        <v>9</v>
      </c>
      <c r="L152" s="132" t="s">
        <v>10</v>
      </c>
      <c r="M152" s="131"/>
      <c r="N152" s="131" t="s">
        <v>11</v>
      </c>
      <c r="O152" s="131" t="s">
        <v>12</v>
      </c>
      <c r="P152" s="131" t="s">
        <v>13</v>
      </c>
      <c r="Q152" s="131" t="s">
        <v>14</v>
      </c>
      <c r="R152" s="131" t="s">
        <v>15</v>
      </c>
      <c r="S152" s="131" t="s">
        <v>16</v>
      </c>
      <c r="T152" s="131" t="s">
        <v>17</v>
      </c>
      <c r="U152" s="131" t="s">
        <v>18</v>
      </c>
      <c r="V152" s="131" t="s">
        <v>19</v>
      </c>
      <c r="W152" s="93" t="s">
        <v>61</v>
      </c>
      <c r="AE152" s="74" t="s">
        <v>11</v>
      </c>
      <c r="AF152" s="74" t="s">
        <v>12</v>
      </c>
      <c r="AG152" s="74" t="s">
        <v>13</v>
      </c>
      <c r="AH152" s="74" t="s">
        <v>14</v>
      </c>
      <c r="AI152" s="74" t="s">
        <v>15</v>
      </c>
      <c r="AJ152" s="74" t="s">
        <v>16</v>
      </c>
      <c r="AK152" s="74" t="s">
        <v>17</v>
      </c>
      <c r="AL152" s="74" t="s">
        <v>18</v>
      </c>
      <c r="AM152" s="74" t="s">
        <v>19</v>
      </c>
      <c r="AN152" s="162"/>
    </row>
    <row r="153" ht="15.75" customHeight="1">
      <c r="A153" s="165">
        <v>1.0</v>
      </c>
      <c r="B153" s="113">
        <v>45580.0</v>
      </c>
      <c r="C153" s="13" t="s">
        <v>21</v>
      </c>
      <c r="D153" s="13" t="s">
        <v>22</v>
      </c>
      <c r="E153" s="135" t="s">
        <v>144</v>
      </c>
      <c r="F153" s="14">
        <v>2.0</v>
      </c>
      <c r="G153" s="136" t="s">
        <v>24</v>
      </c>
      <c r="H153" s="14">
        <v>4.0</v>
      </c>
      <c r="I153" s="137" t="s">
        <v>145</v>
      </c>
      <c r="J153" s="138"/>
      <c r="K153" s="139">
        <f t="shared" ref="K153:K218" si="20">IF(F153="","",IFS(F153&gt;H153,3,F153=H153,1,H153&gt;F153,0,F153="",0))</f>
        <v>0</v>
      </c>
      <c r="L153" s="140">
        <f t="shared" ref="L153:L218" si="21">IF(H153="","",IFS(F153&lt;H153,3,F153=H153,1,H153&lt;F153,0))</f>
        <v>3</v>
      </c>
      <c r="M153" s="138"/>
      <c r="N153" s="141">
        <v>1.0</v>
      </c>
      <c r="O153" s="171" t="s">
        <v>144</v>
      </c>
      <c r="P153" s="140">
        <f t="shared" ref="P153:P164" si="22">SUMIF(E$153:E$218,O153,K$153:K$218)+SUMIF(I$153:I$218,O153,L$153:L$218)</f>
        <v>10</v>
      </c>
      <c r="Q153" s="143">
        <f t="shared" ref="Q153:Q164" si="23">COUNTIFS(E$153:E$218,O153,K$153:K$218,3)+COUNTIFS(I$153:I$218,O153,L$153:L$218,3)</f>
        <v>3</v>
      </c>
      <c r="R153" s="143">
        <f t="shared" ref="R153:R164" si="24">COUNTIFS(E$153:E$218,O153,K$153:K$218,1)+COUNTIFS(I$153:I$218,O153,L$153:L$218,1)</f>
        <v>1</v>
      </c>
      <c r="S153" s="143">
        <f t="shared" ref="S153:S164" si="25">COUNTIFS(E$153:E$218,O153,K$153:K$218,0)+COUNTIFS(I$153:I$218,O153,L$153:L$218,0)</f>
        <v>7</v>
      </c>
      <c r="T153" s="141">
        <f t="shared" ref="T153:T164" si="26">SUMIF(E$153:E$218,O153,F$153:F$218)+SUMIF(I$153:I$218,O153,H$153:H$218)</f>
        <v>24</v>
      </c>
      <c r="U153" s="21">
        <f t="shared" ref="U153:U164" si="27">SUMIF(E$153:E$218,O153,H$153:H$218)+SUMIF(I$153:I$218,O153,F$153:F$218)</f>
        <v>41</v>
      </c>
      <c r="V153" s="141">
        <f t="shared" ref="V153:V164" si="28">T153-U153</f>
        <v>-17</v>
      </c>
      <c r="AE153" s="166" t="s">
        <v>29</v>
      </c>
      <c r="AF153" s="172" t="str">
        <f t="array" ref="AF153:AM164">SORT(O153:V164,2,FALSE,8,FALSE)</f>
        <v>Enfermagem</v>
      </c>
      <c r="AG153" s="147">
        <v>30.0</v>
      </c>
      <c r="AH153" s="147">
        <v>10.0</v>
      </c>
      <c r="AI153" s="147">
        <v>0.0</v>
      </c>
      <c r="AJ153" s="147">
        <v>1.0</v>
      </c>
      <c r="AK153" s="147">
        <v>45.0</v>
      </c>
      <c r="AL153" s="147">
        <v>16.0</v>
      </c>
      <c r="AM153" s="147">
        <v>29.0</v>
      </c>
      <c r="AN153" s="162"/>
    </row>
    <row r="154" ht="15.75" customHeight="1">
      <c r="A154" s="29"/>
      <c r="B154" s="113">
        <v>45580.0</v>
      </c>
      <c r="C154" s="13" t="s">
        <v>30</v>
      </c>
      <c r="D154" s="13" t="s">
        <v>22</v>
      </c>
      <c r="E154" s="135" t="s">
        <v>103</v>
      </c>
      <c r="F154" s="14">
        <v>1.0</v>
      </c>
      <c r="G154" s="136" t="s">
        <v>24</v>
      </c>
      <c r="H154" s="14">
        <v>2.0</v>
      </c>
      <c r="I154" s="137" t="s">
        <v>146</v>
      </c>
      <c r="J154" s="138"/>
      <c r="K154" s="139">
        <f t="shared" si="20"/>
        <v>0</v>
      </c>
      <c r="L154" s="140">
        <f t="shared" si="21"/>
        <v>3</v>
      </c>
      <c r="M154" s="138"/>
      <c r="N154" s="141">
        <v>2.0</v>
      </c>
      <c r="O154" s="173" t="s">
        <v>147</v>
      </c>
      <c r="P154" s="140">
        <f t="shared" si="22"/>
        <v>9</v>
      </c>
      <c r="Q154" s="143">
        <f t="shared" si="23"/>
        <v>3</v>
      </c>
      <c r="R154" s="143">
        <f t="shared" si="24"/>
        <v>0</v>
      </c>
      <c r="S154" s="143">
        <f t="shared" si="25"/>
        <v>8</v>
      </c>
      <c r="T154" s="141">
        <f t="shared" si="26"/>
        <v>27</v>
      </c>
      <c r="U154" s="21">
        <f t="shared" si="27"/>
        <v>43</v>
      </c>
      <c r="V154" s="141">
        <f t="shared" si="28"/>
        <v>-16</v>
      </c>
      <c r="AE154" s="167">
        <v>2.0</v>
      </c>
      <c r="AF154" s="172" t="s">
        <v>65</v>
      </c>
      <c r="AG154" s="147">
        <v>23.0</v>
      </c>
      <c r="AH154" s="147">
        <v>7.0</v>
      </c>
      <c r="AI154" s="147">
        <v>2.0</v>
      </c>
      <c r="AJ154" s="147">
        <v>2.0</v>
      </c>
      <c r="AK154" s="147">
        <v>49.0</v>
      </c>
      <c r="AL154" s="147">
        <v>32.0</v>
      </c>
      <c r="AM154" s="147">
        <v>17.0</v>
      </c>
      <c r="AN154" s="162"/>
    </row>
    <row r="155" ht="15.75" customHeight="1">
      <c r="A155" s="29"/>
      <c r="B155" s="113">
        <v>45580.0</v>
      </c>
      <c r="C155" s="49" t="s">
        <v>36</v>
      </c>
      <c r="D155" s="13" t="s">
        <v>22</v>
      </c>
      <c r="E155" s="135" t="s">
        <v>70</v>
      </c>
      <c r="F155" s="14">
        <v>0.0</v>
      </c>
      <c r="G155" s="136" t="s">
        <v>24</v>
      </c>
      <c r="H155" s="14">
        <v>0.0</v>
      </c>
      <c r="I155" s="137" t="s">
        <v>23</v>
      </c>
      <c r="J155" s="138"/>
      <c r="K155" s="139">
        <f t="shared" si="20"/>
        <v>1</v>
      </c>
      <c r="L155" s="140">
        <f t="shared" si="21"/>
        <v>1</v>
      </c>
      <c r="M155" s="138"/>
      <c r="N155" s="141">
        <v>3.0</v>
      </c>
      <c r="O155" s="173" t="s">
        <v>145</v>
      </c>
      <c r="P155" s="140">
        <f t="shared" si="22"/>
        <v>30</v>
      </c>
      <c r="Q155" s="143">
        <f t="shared" si="23"/>
        <v>10</v>
      </c>
      <c r="R155" s="143">
        <f t="shared" si="24"/>
        <v>0</v>
      </c>
      <c r="S155" s="143">
        <f t="shared" si="25"/>
        <v>1</v>
      </c>
      <c r="T155" s="141">
        <f t="shared" si="26"/>
        <v>45</v>
      </c>
      <c r="U155" s="21">
        <f t="shared" si="27"/>
        <v>16</v>
      </c>
      <c r="V155" s="141">
        <f t="shared" si="28"/>
        <v>29</v>
      </c>
      <c r="AE155" s="145">
        <v>3.0</v>
      </c>
      <c r="AF155" s="172" t="s">
        <v>103</v>
      </c>
      <c r="AG155" s="147">
        <v>20.0</v>
      </c>
      <c r="AH155" s="147">
        <v>6.0</v>
      </c>
      <c r="AI155" s="147">
        <v>2.0</v>
      </c>
      <c r="AJ155" s="147">
        <v>3.0</v>
      </c>
      <c r="AK155" s="147">
        <v>38.0</v>
      </c>
      <c r="AL155" s="147">
        <v>24.0</v>
      </c>
      <c r="AM155" s="147">
        <v>14.0</v>
      </c>
      <c r="AN155" s="162"/>
    </row>
    <row r="156" ht="15.75" customHeight="1">
      <c r="A156" s="29"/>
      <c r="B156" s="113">
        <v>45580.0</v>
      </c>
      <c r="C156" s="13" t="s">
        <v>41</v>
      </c>
      <c r="D156" s="13" t="s">
        <v>22</v>
      </c>
      <c r="E156" s="135" t="s">
        <v>93</v>
      </c>
      <c r="F156" s="14">
        <v>0.0</v>
      </c>
      <c r="G156" s="136" t="s">
        <v>24</v>
      </c>
      <c r="H156" s="14">
        <v>4.0</v>
      </c>
      <c r="I156" s="137" t="s">
        <v>43</v>
      </c>
      <c r="J156" s="138"/>
      <c r="K156" s="139">
        <f t="shared" si="20"/>
        <v>0</v>
      </c>
      <c r="L156" s="140">
        <f t="shared" si="21"/>
        <v>3</v>
      </c>
      <c r="M156" s="138"/>
      <c r="N156" s="141">
        <v>4.0</v>
      </c>
      <c r="O156" s="173" t="s">
        <v>39</v>
      </c>
      <c r="P156" s="140">
        <f t="shared" si="22"/>
        <v>10</v>
      </c>
      <c r="Q156" s="143">
        <f t="shared" si="23"/>
        <v>3</v>
      </c>
      <c r="R156" s="143">
        <f t="shared" si="24"/>
        <v>1</v>
      </c>
      <c r="S156" s="143">
        <f t="shared" si="25"/>
        <v>6</v>
      </c>
      <c r="T156" s="141">
        <f t="shared" si="26"/>
        <v>26</v>
      </c>
      <c r="U156" s="21">
        <f t="shared" si="27"/>
        <v>31</v>
      </c>
      <c r="V156" s="141">
        <f t="shared" si="28"/>
        <v>-5</v>
      </c>
      <c r="AE156" s="145">
        <v>4.0</v>
      </c>
      <c r="AF156" s="172" t="s">
        <v>33</v>
      </c>
      <c r="AG156" s="147">
        <v>19.0</v>
      </c>
      <c r="AH156" s="147">
        <v>6.0</v>
      </c>
      <c r="AI156" s="147">
        <v>1.0</v>
      </c>
      <c r="AJ156" s="147">
        <v>4.0</v>
      </c>
      <c r="AK156" s="147">
        <v>54.0</v>
      </c>
      <c r="AL156" s="147">
        <v>36.0</v>
      </c>
      <c r="AM156" s="147">
        <v>18.0</v>
      </c>
      <c r="AN156" s="162"/>
    </row>
    <row r="157" ht="15.75" customHeight="1">
      <c r="A157" s="29"/>
      <c r="B157" s="12">
        <v>45582.0</v>
      </c>
      <c r="C157" s="13" t="s">
        <v>36</v>
      </c>
      <c r="D157" s="13" t="s">
        <v>22</v>
      </c>
      <c r="E157" s="135" t="s">
        <v>39</v>
      </c>
      <c r="F157" s="14">
        <v>1.0</v>
      </c>
      <c r="G157" s="136" t="s">
        <v>24</v>
      </c>
      <c r="H157" s="14">
        <v>6.0</v>
      </c>
      <c r="I157" s="137" t="s">
        <v>33</v>
      </c>
      <c r="J157" s="138"/>
      <c r="K157" s="139">
        <f t="shared" si="20"/>
        <v>0</v>
      </c>
      <c r="L157" s="140">
        <f t="shared" si="21"/>
        <v>3</v>
      </c>
      <c r="M157" s="138"/>
      <c r="N157" s="141">
        <v>5.0</v>
      </c>
      <c r="O157" s="173" t="s">
        <v>146</v>
      </c>
      <c r="P157" s="140">
        <f t="shared" si="22"/>
        <v>16</v>
      </c>
      <c r="Q157" s="143">
        <f t="shared" si="23"/>
        <v>5</v>
      </c>
      <c r="R157" s="143">
        <f t="shared" si="24"/>
        <v>1</v>
      </c>
      <c r="S157" s="143">
        <f t="shared" si="25"/>
        <v>4</v>
      </c>
      <c r="T157" s="141">
        <f t="shared" si="26"/>
        <v>33</v>
      </c>
      <c r="U157" s="21">
        <f t="shared" si="27"/>
        <v>27</v>
      </c>
      <c r="V157" s="141">
        <f t="shared" si="28"/>
        <v>6</v>
      </c>
      <c r="AE157" s="145">
        <v>5.0</v>
      </c>
      <c r="AF157" s="172" t="s">
        <v>23</v>
      </c>
      <c r="AG157" s="147">
        <v>18.0</v>
      </c>
      <c r="AH157" s="147">
        <v>5.0</v>
      </c>
      <c r="AI157" s="147">
        <v>3.0</v>
      </c>
      <c r="AJ157" s="147">
        <v>2.0</v>
      </c>
      <c r="AK157" s="147">
        <v>24.0</v>
      </c>
      <c r="AL157" s="147">
        <v>22.0</v>
      </c>
      <c r="AM157" s="147">
        <v>2.0</v>
      </c>
      <c r="AN157" s="162"/>
    </row>
    <row r="158" ht="15.75" customHeight="1">
      <c r="A158" s="37"/>
      <c r="B158" s="54">
        <v>45582.0</v>
      </c>
      <c r="C158" s="13" t="s">
        <v>41</v>
      </c>
      <c r="D158" s="13" t="s">
        <v>22</v>
      </c>
      <c r="E158" s="135" t="s">
        <v>65</v>
      </c>
      <c r="F158" s="14">
        <v>6.0</v>
      </c>
      <c r="G158" s="136" t="s">
        <v>24</v>
      </c>
      <c r="H158" s="14">
        <v>4.0</v>
      </c>
      <c r="I158" s="137" t="s">
        <v>147</v>
      </c>
      <c r="J158" s="138"/>
      <c r="K158" s="139">
        <f t="shared" si="20"/>
        <v>3</v>
      </c>
      <c r="L158" s="140">
        <f t="shared" si="21"/>
        <v>0</v>
      </c>
      <c r="M158" s="138"/>
      <c r="N158" s="141">
        <v>6.0</v>
      </c>
      <c r="O158" s="173" t="s">
        <v>93</v>
      </c>
      <c r="P158" s="140">
        <f t="shared" si="22"/>
        <v>0</v>
      </c>
      <c r="Q158" s="143">
        <f t="shared" si="23"/>
        <v>0</v>
      </c>
      <c r="R158" s="143">
        <f t="shared" si="24"/>
        <v>0</v>
      </c>
      <c r="S158" s="143">
        <f t="shared" si="25"/>
        <v>10</v>
      </c>
      <c r="T158" s="141">
        <f t="shared" si="26"/>
        <v>11</v>
      </c>
      <c r="U158" s="21">
        <f t="shared" si="27"/>
        <v>61</v>
      </c>
      <c r="V158" s="141">
        <f t="shared" si="28"/>
        <v>-50</v>
      </c>
      <c r="AE158" s="145">
        <v>6.0</v>
      </c>
      <c r="AF158" s="172" t="s">
        <v>146</v>
      </c>
      <c r="AG158" s="147">
        <v>16.0</v>
      </c>
      <c r="AH158" s="147">
        <v>5.0</v>
      </c>
      <c r="AI158" s="147">
        <v>1.0</v>
      </c>
      <c r="AJ158" s="147">
        <v>4.0</v>
      </c>
      <c r="AK158" s="147">
        <v>33.0</v>
      </c>
      <c r="AL158" s="147">
        <v>27.0</v>
      </c>
      <c r="AM158" s="147">
        <v>6.0</v>
      </c>
      <c r="AN158" s="162"/>
    </row>
    <row r="159" ht="15.75" customHeight="1">
      <c r="A159" s="165">
        <v>2.0</v>
      </c>
      <c r="B159" s="54">
        <v>45599.0</v>
      </c>
      <c r="C159" s="13" t="s">
        <v>51</v>
      </c>
      <c r="D159" s="13" t="s">
        <v>22</v>
      </c>
      <c r="E159" s="135" t="s">
        <v>145</v>
      </c>
      <c r="F159" s="14">
        <v>3.0</v>
      </c>
      <c r="G159" s="136" t="s">
        <v>24</v>
      </c>
      <c r="H159" s="14">
        <v>2.0</v>
      </c>
      <c r="I159" s="137" t="s">
        <v>65</v>
      </c>
      <c r="J159" s="138"/>
      <c r="K159" s="139">
        <f t="shared" si="20"/>
        <v>3</v>
      </c>
      <c r="L159" s="140">
        <f t="shared" si="21"/>
        <v>0</v>
      </c>
      <c r="M159" s="138"/>
      <c r="N159" s="141">
        <v>7.0</v>
      </c>
      <c r="O159" s="173" t="s">
        <v>23</v>
      </c>
      <c r="P159" s="140">
        <f t="shared" si="22"/>
        <v>18</v>
      </c>
      <c r="Q159" s="143">
        <f t="shared" si="23"/>
        <v>5</v>
      </c>
      <c r="R159" s="143">
        <f t="shared" si="24"/>
        <v>3</v>
      </c>
      <c r="S159" s="143">
        <f t="shared" si="25"/>
        <v>2</v>
      </c>
      <c r="T159" s="141">
        <f t="shared" si="26"/>
        <v>24</v>
      </c>
      <c r="U159" s="21">
        <f t="shared" si="27"/>
        <v>22</v>
      </c>
      <c r="V159" s="141">
        <f t="shared" si="28"/>
        <v>2</v>
      </c>
      <c r="AE159" s="145">
        <v>7.0</v>
      </c>
      <c r="AF159" s="172" t="s">
        <v>70</v>
      </c>
      <c r="AG159" s="147">
        <v>16.0</v>
      </c>
      <c r="AH159" s="147">
        <v>4.0</v>
      </c>
      <c r="AI159" s="147">
        <v>4.0</v>
      </c>
      <c r="AJ159" s="147">
        <v>2.0</v>
      </c>
      <c r="AK159" s="147">
        <v>34.0</v>
      </c>
      <c r="AL159" s="147">
        <v>29.0</v>
      </c>
      <c r="AM159" s="147">
        <v>5.0</v>
      </c>
      <c r="AN159" s="162"/>
    </row>
    <row r="160" ht="15.75" customHeight="1">
      <c r="A160" s="29"/>
      <c r="B160" s="54">
        <v>45599.0</v>
      </c>
      <c r="C160" s="13" t="s">
        <v>53</v>
      </c>
      <c r="D160" s="13" t="s">
        <v>22</v>
      </c>
      <c r="E160" s="135" t="s">
        <v>146</v>
      </c>
      <c r="F160" s="14">
        <v>1.0</v>
      </c>
      <c r="G160" s="136" t="s">
        <v>24</v>
      </c>
      <c r="H160" s="14">
        <v>3.0</v>
      </c>
      <c r="I160" s="137" t="s">
        <v>144</v>
      </c>
      <c r="J160" s="138"/>
      <c r="K160" s="139">
        <f t="shared" si="20"/>
        <v>0</v>
      </c>
      <c r="L160" s="140">
        <f t="shared" si="21"/>
        <v>3</v>
      </c>
      <c r="M160" s="138"/>
      <c r="N160" s="141">
        <v>8.0</v>
      </c>
      <c r="O160" s="173" t="s">
        <v>70</v>
      </c>
      <c r="P160" s="140">
        <f t="shared" si="22"/>
        <v>16</v>
      </c>
      <c r="Q160" s="143">
        <f t="shared" si="23"/>
        <v>4</v>
      </c>
      <c r="R160" s="143">
        <f t="shared" si="24"/>
        <v>4</v>
      </c>
      <c r="S160" s="143">
        <f t="shared" si="25"/>
        <v>2</v>
      </c>
      <c r="T160" s="141">
        <f t="shared" si="26"/>
        <v>34</v>
      </c>
      <c r="U160" s="21">
        <f t="shared" si="27"/>
        <v>29</v>
      </c>
      <c r="V160" s="141">
        <f t="shared" si="28"/>
        <v>5</v>
      </c>
      <c r="AE160" s="145">
        <v>8.0</v>
      </c>
      <c r="AF160" s="172" t="s">
        <v>43</v>
      </c>
      <c r="AG160" s="147">
        <v>10.0</v>
      </c>
      <c r="AH160" s="147">
        <v>3.0</v>
      </c>
      <c r="AI160" s="147">
        <v>1.0</v>
      </c>
      <c r="AJ160" s="147">
        <v>6.0</v>
      </c>
      <c r="AK160" s="147">
        <v>24.0</v>
      </c>
      <c r="AL160" s="147">
        <v>27.0</v>
      </c>
      <c r="AM160" s="147">
        <v>-3.0</v>
      </c>
      <c r="AN160" s="162"/>
    </row>
    <row r="161" ht="15.75" customHeight="1">
      <c r="A161" s="29"/>
      <c r="B161" s="54">
        <v>45599.0</v>
      </c>
      <c r="C161" s="13" t="s">
        <v>54</v>
      </c>
      <c r="D161" s="13" t="s">
        <v>22</v>
      </c>
      <c r="E161" s="135" t="s">
        <v>23</v>
      </c>
      <c r="F161" s="14">
        <v>4.0</v>
      </c>
      <c r="G161" s="136" t="s">
        <v>24</v>
      </c>
      <c r="H161" s="14">
        <v>4.0</v>
      </c>
      <c r="I161" s="137" t="s">
        <v>103</v>
      </c>
      <c r="J161" s="138"/>
      <c r="K161" s="139">
        <f t="shared" si="20"/>
        <v>1</v>
      </c>
      <c r="L161" s="140">
        <f t="shared" si="21"/>
        <v>1</v>
      </c>
      <c r="M161" s="138"/>
      <c r="N161" s="141">
        <v>9.0</v>
      </c>
      <c r="O161" s="173" t="s">
        <v>43</v>
      </c>
      <c r="P161" s="140">
        <f t="shared" si="22"/>
        <v>10</v>
      </c>
      <c r="Q161" s="143">
        <f t="shared" si="23"/>
        <v>3</v>
      </c>
      <c r="R161" s="143">
        <f t="shared" si="24"/>
        <v>1</v>
      </c>
      <c r="S161" s="143">
        <f t="shared" si="25"/>
        <v>6</v>
      </c>
      <c r="T161" s="141">
        <f t="shared" si="26"/>
        <v>24</v>
      </c>
      <c r="U161" s="21">
        <f t="shared" si="27"/>
        <v>27</v>
      </c>
      <c r="V161" s="141">
        <f t="shared" si="28"/>
        <v>-3</v>
      </c>
      <c r="AE161" s="145">
        <v>9.0</v>
      </c>
      <c r="AF161" s="172" t="s">
        <v>39</v>
      </c>
      <c r="AG161" s="147">
        <v>10.0</v>
      </c>
      <c r="AH161" s="147">
        <v>3.0</v>
      </c>
      <c r="AI161" s="147">
        <v>1.0</v>
      </c>
      <c r="AJ161" s="147">
        <v>6.0</v>
      </c>
      <c r="AK161" s="147">
        <v>26.0</v>
      </c>
      <c r="AL161" s="147">
        <v>31.0</v>
      </c>
      <c r="AM161" s="147">
        <v>-5.0</v>
      </c>
      <c r="AN161" s="162"/>
    </row>
    <row r="162" ht="15.75" customHeight="1">
      <c r="A162" s="29"/>
      <c r="B162" s="54">
        <v>45599.0</v>
      </c>
      <c r="C162" s="49" t="s">
        <v>55</v>
      </c>
      <c r="D162" s="13" t="s">
        <v>22</v>
      </c>
      <c r="E162" s="135" t="s">
        <v>43</v>
      </c>
      <c r="F162" s="14">
        <v>2.0</v>
      </c>
      <c r="G162" s="136" t="s">
        <v>24</v>
      </c>
      <c r="H162" s="14">
        <v>4.0</v>
      </c>
      <c r="I162" s="137" t="s">
        <v>70</v>
      </c>
      <c r="J162" s="138"/>
      <c r="K162" s="139">
        <f t="shared" si="20"/>
        <v>0</v>
      </c>
      <c r="L162" s="140">
        <f t="shared" si="21"/>
        <v>3</v>
      </c>
      <c r="M162" s="138"/>
      <c r="N162" s="159">
        <v>10.0</v>
      </c>
      <c r="O162" s="173" t="s">
        <v>103</v>
      </c>
      <c r="P162" s="140">
        <f t="shared" si="22"/>
        <v>20</v>
      </c>
      <c r="Q162" s="143">
        <f t="shared" si="23"/>
        <v>6</v>
      </c>
      <c r="R162" s="143">
        <f t="shared" si="24"/>
        <v>2</v>
      </c>
      <c r="S162" s="143">
        <f t="shared" si="25"/>
        <v>3</v>
      </c>
      <c r="T162" s="141">
        <f t="shared" si="26"/>
        <v>38</v>
      </c>
      <c r="U162" s="21">
        <f t="shared" si="27"/>
        <v>24</v>
      </c>
      <c r="V162" s="141">
        <f t="shared" si="28"/>
        <v>14</v>
      </c>
      <c r="AE162" s="145">
        <v>10.0</v>
      </c>
      <c r="AF162" s="172" t="s">
        <v>144</v>
      </c>
      <c r="AG162" s="147">
        <v>10.0</v>
      </c>
      <c r="AH162" s="147">
        <v>3.0</v>
      </c>
      <c r="AI162" s="147">
        <v>1.0</v>
      </c>
      <c r="AJ162" s="147">
        <v>7.0</v>
      </c>
      <c r="AK162" s="147">
        <v>24.0</v>
      </c>
      <c r="AL162" s="147">
        <v>41.0</v>
      </c>
      <c r="AM162" s="147">
        <v>-17.0</v>
      </c>
      <c r="AN162" s="162"/>
    </row>
    <row r="163" ht="15.75" customHeight="1">
      <c r="A163" s="29"/>
      <c r="B163" s="54">
        <v>45599.0</v>
      </c>
      <c r="C163" s="13" t="s">
        <v>56</v>
      </c>
      <c r="D163" s="13" t="s">
        <v>22</v>
      </c>
      <c r="E163" s="135" t="s">
        <v>33</v>
      </c>
      <c r="F163" s="14">
        <v>11.0</v>
      </c>
      <c r="G163" s="136" t="s">
        <v>24</v>
      </c>
      <c r="H163" s="14">
        <v>1.0</v>
      </c>
      <c r="I163" s="137" t="s">
        <v>93</v>
      </c>
      <c r="J163" s="138"/>
      <c r="K163" s="139">
        <f t="shared" si="20"/>
        <v>3</v>
      </c>
      <c r="L163" s="140">
        <f t="shared" si="21"/>
        <v>0</v>
      </c>
      <c r="M163" s="138"/>
      <c r="N163" s="168">
        <v>11.0</v>
      </c>
      <c r="O163" s="173" t="s">
        <v>33</v>
      </c>
      <c r="P163" s="140">
        <f t="shared" si="22"/>
        <v>19</v>
      </c>
      <c r="Q163" s="143">
        <f t="shared" si="23"/>
        <v>6</v>
      </c>
      <c r="R163" s="143">
        <f t="shared" si="24"/>
        <v>1</v>
      </c>
      <c r="S163" s="143">
        <f t="shared" si="25"/>
        <v>4</v>
      </c>
      <c r="T163" s="141">
        <f t="shared" si="26"/>
        <v>54</v>
      </c>
      <c r="U163" s="21">
        <f t="shared" si="27"/>
        <v>36</v>
      </c>
      <c r="V163" s="141">
        <f t="shared" si="28"/>
        <v>18</v>
      </c>
      <c r="AE163" s="151">
        <v>11.0</v>
      </c>
      <c r="AF163" s="172" t="s">
        <v>147</v>
      </c>
      <c r="AG163" s="147">
        <v>9.0</v>
      </c>
      <c r="AH163" s="147">
        <v>3.0</v>
      </c>
      <c r="AI163" s="147">
        <v>0.0</v>
      </c>
      <c r="AJ163" s="147">
        <v>8.0</v>
      </c>
      <c r="AK163" s="147">
        <v>27.0</v>
      </c>
      <c r="AL163" s="147">
        <v>43.0</v>
      </c>
      <c r="AM163" s="147">
        <v>-16.0</v>
      </c>
      <c r="AN163" s="162"/>
    </row>
    <row r="164" ht="15.75" customHeight="1">
      <c r="A164" s="37"/>
      <c r="B164" s="54">
        <v>45638.0</v>
      </c>
      <c r="C164" s="13" t="s">
        <v>36</v>
      </c>
      <c r="D164" s="13" t="s">
        <v>22</v>
      </c>
      <c r="E164" s="135" t="s">
        <v>147</v>
      </c>
      <c r="F164" s="14">
        <v>3.0</v>
      </c>
      <c r="G164" s="136" t="s">
        <v>24</v>
      </c>
      <c r="H164" s="14">
        <v>1.0</v>
      </c>
      <c r="I164" s="137" t="s">
        <v>39</v>
      </c>
      <c r="J164" s="138"/>
      <c r="K164" s="139">
        <f t="shared" si="20"/>
        <v>3</v>
      </c>
      <c r="L164" s="140">
        <f t="shared" si="21"/>
        <v>0</v>
      </c>
      <c r="M164" s="138"/>
      <c r="N164" s="168">
        <v>12.0</v>
      </c>
      <c r="O164" s="173" t="s">
        <v>65</v>
      </c>
      <c r="P164" s="140">
        <f t="shared" si="22"/>
        <v>23</v>
      </c>
      <c r="Q164" s="143">
        <f t="shared" si="23"/>
        <v>7</v>
      </c>
      <c r="R164" s="143">
        <f t="shared" si="24"/>
        <v>2</v>
      </c>
      <c r="S164" s="143">
        <f t="shared" si="25"/>
        <v>2</v>
      </c>
      <c r="T164" s="141">
        <f t="shared" si="26"/>
        <v>49</v>
      </c>
      <c r="U164" s="21">
        <f t="shared" si="27"/>
        <v>32</v>
      </c>
      <c r="V164" s="141">
        <f t="shared" si="28"/>
        <v>17</v>
      </c>
      <c r="AE164" s="151">
        <v>12.0</v>
      </c>
      <c r="AF164" s="172" t="s">
        <v>93</v>
      </c>
      <c r="AG164" s="147">
        <v>0.0</v>
      </c>
      <c r="AH164" s="147">
        <v>0.0</v>
      </c>
      <c r="AI164" s="147">
        <v>0.0</v>
      </c>
      <c r="AJ164" s="147">
        <v>10.0</v>
      </c>
      <c r="AK164" s="147">
        <v>11.0</v>
      </c>
      <c r="AL164" s="147">
        <v>61.0</v>
      </c>
      <c r="AM164" s="147">
        <v>-50.0</v>
      </c>
      <c r="AN164" s="162"/>
    </row>
    <row r="165" ht="15.75" customHeight="1">
      <c r="A165" s="165">
        <v>3.0</v>
      </c>
      <c r="B165" s="54">
        <v>45615.0</v>
      </c>
      <c r="C165" s="13" t="s">
        <v>36</v>
      </c>
      <c r="D165" s="13" t="s">
        <v>22</v>
      </c>
      <c r="E165" s="135" t="s">
        <v>145</v>
      </c>
      <c r="F165" s="14">
        <v>6.0</v>
      </c>
      <c r="G165" s="136" t="s">
        <v>24</v>
      </c>
      <c r="H165" s="14">
        <v>2.0</v>
      </c>
      <c r="I165" s="137" t="s">
        <v>146</v>
      </c>
      <c r="J165" s="138"/>
      <c r="K165" s="139">
        <f t="shared" si="20"/>
        <v>3</v>
      </c>
      <c r="L165" s="140">
        <f t="shared" si="21"/>
        <v>0</v>
      </c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AE165" s="85" t="s">
        <v>148</v>
      </c>
      <c r="AJ165" s="162"/>
      <c r="AK165" s="162"/>
      <c r="AL165" s="162"/>
      <c r="AM165" s="162"/>
      <c r="AN165" s="162"/>
    </row>
    <row r="166" ht="15.75" customHeight="1">
      <c r="A166" s="29"/>
      <c r="B166" s="54">
        <v>45614.0</v>
      </c>
      <c r="C166" s="13" t="s">
        <v>30</v>
      </c>
      <c r="D166" s="13" t="s">
        <v>22</v>
      </c>
      <c r="E166" s="135" t="s">
        <v>144</v>
      </c>
      <c r="F166" s="14">
        <v>2.0</v>
      </c>
      <c r="G166" s="136" t="s">
        <v>24</v>
      </c>
      <c r="H166" s="14">
        <v>3.0</v>
      </c>
      <c r="I166" s="137" t="s">
        <v>23</v>
      </c>
      <c r="J166" s="138"/>
      <c r="K166" s="139">
        <f t="shared" si="20"/>
        <v>0</v>
      </c>
      <c r="L166" s="140">
        <f t="shared" si="21"/>
        <v>3</v>
      </c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AJ166" s="162"/>
      <c r="AK166" s="162"/>
      <c r="AL166" s="162"/>
      <c r="AM166" s="162"/>
      <c r="AN166" s="162"/>
    </row>
    <row r="167" ht="15.75" customHeight="1">
      <c r="A167" s="29"/>
      <c r="B167" s="54">
        <v>45617.0</v>
      </c>
      <c r="C167" s="13" t="s">
        <v>21</v>
      </c>
      <c r="D167" s="13" t="s">
        <v>22</v>
      </c>
      <c r="E167" s="135" t="s">
        <v>103</v>
      </c>
      <c r="F167" s="14">
        <v>2.0</v>
      </c>
      <c r="G167" s="136" t="s">
        <v>24</v>
      </c>
      <c r="H167" s="14">
        <v>1.0</v>
      </c>
      <c r="I167" s="137" t="s">
        <v>43</v>
      </c>
      <c r="J167" s="138"/>
      <c r="K167" s="139">
        <f t="shared" si="20"/>
        <v>3</v>
      </c>
      <c r="L167" s="140">
        <f t="shared" si="21"/>
        <v>0</v>
      </c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AJ167" s="162"/>
      <c r="AK167" s="162"/>
      <c r="AL167" s="162"/>
      <c r="AM167" s="162"/>
      <c r="AN167" s="162"/>
    </row>
    <row r="168" ht="15.75" customHeight="1">
      <c r="A168" s="29"/>
      <c r="B168" s="54">
        <v>45617.0</v>
      </c>
      <c r="C168" s="13" t="s">
        <v>30</v>
      </c>
      <c r="D168" s="13" t="s">
        <v>22</v>
      </c>
      <c r="E168" s="135" t="s">
        <v>70</v>
      </c>
      <c r="F168" s="14">
        <v>2.0</v>
      </c>
      <c r="G168" s="136" t="s">
        <v>24</v>
      </c>
      <c r="H168" s="14">
        <v>2.0</v>
      </c>
      <c r="I168" s="137" t="s">
        <v>33</v>
      </c>
      <c r="J168" s="163"/>
      <c r="K168" s="139">
        <f t="shared" si="20"/>
        <v>1</v>
      </c>
      <c r="L168" s="140">
        <f t="shared" si="21"/>
        <v>1</v>
      </c>
      <c r="M168" s="138"/>
      <c r="N168" s="138"/>
      <c r="O168" s="138"/>
      <c r="P168" s="138"/>
      <c r="R168" s="138"/>
      <c r="S168" s="138"/>
      <c r="T168" s="138"/>
      <c r="U168" s="138"/>
      <c r="V168" s="138"/>
      <c r="AE168" s="48"/>
      <c r="AH168" s="47"/>
      <c r="AJ168" s="4"/>
      <c r="AK168" s="4"/>
      <c r="AL168" s="4"/>
      <c r="AM168" s="4"/>
      <c r="AN168" s="162"/>
    </row>
    <row r="169" ht="15.75" customHeight="1">
      <c r="A169" s="29"/>
      <c r="B169" s="54">
        <v>45617.0</v>
      </c>
      <c r="C169" s="13" t="s">
        <v>36</v>
      </c>
      <c r="D169" s="13" t="s">
        <v>22</v>
      </c>
      <c r="E169" s="135" t="s">
        <v>93</v>
      </c>
      <c r="F169" s="14">
        <v>3.0</v>
      </c>
      <c r="G169" s="136" t="s">
        <v>24</v>
      </c>
      <c r="H169" s="14">
        <v>6.0</v>
      </c>
      <c r="I169" s="137" t="s">
        <v>147</v>
      </c>
      <c r="J169" s="138"/>
      <c r="K169" s="139">
        <f t="shared" si="20"/>
        <v>0</v>
      </c>
      <c r="L169" s="140">
        <f t="shared" si="21"/>
        <v>3</v>
      </c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AJ169" s="162"/>
      <c r="AK169" s="162"/>
      <c r="AL169" s="162"/>
      <c r="AM169" s="162"/>
      <c r="AN169" s="162"/>
    </row>
    <row r="170" ht="15.75" customHeight="1">
      <c r="A170" s="37"/>
      <c r="B170" s="54">
        <v>45617.0</v>
      </c>
      <c r="C170" s="13" t="s">
        <v>41</v>
      </c>
      <c r="D170" s="13" t="s">
        <v>22</v>
      </c>
      <c r="E170" s="135" t="s">
        <v>65</v>
      </c>
      <c r="F170" s="14">
        <v>5.0</v>
      </c>
      <c r="G170" s="136" t="s">
        <v>24</v>
      </c>
      <c r="H170" s="14">
        <v>1.0</v>
      </c>
      <c r="I170" s="137" t="s">
        <v>39</v>
      </c>
      <c r="J170" s="138"/>
      <c r="K170" s="139">
        <f t="shared" si="20"/>
        <v>3</v>
      </c>
      <c r="L170" s="140">
        <f t="shared" si="21"/>
        <v>0</v>
      </c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AJ170" s="162"/>
      <c r="AK170" s="162"/>
      <c r="AL170" s="162"/>
      <c r="AM170" s="162"/>
      <c r="AN170" s="162"/>
    </row>
    <row r="171" ht="15.75" customHeight="1">
      <c r="A171" s="165">
        <v>4.0</v>
      </c>
      <c r="B171" s="54">
        <v>45629.0</v>
      </c>
      <c r="C171" s="13" t="s">
        <v>36</v>
      </c>
      <c r="D171" s="13" t="s">
        <v>22</v>
      </c>
      <c r="E171" s="135" t="s">
        <v>146</v>
      </c>
      <c r="F171" s="14">
        <v>2.0</v>
      </c>
      <c r="G171" s="136" t="s">
        <v>24</v>
      </c>
      <c r="H171" s="14">
        <v>5.0</v>
      </c>
      <c r="I171" s="137" t="s">
        <v>65</v>
      </c>
      <c r="J171" s="138"/>
      <c r="K171" s="139">
        <f t="shared" si="20"/>
        <v>0</v>
      </c>
      <c r="L171" s="140">
        <f t="shared" si="21"/>
        <v>3</v>
      </c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AJ171" s="162"/>
      <c r="AK171" s="162"/>
      <c r="AL171" s="162"/>
      <c r="AM171" s="162"/>
      <c r="AN171" s="162"/>
    </row>
    <row r="172" ht="15.75" customHeight="1">
      <c r="A172" s="29"/>
      <c r="B172" s="54">
        <v>45629.0</v>
      </c>
      <c r="C172" s="13" t="s">
        <v>41</v>
      </c>
      <c r="D172" s="13" t="s">
        <v>22</v>
      </c>
      <c r="E172" s="135" t="s">
        <v>23</v>
      </c>
      <c r="F172" s="14">
        <v>0.0</v>
      </c>
      <c r="G172" s="136" t="s">
        <v>24</v>
      </c>
      <c r="H172" s="14">
        <v>2.0</v>
      </c>
      <c r="I172" s="137" t="s">
        <v>145</v>
      </c>
      <c r="J172" s="138"/>
      <c r="K172" s="139">
        <f t="shared" si="20"/>
        <v>0</v>
      </c>
      <c r="L172" s="140">
        <f t="shared" si="21"/>
        <v>3</v>
      </c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AJ172" s="162"/>
      <c r="AK172" s="162"/>
      <c r="AL172" s="162"/>
      <c r="AM172" s="162"/>
      <c r="AN172" s="4"/>
    </row>
    <row r="173" ht="15.75" customHeight="1">
      <c r="A173" s="29"/>
      <c r="B173" s="54">
        <v>45631.0</v>
      </c>
      <c r="C173" s="13" t="s">
        <v>21</v>
      </c>
      <c r="D173" s="13" t="s">
        <v>22</v>
      </c>
      <c r="E173" s="135" t="s">
        <v>43</v>
      </c>
      <c r="F173" s="14">
        <v>5.0</v>
      </c>
      <c r="G173" s="136" t="s">
        <v>24</v>
      </c>
      <c r="H173" s="14">
        <v>0.0</v>
      </c>
      <c r="I173" s="137" t="s">
        <v>144</v>
      </c>
      <c r="J173" s="138"/>
      <c r="K173" s="139">
        <f t="shared" si="20"/>
        <v>3</v>
      </c>
      <c r="L173" s="140">
        <f t="shared" si="21"/>
        <v>0</v>
      </c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AJ173" s="162"/>
      <c r="AK173" s="162"/>
      <c r="AL173" s="162"/>
      <c r="AM173" s="162"/>
      <c r="AN173" s="4"/>
    </row>
    <row r="174" ht="15.75" customHeight="1">
      <c r="A174" s="29"/>
      <c r="B174" s="54">
        <v>45631.0</v>
      </c>
      <c r="C174" s="13" t="s">
        <v>30</v>
      </c>
      <c r="D174" s="13" t="s">
        <v>22</v>
      </c>
      <c r="E174" s="135" t="s">
        <v>33</v>
      </c>
      <c r="F174" s="14">
        <v>1.0</v>
      </c>
      <c r="G174" s="136" t="s">
        <v>24</v>
      </c>
      <c r="H174" s="14">
        <v>3.0</v>
      </c>
      <c r="I174" s="137" t="s">
        <v>103</v>
      </c>
      <c r="J174" s="138"/>
      <c r="K174" s="139">
        <f t="shared" si="20"/>
        <v>0</v>
      </c>
      <c r="L174" s="140">
        <f t="shared" si="21"/>
        <v>3</v>
      </c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AJ174" s="162"/>
      <c r="AK174" s="162"/>
      <c r="AL174" s="162"/>
      <c r="AM174" s="162"/>
      <c r="AN174" s="4"/>
    </row>
    <row r="175" ht="15.75" customHeight="1">
      <c r="A175" s="29"/>
      <c r="B175" s="54">
        <v>45631.0</v>
      </c>
      <c r="C175" s="13" t="s">
        <v>36</v>
      </c>
      <c r="D175" s="13" t="s">
        <v>22</v>
      </c>
      <c r="E175" s="135" t="s">
        <v>147</v>
      </c>
      <c r="F175" s="14">
        <v>2.0</v>
      </c>
      <c r="G175" s="136" t="s">
        <v>24</v>
      </c>
      <c r="H175" s="14">
        <v>5.0</v>
      </c>
      <c r="I175" s="137" t="s">
        <v>70</v>
      </c>
      <c r="J175" s="138"/>
      <c r="K175" s="139">
        <f t="shared" si="20"/>
        <v>0</v>
      </c>
      <c r="L175" s="140">
        <f t="shared" si="21"/>
        <v>3</v>
      </c>
      <c r="M175" s="138"/>
      <c r="N175" s="138"/>
      <c r="O175" s="138"/>
      <c r="P175" s="138"/>
      <c r="Q175" s="138"/>
      <c r="AJ175" s="162"/>
      <c r="AK175" s="162"/>
      <c r="AL175" s="162"/>
      <c r="AM175" s="162"/>
      <c r="AN175" s="4"/>
    </row>
    <row r="176" ht="15.75" customHeight="1">
      <c r="A176" s="37"/>
      <c r="B176" s="54">
        <v>45631.0</v>
      </c>
      <c r="C176" s="13" t="s">
        <v>41</v>
      </c>
      <c r="D176" s="13" t="s">
        <v>22</v>
      </c>
      <c r="E176" s="135" t="s">
        <v>39</v>
      </c>
      <c r="F176" s="14">
        <v>9.0</v>
      </c>
      <c r="G176" s="136" t="s">
        <v>24</v>
      </c>
      <c r="H176" s="14">
        <v>1.0</v>
      </c>
      <c r="I176" s="137" t="s">
        <v>93</v>
      </c>
      <c r="J176" s="138"/>
      <c r="K176" s="139">
        <f t="shared" si="20"/>
        <v>3</v>
      </c>
      <c r="L176" s="140">
        <f t="shared" si="21"/>
        <v>0</v>
      </c>
      <c r="M176" s="138"/>
      <c r="N176" s="138"/>
      <c r="O176" s="138"/>
      <c r="P176" s="138"/>
      <c r="Q176" s="138"/>
      <c r="AE176" s="162"/>
      <c r="AF176" s="48"/>
      <c r="AG176" s="162"/>
      <c r="AH176" s="162"/>
      <c r="AI176" s="162"/>
      <c r="AJ176" s="162"/>
      <c r="AK176" s="162"/>
      <c r="AL176" s="162"/>
      <c r="AM176" s="162"/>
      <c r="AN176" s="4"/>
    </row>
    <row r="177" ht="15.75" customHeight="1">
      <c r="A177" s="165">
        <v>5.0</v>
      </c>
      <c r="B177" s="54">
        <v>45643.0</v>
      </c>
      <c r="C177" s="13" t="s">
        <v>30</v>
      </c>
      <c r="D177" s="13" t="s">
        <v>22</v>
      </c>
      <c r="E177" s="135" t="s">
        <v>146</v>
      </c>
      <c r="F177" s="14">
        <v>1.0</v>
      </c>
      <c r="G177" s="136" t="s">
        <v>24</v>
      </c>
      <c r="H177" s="14">
        <v>2.0</v>
      </c>
      <c r="I177" s="137" t="s">
        <v>23</v>
      </c>
      <c r="J177" s="138"/>
      <c r="K177" s="139">
        <f t="shared" si="20"/>
        <v>0</v>
      </c>
      <c r="L177" s="140">
        <f t="shared" si="21"/>
        <v>3</v>
      </c>
      <c r="M177" s="138"/>
      <c r="N177" s="138"/>
      <c r="O177" s="138"/>
      <c r="P177" s="138"/>
      <c r="Q177" s="138"/>
      <c r="AE177" s="162"/>
      <c r="AF177" s="48"/>
      <c r="AG177" s="162"/>
      <c r="AH177" s="162"/>
      <c r="AI177" s="162"/>
      <c r="AJ177" s="162"/>
      <c r="AK177" s="162"/>
      <c r="AL177" s="162"/>
      <c r="AM177" s="162"/>
      <c r="AN177" s="4"/>
    </row>
    <row r="178" ht="15.75" customHeight="1">
      <c r="A178" s="29"/>
      <c r="B178" s="54">
        <v>45643.0</v>
      </c>
      <c r="C178" s="13" t="s">
        <v>21</v>
      </c>
      <c r="D178" s="13" t="s">
        <v>22</v>
      </c>
      <c r="E178" s="135" t="s">
        <v>145</v>
      </c>
      <c r="F178" s="14">
        <v>3.0</v>
      </c>
      <c r="G178" s="136" t="s">
        <v>24</v>
      </c>
      <c r="H178" s="14">
        <v>0.0</v>
      </c>
      <c r="I178" s="137" t="s">
        <v>43</v>
      </c>
      <c r="J178" s="138"/>
      <c r="K178" s="139">
        <f t="shared" si="20"/>
        <v>3</v>
      </c>
      <c r="L178" s="140">
        <f t="shared" si="21"/>
        <v>0</v>
      </c>
      <c r="M178" s="138"/>
      <c r="N178" s="138"/>
      <c r="O178" s="138"/>
      <c r="P178" s="138"/>
      <c r="Q178" s="138"/>
      <c r="AE178" s="162"/>
      <c r="AF178" s="48"/>
      <c r="AG178" s="162"/>
      <c r="AH178" s="162"/>
      <c r="AI178" s="162"/>
      <c r="AJ178" s="162"/>
      <c r="AK178" s="162"/>
      <c r="AL178" s="162"/>
      <c r="AM178" s="162"/>
      <c r="AN178" s="4"/>
    </row>
    <row r="179" ht="15.75" customHeight="1">
      <c r="A179" s="29"/>
      <c r="B179" s="54">
        <v>45644.0</v>
      </c>
      <c r="C179" s="13" t="s">
        <v>78</v>
      </c>
      <c r="D179" s="13" t="s">
        <v>22</v>
      </c>
      <c r="E179" s="135" t="s">
        <v>144</v>
      </c>
      <c r="F179" s="14">
        <v>2.0</v>
      </c>
      <c r="G179" s="136" t="s">
        <v>24</v>
      </c>
      <c r="H179" s="14">
        <v>6.0</v>
      </c>
      <c r="I179" s="137" t="s">
        <v>33</v>
      </c>
      <c r="J179" s="138"/>
      <c r="K179" s="139">
        <f t="shared" si="20"/>
        <v>0</v>
      </c>
      <c r="L179" s="140">
        <f t="shared" si="21"/>
        <v>3</v>
      </c>
      <c r="M179" s="138"/>
      <c r="N179" s="138"/>
      <c r="O179" s="138"/>
      <c r="P179" s="138"/>
      <c r="Q179" s="138"/>
      <c r="AE179" s="162"/>
      <c r="AF179" s="48"/>
      <c r="AG179" s="162"/>
      <c r="AH179" s="162"/>
      <c r="AI179" s="162"/>
      <c r="AJ179" s="162"/>
      <c r="AK179" s="162"/>
      <c r="AL179" s="162"/>
      <c r="AM179" s="162"/>
      <c r="AN179" s="4"/>
    </row>
    <row r="180" ht="15.75" customHeight="1">
      <c r="A180" s="29"/>
      <c r="B180" s="54">
        <v>45644.0</v>
      </c>
      <c r="C180" s="13" t="s">
        <v>79</v>
      </c>
      <c r="D180" s="13" t="s">
        <v>22</v>
      </c>
      <c r="E180" s="135" t="s">
        <v>103</v>
      </c>
      <c r="F180" s="14">
        <v>6.0</v>
      </c>
      <c r="G180" s="136" t="s">
        <v>24</v>
      </c>
      <c r="H180" s="14">
        <v>0.0</v>
      </c>
      <c r="I180" s="137" t="s">
        <v>147</v>
      </c>
      <c r="J180" s="138"/>
      <c r="K180" s="139">
        <f t="shared" si="20"/>
        <v>3</v>
      </c>
      <c r="L180" s="140">
        <f t="shared" si="21"/>
        <v>0</v>
      </c>
      <c r="M180" s="138"/>
      <c r="N180" s="138"/>
      <c r="O180" s="138"/>
      <c r="P180" s="138"/>
      <c r="Q180" s="138"/>
      <c r="AE180" s="162"/>
      <c r="AF180" s="48"/>
      <c r="AG180" s="162"/>
      <c r="AH180" s="162"/>
      <c r="AI180" s="162"/>
      <c r="AJ180" s="162"/>
      <c r="AK180" s="162"/>
      <c r="AL180" s="162"/>
      <c r="AM180" s="162"/>
      <c r="AN180" s="4"/>
    </row>
    <row r="181" ht="15.75" customHeight="1">
      <c r="A181" s="29"/>
      <c r="B181" s="54">
        <v>45644.0</v>
      </c>
      <c r="C181" s="49" t="s">
        <v>80</v>
      </c>
      <c r="D181" s="13" t="s">
        <v>22</v>
      </c>
      <c r="E181" s="135" t="s">
        <v>70</v>
      </c>
      <c r="F181" s="14">
        <v>5.0</v>
      </c>
      <c r="G181" s="136" t="s">
        <v>24</v>
      </c>
      <c r="H181" s="14">
        <v>3.0</v>
      </c>
      <c r="I181" s="137" t="s">
        <v>39</v>
      </c>
      <c r="J181" s="138"/>
      <c r="K181" s="139">
        <f t="shared" si="20"/>
        <v>3</v>
      </c>
      <c r="L181" s="140">
        <f t="shared" si="21"/>
        <v>0</v>
      </c>
      <c r="M181" s="138"/>
      <c r="N181" s="138"/>
      <c r="O181" s="138"/>
      <c r="P181" s="138"/>
      <c r="Q181" s="138"/>
      <c r="AE181" s="162"/>
      <c r="AF181" s="48"/>
      <c r="AG181" s="162"/>
      <c r="AH181" s="162"/>
      <c r="AI181" s="162"/>
      <c r="AJ181" s="162"/>
      <c r="AK181" s="162"/>
      <c r="AL181" s="162"/>
      <c r="AM181" s="162"/>
      <c r="AN181" s="4"/>
    </row>
    <row r="182" ht="15.75" customHeight="1">
      <c r="A182" s="37"/>
      <c r="B182" s="54">
        <v>45638.0</v>
      </c>
      <c r="C182" s="13" t="s">
        <v>41</v>
      </c>
      <c r="D182" s="13" t="s">
        <v>22</v>
      </c>
      <c r="E182" s="135" t="s">
        <v>65</v>
      </c>
      <c r="F182" s="14">
        <v>5.0</v>
      </c>
      <c r="G182" s="136" t="s">
        <v>24</v>
      </c>
      <c r="H182" s="14">
        <v>1.0</v>
      </c>
      <c r="I182" s="137" t="s">
        <v>93</v>
      </c>
      <c r="J182" s="138"/>
      <c r="K182" s="139">
        <f t="shared" si="20"/>
        <v>3</v>
      </c>
      <c r="L182" s="140">
        <f t="shared" si="21"/>
        <v>0</v>
      </c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62"/>
      <c r="AF182" s="48"/>
      <c r="AG182" s="162"/>
      <c r="AH182" s="162"/>
      <c r="AI182" s="162"/>
      <c r="AJ182" s="162"/>
      <c r="AK182" s="162"/>
      <c r="AL182" s="162"/>
      <c r="AM182" s="162"/>
      <c r="AN182" s="4"/>
    </row>
    <row r="183" ht="15.75" customHeight="1">
      <c r="A183" s="165">
        <v>6.0</v>
      </c>
      <c r="B183" s="54">
        <v>45700.0</v>
      </c>
      <c r="C183" s="13" t="s">
        <v>149</v>
      </c>
      <c r="D183" s="13" t="s">
        <v>22</v>
      </c>
      <c r="E183" s="135" t="s">
        <v>23</v>
      </c>
      <c r="F183" s="14">
        <v>2.0</v>
      </c>
      <c r="G183" s="136" t="s">
        <v>24</v>
      </c>
      <c r="H183" s="14">
        <v>5.0</v>
      </c>
      <c r="I183" s="137" t="s">
        <v>65</v>
      </c>
      <c r="J183" s="138"/>
      <c r="K183" s="139">
        <f t="shared" si="20"/>
        <v>0</v>
      </c>
      <c r="L183" s="140">
        <f t="shared" si="21"/>
        <v>3</v>
      </c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62"/>
      <c r="AF183" s="48"/>
      <c r="AG183" s="162"/>
      <c r="AH183" s="162"/>
      <c r="AI183" s="162"/>
      <c r="AJ183" s="162"/>
      <c r="AK183" s="162"/>
      <c r="AL183" s="162"/>
      <c r="AM183" s="162"/>
      <c r="AN183" s="4"/>
    </row>
    <row r="184" ht="15.75" customHeight="1">
      <c r="A184" s="29"/>
      <c r="B184" s="54">
        <v>45701.0</v>
      </c>
      <c r="C184" s="13" t="s">
        <v>77</v>
      </c>
      <c r="D184" s="13" t="s">
        <v>108</v>
      </c>
      <c r="E184" s="135" t="s">
        <v>43</v>
      </c>
      <c r="F184" s="14">
        <v>1.0</v>
      </c>
      <c r="G184" s="136" t="s">
        <v>24</v>
      </c>
      <c r="H184" s="14">
        <v>1.0</v>
      </c>
      <c r="I184" s="137" t="s">
        <v>146</v>
      </c>
      <c r="J184" s="138"/>
      <c r="K184" s="139">
        <f t="shared" si="20"/>
        <v>1</v>
      </c>
      <c r="L184" s="140">
        <f t="shared" si="21"/>
        <v>1</v>
      </c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62"/>
      <c r="AF184" s="48"/>
      <c r="AG184" s="162"/>
      <c r="AH184" s="162"/>
      <c r="AI184" s="162"/>
      <c r="AJ184" s="162"/>
      <c r="AK184" s="162"/>
      <c r="AL184" s="162"/>
      <c r="AM184" s="162"/>
      <c r="AN184" s="4"/>
    </row>
    <row r="185" ht="15.75" customHeight="1">
      <c r="A185" s="29"/>
      <c r="B185" s="54">
        <v>45700.0</v>
      </c>
      <c r="C185" s="13" t="s">
        <v>76</v>
      </c>
      <c r="D185" s="13" t="s">
        <v>108</v>
      </c>
      <c r="E185" s="135" t="s">
        <v>33</v>
      </c>
      <c r="F185" s="14">
        <v>5.0</v>
      </c>
      <c r="G185" s="136" t="s">
        <v>24</v>
      </c>
      <c r="H185" s="14">
        <v>4.0</v>
      </c>
      <c r="I185" s="137" t="s">
        <v>145</v>
      </c>
      <c r="J185" s="138"/>
      <c r="K185" s="139">
        <f t="shared" si="20"/>
        <v>3</v>
      </c>
      <c r="L185" s="140">
        <f t="shared" si="21"/>
        <v>0</v>
      </c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62"/>
      <c r="AF185" s="48"/>
      <c r="AG185" s="162"/>
      <c r="AH185" s="162"/>
      <c r="AI185" s="162"/>
      <c r="AJ185" s="162"/>
      <c r="AK185" s="162"/>
      <c r="AL185" s="162"/>
      <c r="AM185" s="162"/>
      <c r="AN185" s="4"/>
    </row>
    <row r="186" ht="15.75" customHeight="1">
      <c r="A186" s="29"/>
      <c r="B186" s="54">
        <v>45700.0</v>
      </c>
      <c r="C186" s="49" t="s">
        <v>77</v>
      </c>
      <c r="D186" s="13" t="s">
        <v>108</v>
      </c>
      <c r="E186" s="135" t="s">
        <v>147</v>
      </c>
      <c r="F186" s="14">
        <v>2.0</v>
      </c>
      <c r="G186" s="136" t="s">
        <v>24</v>
      </c>
      <c r="H186" s="14">
        <v>3.0</v>
      </c>
      <c r="I186" s="137" t="s">
        <v>144</v>
      </c>
      <c r="J186" s="138"/>
      <c r="K186" s="139">
        <f t="shared" si="20"/>
        <v>0</v>
      </c>
      <c r="L186" s="140">
        <f t="shared" si="21"/>
        <v>3</v>
      </c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  <c r="AE186" s="162"/>
      <c r="AF186" s="48"/>
      <c r="AG186" s="162"/>
      <c r="AH186" s="162"/>
      <c r="AI186" s="162"/>
      <c r="AJ186" s="162"/>
      <c r="AK186" s="162"/>
      <c r="AL186" s="162"/>
      <c r="AM186" s="162"/>
      <c r="AN186" s="4"/>
    </row>
    <row r="187" ht="15.75" customHeight="1">
      <c r="A187" s="29"/>
      <c r="B187" s="54">
        <v>45700.0</v>
      </c>
      <c r="C187" s="13" t="s">
        <v>58</v>
      </c>
      <c r="D187" s="13" t="s">
        <v>108</v>
      </c>
      <c r="E187" s="135" t="s">
        <v>39</v>
      </c>
      <c r="F187" s="14">
        <v>1.0</v>
      </c>
      <c r="G187" s="136" t="s">
        <v>24</v>
      </c>
      <c r="H187" s="14">
        <v>0.0</v>
      </c>
      <c r="I187" s="137" t="s">
        <v>103</v>
      </c>
      <c r="J187" s="138"/>
      <c r="K187" s="139">
        <f t="shared" si="20"/>
        <v>3</v>
      </c>
      <c r="L187" s="140">
        <f t="shared" si="21"/>
        <v>0</v>
      </c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62"/>
      <c r="AF187" s="48"/>
      <c r="AG187" s="162"/>
      <c r="AH187" s="162"/>
      <c r="AI187" s="162"/>
      <c r="AJ187" s="162"/>
      <c r="AK187" s="162"/>
      <c r="AL187" s="162"/>
      <c r="AM187" s="162"/>
      <c r="AN187" s="4"/>
    </row>
    <row r="188" ht="15.75" customHeight="1">
      <c r="A188" s="37"/>
      <c r="B188" s="54">
        <v>45700.0</v>
      </c>
      <c r="C188" s="13" t="s">
        <v>59</v>
      </c>
      <c r="D188" s="13" t="s">
        <v>108</v>
      </c>
      <c r="E188" s="135" t="s">
        <v>93</v>
      </c>
      <c r="F188" s="14">
        <v>2.0</v>
      </c>
      <c r="G188" s="136" t="s">
        <v>24</v>
      </c>
      <c r="H188" s="14">
        <v>7.0</v>
      </c>
      <c r="I188" s="137" t="s">
        <v>70</v>
      </c>
      <c r="J188" s="138"/>
      <c r="K188" s="139">
        <f t="shared" si="20"/>
        <v>0</v>
      </c>
      <c r="L188" s="140">
        <f t="shared" si="21"/>
        <v>3</v>
      </c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62"/>
      <c r="AF188" s="48"/>
      <c r="AG188" s="162"/>
      <c r="AH188" s="162"/>
      <c r="AI188" s="162"/>
      <c r="AJ188" s="162"/>
      <c r="AK188" s="162"/>
      <c r="AL188" s="162"/>
      <c r="AM188" s="162"/>
      <c r="AN188" s="4"/>
    </row>
    <row r="189" ht="15.75" customHeight="1">
      <c r="A189" s="165">
        <v>7.0</v>
      </c>
      <c r="B189" s="54">
        <v>45722.0</v>
      </c>
      <c r="C189" s="13" t="s">
        <v>76</v>
      </c>
      <c r="D189" s="13" t="s">
        <v>108</v>
      </c>
      <c r="E189" s="135" t="s">
        <v>23</v>
      </c>
      <c r="F189" s="14">
        <v>3.0</v>
      </c>
      <c r="G189" s="136" t="s">
        <v>24</v>
      </c>
      <c r="H189" s="14">
        <v>2.0</v>
      </c>
      <c r="I189" s="137" t="s">
        <v>43</v>
      </c>
      <c r="J189" s="138"/>
      <c r="K189" s="139">
        <f t="shared" si="20"/>
        <v>3</v>
      </c>
      <c r="L189" s="140">
        <f t="shared" si="21"/>
        <v>0</v>
      </c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62"/>
      <c r="AF189" s="48"/>
      <c r="AG189" s="162"/>
      <c r="AH189" s="162"/>
      <c r="AI189" s="162"/>
      <c r="AJ189" s="162"/>
      <c r="AK189" s="162"/>
      <c r="AL189" s="162"/>
      <c r="AM189" s="162"/>
      <c r="AN189" s="4"/>
    </row>
    <row r="190" ht="15.75" customHeight="1">
      <c r="A190" s="29"/>
      <c r="B190" s="54">
        <v>45757.0</v>
      </c>
      <c r="C190" s="49" t="s">
        <v>36</v>
      </c>
      <c r="D190" s="13" t="s">
        <v>22</v>
      </c>
      <c r="E190" s="135" t="s">
        <v>146</v>
      </c>
      <c r="F190" s="14">
        <v>6.0</v>
      </c>
      <c r="G190" s="136" t="s">
        <v>24</v>
      </c>
      <c r="H190" s="14">
        <v>0.0</v>
      </c>
      <c r="I190" s="137" t="s">
        <v>33</v>
      </c>
      <c r="J190" s="138"/>
      <c r="K190" s="139">
        <f t="shared" si="20"/>
        <v>3</v>
      </c>
      <c r="L190" s="140">
        <f t="shared" si="21"/>
        <v>0</v>
      </c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  <c r="AE190" s="162"/>
      <c r="AF190" s="48"/>
      <c r="AG190" s="162"/>
      <c r="AH190" s="162"/>
      <c r="AI190" s="162"/>
      <c r="AJ190" s="162"/>
      <c r="AK190" s="162"/>
      <c r="AL190" s="162"/>
      <c r="AM190" s="162"/>
      <c r="AN190" s="4"/>
    </row>
    <row r="191" ht="15.75" customHeight="1">
      <c r="A191" s="29"/>
      <c r="B191" s="54">
        <v>45721.0</v>
      </c>
      <c r="C191" s="13" t="s">
        <v>54</v>
      </c>
      <c r="D191" s="13" t="s">
        <v>22</v>
      </c>
      <c r="E191" s="135" t="s">
        <v>145</v>
      </c>
      <c r="F191" s="14">
        <v>2.0</v>
      </c>
      <c r="G191" s="136" t="s">
        <v>24</v>
      </c>
      <c r="H191" s="14">
        <v>0.0</v>
      </c>
      <c r="I191" s="137" t="s">
        <v>147</v>
      </c>
      <c r="J191" s="138"/>
      <c r="K191" s="139">
        <f t="shared" si="20"/>
        <v>3</v>
      </c>
      <c r="L191" s="140">
        <f t="shared" si="21"/>
        <v>0</v>
      </c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62"/>
      <c r="AF191" s="48"/>
      <c r="AG191" s="162"/>
      <c r="AH191" s="162"/>
      <c r="AI191" s="162"/>
      <c r="AJ191" s="162"/>
      <c r="AK191" s="162"/>
      <c r="AL191" s="162"/>
      <c r="AM191" s="162"/>
      <c r="AN191" s="4"/>
    </row>
    <row r="192" ht="15.75" customHeight="1">
      <c r="A192" s="29"/>
      <c r="B192" s="54">
        <v>45721.0</v>
      </c>
      <c r="C192" s="13" t="s">
        <v>55</v>
      </c>
      <c r="D192" s="13" t="s">
        <v>22</v>
      </c>
      <c r="E192" s="135" t="s">
        <v>144</v>
      </c>
      <c r="F192" s="14">
        <v>0.0</v>
      </c>
      <c r="G192" s="136" t="s">
        <v>24</v>
      </c>
      <c r="H192" s="14">
        <v>5.0</v>
      </c>
      <c r="I192" s="137" t="s">
        <v>39</v>
      </c>
      <c r="J192" s="138"/>
      <c r="K192" s="139">
        <f t="shared" si="20"/>
        <v>0</v>
      </c>
      <c r="L192" s="140">
        <f t="shared" si="21"/>
        <v>3</v>
      </c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62"/>
      <c r="AF192" s="48"/>
      <c r="AG192" s="162"/>
      <c r="AH192" s="162"/>
      <c r="AI192" s="162"/>
      <c r="AJ192" s="162"/>
      <c r="AK192" s="162"/>
      <c r="AL192" s="162"/>
      <c r="AM192" s="162"/>
      <c r="AN192" s="4"/>
    </row>
    <row r="193" ht="15.75" customHeight="1">
      <c r="A193" s="29"/>
      <c r="B193" s="54">
        <v>45757.0</v>
      </c>
      <c r="C193" s="13" t="s">
        <v>21</v>
      </c>
      <c r="D193" s="13" t="s">
        <v>22</v>
      </c>
      <c r="E193" s="135" t="s">
        <v>103</v>
      </c>
      <c r="F193" s="14">
        <v>6.0</v>
      </c>
      <c r="G193" s="136" t="s">
        <v>24</v>
      </c>
      <c r="H193" s="14">
        <v>1.0</v>
      </c>
      <c r="I193" s="137" t="s">
        <v>93</v>
      </c>
      <c r="J193" s="138"/>
      <c r="K193" s="139">
        <f t="shared" si="20"/>
        <v>3</v>
      </c>
      <c r="L193" s="140">
        <f t="shared" si="21"/>
        <v>0</v>
      </c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62"/>
      <c r="AF193" s="48"/>
      <c r="AG193" s="162"/>
      <c r="AH193" s="162"/>
      <c r="AI193" s="162"/>
      <c r="AJ193" s="162"/>
      <c r="AK193" s="162"/>
      <c r="AL193" s="162"/>
      <c r="AM193" s="162"/>
      <c r="AN193" s="4"/>
    </row>
    <row r="194" ht="15.75" customHeight="1">
      <c r="A194" s="37"/>
      <c r="B194" s="54">
        <v>45757.0</v>
      </c>
      <c r="C194" s="13" t="s">
        <v>30</v>
      </c>
      <c r="D194" s="13" t="s">
        <v>22</v>
      </c>
      <c r="E194" s="135" t="s">
        <v>65</v>
      </c>
      <c r="F194" s="14">
        <v>4.0</v>
      </c>
      <c r="G194" s="136" t="s">
        <v>24</v>
      </c>
      <c r="H194" s="14">
        <v>4.0</v>
      </c>
      <c r="I194" s="137" t="s">
        <v>70</v>
      </c>
      <c r="J194" s="138"/>
      <c r="K194" s="139">
        <f t="shared" si="20"/>
        <v>1</v>
      </c>
      <c r="L194" s="140">
        <f t="shared" si="21"/>
        <v>1</v>
      </c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62"/>
      <c r="AF194" s="48"/>
      <c r="AG194" s="162"/>
      <c r="AH194" s="162"/>
      <c r="AI194" s="162"/>
      <c r="AJ194" s="162"/>
      <c r="AK194" s="162"/>
      <c r="AL194" s="162"/>
      <c r="AM194" s="162"/>
      <c r="AN194" s="4"/>
    </row>
    <row r="195" ht="15.75" customHeight="1">
      <c r="A195" s="165">
        <v>8.0</v>
      </c>
      <c r="B195" s="54">
        <v>45733.0</v>
      </c>
      <c r="C195" s="13" t="s">
        <v>76</v>
      </c>
      <c r="D195" s="13" t="s">
        <v>108</v>
      </c>
      <c r="E195" s="135" t="s">
        <v>43</v>
      </c>
      <c r="F195" s="14">
        <v>5.0</v>
      </c>
      <c r="G195" s="136" t="s">
        <v>24</v>
      </c>
      <c r="H195" s="14">
        <v>1.0</v>
      </c>
      <c r="I195" s="137" t="s">
        <v>65</v>
      </c>
      <c r="J195" s="138"/>
      <c r="K195" s="139">
        <f t="shared" si="20"/>
        <v>3</v>
      </c>
      <c r="L195" s="140">
        <f t="shared" si="21"/>
        <v>0</v>
      </c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62"/>
      <c r="AF195" s="48"/>
      <c r="AG195" s="162"/>
      <c r="AH195" s="162"/>
      <c r="AI195" s="162"/>
      <c r="AJ195" s="162"/>
      <c r="AK195" s="162"/>
      <c r="AL195" s="162"/>
      <c r="AM195" s="162"/>
      <c r="AN195" s="4"/>
    </row>
    <row r="196" ht="15.75" customHeight="1">
      <c r="A196" s="29"/>
      <c r="B196" s="54">
        <v>45756.0</v>
      </c>
      <c r="C196" s="13" t="s">
        <v>125</v>
      </c>
      <c r="D196" s="13" t="s">
        <v>22</v>
      </c>
      <c r="E196" s="135" t="s">
        <v>33</v>
      </c>
      <c r="F196" s="14">
        <v>4.0</v>
      </c>
      <c r="G196" s="136" t="s">
        <v>24</v>
      </c>
      <c r="H196" s="14">
        <v>6.0</v>
      </c>
      <c r="I196" s="137" t="s">
        <v>23</v>
      </c>
      <c r="J196" s="138"/>
      <c r="K196" s="139">
        <f t="shared" si="20"/>
        <v>0</v>
      </c>
      <c r="L196" s="140">
        <f t="shared" si="21"/>
        <v>3</v>
      </c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62"/>
      <c r="AF196" s="48"/>
      <c r="AG196" s="162"/>
      <c r="AH196" s="162"/>
      <c r="AI196" s="162"/>
      <c r="AJ196" s="162"/>
      <c r="AK196" s="162"/>
      <c r="AL196" s="162"/>
      <c r="AM196" s="162"/>
      <c r="AN196" s="4"/>
    </row>
    <row r="197" ht="15.75" customHeight="1">
      <c r="A197" s="29"/>
      <c r="B197" s="54">
        <v>45729.0</v>
      </c>
      <c r="C197" s="13" t="s">
        <v>36</v>
      </c>
      <c r="D197" s="13" t="s">
        <v>22</v>
      </c>
      <c r="E197" s="135" t="s">
        <v>147</v>
      </c>
      <c r="F197" s="14">
        <v>6.0</v>
      </c>
      <c r="G197" s="136" t="s">
        <v>24</v>
      </c>
      <c r="H197" s="14">
        <v>8.0</v>
      </c>
      <c r="I197" s="137" t="s">
        <v>146</v>
      </c>
      <c r="J197" s="138"/>
      <c r="K197" s="139">
        <f t="shared" si="20"/>
        <v>0</v>
      </c>
      <c r="L197" s="140">
        <f t="shared" si="21"/>
        <v>3</v>
      </c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62"/>
      <c r="AF197" s="48"/>
      <c r="AG197" s="162"/>
      <c r="AH197" s="162"/>
      <c r="AI197" s="162"/>
      <c r="AJ197" s="162"/>
      <c r="AK197" s="162"/>
      <c r="AL197" s="162"/>
      <c r="AM197" s="162"/>
      <c r="AN197" s="4"/>
    </row>
    <row r="198" ht="15.75" customHeight="1">
      <c r="A198" s="29"/>
      <c r="B198" s="54">
        <v>45729.0</v>
      </c>
      <c r="C198" s="13" t="s">
        <v>41</v>
      </c>
      <c r="D198" s="13" t="s">
        <v>22</v>
      </c>
      <c r="E198" s="135" t="s">
        <v>39</v>
      </c>
      <c r="F198" s="14">
        <v>0.0</v>
      </c>
      <c r="G198" s="136" t="s">
        <v>24</v>
      </c>
      <c r="H198" s="14">
        <v>5.0</v>
      </c>
      <c r="I198" s="137" t="s">
        <v>145</v>
      </c>
      <c r="K198" s="139">
        <f t="shared" si="20"/>
        <v>0</v>
      </c>
      <c r="L198" s="140">
        <f t="shared" si="21"/>
        <v>3</v>
      </c>
      <c r="AE198" s="4"/>
      <c r="AF198" s="2"/>
      <c r="AG198" s="4"/>
      <c r="AH198" s="4"/>
      <c r="AI198" s="4"/>
      <c r="AJ198" s="4"/>
      <c r="AK198" s="4"/>
      <c r="AL198" s="4"/>
      <c r="AM198" s="4"/>
      <c r="AN198" s="4"/>
    </row>
    <row r="199" ht="15.75" customHeight="1">
      <c r="A199" s="29"/>
      <c r="B199" s="54">
        <v>45733.0</v>
      </c>
      <c r="C199" s="13" t="s">
        <v>77</v>
      </c>
      <c r="D199" s="13" t="s">
        <v>108</v>
      </c>
      <c r="E199" s="135" t="s">
        <v>93</v>
      </c>
      <c r="F199" s="14">
        <v>2.0</v>
      </c>
      <c r="G199" s="136" t="s">
        <v>24</v>
      </c>
      <c r="H199" s="14">
        <v>3.0</v>
      </c>
      <c r="I199" s="137" t="s">
        <v>144</v>
      </c>
      <c r="K199" s="139">
        <f t="shared" si="20"/>
        <v>0</v>
      </c>
      <c r="L199" s="140">
        <f t="shared" si="21"/>
        <v>3</v>
      </c>
      <c r="AE199" s="4"/>
      <c r="AF199" s="2"/>
      <c r="AG199" s="4"/>
      <c r="AH199" s="4"/>
      <c r="AI199" s="4"/>
      <c r="AJ199" s="4"/>
      <c r="AK199" s="4"/>
      <c r="AL199" s="4"/>
      <c r="AM199" s="4"/>
      <c r="AN199" s="4"/>
    </row>
    <row r="200" ht="15.75" customHeight="1">
      <c r="A200" s="37"/>
      <c r="B200" s="54">
        <v>45784.0</v>
      </c>
      <c r="C200" s="13" t="s">
        <v>78</v>
      </c>
      <c r="D200" s="13" t="s">
        <v>108</v>
      </c>
      <c r="E200" s="135" t="s">
        <v>70</v>
      </c>
      <c r="F200" s="14">
        <v>3.0</v>
      </c>
      <c r="G200" s="136" t="s">
        <v>24</v>
      </c>
      <c r="H200" s="14">
        <v>4.0</v>
      </c>
      <c r="I200" s="137" t="s">
        <v>103</v>
      </c>
      <c r="K200" s="139">
        <f t="shared" si="20"/>
        <v>0</v>
      </c>
      <c r="L200" s="140">
        <f t="shared" si="21"/>
        <v>3</v>
      </c>
      <c r="AE200" s="4"/>
      <c r="AF200" s="2"/>
      <c r="AG200" s="4"/>
      <c r="AH200" s="4"/>
      <c r="AI200" s="4"/>
      <c r="AJ200" s="4"/>
      <c r="AK200" s="4"/>
      <c r="AL200" s="4"/>
      <c r="AM200" s="4"/>
      <c r="AN200" s="4"/>
    </row>
    <row r="201" ht="15.75" customHeight="1">
      <c r="A201" s="165">
        <v>9.0</v>
      </c>
      <c r="B201" s="54">
        <v>45747.0</v>
      </c>
      <c r="C201" s="13" t="s">
        <v>76</v>
      </c>
      <c r="D201" s="13" t="s">
        <v>108</v>
      </c>
      <c r="E201" s="135" t="s">
        <v>43</v>
      </c>
      <c r="F201" s="14">
        <v>2.0</v>
      </c>
      <c r="G201" s="136" t="s">
        <v>24</v>
      </c>
      <c r="H201" s="14">
        <v>10.0</v>
      </c>
      <c r="I201" s="137" t="s">
        <v>33</v>
      </c>
      <c r="K201" s="139">
        <f t="shared" si="20"/>
        <v>0</v>
      </c>
      <c r="L201" s="140">
        <f t="shared" si="21"/>
        <v>3</v>
      </c>
      <c r="AE201" s="4"/>
      <c r="AF201" s="2"/>
      <c r="AG201" s="4"/>
      <c r="AH201" s="4"/>
      <c r="AI201" s="4"/>
      <c r="AJ201" s="4"/>
      <c r="AK201" s="4"/>
      <c r="AL201" s="4"/>
      <c r="AM201" s="4"/>
      <c r="AN201" s="4"/>
    </row>
    <row r="202" ht="15.75" customHeight="1">
      <c r="A202" s="29"/>
      <c r="B202" s="54">
        <v>45747.0</v>
      </c>
      <c r="C202" s="49" t="s">
        <v>77</v>
      </c>
      <c r="D202" s="13" t="s">
        <v>108</v>
      </c>
      <c r="E202" s="135" t="s">
        <v>23</v>
      </c>
      <c r="F202" s="14">
        <v>2.0</v>
      </c>
      <c r="G202" s="136" t="s">
        <v>24</v>
      </c>
      <c r="H202" s="14">
        <v>0.0</v>
      </c>
      <c r="I202" s="137" t="s">
        <v>147</v>
      </c>
      <c r="K202" s="139">
        <f t="shared" si="20"/>
        <v>3</v>
      </c>
      <c r="L202" s="140">
        <f t="shared" si="21"/>
        <v>0</v>
      </c>
      <c r="AE202" s="4"/>
      <c r="AF202" s="2"/>
      <c r="AG202" s="4"/>
      <c r="AH202" s="4"/>
      <c r="AI202" s="4"/>
      <c r="AJ202" s="4"/>
      <c r="AK202" s="4"/>
      <c r="AL202" s="4"/>
      <c r="AM202" s="4"/>
      <c r="AN202" s="4"/>
    </row>
    <row r="203" ht="15.75" customHeight="1">
      <c r="A203" s="29"/>
      <c r="B203" s="54">
        <v>45747.0</v>
      </c>
      <c r="C203" s="13" t="s">
        <v>58</v>
      </c>
      <c r="D203" s="13" t="s">
        <v>108</v>
      </c>
      <c r="E203" s="135" t="s">
        <v>146</v>
      </c>
      <c r="F203" s="14">
        <v>4.0</v>
      </c>
      <c r="G203" s="136" t="s">
        <v>24</v>
      </c>
      <c r="H203" s="14">
        <v>3.0</v>
      </c>
      <c r="I203" s="137" t="s">
        <v>39</v>
      </c>
      <c r="K203" s="139">
        <f t="shared" si="20"/>
        <v>3</v>
      </c>
      <c r="L203" s="140">
        <f t="shared" si="21"/>
        <v>0</v>
      </c>
      <c r="AE203" s="4"/>
      <c r="AF203" s="2"/>
      <c r="AG203" s="4"/>
      <c r="AH203" s="4"/>
      <c r="AI203" s="4"/>
      <c r="AJ203" s="4"/>
      <c r="AK203" s="4"/>
      <c r="AL203" s="4"/>
      <c r="AM203" s="4"/>
      <c r="AN203" s="4"/>
    </row>
    <row r="204" ht="15.75" customHeight="1">
      <c r="A204" s="29"/>
      <c r="B204" s="54">
        <v>45747.0</v>
      </c>
      <c r="C204" s="13" t="s">
        <v>59</v>
      </c>
      <c r="D204" s="13" t="s">
        <v>108</v>
      </c>
      <c r="E204" s="135" t="s">
        <v>145</v>
      </c>
      <c r="F204" s="14">
        <v>4.0</v>
      </c>
      <c r="G204" s="136" t="s">
        <v>24</v>
      </c>
      <c r="H204" s="14">
        <v>0.0</v>
      </c>
      <c r="I204" s="137" t="s">
        <v>93</v>
      </c>
      <c r="K204" s="139">
        <f t="shared" si="20"/>
        <v>3</v>
      </c>
      <c r="L204" s="140">
        <f t="shared" si="21"/>
        <v>0</v>
      </c>
      <c r="AE204" s="4"/>
      <c r="AF204" s="2"/>
      <c r="AG204" s="4"/>
      <c r="AH204" s="4"/>
      <c r="AI204" s="4"/>
      <c r="AJ204" s="4"/>
      <c r="AK204" s="4"/>
      <c r="AL204" s="4"/>
      <c r="AM204" s="4"/>
      <c r="AN204" s="4"/>
    </row>
    <row r="205" ht="15.75" customHeight="1">
      <c r="A205" s="29"/>
      <c r="B205" s="54">
        <v>45796.0</v>
      </c>
      <c r="C205" s="13" t="s">
        <v>41</v>
      </c>
      <c r="D205" s="13" t="s">
        <v>22</v>
      </c>
      <c r="E205" s="135" t="s">
        <v>144</v>
      </c>
      <c r="F205" s="14">
        <v>3.0</v>
      </c>
      <c r="G205" s="136" t="s">
        <v>24</v>
      </c>
      <c r="H205" s="14">
        <v>3.0</v>
      </c>
      <c r="I205" s="137" t="s">
        <v>70</v>
      </c>
      <c r="K205" s="139">
        <f t="shared" si="20"/>
        <v>1</v>
      </c>
      <c r="L205" s="140">
        <f t="shared" si="21"/>
        <v>1</v>
      </c>
      <c r="AE205" s="4"/>
      <c r="AF205" s="2"/>
      <c r="AG205" s="4"/>
      <c r="AH205" s="4"/>
      <c r="AI205" s="4"/>
      <c r="AJ205" s="4"/>
      <c r="AK205" s="4"/>
      <c r="AL205" s="4"/>
      <c r="AM205" s="4"/>
      <c r="AN205" s="4"/>
    </row>
    <row r="206" ht="15.75" customHeight="1">
      <c r="A206" s="37"/>
      <c r="B206" s="54">
        <v>45756.0</v>
      </c>
      <c r="C206" s="13" t="s">
        <v>126</v>
      </c>
      <c r="D206" s="13" t="s">
        <v>22</v>
      </c>
      <c r="E206" s="135" t="s">
        <v>65</v>
      </c>
      <c r="F206" s="14">
        <v>3.0</v>
      </c>
      <c r="G206" s="136" t="s">
        <v>24</v>
      </c>
      <c r="H206" s="14">
        <v>3.0</v>
      </c>
      <c r="I206" s="137" t="s">
        <v>103</v>
      </c>
      <c r="K206" s="139">
        <f t="shared" si="20"/>
        <v>1</v>
      </c>
      <c r="L206" s="140">
        <f t="shared" si="21"/>
        <v>1</v>
      </c>
      <c r="AE206" s="4"/>
      <c r="AF206" s="2"/>
      <c r="AG206" s="4"/>
      <c r="AH206" s="4"/>
      <c r="AI206" s="4"/>
      <c r="AJ206" s="4"/>
      <c r="AK206" s="4"/>
      <c r="AL206" s="4"/>
      <c r="AM206" s="4"/>
      <c r="AN206" s="4"/>
    </row>
    <row r="207" ht="15.75" customHeight="1">
      <c r="A207" s="165">
        <v>10.0</v>
      </c>
      <c r="B207" s="54">
        <v>45753.0</v>
      </c>
      <c r="C207" s="13" t="s">
        <v>51</v>
      </c>
      <c r="D207" s="13" t="s">
        <v>22</v>
      </c>
      <c r="E207" s="135" t="s">
        <v>65</v>
      </c>
      <c r="F207" s="13">
        <v>8.0</v>
      </c>
      <c r="G207" s="136" t="s">
        <v>24</v>
      </c>
      <c r="H207" s="14">
        <v>4.0</v>
      </c>
      <c r="I207" s="137" t="s">
        <v>33</v>
      </c>
      <c r="K207" s="139">
        <f t="shared" si="20"/>
        <v>3</v>
      </c>
      <c r="L207" s="140">
        <f t="shared" si="21"/>
        <v>0</v>
      </c>
      <c r="AE207" s="4"/>
      <c r="AF207" s="2"/>
      <c r="AG207" s="4"/>
      <c r="AH207" s="4"/>
      <c r="AI207" s="4"/>
      <c r="AJ207" s="4"/>
      <c r="AK207" s="4"/>
      <c r="AL207" s="4"/>
      <c r="AM207" s="4"/>
      <c r="AN207" s="4"/>
    </row>
    <row r="208" ht="15.75" customHeight="1">
      <c r="A208" s="29"/>
      <c r="B208" s="54">
        <v>45753.0</v>
      </c>
      <c r="C208" s="13" t="s">
        <v>53</v>
      </c>
      <c r="D208" s="13" t="s">
        <v>22</v>
      </c>
      <c r="E208" s="135" t="s">
        <v>147</v>
      </c>
      <c r="F208" s="49">
        <v>3.0</v>
      </c>
      <c r="G208" s="136" t="s">
        <v>24</v>
      </c>
      <c r="H208" s="14">
        <v>2.0</v>
      </c>
      <c r="I208" s="137" t="s">
        <v>43</v>
      </c>
      <c r="K208" s="139">
        <f t="shared" si="20"/>
        <v>3</v>
      </c>
      <c r="L208" s="140">
        <f t="shared" si="21"/>
        <v>0</v>
      </c>
      <c r="AE208" s="4"/>
      <c r="AF208" s="2"/>
      <c r="AG208" s="4"/>
      <c r="AH208" s="4"/>
      <c r="AI208" s="4"/>
      <c r="AJ208" s="4"/>
      <c r="AK208" s="4"/>
      <c r="AL208" s="4"/>
      <c r="AM208" s="4"/>
      <c r="AN208" s="4"/>
    </row>
    <row r="209" ht="15.75" customHeight="1">
      <c r="A209" s="29"/>
      <c r="B209" s="54">
        <v>45753.0</v>
      </c>
      <c r="C209" s="13" t="s">
        <v>54</v>
      </c>
      <c r="D209" s="13" t="s">
        <v>22</v>
      </c>
      <c r="E209" s="135" t="s">
        <v>39</v>
      </c>
      <c r="F209" s="13">
        <v>2.0</v>
      </c>
      <c r="G209" s="136" t="s">
        <v>24</v>
      </c>
      <c r="H209" s="14">
        <v>2.0</v>
      </c>
      <c r="I209" s="137" t="s">
        <v>23</v>
      </c>
      <c r="K209" s="139">
        <f t="shared" si="20"/>
        <v>1</v>
      </c>
      <c r="L209" s="140">
        <f t="shared" si="21"/>
        <v>1</v>
      </c>
      <c r="AE209" s="4"/>
      <c r="AF209" s="2"/>
      <c r="AG209" s="4"/>
      <c r="AH209" s="4"/>
      <c r="AI209" s="4"/>
      <c r="AJ209" s="4"/>
      <c r="AK209" s="4"/>
      <c r="AL209" s="4"/>
      <c r="AM209" s="4"/>
      <c r="AN209" s="4"/>
    </row>
    <row r="210" ht="15.75" customHeight="1">
      <c r="A210" s="29"/>
      <c r="B210" s="54">
        <v>45753.0</v>
      </c>
      <c r="C210" s="49" t="s">
        <v>55</v>
      </c>
      <c r="D210" s="13" t="s">
        <v>22</v>
      </c>
      <c r="E210" s="135" t="s">
        <v>93</v>
      </c>
      <c r="F210" s="13">
        <v>0.0</v>
      </c>
      <c r="G210" s="136" t="s">
        <v>24</v>
      </c>
      <c r="H210" s="14">
        <v>6.0</v>
      </c>
      <c r="I210" s="137" t="s">
        <v>146</v>
      </c>
      <c r="K210" s="139">
        <f t="shared" si="20"/>
        <v>0</v>
      </c>
      <c r="L210" s="140">
        <f t="shared" si="21"/>
        <v>3</v>
      </c>
      <c r="AE210" s="4"/>
      <c r="AF210" s="2"/>
      <c r="AG210" s="4"/>
      <c r="AH210" s="4"/>
      <c r="AI210" s="4"/>
      <c r="AJ210" s="4"/>
      <c r="AK210" s="4"/>
      <c r="AL210" s="4"/>
      <c r="AM210" s="4"/>
      <c r="AN210" s="4"/>
    </row>
    <row r="211" ht="15.75" customHeight="1">
      <c r="A211" s="29"/>
      <c r="B211" s="54">
        <v>45753.0</v>
      </c>
      <c r="C211" s="13" t="s">
        <v>56</v>
      </c>
      <c r="D211" s="13" t="s">
        <v>22</v>
      </c>
      <c r="E211" s="135" t="s">
        <v>70</v>
      </c>
      <c r="F211" s="13">
        <v>1.0</v>
      </c>
      <c r="G211" s="136" t="s">
        <v>24</v>
      </c>
      <c r="H211" s="14">
        <v>7.0</v>
      </c>
      <c r="I211" s="137" t="s">
        <v>145</v>
      </c>
      <c r="K211" s="139">
        <f t="shared" si="20"/>
        <v>0</v>
      </c>
      <c r="L211" s="140">
        <f t="shared" si="21"/>
        <v>3</v>
      </c>
      <c r="AE211" s="4"/>
      <c r="AF211" s="2"/>
      <c r="AG211" s="4"/>
      <c r="AH211" s="4"/>
      <c r="AI211" s="4"/>
      <c r="AJ211" s="4"/>
      <c r="AK211" s="4"/>
      <c r="AL211" s="4"/>
      <c r="AM211" s="4"/>
      <c r="AN211" s="4"/>
    </row>
    <row r="212" ht="15.75" customHeight="1">
      <c r="A212" s="37"/>
      <c r="B212" s="54">
        <v>45753.0</v>
      </c>
      <c r="C212" s="13" t="s">
        <v>57</v>
      </c>
      <c r="D212" s="13" t="s">
        <v>22</v>
      </c>
      <c r="E212" s="135" t="s">
        <v>103</v>
      </c>
      <c r="F212" s="13">
        <v>5.0</v>
      </c>
      <c r="G212" s="136" t="s">
        <v>24</v>
      </c>
      <c r="H212" s="14">
        <v>3.0</v>
      </c>
      <c r="I212" s="137" t="s">
        <v>144</v>
      </c>
      <c r="K212" s="139">
        <f t="shared" si="20"/>
        <v>3</v>
      </c>
      <c r="L212" s="140">
        <f t="shared" si="21"/>
        <v>0</v>
      </c>
      <c r="AE212" s="4"/>
      <c r="AF212" s="2"/>
      <c r="AG212" s="4"/>
      <c r="AH212" s="4"/>
      <c r="AI212" s="4"/>
      <c r="AJ212" s="4"/>
      <c r="AK212" s="4"/>
      <c r="AL212" s="4"/>
      <c r="AM212" s="4"/>
      <c r="AN212" s="4"/>
    </row>
    <row r="213" ht="15.75" customHeight="1">
      <c r="A213" s="165">
        <v>11.0</v>
      </c>
      <c r="B213" s="54">
        <v>45784.0</v>
      </c>
      <c r="C213" s="13" t="s">
        <v>79</v>
      </c>
      <c r="D213" s="13" t="s">
        <v>108</v>
      </c>
      <c r="E213" s="135" t="s">
        <v>33</v>
      </c>
      <c r="F213" s="14">
        <v>5.0</v>
      </c>
      <c r="G213" s="136" t="s">
        <v>24</v>
      </c>
      <c r="H213" s="14">
        <v>1.0</v>
      </c>
      <c r="I213" s="137" t="s">
        <v>147</v>
      </c>
      <c r="K213" s="139">
        <f t="shared" si="20"/>
        <v>3</v>
      </c>
      <c r="L213" s="140">
        <f t="shared" si="21"/>
        <v>0</v>
      </c>
      <c r="AE213" s="4"/>
      <c r="AF213" s="2"/>
      <c r="AG213" s="4"/>
      <c r="AH213" s="4"/>
      <c r="AI213" s="4"/>
      <c r="AJ213" s="4"/>
      <c r="AK213" s="4"/>
      <c r="AL213" s="4"/>
      <c r="AM213" s="4"/>
      <c r="AN213" s="4"/>
    </row>
    <row r="214" ht="15.75" customHeight="1">
      <c r="A214" s="29"/>
      <c r="B214" s="54">
        <v>45798.0</v>
      </c>
      <c r="C214" s="13" t="s">
        <v>21</v>
      </c>
      <c r="D214" s="13" t="s">
        <v>22</v>
      </c>
      <c r="E214" s="135" t="s">
        <v>43</v>
      </c>
      <c r="F214" s="14"/>
      <c r="G214" s="136" t="s">
        <v>24</v>
      </c>
      <c r="H214" s="14"/>
      <c r="I214" s="137" t="s">
        <v>39</v>
      </c>
      <c r="K214" s="139" t="str">
        <f t="shared" si="20"/>
        <v/>
      </c>
      <c r="L214" s="140" t="str">
        <f t="shared" si="21"/>
        <v/>
      </c>
      <c r="AE214" s="4"/>
      <c r="AF214" s="2"/>
      <c r="AG214" s="4"/>
      <c r="AH214" s="4"/>
      <c r="AI214" s="4"/>
      <c r="AJ214" s="4"/>
      <c r="AK214" s="4"/>
      <c r="AL214" s="4"/>
      <c r="AM214" s="4"/>
      <c r="AN214" s="4"/>
    </row>
    <row r="215" ht="15.75" customHeight="1">
      <c r="A215" s="29"/>
      <c r="B215" s="54">
        <v>45798.0</v>
      </c>
      <c r="C215" s="13" t="s">
        <v>30</v>
      </c>
      <c r="D215" s="13" t="s">
        <v>22</v>
      </c>
      <c r="E215" s="135" t="s">
        <v>23</v>
      </c>
      <c r="F215" s="14"/>
      <c r="G215" s="136" t="s">
        <v>24</v>
      </c>
      <c r="H215" s="14"/>
      <c r="I215" s="137" t="s">
        <v>93</v>
      </c>
      <c r="K215" s="139" t="str">
        <f t="shared" si="20"/>
        <v/>
      </c>
      <c r="L215" s="140" t="str">
        <f t="shared" si="21"/>
        <v/>
      </c>
      <c r="AE215" s="4"/>
      <c r="AF215" s="2"/>
      <c r="AG215" s="4"/>
      <c r="AH215" s="4"/>
      <c r="AI215" s="4"/>
      <c r="AJ215" s="4"/>
      <c r="AK215" s="4"/>
      <c r="AL215" s="4"/>
      <c r="AM215" s="4"/>
      <c r="AN215" s="4"/>
    </row>
    <row r="216" ht="15.75" customHeight="1">
      <c r="A216" s="29"/>
      <c r="B216" s="54">
        <v>45798.0</v>
      </c>
      <c r="C216" s="13" t="s">
        <v>36</v>
      </c>
      <c r="D216" s="13" t="s">
        <v>22</v>
      </c>
      <c r="E216" s="135" t="s">
        <v>146</v>
      </c>
      <c r="F216" s="14"/>
      <c r="G216" s="136" t="s">
        <v>24</v>
      </c>
      <c r="H216" s="14"/>
      <c r="I216" s="137" t="s">
        <v>70</v>
      </c>
      <c r="K216" s="139" t="str">
        <f t="shared" si="20"/>
        <v/>
      </c>
      <c r="L216" s="140" t="str">
        <f t="shared" si="21"/>
        <v/>
      </c>
      <c r="AE216" s="4"/>
      <c r="AF216" s="2"/>
      <c r="AG216" s="4"/>
      <c r="AH216" s="4"/>
      <c r="AI216" s="4"/>
      <c r="AJ216" s="4"/>
      <c r="AK216" s="4"/>
      <c r="AL216" s="4"/>
      <c r="AM216" s="4"/>
      <c r="AN216" s="4"/>
    </row>
    <row r="217" ht="15.75" customHeight="1">
      <c r="A217" s="29"/>
      <c r="B217" s="54">
        <v>45797.0</v>
      </c>
      <c r="C217" s="13" t="s">
        <v>21</v>
      </c>
      <c r="D217" s="13" t="s">
        <v>22</v>
      </c>
      <c r="E217" s="135" t="s">
        <v>145</v>
      </c>
      <c r="F217" s="14">
        <v>5.0</v>
      </c>
      <c r="G217" s="136" t="s">
        <v>24</v>
      </c>
      <c r="H217" s="14">
        <v>4.0</v>
      </c>
      <c r="I217" s="137" t="s">
        <v>103</v>
      </c>
      <c r="K217" s="139">
        <f t="shared" si="20"/>
        <v>3</v>
      </c>
      <c r="L217" s="140">
        <f t="shared" si="21"/>
        <v>0</v>
      </c>
      <c r="AE217" s="4"/>
      <c r="AF217" s="2"/>
      <c r="AG217" s="4"/>
      <c r="AH217" s="4"/>
      <c r="AI217" s="4"/>
      <c r="AJ217" s="4"/>
      <c r="AK217" s="4"/>
      <c r="AL217" s="4"/>
      <c r="AM217" s="4"/>
      <c r="AN217" s="4"/>
    </row>
    <row r="218" ht="15.75" customHeight="1">
      <c r="A218" s="37"/>
      <c r="B218" s="54">
        <v>45785.0</v>
      </c>
      <c r="C218" s="13" t="s">
        <v>59</v>
      </c>
      <c r="D218" s="13" t="s">
        <v>108</v>
      </c>
      <c r="E218" s="135" t="s">
        <v>144</v>
      </c>
      <c r="F218" s="14">
        <v>3.0</v>
      </c>
      <c r="G218" s="136" t="s">
        <v>24</v>
      </c>
      <c r="H218" s="14">
        <v>5.0</v>
      </c>
      <c r="I218" s="137" t="s">
        <v>65</v>
      </c>
      <c r="K218" s="139">
        <f t="shared" si="20"/>
        <v>0</v>
      </c>
      <c r="L218" s="140">
        <f t="shared" si="21"/>
        <v>3</v>
      </c>
      <c r="AE218" s="4"/>
      <c r="AF218" s="2"/>
      <c r="AG218" s="4"/>
      <c r="AH218" s="4"/>
      <c r="AI218" s="4"/>
      <c r="AJ218" s="4"/>
      <c r="AK218" s="4"/>
      <c r="AL218" s="4"/>
      <c r="AM218" s="4"/>
      <c r="AN218" s="4"/>
    </row>
    <row r="219" ht="15.75" customHeight="1">
      <c r="E219" s="164"/>
      <c r="I219" s="2"/>
      <c r="AE219" s="4"/>
      <c r="AF219" s="2"/>
      <c r="AG219" s="4"/>
      <c r="AH219" s="4"/>
      <c r="AI219" s="4"/>
      <c r="AJ219" s="4"/>
      <c r="AK219" s="4"/>
      <c r="AL219" s="4"/>
      <c r="AM219" s="4"/>
      <c r="AN219" s="4"/>
    </row>
    <row r="220" ht="15.75" customHeight="1">
      <c r="E220" s="164"/>
      <c r="I220" s="2"/>
      <c r="AE220" s="4"/>
      <c r="AF220" s="2"/>
      <c r="AG220" s="4"/>
      <c r="AH220" s="4"/>
      <c r="AI220" s="4"/>
      <c r="AJ220" s="4"/>
      <c r="AK220" s="4"/>
      <c r="AL220" s="4"/>
      <c r="AM220" s="4"/>
      <c r="AN220" s="4"/>
    </row>
    <row r="221" ht="15.75" customHeight="1">
      <c r="E221" s="164"/>
      <c r="I221" s="2"/>
      <c r="AE221" s="4"/>
      <c r="AF221" s="2"/>
      <c r="AG221" s="4"/>
      <c r="AH221" s="4"/>
      <c r="AI221" s="4"/>
      <c r="AJ221" s="4"/>
      <c r="AK221" s="4"/>
      <c r="AL221" s="4"/>
      <c r="AM221" s="4"/>
      <c r="AN221" s="4"/>
    </row>
    <row r="222" ht="15.75" customHeight="1">
      <c r="E222" s="164"/>
      <c r="I222" s="2"/>
      <c r="AE222" s="4"/>
      <c r="AF222" s="2"/>
      <c r="AG222" s="4"/>
      <c r="AH222" s="4"/>
      <c r="AI222" s="4"/>
      <c r="AJ222" s="4"/>
      <c r="AK222" s="4"/>
      <c r="AL222" s="4"/>
      <c r="AM222" s="4"/>
      <c r="AN222" s="4"/>
    </row>
    <row r="223" ht="15.75" customHeight="1">
      <c r="E223" s="164"/>
      <c r="I223" s="2"/>
      <c r="AE223" s="4"/>
      <c r="AF223" s="2"/>
      <c r="AG223" s="4"/>
      <c r="AH223" s="4"/>
      <c r="AI223" s="4"/>
      <c r="AJ223" s="4"/>
      <c r="AK223" s="4"/>
      <c r="AL223" s="4"/>
      <c r="AM223" s="4"/>
      <c r="AN223" s="4"/>
    </row>
    <row r="224" ht="15.75" customHeight="1">
      <c r="E224" s="164"/>
      <c r="I224" s="2"/>
      <c r="AE224" s="4"/>
      <c r="AF224" s="2"/>
      <c r="AG224" s="4"/>
      <c r="AH224" s="4"/>
      <c r="AI224" s="4"/>
      <c r="AJ224" s="4"/>
      <c r="AK224" s="4"/>
      <c r="AL224" s="4"/>
      <c r="AM224" s="4"/>
      <c r="AN224" s="4"/>
    </row>
    <row r="225" ht="15.75" customHeight="1">
      <c r="E225" s="164"/>
      <c r="I225" s="2"/>
      <c r="AE225" s="4"/>
      <c r="AF225" s="2"/>
      <c r="AG225" s="4"/>
      <c r="AH225" s="4"/>
      <c r="AI225" s="4"/>
      <c r="AJ225" s="4"/>
      <c r="AK225" s="4"/>
      <c r="AL225" s="4"/>
      <c r="AM225" s="4"/>
      <c r="AN225" s="4"/>
    </row>
    <row r="226" ht="15.75" customHeight="1">
      <c r="E226" s="164"/>
      <c r="I226" s="2"/>
      <c r="AE226" s="4"/>
      <c r="AF226" s="2"/>
      <c r="AG226" s="4"/>
      <c r="AH226" s="4"/>
      <c r="AI226" s="4"/>
      <c r="AJ226" s="4"/>
      <c r="AK226" s="4"/>
      <c r="AL226" s="4"/>
      <c r="AM226" s="4"/>
      <c r="AN226" s="4"/>
    </row>
    <row r="227" ht="15.75" customHeight="1">
      <c r="E227" s="164"/>
      <c r="I227" s="2"/>
      <c r="AE227" s="4"/>
      <c r="AF227" s="2"/>
      <c r="AG227" s="4"/>
      <c r="AH227" s="4"/>
      <c r="AI227" s="4"/>
      <c r="AJ227" s="4"/>
      <c r="AK227" s="4"/>
      <c r="AL227" s="4"/>
      <c r="AM227" s="4"/>
      <c r="AN227" s="4"/>
    </row>
    <row r="228" ht="15.75" customHeight="1">
      <c r="E228" s="164"/>
      <c r="I228" s="2"/>
      <c r="AE228" s="4"/>
      <c r="AF228" s="2"/>
      <c r="AG228" s="4"/>
      <c r="AH228" s="4"/>
      <c r="AI228" s="4"/>
      <c r="AJ228" s="4"/>
      <c r="AK228" s="4"/>
      <c r="AL228" s="4"/>
      <c r="AM228" s="4"/>
      <c r="AN228" s="4"/>
    </row>
    <row r="229" ht="15.75" customHeight="1">
      <c r="E229" s="164"/>
      <c r="I229" s="2"/>
      <c r="AE229" s="4"/>
      <c r="AF229" s="2"/>
      <c r="AG229" s="4"/>
      <c r="AH229" s="4"/>
      <c r="AI229" s="4"/>
      <c r="AJ229" s="4"/>
      <c r="AK229" s="4"/>
      <c r="AL229" s="4"/>
      <c r="AM229" s="4"/>
      <c r="AN229" s="4"/>
    </row>
    <row r="230" ht="15.75" customHeight="1">
      <c r="E230" s="164"/>
      <c r="I230" s="2"/>
      <c r="AE230" s="4"/>
      <c r="AF230" s="2"/>
      <c r="AG230" s="4"/>
      <c r="AH230" s="4"/>
      <c r="AI230" s="4"/>
      <c r="AJ230" s="4"/>
      <c r="AK230" s="4"/>
      <c r="AL230" s="4"/>
      <c r="AM230" s="4"/>
      <c r="AN230" s="4"/>
    </row>
    <row r="231" ht="15.75" customHeight="1">
      <c r="E231" s="164"/>
      <c r="I231" s="2"/>
      <c r="AE231" s="4"/>
      <c r="AF231" s="2"/>
      <c r="AG231" s="4"/>
      <c r="AH231" s="4"/>
      <c r="AI231" s="4"/>
      <c r="AJ231" s="4"/>
      <c r="AK231" s="4"/>
      <c r="AL231" s="4"/>
      <c r="AM231" s="4"/>
      <c r="AN231" s="4"/>
    </row>
    <row r="232" ht="15.75" customHeight="1">
      <c r="E232" s="164"/>
      <c r="I232" s="2"/>
      <c r="AE232" s="4"/>
      <c r="AF232" s="2"/>
      <c r="AG232" s="4"/>
      <c r="AH232" s="4"/>
      <c r="AI232" s="4"/>
      <c r="AJ232" s="4"/>
      <c r="AK232" s="4"/>
      <c r="AL232" s="4"/>
      <c r="AM232" s="4"/>
      <c r="AN232" s="4"/>
    </row>
    <row r="233" ht="15.75" customHeight="1">
      <c r="E233" s="164"/>
      <c r="I233" s="2"/>
      <c r="AE233" s="4"/>
      <c r="AF233" s="2"/>
      <c r="AG233" s="4"/>
      <c r="AH233" s="4"/>
      <c r="AI233" s="4"/>
      <c r="AJ233" s="4"/>
      <c r="AK233" s="4"/>
      <c r="AL233" s="4"/>
      <c r="AM233" s="4"/>
      <c r="AN233" s="4"/>
    </row>
    <row r="234" ht="15.75" customHeight="1">
      <c r="E234" s="164"/>
      <c r="I234" s="2"/>
      <c r="AE234" s="4"/>
      <c r="AF234" s="2"/>
      <c r="AG234" s="4"/>
      <c r="AH234" s="4"/>
      <c r="AI234" s="4"/>
      <c r="AJ234" s="4"/>
      <c r="AK234" s="4"/>
      <c r="AL234" s="4"/>
      <c r="AM234" s="4"/>
      <c r="AN234" s="4"/>
    </row>
    <row r="235" ht="15.75" customHeight="1">
      <c r="E235" s="164"/>
      <c r="I235" s="2"/>
      <c r="AE235" s="4"/>
      <c r="AF235" s="2"/>
      <c r="AG235" s="4"/>
      <c r="AH235" s="4"/>
      <c r="AI235" s="4"/>
      <c r="AJ235" s="4"/>
      <c r="AK235" s="4"/>
      <c r="AL235" s="4"/>
      <c r="AM235" s="4"/>
      <c r="AN235" s="4"/>
    </row>
    <row r="236" ht="15.75" customHeight="1">
      <c r="E236" s="164"/>
      <c r="I236" s="2"/>
      <c r="AE236" s="4"/>
      <c r="AF236" s="2"/>
      <c r="AG236" s="4"/>
      <c r="AH236" s="4"/>
      <c r="AI236" s="4"/>
      <c r="AJ236" s="4"/>
      <c r="AK236" s="4"/>
      <c r="AL236" s="4"/>
      <c r="AM236" s="4"/>
      <c r="AN236" s="4"/>
    </row>
    <row r="237" ht="15.75" customHeight="1">
      <c r="E237" s="164"/>
      <c r="I237" s="2"/>
      <c r="AE237" s="4"/>
      <c r="AF237" s="2"/>
      <c r="AG237" s="4"/>
      <c r="AH237" s="4"/>
      <c r="AI237" s="4"/>
      <c r="AJ237" s="4"/>
      <c r="AK237" s="4"/>
      <c r="AL237" s="4"/>
      <c r="AM237" s="4"/>
      <c r="AN237" s="4"/>
    </row>
    <row r="238" ht="15.75" customHeight="1">
      <c r="E238" s="164"/>
      <c r="I238" s="2"/>
      <c r="AE238" s="4"/>
      <c r="AF238" s="2"/>
      <c r="AG238" s="4"/>
      <c r="AH238" s="4"/>
      <c r="AI238" s="4"/>
      <c r="AJ238" s="4"/>
      <c r="AK238" s="4"/>
      <c r="AL238" s="4"/>
      <c r="AM238" s="4"/>
      <c r="AN238" s="4"/>
    </row>
    <row r="239" ht="15.75" customHeight="1">
      <c r="E239" s="164"/>
      <c r="I239" s="2"/>
      <c r="AE239" s="4"/>
      <c r="AF239" s="2"/>
      <c r="AG239" s="4"/>
      <c r="AH239" s="4"/>
      <c r="AI239" s="4"/>
      <c r="AJ239" s="4"/>
      <c r="AK239" s="4"/>
      <c r="AL239" s="4"/>
      <c r="AM239" s="4"/>
      <c r="AN239" s="4"/>
    </row>
    <row r="240" ht="15.75" customHeight="1">
      <c r="E240" s="164"/>
      <c r="I240" s="2"/>
      <c r="AE240" s="4"/>
      <c r="AF240" s="2"/>
      <c r="AG240" s="4"/>
      <c r="AH240" s="4"/>
      <c r="AI240" s="4"/>
      <c r="AJ240" s="4"/>
      <c r="AK240" s="4"/>
      <c r="AL240" s="4"/>
      <c r="AM240" s="4"/>
      <c r="AN240" s="4"/>
    </row>
    <row r="241" ht="15.75" customHeight="1">
      <c r="E241" s="164"/>
      <c r="I241" s="2"/>
      <c r="AE241" s="4"/>
      <c r="AF241" s="2"/>
      <c r="AG241" s="4"/>
      <c r="AH241" s="4"/>
      <c r="AI241" s="4"/>
      <c r="AJ241" s="4"/>
      <c r="AK241" s="4"/>
      <c r="AL241" s="4"/>
      <c r="AM241" s="4"/>
      <c r="AN241" s="4"/>
    </row>
    <row r="242" ht="15.75" customHeight="1">
      <c r="E242" s="164"/>
      <c r="I242" s="2"/>
      <c r="AE242" s="4"/>
      <c r="AF242" s="2"/>
      <c r="AG242" s="4"/>
      <c r="AH242" s="4"/>
      <c r="AI242" s="4"/>
      <c r="AJ242" s="4"/>
      <c r="AK242" s="4"/>
      <c r="AL242" s="4"/>
      <c r="AM242" s="4"/>
      <c r="AN242" s="4"/>
    </row>
    <row r="243" ht="15.75" customHeight="1">
      <c r="E243" s="164"/>
      <c r="I243" s="2"/>
      <c r="AE243" s="4"/>
      <c r="AF243" s="2"/>
      <c r="AG243" s="4"/>
      <c r="AH243" s="4"/>
      <c r="AI243" s="4"/>
      <c r="AJ243" s="4"/>
      <c r="AK243" s="4"/>
      <c r="AL243" s="4"/>
      <c r="AM243" s="4"/>
      <c r="AN243" s="4"/>
    </row>
    <row r="244" ht="15.75" customHeight="1">
      <c r="E244" s="164"/>
      <c r="I244" s="2"/>
      <c r="AE244" s="4"/>
      <c r="AF244" s="2"/>
      <c r="AG244" s="4"/>
      <c r="AH244" s="4"/>
      <c r="AI244" s="4"/>
      <c r="AJ244" s="4"/>
      <c r="AK244" s="4"/>
      <c r="AL244" s="4"/>
      <c r="AM244" s="4"/>
      <c r="AN244" s="4"/>
    </row>
    <row r="245" ht="15.75" customHeight="1">
      <c r="E245" s="164"/>
      <c r="I245" s="2"/>
      <c r="AE245" s="4"/>
      <c r="AF245" s="2"/>
      <c r="AG245" s="4"/>
      <c r="AH245" s="4"/>
      <c r="AI245" s="4"/>
      <c r="AJ245" s="4"/>
      <c r="AK245" s="4"/>
      <c r="AL245" s="4"/>
      <c r="AM245" s="4"/>
      <c r="AN245" s="4"/>
    </row>
    <row r="246" ht="15.75" customHeight="1">
      <c r="E246" s="164"/>
      <c r="I246" s="2"/>
      <c r="AE246" s="4"/>
      <c r="AF246" s="2"/>
      <c r="AG246" s="4"/>
      <c r="AH246" s="4"/>
      <c r="AI246" s="4"/>
      <c r="AJ246" s="4"/>
      <c r="AK246" s="4"/>
      <c r="AL246" s="4"/>
      <c r="AM246" s="4"/>
      <c r="AN246" s="4"/>
    </row>
    <row r="247" ht="15.75" customHeight="1">
      <c r="E247" s="164"/>
      <c r="I247" s="2"/>
      <c r="AE247" s="4"/>
      <c r="AF247" s="2"/>
      <c r="AG247" s="4"/>
      <c r="AH247" s="4"/>
      <c r="AI247" s="4"/>
      <c r="AJ247" s="4"/>
      <c r="AK247" s="4"/>
      <c r="AL247" s="4"/>
      <c r="AM247" s="4"/>
      <c r="AN247" s="4"/>
    </row>
    <row r="248" ht="15.75" customHeight="1">
      <c r="E248" s="164"/>
      <c r="I248" s="2"/>
      <c r="AE248" s="4"/>
      <c r="AF248" s="2"/>
      <c r="AG248" s="4"/>
      <c r="AH248" s="4"/>
      <c r="AI248" s="4"/>
      <c r="AJ248" s="4"/>
      <c r="AK248" s="4"/>
      <c r="AL248" s="4"/>
      <c r="AM248" s="4"/>
      <c r="AN248" s="4"/>
    </row>
    <row r="249" ht="15.75" customHeight="1">
      <c r="E249" s="164"/>
      <c r="I249" s="2"/>
      <c r="AE249" s="4"/>
      <c r="AF249" s="2"/>
      <c r="AG249" s="4"/>
      <c r="AH249" s="4"/>
      <c r="AI249" s="4"/>
      <c r="AJ249" s="4"/>
      <c r="AK249" s="4"/>
      <c r="AL249" s="4"/>
      <c r="AM249" s="4"/>
      <c r="AN249" s="4"/>
    </row>
    <row r="250" ht="15.75" customHeight="1">
      <c r="E250" s="164"/>
      <c r="I250" s="2"/>
      <c r="AE250" s="4"/>
      <c r="AF250" s="2"/>
      <c r="AG250" s="4"/>
      <c r="AH250" s="4"/>
      <c r="AI250" s="4"/>
      <c r="AJ250" s="4"/>
      <c r="AK250" s="4"/>
      <c r="AL250" s="4"/>
      <c r="AM250" s="4"/>
      <c r="AN250" s="4"/>
    </row>
    <row r="251" ht="15.75" customHeight="1">
      <c r="E251" s="164"/>
      <c r="I251" s="2"/>
      <c r="AE251" s="4"/>
      <c r="AF251" s="2"/>
      <c r="AG251" s="4"/>
      <c r="AH251" s="4"/>
      <c r="AI251" s="4"/>
      <c r="AJ251" s="4"/>
      <c r="AK251" s="4"/>
      <c r="AL251" s="4"/>
      <c r="AM251" s="4"/>
      <c r="AN251" s="4"/>
    </row>
    <row r="252" ht="15.75" customHeight="1">
      <c r="E252" s="164"/>
      <c r="I252" s="2"/>
      <c r="AE252" s="4"/>
      <c r="AF252" s="2"/>
      <c r="AG252" s="4"/>
      <c r="AH252" s="4"/>
      <c r="AI252" s="4"/>
      <c r="AJ252" s="4"/>
      <c r="AK252" s="4"/>
      <c r="AL252" s="4"/>
      <c r="AM252" s="4"/>
      <c r="AN252" s="4"/>
    </row>
    <row r="253" ht="15.75" customHeight="1">
      <c r="E253" s="164"/>
      <c r="I253" s="2"/>
      <c r="AE253" s="4"/>
      <c r="AF253" s="2"/>
      <c r="AG253" s="4"/>
      <c r="AH253" s="4"/>
      <c r="AI253" s="4"/>
      <c r="AJ253" s="4"/>
      <c r="AK253" s="4"/>
      <c r="AL253" s="4"/>
      <c r="AM253" s="4"/>
      <c r="AN253" s="4"/>
    </row>
    <row r="254" ht="15.75" customHeight="1">
      <c r="E254" s="164"/>
      <c r="I254" s="2"/>
      <c r="AE254" s="4"/>
      <c r="AF254" s="2"/>
      <c r="AG254" s="4"/>
      <c r="AH254" s="4"/>
      <c r="AI254" s="4"/>
      <c r="AJ254" s="4"/>
      <c r="AK254" s="4"/>
      <c r="AL254" s="4"/>
      <c r="AM254" s="4"/>
      <c r="AN254" s="4"/>
    </row>
    <row r="255" ht="15.75" customHeight="1">
      <c r="E255" s="164"/>
      <c r="I255" s="2"/>
      <c r="AE255" s="4"/>
      <c r="AF255" s="2"/>
      <c r="AG255" s="4"/>
      <c r="AH255" s="4"/>
      <c r="AI255" s="4"/>
      <c r="AJ255" s="4"/>
      <c r="AK255" s="4"/>
      <c r="AL255" s="4"/>
      <c r="AM255" s="4"/>
      <c r="AN255" s="4"/>
    </row>
    <row r="256" ht="15.75" customHeight="1">
      <c r="E256" s="164"/>
      <c r="I256" s="2"/>
      <c r="AE256" s="4"/>
      <c r="AF256" s="2"/>
      <c r="AG256" s="4"/>
      <c r="AH256" s="4"/>
      <c r="AI256" s="4"/>
      <c r="AJ256" s="4"/>
      <c r="AK256" s="4"/>
      <c r="AL256" s="4"/>
      <c r="AM256" s="4"/>
      <c r="AN256" s="4"/>
    </row>
    <row r="257" ht="15.75" customHeight="1">
      <c r="E257" s="164"/>
      <c r="I257" s="2"/>
      <c r="AE257" s="4"/>
      <c r="AF257" s="2"/>
      <c r="AG257" s="4"/>
      <c r="AH257" s="4"/>
      <c r="AI257" s="4"/>
      <c r="AJ257" s="4"/>
      <c r="AK257" s="4"/>
      <c r="AL257" s="4"/>
      <c r="AM257" s="4"/>
      <c r="AN257" s="4"/>
    </row>
    <row r="258" ht="15.75" customHeight="1">
      <c r="E258" s="164"/>
      <c r="I258" s="2"/>
      <c r="AE258" s="4"/>
      <c r="AF258" s="2"/>
      <c r="AG258" s="4"/>
      <c r="AH258" s="4"/>
      <c r="AI258" s="4"/>
      <c r="AJ258" s="4"/>
      <c r="AK258" s="4"/>
      <c r="AL258" s="4"/>
      <c r="AM258" s="4"/>
      <c r="AN258" s="4"/>
    </row>
    <row r="259" ht="15.75" customHeight="1">
      <c r="E259" s="164"/>
      <c r="I259" s="2"/>
      <c r="AE259" s="4"/>
      <c r="AF259" s="2"/>
      <c r="AG259" s="4"/>
      <c r="AH259" s="4"/>
      <c r="AI259" s="4"/>
      <c r="AJ259" s="4"/>
      <c r="AK259" s="4"/>
      <c r="AL259" s="4"/>
      <c r="AM259" s="4"/>
      <c r="AN259" s="4"/>
    </row>
    <row r="260" ht="15.75" customHeight="1">
      <c r="E260" s="164"/>
      <c r="I260" s="2"/>
      <c r="AE260" s="4"/>
      <c r="AF260" s="2"/>
      <c r="AG260" s="4"/>
      <c r="AH260" s="4"/>
      <c r="AI260" s="4"/>
      <c r="AJ260" s="4"/>
      <c r="AK260" s="4"/>
      <c r="AL260" s="4"/>
      <c r="AM260" s="4"/>
      <c r="AN260" s="4"/>
    </row>
    <row r="261" ht="15.75" customHeight="1">
      <c r="E261" s="164"/>
      <c r="I261" s="2"/>
      <c r="AE261" s="4"/>
      <c r="AF261" s="2"/>
      <c r="AG261" s="4"/>
      <c r="AH261" s="4"/>
      <c r="AI261" s="4"/>
      <c r="AJ261" s="4"/>
      <c r="AK261" s="4"/>
      <c r="AL261" s="4"/>
      <c r="AM261" s="4"/>
      <c r="AN261" s="4"/>
    </row>
    <row r="262" ht="15.75" customHeight="1">
      <c r="E262" s="164"/>
      <c r="I262" s="2"/>
      <c r="AE262" s="4"/>
      <c r="AF262" s="2"/>
      <c r="AG262" s="4"/>
      <c r="AH262" s="4"/>
      <c r="AI262" s="4"/>
      <c r="AJ262" s="4"/>
      <c r="AK262" s="4"/>
      <c r="AL262" s="4"/>
      <c r="AM262" s="4"/>
      <c r="AN262" s="4"/>
    </row>
    <row r="263" ht="15.75" customHeight="1">
      <c r="E263" s="164"/>
      <c r="I263" s="2"/>
      <c r="AE263" s="4"/>
      <c r="AF263" s="2"/>
      <c r="AG263" s="4"/>
      <c r="AH263" s="4"/>
      <c r="AI263" s="4"/>
      <c r="AJ263" s="4"/>
      <c r="AK263" s="4"/>
      <c r="AL263" s="4"/>
      <c r="AM263" s="4"/>
      <c r="AN263" s="4"/>
    </row>
    <row r="264" ht="15.75" customHeight="1">
      <c r="E264" s="164"/>
      <c r="I264" s="2"/>
      <c r="AE264" s="4"/>
      <c r="AF264" s="2"/>
      <c r="AG264" s="4"/>
      <c r="AH264" s="4"/>
      <c r="AI264" s="4"/>
      <c r="AJ264" s="4"/>
      <c r="AK264" s="4"/>
      <c r="AL264" s="4"/>
      <c r="AM264" s="4"/>
      <c r="AN264" s="4"/>
    </row>
    <row r="265" ht="15.75" customHeight="1">
      <c r="E265" s="164"/>
      <c r="I265" s="2"/>
      <c r="AE265" s="4"/>
      <c r="AF265" s="2"/>
      <c r="AG265" s="4"/>
      <c r="AH265" s="4"/>
      <c r="AI265" s="4"/>
      <c r="AJ265" s="4"/>
      <c r="AK265" s="4"/>
      <c r="AL265" s="4"/>
      <c r="AM265" s="4"/>
      <c r="AN265" s="4"/>
    </row>
    <row r="266" ht="15.75" customHeight="1">
      <c r="E266" s="164"/>
      <c r="I266" s="2"/>
      <c r="AE266" s="4"/>
      <c r="AF266" s="2"/>
      <c r="AG266" s="4"/>
      <c r="AH266" s="4"/>
      <c r="AI266" s="4"/>
      <c r="AJ266" s="4"/>
      <c r="AK266" s="4"/>
      <c r="AL266" s="4"/>
      <c r="AM266" s="4"/>
      <c r="AN266" s="4"/>
    </row>
    <row r="267" ht="15.75" customHeight="1">
      <c r="E267" s="164"/>
      <c r="I267" s="2"/>
      <c r="AE267" s="4"/>
      <c r="AF267" s="2"/>
      <c r="AG267" s="4"/>
      <c r="AH267" s="4"/>
      <c r="AI267" s="4"/>
      <c r="AJ267" s="4"/>
      <c r="AK267" s="4"/>
      <c r="AL267" s="4"/>
      <c r="AM267" s="4"/>
      <c r="AN267" s="4"/>
    </row>
    <row r="268" ht="15.75" customHeight="1">
      <c r="E268" s="164"/>
      <c r="I268" s="2"/>
      <c r="AE268" s="4"/>
      <c r="AF268" s="2"/>
      <c r="AG268" s="4"/>
      <c r="AH268" s="4"/>
      <c r="AI268" s="4"/>
      <c r="AJ268" s="4"/>
      <c r="AK268" s="4"/>
      <c r="AL268" s="4"/>
      <c r="AM268" s="4"/>
      <c r="AN268" s="4"/>
    </row>
    <row r="269" ht="15.75" customHeight="1">
      <c r="E269" s="164"/>
      <c r="I269" s="2"/>
      <c r="AE269" s="4"/>
      <c r="AF269" s="2"/>
      <c r="AG269" s="4"/>
      <c r="AH269" s="4"/>
      <c r="AI269" s="4"/>
      <c r="AJ269" s="4"/>
      <c r="AK269" s="4"/>
      <c r="AL269" s="4"/>
      <c r="AM269" s="4"/>
      <c r="AN269" s="4"/>
    </row>
    <row r="270" ht="15.75" customHeight="1">
      <c r="E270" s="164"/>
      <c r="I270" s="2"/>
      <c r="AE270" s="4"/>
      <c r="AF270" s="2"/>
      <c r="AG270" s="4"/>
      <c r="AH270" s="4"/>
      <c r="AI270" s="4"/>
      <c r="AJ270" s="4"/>
      <c r="AK270" s="4"/>
      <c r="AL270" s="4"/>
      <c r="AM270" s="4"/>
      <c r="AN270" s="4"/>
    </row>
    <row r="271" ht="15.75" customHeight="1">
      <c r="E271" s="164"/>
      <c r="I271" s="2"/>
      <c r="AE271" s="4"/>
      <c r="AF271" s="2"/>
      <c r="AG271" s="4"/>
      <c r="AH271" s="4"/>
      <c r="AI271" s="4"/>
      <c r="AJ271" s="4"/>
      <c r="AK271" s="4"/>
      <c r="AL271" s="4"/>
      <c r="AM271" s="4"/>
      <c r="AN271" s="4"/>
    </row>
    <row r="272" ht="15.75" customHeight="1">
      <c r="E272" s="164"/>
      <c r="I272" s="2"/>
      <c r="AE272" s="4"/>
      <c r="AF272" s="2"/>
      <c r="AG272" s="4"/>
      <c r="AH272" s="4"/>
      <c r="AI272" s="4"/>
      <c r="AJ272" s="4"/>
      <c r="AK272" s="4"/>
      <c r="AL272" s="4"/>
      <c r="AM272" s="4"/>
      <c r="AN272" s="4"/>
    </row>
    <row r="273" ht="15.75" customHeight="1">
      <c r="E273" s="164"/>
      <c r="I273" s="2"/>
      <c r="AE273" s="4"/>
      <c r="AF273" s="2"/>
      <c r="AG273" s="4"/>
      <c r="AH273" s="4"/>
      <c r="AI273" s="4"/>
      <c r="AJ273" s="4"/>
      <c r="AK273" s="4"/>
      <c r="AL273" s="4"/>
      <c r="AM273" s="4"/>
      <c r="AN273" s="4"/>
    </row>
    <row r="274" ht="15.75" customHeight="1">
      <c r="E274" s="164"/>
      <c r="I274" s="2"/>
      <c r="AE274" s="4"/>
      <c r="AF274" s="2"/>
      <c r="AG274" s="4"/>
      <c r="AH274" s="4"/>
      <c r="AI274" s="4"/>
      <c r="AJ274" s="4"/>
      <c r="AK274" s="4"/>
      <c r="AL274" s="4"/>
      <c r="AM274" s="4"/>
      <c r="AN274" s="4"/>
    </row>
    <row r="275" ht="15.75" customHeight="1">
      <c r="E275" s="164"/>
      <c r="I275" s="2"/>
      <c r="AE275" s="4"/>
      <c r="AF275" s="2"/>
      <c r="AG275" s="4"/>
      <c r="AH275" s="4"/>
      <c r="AI275" s="4"/>
      <c r="AJ275" s="4"/>
      <c r="AK275" s="4"/>
      <c r="AL275" s="4"/>
      <c r="AM275" s="4"/>
      <c r="AN275" s="4"/>
    </row>
    <row r="276" ht="15.75" customHeight="1">
      <c r="E276" s="164"/>
      <c r="I276" s="2"/>
      <c r="AE276" s="4"/>
      <c r="AF276" s="2"/>
      <c r="AG276" s="4"/>
      <c r="AH276" s="4"/>
      <c r="AI276" s="4"/>
      <c r="AJ276" s="4"/>
      <c r="AK276" s="4"/>
      <c r="AL276" s="4"/>
      <c r="AM276" s="4"/>
      <c r="AN276" s="4"/>
    </row>
    <row r="277" ht="15.75" customHeight="1">
      <c r="E277" s="164"/>
      <c r="I277" s="2"/>
      <c r="AE277" s="4"/>
      <c r="AF277" s="2"/>
      <c r="AG277" s="4"/>
      <c r="AH277" s="4"/>
      <c r="AI277" s="4"/>
      <c r="AJ277" s="4"/>
      <c r="AK277" s="4"/>
      <c r="AL277" s="4"/>
      <c r="AM277" s="4"/>
      <c r="AN277" s="4"/>
    </row>
    <row r="278" ht="15.75" customHeight="1">
      <c r="E278" s="164"/>
      <c r="I278" s="2"/>
      <c r="AE278" s="4"/>
      <c r="AF278" s="2"/>
      <c r="AG278" s="4"/>
      <c r="AH278" s="4"/>
      <c r="AI278" s="4"/>
      <c r="AJ278" s="4"/>
      <c r="AK278" s="4"/>
      <c r="AL278" s="4"/>
      <c r="AM278" s="4"/>
      <c r="AN278" s="4"/>
    </row>
    <row r="279" ht="15.75" customHeight="1">
      <c r="E279" s="164"/>
      <c r="I279" s="2"/>
      <c r="AE279" s="4"/>
      <c r="AF279" s="2"/>
      <c r="AG279" s="4"/>
      <c r="AH279" s="4"/>
      <c r="AI279" s="4"/>
      <c r="AJ279" s="4"/>
      <c r="AK279" s="4"/>
      <c r="AL279" s="4"/>
      <c r="AM279" s="4"/>
      <c r="AN279" s="4"/>
    </row>
    <row r="280" ht="15.75" customHeight="1">
      <c r="E280" s="164"/>
      <c r="I280" s="2"/>
      <c r="AE280" s="4"/>
      <c r="AF280" s="2"/>
      <c r="AG280" s="4"/>
      <c r="AH280" s="4"/>
      <c r="AI280" s="4"/>
      <c r="AJ280" s="4"/>
      <c r="AK280" s="4"/>
      <c r="AL280" s="4"/>
      <c r="AM280" s="4"/>
      <c r="AN280" s="4"/>
    </row>
    <row r="281" ht="15.75" customHeight="1">
      <c r="E281" s="164"/>
      <c r="I281" s="2"/>
      <c r="AE281" s="4"/>
      <c r="AF281" s="2"/>
      <c r="AG281" s="4"/>
      <c r="AH281" s="4"/>
      <c r="AI281" s="4"/>
      <c r="AJ281" s="4"/>
      <c r="AK281" s="4"/>
      <c r="AL281" s="4"/>
      <c r="AM281" s="4"/>
      <c r="AN281" s="4"/>
    </row>
    <row r="282" ht="15.75" customHeight="1">
      <c r="E282" s="164"/>
      <c r="I282" s="2"/>
      <c r="AE282" s="4"/>
      <c r="AF282" s="2"/>
      <c r="AG282" s="4"/>
      <c r="AH282" s="4"/>
      <c r="AI282" s="4"/>
      <c r="AJ282" s="4"/>
      <c r="AK282" s="4"/>
      <c r="AL282" s="4"/>
      <c r="AM282" s="4"/>
      <c r="AN282" s="4"/>
    </row>
    <row r="283" ht="15.75" customHeight="1">
      <c r="E283" s="164"/>
      <c r="I283" s="2"/>
      <c r="AE283" s="4"/>
      <c r="AF283" s="2"/>
      <c r="AG283" s="4"/>
      <c r="AH283" s="4"/>
      <c r="AI283" s="4"/>
      <c r="AJ283" s="4"/>
      <c r="AK283" s="4"/>
      <c r="AL283" s="4"/>
      <c r="AM283" s="4"/>
      <c r="AN283" s="4"/>
    </row>
    <row r="284" ht="15.75" customHeight="1">
      <c r="E284" s="164"/>
      <c r="I284" s="2"/>
      <c r="AE284" s="4"/>
      <c r="AF284" s="2"/>
      <c r="AG284" s="4"/>
      <c r="AH284" s="4"/>
      <c r="AI284" s="4"/>
      <c r="AJ284" s="4"/>
      <c r="AK284" s="4"/>
      <c r="AL284" s="4"/>
      <c r="AM284" s="4"/>
      <c r="AN284" s="4"/>
    </row>
    <row r="285" ht="15.75" customHeight="1">
      <c r="E285" s="164"/>
      <c r="I285" s="2"/>
      <c r="AE285" s="4"/>
      <c r="AF285" s="2"/>
      <c r="AG285" s="4"/>
      <c r="AH285" s="4"/>
      <c r="AI285" s="4"/>
      <c r="AJ285" s="4"/>
      <c r="AK285" s="4"/>
      <c r="AL285" s="4"/>
      <c r="AM285" s="4"/>
      <c r="AN285" s="4"/>
    </row>
    <row r="286" ht="15.75" customHeight="1">
      <c r="E286" s="164"/>
      <c r="I286" s="2"/>
      <c r="AE286" s="4"/>
      <c r="AF286" s="2"/>
      <c r="AG286" s="4"/>
      <c r="AH286" s="4"/>
      <c r="AI286" s="4"/>
      <c r="AJ286" s="4"/>
      <c r="AK286" s="4"/>
      <c r="AL286" s="4"/>
      <c r="AM286" s="4"/>
      <c r="AN286" s="4"/>
    </row>
    <row r="287" ht="15.75" customHeight="1">
      <c r="E287" s="164"/>
      <c r="I287" s="2"/>
      <c r="AE287" s="4"/>
      <c r="AF287" s="2"/>
      <c r="AG287" s="4"/>
      <c r="AH287" s="4"/>
      <c r="AI287" s="4"/>
      <c r="AJ287" s="4"/>
      <c r="AK287" s="4"/>
      <c r="AL287" s="4"/>
      <c r="AM287" s="4"/>
      <c r="AN287" s="4"/>
    </row>
    <row r="288" ht="15.75" customHeight="1">
      <c r="E288" s="164"/>
      <c r="I288" s="2"/>
      <c r="AE288" s="4"/>
      <c r="AF288" s="2"/>
      <c r="AG288" s="4"/>
      <c r="AH288" s="4"/>
      <c r="AI288" s="4"/>
      <c r="AJ288" s="4"/>
      <c r="AK288" s="4"/>
      <c r="AL288" s="4"/>
      <c r="AM288" s="4"/>
      <c r="AN288" s="4"/>
    </row>
    <row r="289" ht="15.75" customHeight="1">
      <c r="E289" s="164"/>
      <c r="I289" s="2"/>
      <c r="AE289" s="4"/>
      <c r="AF289" s="2"/>
      <c r="AG289" s="4"/>
      <c r="AH289" s="4"/>
      <c r="AI289" s="4"/>
      <c r="AJ289" s="4"/>
      <c r="AK289" s="4"/>
      <c r="AL289" s="4"/>
      <c r="AM289" s="4"/>
      <c r="AN289" s="4"/>
    </row>
    <row r="290" ht="15.75" customHeight="1">
      <c r="E290" s="164"/>
      <c r="I290" s="2"/>
      <c r="AE290" s="4"/>
      <c r="AF290" s="2"/>
      <c r="AG290" s="4"/>
      <c r="AH290" s="4"/>
      <c r="AI290" s="4"/>
      <c r="AJ290" s="4"/>
      <c r="AK290" s="4"/>
      <c r="AL290" s="4"/>
      <c r="AM290" s="4"/>
      <c r="AN290" s="4"/>
    </row>
    <row r="291" ht="15.75" customHeight="1">
      <c r="E291" s="164"/>
      <c r="I291" s="2"/>
      <c r="AE291" s="4"/>
      <c r="AF291" s="2"/>
      <c r="AG291" s="4"/>
      <c r="AH291" s="4"/>
      <c r="AI291" s="4"/>
      <c r="AJ291" s="4"/>
      <c r="AK291" s="4"/>
      <c r="AL291" s="4"/>
      <c r="AM291" s="4"/>
      <c r="AN291" s="4"/>
    </row>
    <row r="292" ht="15.75" customHeight="1">
      <c r="E292" s="164"/>
      <c r="I292" s="2"/>
      <c r="AE292" s="4"/>
      <c r="AF292" s="2"/>
      <c r="AG292" s="4"/>
      <c r="AH292" s="4"/>
      <c r="AI292" s="4"/>
      <c r="AJ292" s="4"/>
      <c r="AK292" s="4"/>
      <c r="AL292" s="4"/>
      <c r="AM292" s="4"/>
      <c r="AN292" s="4"/>
    </row>
    <row r="293" ht="15.75" customHeight="1">
      <c r="E293" s="164"/>
      <c r="I293" s="2"/>
      <c r="AE293" s="4"/>
      <c r="AF293" s="2"/>
      <c r="AG293" s="4"/>
      <c r="AH293" s="4"/>
      <c r="AI293" s="4"/>
      <c r="AJ293" s="4"/>
      <c r="AK293" s="4"/>
      <c r="AL293" s="4"/>
      <c r="AM293" s="4"/>
      <c r="AN293" s="4"/>
    </row>
    <row r="294" ht="15.75" customHeight="1">
      <c r="E294" s="164"/>
      <c r="I294" s="2"/>
      <c r="AE294" s="4"/>
      <c r="AF294" s="2"/>
      <c r="AG294" s="4"/>
      <c r="AH294" s="4"/>
      <c r="AI294" s="4"/>
      <c r="AJ294" s="4"/>
      <c r="AK294" s="4"/>
      <c r="AL294" s="4"/>
      <c r="AM294" s="4"/>
      <c r="AN294" s="4"/>
    </row>
    <row r="295" ht="15.75" customHeight="1">
      <c r="E295" s="164"/>
      <c r="I295" s="2"/>
      <c r="AE295" s="4"/>
      <c r="AF295" s="2"/>
      <c r="AG295" s="4"/>
      <c r="AH295" s="4"/>
      <c r="AI295" s="4"/>
      <c r="AJ295" s="4"/>
      <c r="AK295" s="4"/>
      <c r="AL295" s="4"/>
      <c r="AM295" s="4"/>
      <c r="AN295" s="4"/>
    </row>
    <row r="296" ht="15.75" customHeight="1">
      <c r="E296" s="164"/>
      <c r="I296" s="2"/>
      <c r="AE296" s="4"/>
      <c r="AF296" s="2"/>
      <c r="AG296" s="4"/>
      <c r="AH296" s="4"/>
      <c r="AI296" s="4"/>
      <c r="AJ296" s="4"/>
      <c r="AK296" s="4"/>
      <c r="AL296" s="4"/>
      <c r="AM296" s="4"/>
      <c r="AN296" s="4"/>
    </row>
    <row r="297" ht="15.75" customHeight="1">
      <c r="E297" s="164"/>
      <c r="I297" s="2"/>
      <c r="AE297" s="4"/>
      <c r="AF297" s="2"/>
      <c r="AG297" s="4"/>
      <c r="AH297" s="4"/>
      <c r="AI297" s="4"/>
      <c r="AJ297" s="4"/>
      <c r="AK297" s="4"/>
      <c r="AL297" s="4"/>
      <c r="AM297" s="4"/>
      <c r="AN297" s="4"/>
    </row>
    <row r="298" ht="15.75" customHeight="1">
      <c r="E298" s="164"/>
      <c r="I298" s="2"/>
      <c r="AE298" s="4"/>
      <c r="AF298" s="2"/>
      <c r="AG298" s="4"/>
      <c r="AH298" s="4"/>
      <c r="AI298" s="4"/>
      <c r="AJ298" s="4"/>
      <c r="AK298" s="4"/>
      <c r="AL298" s="4"/>
      <c r="AM298" s="4"/>
      <c r="AN298" s="4"/>
    </row>
    <row r="299" ht="15.75" customHeight="1">
      <c r="E299" s="164"/>
      <c r="I299" s="2"/>
      <c r="AE299" s="4"/>
      <c r="AF299" s="2"/>
      <c r="AG299" s="4"/>
      <c r="AH299" s="4"/>
      <c r="AI299" s="4"/>
      <c r="AJ299" s="4"/>
      <c r="AK299" s="4"/>
      <c r="AL299" s="4"/>
      <c r="AM299" s="4"/>
      <c r="AN299" s="4"/>
    </row>
    <row r="300" ht="15.75" customHeight="1">
      <c r="E300" s="164"/>
      <c r="I300" s="2"/>
      <c r="AE300" s="4"/>
      <c r="AF300" s="2"/>
      <c r="AG300" s="4"/>
      <c r="AH300" s="4"/>
      <c r="AI300" s="4"/>
      <c r="AJ300" s="4"/>
      <c r="AK300" s="4"/>
      <c r="AL300" s="4"/>
      <c r="AM300" s="4"/>
      <c r="AN300" s="4"/>
    </row>
    <row r="301" ht="15.75" customHeight="1">
      <c r="E301" s="164"/>
      <c r="I301" s="2"/>
      <c r="AE301" s="4"/>
      <c r="AF301" s="2"/>
      <c r="AG301" s="4"/>
      <c r="AH301" s="4"/>
      <c r="AI301" s="4"/>
      <c r="AJ301" s="4"/>
      <c r="AK301" s="4"/>
      <c r="AL301" s="4"/>
      <c r="AM301" s="4"/>
      <c r="AN301" s="4"/>
    </row>
    <row r="302" ht="15.75" customHeight="1">
      <c r="E302" s="164"/>
      <c r="I302" s="2"/>
      <c r="AE302" s="4"/>
      <c r="AF302" s="2"/>
      <c r="AG302" s="4"/>
      <c r="AH302" s="4"/>
      <c r="AI302" s="4"/>
      <c r="AJ302" s="4"/>
      <c r="AK302" s="4"/>
      <c r="AL302" s="4"/>
      <c r="AM302" s="4"/>
      <c r="AN302" s="4"/>
    </row>
    <row r="303" ht="15.75" customHeight="1">
      <c r="E303" s="164"/>
      <c r="I303" s="2"/>
      <c r="AE303" s="4"/>
      <c r="AF303" s="2"/>
      <c r="AG303" s="4"/>
      <c r="AH303" s="4"/>
      <c r="AI303" s="4"/>
      <c r="AJ303" s="4"/>
      <c r="AK303" s="4"/>
      <c r="AL303" s="4"/>
      <c r="AM303" s="4"/>
      <c r="AN303" s="4"/>
    </row>
    <row r="304" ht="15.75" customHeight="1">
      <c r="E304" s="164"/>
      <c r="I304" s="2"/>
      <c r="AE304" s="4"/>
      <c r="AF304" s="2"/>
      <c r="AG304" s="4"/>
      <c r="AH304" s="4"/>
      <c r="AI304" s="4"/>
      <c r="AJ304" s="4"/>
      <c r="AK304" s="4"/>
      <c r="AL304" s="4"/>
      <c r="AM304" s="4"/>
      <c r="AN304" s="4"/>
    </row>
    <row r="305" ht="15.75" customHeight="1">
      <c r="E305" s="164"/>
      <c r="I305" s="2"/>
      <c r="AE305" s="4"/>
      <c r="AF305" s="2"/>
      <c r="AG305" s="4"/>
      <c r="AH305" s="4"/>
      <c r="AI305" s="4"/>
      <c r="AJ305" s="4"/>
      <c r="AK305" s="4"/>
      <c r="AL305" s="4"/>
      <c r="AM305" s="4"/>
      <c r="AN305" s="4"/>
    </row>
    <row r="306" ht="15.75" customHeight="1">
      <c r="E306" s="164"/>
      <c r="I306" s="2"/>
      <c r="AE306" s="4"/>
      <c r="AF306" s="2"/>
      <c r="AG306" s="4"/>
      <c r="AH306" s="4"/>
      <c r="AI306" s="4"/>
      <c r="AJ306" s="4"/>
      <c r="AK306" s="4"/>
      <c r="AL306" s="4"/>
      <c r="AM306" s="4"/>
      <c r="AN306" s="4"/>
    </row>
    <row r="307" ht="15.75" customHeight="1">
      <c r="E307" s="164"/>
      <c r="I307" s="2"/>
      <c r="AE307" s="4"/>
      <c r="AF307" s="2"/>
      <c r="AG307" s="4"/>
      <c r="AH307" s="4"/>
      <c r="AI307" s="4"/>
      <c r="AJ307" s="4"/>
      <c r="AK307" s="4"/>
      <c r="AL307" s="4"/>
      <c r="AM307" s="4"/>
      <c r="AN307" s="4"/>
    </row>
    <row r="308" ht="15.75" customHeight="1">
      <c r="E308" s="164"/>
      <c r="I308" s="2"/>
      <c r="AE308" s="4"/>
      <c r="AF308" s="2"/>
      <c r="AG308" s="4"/>
      <c r="AH308" s="4"/>
      <c r="AI308" s="4"/>
      <c r="AJ308" s="4"/>
      <c r="AK308" s="4"/>
      <c r="AL308" s="4"/>
      <c r="AM308" s="4"/>
      <c r="AN308" s="4"/>
    </row>
    <row r="309" ht="15.75" customHeight="1">
      <c r="E309" s="164"/>
      <c r="I309" s="2"/>
      <c r="AE309" s="4"/>
      <c r="AF309" s="2"/>
      <c r="AG309" s="4"/>
      <c r="AH309" s="4"/>
      <c r="AI309" s="4"/>
      <c r="AJ309" s="4"/>
      <c r="AK309" s="4"/>
      <c r="AL309" s="4"/>
      <c r="AM309" s="4"/>
      <c r="AN309" s="4"/>
    </row>
    <row r="310" ht="15.75" customHeight="1">
      <c r="E310" s="164"/>
      <c r="I310" s="2"/>
      <c r="AE310" s="4"/>
      <c r="AF310" s="2"/>
      <c r="AG310" s="4"/>
      <c r="AH310" s="4"/>
      <c r="AI310" s="4"/>
      <c r="AJ310" s="4"/>
      <c r="AK310" s="4"/>
      <c r="AL310" s="4"/>
      <c r="AM310" s="4"/>
      <c r="AN310" s="4"/>
    </row>
    <row r="311" ht="15.75" customHeight="1">
      <c r="E311" s="164"/>
      <c r="I311" s="2"/>
      <c r="AE311" s="4"/>
      <c r="AF311" s="2"/>
      <c r="AG311" s="4"/>
      <c r="AH311" s="4"/>
      <c r="AI311" s="4"/>
      <c r="AJ311" s="4"/>
      <c r="AK311" s="4"/>
      <c r="AL311" s="4"/>
      <c r="AM311" s="4"/>
      <c r="AN311" s="4"/>
    </row>
    <row r="312" ht="15.75" customHeight="1">
      <c r="E312" s="164"/>
      <c r="I312" s="2"/>
      <c r="AE312" s="4"/>
      <c r="AF312" s="2"/>
      <c r="AG312" s="4"/>
      <c r="AH312" s="4"/>
      <c r="AI312" s="4"/>
      <c r="AJ312" s="4"/>
      <c r="AK312" s="4"/>
      <c r="AL312" s="4"/>
      <c r="AM312" s="4"/>
      <c r="AN312" s="4"/>
    </row>
    <row r="313" ht="15.75" customHeight="1">
      <c r="E313" s="164"/>
      <c r="I313" s="2"/>
      <c r="AE313" s="4"/>
      <c r="AF313" s="2"/>
      <c r="AG313" s="4"/>
      <c r="AH313" s="4"/>
      <c r="AI313" s="4"/>
      <c r="AJ313" s="4"/>
      <c r="AK313" s="4"/>
      <c r="AL313" s="4"/>
      <c r="AM313" s="4"/>
      <c r="AN313" s="4"/>
    </row>
    <row r="314" ht="15.75" customHeight="1">
      <c r="E314" s="164"/>
      <c r="I314" s="2"/>
      <c r="AE314" s="4"/>
      <c r="AF314" s="2"/>
      <c r="AG314" s="4"/>
      <c r="AH314" s="4"/>
      <c r="AI314" s="4"/>
      <c r="AJ314" s="4"/>
      <c r="AK314" s="4"/>
      <c r="AL314" s="4"/>
      <c r="AM314" s="4"/>
      <c r="AN314" s="4"/>
    </row>
    <row r="315" ht="15.75" customHeight="1">
      <c r="E315" s="164"/>
      <c r="I315" s="2"/>
      <c r="AE315" s="4"/>
      <c r="AF315" s="2"/>
      <c r="AG315" s="4"/>
      <c r="AH315" s="4"/>
      <c r="AI315" s="4"/>
      <c r="AJ315" s="4"/>
      <c r="AK315" s="4"/>
      <c r="AL315" s="4"/>
      <c r="AM315" s="4"/>
      <c r="AN315" s="4"/>
    </row>
    <row r="316" ht="15.75" customHeight="1">
      <c r="E316" s="164"/>
      <c r="I316" s="2"/>
      <c r="AE316" s="4"/>
      <c r="AF316" s="2"/>
      <c r="AG316" s="4"/>
      <c r="AH316" s="4"/>
      <c r="AI316" s="4"/>
      <c r="AJ316" s="4"/>
      <c r="AK316" s="4"/>
      <c r="AL316" s="4"/>
      <c r="AM316" s="4"/>
      <c r="AN316" s="4"/>
    </row>
    <row r="317" ht="15.75" customHeight="1">
      <c r="E317" s="164"/>
      <c r="I317" s="2"/>
      <c r="AE317" s="4"/>
      <c r="AF317" s="2"/>
      <c r="AG317" s="4"/>
      <c r="AH317" s="4"/>
      <c r="AI317" s="4"/>
      <c r="AJ317" s="4"/>
      <c r="AK317" s="4"/>
      <c r="AL317" s="4"/>
      <c r="AM317" s="4"/>
      <c r="AN317" s="4"/>
    </row>
    <row r="318" ht="15.75" customHeight="1">
      <c r="E318" s="164"/>
      <c r="I318" s="2"/>
      <c r="AE318" s="4"/>
      <c r="AF318" s="2"/>
      <c r="AG318" s="4"/>
      <c r="AH318" s="4"/>
      <c r="AI318" s="4"/>
      <c r="AJ318" s="4"/>
      <c r="AK318" s="4"/>
      <c r="AL318" s="4"/>
      <c r="AM318" s="4"/>
      <c r="AN318" s="4"/>
    </row>
    <row r="319" ht="15.75" customHeight="1">
      <c r="E319" s="164"/>
      <c r="I319" s="2"/>
      <c r="AE319" s="4"/>
      <c r="AF319" s="2"/>
      <c r="AG319" s="4"/>
      <c r="AH319" s="4"/>
      <c r="AI319" s="4"/>
      <c r="AJ319" s="4"/>
      <c r="AK319" s="4"/>
      <c r="AL319" s="4"/>
      <c r="AM319" s="4"/>
      <c r="AN319" s="4"/>
    </row>
    <row r="320" ht="15.75" customHeight="1">
      <c r="E320" s="164"/>
      <c r="I320" s="2"/>
      <c r="AE320" s="4"/>
      <c r="AF320" s="2"/>
      <c r="AG320" s="4"/>
      <c r="AH320" s="4"/>
      <c r="AI320" s="4"/>
      <c r="AJ320" s="4"/>
      <c r="AK320" s="4"/>
      <c r="AL320" s="4"/>
      <c r="AM320" s="4"/>
      <c r="AN320" s="4"/>
    </row>
    <row r="321" ht="15.75" customHeight="1">
      <c r="E321" s="164"/>
      <c r="I321" s="2"/>
      <c r="AE321" s="4"/>
      <c r="AF321" s="2"/>
      <c r="AG321" s="4"/>
      <c r="AH321" s="4"/>
      <c r="AI321" s="4"/>
      <c r="AJ321" s="4"/>
      <c r="AK321" s="4"/>
      <c r="AL321" s="4"/>
      <c r="AM321" s="4"/>
      <c r="AN321" s="4"/>
    </row>
    <row r="322" ht="15.75" customHeight="1">
      <c r="E322" s="164"/>
      <c r="I322" s="2"/>
      <c r="AE322" s="4"/>
      <c r="AF322" s="2"/>
      <c r="AG322" s="4"/>
      <c r="AH322" s="4"/>
      <c r="AI322" s="4"/>
      <c r="AJ322" s="4"/>
      <c r="AK322" s="4"/>
      <c r="AL322" s="4"/>
      <c r="AM322" s="4"/>
      <c r="AN322" s="4"/>
    </row>
    <row r="323" ht="15.75" customHeight="1">
      <c r="E323" s="164"/>
      <c r="I323" s="2"/>
      <c r="AE323" s="4"/>
      <c r="AF323" s="2"/>
      <c r="AG323" s="4"/>
      <c r="AH323" s="4"/>
      <c r="AI323" s="4"/>
      <c r="AJ323" s="4"/>
      <c r="AK323" s="4"/>
      <c r="AL323" s="4"/>
      <c r="AM323" s="4"/>
      <c r="AN323" s="4"/>
    </row>
    <row r="324" ht="15.75" customHeight="1">
      <c r="E324" s="164"/>
      <c r="I324" s="2"/>
      <c r="AE324" s="4"/>
      <c r="AF324" s="2"/>
      <c r="AG324" s="4"/>
      <c r="AH324" s="4"/>
      <c r="AI324" s="4"/>
      <c r="AJ324" s="4"/>
      <c r="AK324" s="4"/>
      <c r="AL324" s="4"/>
      <c r="AM324" s="4"/>
      <c r="AN324" s="4"/>
    </row>
    <row r="325" ht="15.75" customHeight="1">
      <c r="E325" s="164"/>
      <c r="I325" s="2"/>
      <c r="AE325" s="4"/>
      <c r="AF325" s="2"/>
      <c r="AG325" s="4"/>
      <c r="AH325" s="4"/>
      <c r="AI325" s="4"/>
      <c r="AJ325" s="4"/>
      <c r="AK325" s="4"/>
      <c r="AL325" s="4"/>
      <c r="AM325" s="4"/>
      <c r="AN325" s="4"/>
    </row>
    <row r="326" ht="15.75" customHeight="1">
      <c r="E326" s="164"/>
      <c r="I326" s="2"/>
      <c r="AE326" s="4"/>
      <c r="AF326" s="2"/>
      <c r="AG326" s="4"/>
      <c r="AH326" s="4"/>
      <c r="AI326" s="4"/>
      <c r="AJ326" s="4"/>
      <c r="AK326" s="4"/>
      <c r="AL326" s="4"/>
      <c r="AM326" s="4"/>
      <c r="AN326" s="4"/>
    </row>
    <row r="327" ht="15.75" customHeight="1">
      <c r="E327" s="164"/>
      <c r="I327" s="2"/>
      <c r="AE327" s="4"/>
      <c r="AF327" s="2"/>
      <c r="AG327" s="4"/>
      <c r="AH327" s="4"/>
      <c r="AI327" s="4"/>
      <c r="AJ327" s="4"/>
      <c r="AK327" s="4"/>
      <c r="AL327" s="4"/>
      <c r="AM327" s="4"/>
      <c r="AN327" s="4"/>
    </row>
    <row r="328" ht="15.75" customHeight="1">
      <c r="E328" s="164"/>
      <c r="I328" s="2"/>
      <c r="AE328" s="4"/>
      <c r="AF328" s="2"/>
      <c r="AG328" s="4"/>
      <c r="AH328" s="4"/>
      <c r="AI328" s="4"/>
      <c r="AJ328" s="4"/>
      <c r="AK328" s="4"/>
      <c r="AL328" s="4"/>
      <c r="AM328" s="4"/>
      <c r="AN328" s="4"/>
    </row>
    <row r="329" ht="15.75" customHeight="1">
      <c r="E329" s="164"/>
      <c r="I329" s="2"/>
      <c r="AE329" s="4"/>
      <c r="AF329" s="2"/>
      <c r="AG329" s="4"/>
      <c r="AH329" s="4"/>
      <c r="AI329" s="4"/>
      <c r="AJ329" s="4"/>
      <c r="AK329" s="4"/>
      <c r="AL329" s="4"/>
      <c r="AM329" s="4"/>
      <c r="AN329" s="4"/>
    </row>
    <row r="330" ht="15.75" customHeight="1">
      <c r="E330" s="164"/>
      <c r="I330" s="2"/>
      <c r="AE330" s="4"/>
      <c r="AF330" s="2"/>
      <c r="AG330" s="4"/>
      <c r="AH330" s="4"/>
      <c r="AI330" s="4"/>
      <c r="AJ330" s="4"/>
      <c r="AK330" s="4"/>
      <c r="AL330" s="4"/>
      <c r="AM330" s="4"/>
      <c r="AN330" s="4"/>
    </row>
    <row r="331" ht="15.75" customHeight="1">
      <c r="E331" s="164"/>
      <c r="I331" s="2"/>
      <c r="AE331" s="4"/>
      <c r="AF331" s="2"/>
      <c r="AG331" s="4"/>
      <c r="AH331" s="4"/>
      <c r="AI331" s="4"/>
      <c r="AJ331" s="4"/>
      <c r="AK331" s="4"/>
      <c r="AL331" s="4"/>
      <c r="AM331" s="4"/>
      <c r="AN331" s="4"/>
    </row>
    <row r="332" ht="15.75" customHeight="1">
      <c r="E332" s="164"/>
      <c r="I332" s="2"/>
      <c r="AE332" s="4"/>
      <c r="AF332" s="2"/>
      <c r="AG332" s="4"/>
      <c r="AH332" s="4"/>
      <c r="AI332" s="4"/>
      <c r="AJ332" s="4"/>
      <c r="AK332" s="4"/>
      <c r="AL332" s="4"/>
      <c r="AM332" s="4"/>
      <c r="AN332" s="4"/>
    </row>
    <row r="333" ht="15.75" customHeight="1">
      <c r="E333" s="164"/>
      <c r="I333" s="2"/>
      <c r="AE333" s="4"/>
      <c r="AF333" s="2"/>
      <c r="AG333" s="4"/>
      <c r="AH333" s="4"/>
      <c r="AI333" s="4"/>
      <c r="AJ333" s="4"/>
      <c r="AK333" s="4"/>
      <c r="AL333" s="4"/>
      <c r="AM333" s="4"/>
      <c r="AN333" s="4"/>
    </row>
    <row r="334" ht="15.75" customHeight="1">
      <c r="E334" s="164"/>
      <c r="I334" s="2"/>
      <c r="AE334" s="4"/>
      <c r="AF334" s="2"/>
      <c r="AG334" s="4"/>
      <c r="AH334" s="4"/>
      <c r="AI334" s="4"/>
      <c r="AJ334" s="4"/>
      <c r="AK334" s="4"/>
      <c r="AL334" s="4"/>
      <c r="AM334" s="4"/>
      <c r="AN334" s="4"/>
    </row>
    <row r="335" ht="15.75" customHeight="1">
      <c r="E335" s="164"/>
      <c r="I335" s="2"/>
      <c r="AE335" s="4"/>
      <c r="AF335" s="2"/>
      <c r="AG335" s="4"/>
      <c r="AH335" s="4"/>
      <c r="AI335" s="4"/>
      <c r="AJ335" s="4"/>
      <c r="AK335" s="4"/>
      <c r="AL335" s="4"/>
      <c r="AM335" s="4"/>
      <c r="AN335" s="4"/>
    </row>
    <row r="336" ht="15.75" customHeight="1">
      <c r="E336" s="164"/>
      <c r="I336" s="2"/>
      <c r="AE336" s="4"/>
      <c r="AF336" s="2"/>
      <c r="AG336" s="4"/>
      <c r="AH336" s="4"/>
      <c r="AI336" s="4"/>
      <c r="AJ336" s="4"/>
      <c r="AK336" s="4"/>
      <c r="AL336" s="4"/>
      <c r="AM336" s="4"/>
      <c r="AN336" s="4"/>
    </row>
    <row r="337" ht="15.75" customHeight="1">
      <c r="E337" s="164"/>
      <c r="I337" s="2"/>
      <c r="AE337" s="4"/>
      <c r="AF337" s="2"/>
      <c r="AG337" s="4"/>
      <c r="AH337" s="4"/>
      <c r="AI337" s="4"/>
      <c r="AJ337" s="4"/>
      <c r="AK337" s="4"/>
      <c r="AL337" s="4"/>
      <c r="AM337" s="4"/>
      <c r="AN337" s="4"/>
    </row>
    <row r="338" ht="15.75" customHeight="1">
      <c r="E338" s="164"/>
      <c r="I338" s="2"/>
      <c r="AE338" s="4"/>
      <c r="AF338" s="2"/>
      <c r="AG338" s="4"/>
      <c r="AH338" s="4"/>
      <c r="AI338" s="4"/>
      <c r="AJ338" s="4"/>
      <c r="AK338" s="4"/>
      <c r="AL338" s="4"/>
      <c r="AM338" s="4"/>
      <c r="AN338" s="4"/>
    </row>
    <row r="339" ht="15.75" customHeight="1">
      <c r="E339" s="164"/>
      <c r="I339" s="2"/>
      <c r="AE339" s="4"/>
      <c r="AF339" s="2"/>
      <c r="AG339" s="4"/>
      <c r="AH339" s="4"/>
      <c r="AI339" s="4"/>
      <c r="AJ339" s="4"/>
      <c r="AK339" s="4"/>
      <c r="AL339" s="4"/>
      <c r="AM339" s="4"/>
      <c r="AN339" s="4"/>
    </row>
    <row r="340" ht="15.75" customHeight="1">
      <c r="E340" s="164"/>
      <c r="I340" s="2"/>
      <c r="AE340" s="4"/>
      <c r="AF340" s="2"/>
      <c r="AG340" s="4"/>
      <c r="AH340" s="4"/>
      <c r="AI340" s="4"/>
      <c r="AJ340" s="4"/>
      <c r="AK340" s="4"/>
      <c r="AL340" s="4"/>
      <c r="AM340" s="4"/>
      <c r="AN340" s="4"/>
    </row>
    <row r="341" ht="15.75" customHeight="1">
      <c r="E341" s="164"/>
      <c r="I341" s="2"/>
      <c r="AE341" s="4"/>
      <c r="AF341" s="2"/>
      <c r="AG341" s="4"/>
      <c r="AH341" s="4"/>
      <c r="AI341" s="4"/>
      <c r="AJ341" s="4"/>
      <c r="AK341" s="4"/>
      <c r="AL341" s="4"/>
      <c r="AM341" s="4"/>
      <c r="AN341" s="4"/>
    </row>
    <row r="342" ht="15.75" customHeight="1">
      <c r="E342" s="164"/>
      <c r="I342" s="2"/>
      <c r="AE342" s="4"/>
      <c r="AF342" s="2"/>
      <c r="AG342" s="4"/>
      <c r="AH342" s="4"/>
      <c r="AI342" s="4"/>
      <c r="AJ342" s="4"/>
      <c r="AK342" s="4"/>
      <c r="AL342" s="4"/>
      <c r="AM342" s="4"/>
      <c r="AN342" s="4"/>
    </row>
    <row r="343" ht="15.75" customHeight="1">
      <c r="E343" s="164"/>
      <c r="I343" s="2"/>
      <c r="AE343" s="4"/>
      <c r="AF343" s="2"/>
      <c r="AG343" s="4"/>
      <c r="AH343" s="4"/>
      <c r="AI343" s="4"/>
      <c r="AJ343" s="4"/>
      <c r="AK343" s="4"/>
      <c r="AL343" s="4"/>
      <c r="AM343" s="4"/>
      <c r="AN343" s="4"/>
    </row>
    <row r="344" ht="15.75" customHeight="1">
      <c r="E344" s="164"/>
      <c r="I344" s="2"/>
      <c r="AE344" s="4"/>
      <c r="AF344" s="2"/>
      <c r="AG344" s="4"/>
      <c r="AH344" s="4"/>
      <c r="AI344" s="4"/>
      <c r="AJ344" s="4"/>
      <c r="AK344" s="4"/>
      <c r="AL344" s="4"/>
      <c r="AM344" s="4"/>
      <c r="AN344" s="4"/>
    </row>
    <row r="345" ht="15.75" customHeight="1">
      <c r="E345" s="164"/>
      <c r="I345" s="2"/>
      <c r="AE345" s="4"/>
      <c r="AF345" s="2"/>
      <c r="AG345" s="4"/>
      <c r="AH345" s="4"/>
      <c r="AI345" s="4"/>
      <c r="AJ345" s="4"/>
      <c r="AK345" s="4"/>
      <c r="AL345" s="4"/>
      <c r="AM345" s="4"/>
      <c r="AN345" s="4"/>
    </row>
    <row r="346" ht="15.75" customHeight="1">
      <c r="E346" s="164"/>
      <c r="I346" s="2"/>
      <c r="AE346" s="4"/>
      <c r="AF346" s="2"/>
      <c r="AG346" s="4"/>
      <c r="AH346" s="4"/>
      <c r="AI346" s="4"/>
      <c r="AJ346" s="4"/>
      <c r="AK346" s="4"/>
      <c r="AL346" s="4"/>
      <c r="AM346" s="4"/>
      <c r="AN346" s="4"/>
    </row>
    <row r="347" ht="15.75" customHeight="1">
      <c r="E347" s="164"/>
      <c r="I347" s="2"/>
      <c r="AE347" s="4"/>
      <c r="AF347" s="2"/>
      <c r="AG347" s="4"/>
      <c r="AH347" s="4"/>
      <c r="AI347" s="4"/>
      <c r="AJ347" s="4"/>
      <c r="AK347" s="4"/>
      <c r="AL347" s="4"/>
      <c r="AM347" s="4"/>
      <c r="AN347" s="4"/>
    </row>
    <row r="348" ht="15.75" customHeight="1">
      <c r="E348" s="164"/>
      <c r="I348" s="2"/>
      <c r="AE348" s="4"/>
      <c r="AF348" s="2"/>
      <c r="AG348" s="4"/>
      <c r="AH348" s="4"/>
      <c r="AI348" s="4"/>
      <c r="AJ348" s="4"/>
      <c r="AK348" s="4"/>
      <c r="AL348" s="4"/>
      <c r="AM348" s="4"/>
      <c r="AN348" s="4"/>
    </row>
    <row r="349" ht="15.75" customHeight="1">
      <c r="E349" s="164"/>
      <c r="I349" s="2"/>
      <c r="AE349" s="4"/>
      <c r="AF349" s="2"/>
      <c r="AG349" s="4"/>
      <c r="AH349" s="4"/>
      <c r="AI349" s="4"/>
      <c r="AJ349" s="4"/>
      <c r="AK349" s="4"/>
      <c r="AL349" s="4"/>
      <c r="AM349" s="4"/>
      <c r="AN349" s="4"/>
    </row>
    <row r="350" ht="15.75" customHeight="1">
      <c r="E350" s="164"/>
      <c r="I350" s="2"/>
      <c r="AE350" s="4"/>
      <c r="AF350" s="2"/>
      <c r="AG350" s="4"/>
      <c r="AH350" s="4"/>
      <c r="AI350" s="4"/>
      <c r="AJ350" s="4"/>
      <c r="AK350" s="4"/>
      <c r="AL350" s="4"/>
      <c r="AM350" s="4"/>
      <c r="AN350" s="4"/>
    </row>
    <row r="351" ht="15.75" customHeight="1">
      <c r="E351" s="164"/>
      <c r="I351" s="2"/>
      <c r="AE351" s="4"/>
      <c r="AF351" s="2"/>
      <c r="AG351" s="4"/>
      <c r="AH351" s="4"/>
      <c r="AI351" s="4"/>
      <c r="AJ351" s="4"/>
      <c r="AK351" s="4"/>
      <c r="AL351" s="4"/>
      <c r="AM351" s="4"/>
      <c r="AN351" s="4"/>
    </row>
    <row r="352" ht="15.75" customHeight="1">
      <c r="E352" s="164"/>
      <c r="I352" s="2"/>
      <c r="AE352" s="4"/>
      <c r="AF352" s="2"/>
      <c r="AG352" s="4"/>
      <c r="AH352" s="4"/>
      <c r="AI352" s="4"/>
      <c r="AJ352" s="4"/>
      <c r="AK352" s="4"/>
      <c r="AL352" s="4"/>
      <c r="AM352" s="4"/>
      <c r="AN352" s="4"/>
    </row>
    <row r="353" ht="15.75" customHeight="1">
      <c r="E353" s="164"/>
      <c r="I353" s="2"/>
      <c r="AE353" s="4"/>
      <c r="AF353" s="2"/>
      <c r="AG353" s="4"/>
      <c r="AH353" s="4"/>
      <c r="AI353" s="4"/>
      <c r="AJ353" s="4"/>
      <c r="AK353" s="4"/>
      <c r="AL353" s="4"/>
      <c r="AM353" s="4"/>
      <c r="AN353" s="4"/>
    </row>
    <row r="354" ht="15.75" customHeight="1">
      <c r="E354" s="164"/>
      <c r="I354" s="2"/>
      <c r="AE354" s="4"/>
      <c r="AF354" s="2"/>
      <c r="AG354" s="4"/>
      <c r="AH354" s="4"/>
      <c r="AI354" s="4"/>
      <c r="AJ354" s="4"/>
      <c r="AK354" s="4"/>
      <c r="AL354" s="4"/>
      <c r="AM354" s="4"/>
      <c r="AN354" s="4"/>
    </row>
    <row r="355" ht="15.75" customHeight="1">
      <c r="E355" s="164"/>
      <c r="I355" s="2"/>
      <c r="AE355" s="4"/>
      <c r="AF355" s="2"/>
      <c r="AG355" s="4"/>
      <c r="AH355" s="4"/>
      <c r="AI355" s="4"/>
      <c r="AJ355" s="4"/>
      <c r="AK355" s="4"/>
      <c r="AL355" s="4"/>
      <c r="AM355" s="4"/>
      <c r="AN355" s="4"/>
    </row>
    <row r="356" ht="15.75" customHeight="1">
      <c r="E356" s="164"/>
      <c r="I356" s="2"/>
      <c r="AE356" s="4"/>
      <c r="AF356" s="2"/>
      <c r="AG356" s="4"/>
      <c r="AH356" s="4"/>
      <c r="AI356" s="4"/>
      <c r="AJ356" s="4"/>
      <c r="AK356" s="4"/>
      <c r="AL356" s="4"/>
      <c r="AM356" s="4"/>
      <c r="AN356" s="4"/>
    </row>
    <row r="357" ht="15.75" customHeight="1">
      <c r="E357" s="164"/>
      <c r="I357" s="2"/>
      <c r="AE357" s="4"/>
      <c r="AF357" s="2"/>
      <c r="AG357" s="4"/>
      <c r="AH357" s="4"/>
      <c r="AI357" s="4"/>
      <c r="AJ357" s="4"/>
      <c r="AK357" s="4"/>
      <c r="AL357" s="4"/>
      <c r="AM357" s="4"/>
      <c r="AN357" s="4"/>
    </row>
    <row r="358" ht="15.75" customHeight="1">
      <c r="E358" s="164"/>
      <c r="I358" s="2"/>
      <c r="AE358" s="4"/>
      <c r="AF358" s="2"/>
      <c r="AG358" s="4"/>
      <c r="AH358" s="4"/>
      <c r="AI358" s="4"/>
      <c r="AJ358" s="4"/>
      <c r="AK358" s="4"/>
      <c r="AL358" s="4"/>
      <c r="AM358" s="4"/>
      <c r="AN358" s="4"/>
    </row>
    <row r="359" ht="15.75" customHeight="1">
      <c r="E359" s="164"/>
      <c r="I359" s="2"/>
      <c r="AE359" s="4"/>
      <c r="AF359" s="2"/>
      <c r="AG359" s="4"/>
      <c r="AH359" s="4"/>
      <c r="AI359" s="4"/>
      <c r="AJ359" s="4"/>
      <c r="AK359" s="4"/>
      <c r="AL359" s="4"/>
      <c r="AM359" s="4"/>
      <c r="AN359" s="4"/>
    </row>
    <row r="360" ht="15.75" customHeight="1">
      <c r="E360" s="164"/>
      <c r="I360" s="2"/>
      <c r="AE360" s="4"/>
      <c r="AF360" s="2"/>
      <c r="AG360" s="4"/>
      <c r="AH360" s="4"/>
      <c r="AI360" s="4"/>
      <c r="AJ360" s="4"/>
      <c r="AK360" s="4"/>
      <c r="AL360" s="4"/>
      <c r="AM360" s="4"/>
      <c r="AN360" s="4"/>
    </row>
    <row r="361" ht="15.75" customHeight="1">
      <c r="E361" s="164"/>
      <c r="I361" s="2"/>
      <c r="AE361" s="4"/>
      <c r="AF361" s="2"/>
      <c r="AG361" s="4"/>
      <c r="AH361" s="4"/>
      <c r="AI361" s="4"/>
      <c r="AJ361" s="4"/>
      <c r="AK361" s="4"/>
      <c r="AL361" s="4"/>
      <c r="AM361" s="4"/>
      <c r="AN361" s="4"/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</sheetData>
  <mergeCells count="51">
    <mergeCell ref="A195:A200"/>
    <mergeCell ref="A201:A206"/>
    <mergeCell ref="A207:A212"/>
    <mergeCell ref="A213:A218"/>
    <mergeCell ref="A153:A158"/>
    <mergeCell ref="A159:A164"/>
    <mergeCell ref="A165:A170"/>
    <mergeCell ref="A171:A176"/>
    <mergeCell ref="A177:A182"/>
    <mergeCell ref="A183:A188"/>
    <mergeCell ref="A189:A194"/>
    <mergeCell ref="A1:G1"/>
    <mergeCell ref="F2:H2"/>
    <mergeCell ref="Y2:Z2"/>
    <mergeCell ref="A3:A8"/>
    <mergeCell ref="A9:A14"/>
    <mergeCell ref="Y9:AC9"/>
    <mergeCell ref="A15:A20"/>
    <mergeCell ref="A63:A68"/>
    <mergeCell ref="A73:G73"/>
    <mergeCell ref="F74:H74"/>
    <mergeCell ref="A21:A26"/>
    <mergeCell ref="A27:A32"/>
    <mergeCell ref="A33:A38"/>
    <mergeCell ref="A39:A44"/>
    <mergeCell ref="A45:A50"/>
    <mergeCell ref="A51:A56"/>
    <mergeCell ref="A57:A62"/>
    <mergeCell ref="A117:A122"/>
    <mergeCell ref="A123:A128"/>
    <mergeCell ref="A129:A134"/>
    <mergeCell ref="A135:A140"/>
    <mergeCell ref="A151:G151"/>
    <mergeCell ref="F152:H152"/>
    <mergeCell ref="A75:A80"/>
    <mergeCell ref="A81:A86"/>
    <mergeCell ref="A87:A92"/>
    <mergeCell ref="A93:A98"/>
    <mergeCell ref="A99:A104"/>
    <mergeCell ref="A105:A110"/>
    <mergeCell ref="A111:A116"/>
    <mergeCell ref="AE165:AG165"/>
    <mergeCell ref="AE168:AG175"/>
    <mergeCell ref="AH168:AI175"/>
    <mergeCell ref="AE15:AG15"/>
    <mergeCell ref="AE16:AG23"/>
    <mergeCell ref="AH16:AI23"/>
    <mergeCell ref="AE24:AG24"/>
    <mergeCell ref="AE87:AG87"/>
    <mergeCell ref="AE88:AG95"/>
    <mergeCell ref="AH89:AI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6.38"/>
    <col customWidth="1" min="3" max="3" width="6.13"/>
    <col customWidth="1" min="4" max="4" width="6.88"/>
    <col customWidth="1" min="5" max="5" width="15.63"/>
    <col customWidth="1" min="6" max="6" width="6.38"/>
    <col customWidth="1" min="7" max="7" width="2.88"/>
    <col customWidth="1" min="8" max="8" width="5.88"/>
    <col customWidth="1" min="9" max="9" width="15.63"/>
    <col customWidth="1" hidden="1" min="10" max="10" width="14.88"/>
    <col customWidth="1" hidden="1" min="11" max="11" width="17.75"/>
    <col customWidth="1" hidden="1" min="12" max="12" width="18.38"/>
    <col hidden="1" min="13" max="13" width="12.63"/>
    <col customWidth="1" hidden="1" min="14" max="14" width="8.63"/>
    <col customWidth="1" hidden="1" min="15" max="15" width="14.5"/>
    <col hidden="1" min="16" max="22" width="12.63"/>
    <col customWidth="1" min="27" max="27" width="13.25"/>
    <col customWidth="1" min="28" max="28" width="15.88"/>
    <col customWidth="1" hidden="1" min="36" max="46" width="12.63"/>
  </cols>
  <sheetData>
    <row r="1" ht="15.75" customHeight="1">
      <c r="A1" s="174" t="s">
        <v>150</v>
      </c>
      <c r="H1" s="175"/>
      <c r="I1" s="176"/>
      <c r="J1" s="177"/>
      <c r="Q1" s="4"/>
      <c r="R1" s="4"/>
      <c r="S1" s="4"/>
      <c r="T1" s="4"/>
      <c r="U1" s="4"/>
      <c r="V1" s="4"/>
      <c r="AA1" s="175"/>
      <c r="AB1" s="176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</row>
    <row r="2" ht="15.75" customHeight="1">
      <c r="A2" s="73" t="s">
        <v>1</v>
      </c>
      <c r="B2" s="74" t="s">
        <v>2</v>
      </c>
      <c r="C2" s="74" t="s">
        <v>3</v>
      </c>
      <c r="D2" s="74" t="s">
        <v>4</v>
      </c>
      <c r="E2" s="130" t="s">
        <v>5</v>
      </c>
      <c r="F2" s="75" t="s">
        <v>6</v>
      </c>
      <c r="G2" s="7"/>
      <c r="H2" s="8"/>
      <c r="I2" s="130" t="s">
        <v>7</v>
      </c>
      <c r="J2" s="138" t="s">
        <v>8</v>
      </c>
      <c r="K2" s="51" t="s">
        <v>9</v>
      </c>
      <c r="L2" s="51" t="s">
        <v>10</v>
      </c>
      <c r="M2" s="3"/>
      <c r="N2" s="178" t="s">
        <v>11</v>
      </c>
      <c r="O2" s="178" t="s">
        <v>12</v>
      </c>
      <c r="P2" s="178" t="s">
        <v>13</v>
      </c>
      <c r="Q2" s="28" t="s">
        <v>14</v>
      </c>
      <c r="R2" s="28" t="s">
        <v>15</v>
      </c>
      <c r="S2" s="28" t="s">
        <v>16</v>
      </c>
      <c r="T2" s="28" t="s">
        <v>17</v>
      </c>
      <c r="U2" s="28" t="s">
        <v>18</v>
      </c>
      <c r="V2" s="28" t="s">
        <v>19</v>
      </c>
      <c r="X2" s="123" t="s">
        <v>20</v>
      </c>
      <c r="Y2" s="8"/>
      <c r="AA2" s="74" t="s">
        <v>11</v>
      </c>
      <c r="AB2" s="74" t="s">
        <v>12</v>
      </c>
      <c r="AC2" s="74" t="s">
        <v>13</v>
      </c>
      <c r="AD2" s="74" t="s">
        <v>14</v>
      </c>
      <c r="AE2" s="74" t="s">
        <v>15</v>
      </c>
      <c r="AF2" s="74" t="s">
        <v>16</v>
      </c>
      <c r="AG2" s="74" t="s">
        <v>17</v>
      </c>
      <c r="AH2" s="74" t="s">
        <v>18</v>
      </c>
      <c r="AI2" s="74" t="s">
        <v>19</v>
      </c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</row>
    <row r="3" ht="15.75" customHeight="1">
      <c r="A3" s="179">
        <v>1.0</v>
      </c>
      <c r="B3" s="12">
        <v>45588.0</v>
      </c>
      <c r="C3" s="13" t="s">
        <v>80</v>
      </c>
      <c r="D3" s="180" t="s">
        <v>151</v>
      </c>
      <c r="E3" s="107" t="s">
        <v>39</v>
      </c>
      <c r="F3" s="14">
        <v>2.0</v>
      </c>
      <c r="G3" s="136" t="s">
        <v>24</v>
      </c>
      <c r="H3" s="181">
        <v>1.0</v>
      </c>
      <c r="I3" s="107" t="s">
        <v>32</v>
      </c>
      <c r="J3" s="138"/>
      <c r="K3" s="17">
        <f t="shared" ref="K3:K68" si="1">IF(F3="","",IFS(F3&gt;H3,3,F3=H3,1,H3&gt;F3,0,F3="",0))</f>
        <v>3</v>
      </c>
      <c r="L3" s="18">
        <f t="shared" ref="L3:L68" si="2">IF(H3="","",IFS(F3&lt;H3,3,F3=H3,1,H3&lt;F3,0))</f>
        <v>0</v>
      </c>
      <c r="M3" s="3"/>
      <c r="N3" s="18">
        <v>1.0</v>
      </c>
      <c r="O3" s="142" t="s">
        <v>39</v>
      </c>
      <c r="P3" s="182">
        <f t="shared" ref="P3:P14" si="3">SUMIF(E$3:E$68,O3,K$3:K$68)+SUMIF(I$3:I$68,O3,L$3:L$68)</f>
        <v>20</v>
      </c>
      <c r="Q3" s="183">
        <f t="shared" ref="Q3:Q14" si="4">COUNTIFS(E$3:E$68,O3,K$3:K$68,3)+COUNTIFS(I$3:I$68,O3,L$3:L$68,3)</f>
        <v>6</v>
      </c>
      <c r="R3" s="183">
        <f t="shared" ref="R3:R14" si="5">COUNTIFS(E$3:E$68,O3,K$3:K$68,1)+COUNTIFS(I$3:I$68,O3,L$3:L$68,1)</f>
        <v>2</v>
      </c>
      <c r="S3" s="184">
        <f t="shared" ref="S3:S14" si="6">COUNTIFS(E$3:E$68,O3,K$3:K$68,0)+COUNTIFS(I$3:I$68,O3,L$3:L$68,0)</f>
        <v>3</v>
      </c>
      <c r="T3" s="183">
        <f t="shared" ref="T3:T14" si="7">SUMIF(E$3:E$68,O3,F$3:F$68)+SUMIF(I$3:I$68,O3,H$3:H$68)</f>
        <v>26</v>
      </c>
      <c r="U3" s="184">
        <f t="shared" ref="U3:U14" si="8">SUMIF(E$3:E$68,O3,H$3:H$68)+SUMIF(I$3:I$68,O3,F$3:F$68)</f>
        <v>19</v>
      </c>
      <c r="V3" s="183">
        <f t="shared" ref="V3:V14" si="9">T3-U3</f>
        <v>7</v>
      </c>
      <c r="X3" s="124" t="s">
        <v>26</v>
      </c>
      <c r="Y3" s="124" t="s">
        <v>13</v>
      </c>
      <c r="AA3" s="145" t="s">
        <v>29</v>
      </c>
      <c r="AB3" s="185" t="str">
        <f t="array" ref="AB3:AI14">SORT(O3:V14,2,FALSE,9,FALSE,8,FALSE())</f>
        <v>Eng. Mecânica</v>
      </c>
      <c r="AC3" s="186">
        <v>31.0</v>
      </c>
      <c r="AD3" s="186">
        <v>10.0</v>
      </c>
      <c r="AE3" s="186">
        <v>1.0</v>
      </c>
      <c r="AF3" s="186">
        <v>0.0</v>
      </c>
      <c r="AG3" s="186">
        <v>45.0</v>
      </c>
      <c r="AH3" s="186">
        <v>11.0</v>
      </c>
      <c r="AI3" s="186">
        <v>34.0</v>
      </c>
      <c r="AJ3" s="175"/>
      <c r="AK3" s="175"/>
      <c r="AL3" s="175"/>
      <c r="AM3" s="175"/>
      <c r="AN3" s="175"/>
      <c r="AO3" s="175"/>
      <c r="AP3" s="175"/>
      <c r="AQ3" s="175"/>
      <c r="AR3" s="175"/>
      <c r="AS3" s="175"/>
      <c r="AT3" s="175"/>
    </row>
    <row r="4" ht="15.75" customHeight="1">
      <c r="A4" s="29"/>
      <c r="B4" s="12">
        <v>45588.0</v>
      </c>
      <c r="C4" s="13" t="s">
        <v>58</v>
      </c>
      <c r="D4" s="180" t="s">
        <v>151</v>
      </c>
      <c r="E4" s="107" t="s">
        <v>113</v>
      </c>
      <c r="F4" s="14">
        <v>0.0</v>
      </c>
      <c r="G4" s="136" t="s">
        <v>24</v>
      </c>
      <c r="H4" s="181">
        <v>3.0</v>
      </c>
      <c r="I4" s="107" t="s">
        <v>34</v>
      </c>
      <c r="J4" s="138"/>
      <c r="K4" s="17">
        <f t="shared" si="1"/>
        <v>0</v>
      </c>
      <c r="L4" s="18">
        <f t="shared" si="2"/>
        <v>3</v>
      </c>
      <c r="M4" s="3"/>
      <c r="N4" s="18">
        <v>2.0</v>
      </c>
      <c r="O4" s="142" t="s">
        <v>25</v>
      </c>
      <c r="P4" s="182">
        <f t="shared" si="3"/>
        <v>24</v>
      </c>
      <c r="Q4" s="183">
        <f t="shared" si="4"/>
        <v>7</v>
      </c>
      <c r="R4" s="183">
        <f t="shared" si="5"/>
        <v>3</v>
      </c>
      <c r="S4" s="184">
        <f t="shared" si="6"/>
        <v>1</v>
      </c>
      <c r="T4" s="183">
        <f t="shared" si="7"/>
        <v>36</v>
      </c>
      <c r="U4" s="184">
        <f t="shared" si="8"/>
        <v>13</v>
      </c>
      <c r="V4" s="183">
        <f t="shared" si="9"/>
        <v>23</v>
      </c>
      <c r="X4" s="125" t="s">
        <v>25</v>
      </c>
      <c r="Y4" s="125">
        <v>3.0</v>
      </c>
      <c r="AA4" s="145" t="s">
        <v>35</v>
      </c>
      <c r="AB4" s="185" t="s">
        <v>25</v>
      </c>
      <c r="AC4" s="186">
        <v>24.0</v>
      </c>
      <c r="AD4" s="186">
        <v>7.0</v>
      </c>
      <c r="AE4" s="186">
        <v>3.0</v>
      </c>
      <c r="AF4" s="186">
        <v>1.0</v>
      </c>
      <c r="AG4" s="186">
        <v>36.0</v>
      </c>
      <c r="AH4" s="186">
        <v>13.0</v>
      </c>
      <c r="AI4" s="186">
        <v>23.0</v>
      </c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</row>
    <row r="5" ht="15.75" customHeight="1">
      <c r="A5" s="29"/>
      <c r="B5" s="12">
        <v>45588.0</v>
      </c>
      <c r="C5" s="13" t="s">
        <v>80</v>
      </c>
      <c r="D5" s="180" t="s">
        <v>151</v>
      </c>
      <c r="E5" s="107" t="s">
        <v>37</v>
      </c>
      <c r="F5" s="14">
        <v>8.0</v>
      </c>
      <c r="G5" s="136" t="s">
        <v>24</v>
      </c>
      <c r="H5" s="181">
        <v>0.0</v>
      </c>
      <c r="I5" s="107" t="s">
        <v>38</v>
      </c>
      <c r="J5" s="138"/>
      <c r="K5" s="17">
        <f t="shared" si="1"/>
        <v>3</v>
      </c>
      <c r="L5" s="18">
        <f t="shared" si="2"/>
        <v>0</v>
      </c>
      <c r="M5" s="3"/>
      <c r="N5" s="18">
        <v>3.0</v>
      </c>
      <c r="O5" s="142" t="s">
        <v>32</v>
      </c>
      <c r="P5" s="182">
        <f t="shared" si="3"/>
        <v>9</v>
      </c>
      <c r="Q5" s="183">
        <f t="shared" si="4"/>
        <v>3</v>
      </c>
      <c r="R5" s="183">
        <f t="shared" si="5"/>
        <v>0</v>
      </c>
      <c r="S5" s="184">
        <f t="shared" si="6"/>
        <v>8</v>
      </c>
      <c r="T5" s="183">
        <f t="shared" si="7"/>
        <v>30</v>
      </c>
      <c r="U5" s="184">
        <f t="shared" si="8"/>
        <v>44</v>
      </c>
      <c r="V5" s="183">
        <f t="shared" si="9"/>
        <v>-14</v>
      </c>
      <c r="X5" s="125" t="s">
        <v>113</v>
      </c>
      <c r="Y5" s="125">
        <v>0.0</v>
      </c>
      <c r="AA5" s="145" t="s">
        <v>40</v>
      </c>
      <c r="AB5" s="185" t="s">
        <v>113</v>
      </c>
      <c r="AC5" s="186">
        <v>24.0</v>
      </c>
      <c r="AD5" s="186">
        <v>8.0</v>
      </c>
      <c r="AE5" s="186">
        <v>0.0</v>
      </c>
      <c r="AF5" s="186">
        <v>3.0</v>
      </c>
      <c r="AG5" s="186">
        <v>43.0</v>
      </c>
      <c r="AH5" s="186">
        <v>20.0</v>
      </c>
      <c r="AI5" s="186">
        <v>23.0</v>
      </c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ht="15.75" customHeight="1">
      <c r="A6" s="29"/>
      <c r="B6" s="12">
        <v>45588.0</v>
      </c>
      <c r="C6" s="13" t="s">
        <v>77</v>
      </c>
      <c r="D6" s="180" t="s">
        <v>151</v>
      </c>
      <c r="E6" s="107" t="s">
        <v>31</v>
      </c>
      <c r="F6" s="14">
        <v>3.0</v>
      </c>
      <c r="G6" s="136" t="s">
        <v>24</v>
      </c>
      <c r="H6" s="181">
        <v>0.0</v>
      </c>
      <c r="I6" s="107" t="s">
        <v>67</v>
      </c>
      <c r="J6" s="138"/>
      <c r="K6" s="17">
        <f t="shared" si="1"/>
        <v>3</v>
      </c>
      <c r="L6" s="18">
        <f t="shared" si="2"/>
        <v>0</v>
      </c>
      <c r="M6" s="3"/>
      <c r="N6" s="18">
        <v>4.0</v>
      </c>
      <c r="O6" s="142" t="s">
        <v>152</v>
      </c>
      <c r="P6" s="182">
        <f t="shared" si="3"/>
        <v>8</v>
      </c>
      <c r="Q6" s="183">
        <f t="shared" si="4"/>
        <v>2</v>
      </c>
      <c r="R6" s="183">
        <f t="shared" si="5"/>
        <v>2</v>
      </c>
      <c r="S6" s="184">
        <f t="shared" si="6"/>
        <v>7</v>
      </c>
      <c r="T6" s="183">
        <f t="shared" si="7"/>
        <v>18</v>
      </c>
      <c r="U6" s="184">
        <f t="shared" si="8"/>
        <v>34</v>
      </c>
      <c r="V6" s="183">
        <f t="shared" si="9"/>
        <v>-16</v>
      </c>
      <c r="AA6" s="145" t="s">
        <v>44</v>
      </c>
      <c r="AB6" s="185" t="s">
        <v>64</v>
      </c>
      <c r="AC6" s="186">
        <v>23.0</v>
      </c>
      <c r="AD6" s="186">
        <v>7.0</v>
      </c>
      <c r="AE6" s="186">
        <v>2.0</v>
      </c>
      <c r="AF6" s="186">
        <v>2.0</v>
      </c>
      <c r="AG6" s="186">
        <v>27.0</v>
      </c>
      <c r="AH6" s="186">
        <v>13.0</v>
      </c>
      <c r="AI6" s="186">
        <v>14.0</v>
      </c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</row>
    <row r="7" ht="15.75" customHeight="1">
      <c r="A7" s="29"/>
      <c r="B7" s="12">
        <v>45588.0</v>
      </c>
      <c r="C7" s="13" t="s">
        <v>77</v>
      </c>
      <c r="D7" s="180" t="s">
        <v>151</v>
      </c>
      <c r="E7" s="107" t="s">
        <v>152</v>
      </c>
      <c r="F7" s="14">
        <v>3.0</v>
      </c>
      <c r="G7" s="136" t="s">
        <v>24</v>
      </c>
      <c r="H7" s="181">
        <v>0.0</v>
      </c>
      <c r="I7" s="107" t="s">
        <v>62</v>
      </c>
      <c r="J7" s="138"/>
      <c r="K7" s="17">
        <f t="shared" si="1"/>
        <v>3</v>
      </c>
      <c r="L7" s="18">
        <f t="shared" si="2"/>
        <v>0</v>
      </c>
      <c r="M7" s="3"/>
      <c r="N7" s="18">
        <v>5.0</v>
      </c>
      <c r="O7" s="142" t="s">
        <v>34</v>
      </c>
      <c r="P7" s="182">
        <f t="shared" si="3"/>
        <v>31</v>
      </c>
      <c r="Q7" s="183">
        <f t="shared" si="4"/>
        <v>10</v>
      </c>
      <c r="R7" s="183">
        <f t="shared" si="5"/>
        <v>1</v>
      </c>
      <c r="S7" s="184">
        <f t="shared" si="6"/>
        <v>0</v>
      </c>
      <c r="T7" s="183">
        <f t="shared" si="7"/>
        <v>45</v>
      </c>
      <c r="U7" s="184">
        <f t="shared" si="8"/>
        <v>11</v>
      </c>
      <c r="V7" s="183">
        <f t="shared" si="9"/>
        <v>34</v>
      </c>
      <c r="AA7" s="145" t="s">
        <v>46</v>
      </c>
      <c r="AB7" s="185" t="s">
        <v>39</v>
      </c>
      <c r="AC7" s="186">
        <v>20.0</v>
      </c>
      <c r="AD7" s="186">
        <v>6.0</v>
      </c>
      <c r="AE7" s="186">
        <v>2.0</v>
      </c>
      <c r="AF7" s="186">
        <v>3.0</v>
      </c>
      <c r="AG7" s="186">
        <v>26.0</v>
      </c>
      <c r="AH7" s="186">
        <v>19.0</v>
      </c>
      <c r="AI7" s="186">
        <v>7.0</v>
      </c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</row>
    <row r="8" ht="15.75" customHeight="1">
      <c r="A8" s="37"/>
      <c r="B8" s="54">
        <v>45588.0</v>
      </c>
      <c r="C8" s="13" t="s">
        <v>58</v>
      </c>
      <c r="D8" s="180" t="s">
        <v>151</v>
      </c>
      <c r="E8" s="107" t="s">
        <v>64</v>
      </c>
      <c r="F8" s="187">
        <v>1.0</v>
      </c>
      <c r="G8" s="136" t="s">
        <v>24</v>
      </c>
      <c r="H8" s="14">
        <v>1.0</v>
      </c>
      <c r="I8" s="107" t="s">
        <v>25</v>
      </c>
      <c r="J8" s="138"/>
      <c r="K8" s="17">
        <f t="shared" si="1"/>
        <v>1</v>
      </c>
      <c r="L8" s="18">
        <f t="shared" si="2"/>
        <v>1</v>
      </c>
      <c r="M8" s="3"/>
      <c r="N8" s="18">
        <v>6.0</v>
      </c>
      <c r="O8" s="142" t="s">
        <v>31</v>
      </c>
      <c r="P8" s="182">
        <f t="shared" si="3"/>
        <v>15</v>
      </c>
      <c r="Q8" s="183">
        <f t="shared" si="4"/>
        <v>4</v>
      </c>
      <c r="R8" s="183">
        <f t="shared" si="5"/>
        <v>3</v>
      </c>
      <c r="S8" s="184">
        <f t="shared" si="6"/>
        <v>4</v>
      </c>
      <c r="T8" s="183">
        <f t="shared" si="7"/>
        <v>20</v>
      </c>
      <c r="U8" s="184">
        <f t="shared" si="8"/>
        <v>18</v>
      </c>
      <c r="V8" s="183">
        <f t="shared" si="9"/>
        <v>2</v>
      </c>
      <c r="AA8" s="145" t="s">
        <v>48</v>
      </c>
      <c r="AB8" s="185" t="s">
        <v>37</v>
      </c>
      <c r="AC8" s="186">
        <v>18.0</v>
      </c>
      <c r="AD8" s="186">
        <v>5.0</v>
      </c>
      <c r="AE8" s="186">
        <v>3.0</v>
      </c>
      <c r="AF8" s="186">
        <v>3.0</v>
      </c>
      <c r="AG8" s="186">
        <v>35.0</v>
      </c>
      <c r="AH8" s="186">
        <v>19.0</v>
      </c>
      <c r="AI8" s="186">
        <v>16.0</v>
      </c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</row>
    <row r="9" ht="15.75" customHeight="1">
      <c r="A9" s="179">
        <v>2.0</v>
      </c>
      <c r="B9" s="54">
        <v>45608.0</v>
      </c>
      <c r="C9" s="13" t="s">
        <v>55</v>
      </c>
      <c r="D9" s="13" t="s">
        <v>151</v>
      </c>
      <c r="E9" s="107" t="s">
        <v>32</v>
      </c>
      <c r="F9" s="187">
        <v>2.0</v>
      </c>
      <c r="G9" s="136" t="s">
        <v>24</v>
      </c>
      <c r="H9" s="181">
        <v>4.0</v>
      </c>
      <c r="I9" s="107" t="s">
        <v>64</v>
      </c>
      <c r="J9" s="138"/>
      <c r="K9" s="17">
        <f t="shared" si="1"/>
        <v>0</v>
      </c>
      <c r="L9" s="18">
        <f t="shared" si="2"/>
        <v>3</v>
      </c>
      <c r="M9" s="3"/>
      <c r="N9" s="18">
        <v>7.0</v>
      </c>
      <c r="O9" s="142" t="s">
        <v>38</v>
      </c>
      <c r="P9" s="182">
        <f t="shared" si="3"/>
        <v>1</v>
      </c>
      <c r="Q9" s="183">
        <f t="shared" si="4"/>
        <v>0</v>
      </c>
      <c r="R9" s="183">
        <f t="shared" si="5"/>
        <v>1</v>
      </c>
      <c r="S9" s="184">
        <f t="shared" si="6"/>
        <v>10</v>
      </c>
      <c r="T9" s="183">
        <f t="shared" si="7"/>
        <v>14</v>
      </c>
      <c r="U9" s="184">
        <f t="shared" si="8"/>
        <v>52</v>
      </c>
      <c r="V9" s="183">
        <f t="shared" si="9"/>
        <v>-38</v>
      </c>
      <c r="AA9" s="151">
        <v>7.0</v>
      </c>
      <c r="AB9" s="185" t="s">
        <v>31</v>
      </c>
      <c r="AC9" s="186">
        <v>15.0</v>
      </c>
      <c r="AD9" s="186">
        <v>4.0</v>
      </c>
      <c r="AE9" s="186">
        <v>3.0</v>
      </c>
      <c r="AF9" s="186">
        <v>4.0</v>
      </c>
      <c r="AG9" s="186">
        <v>20.0</v>
      </c>
      <c r="AH9" s="186">
        <v>18.0</v>
      </c>
      <c r="AI9" s="186">
        <v>2.0</v>
      </c>
      <c r="AJ9" s="175"/>
      <c r="AK9" s="175"/>
      <c r="AL9" s="175"/>
      <c r="AM9" s="175"/>
      <c r="AN9" s="175"/>
      <c r="AO9" s="175"/>
      <c r="AP9" s="175"/>
      <c r="AQ9" s="175"/>
      <c r="AR9" s="175"/>
      <c r="AS9" s="175"/>
      <c r="AT9" s="175"/>
    </row>
    <row r="10" ht="15.75" customHeight="1">
      <c r="A10" s="29"/>
      <c r="B10" s="54">
        <v>45608.0</v>
      </c>
      <c r="C10" s="13" t="s">
        <v>55</v>
      </c>
      <c r="D10" s="13" t="s">
        <v>151</v>
      </c>
      <c r="E10" s="107" t="s">
        <v>34</v>
      </c>
      <c r="F10" s="187">
        <v>2.0</v>
      </c>
      <c r="G10" s="136" t="s">
        <v>24</v>
      </c>
      <c r="H10" s="181">
        <v>1.0</v>
      </c>
      <c r="I10" s="107" t="s">
        <v>39</v>
      </c>
      <c r="J10" s="138"/>
      <c r="K10" s="17">
        <f t="shared" si="1"/>
        <v>3</v>
      </c>
      <c r="L10" s="18">
        <f t="shared" si="2"/>
        <v>0</v>
      </c>
      <c r="M10" s="3"/>
      <c r="N10" s="18">
        <v>8.0</v>
      </c>
      <c r="O10" s="142" t="s">
        <v>37</v>
      </c>
      <c r="P10" s="182">
        <f t="shared" si="3"/>
        <v>18</v>
      </c>
      <c r="Q10" s="183">
        <f t="shared" si="4"/>
        <v>5</v>
      </c>
      <c r="R10" s="183">
        <f t="shared" si="5"/>
        <v>3</v>
      </c>
      <c r="S10" s="184">
        <f t="shared" si="6"/>
        <v>3</v>
      </c>
      <c r="T10" s="183">
        <f t="shared" si="7"/>
        <v>35</v>
      </c>
      <c r="U10" s="184">
        <f t="shared" si="8"/>
        <v>19</v>
      </c>
      <c r="V10" s="183">
        <f t="shared" si="9"/>
        <v>16</v>
      </c>
      <c r="AA10" s="151">
        <v>8.0</v>
      </c>
      <c r="AB10" s="185" t="s">
        <v>32</v>
      </c>
      <c r="AC10" s="186">
        <v>9.0</v>
      </c>
      <c r="AD10" s="186">
        <v>3.0</v>
      </c>
      <c r="AE10" s="186">
        <v>0.0</v>
      </c>
      <c r="AF10" s="186">
        <v>8.0</v>
      </c>
      <c r="AG10" s="186">
        <v>30.0</v>
      </c>
      <c r="AH10" s="186">
        <v>44.0</v>
      </c>
      <c r="AI10" s="186">
        <v>-14.0</v>
      </c>
      <c r="AJ10" s="175"/>
      <c r="AK10" s="175"/>
      <c r="AL10" s="175"/>
      <c r="AM10" s="175"/>
      <c r="AN10" s="175"/>
      <c r="AO10" s="175"/>
      <c r="AP10" s="175"/>
      <c r="AQ10" s="175"/>
      <c r="AR10" s="175"/>
      <c r="AS10" s="175"/>
      <c r="AT10" s="175"/>
    </row>
    <row r="11" ht="15.75" customHeight="1">
      <c r="A11" s="29"/>
      <c r="B11" s="54">
        <v>45608.0</v>
      </c>
      <c r="C11" s="13" t="s">
        <v>56</v>
      </c>
      <c r="D11" s="13" t="s">
        <v>151</v>
      </c>
      <c r="E11" s="107" t="s">
        <v>38</v>
      </c>
      <c r="F11" s="187">
        <v>1.0</v>
      </c>
      <c r="G11" s="136" t="s">
        <v>24</v>
      </c>
      <c r="H11" s="181">
        <v>3.0</v>
      </c>
      <c r="I11" s="107" t="s">
        <v>113</v>
      </c>
      <c r="J11" s="138"/>
      <c r="K11" s="17">
        <f t="shared" si="1"/>
        <v>0</v>
      </c>
      <c r="L11" s="18">
        <f t="shared" si="2"/>
        <v>3</v>
      </c>
      <c r="M11" s="3"/>
      <c r="N11" s="18">
        <v>9.0</v>
      </c>
      <c r="O11" s="142" t="s">
        <v>67</v>
      </c>
      <c r="P11" s="182">
        <f t="shared" si="3"/>
        <v>9</v>
      </c>
      <c r="Q11" s="183">
        <f t="shared" si="4"/>
        <v>3</v>
      </c>
      <c r="R11" s="183">
        <f t="shared" si="5"/>
        <v>0</v>
      </c>
      <c r="S11" s="184">
        <f t="shared" si="6"/>
        <v>8</v>
      </c>
      <c r="T11" s="183">
        <f t="shared" si="7"/>
        <v>23</v>
      </c>
      <c r="U11" s="184">
        <f t="shared" si="8"/>
        <v>40</v>
      </c>
      <c r="V11" s="183">
        <f t="shared" si="9"/>
        <v>-17</v>
      </c>
      <c r="AA11" s="155">
        <v>9.0</v>
      </c>
      <c r="AB11" s="185" t="s">
        <v>67</v>
      </c>
      <c r="AC11" s="186">
        <v>9.0</v>
      </c>
      <c r="AD11" s="186">
        <v>3.0</v>
      </c>
      <c r="AE11" s="186">
        <v>0.0</v>
      </c>
      <c r="AF11" s="186">
        <v>8.0</v>
      </c>
      <c r="AG11" s="186">
        <v>23.0</v>
      </c>
      <c r="AH11" s="186">
        <v>40.0</v>
      </c>
      <c r="AI11" s="186">
        <v>-17.0</v>
      </c>
      <c r="AJ11" s="175"/>
      <c r="AK11" s="175"/>
      <c r="AL11" s="175"/>
      <c r="AM11" s="175"/>
      <c r="AN11" s="175"/>
      <c r="AO11" s="175"/>
      <c r="AP11" s="175"/>
      <c r="AQ11" s="175"/>
      <c r="AR11" s="175"/>
      <c r="AS11" s="175"/>
      <c r="AT11" s="175"/>
    </row>
    <row r="12" ht="15.75" customHeight="1">
      <c r="A12" s="29"/>
      <c r="B12" s="54">
        <v>45608.0</v>
      </c>
      <c r="C12" s="49" t="s">
        <v>56</v>
      </c>
      <c r="D12" s="13" t="s">
        <v>151</v>
      </c>
      <c r="E12" s="107" t="s">
        <v>67</v>
      </c>
      <c r="F12" s="14">
        <v>0.0</v>
      </c>
      <c r="G12" s="136" t="s">
        <v>24</v>
      </c>
      <c r="H12" s="181">
        <v>4.0</v>
      </c>
      <c r="I12" s="107" t="s">
        <v>37</v>
      </c>
      <c r="J12" s="138"/>
      <c r="K12" s="17">
        <f t="shared" si="1"/>
        <v>0</v>
      </c>
      <c r="L12" s="18">
        <f t="shared" si="2"/>
        <v>3</v>
      </c>
      <c r="M12" s="3"/>
      <c r="N12" s="18">
        <v>10.0</v>
      </c>
      <c r="O12" s="142" t="s">
        <v>113</v>
      </c>
      <c r="P12" s="182">
        <f t="shared" si="3"/>
        <v>24</v>
      </c>
      <c r="Q12" s="183">
        <f t="shared" si="4"/>
        <v>8</v>
      </c>
      <c r="R12" s="183">
        <f t="shared" si="5"/>
        <v>0</v>
      </c>
      <c r="S12" s="184">
        <f t="shared" si="6"/>
        <v>3</v>
      </c>
      <c r="T12" s="183">
        <f t="shared" si="7"/>
        <v>43</v>
      </c>
      <c r="U12" s="184">
        <f t="shared" si="8"/>
        <v>20</v>
      </c>
      <c r="V12" s="183">
        <f t="shared" si="9"/>
        <v>23</v>
      </c>
      <c r="AA12" s="155">
        <v>10.0</v>
      </c>
      <c r="AB12" s="185" t="s">
        <v>152</v>
      </c>
      <c r="AC12" s="186">
        <v>8.0</v>
      </c>
      <c r="AD12" s="186">
        <v>2.0</v>
      </c>
      <c r="AE12" s="186">
        <v>2.0</v>
      </c>
      <c r="AF12" s="186">
        <v>7.0</v>
      </c>
      <c r="AG12" s="186">
        <v>18.0</v>
      </c>
      <c r="AH12" s="186">
        <v>34.0</v>
      </c>
      <c r="AI12" s="186">
        <v>-16.0</v>
      </c>
      <c r="AJ12" s="175"/>
      <c r="AK12" s="175"/>
      <c r="AL12" s="175"/>
      <c r="AM12" s="175"/>
      <c r="AN12" s="175"/>
      <c r="AO12" s="175"/>
      <c r="AP12" s="175"/>
      <c r="AQ12" s="175"/>
      <c r="AR12" s="175"/>
      <c r="AS12" s="175"/>
      <c r="AT12" s="175"/>
    </row>
    <row r="13" ht="15.75" customHeight="1">
      <c r="A13" s="29"/>
      <c r="B13" s="12">
        <v>45609.0</v>
      </c>
      <c r="C13" s="13" t="s">
        <v>76</v>
      </c>
      <c r="D13" s="13" t="s">
        <v>151</v>
      </c>
      <c r="E13" s="107" t="s">
        <v>62</v>
      </c>
      <c r="F13" s="14">
        <v>3.0</v>
      </c>
      <c r="G13" s="136" t="s">
        <v>24</v>
      </c>
      <c r="H13" s="181">
        <v>3.0</v>
      </c>
      <c r="I13" s="107" t="s">
        <v>31</v>
      </c>
      <c r="J13" s="138"/>
      <c r="K13" s="17">
        <f t="shared" si="1"/>
        <v>1</v>
      </c>
      <c r="L13" s="18">
        <f t="shared" si="2"/>
        <v>1</v>
      </c>
      <c r="M13" s="3"/>
      <c r="N13" s="42">
        <v>11.0</v>
      </c>
      <c r="O13" s="142" t="s">
        <v>62</v>
      </c>
      <c r="P13" s="182">
        <f t="shared" si="3"/>
        <v>7</v>
      </c>
      <c r="Q13" s="183">
        <f t="shared" si="4"/>
        <v>2</v>
      </c>
      <c r="R13" s="183">
        <f t="shared" si="5"/>
        <v>1</v>
      </c>
      <c r="S13" s="184">
        <f t="shared" si="6"/>
        <v>8</v>
      </c>
      <c r="T13" s="183">
        <f t="shared" si="7"/>
        <v>21</v>
      </c>
      <c r="U13" s="184">
        <f t="shared" si="8"/>
        <v>55</v>
      </c>
      <c r="V13" s="183">
        <f t="shared" si="9"/>
        <v>-34</v>
      </c>
      <c r="AA13" s="188">
        <v>11.0</v>
      </c>
      <c r="AB13" s="34" t="s">
        <v>62</v>
      </c>
      <c r="AC13" s="186">
        <v>7.0</v>
      </c>
      <c r="AD13" s="186">
        <v>2.0</v>
      </c>
      <c r="AE13" s="186">
        <v>1.0</v>
      </c>
      <c r="AF13" s="186">
        <v>8.0</v>
      </c>
      <c r="AG13" s="186">
        <v>21.0</v>
      </c>
      <c r="AH13" s="186">
        <v>55.0</v>
      </c>
      <c r="AI13" s="186">
        <v>-34.0</v>
      </c>
      <c r="AJ13" s="175"/>
      <c r="AK13" s="175"/>
      <c r="AL13" s="175"/>
      <c r="AM13" s="175"/>
      <c r="AN13" s="175"/>
      <c r="AO13" s="175"/>
      <c r="AP13" s="175"/>
      <c r="AQ13" s="175"/>
      <c r="AR13" s="175"/>
      <c r="AS13" s="175"/>
      <c r="AT13" s="175"/>
    </row>
    <row r="14" ht="15.75" customHeight="1">
      <c r="A14" s="37"/>
      <c r="B14" s="12">
        <v>45609.0</v>
      </c>
      <c r="C14" s="13" t="s">
        <v>76</v>
      </c>
      <c r="D14" s="13" t="s">
        <v>151</v>
      </c>
      <c r="E14" s="107" t="s">
        <v>25</v>
      </c>
      <c r="F14" s="14">
        <v>2.0</v>
      </c>
      <c r="G14" s="136" t="s">
        <v>24</v>
      </c>
      <c r="H14" s="181">
        <v>1.0</v>
      </c>
      <c r="I14" s="107" t="s">
        <v>152</v>
      </c>
      <c r="J14" s="138"/>
      <c r="K14" s="17">
        <f t="shared" si="1"/>
        <v>3</v>
      </c>
      <c r="L14" s="18">
        <f t="shared" si="2"/>
        <v>0</v>
      </c>
      <c r="M14" s="3"/>
      <c r="N14" s="42">
        <v>12.0</v>
      </c>
      <c r="O14" s="142" t="s">
        <v>64</v>
      </c>
      <c r="P14" s="182">
        <f t="shared" si="3"/>
        <v>23</v>
      </c>
      <c r="Q14" s="183">
        <f t="shared" si="4"/>
        <v>7</v>
      </c>
      <c r="R14" s="183">
        <f t="shared" si="5"/>
        <v>2</v>
      </c>
      <c r="S14" s="184">
        <f t="shared" si="6"/>
        <v>2</v>
      </c>
      <c r="T14" s="183">
        <f t="shared" si="7"/>
        <v>27</v>
      </c>
      <c r="U14" s="184">
        <f t="shared" si="8"/>
        <v>13</v>
      </c>
      <c r="V14" s="183">
        <f t="shared" si="9"/>
        <v>14</v>
      </c>
      <c r="AA14" s="188">
        <v>12.0</v>
      </c>
      <c r="AB14" s="34" t="s">
        <v>38</v>
      </c>
      <c r="AC14" s="186">
        <v>1.0</v>
      </c>
      <c r="AD14" s="186">
        <v>0.0</v>
      </c>
      <c r="AE14" s="186">
        <v>1.0</v>
      </c>
      <c r="AF14" s="186">
        <v>10.0</v>
      </c>
      <c r="AG14" s="186">
        <v>14.0</v>
      </c>
      <c r="AH14" s="186">
        <v>52.0</v>
      </c>
      <c r="AI14" s="186">
        <v>-38.0</v>
      </c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102"/>
    </row>
    <row r="15" ht="15.75" customHeight="1">
      <c r="A15" s="179">
        <v>3.0</v>
      </c>
      <c r="B15" s="12">
        <v>45622.0</v>
      </c>
      <c r="C15" s="13" t="s">
        <v>56</v>
      </c>
      <c r="D15" s="13" t="s">
        <v>151</v>
      </c>
      <c r="E15" s="107" t="s">
        <v>32</v>
      </c>
      <c r="F15" s="14">
        <v>1.0</v>
      </c>
      <c r="G15" s="136" t="s">
        <v>24</v>
      </c>
      <c r="H15" s="181">
        <v>3.0</v>
      </c>
      <c r="I15" s="107" t="s">
        <v>34</v>
      </c>
      <c r="J15" s="138"/>
      <c r="K15" s="17">
        <f t="shared" si="1"/>
        <v>0</v>
      </c>
      <c r="L15" s="18">
        <f t="shared" si="2"/>
        <v>3</v>
      </c>
      <c r="M15" s="3"/>
      <c r="N15" s="3"/>
      <c r="O15" s="3"/>
      <c r="P15" s="3"/>
      <c r="Q15" s="51"/>
      <c r="R15" s="51"/>
      <c r="S15" s="51"/>
      <c r="T15" s="51"/>
      <c r="U15" s="51"/>
      <c r="V15" s="51"/>
      <c r="AA15" s="85" t="s">
        <v>153</v>
      </c>
      <c r="AF15" s="175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</row>
    <row r="16" ht="15.75" customHeight="1">
      <c r="A16" s="29"/>
      <c r="B16" s="12">
        <v>45624.0</v>
      </c>
      <c r="C16" s="13" t="s">
        <v>55</v>
      </c>
      <c r="D16" s="13" t="s">
        <v>151</v>
      </c>
      <c r="E16" s="107" t="s">
        <v>39</v>
      </c>
      <c r="F16" s="14">
        <v>6.0</v>
      </c>
      <c r="G16" s="136" t="s">
        <v>24</v>
      </c>
      <c r="H16" s="181">
        <v>0.0</v>
      </c>
      <c r="I16" s="107" t="s">
        <v>38</v>
      </c>
      <c r="J16" s="138"/>
      <c r="K16" s="17">
        <f t="shared" si="1"/>
        <v>3</v>
      </c>
      <c r="L16" s="18">
        <f t="shared" si="2"/>
        <v>0</v>
      </c>
      <c r="M16" s="3"/>
      <c r="N16" s="3"/>
      <c r="O16" s="3"/>
      <c r="P16" s="3"/>
      <c r="Q16" s="51"/>
      <c r="R16" s="51"/>
      <c r="S16" s="51"/>
      <c r="T16" s="51"/>
      <c r="U16" s="51"/>
      <c r="V16" s="51"/>
      <c r="AD16" s="175"/>
      <c r="AF16" s="175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</row>
    <row r="17" ht="15.75" customHeight="1">
      <c r="A17" s="29"/>
      <c r="B17" s="12">
        <v>45622.0</v>
      </c>
      <c r="C17" s="13" t="s">
        <v>55</v>
      </c>
      <c r="D17" s="13" t="s">
        <v>151</v>
      </c>
      <c r="E17" s="107" t="s">
        <v>113</v>
      </c>
      <c r="F17" s="14">
        <v>3.0</v>
      </c>
      <c r="G17" s="136" t="s">
        <v>24</v>
      </c>
      <c r="H17" s="181">
        <v>4.0</v>
      </c>
      <c r="I17" s="107" t="s">
        <v>67</v>
      </c>
      <c r="J17" s="138"/>
      <c r="K17" s="17">
        <f t="shared" si="1"/>
        <v>0</v>
      </c>
      <c r="L17" s="18">
        <f t="shared" si="2"/>
        <v>3</v>
      </c>
      <c r="M17" s="3"/>
      <c r="N17" s="3"/>
      <c r="O17" s="3"/>
      <c r="P17" s="3"/>
      <c r="Q17" s="51"/>
      <c r="R17" s="51"/>
      <c r="S17" s="51"/>
      <c r="T17" s="51"/>
      <c r="U17" s="51"/>
      <c r="V17" s="51"/>
      <c r="AA17" s="48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</row>
    <row r="18" ht="15.75" customHeight="1">
      <c r="A18" s="29"/>
      <c r="B18" s="12">
        <v>45622.0</v>
      </c>
      <c r="C18" s="13" t="s">
        <v>55</v>
      </c>
      <c r="D18" s="13" t="s">
        <v>151</v>
      </c>
      <c r="E18" s="107" t="s">
        <v>37</v>
      </c>
      <c r="F18" s="14">
        <v>2.0</v>
      </c>
      <c r="G18" s="136" t="s">
        <v>24</v>
      </c>
      <c r="H18" s="181">
        <v>1.0</v>
      </c>
      <c r="I18" s="107" t="s">
        <v>62</v>
      </c>
      <c r="J18" s="163"/>
      <c r="K18" s="17">
        <f t="shared" si="1"/>
        <v>3</v>
      </c>
      <c r="L18" s="18">
        <f t="shared" si="2"/>
        <v>0</v>
      </c>
      <c r="M18" s="3"/>
      <c r="N18" s="3"/>
      <c r="O18" s="3"/>
      <c r="P18" s="3"/>
      <c r="Q18" s="4"/>
      <c r="R18" s="51"/>
      <c r="S18" s="51"/>
      <c r="T18" s="51"/>
      <c r="U18" s="51"/>
      <c r="V18" s="51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</row>
    <row r="19" ht="15.75" customHeight="1">
      <c r="A19" s="29"/>
      <c r="B19" s="54">
        <v>45622.0</v>
      </c>
      <c r="C19" s="13" t="s">
        <v>56</v>
      </c>
      <c r="D19" s="13" t="s">
        <v>151</v>
      </c>
      <c r="E19" s="107" t="s">
        <v>31</v>
      </c>
      <c r="F19" s="14">
        <v>1.0</v>
      </c>
      <c r="G19" s="136" t="s">
        <v>24</v>
      </c>
      <c r="H19" s="181">
        <v>4.0</v>
      </c>
      <c r="I19" s="107" t="s">
        <v>25</v>
      </c>
      <c r="J19" s="138"/>
      <c r="K19" s="17">
        <f t="shared" si="1"/>
        <v>0</v>
      </c>
      <c r="L19" s="18">
        <f t="shared" si="2"/>
        <v>3</v>
      </c>
      <c r="M19" s="3"/>
      <c r="N19" s="3"/>
      <c r="O19" s="3"/>
      <c r="P19" s="3"/>
      <c r="Q19" s="51"/>
      <c r="R19" s="51"/>
      <c r="S19" s="51"/>
      <c r="T19" s="51"/>
      <c r="U19" s="51"/>
      <c r="V19" s="51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</row>
    <row r="20" ht="15.75" customHeight="1">
      <c r="A20" s="37"/>
      <c r="B20" s="54">
        <v>45624.0</v>
      </c>
      <c r="C20" s="49" t="s">
        <v>56</v>
      </c>
      <c r="D20" s="13" t="s">
        <v>151</v>
      </c>
      <c r="E20" s="107" t="s">
        <v>64</v>
      </c>
      <c r="F20" s="14">
        <v>1.0</v>
      </c>
      <c r="G20" s="136" t="s">
        <v>24</v>
      </c>
      <c r="H20" s="181">
        <v>1.0</v>
      </c>
      <c r="I20" s="107" t="s">
        <v>152</v>
      </c>
      <c r="J20" s="138"/>
      <c r="K20" s="17">
        <f t="shared" si="1"/>
        <v>1</v>
      </c>
      <c r="L20" s="18">
        <f t="shared" si="2"/>
        <v>1</v>
      </c>
      <c r="M20" s="3"/>
      <c r="N20" s="3"/>
      <c r="O20" s="3"/>
      <c r="P20" s="3"/>
      <c r="Q20" s="51"/>
      <c r="R20" s="51"/>
      <c r="S20" s="51"/>
      <c r="T20" s="51"/>
      <c r="U20" s="51"/>
      <c r="V20" s="51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</row>
    <row r="21" ht="15.75" customHeight="1">
      <c r="A21" s="179">
        <v>4.0</v>
      </c>
      <c r="B21" s="68">
        <v>45638.0</v>
      </c>
      <c r="C21" s="13" t="s">
        <v>58</v>
      </c>
      <c r="D21" s="13" t="s">
        <v>151</v>
      </c>
      <c r="E21" s="107" t="s">
        <v>34</v>
      </c>
      <c r="F21" s="14">
        <v>3.0</v>
      </c>
      <c r="G21" s="136" t="s">
        <v>24</v>
      </c>
      <c r="H21" s="181">
        <v>1.0</v>
      </c>
      <c r="I21" s="107" t="s">
        <v>64</v>
      </c>
      <c r="J21" s="138"/>
      <c r="K21" s="17">
        <f t="shared" si="1"/>
        <v>3</v>
      </c>
      <c r="L21" s="18">
        <f t="shared" si="2"/>
        <v>0</v>
      </c>
      <c r="M21" s="3"/>
      <c r="N21" s="3"/>
      <c r="O21" s="3"/>
      <c r="P21" s="3"/>
      <c r="Q21" s="51"/>
      <c r="R21" s="51"/>
      <c r="S21" s="51"/>
      <c r="T21" s="51"/>
      <c r="U21" s="51"/>
      <c r="V21" s="51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</row>
    <row r="22" ht="15.75" customHeight="1">
      <c r="A22" s="29"/>
      <c r="B22" s="54">
        <v>45636.0</v>
      </c>
      <c r="C22" s="13" t="s">
        <v>55</v>
      </c>
      <c r="D22" s="13" t="s">
        <v>151</v>
      </c>
      <c r="E22" s="107" t="s">
        <v>38</v>
      </c>
      <c r="F22" s="14">
        <v>3.0</v>
      </c>
      <c r="G22" s="136" t="s">
        <v>24</v>
      </c>
      <c r="H22" s="181">
        <v>5.0</v>
      </c>
      <c r="I22" s="107" t="s">
        <v>32</v>
      </c>
      <c r="J22" s="138"/>
      <c r="K22" s="17">
        <f t="shared" si="1"/>
        <v>0</v>
      </c>
      <c r="L22" s="18">
        <f t="shared" si="2"/>
        <v>3</v>
      </c>
      <c r="M22" s="3"/>
      <c r="N22" s="3"/>
      <c r="O22" s="3"/>
      <c r="P22" s="3"/>
      <c r="Q22" s="51"/>
      <c r="R22" s="51"/>
      <c r="S22" s="51"/>
      <c r="T22" s="51"/>
      <c r="U22" s="51"/>
      <c r="V22" s="51"/>
      <c r="AF22" s="102"/>
      <c r="AG22" s="102"/>
      <c r="AH22" s="175"/>
      <c r="AI22" s="175"/>
      <c r="AJ22" s="175"/>
      <c r="AK22" s="175"/>
      <c r="AL22" s="175"/>
      <c r="AM22" s="175"/>
      <c r="AN22" s="175"/>
      <c r="AO22" s="175"/>
      <c r="AP22" s="175"/>
      <c r="AQ22" s="175"/>
      <c r="AR22" s="175"/>
      <c r="AS22" s="175"/>
      <c r="AT22" s="175"/>
    </row>
    <row r="23" ht="15.75" customHeight="1">
      <c r="A23" s="29"/>
      <c r="B23" s="54">
        <v>45637.0</v>
      </c>
      <c r="C23" s="13" t="s">
        <v>129</v>
      </c>
      <c r="D23" s="13" t="s">
        <v>151</v>
      </c>
      <c r="E23" s="107" t="s">
        <v>67</v>
      </c>
      <c r="F23" s="14">
        <v>1.0</v>
      </c>
      <c r="G23" s="136" t="s">
        <v>24</v>
      </c>
      <c r="H23" s="181">
        <v>2.0</v>
      </c>
      <c r="I23" s="107" t="s">
        <v>39</v>
      </c>
      <c r="J23" s="138"/>
      <c r="K23" s="17">
        <f t="shared" si="1"/>
        <v>0</v>
      </c>
      <c r="L23" s="18">
        <f t="shared" si="2"/>
        <v>3</v>
      </c>
      <c r="M23" s="3"/>
      <c r="N23" s="3"/>
      <c r="O23" s="3"/>
      <c r="P23" s="3"/>
      <c r="Q23" s="51"/>
      <c r="R23" s="51"/>
      <c r="S23" s="51"/>
      <c r="T23" s="51"/>
      <c r="U23" s="51"/>
      <c r="V23" s="51"/>
      <c r="AF23" s="102"/>
      <c r="AG23" s="102"/>
      <c r="AH23" s="175"/>
      <c r="AI23" s="175"/>
      <c r="AJ23" s="175"/>
      <c r="AK23" s="175"/>
      <c r="AL23" s="175"/>
      <c r="AM23" s="175"/>
      <c r="AN23" s="175"/>
      <c r="AO23" s="175"/>
      <c r="AP23" s="175"/>
      <c r="AQ23" s="175"/>
      <c r="AR23" s="175"/>
      <c r="AS23" s="175"/>
      <c r="AT23" s="175"/>
    </row>
    <row r="24" ht="15.75" customHeight="1">
      <c r="A24" s="29"/>
      <c r="B24" s="68">
        <v>45638.0</v>
      </c>
      <c r="C24" s="49" t="s">
        <v>59</v>
      </c>
      <c r="D24" s="13" t="s">
        <v>151</v>
      </c>
      <c r="E24" s="107" t="s">
        <v>62</v>
      </c>
      <c r="F24" s="14">
        <v>1.0</v>
      </c>
      <c r="G24" s="136" t="s">
        <v>24</v>
      </c>
      <c r="H24" s="181">
        <v>10.0</v>
      </c>
      <c r="I24" s="107" t="s">
        <v>113</v>
      </c>
      <c r="J24" s="138"/>
      <c r="K24" s="17">
        <f t="shared" si="1"/>
        <v>0</v>
      </c>
      <c r="L24" s="18">
        <f t="shared" si="2"/>
        <v>3</v>
      </c>
      <c r="M24" s="3"/>
      <c r="N24" s="3"/>
      <c r="O24" s="3"/>
      <c r="P24" s="3"/>
      <c r="Q24" s="51"/>
      <c r="R24" s="51"/>
      <c r="S24" s="51"/>
      <c r="T24" s="51"/>
      <c r="U24" s="51"/>
      <c r="V24" s="51"/>
      <c r="AD24" s="175"/>
      <c r="AE24" s="175"/>
      <c r="AF24" s="102"/>
      <c r="AG24" s="102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</row>
    <row r="25" ht="15.75" customHeight="1">
      <c r="A25" s="29"/>
      <c r="B25" s="54">
        <v>45637.0</v>
      </c>
      <c r="C25" s="13" t="s">
        <v>130</v>
      </c>
      <c r="D25" s="13" t="s">
        <v>151</v>
      </c>
      <c r="E25" s="107" t="s">
        <v>25</v>
      </c>
      <c r="F25" s="14">
        <v>1.0</v>
      </c>
      <c r="G25" s="136" t="s">
        <v>24</v>
      </c>
      <c r="H25" s="181">
        <v>1.0</v>
      </c>
      <c r="I25" s="107" t="s">
        <v>37</v>
      </c>
      <c r="J25" s="138"/>
      <c r="K25" s="17">
        <f t="shared" si="1"/>
        <v>1</v>
      </c>
      <c r="L25" s="18">
        <f t="shared" si="2"/>
        <v>1</v>
      </c>
      <c r="M25" s="3"/>
      <c r="N25" s="3"/>
      <c r="O25" s="3"/>
      <c r="P25" s="3"/>
      <c r="Q25" s="51"/>
      <c r="R25" s="51"/>
      <c r="S25" s="51"/>
      <c r="T25" s="51"/>
      <c r="U25" s="51"/>
      <c r="V25" s="51"/>
      <c r="AA25" s="102"/>
      <c r="AB25" s="102"/>
      <c r="AC25" s="102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</row>
    <row r="26" ht="15.75" customHeight="1">
      <c r="A26" s="37"/>
      <c r="B26" s="54">
        <v>45637.0</v>
      </c>
      <c r="C26" s="13" t="s">
        <v>77</v>
      </c>
      <c r="D26" s="13" t="s">
        <v>151</v>
      </c>
      <c r="E26" s="107" t="s">
        <v>152</v>
      </c>
      <c r="F26" s="14">
        <v>0.0</v>
      </c>
      <c r="G26" s="136" t="s">
        <v>24</v>
      </c>
      <c r="H26" s="181">
        <v>2.0</v>
      </c>
      <c r="I26" s="107" t="s">
        <v>31</v>
      </c>
      <c r="J26" s="138"/>
      <c r="K26" s="17">
        <f t="shared" si="1"/>
        <v>0</v>
      </c>
      <c r="L26" s="18">
        <f t="shared" si="2"/>
        <v>3</v>
      </c>
      <c r="M26" s="3"/>
      <c r="N26" s="3"/>
      <c r="O26" s="3"/>
      <c r="P26" s="3"/>
      <c r="Q26" s="51"/>
      <c r="R26" s="51"/>
      <c r="S26" s="51"/>
      <c r="T26" s="51"/>
      <c r="U26" s="51"/>
      <c r="V26" s="51"/>
      <c r="AA26" s="102"/>
      <c r="AB26" s="102"/>
      <c r="AC26" s="102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</row>
    <row r="27" ht="15.75" customHeight="1">
      <c r="A27" s="179">
        <v>5.0</v>
      </c>
      <c r="B27" s="54">
        <v>45714.0</v>
      </c>
      <c r="C27" s="13" t="s">
        <v>56</v>
      </c>
      <c r="D27" s="180" t="s">
        <v>151</v>
      </c>
      <c r="E27" s="107" t="s">
        <v>34</v>
      </c>
      <c r="F27" s="14">
        <v>6.0</v>
      </c>
      <c r="G27" s="136" t="s">
        <v>24</v>
      </c>
      <c r="H27" s="181">
        <v>0.0</v>
      </c>
      <c r="I27" s="107" t="s">
        <v>38</v>
      </c>
      <c r="J27" s="138"/>
      <c r="K27" s="17">
        <f t="shared" si="1"/>
        <v>3</v>
      </c>
      <c r="L27" s="18">
        <f t="shared" si="2"/>
        <v>0</v>
      </c>
      <c r="M27" s="3"/>
      <c r="N27" s="3"/>
      <c r="O27" s="3"/>
      <c r="P27" s="3"/>
      <c r="Q27" s="51"/>
      <c r="R27" s="51"/>
      <c r="S27" s="51"/>
      <c r="T27" s="51"/>
      <c r="U27" s="51"/>
      <c r="V27" s="51"/>
      <c r="AA27" s="102"/>
      <c r="AB27" s="102"/>
      <c r="AC27" s="102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</row>
    <row r="28" ht="15.75" customHeight="1">
      <c r="A28" s="29"/>
      <c r="B28" s="54">
        <v>45706.0</v>
      </c>
      <c r="C28" s="49" t="s">
        <v>59</v>
      </c>
      <c r="D28" s="180" t="s">
        <v>151</v>
      </c>
      <c r="E28" s="107" t="s">
        <v>32</v>
      </c>
      <c r="F28" s="14">
        <v>5.0</v>
      </c>
      <c r="G28" s="136" t="s">
        <v>24</v>
      </c>
      <c r="H28" s="181">
        <v>1.0</v>
      </c>
      <c r="I28" s="107" t="s">
        <v>67</v>
      </c>
      <c r="J28" s="138"/>
      <c r="K28" s="17">
        <f t="shared" si="1"/>
        <v>3</v>
      </c>
      <c r="L28" s="18">
        <f t="shared" si="2"/>
        <v>0</v>
      </c>
      <c r="M28" s="3"/>
      <c r="N28" s="3"/>
      <c r="O28" s="3"/>
      <c r="P28" s="3"/>
      <c r="Q28" s="51"/>
      <c r="R28" s="51"/>
      <c r="S28" s="51"/>
      <c r="T28" s="51"/>
      <c r="U28" s="51"/>
      <c r="V28" s="51"/>
      <c r="AA28" s="102"/>
      <c r="AB28" s="102"/>
      <c r="AC28" s="102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</row>
    <row r="29" ht="15.75" customHeight="1">
      <c r="A29" s="29"/>
      <c r="B29" s="54">
        <v>45706.0</v>
      </c>
      <c r="C29" s="13" t="s">
        <v>77</v>
      </c>
      <c r="D29" s="180" t="s">
        <v>151</v>
      </c>
      <c r="E29" s="107" t="s">
        <v>39</v>
      </c>
      <c r="F29" s="14">
        <v>4.0</v>
      </c>
      <c r="G29" s="136" t="s">
        <v>24</v>
      </c>
      <c r="H29" s="181">
        <v>1.0</v>
      </c>
      <c r="I29" s="107" t="s">
        <v>62</v>
      </c>
      <c r="J29" s="138"/>
      <c r="K29" s="17">
        <f t="shared" si="1"/>
        <v>3</v>
      </c>
      <c r="L29" s="18">
        <f t="shared" si="2"/>
        <v>0</v>
      </c>
      <c r="M29" s="3"/>
      <c r="N29" s="3"/>
      <c r="O29" s="3"/>
      <c r="P29" s="3"/>
      <c r="Q29" s="51"/>
      <c r="R29" s="51"/>
      <c r="S29" s="51"/>
      <c r="T29" s="51"/>
      <c r="U29" s="51"/>
      <c r="V29" s="51"/>
      <c r="AA29" s="102"/>
      <c r="AB29" s="102"/>
      <c r="AC29" s="102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</row>
    <row r="30" ht="15.75" customHeight="1">
      <c r="A30" s="29"/>
      <c r="B30" s="54">
        <v>45714.0</v>
      </c>
      <c r="C30" s="13" t="s">
        <v>55</v>
      </c>
      <c r="D30" s="180" t="s">
        <v>151</v>
      </c>
      <c r="E30" s="107" t="s">
        <v>113</v>
      </c>
      <c r="F30" s="14">
        <v>1.0</v>
      </c>
      <c r="G30" s="136" t="s">
        <v>24</v>
      </c>
      <c r="H30" s="181">
        <v>3.0</v>
      </c>
      <c r="I30" s="107" t="s">
        <v>25</v>
      </c>
      <c r="J30" s="138"/>
      <c r="K30" s="17">
        <f t="shared" si="1"/>
        <v>0</v>
      </c>
      <c r="L30" s="18">
        <f t="shared" si="2"/>
        <v>3</v>
      </c>
      <c r="M30" s="3"/>
      <c r="N30" s="3"/>
      <c r="O30" s="3"/>
      <c r="P30" s="3"/>
      <c r="Q30" s="51"/>
      <c r="R30" s="51"/>
      <c r="S30" s="51"/>
      <c r="T30" s="51"/>
      <c r="U30" s="51"/>
      <c r="V30" s="51"/>
      <c r="AA30" s="175"/>
      <c r="AB30" s="176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</row>
    <row r="31" ht="15.75" customHeight="1">
      <c r="A31" s="29"/>
      <c r="B31" s="54">
        <v>45707.0</v>
      </c>
      <c r="C31" s="49" t="s">
        <v>56</v>
      </c>
      <c r="D31" s="180" t="s">
        <v>151</v>
      </c>
      <c r="E31" s="107" t="s">
        <v>37</v>
      </c>
      <c r="F31" s="14">
        <v>5.0</v>
      </c>
      <c r="G31" s="136" t="s">
        <v>24</v>
      </c>
      <c r="H31" s="181">
        <v>0.0</v>
      </c>
      <c r="I31" s="107" t="s">
        <v>152</v>
      </c>
      <c r="J31" s="138"/>
      <c r="K31" s="17">
        <f t="shared" si="1"/>
        <v>3</v>
      </c>
      <c r="L31" s="18">
        <f t="shared" si="2"/>
        <v>0</v>
      </c>
      <c r="M31" s="3"/>
      <c r="N31" s="3"/>
      <c r="O31" s="3"/>
      <c r="P31" s="3"/>
      <c r="Q31" s="51"/>
      <c r="R31" s="51"/>
      <c r="S31" s="51"/>
      <c r="T31" s="51"/>
      <c r="U31" s="51"/>
      <c r="V31" s="51"/>
      <c r="AA31" s="175"/>
      <c r="AB31" s="176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</row>
    <row r="32" ht="15.75" customHeight="1">
      <c r="A32" s="37"/>
      <c r="B32" s="54">
        <v>45706.0</v>
      </c>
      <c r="C32" s="13" t="s">
        <v>58</v>
      </c>
      <c r="D32" s="180" t="s">
        <v>151</v>
      </c>
      <c r="E32" s="107" t="s">
        <v>64</v>
      </c>
      <c r="F32" s="14">
        <v>2.0</v>
      </c>
      <c r="G32" s="136" t="s">
        <v>24</v>
      </c>
      <c r="H32" s="181">
        <v>1.0</v>
      </c>
      <c r="I32" s="107" t="s">
        <v>31</v>
      </c>
      <c r="J32" s="138"/>
      <c r="K32" s="17">
        <f t="shared" si="1"/>
        <v>3</v>
      </c>
      <c r="L32" s="18">
        <f t="shared" si="2"/>
        <v>0</v>
      </c>
      <c r="M32" s="3"/>
      <c r="N32" s="3"/>
      <c r="O32" s="3"/>
      <c r="P32" s="3"/>
      <c r="Q32" s="51"/>
      <c r="R32" s="51"/>
      <c r="S32" s="51"/>
      <c r="T32" s="51"/>
      <c r="U32" s="51"/>
      <c r="V32" s="51"/>
      <c r="AA32" s="175"/>
      <c r="AB32" s="176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5"/>
    </row>
    <row r="33" ht="15.75" customHeight="1">
      <c r="A33" s="179">
        <v>6.0</v>
      </c>
      <c r="B33" s="54">
        <v>45721.0</v>
      </c>
      <c r="C33" s="13" t="s">
        <v>54</v>
      </c>
      <c r="D33" s="13" t="s">
        <v>151</v>
      </c>
      <c r="E33" s="107" t="s">
        <v>38</v>
      </c>
      <c r="F33" s="14">
        <v>1.0</v>
      </c>
      <c r="G33" s="136" t="s">
        <v>24</v>
      </c>
      <c r="H33" s="181">
        <v>3.0</v>
      </c>
      <c r="I33" s="107" t="s">
        <v>64</v>
      </c>
      <c r="J33" s="138"/>
      <c r="K33" s="17">
        <f t="shared" si="1"/>
        <v>0</v>
      </c>
      <c r="L33" s="18">
        <f t="shared" si="2"/>
        <v>3</v>
      </c>
      <c r="M33" s="3"/>
      <c r="N33" s="3"/>
      <c r="O33" s="3"/>
      <c r="P33" s="3"/>
      <c r="Q33" s="51"/>
      <c r="R33" s="51"/>
      <c r="S33" s="51"/>
      <c r="T33" s="51"/>
      <c r="U33" s="51"/>
      <c r="V33" s="51"/>
      <c r="AA33" s="175"/>
      <c r="AB33" s="176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</row>
    <row r="34" ht="15.75" customHeight="1">
      <c r="A34" s="29"/>
      <c r="B34" s="54">
        <v>45721.0</v>
      </c>
      <c r="C34" s="13" t="s">
        <v>55</v>
      </c>
      <c r="D34" s="13" t="s">
        <v>151</v>
      </c>
      <c r="E34" s="107" t="s">
        <v>67</v>
      </c>
      <c r="F34" s="14">
        <v>0.0</v>
      </c>
      <c r="G34" s="136" t="s">
        <v>24</v>
      </c>
      <c r="H34" s="181">
        <v>6.0</v>
      </c>
      <c r="I34" s="107" t="s">
        <v>34</v>
      </c>
      <c r="J34" s="138"/>
      <c r="K34" s="17">
        <f t="shared" si="1"/>
        <v>0</v>
      </c>
      <c r="L34" s="18">
        <f t="shared" si="2"/>
        <v>3</v>
      </c>
      <c r="M34" s="3"/>
      <c r="N34" s="3"/>
      <c r="O34" s="3"/>
      <c r="P34" s="3"/>
      <c r="Q34" s="51"/>
      <c r="R34" s="51"/>
      <c r="S34" s="51"/>
      <c r="T34" s="51"/>
      <c r="U34" s="51"/>
      <c r="V34" s="51"/>
      <c r="AA34" s="175"/>
      <c r="AB34" s="176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5"/>
      <c r="AP34" s="175"/>
      <c r="AQ34" s="175"/>
      <c r="AR34" s="175"/>
      <c r="AS34" s="175"/>
      <c r="AT34" s="175"/>
    </row>
    <row r="35" ht="15.75" customHeight="1">
      <c r="A35" s="29"/>
      <c r="B35" s="54">
        <v>45721.0</v>
      </c>
      <c r="C35" s="13" t="s">
        <v>56</v>
      </c>
      <c r="D35" s="13" t="s">
        <v>151</v>
      </c>
      <c r="E35" s="107" t="s">
        <v>62</v>
      </c>
      <c r="F35" s="14">
        <v>8.0</v>
      </c>
      <c r="G35" s="136" t="s">
        <v>24</v>
      </c>
      <c r="H35" s="181">
        <v>3.0</v>
      </c>
      <c r="I35" s="107" t="s">
        <v>32</v>
      </c>
      <c r="J35" s="138"/>
      <c r="K35" s="17">
        <f t="shared" si="1"/>
        <v>3</v>
      </c>
      <c r="L35" s="18">
        <f t="shared" si="2"/>
        <v>0</v>
      </c>
      <c r="M35" s="3"/>
      <c r="N35" s="3"/>
      <c r="O35" s="3"/>
      <c r="P35" s="3"/>
      <c r="Q35" s="51"/>
      <c r="R35" s="51"/>
      <c r="S35" s="51"/>
      <c r="T35" s="51"/>
      <c r="U35" s="51"/>
      <c r="V35" s="51"/>
      <c r="AA35" s="175"/>
      <c r="AB35" s="176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</row>
    <row r="36" ht="15.75" customHeight="1">
      <c r="A36" s="29"/>
      <c r="B36" s="54">
        <v>45722.0</v>
      </c>
      <c r="C36" s="49" t="s">
        <v>58</v>
      </c>
      <c r="D36" s="13" t="s">
        <v>151</v>
      </c>
      <c r="E36" s="107" t="s">
        <v>25</v>
      </c>
      <c r="F36" s="14">
        <v>1.0</v>
      </c>
      <c r="G36" s="136" t="s">
        <v>24</v>
      </c>
      <c r="H36" s="181">
        <v>1.0</v>
      </c>
      <c r="I36" s="107" t="s">
        <v>39</v>
      </c>
      <c r="J36" s="138"/>
      <c r="K36" s="17">
        <f t="shared" si="1"/>
        <v>1</v>
      </c>
      <c r="L36" s="18">
        <f t="shared" si="2"/>
        <v>1</v>
      </c>
      <c r="M36" s="3"/>
      <c r="N36" s="3"/>
      <c r="O36" s="3"/>
      <c r="P36" s="3"/>
      <c r="Q36" s="51"/>
      <c r="R36" s="51"/>
      <c r="S36" s="51"/>
      <c r="T36" s="51"/>
      <c r="U36" s="51"/>
      <c r="V36" s="51"/>
      <c r="AA36" s="175"/>
      <c r="AB36" s="176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</row>
    <row r="37" ht="15.75" customHeight="1">
      <c r="A37" s="29"/>
      <c r="B37" s="54">
        <v>45722.0</v>
      </c>
      <c r="C37" s="13" t="s">
        <v>77</v>
      </c>
      <c r="D37" s="13" t="s">
        <v>151</v>
      </c>
      <c r="E37" s="107" t="s">
        <v>152</v>
      </c>
      <c r="F37" s="14">
        <v>3.0</v>
      </c>
      <c r="G37" s="136" t="s">
        <v>24</v>
      </c>
      <c r="H37" s="181">
        <v>6.0</v>
      </c>
      <c r="I37" s="107" t="s">
        <v>113</v>
      </c>
      <c r="J37" s="138"/>
      <c r="K37" s="17">
        <f t="shared" si="1"/>
        <v>0</v>
      </c>
      <c r="L37" s="18">
        <f t="shared" si="2"/>
        <v>3</v>
      </c>
      <c r="M37" s="3"/>
      <c r="N37" s="3"/>
      <c r="O37" s="3"/>
      <c r="P37" s="3"/>
      <c r="Q37" s="51"/>
      <c r="R37" s="51"/>
      <c r="S37" s="51"/>
      <c r="T37" s="51"/>
      <c r="U37" s="51"/>
      <c r="V37" s="51"/>
      <c r="AA37" s="175"/>
      <c r="AB37" s="176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5"/>
    </row>
    <row r="38" ht="15.75" customHeight="1">
      <c r="A38" s="37"/>
      <c r="B38" s="54">
        <v>45727.0</v>
      </c>
      <c r="C38" s="13" t="s">
        <v>59</v>
      </c>
      <c r="D38" s="13" t="s">
        <v>151</v>
      </c>
      <c r="E38" s="107" t="s">
        <v>31</v>
      </c>
      <c r="F38" s="14">
        <v>0.0</v>
      </c>
      <c r="G38" s="136" t="s">
        <v>24</v>
      </c>
      <c r="H38" s="181">
        <v>0.0</v>
      </c>
      <c r="I38" s="107" t="s">
        <v>37</v>
      </c>
      <c r="J38" s="138"/>
      <c r="K38" s="17">
        <f t="shared" si="1"/>
        <v>1</v>
      </c>
      <c r="L38" s="18">
        <f t="shared" si="2"/>
        <v>1</v>
      </c>
      <c r="M38" s="3"/>
      <c r="N38" s="3"/>
      <c r="O38" s="3"/>
      <c r="P38" s="3"/>
      <c r="Q38" s="51"/>
      <c r="R38" s="51"/>
      <c r="S38" s="51"/>
      <c r="T38" s="51"/>
      <c r="U38" s="51"/>
      <c r="V38" s="51"/>
      <c r="AA38" s="175"/>
      <c r="AB38" s="176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75"/>
      <c r="AP38" s="175"/>
      <c r="AQ38" s="175"/>
      <c r="AR38" s="175"/>
      <c r="AS38" s="175"/>
      <c r="AT38" s="175"/>
    </row>
    <row r="39" ht="15.75" customHeight="1">
      <c r="A39" s="179">
        <v>7.0</v>
      </c>
      <c r="B39" s="54">
        <v>45728.0</v>
      </c>
      <c r="C39" s="13" t="s">
        <v>54</v>
      </c>
      <c r="D39" s="180" t="s">
        <v>151</v>
      </c>
      <c r="E39" s="107" t="s">
        <v>38</v>
      </c>
      <c r="F39" s="14">
        <v>3.0</v>
      </c>
      <c r="G39" s="136" t="s">
        <v>24</v>
      </c>
      <c r="H39" s="181">
        <v>5.0</v>
      </c>
      <c r="I39" s="107" t="s">
        <v>67</v>
      </c>
      <c r="J39" s="138"/>
      <c r="K39" s="17">
        <f t="shared" si="1"/>
        <v>0</v>
      </c>
      <c r="L39" s="18">
        <f t="shared" si="2"/>
        <v>3</v>
      </c>
      <c r="M39" s="3"/>
      <c r="N39" s="3"/>
      <c r="O39" s="3"/>
      <c r="P39" s="3"/>
      <c r="Q39" s="51"/>
      <c r="R39" s="51"/>
      <c r="S39" s="51"/>
      <c r="T39" s="51"/>
      <c r="U39" s="51"/>
      <c r="V39" s="51"/>
      <c r="AA39" s="175"/>
      <c r="AB39" s="176"/>
      <c r="AC39" s="175"/>
      <c r="AD39" s="175"/>
      <c r="AE39" s="175"/>
      <c r="AF39" s="175"/>
      <c r="AG39" s="175"/>
      <c r="AH39" s="175"/>
      <c r="AI39" s="175"/>
      <c r="AJ39" s="175"/>
      <c r="AK39" s="175"/>
      <c r="AL39" s="175"/>
      <c r="AM39" s="175"/>
      <c r="AN39" s="175"/>
      <c r="AO39" s="175"/>
      <c r="AP39" s="175"/>
      <c r="AQ39" s="175"/>
      <c r="AR39" s="175"/>
      <c r="AS39" s="175"/>
      <c r="AT39" s="175"/>
    </row>
    <row r="40" ht="15.75" customHeight="1">
      <c r="A40" s="29"/>
      <c r="B40" s="54">
        <v>45729.0</v>
      </c>
      <c r="C40" s="13" t="s">
        <v>58</v>
      </c>
      <c r="D40" s="180" t="s">
        <v>151</v>
      </c>
      <c r="E40" s="107" t="s">
        <v>34</v>
      </c>
      <c r="F40" s="14">
        <v>7.0</v>
      </c>
      <c r="G40" s="136" t="s">
        <v>24</v>
      </c>
      <c r="H40" s="181">
        <v>2.0</v>
      </c>
      <c r="I40" s="107" t="s">
        <v>62</v>
      </c>
      <c r="J40" s="138"/>
      <c r="K40" s="17">
        <f t="shared" si="1"/>
        <v>3</v>
      </c>
      <c r="L40" s="18">
        <f t="shared" si="2"/>
        <v>0</v>
      </c>
      <c r="M40" s="3"/>
      <c r="N40" s="3"/>
      <c r="O40" s="3"/>
      <c r="P40" s="3"/>
      <c r="Q40" s="51"/>
      <c r="R40" s="51"/>
      <c r="S40" s="51"/>
      <c r="T40" s="51"/>
      <c r="U40" s="51"/>
      <c r="V40" s="51"/>
      <c r="AA40" s="175"/>
      <c r="AB40" s="176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</row>
    <row r="41" ht="15.75" customHeight="1">
      <c r="A41" s="29"/>
      <c r="B41" s="54">
        <v>45729.0</v>
      </c>
      <c r="C41" s="13" t="s">
        <v>59</v>
      </c>
      <c r="D41" s="180" t="s">
        <v>151</v>
      </c>
      <c r="E41" s="107" t="s">
        <v>32</v>
      </c>
      <c r="F41" s="14">
        <v>2.0</v>
      </c>
      <c r="G41" s="136" t="s">
        <v>24</v>
      </c>
      <c r="H41" s="181">
        <v>3.0</v>
      </c>
      <c r="I41" s="107" t="s">
        <v>25</v>
      </c>
      <c r="J41" s="138"/>
      <c r="K41" s="17">
        <f t="shared" si="1"/>
        <v>0</v>
      </c>
      <c r="L41" s="18">
        <f t="shared" si="2"/>
        <v>3</v>
      </c>
      <c r="M41" s="3"/>
      <c r="N41" s="3"/>
      <c r="O41" s="3"/>
      <c r="P41" s="3"/>
      <c r="Q41" s="51"/>
      <c r="R41" s="51"/>
      <c r="S41" s="51"/>
      <c r="T41" s="51"/>
      <c r="U41" s="51"/>
      <c r="V41" s="51"/>
      <c r="AA41" s="175"/>
      <c r="AB41" s="176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</row>
    <row r="42" ht="15.75" customHeight="1">
      <c r="A42" s="29"/>
      <c r="B42" s="54">
        <v>45728.0</v>
      </c>
      <c r="C42" s="49" t="s">
        <v>56</v>
      </c>
      <c r="D42" s="180" t="s">
        <v>151</v>
      </c>
      <c r="E42" s="107" t="s">
        <v>39</v>
      </c>
      <c r="F42" s="14">
        <v>3.0</v>
      </c>
      <c r="G42" s="136" t="s">
        <v>24</v>
      </c>
      <c r="H42" s="181">
        <v>2.0</v>
      </c>
      <c r="I42" s="107" t="s">
        <v>152</v>
      </c>
      <c r="J42" s="138"/>
      <c r="K42" s="17">
        <f t="shared" si="1"/>
        <v>3</v>
      </c>
      <c r="L42" s="18">
        <f t="shared" si="2"/>
        <v>0</v>
      </c>
      <c r="M42" s="3"/>
      <c r="N42" s="3"/>
      <c r="O42" s="3"/>
      <c r="P42" s="3"/>
      <c r="Q42" s="51"/>
      <c r="R42" s="51"/>
      <c r="S42" s="51"/>
      <c r="T42" s="51"/>
      <c r="U42" s="51"/>
      <c r="V42" s="51"/>
      <c r="AA42" s="175"/>
      <c r="AB42" s="176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</row>
    <row r="43" ht="15.75" customHeight="1">
      <c r="A43" s="29"/>
      <c r="B43" s="54">
        <v>45735.0</v>
      </c>
      <c r="C43" s="13" t="s">
        <v>54</v>
      </c>
      <c r="D43" s="180" t="s">
        <v>151</v>
      </c>
      <c r="E43" s="107" t="s">
        <v>113</v>
      </c>
      <c r="F43" s="14">
        <v>3.0</v>
      </c>
      <c r="G43" s="136" t="s">
        <v>24</v>
      </c>
      <c r="H43" s="181">
        <v>2.0</v>
      </c>
      <c r="I43" s="107" t="s">
        <v>31</v>
      </c>
      <c r="J43" s="138"/>
      <c r="K43" s="17">
        <f t="shared" si="1"/>
        <v>3</v>
      </c>
      <c r="L43" s="18">
        <f t="shared" si="2"/>
        <v>0</v>
      </c>
      <c r="M43" s="3"/>
      <c r="N43" s="3"/>
      <c r="O43" s="3"/>
      <c r="P43" s="3"/>
      <c r="Q43" s="51"/>
      <c r="R43" s="51"/>
      <c r="S43" s="51"/>
      <c r="T43" s="51"/>
      <c r="U43" s="51"/>
      <c r="V43" s="51"/>
      <c r="AA43" s="175"/>
      <c r="AB43" s="176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</row>
    <row r="44" ht="15.75" customHeight="1">
      <c r="A44" s="37"/>
      <c r="B44" s="54">
        <v>45728.0</v>
      </c>
      <c r="C44" s="13" t="s">
        <v>55</v>
      </c>
      <c r="D44" s="180" t="s">
        <v>151</v>
      </c>
      <c r="E44" s="107" t="s">
        <v>64</v>
      </c>
      <c r="F44" s="14">
        <v>1.0</v>
      </c>
      <c r="G44" s="136" t="s">
        <v>24</v>
      </c>
      <c r="H44" s="181">
        <v>0.0</v>
      </c>
      <c r="I44" s="107" t="s">
        <v>37</v>
      </c>
      <c r="J44" s="138"/>
      <c r="K44" s="17">
        <f t="shared" si="1"/>
        <v>3</v>
      </c>
      <c r="L44" s="18">
        <f t="shared" si="2"/>
        <v>0</v>
      </c>
      <c r="M44" s="3"/>
      <c r="N44" s="3"/>
      <c r="O44" s="3"/>
      <c r="P44" s="3"/>
      <c r="Q44" s="51"/>
      <c r="R44" s="51"/>
      <c r="S44" s="51"/>
      <c r="T44" s="51"/>
      <c r="U44" s="51"/>
      <c r="V44" s="51"/>
      <c r="AA44" s="175"/>
      <c r="AB44" s="176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</row>
    <row r="45" ht="15.75" customHeight="1">
      <c r="A45" s="179">
        <v>8.0</v>
      </c>
      <c r="B45" s="54">
        <v>45735.0</v>
      </c>
      <c r="C45" s="13" t="s">
        <v>55</v>
      </c>
      <c r="D45" s="13" t="s">
        <v>151</v>
      </c>
      <c r="E45" s="107" t="s">
        <v>67</v>
      </c>
      <c r="F45" s="14">
        <v>2.0</v>
      </c>
      <c r="G45" s="136" t="s">
        <v>24</v>
      </c>
      <c r="H45" s="181">
        <v>3.0</v>
      </c>
      <c r="I45" s="107" t="s">
        <v>64</v>
      </c>
      <c r="J45" s="138"/>
      <c r="K45" s="17">
        <f t="shared" si="1"/>
        <v>0</v>
      </c>
      <c r="L45" s="18">
        <f t="shared" si="2"/>
        <v>3</v>
      </c>
      <c r="M45" s="3"/>
      <c r="N45" s="3"/>
      <c r="O45" s="3"/>
      <c r="P45" s="3"/>
      <c r="Q45" s="51"/>
      <c r="R45" s="51"/>
      <c r="S45" s="51"/>
      <c r="T45" s="51"/>
      <c r="U45" s="51"/>
      <c r="V45" s="51"/>
      <c r="AA45" s="175"/>
      <c r="AB45" s="176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</row>
    <row r="46" ht="15.75" customHeight="1">
      <c r="A46" s="29"/>
      <c r="B46" s="54">
        <v>45735.0</v>
      </c>
      <c r="C46" s="13" t="s">
        <v>56</v>
      </c>
      <c r="D46" s="13" t="s">
        <v>151</v>
      </c>
      <c r="E46" s="107" t="s">
        <v>62</v>
      </c>
      <c r="F46" s="14">
        <v>4.0</v>
      </c>
      <c r="G46" s="136" t="s">
        <v>24</v>
      </c>
      <c r="H46" s="181">
        <v>2.0</v>
      </c>
      <c r="I46" s="107" t="s">
        <v>38</v>
      </c>
      <c r="J46" s="138"/>
      <c r="K46" s="17">
        <f t="shared" si="1"/>
        <v>3</v>
      </c>
      <c r="L46" s="18">
        <f t="shared" si="2"/>
        <v>0</v>
      </c>
      <c r="M46" s="3"/>
      <c r="N46" s="3"/>
      <c r="O46" s="3"/>
      <c r="P46" s="3"/>
      <c r="Q46" s="51"/>
      <c r="R46" s="51"/>
      <c r="S46" s="51"/>
      <c r="T46" s="51"/>
      <c r="U46" s="51"/>
      <c r="V46" s="51"/>
      <c r="AA46" s="175"/>
      <c r="AB46" s="176"/>
      <c r="AC46" s="175"/>
      <c r="AD46" s="175"/>
      <c r="AE46" s="175"/>
      <c r="AF46" s="175"/>
      <c r="AG46" s="175"/>
      <c r="AH46" s="175"/>
      <c r="AI46" s="175"/>
      <c r="AJ46" s="175"/>
      <c r="AK46" s="175"/>
      <c r="AL46" s="175"/>
      <c r="AM46" s="175"/>
      <c r="AN46" s="175"/>
      <c r="AO46" s="175"/>
      <c r="AP46" s="175"/>
      <c r="AQ46" s="175"/>
      <c r="AR46" s="175"/>
      <c r="AS46" s="175"/>
      <c r="AT46" s="175"/>
    </row>
    <row r="47" ht="15.75" customHeight="1">
      <c r="A47" s="29"/>
      <c r="B47" s="54">
        <v>45747.0</v>
      </c>
      <c r="C47" s="13" t="s">
        <v>58</v>
      </c>
      <c r="D47" s="13" t="s">
        <v>151</v>
      </c>
      <c r="E47" s="107" t="s">
        <v>25</v>
      </c>
      <c r="F47" s="14">
        <v>2.0</v>
      </c>
      <c r="G47" s="136" t="s">
        <v>24</v>
      </c>
      <c r="H47" s="181">
        <v>3.0</v>
      </c>
      <c r="I47" s="107" t="s">
        <v>34</v>
      </c>
      <c r="J47" s="138"/>
      <c r="K47" s="17">
        <f t="shared" si="1"/>
        <v>0</v>
      </c>
      <c r="L47" s="18">
        <f t="shared" si="2"/>
        <v>3</v>
      </c>
      <c r="M47" s="3"/>
      <c r="N47" s="3"/>
      <c r="O47" s="3"/>
      <c r="P47" s="3"/>
      <c r="Q47" s="51"/>
      <c r="R47" s="51"/>
      <c r="S47" s="51"/>
      <c r="T47" s="51"/>
      <c r="U47" s="51"/>
      <c r="V47" s="51"/>
      <c r="AA47" s="175"/>
      <c r="AB47" s="176"/>
      <c r="AC47" s="175"/>
      <c r="AD47" s="175"/>
      <c r="AE47" s="175"/>
      <c r="AF47" s="175"/>
      <c r="AG47" s="175"/>
      <c r="AH47" s="175"/>
      <c r="AI47" s="175"/>
      <c r="AJ47" s="175"/>
      <c r="AK47" s="175"/>
      <c r="AL47" s="175"/>
      <c r="AM47" s="175"/>
      <c r="AN47" s="175"/>
      <c r="AO47" s="175"/>
      <c r="AP47" s="175"/>
      <c r="AQ47" s="175"/>
      <c r="AR47" s="175"/>
      <c r="AS47" s="175"/>
      <c r="AT47" s="175"/>
    </row>
    <row r="48" ht="15.75" customHeight="1">
      <c r="A48" s="29"/>
      <c r="B48" s="54">
        <v>45741.0</v>
      </c>
      <c r="C48" s="13" t="s">
        <v>58</v>
      </c>
      <c r="D48" s="13" t="s">
        <v>151</v>
      </c>
      <c r="E48" s="107" t="s">
        <v>152</v>
      </c>
      <c r="F48" s="14">
        <v>0.0</v>
      </c>
      <c r="G48" s="136" t="s">
        <v>24</v>
      </c>
      <c r="H48" s="181">
        <v>4.0</v>
      </c>
      <c r="I48" s="107" t="s">
        <v>32</v>
      </c>
      <c r="J48" s="177"/>
      <c r="K48" s="17">
        <f t="shared" si="1"/>
        <v>0</v>
      </c>
      <c r="L48" s="18">
        <f t="shared" si="2"/>
        <v>3</v>
      </c>
      <c r="Q48" s="4"/>
      <c r="R48" s="4"/>
      <c r="S48" s="4"/>
      <c r="T48" s="4"/>
      <c r="U48" s="4"/>
      <c r="V48" s="4"/>
      <c r="AA48" s="175"/>
      <c r="AB48" s="176"/>
      <c r="AC48" s="175"/>
      <c r="AD48" s="175"/>
      <c r="AE48" s="175"/>
      <c r="AF48" s="175"/>
      <c r="AG48" s="175"/>
      <c r="AH48" s="175"/>
      <c r="AI48" s="175"/>
      <c r="AJ48" s="175"/>
      <c r="AK48" s="175"/>
      <c r="AL48" s="175"/>
      <c r="AM48" s="175"/>
      <c r="AN48" s="175"/>
      <c r="AO48" s="175"/>
      <c r="AP48" s="175"/>
      <c r="AQ48" s="175"/>
      <c r="AR48" s="175"/>
      <c r="AS48" s="175"/>
      <c r="AT48" s="175"/>
    </row>
    <row r="49" ht="15.75" customHeight="1">
      <c r="A49" s="29"/>
      <c r="B49" s="54">
        <v>45741.0</v>
      </c>
      <c r="C49" s="13" t="s">
        <v>58</v>
      </c>
      <c r="D49" s="13" t="s">
        <v>151</v>
      </c>
      <c r="E49" s="107" t="s">
        <v>31</v>
      </c>
      <c r="F49" s="14">
        <v>2.0</v>
      </c>
      <c r="G49" s="136" t="s">
        <v>24</v>
      </c>
      <c r="H49" s="181">
        <v>3.0</v>
      </c>
      <c r="I49" s="107" t="s">
        <v>39</v>
      </c>
      <c r="J49" s="177"/>
      <c r="K49" s="17">
        <f t="shared" si="1"/>
        <v>0</v>
      </c>
      <c r="L49" s="18">
        <f t="shared" si="2"/>
        <v>3</v>
      </c>
      <c r="Q49" s="4"/>
      <c r="R49" s="4"/>
      <c r="S49" s="4"/>
      <c r="T49" s="4"/>
      <c r="U49" s="4"/>
      <c r="V49" s="4"/>
      <c r="AA49" s="175"/>
      <c r="AB49" s="176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</row>
    <row r="50" ht="15.75" customHeight="1">
      <c r="A50" s="37"/>
      <c r="B50" s="54">
        <v>45747.0</v>
      </c>
      <c r="C50" s="13" t="s">
        <v>77</v>
      </c>
      <c r="D50" s="13" t="s">
        <v>151</v>
      </c>
      <c r="E50" s="107" t="s">
        <v>37</v>
      </c>
      <c r="F50" s="14">
        <v>2.0</v>
      </c>
      <c r="G50" s="136" t="s">
        <v>24</v>
      </c>
      <c r="H50" s="181">
        <v>4.0</v>
      </c>
      <c r="I50" s="107" t="s">
        <v>113</v>
      </c>
      <c r="J50" s="177"/>
      <c r="K50" s="17">
        <f t="shared" si="1"/>
        <v>0</v>
      </c>
      <c r="L50" s="18">
        <f t="shared" si="2"/>
        <v>3</v>
      </c>
      <c r="Q50" s="4"/>
      <c r="R50" s="4"/>
      <c r="S50" s="4"/>
      <c r="T50" s="4"/>
      <c r="U50" s="4"/>
      <c r="V50" s="4"/>
      <c r="AA50" s="175"/>
      <c r="AB50" s="176"/>
      <c r="AC50" s="175"/>
      <c r="AD50" s="175"/>
      <c r="AE50" s="175"/>
      <c r="AF50" s="175"/>
      <c r="AG50" s="175"/>
      <c r="AH50" s="175"/>
      <c r="AI50" s="175"/>
      <c r="AJ50" s="175"/>
      <c r="AK50" s="175"/>
      <c r="AL50" s="175"/>
      <c r="AM50" s="175"/>
      <c r="AN50" s="175"/>
      <c r="AO50" s="175"/>
      <c r="AP50" s="175"/>
      <c r="AQ50" s="175"/>
      <c r="AR50" s="175"/>
      <c r="AS50" s="175"/>
      <c r="AT50" s="175"/>
    </row>
    <row r="51" ht="15.75" customHeight="1">
      <c r="A51" s="179">
        <v>9.0</v>
      </c>
      <c r="B51" s="54">
        <v>45754.0</v>
      </c>
      <c r="C51" s="49" t="s">
        <v>77</v>
      </c>
      <c r="D51" s="180" t="s">
        <v>151</v>
      </c>
      <c r="E51" s="107" t="s">
        <v>67</v>
      </c>
      <c r="F51" s="14">
        <v>7.0</v>
      </c>
      <c r="G51" s="136" t="s">
        <v>24</v>
      </c>
      <c r="H51" s="181">
        <v>1.0</v>
      </c>
      <c r="I51" s="107" t="s">
        <v>62</v>
      </c>
      <c r="J51" s="177"/>
      <c r="K51" s="17">
        <f t="shared" si="1"/>
        <v>3</v>
      </c>
      <c r="L51" s="18">
        <f t="shared" si="2"/>
        <v>0</v>
      </c>
      <c r="Q51" s="4"/>
      <c r="R51" s="4"/>
      <c r="S51" s="4"/>
      <c r="T51" s="4"/>
      <c r="U51" s="4"/>
      <c r="V51" s="4"/>
      <c r="AA51" s="175"/>
      <c r="AB51" s="176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</row>
    <row r="52" ht="15.75" customHeight="1">
      <c r="A52" s="29"/>
      <c r="B52" s="54">
        <v>45750.0</v>
      </c>
      <c r="C52" s="49" t="s">
        <v>77</v>
      </c>
      <c r="D52" s="180" t="s">
        <v>151</v>
      </c>
      <c r="E52" s="107" t="s">
        <v>38</v>
      </c>
      <c r="F52" s="14">
        <v>0.0</v>
      </c>
      <c r="G52" s="136" t="s">
        <v>24</v>
      </c>
      <c r="H52" s="181">
        <v>7.0</v>
      </c>
      <c r="I52" s="107" t="s">
        <v>25</v>
      </c>
      <c r="J52" s="177"/>
      <c r="K52" s="17">
        <f t="shared" si="1"/>
        <v>0</v>
      </c>
      <c r="L52" s="18">
        <f t="shared" si="2"/>
        <v>3</v>
      </c>
      <c r="Q52" s="4"/>
      <c r="R52" s="4"/>
      <c r="S52" s="4"/>
      <c r="T52" s="4"/>
      <c r="U52" s="4"/>
      <c r="V52" s="4"/>
      <c r="AA52" s="175"/>
      <c r="AB52" s="176"/>
      <c r="AC52" s="175"/>
      <c r="AD52" s="175"/>
      <c r="AE52" s="175"/>
      <c r="AF52" s="175"/>
      <c r="AG52" s="175"/>
      <c r="AH52" s="175"/>
      <c r="AI52" s="175"/>
      <c r="AJ52" s="175"/>
      <c r="AK52" s="175"/>
      <c r="AL52" s="175"/>
      <c r="AM52" s="175"/>
      <c r="AN52" s="175"/>
      <c r="AO52" s="175"/>
      <c r="AP52" s="175"/>
      <c r="AQ52" s="175"/>
      <c r="AR52" s="175"/>
      <c r="AS52" s="175"/>
      <c r="AT52" s="175"/>
    </row>
    <row r="53" ht="15.75" customHeight="1">
      <c r="A53" s="29"/>
      <c r="B53" s="54">
        <v>45750.0</v>
      </c>
      <c r="C53" s="13" t="s">
        <v>58</v>
      </c>
      <c r="D53" s="180" t="s">
        <v>151</v>
      </c>
      <c r="E53" s="107" t="s">
        <v>34</v>
      </c>
      <c r="F53" s="14">
        <v>6.0</v>
      </c>
      <c r="G53" s="136" t="s">
        <v>24</v>
      </c>
      <c r="H53" s="181">
        <v>1.0</v>
      </c>
      <c r="I53" s="107" t="s">
        <v>152</v>
      </c>
      <c r="J53" s="177"/>
      <c r="K53" s="17">
        <f t="shared" si="1"/>
        <v>3</v>
      </c>
      <c r="L53" s="18">
        <f t="shared" si="2"/>
        <v>0</v>
      </c>
      <c r="Q53" s="4"/>
      <c r="R53" s="4"/>
      <c r="S53" s="4"/>
      <c r="T53" s="4"/>
      <c r="U53" s="4"/>
      <c r="V53" s="4"/>
      <c r="AA53" s="175"/>
      <c r="AB53" s="176"/>
      <c r="AC53" s="175"/>
      <c r="AD53" s="175"/>
      <c r="AE53" s="175"/>
      <c r="AF53" s="175"/>
      <c r="AG53" s="175"/>
      <c r="AH53" s="175"/>
      <c r="AI53" s="175"/>
      <c r="AJ53" s="175"/>
      <c r="AK53" s="175"/>
      <c r="AL53" s="175"/>
      <c r="AM53" s="175"/>
      <c r="AN53" s="175"/>
      <c r="AO53" s="175"/>
      <c r="AP53" s="175"/>
      <c r="AQ53" s="175"/>
      <c r="AR53" s="175"/>
      <c r="AS53" s="175"/>
      <c r="AT53" s="175"/>
    </row>
    <row r="54">
      <c r="A54" s="29"/>
      <c r="B54" s="54">
        <v>45755.0</v>
      </c>
      <c r="C54" s="13" t="s">
        <v>58</v>
      </c>
      <c r="D54" s="180" t="s">
        <v>151</v>
      </c>
      <c r="E54" s="107" t="s">
        <v>32</v>
      </c>
      <c r="F54" s="14">
        <v>1.0</v>
      </c>
      <c r="G54" s="136" t="s">
        <v>24</v>
      </c>
      <c r="H54" s="181">
        <v>3.0</v>
      </c>
      <c r="I54" s="107" t="s">
        <v>31</v>
      </c>
      <c r="K54" s="17">
        <f t="shared" si="1"/>
        <v>0</v>
      </c>
      <c r="L54" s="18">
        <f t="shared" si="2"/>
        <v>3</v>
      </c>
    </row>
    <row r="55">
      <c r="A55" s="29"/>
      <c r="B55" s="54">
        <v>45750.0</v>
      </c>
      <c r="C55" s="13" t="s">
        <v>59</v>
      </c>
      <c r="D55" s="180" t="s">
        <v>151</v>
      </c>
      <c r="E55" s="107" t="s">
        <v>39</v>
      </c>
      <c r="F55" s="14">
        <v>3.0</v>
      </c>
      <c r="G55" s="136" t="s">
        <v>24</v>
      </c>
      <c r="H55" s="181">
        <v>3.0</v>
      </c>
      <c r="I55" s="107" t="s">
        <v>37</v>
      </c>
      <c r="K55" s="17">
        <f t="shared" si="1"/>
        <v>1</v>
      </c>
      <c r="L55" s="18">
        <f t="shared" si="2"/>
        <v>1</v>
      </c>
    </row>
    <row r="56">
      <c r="A56" s="37"/>
      <c r="B56" s="54">
        <v>45755.0</v>
      </c>
      <c r="C56" s="49" t="s">
        <v>77</v>
      </c>
      <c r="D56" s="180" t="s">
        <v>151</v>
      </c>
      <c r="E56" s="107" t="s">
        <v>64</v>
      </c>
      <c r="F56" s="14">
        <v>0.0</v>
      </c>
      <c r="G56" s="136" t="s">
        <v>24</v>
      </c>
      <c r="H56" s="181">
        <v>1.0</v>
      </c>
      <c r="I56" s="107" t="s">
        <v>113</v>
      </c>
      <c r="K56" s="17">
        <f t="shared" si="1"/>
        <v>0</v>
      </c>
      <c r="L56" s="18">
        <f t="shared" si="2"/>
        <v>3</v>
      </c>
    </row>
    <row r="57">
      <c r="A57" s="179">
        <v>10.0</v>
      </c>
      <c r="B57" s="54">
        <v>45761.0</v>
      </c>
      <c r="C57" s="13" t="s">
        <v>77</v>
      </c>
      <c r="D57" s="180" t="s">
        <v>151</v>
      </c>
      <c r="E57" s="107" t="s">
        <v>64</v>
      </c>
      <c r="F57" s="13">
        <v>9.0</v>
      </c>
      <c r="G57" s="136" t="s">
        <v>24</v>
      </c>
      <c r="H57" s="181">
        <v>0.0</v>
      </c>
      <c r="I57" s="107" t="s">
        <v>62</v>
      </c>
      <c r="K57" s="17">
        <f t="shared" si="1"/>
        <v>3</v>
      </c>
      <c r="L57" s="18">
        <f t="shared" si="2"/>
        <v>0</v>
      </c>
    </row>
    <row r="58">
      <c r="A58" s="29"/>
      <c r="B58" s="54">
        <v>45761.0</v>
      </c>
      <c r="C58" s="13" t="s">
        <v>58</v>
      </c>
      <c r="D58" s="180" t="s">
        <v>151</v>
      </c>
      <c r="E58" s="107" t="s">
        <v>25</v>
      </c>
      <c r="F58" s="49">
        <v>7.0</v>
      </c>
      <c r="G58" s="136" t="s">
        <v>24</v>
      </c>
      <c r="H58" s="181">
        <v>2.0</v>
      </c>
      <c r="I58" s="107" t="s">
        <v>67</v>
      </c>
      <c r="K58" s="17">
        <f t="shared" si="1"/>
        <v>3</v>
      </c>
      <c r="L58" s="18">
        <f t="shared" si="2"/>
        <v>0</v>
      </c>
    </row>
    <row r="59">
      <c r="A59" s="29"/>
      <c r="B59" s="54">
        <v>45762.0</v>
      </c>
      <c r="C59" s="13" t="s">
        <v>77</v>
      </c>
      <c r="D59" s="180" t="s">
        <v>151</v>
      </c>
      <c r="E59" s="107" t="s">
        <v>152</v>
      </c>
      <c r="F59" s="13">
        <v>4.0</v>
      </c>
      <c r="G59" s="136" t="s">
        <v>24</v>
      </c>
      <c r="H59" s="181">
        <v>4.0</v>
      </c>
      <c r="I59" s="107" t="s">
        <v>38</v>
      </c>
      <c r="K59" s="17">
        <f t="shared" si="1"/>
        <v>1</v>
      </c>
      <c r="L59" s="18">
        <f t="shared" si="2"/>
        <v>1</v>
      </c>
    </row>
    <row r="60">
      <c r="A60" s="29"/>
      <c r="B60" s="54">
        <v>45792.0</v>
      </c>
      <c r="C60" s="13" t="s">
        <v>58</v>
      </c>
      <c r="D60" s="180" t="s">
        <v>151</v>
      </c>
      <c r="E60" s="107" t="s">
        <v>31</v>
      </c>
      <c r="F60" s="13">
        <v>2.0</v>
      </c>
      <c r="G60" s="136" t="s">
        <v>24</v>
      </c>
      <c r="H60" s="181">
        <v>2.0</v>
      </c>
      <c r="I60" s="107" t="s">
        <v>34</v>
      </c>
      <c r="K60" s="17">
        <f t="shared" si="1"/>
        <v>1</v>
      </c>
      <c r="L60" s="18">
        <f t="shared" si="2"/>
        <v>1</v>
      </c>
    </row>
    <row r="61">
      <c r="A61" s="29"/>
      <c r="B61" s="54">
        <v>45762.0</v>
      </c>
      <c r="C61" s="13" t="s">
        <v>58</v>
      </c>
      <c r="D61" s="180" t="s">
        <v>151</v>
      </c>
      <c r="E61" s="107" t="s">
        <v>37</v>
      </c>
      <c r="F61" s="13">
        <v>9.0</v>
      </c>
      <c r="G61" s="136" t="s">
        <v>24</v>
      </c>
      <c r="H61" s="181">
        <v>5.0</v>
      </c>
      <c r="I61" s="107" t="s">
        <v>32</v>
      </c>
      <c r="K61" s="17">
        <f t="shared" si="1"/>
        <v>3</v>
      </c>
      <c r="L61" s="18">
        <f t="shared" si="2"/>
        <v>0</v>
      </c>
    </row>
    <row r="62">
      <c r="A62" s="37"/>
      <c r="B62" s="54">
        <v>45762.0</v>
      </c>
      <c r="C62" s="13" t="s">
        <v>59</v>
      </c>
      <c r="D62" s="180" t="s">
        <v>151</v>
      </c>
      <c r="E62" s="107" t="s">
        <v>113</v>
      </c>
      <c r="F62" s="13">
        <v>4.0</v>
      </c>
      <c r="G62" s="136" t="s">
        <v>24</v>
      </c>
      <c r="H62" s="181">
        <v>0.0</v>
      </c>
      <c r="I62" s="107" t="s">
        <v>39</v>
      </c>
      <c r="K62" s="17">
        <f t="shared" si="1"/>
        <v>3</v>
      </c>
      <c r="L62" s="18">
        <f t="shared" si="2"/>
        <v>0</v>
      </c>
    </row>
    <row r="63">
      <c r="A63" s="179">
        <v>11.0</v>
      </c>
      <c r="B63" s="54">
        <v>45792.0</v>
      </c>
      <c r="C63" s="13" t="s">
        <v>77</v>
      </c>
      <c r="D63" s="13" t="s">
        <v>151</v>
      </c>
      <c r="E63" s="107" t="s">
        <v>62</v>
      </c>
      <c r="F63" s="14">
        <v>0.0</v>
      </c>
      <c r="G63" s="136" t="s">
        <v>24</v>
      </c>
      <c r="H63" s="181">
        <v>5.0</v>
      </c>
      <c r="I63" s="107" t="s">
        <v>25</v>
      </c>
      <c r="K63" s="17">
        <f t="shared" si="1"/>
        <v>0</v>
      </c>
      <c r="L63" s="18">
        <f t="shared" si="2"/>
        <v>3</v>
      </c>
    </row>
    <row r="64">
      <c r="A64" s="29"/>
      <c r="B64" s="68">
        <v>45796.0</v>
      </c>
      <c r="C64" s="13" t="s">
        <v>77</v>
      </c>
      <c r="D64" s="13" t="s">
        <v>151</v>
      </c>
      <c r="E64" s="107" t="s">
        <v>67</v>
      </c>
      <c r="F64" s="14">
        <v>1.0</v>
      </c>
      <c r="G64" s="136" t="s">
        <v>24</v>
      </c>
      <c r="H64" s="181">
        <v>3.0</v>
      </c>
      <c r="I64" s="107" t="s">
        <v>152</v>
      </c>
      <c r="K64" s="17">
        <f t="shared" si="1"/>
        <v>0</v>
      </c>
      <c r="L64" s="18">
        <f t="shared" si="2"/>
        <v>3</v>
      </c>
    </row>
    <row r="65">
      <c r="A65" s="29"/>
      <c r="B65" s="54">
        <v>45783.0</v>
      </c>
      <c r="C65" s="13" t="s">
        <v>58</v>
      </c>
      <c r="D65" s="13" t="s">
        <v>151</v>
      </c>
      <c r="E65" s="107" t="s">
        <v>38</v>
      </c>
      <c r="F65" s="14">
        <v>0.0</v>
      </c>
      <c r="G65" s="136" t="s">
        <v>24</v>
      </c>
      <c r="H65" s="181">
        <v>1.0</v>
      </c>
      <c r="I65" s="107" t="s">
        <v>31</v>
      </c>
      <c r="K65" s="17">
        <f t="shared" si="1"/>
        <v>0</v>
      </c>
      <c r="L65" s="18">
        <f t="shared" si="2"/>
        <v>3</v>
      </c>
    </row>
    <row r="66">
      <c r="A66" s="29"/>
      <c r="B66" s="54">
        <v>45783.0</v>
      </c>
      <c r="C66" s="13" t="s">
        <v>59</v>
      </c>
      <c r="D66" s="13" t="s">
        <v>151</v>
      </c>
      <c r="E66" s="107" t="s">
        <v>34</v>
      </c>
      <c r="F66" s="14">
        <v>4.0</v>
      </c>
      <c r="G66" s="136" t="s">
        <v>24</v>
      </c>
      <c r="H66" s="181">
        <v>1.0</v>
      </c>
      <c r="I66" s="107" t="s">
        <v>37</v>
      </c>
      <c r="K66" s="17">
        <f t="shared" si="1"/>
        <v>3</v>
      </c>
      <c r="L66" s="18">
        <f t="shared" si="2"/>
        <v>0</v>
      </c>
    </row>
    <row r="67">
      <c r="A67" s="29"/>
      <c r="B67" s="54">
        <v>45790.0</v>
      </c>
      <c r="C67" s="13" t="s">
        <v>58</v>
      </c>
      <c r="D67" s="13" t="s">
        <v>151</v>
      </c>
      <c r="E67" s="107" t="s">
        <v>32</v>
      </c>
      <c r="F67" s="14">
        <v>1.0</v>
      </c>
      <c r="G67" s="136" t="s">
        <v>24</v>
      </c>
      <c r="H67" s="181">
        <v>8.0</v>
      </c>
      <c r="I67" s="107" t="s">
        <v>113</v>
      </c>
      <c r="K67" s="17">
        <f t="shared" si="1"/>
        <v>0</v>
      </c>
      <c r="L67" s="18">
        <f t="shared" si="2"/>
        <v>3</v>
      </c>
    </row>
    <row r="68">
      <c r="A68" s="37"/>
      <c r="B68" s="54">
        <v>45790.0</v>
      </c>
      <c r="C68" s="13" t="s">
        <v>59</v>
      </c>
      <c r="D68" s="13" t="s">
        <v>151</v>
      </c>
      <c r="E68" s="107" t="s">
        <v>39</v>
      </c>
      <c r="F68" s="14">
        <v>1.0</v>
      </c>
      <c r="G68" s="136" t="s">
        <v>24</v>
      </c>
      <c r="H68" s="181">
        <v>2.0</v>
      </c>
      <c r="I68" s="107" t="s">
        <v>64</v>
      </c>
      <c r="K68" s="17">
        <f t="shared" si="1"/>
        <v>0</v>
      </c>
      <c r="L68" s="18">
        <f t="shared" si="2"/>
        <v>3</v>
      </c>
    </row>
    <row r="81" ht="15.75" customHeight="1">
      <c r="A81" s="189"/>
      <c r="B81" s="177"/>
      <c r="C81" s="177"/>
      <c r="D81" s="177"/>
      <c r="E81" s="176"/>
      <c r="F81" s="175"/>
      <c r="G81" s="175"/>
      <c r="H81" s="175"/>
      <c r="I81" s="176"/>
      <c r="J81" s="177"/>
      <c r="Q81" s="4"/>
      <c r="R81" s="4"/>
      <c r="S81" s="4"/>
      <c r="T81" s="4"/>
      <c r="U81" s="4"/>
      <c r="V81" s="4"/>
      <c r="AA81" s="175"/>
      <c r="AB81" s="176"/>
      <c r="AC81" s="175"/>
      <c r="AD81" s="175"/>
      <c r="AE81" s="175"/>
      <c r="AF81" s="175"/>
      <c r="AG81" s="175"/>
      <c r="AH81" s="175"/>
      <c r="AI81" s="175"/>
      <c r="AJ81" s="175"/>
      <c r="AK81" s="175"/>
      <c r="AL81" s="175"/>
      <c r="AM81" s="175"/>
      <c r="AN81" s="175"/>
      <c r="AO81" s="175"/>
      <c r="AP81" s="175"/>
      <c r="AQ81" s="175"/>
      <c r="AR81" s="175"/>
      <c r="AS81" s="175"/>
      <c r="AT81" s="175"/>
    </row>
    <row r="82" ht="15.75" customHeight="1">
      <c r="A82" s="174" t="s">
        <v>154</v>
      </c>
      <c r="H82" s="175"/>
      <c r="I82" s="176"/>
      <c r="J82" s="177"/>
      <c r="Q82" s="4"/>
      <c r="R82" s="4"/>
      <c r="S82" s="4"/>
      <c r="T82" s="4"/>
      <c r="U82" s="4"/>
      <c r="V82" s="4"/>
      <c r="AA82" s="175"/>
      <c r="AB82" s="176"/>
      <c r="AC82" s="175"/>
      <c r="AD82" s="175"/>
      <c r="AE82" s="175"/>
      <c r="AF82" s="175"/>
      <c r="AG82" s="175"/>
      <c r="AH82" s="175"/>
      <c r="AI82" s="175"/>
      <c r="AJ82" s="175"/>
      <c r="AK82" s="175"/>
      <c r="AL82" s="175"/>
      <c r="AM82" s="175"/>
      <c r="AN82" s="175"/>
      <c r="AO82" s="175"/>
      <c r="AP82" s="175"/>
      <c r="AQ82" s="175"/>
      <c r="AR82" s="175"/>
      <c r="AS82" s="175"/>
      <c r="AT82" s="175"/>
    </row>
    <row r="83" ht="15.75" customHeight="1">
      <c r="A83" s="73" t="s">
        <v>1</v>
      </c>
      <c r="B83" s="74" t="s">
        <v>2</v>
      </c>
      <c r="C83" s="74" t="s">
        <v>3</v>
      </c>
      <c r="D83" s="74" t="s">
        <v>4</v>
      </c>
      <c r="E83" s="130" t="s">
        <v>5</v>
      </c>
      <c r="F83" s="75" t="s">
        <v>6</v>
      </c>
      <c r="G83" s="7"/>
      <c r="H83" s="8"/>
      <c r="I83" s="130" t="s">
        <v>7</v>
      </c>
      <c r="J83" s="131" t="s">
        <v>8</v>
      </c>
      <c r="K83" s="9" t="s">
        <v>9</v>
      </c>
      <c r="L83" s="9" t="s">
        <v>10</v>
      </c>
      <c r="M83" s="190"/>
      <c r="N83" s="190" t="s">
        <v>11</v>
      </c>
      <c r="O83" s="190" t="s">
        <v>12</v>
      </c>
      <c r="P83" s="190" t="s">
        <v>13</v>
      </c>
      <c r="Q83" s="9" t="s">
        <v>14</v>
      </c>
      <c r="R83" s="9" t="s">
        <v>15</v>
      </c>
      <c r="S83" s="9" t="s">
        <v>16</v>
      </c>
      <c r="T83" s="9" t="s">
        <v>17</v>
      </c>
      <c r="U83" s="9" t="s">
        <v>18</v>
      </c>
      <c r="V83" s="9" t="s">
        <v>19</v>
      </c>
      <c r="W83" s="93" t="s">
        <v>20</v>
      </c>
      <c r="AA83" s="74" t="s">
        <v>11</v>
      </c>
      <c r="AB83" s="74" t="s">
        <v>12</v>
      </c>
      <c r="AC83" s="74" t="s">
        <v>13</v>
      </c>
      <c r="AD83" s="74" t="s">
        <v>14</v>
      </c>
      <c r="AE83" s="74" t="s">
        <v>15</v>
      </c>
      <c r="AF83" s="74" t="s">
        <v>16</v>
      </c>
      <c r="AG83" s="74" t="s">
        <v>17</v>
      </c>
      <c r="AH83" s="74" t="s">
        <v>18</v>
      </c>
      <c r="AI83" s="74" t="s">
        <v>19</v>
      </c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</row>
    <row r="84" ht="15.75" customHeight="1">
      <c r="A84" s="179">
        <v>1.0</v>
      </c>
      <c r="B84" s="113">
        <v>45587.0</v>
      </c>
      <c r="C84" s="49" t="s">
        <v>77</v>
      </c>
      <c r="D84" s="180" t="s">
        <v>151</v>
      </c>
      <c r="E84" s="14" t="s">
        <v>155</v>
      </c>
      <c r="F84" s="118">
        <v>2.0</v>
      </c>
      <c r="G84" s="136" t="s">
        <v>24</v>
      </c>
      <c r="H84" s="118">
        <v>1.0</v>
      </c>
      <c r="I84" s="14" t="s">
        <v>71</v>
      </c>
      <c r="J84" s="138"/>
      <c r="K84" s="17">
        <f t="shared" ref="K84:K128" si="10">IF(F84="","",IFS(F84&gt;H84,3,F84=H84,1,H84&gt;F84,0,F84="",0))</f>
        <v>3</v>
      </c>
      <c r="L84" s="18">
        <f t="shared" ref="L84:L128" si="11">IF(H84="","",IFS(F84&lt;H84,3,F84=H84,1,H84&lt;F84,0))</f>
        <v>0</v>
      </c>
      <c r="M84" s="3"/>
      <c r="N84" s="18">
        <v>1.0</v>
      </c>
      <c r="O84" s="191" t="s">
        <v>71</v>
      </c>
      <c r="P84" s="18">
        <f t="shared" ref="P84:P93" si="12">SUMIF(E$84:E$128,O84,K$84:K$128)+SUMIF(I$84:I$128,O84,L$84:L$128)</f>
        <v>10</v>
      </c>
      <c r="Q84" s="28">
        <f t="shared" ref="Q84:Q93" si="13">COUNTIFS(E$84:E$128,O84,K$84:K$128,3)+COUNTIFS(I$84:I$128,O84,L$84:L$128,3)</f>
        <v>3</v>
      </c>
      <c r="R84" s="28">
        <f t="shared" ref="R84:R93" si="14">COUNTIFS(E$84:E$128,O84,K$84:K$128,1)+COUNTIFS(I$84:I$128,O84,L$84:L$128,1)</f>
        <v>1</v>
      </c>
      <c r="S84" s="192">
        <f t="shared" ref="S84:S93" si="15">COUNTIFS(E$84:E$128,O84,K$84:K$128,0)+COUNTIFS(I$84:I$128,O84,L$84:L$128,0)</f>
        <v>5</v>
      </c>
      <c r="T84" s="28">
        <f t="shared" ref="T84:T93" si="16">SUMIF(E$84:E$128,O84,F$84:F$128)+SUMIF(I$84:I$128,O84,H$84:H$128)</f>
        <v>13</v>
      </c>
      <c r="U84" s="192">
        <f t="shared" ref="U84:U93" si="17">SUMIF(E$84:E$128,O84,H$84:H$128)+SUMIF(I$84:I$128,O84,F$84:F$128)</f>
        <v>19</v>
      </c>
      <c r="V84" s="28">
        <f t="shared" ref="V84:V93" si="18">T84-U84</f>
        <v>-6</v>
      </c>
      <c r="AA84" s="166" t="s">
        <v>29</v>
      </c>
      <c r="AB84" s="193" t="str">
        <f t="array" ref="AB84:AI93">SORT(O84:V93,2,FALSE,9,FALSE,8,FALSE())</f>
        <v>Eng. Mecânica B</v>
      </c>
      <c r="AC84" s="147">
        <v>23.0</v>
      </c>
      <c r="AD84" s="147">
        <v>7.0</v>
      </c>
      <c r="AE84" s="147">
        <v>2.0</v>
      </c>
      <c r="AF84" s="147">
        <v>0.0</v>
      </c>
      <c r="AG84" s="147">
        <v>28.0</v>
      </c>
      <c r="AH84" s="194">
        <v>11.0</v>
      </c>
      <c r="AI84" s="147">
        <v>17.0</v>
      </c>
      <c r="AJ84" s="148"/>
      <c r="AK84" s="148"/>
      <c r="AL84" s="148"/>
      <c r="AM84" s="148"/>
      <c r="AN84" s="148"/>
      <c r="AO84" s="148"/>
      <c r="AP84" s="148"/>
      <c r="AQ84" s="148"/>
      <c r="AR84" s="148"/>
      <c r="AS84" s="148"/>
      <c r="AT84" s="148"/>
    </row>
    <row r="85" ht="15.75" customHeight="1">
      <c r="A85" s="29"/>
      <c r="B85" s="113">
        <v>45587.0</v>
      </c>
      <c r="C85" s="49" t="s">
        <v>77</v>
      </c>
      <c r="D85" s="180" t="s">
        <v>151</v>
      </c>
      <c r="E85" s="14" t="s">
        <v>147</v>
      </c>
      <c r="F85" s="118">
        <v>3.0</v>
      </c>
      <c r="G85" s="136" t="s">
        <v>24</v>
      </c>
      <c r="H85" s="118">
        <v>3.0</v>
      </c>
      <c r="I85" s="14" t="s">
        <v>23</v>
      </c>
      <c r="J85" s="138"/>
      <c r="K85" s="17">
        <f t="shared" si="10"/>
        <v>1</v>
      </c>
      <c r="L85" s="18">
        <f t="shared" si="11"/>
        <v>1</v>
      </c>
      <c r="M85" s="3"/>
      <c r="N85" s="18">
        <v>2.0</v>
      </c>
      <c r="O85" s="191" t="s">
        <v>155</v>
      </c>
      <c r="P85" s="18">
        <f t="shared" si="12"/>
        <v>18</v>
      </c>
      <c r="Q85" s="28">
        <f t="shared" si="13"/>
        <v>6</v>
      </c>
      <c r="R85" s="28">
        <f t="shared" si="14"/>
        <v>0</v>
      </c>
      <c r="S85" s="192">
        <f t="shared" si="15"/>
        <v>3</v>
      </c>
      <c r="T85" s="28">
        <f t="shared" si="16"/>
        <v>18</v>
      </c>
      <c r="U85" s="192">
        <f t="shared" si="17"/>
        <v>19</v>
      </c>
      <c r="V85" s="28">
        <f t="shared" si="18"/>
        <v>-1</v>
      </c>
      <c r="AA85" s="166">
        <v>2.0</v>
      </c>
      <c r="AB85" s="146" t="s">
        <v>116</v>
      </c>
      <c r="AC85" s="147">
        <v>20.0</v>
      </c>
      <c r="AD85" s="147">
        <v>6.0</v>
      </c>
      <c r="AE85" s="147">
        <v>2.0</v>
      </c>
      <c r="AF85" s="147">
        <v>1.0</v>
      </c>
      <c r="AG85" s="147">
        <v>29.0</v>
      </c>
      <c r="AH85" s="194">
        <v>16.0</v>
      </c>
      <c r="AI85" s="147">
        <v>13.0</v>
      </c>
      <c r="AJ85" s="148"/>
      <c r="AK85" s="148"/>
      <c r="AL85" s="148"/>
      <c r="AM85" s="148"/>
      <c r="AN85" s="148"/>
      <c r="AO85" s="148"/>
      <c r="AP85" s="148"/>
      <c r="AQ85" s="148"/>
      <c r="AR85" s="148"/>
      <c r="AS85" s="148"/>
      <c r="AT85" s="148"/>
    </row>
    <row r="86" ht="15.75" customHeight="1">
      <c r="A86" s="29"/>
      <c r="B86" s="113">
        <v>45587.0</v>
      </c>
      <c r="C86" s="49" t="s">
        <v>58</v>
      </c>
      <c r="D86" s="180" t="s">
        <v>151</v>
      </c>
      <c r="E86" s="14" t="s">
        <v>94</v>
      </c>
      <c r="F86" s="118">
        <v>0.0</v>
      </c>
      <c r="G86" s="136" t="s">
        <v>24</v>
      </c>
      <c r="H86" s="118">
        <v>4.0</v>
      </c>
      <c r="I86" s="14" t="s">
        <v>144</v>
      </c>
      <c r="J86" s="138"/>
      <c r="K86" s="17">
        <f t="shared" si="10"/>
        <v>0</v>
      </c>
      <c r="L86" s="18">
        <f t="shared" si="11"/>
        <v>3</v>
      </c>
      <c r="M86" s="3"/>
      <c r="N86" s="18">
        <v>3.0</v>
      </c>
      <c r="O86" s="191" t="s">
        <v>147</v>
      </c>
      <c r="P86" s="18">
        <f t="shared" si="12"/>
        <v>8</v>
      </c>
      <c r="Q86" s="28">
        <f t="shared" si="13"/>
        <v>2</v>
      </c>
      <c r="R86" s="28">
        <f t="shared" si="14"/>
        <v>2</v>
      </c>
      <c r="S86" s="192">
        <f t="shared" si="15"/>
        <v>5</v>
      </c>
      <c r="T86" s="28">
        <f t="shared" si="16"/>
        <v>26</v>
      </c>
      <c r="U86" s="192">
        <f t="shared" si="17"/>
        <v>24</v>
      </c>
      <c r="V86" s="28">
        <f t="shared" si="18"/>
        <v>2</v>
      </c>
      <c r="AA86" s="145">
        <v>3.0</v>
      </c>
      <c r="AB86" s="146" t="s">
        <v>66</v>
      </c>
      <c r="AC86" s="147">
        <v>19.0</v>
      </c>
      <c r="AD86" s="147">
        <v>6.0</v>
      </c>
      <c r="AE86" s="147">
        <v>1.0</v>
      </c>
      <c r="AF86" s="147">
        <v>2.0</v>
      </c>
      <c r="AG86" s="147">
        <v>25.0</v>
      </c>
      <c r="AH86" s="194">
        <v>13.0</v>
      </c>
      <c r="AI86" s="147">
        <v>12.0</v>
      </c>
      <c r="AJ86" s="148"/>
      <c r="AK86" s="148"/>
      <c r="AL86" s="148"/>
      <c r="AM86" s="148"/>
      <c r="AN86" s="148"/>
      <c r="AO86" s="148"/>
      <c r="AP86" s="148"/>
      <c r="AQ86" s="148"/>
      <c r="AR86" s="148"/>
      <c r="AS86" s="148"/>
      <c r="AT86" s="148"/>
    </row>
    <row r="87" ht="15.75" customHeight="1">
      <c r="A87" s="29"/>
      <c r="B87" s="113">
        <v>45587.0</v>
      </c>
      <c r="C87" s="49" t="s">
        <v>58</v>
      </c>
      <c r="D87" s="180" t="s">
        <v>151</v>
      </c>
      <c r="E87" s="107" t="s">
        <v>68</v>
      </c>
      <c r="F87" s="118">
        <v>2.0</v>
      </c>
      <c r="G87" s="136" t="s">
        <v>24</v>
      </c>
      <c r="H87" s="118">
        <v>2.0</v>
      </c>
      <c r="I87" s="107" t="s">
        <v>116</v>
      </c>
      <c r="J87" s="138"/>
      <c r="K87" s="17">
        <f t="shared" si="10"/>
        <v>1</v>
      </c>
      <c r="L87" s="18">
        <f t="shared" si="11"/>
        <v>1</v>
      </c>
      <c r="M87" s="3"/>
      <c r="N87" s="18">
        <v>4.0</v>
      </c>
      <c r="O87" s="191" t="s">
        <v>94</v>
      </c>
      <c r="P87" s="18">
        <f t="shared" si="12"/>
        <v>0</v>
      </c>
      <c r="Q87" s="28">
        <f t="shared" si="13"/>
        <v>0</v>
      </c>
      <c r="R87" s="28">
        <f t="shared" si="14"/>
        <v>0</v>
      </c>
      <c r="S87" s="192">
        <f t="shared" si="15"/>
        <v>9</v>
      </c>
      <c r="T87" s="28">
        <f t="shared" si="16"/>
        <v>16</v>
      </c>
      <c r="U87" s="192">
        <f t="shared" si="17"/>
        <v>38</v>
      </c>
      <c r="V87" s="28">
        <f t="shared" si="18"/>
        <v>-22</v>
      </c>
      <c r="AA87" s="145">
        <v>4.0</v>
      </c>
      <c r="AB87" s="146" t="s">
        <v>155</v>
      </c>
      <c r="AC87" s="147">
        <v>18.0</v>
      </c>
      <c r="AD87" s="147">
        <v>6.0</v>
      </c>
      <c r="AE87" s="147">
        <v>0.0</v>
      </c>
      <c r="AF87" s="147">
        <v>3.0</v>
      </c>
      <c r="AG87" s="147">
        <v>18.0</v>
      </c>
      <c r="AH87" s="194">
        <v>19.0</v>
      </c>
      <c r="AI87" s="147">
        <v>-1.0</v>
      </c>
      <c r="AJ87" s="148"/>
      <c r="AK87" s="148"/>
      <c r="AL87" s="148"/>
      <c r="AM87" s="148"/>
      <c r="AN87" s="148"/>
      <c r="AO87" s="148"/>
      <c r="AP87" s="148"/>
      <c r="AQ87" s="148"/>
      <c r="AR87" s="148"/>
      <c r="AS87" s="148"/>
      <c r="AT87" s="148"/>
    </row>
    <row r="88" ht="15.75" customHeight="1">
      <c r="A88" s="37"/>
      <c r="B88" s="113">
        <v>45588.0</v>
      </c>
      <c r="C88" s="49" t="s">
        <v>78</v>
      </c>
      <c r="D88" s="180" t="s">
        <v>151</v>
      </c>
      <c r="E88" s="14" t="s">
        <v>72</v>
      </c>
      <c r="F88" s="118">
        <v>0.0</v>
      </c>
      <c r="G88" s="136" t="s">
        <v>24</v>
      </c>
      <c r="H88" s="118">
        <v>1.0</v>
      </c>
      <c r="I88" s="14" t="s">
        <v>66</v>
      </c>
      <c r="J88" s="138"/>
      <c r="K88" s="17">
        <f t="shared" si="10"/>
        <v>0</v>
      </c>
      <c r="L88" s="18">
        <f t="shared" si="11"/>
        <v>3</v>
      </c>
      <c r="M88" s="3"/>
      <c r="N88" s="18">
        <v>5.0</v>
      </c>
      <c r="O88" s="191" t="s">
        <v>68</v>
      </c>
      <c r="P88" s="18">
        <f t="shared" si="12"/>
        <v>8</v>
      </c>
      <c r="Q88" s="28">
        <f t="shared" si="13"/>
        <v>2</v>
      </c>
      <c r="R88" s="28">
        <f t="shared" si="14"/>
        <v>2</v>
      </c>
      <c r="S88" s="192">
        <f t="shared" si="15"/>
        <v>4</v>
      </c>
      <c r="T88" s="28">
        <f t="shared" si="16"/>
        <v>24</v>
      </c>
      <c r="U88" s="192">
        <f t="shared" si="17"/>
        <v>32</v>
      </c>
      <c r="V88" s="28">
        <f t="shared" si="18"/>
        <v>-8</v>
      </c>
      <c r="AA88" s="145">
        <v>5.0</v>
      </c>
      <c r="AB88" s="146" t="s">
        <v>72</v>
      </c>
      <c r="AC88" s="147">
        <v>13.0</v>
      </c>
      <c r="AD88" s="147">
        <v>4.0</v>
      </c>
      <c r="AE88" s="147">
        <v>1.0</v>
      </c>
      <c r="AF88" s="147">
        <v>3.0</v>
      </c>
      <c r="AG88" s="147">
        <v>12.0</v>
      </c>
      <c r="AH88" s="194">
        <v>9.0</v>
      </c>
      <c r="AI88" s="147">
        <v>3.0</v>
      </c>
      <c r="AJ88" s="148"/>
      <c r="AK88" s="148"/>
      <c r="AL88" s="148"/>
      <c r="AM88" s="148"/>
      <c r="AN88" s="148"/>
      <c r="AO88" s="148"/>
      <c r="AP88" s="148"/>
      <c r="AQ88" s="148"/>
      <c r="AR88" s="148"/>
      <c r="AS88" s="148"/>
      <c r="AT88" s="148"/>
    </row>
    <row r="89" ht="15.75" customHeight="1">
      <c r="A89" s="179">
        <v>2.0</v>
      </c>
      <c r="B89" s="113">
        <v>45609.0</v>
      </c>
      <c r="C89" s="49" t="s">
        <v>79</v>
      </c>
      <c r="D89" s="180" t="s">
        <v>151</v>
      </c>
      <c r="E89" s="107" t="s">
        <v>71</v>
      </c>
      <c r="F89" s="187">
        <v>3.0</v>
      </c>
      <c r="G89" s="136" t="s">
        <v>24</v>
      </c>
      <c r="H89" s="118">
        <v>1.0</v>
      </c>
      <c r="I89" s="107" t="s">
        <v>147</v>
      </c>
      <c r="J89" s="138"/>
      <c r="K89" s="17">
        <f t="shared" si="10"/>
        <v>3</v>
      </c>
      <c r="L89" s="18">
        <f t="shared" si="11"/>
        <v>0</v>
      </c>
      <c r="M89" s="3"/>
      <c r="N89" s="18">
        <v>6.0</v>
      </c>
      <c r="O89" s="191" t="s">
        <v>72</v>
      </c>
      <c r="P89" s="18">
        <f t="shared" si="12"/>
        <v>13</v>
      </c>
      <c r="Q89" s="28">
        <f t="shared" si="13"/>
        <v>4</v>
      </c>
      <c r="R89" s="28">
        <f t="shared" si="14"/>
        <v>1</v>
      </c>
      <c r="S89" s="192">
        <f t="shared" si="15"/>
        <v>3</v>
      </c>
      <c r="T89" s="28">
        <f t="shared" si="16"/>
        <v>12</v>
      </c>
      <c r="U89" s="192">
        <f t="shared" si="17"/>
        <v>9</v>
      </c>
      <c r="V89" s="28">
        <f t="shared" si="18"/>
        <v>3</v>
      </c>
      <c r="AA89" s="145">
        <v>6.0</v>
      </c>
      <c r="AB89" s="146" t="s">
        <v>71</v>
      </c>
      <c r="AC89" s="147">
        <v>10.0</v>
      </c>
      <c r="AD89" s="147">
        <v>3.0</v>
      </c>
      <c r="AE89" s="147">
        <v>1.0</v>
      </c>
      <c r="AF89" s="147">
        <v>5.0</v>
      </c>
      <c r="AG89" s="147">
        <v>13.0</v>
      </c>
      <c r="AH89" s="194">
        <v>19.0</v>
      </c>
      <c r="AI89" s="147">
        <v>-6.0</v>
      </c>
      <c r="AJ89" s="148"/>
      <c r="AK89" s="148"/>
      <c r="AL89" s="148"/>
      <c r="AM89" s="148"/>
      <c r="AN89" s="148"/>
      <c r="AO89" s="148"/>
      <c r="AP89" s="148"/>
      <c r="AQ89" s="148"/>
      <c r="AR89" s="148"/>
      <c r="AS89" s="148"/>
      <c r="AT89" s="148"/>
    </row>
    <row r="90" ht="15.75" customHeight="1">
      <c r="A90" s="29"/>
      <c r="B90" s="113">
        <v>45609.0</v>
      </c>
      <c r="C90" s="49" t="s">
        <v>80</v>
      </c>
      <c r="D90" s="180" t="s">
        <v>151</v>
      </c>
      <c r="E90" s="14" t="s">
        <v>66</v>
      </c>
      <c r="F90" s="187">
        <v>0.0</v>
      </c>
      <c r="G90" s="136" t="s">
        <v>24</v>
      </c>
      <c r="H90" s="118">
        <v>1.0</v>
      </c>
      <c r="I90" s="14" t="s">
        <v>155</v>
      </c>
      <c r="J90" s="138"/>
      <c r="K90" s="17">
        <f t="shared" si="10"/>
        <v>0</v>
      </c>
      <c r="L90" s="18">
        <f t="shared" si="11"/>
        <v>3</v>
      </c>
      <c r="M90" s="3"/>
      <c r="N90" s="18">
        <v>7.0</v>
      </c>
      <c r="O90" s="191" t="s">
        <v>116</v>
      </c>
      <c r="P90" s="18">
        <f t="shared" si="12"/>
        <v>20</v>
      </c>
      <c r="Q90" s="28">
        <f t="shared" si="13"/>
        <v>6</v>
      </c>
      <c r="R90" s="28">
        <f t="shared" si="14"/>
        <v>2</v>
      </c>
      <c r="S90" s="192">
        <f t="shared" si="15"/>
        <v>1</v>
      </c>
      <c r="T90" s="28">
        <f t="shared" si="16"/>
        <v>29</v>
      </c>
      <c r="U90" s="192">
        <f t="shared" si="17"/>
        <v>16</v>
      </c>
      <c r="V90" s="28">
        <f t="shared" si="18"/>
        <v>13</v>
      </c>
      <c r="AA90" s="145">
        <v>7.0</v>
      </c>
      <c r="AB90" s="146" t="s">
        <v>147</v>
      </c>
      <c r="AC90" s="147">
        <v>8.0</v>
      </c>
      <c r="AD90" s="147">
        <v>2.0</v>
      </c>
      <c r="AE90" s="147">
        <v>2.0</v>
      </c>
      <c r="AF90" s="147">
        <v>5.0</v>
      </c>
      <c r="AG90" s="147">
        <v>26.0</v>
      </c>
      <c r="AH90" s="194">
        <v>24.0</v>
      </c>
      <c r="AI90" s="147">
        <v>2.0</v>
      </c>
      <c r="AJ90" s="148"/>
      <c r="AK90" s="148"/>
      <c r="AL90" s="148"/>
      <c r="AM90" s="148"/>
      <c r="AN90" s="148"/>
      <c r="AO90" s="148"/>
      <c r="AP90" s="148"/>
      <c r="AQ90" s="148"/>
      <c r="AR90" s="148"/>
      <c r="AS90" s="148"/>
      <c r="AT90" s="148"/>
    </row>
    <row r="91" ht="15.75" customHeight="1">
      <c r="A91" s="29"/>
      <c r="B91" s="113">
        <v>45609.0</v>
      </c>
      <c r="C91" s="49" t="s">
        <v>80</v>
      </c>
      <c r="D91" s="180" t="s">
        <v>151</v>
      </c>
      <c r="E91" s="14" t="s">
        <v>23</v>
      </c>
      <c r="F91" s="187">
        <v>1.0</v>
      </c>
      <c r="G91" s="136" t="s">
        <v>24</v>
      </c>
      <c r="H91" s="118">
        <v>0.0</v>
      </c>
      <c r="I91" s="14" t="s">
        <v>94</v>
      </c>
      <c r="J91" s="138"/>
      <c r="K91" s="17">
        <f t="shared" si="10"/>
        <v>3</v>
      </c>
      <c r="L91" s="18">
        <f t="shared" si="11"/>
        <v>0</v>
      </c>
      <c r="M91" s="3"/>
      <c r="N91" s="18">
        <v>8.0</v>
      </c>
      <c r="O91" s="191" t="s">
        <v>144</v>
      </c>
      <c r="P91" s="18">
        <f t="shared" si="12"/>
        <v>23</v>
      </c>
      <c r="Q91" s="28">
        <f t="shared" si="13"/>
        <v>7</v>
      </c>
      <c r="R91" s="28">
        <f t="shared" si="14"/>
        <v>2</v>
      </c>
      <c r="S91" s="192">
        <f t="shared" si="15"/>
        <v>0</v>
      </c>
      <c r="T91" s="28">
        <f t="shared" si="16"/>
        <v>28</v>
      </c>
      <c r="U91" s="192">
        <f t="shared" si="17"/>
        <v>11</v>
      </c>
      <c r="V91" s="28">
        <f t="shared" si="18"/>
        <v>17</v>
      </c>
      <c r="AA91" s="145">
        <v>8.0</v>
      </c>
      <c r="AB91" s="146" t="s">
        <v>68</v>
      </c>
      <c r="AC91" s="147">
        <v>8.0</v>
      </c>
      <c r="AD91" s="147">
        <v>2.0</v>
      </c>
      <c r="AE91" s="147">
        <v>2.0</v>
      </c>
      <c r="AF91" s="147">
        <v>4.0</v>
      </c>
      <c r="AG91" s="147">
        <v>24.0</v>
      </c>
      <c r="AH91" s="194">
        <v>32.0</v>
      </c>
      <c r="AI91" s="147">
        <v>-8.0</v>
      </c>
      <c r="AJ91" s="148"/>
      <c r="AK91" s="148"/>
      <c r="AL91" s="148"/>
      <c r="AM91" s="148"/>
      <c r="AN91" s="148"/>
      <c r="AO91" s="148"/>
      <c r="AP91" s="148"/>
      <c r="AQ91" s="148"/>
      <c r="AR91" s="148"/>
      <c r="AS91" s="148"/>
      <c r="AT91" s="148"/>
    </row>
    <row r="92" ht="15.75" customHeight="1">
      <c r="A92" s="29"/>
      <c r="B92" s="113">
        <v>45609.0</v>
      </c>
      <c r="C92" s="49" t="s">
        <v>77</v>
      </c>
      <c r="D92" s="180" t="s">
        <v>151</v>
      </c>
      <c r="E92" s="14" t="s">
        <v>144</v>
      </c>
      <c r="F92" s="187">
        <v>5.0</v>
      </c>
      <c r="G92" s="136" t="s">
        <v>24</v>
      </c>
      <c r="H92" s="118">
        <v>2.0</v>
      </c>
      <c r="I92" s="14" t="s">
        <v>68</v>
      </c>
      <c r="J92" s="138"/>
      <c r="K92" s="17">
        <f t="shared" si="10"/>
        <v>3</v>
      </c>
      <c r="L92" s="18">
        <f t="shared" si="11"/>
        <v>0</v>
      </c>
      <c r="M92" s="3"/>
      <c r="N92" s="61">
        <v>9.0</v>
      </c>
      <c r="O92" s="191" t="s">
        <v>23</v>
      </c>
      <c r="P92" s="18">
        <f t="shared" si="12"/>
        <v>7</v>
      </c>
      <c r="Q92" s="28">
        <f t="shared" si="13"/>
        <v>2</v>
      </c>
      <c r="R92" s="28">
        <f t="shared" si="14"/>
        <v>1</v>
      </c>
      <c r="S92" s="192">
        <f t="shared" si="15"/>
        <v>6</v>
      </c>
      <c r="T92" s="28">
        <f t="shared" si="16"/>
        <v>14</v>
      </c>
      <c r="U92" s="192">
        <f t="shared" si="17"/>
        <v>24</v>
      </c>
      <c r="V92" s="28">
        <f t="shared" si="18"/>
        <v>-10</v>
      </c>
      <c r="AA92" s="151">
        <v>9.0</v>
      </c>
      <c r="AB92" s="34" t="s">
        <v>23</v>
      </c>
      <c r="AC92" s="147">
        <v>7.0</v>
      </c>
      <c r="AD92" s="147">
        <v>2.0</v>
      </c>
      <c r="AE92" s="147">
        <v>1.0</v>
      </c>
      <c r="AF92" s="147">
        <v>6.0</v>
      </c>
      <c r="AG92" s="147">
        <v>14.0</v>
      </c>
      <c r="AH92" s="147">
        <v>24.0</v>
      </c>
      <c r="AI92" s="147">
        <v>-10.0</v>
      </c>
      <c r="AJ92" s="148"/>
      <c r="AK92" s="148"/>
      <c r="AL92" s="148"/>
      <c r="AM92" s="148"/>
      <c r="AN92" s="148"/>
      <c r="AO92" s="148"/>
      <c r="AP92" s="148"/>
      <c r="AQ92" s="148"/>
      <c r="AR92" s="148"/>
      <c r="AS92" s="148"/>
      <c r="AT92" s="148"/>
    </row>
    <row r="93" ht="15.75" customHeight="1">
      <c r="A93" s="37"/>
      <c r="B93" s="113">
        <v>45609.0</v>
      </c>
      <c r="C93" s="49" t="s">
        <v>77</v>
      </c>
      <c r="D93" s="180" t="s">
        <v>151</v>
      </c>
      <c r="E93" s="14" t="s">
        <v>116</v>
      </c>
      <c r="F93" s="187">
        <v>4.0</v>
      </c>
      <c r="G93" s="136" t="s">
        <v>24</v>
      </c>
      <c r="H93" s="118">
        <v>1.0</v>
      </c>
      <c r="I93" s="14" t="s">
        <v>72</v>
      </c>
      <c r="J93" s="138"/>
      <c r="K93" s="17">
        <f t="shared" si="10"/>
        <v>3</v>
      </c>
      <c r="L93" s="18">
        <f t="shared" si="11"/>
        <v>0</v>
      </c>
      <c r="M93" s="3"/>
      <c r="N93" s="61">
        <v>10.0</v>
      </c>
      <c r="O93" s="191" t="s">
        <v>66</v>
      </c>
      <c r="P93" s="18">
        <f t="shared" si="12"/>
        <v>19</v>
      </c>
      <c r="Q93" s="28">
        <f t="shared" si="13"/>
        <v>6</v>
      </c>
      <c r="R93" s="28">
        <f t="shared" si="14"/>
        <v>1</v>
      </c>
      <c r="S93" s="192">
        <f t="shared" si="15"/>
        <v>2</v>
      </c>
      <c r="T93" s="28">
        <f t="shared" si="16"/>
        <v>25</v>
      </c>
      <c r="U93" s="192">
        <f t="shared" si="17"/>
        <v>13</v>
      </c>
      <c r="V93" s="28">
        <f t="shared" si="18"/>
        <v>12</v>
      </c>
      <c r="AA93" s="151">
        <v>10.0</v>
      </c>
      <c r="AB93" s="34" t="s">
        <v>94</v>
      </c>
      <c r="AC93" s="147">
        <v>0.0</v>
      </c>
      <c r="AD93" s="147">
        <v>0.0</v>
      </c>
      <c r="AE93" s="147">
        <v>0.0</v>
      </c>
      <c r="AF93" s="147">
        <v>9.0</v>
      </c>
      <c r="AG93" s="147">
        <v>16.0</v>
      </c>
      <c r="AH93" s="147">
        <v>38.0</v>
      </c>
      <c r="AI93" s="147">
        <v>-22.0</v>
      </c>
      <c r="AJ93" s="148"/>
      <c r="AK93" s="148"/>
      <c r="AL93" s="148"/>
      <c r="AM93" s="148"/>
      <c r="AN93" s="148"/>
      <c r="AO93" s="148"/>
      <c r="AP93" s="148"/>
      <c r="AQ93" s="148"/>
      <c r="AR93" s="148"/>
      <c r="AS93" s="148"/>
      <c r="AT93" s="148"/>
    </row>
    <row r="94" ht="15.75" customHeight="1">
      <c r="A94" s="179">
        <v>3.0</v>
      </c>
      <c r="B94" s="12">
        <v>45623.0</v>
      </c>
      <c r="C94" s="49" t="s">
        <v>76</v>
      </c>
      <c r="D94" s="180" t="s">
        <v>151</v>
      </c>
      <c r="E94" s="128" t="s">
        <v>94</v>
      </c>
      <c r="F94" s="118">
        <v>0.0</v>
      </c>
      <c r="G94" s="136" t="s">
        <v>24</v>
      </c>
      <c r="H94" s="118">
        <v>3.0</v>
      </c>
      <c r="I94" s="14" t="s">
        <v>71</v>
      </c>
      <c r="J94" s="138"/>
      <c r="K94" s="17">
        <f t="shared" si="10"/>
        <v>0</v>
      </c>
      <c r="L94" s="18">
        <f t="shared" si="11"/>
        <v>3</v>
      </c>
      <c r="M94" s="3"/>
      <c r="N94" s="3"/>
      <c r="O94" s="3"/>
      <c r="P94" s="3"/>
      <c r="Q94" s="51"/>
      <c r="R94" s="51"/>
      <c r="S94" s="51"/>
      <c r="T94" s="51"/>
      <c r="U94" s="51"/>
      <c r="V94" s="51"/>
      <c r="AA94" s="85" t="s">
        <v>156</v>
      </c>
      <c r="AF94" s="175"/>
      <c r="AG94" s="175"/>
      <c r="AH94" s="175"/>
      <c r="AI94" s="175"/>
      <c r="AJ94" s="175"/>
      <c r="AK94" s="175"/>
      <c r="AL94" s="175"/>
      <c r="AM94" s="175"/>
      <c r="AN94" s="175"/>
      <c r="AO94" s="175"/>
      <c r="AP94" s="175"/>
      <c r="AQ94" s="175"/>
      <c r="AR94" s="175"/>
      <c r="AS94" s="175"/>
      <c r="AT94" s="175"/>
    </row>
    <row r="95" ht="15.75" customHeight="1">
      <c r="A95" s="29"/>
      <c r="B95" s="12">
        <v>45623.0</v>
      </c>
      <c r="C95" s="49" t="s">
        <v>76</v>
      </c>
      <c r="D95" s="180" t="s">
        <v>151</v>
      </c>
      <c r="E95" s="107" t="s">
        <v>147</v>
      </c>
      <c r="F95" s="118">
        <v>1.0</v>
      </c>
      <c r="G95" s="136" t="s">
        <v>24</v>
      </c>
      <c r="H95" s="118">
        <v>2.0</v>
      </c>
      <c r="I95" s="107" t="s">
        <v>155</v>
      </c>
      <c r="J95" s="138"/>
      <c r="K95" s="17">
        <f t="shared" si="10"/>
        <v>0</v>
      </c>
      <c r="L95" s="18">
        <f t="shared" si="11"/>
        <v>3</v>
      </c>
      <c r="M95" s="3"/>
      <c r="N95" s="3"/>
      <c r="O95" s="3"/>
      <c r="P95" s="3"/>
      <c r="Q95" s="51"/>
      <c r="R95" s="51"/>
      <c r="S95" s="51"/>
      <c r="T95" s="51"/>
      <c r="U95" s="51"/>
      <c r="V95" s="51"/>
      <c r="AA95" s="48"/>
      <c r="AD95" s="175"/>
      <c r="AF95" s="175"/>
      <c r="AG95" s="175"/>
      <c r="AH95" s="175"/>
      <c r="AI95" s="175"/>
      <c r="AJ95" s="175"/>
      <c r="AK95" s="175"/>
      <c r="AL95" s="175"/>
      <c r="AM95" s="175"/>
      <c r="AN95" s="175"/>
      <c r="AO95" s="175"/>
      <c r="AP95" s="175"/>
      <c r="AQ95" s="175"/>
      <c r="AR95" s="175"/>
      <c r="AS95" s="175"/>
      <c r="AT95" s="175"/>
    </row>
    <row r="96" ht="15.75" customHeight="1">
      <c r="A96" s="29"/>
      <c r="B96" s="12">
        <v>45623.0</v>
      </c>
      <c r="C96" s="49" t="s">
        <v>77</v>
      </c>
      <c r="D96" s="180" t="s">
        <v>151</v>
      </c>
      <c r="E96" s="14" t="s">
        <v>68</v>
      </c>
      <c r="F96" s="118">
        <v>5.0</v>
      </c>
      <c r="G96" s="136" t="s">
        <v>24</v>
      </c>
      <c r="H96" s="118">
        <v>3.0</v>
      </c>
      <c r="I96" s="14" t="s">
        <v>23</v>
      </c>
      <c r="J96" s="138"/>
      <c r="K96" s="17">
        <f t="shared" si="10"/>
        <v>3</v>
      </c>
      <c r="L96" s="18">
        <f t="shared" si="11"/>
        <v>0</v>
      </c>
      <c r="M96" s="3"/>
      <c r="N96" s="3"/>
      <c r="O96" s="3"/>
      <c r="P96" s="3"/>
      <c r="Q96" s="51"/>
      <c r="R96" s="51"/>
      <c r="S96" s="51"/>
      <c r="T96" s="51"/>
      <c r="U96" s="51"/>
      <c r="V96" s="51"/>
      <c r="AF96" s="175"/>
      <c r="AG96" s="175"/>
      <c r="AH96" s="175"/>
      <c r="AI96" s="175"/>
      <c r="AJ96" s="175"/>
      <c r="AK96" s="175"/>
      <c r="AL96" s="175"/>
      <c r="AM96" s="175"/>
      <c r="AN96" s="175"/>
      <c r="AO96" s="175"/>
      <c r="AP96" s="175"/>
      <c r="AQ96" s="175"/>
      <c r="AR96" s="175"/>
      <c r="AS96" s="175"/>
      <c r="AT96" s="175"/>
    </row>
    <row r="97" ht="15.75" customHeight="1">
      <c r="A97" s="29"/>
      <c r="B97" s="12">
        <v>45623.0</v>
      </c>
      <c r="C97" s="49" t="s">
        <v>77</v>
      </c>
      <c r="D97" s="180" t="s">
        <v>151</v>
      </c>
      <c r="E97" s="14" t="s">
        <v>72</v>
      </c>
      <c r="F97" s="118">
        <v>2.0</v>
      </c>
      <c r="G97" s="136" t="s">
        <v>24</v>
      </c>
      <c r="H97" s="118">
        <v>2.0</v>
      </c>
      <c r="I97" s="14" t="s">
        <v>144</v>
      </c>
      <c r="J97" s="138"/>
      <c r="K97" s="17">
        <f t="shared" si="10"/>
        <v>1</v>
      </c>
      <c r="L97" s="18">
        <f t="shared" si="11"/>
        <v>1</v>
      </c>
      <c r="M97" s="3"/>
      <c r="N97" s="3"/>
      <c r="O97" s="3"/>
      <c r="P97" s="3"/>
      <c r="Q97" s="51"/>
      <c r="R97" s="51"/>
      <c r="S97" s="51"/>
      <c r="T97" s="51"/>
      <c r="U97" s="51"/>
      <c r="V97" s="51"/>
      <c r="AF97" s="175"/>
      <c r="AG97" s="175"/>
      <c r="AH97" s="175"/>
      <c r="AI97" s="175"/>
      <c r="AJ97" s="175"/>
      <c r="AK97" s="175"/>
      <c r="AL97" s="175"/>
      <c r="AM97" s="175"/>
      <c r="AN97" s="175"/>
      <c r="AO97" s="175"/>
      <c r="AP97" s="175"/>
      <c r="AQ97" s="175"/>
      <c r="AR97" s="175"/>
      <c r="AS97" s="175"/>
      <c r="AT97" s="175"/>
    </row>
    <row r="98" ht="15.75" customHeight="1">
      <c r="A98" s="37"/>
      <c r="B98" s="12">
        <v>45623.0</v>
      </c>
      <c r="C98" s="49" t="s">
        <v>58</v>
      </c>
      <c r="D98" s="180" t="s">
        <v>151</v>
      </c>
      <c r="E98" s="107" t="s">
        <v>66</v>
      </c>
      <c r="F98" s="118">
        <v>2.0</v>
      </c>
      <c r="G98" s="136" t="s">
        <v>24</v>
      </c>
      <c r="H98" s="118">
        <v>2.0</v>
      </c>
      <c r="I98" s="107" t="s">
        <v>116</v>
      </c>
      <c r="J98" s="138"/>
      <c r="K98" s="17">
        <f t="shared" si="10"/>
        <v>1</v>
      </c>
      <c r="L98" s="18">
        <f t="shared" si="11"/>
        <v>1</v>
      </c>
      <c r="M98" s="3"/>
      <c r="N98" s="3"/>
      <c r="O98" s="3"/>
      <c r="P98" s="3"/>
      <c r="Q98" s="51"/>
      <c r="R98" s="51"/>
      <c r="S98" s="51"/>
      <c r="T98" s="51"/>
      <c r="U98" s="51"/>
      <c r="V98" s="51"/>
      <c r="AF98" s="175"/>
      <c r="AG98" s="175"/>
      <c r="AH98" s="175"/>
      <c r="AI98" s="175"/>
      <c r="AJ98" s="175"/>
      <c r="AK98" s="175"/>
      <c r="AL98" s="175"/>
      <c r="AM98" s="175"/>
      <c r="AN98" s="175"/>
      <c r="AO98" s="175"/>
      <c r="AP98" s="175"/>
      <c r="AQ98" s="175"/>
      <c r="AR98" s="175"/>
      <c r="AS98" s="175"/>
      <c r="AT98" s="175"/>
    </row>
    <row r="99" ht="15.75" customHeight="1">
      <c r="A99" s="179">
        <v>4.0</v>
      </c>
      <c r="B99" s="113">
        <v>45638.0</v>
      </c>
      <c r="C99" s="49" t="s">
        <v>77</v>
      </c>
      <c r="D99" s="49" t="s">
        <v>151</v>
      </c>
      <c r="E99" s="14" t="s">
        <v>71</v>
      </c>
      <c r="F99" s="118">
        <v>4.0</v>
      </c>
      <c r="G99" s="136" t="s">
        <v>24</v>
      </c>
      <c r="H99" s="118">
        <v>4.0</v>
      </c>
      <c r="I99" s="14" t="s">
        <v>68</v>
      </c>
      <c r="J99" s="163"/>
      <c r="K99" s="17">
        <f t="shared" si="10"/>
        <v>1</v>
      </c>
      <c r="L99" s="18">
        <f t="shared" si="11"/>
        <v>1</v>
      </c>
      <c r="M99" s="3"/>
      <c r="N99" s="3"/>
      <c r="O99" s="3"/>
      <c r="P99" s="3"/>
      <c r="Q99" s="4"/>
      <c r="R99" s="51"/>
      <c r="S99" s="51"/>
      <c r="T99" s="51"/>
      <c r="U99" s="51"/>
      <c r="V99" s="51"/>
      <c r="AF99" s="175"/>
      <c r="AG99" s="175"/>
      <c r="AH99" s="175"/>
      <c r="AI99" s="175"/>
      <c r="AJ99" s="175"/>
      <c r="AK99" s="175"/>
      <c r="AL99" s="175"/>
      <c r="AM99" s="175"/>
      <c r="AN99" s="175"/>
      <c r="AO99" s="175"/>
      <c r="AP99" s="175"/>
      <c r="AQ99" s="175"/>
      <c r="AR99" s="175"/>
      <c r="AS99" s="175"/>
      <c r="AT99" s="175"/>
    </row>
    <row r="100" ht="15.75" customHeight="1">
      <c r="A100" s="29"/>
      <c r="B100" s="12">
        <v>45637.0</v>
      </c>
      <c r="C100" s="49" t="s">
        <v>77</v>
      </c>
      <c r="D100" s="49" t="s">
        <v>151</v>
      </c>
      <c r="E100" s="14" t="s">
        <v>155</v>
      </c>
      <c r="F100" s="118">
        <v>5.0</v>
      </c>
      <c r="G100" s="136" t="s">
        <v>24</v>
      </c>
      <c r="H100" s="118">
        <v>4.0</v>
      </c>
      <c r="I100" s="14" t="s">
        <v>94</v>
      </c>
      <c r="J100" s="138"/>
      <c r="K100" s="17">
        <f t="shared" si="10"/>
        <v>3</v>
      </c>
      <c r="L100" s="18">
        <f t="shared" si="11"/>
        <v>0</v>
      </c>
      <c r="M100" s="3"/>
      <c r="N100" s="3"/>
      <c r="O100" s="3"/>
      <c r="P100" s="3"/>
      <c r="Q100" s="51"/>
      <c r="R100" s="51"/>
      <c r="S100" s="51"/>
      <c r="T100" s="51"/>
      <c r="U100" s="51"/>
      <c r="V100" s="51"/>
      <c r="AF100" s="175"/>
      <c r="AG100" s="175"/>
      <c r="AH100" s="175"/>
      <c r="AI100" s="175"/>
      <c r="AJ100" s="175"/>
      <c r="AK100" s="175"/>
      <c r="AL100" s="175"/>
      <c r="AM100" s="175"/>
      <c r="AN100" s="175"/>
      <c r="AO100" s="175"/>
      <c r="AP100" s="175"/>
      <c r="AQ100" s="175"/>
      <c r="AR100" s="175"/>
      <c r="AS100" s="175"/>
      <c r="AT100" s="175"/>
    </row>
    <row r="101" ht="15.75" customHeight="1">
      <c r="A101" s="29"/>
      <c r="B101" s="12">
        <v>45636.0</v>
      </c>
      <c r="C101" s="13" t="s">
        <v>55</v>
      </c>
      <c r="D101" s="49" t="s">
        <v>151</v>
      </c>
      <c r="E101" s="14" t="s">
        <v>147</v>
      </c>
      <c r="F101" s="118">
        <v>2.0</v>
      </c>
      <c r="G101" s="136" t="s">
        <v>24</v>
      </c>
      <c r="H101" s="118">
        <v>5.0</v>
      </c>
      <c r="I101" s="14" t="s">
        <v>66</v>
      </c>
      <c r="J101" s="138"/>
      <c r="K101" s="17">
        <f t="shared" si="10"/>
        <v>0</v>
      </c>
      <c r="L101" s="18">
        <f t="shared" si="11"/>
        <v>3</v>
      </c>
      <c r="M101" s="3"/>
      <c r="N101" s="3"/>
      <c r="O101" s="3"/>
      <c r="P101" s="3"/>
      <c r="Q101" s="51"/>
      <c r="R101" s="51"/>
      <c r="S101" s="51"/>
      <c r="T101" s="51"/>
      <c r="U101" s="51"/>
      <c r="V101" s="51"/>
      <c r="AF101" s="175"/>
      <c r="AG101" s="175"/>
      <c r="AH101" s="175"/>
      <c r="AI101" s="175"/>
      <c r="AJ101" s="175"/>
      <c r="AK101" s="175"/>
      <c r="AL101" s="175"/>
      <c r="AM101" s="175"/>
      <c r="AN101" s="175"/>
      <c r="AO101" s="175"/>
      <c r="AP101" s="175"/>
      <c r="AQ101" s="175"/>
      <c r="AR101" s="175"/>
      <c r="AS101" s="175"/>
      <c r="AT101" s="175"/>
    </row>
    <row r="102" ht="15.75" customHeight="1">
      <c r="A102" s="29"/>
      <c r="B102" s="12">
        <v>45636.0</v>
      </c>
      <c r="C102" s="49" t="s">
        <v>56</v>
      </c>
      <c r="D102" s="49" t="s">
        <v>151</v>
      </c>
      <c r="E102" s="14" t="s">
        <v>23</v>
      </c>
      <c r="F102" s="118">
        <v>0.0</v>
      </c>
      <c r="G102" s="136" t="s">
        <v>24</v>
      </c>
      <c r="H102" s="118">
        <v>2.0</v>
      </c>
      <c r="I102" s="14" t="s">
        <v>72</v>
      </c>
      <c r="J102" s="138"/>
      <c r="K102" s="17">
        <f t="shared" si="10"/>
        <v>0</v>
      </c>
      <c r="L102" s="18">
        <f t="shared" si="11"/>
        <v>3</v>
      </c>
      <c r="M102" s="3"/>
      <c r="N102" s="3"/>
      <c r="O102" s="3"/>
      <c r="P102" s="3"/>
      <c r="Q102" s="51"/>
      <c r="R102" s="51"/>
      <c r="S102" s="51"/>
      <c r="T102" s="51"/>
      <c r="U102" s="51"/>
      <c r="V102" s="51"/>
      <c r="AF102" s="175"/>
      <c r="AG102" s="175"/>
      <c r="AH102" s="175"/>
      <c r="AI102" s="175"/>
      <c r="AJ102" s="175"/>
      <c r="AK102" s="175"/>
      <c r="AL102" s="175"/>
      <c r="AM102" s="175"/>
      <c r="AN102" s="175"/>
      <c r="AO102" s="175"/>
      <c r="AP102" s="175"/>
      <c r="AQ102" s="175"/>
      <c r="AR102" s="175"/>
      <c r="AS102" s="175"/>
      <c r="AT102" s="175"/>
    </row>
    <row r="103" ht="15.75" customHeight="1">
      <c r="A103" s="37"/>
      <c r="B103" s="12">
        <v>45636.0</v>
      </c>
      <c r="C103" s="49" t="s">
        <v>56</v>
      </c>
      <c r="D103" s="49" t="s">
        <v>151</v>
      </c>
      <c r="E103" s="107" t="s">
        <v>144</v>
      </c>
      <c r="F103" s="118">
        <v>3.0</v>
      </c>
      <c r="G103" s="136" t="s">
        <v>24</v>
      </c>
      <c r="H103" s="118">
        <v>1.0</v>
      </c>
      <c r="I103" s="107" t="s">
        <v>116</v>
      </c>
      <c r="J103" s="138"/>
      <c r="K103" s="17">
        <f t="shared" si="10"/>
        <v>3</v>
      </c>
      <c r="L103" s="18">
        <f t="shared" si="11"/>
        <v>0</v>
      </c>
      <c r="M103" s="3"/>
      <c r="N103" s="3"/>
      <c r="O103" s="3"/>
      <c r="P103" s="3"/>
      <c r="Q103" s="51"/>
      <c r="R103" s="51"/>
      <c r="S103" s="51"/>
      <c r="T103" s="51"/>
      <c r="U103" s="51"/>
      <c r="V103" s="51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  <c r="AQ103" s="175"/>
      <c r="AR103" s="175"/>
      <c r="AS103" s="175"/>
      <c r="AT103" s="175"/>
    </row>
    <row r="104" ht="15.75" customHeight="1">
      <c r="A104" s="179">
        <v>5.0</v>
      </c>
      <c r="B104" s="113">
        <v>45714.0</v>
      </c>
      <c r="C104" s="49" t="s">
        <v>54</v>
      </c>
      <c r="D104" s="180" t="s">
        <v>151</v>
      </c>
      <c r="E104" s="14" t="s">
        <v>72</v>
      </c>
      <c r="F104" s="118">
        <v>0.0</v>
      </c>
      <c r="G104" s="136" t="s">
        <v>24</v>
      </c>
      <c r="H104" s="118">
        <v>1.0</v>
      </c>
      <c r="I104" s="14" t="s">
        <v>71</v>
      </c>
      <c r="J104" s="138"/>
      <c r="K104" s="17">
        <f t="shared" si="10"/>
        <v>0</v>
      </c>
      <c r="L104" s="18">
        <f t="shared" si="11"/>
        <v>3</v>
      </c>
      <c r="M104" s="3"/>
      <c r="N104" s="3"/>
      <c r="O104" s="3"/>
      <c r="P104" s="3"/>
      <c r="Q104" s="51"/>
      <c r="R104" s="51"/>
      <c r="S104" s="51"/>
      <c r="T104" s="51"/>
      <c r="U104" s="51"/>
      <c r="V104" s="51"/>
      <c r="AA104" s="175"/>
      <c r="AB104" s="176"/>
      <c r="AC104" s="175"/>
      <c r="AD104" s="175"/>
      <c r="AE104" s="175"/>
      <c r="AF104" s="175"/>
      <c r="AG104" s="175"/>
      <c r="AH104" s="175"/>
      <c r="AI104" s="175"/>
      <c r="AJ104" s="175"/>
      <c r="AK104" s="175"/>
      <c r="AL104" s="175"/>
      <c r="AM104" s="175"/>
      <c r="AN104" s="175"/>
      <c r="AO104" s="175"/>
      <c r="AP104" s="175"/>
      <c r="AQ104" s="175"/>
      <c r="AR104" s="175"/>
      <c r="AS104" s="175"/>
      <c r="AT104" s="175"/>
    </row>
    <row r="105" ht="15.75" customHeight="1">
      <c r="A105" s="29"/>
      <c r="B105" s="113">
        <v>45707.0</v>
      </c>
      <c r="C105" s="49" t="s">
        <v>128</v>
      </c>
      <c r="D105" s="180" t="s">
        <v>151</v>
      </c>
      <c r="E105" s="14" t="s">
        <v>68</v>
      </c>
      <c r="F105" s="118">
        <v>2.0</v>
      </c>
      <c r="G105" s="136" t="s">
        <v>24</v>
      </c>
      <c r="H105" s="118">
        <v>4.0</v>
      </c>
      <c r="I105" s="14" t="s">
        <v>155</v>
      </c>
      <c r="J105" s="138"/>
      <c r="K105" s="17">
        <f t="shared" si="10"/>
        <v>0</v>
      </c>
      <c r="L105" s="18">
        <f t="shared" si="11"/>
        <v>3</v>
      </c>
      <c r="M105" s="3"/>
      <c r="N105" s="3"/>
      <c r="O105" s="3"/>
      <c r="P105" s="3"/>
      <c r="Q105" s="51"/>
      <c r="R105" s="51"/>
      <c r="S105" s="51"/>
      <c r="T105" s="51"/>
      <c r="U105" s="51"/>
      <c r="V105" s="51"/>
      <c r="AA105" s="175"/>
      <c r="AB105" s="176"/>
      <c r="AC105" s="175"/>
      <c r="AD105" s="175"/>
      <c r="AE105" s="175"/>
      <c r="AF105" s="175"/>
      <c r="AG105" s="175"/>
      <c r="AH105" s="175"/>
      <c r="AI105" s="175"/>
      <c r="AJ105" s="175"/>
      <c r="AK105" s="175"/>
      <c r="AL105" s="175"/>
      <c r="AM105" s="175"/>
      <c r="AN105" s="175"/>
      <c r="AO105" s="175"/>
      <c r="AP105" s="175"/>
      <c r="AQ105" s="175"/>
      <c r="AR105" s="175"/>
      <c r="AS105" s="175"/>
      <c r="AT105" s="175"/>
    </row>
    <row r="106" ht="15.75" customHeight="1">
      <c r="A106" s="29"/>
      <c r="B106" s="113">
        <v>45707.0</v>
      </c>
      <c r="C106" s="49" t="s">
        <v>129</v>
      </c>
      <c r="D106" s="180" t="s">
        <v>151</v>
      </c>
      <c r="E106" s="14" t="s">
        <v>94</v>
      </c>
      <c r="F106" s="118">
        <v>2.0</v>
      </c>
      <c r="G106" s="136" t="s">
        <v>24</v>
      </c>
      <c r="H106" s="118">
        <v>8.0</v>
      </c>
      <c r="I106" s="14" t="s">
        <v>147</v>
      </c>
      <c r="J106" s="138"/>
      <c r="K106" s="17">
        <f t="shared" si="10"/>
        <v>0</v>
      </c>
      <c r="L106" s="18">
        <f t="shared" si="11"/>
        <v>3</v>
      </c>
      <c r="M106" s="3"/>
      <c r="N106" s="3"/>
      <c r="O106" s="3"/>
      <c r="P106" s="3"/>
      <c r="Q106" s="51"/>
      <c r="R106" s="51"/>
      <c r="S106" s="51"/>
      <c r="T106" s="51"/>
      <c r="U106" s="51"/>
      <c r="V106" s="51"/>
      <c r="AA106" s="175"/>
      <c r="AB106" s="176"/>
      <c r="AC106" s="175"/>
      <c r="AD106" s="175"/>
      <c r="AE106" s="175"/>
      <c r="AF106" s="175"/>
      <c r="AG106" s="175"/>
      <c r="AH106" s="175"/>
      <c r="AI106" s="175"/>
      <c r="AJ106" s="175"/>
      <c r="AK106" s="175"/>
      <c r="AL106" s="175"/>
      <c r="AM106" s="175"/>
      <c r="AN106" s="175"/>
      <c r="AO106" s="175"/>
      <c r="AP106" s="175"/>
      <c r="AQ106" s="175"/>
      <c r="AR106" s="175"/>
      <c r="AS106" s="175"/>
      <c r="AT106" s="175"/>
    </row>
    <row r="107" ht="15.75" customHeight="1">
      <c r="A107" s="29"/>
      <c r="B107" s="113">
        <v>45707.0</v>
      </c>
      <c r="C107" s="49" t="s">
        <v>77</v>
      </c>
      <c r="D107" s="180" t="s">
        <v>151</v>
      </c>
      <c r="E107" s="107" t="s">
        <v>116</v>
      </c>
      <c r="F107" s="118">
        <v>4.0</v>
      </c>
      <c r="G107" s="136" t="s">
        <v>24</v>
      </c>
      <c r="H107" s="118">
        <v>1.0</v>
      </c>
      <c r="I107" s="107" t="s">
        <v>23</v>
      </c>
      <c r="J107" s="138"/>
      <c r="K107" s="17">
        <f t="shared" si="10"/>
        <v>3</v>
      </c>
      <c r="L107" s="18">
        <f t="shared" si="11"/>
        <v>0</v>
      </c>
      <c r="M107" s="3"/>
      <c r="N107" s="3"/>
      <c r="O107" s="3"/>
      <c r="P107" s="3"/>
      <c r="Q107" s="51"/>
      <c r="R107" s="51"/>
      <c r="S107" s="51"/>
      <c r="T107" s="51"/>
      <c r="U107" s="51"/>
      <c r="V107" s="51"/>
      <c r="AA107" s="175"/>
      <c r="AB107" s="176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5"/>
      <c r="AQ107" s="175"/>
      <c r="AR107" s="175"/>
      <c r="AS107" s="175"/>
      <c r="AT107" s="175"/>
    </row>
    <row r="108" ht="15.75" customHeight="1">
      <c r="A108" s="37"/>
      <c r="B108" s="113">
        <v>45707.0</v>
      </c>
      <c r="C108" s="49" t="s">
        <v>130</v>
      </c>
      <c r="D108" s="180" t="s">
        <v>151</v>
      </c>
      <c r="E108" s="107" t="s">
        <v>66</v>
      </c>
      <c r="F108" s="118">
        <v>3.0</v>
      </c>
      <c r="G108" s="136" t="s">
        <v>24</v>
      </c>
      <c r="H108" s="118">
        <v>4.0</v>
      </c>
      <c r="I108" s="107" t="s">
        <v>144</v>
      </c>
      <c r="J108" s="138"/>
      <c r="K108" s="17">
        <f t="shared" si="10"/>
        <v>0</v>
      </c>
      <c r="L108" s="18">
        <f t="shared" si="11"/>
        <v>3</v>
      </c>
      <c r="M108" s="3"/>
      <c r="N108" s="3"/>
      <c r="O108" s="3"/>
      <c r="P108" s="3"/>
      <c r="Q108" s="51"/>
      <c r="R108" s="51"/>
      <c r="S108" s="51"/>
      <c r="T108" s="51"/>
      <c r="U108" s="51"/>
      <c r="V108" s="51"/>
      <c r="AA108" s="175"/>
      <c r="AB108" s="176"/>
      <c r="AC108" s="175"/>
      <c r="AD108" s="175"/>
      <c r="AE108" s="175"/>
      <c r="AF108" s="175"/>
      <c r="AG108" s="175"/>
      <c r="AH108" s="175"/>
      <c r="AI108" s="175"/>
      <c r="AJ108" s="175"/>
      <c r="AK108" s="175"/>
      <c r="AL108" s="175"/>
      <c r="AM108" s="175"/>
      <c r="AN108" s="175"/>
      <c r="AO108" s="175"/>
      <c r="AP108" s="175"/>
      <c r="AQ108" s="175"/>
      <c r="AR108" s="175"/>
      <c r="AS108" s="175"/>
      <c r="AT108" s="175"/>
    </row>
    <row r="109" ht="15.75" customHeight="1">
      <c r="A109" s="179">
        <v>6.0</v>
      </c>
      <c r="B109" s="113">
        <v>45721.0</v>
      </c>
      <c r="C109" s="49" t="s">
        <v>129</v>
      </c>
      <c r="D109" s="180" t="s">
        <v>151</v>
      </c>
      <c r="E109" s="107" t="s">
        <v>71</v>
      </c>
      <c r="F109" s="118">
        <v>1.0</v>
      </c>
      <c r="G109" s="136" t="s">
        <v>24</v>
      </c>
      <c r="H109" s="118">
        <v>3.0</v>
      </c>
      <c r="I109" s="107" t="s">
        <v>116</v>
      </c>
      <c r="J109" s="138"/>
      <c r="K109" s="17">
        <f t="shared" si="10"/>
        <v>0</v>
      </c>
      <c r="L109" s="18">
        <f t="shared" si="11"/>
        <v>3</v>
      </c>
      <c r="M109" s="3"/>
      <c r="N109" s="3"/>
      <c r="O109" s="3"/>
      <c r="P109" s="3"/>
      <c r="Q109" s="51"/>
      <c r="R109" s="51"/>
      <c r="S109" s="51"/>
      <c r="T109" s="51"/>
      <c r="U109" s="51"/>
      <c r="V109" s="51"/>
      <c r="AA109" s="175"/>
      <c r="AB109" s="176"/>
      <c r="AC109" s="175"/>
      <c r="AD109" s="175"/>
      <c r="AE109" s="175"/>
      <c r="AF109" s="175"/>
      <c r="AG109" s="175"/>
      <c r="AH109" s="175"/>
      <c r="AI109" s="175"/>
      <c r="AJ109" s="175"/>
      <c r="AK109" s="175"/>
      <c r="AL109" s="175"/>
      <c r="AM109" s="175"/>
      <c r="AN109" s="175"/>
      <c r="AO109" s="175"/>
      <c r="AP109" s="175"/>
      <c r="AQ109" s="175"/>
      <c r="AR109" s="175"/>
      <c r="AS109" s="175"/>
      <c r="AT109" s="175"/>
    </row>
    <row r="110" ht="15.75" customHeight="1">
      <c r="A110" s="29"/>
      <c r="B110" s="113">
        <v>45726.0</v>
      </c>
      <c r="C110" s="49" t="s">
        <v>77</v>
      </c>
      <c r="D110" s="180" t="s">
        <v>151</v>
      </c>
      <c r="E110" s="14" t="s">
        <v>155</v>
      </c>
      <c r="F110" s="118">
        <v>0.0</v>
      </c>
      <c r="G110" s="136" t="s">
        <v>24</v>
      </c>
      <c r="H110" s="118">
        <v>2.0</v>
      </c>
      <c r="I110" s="14" t="s">
        <v>72</v>
      </c>
      <c r="J110" s="138"/>
      <c r="K110" s="17">
        <f t="shared" si="10"/>
        <v>0</v>
      </c>
      <c r="L110" s="18">
        <f t="shared" si="11"/>
        <v>3</v>
      </c>
      <c r="M110" s="3"/>
      <c r="N110" s="3"/>
      <c r="O110" s="3"/>
      <c r="P110" s="3"/>
      <c r="Q110" s="51"/>
      <c r="R110" s="51"/>
      <c r="S110" s="51"/>
      <c r="T110" s="51"/>
      <c r="U110" s="51"/>
      <c r="V110" s="51"/>
      <c r="AA110" s="175"/>
      <c r="AB110" s="176"/>
      <c r="AC110" s="175"/>
      <c r="AD110" s="175"/>
      <c r="AE110" s="175"/>
      <c r="AF110" s="175"/>
      <c r="AG110" s="175"/>
      <c r="AH110" s="175"/>
      <c r="AI110" s="175"/>
      <c r="AJ110" s="175"/>
      <c r="AK110" s="175"/>
      <c r="AL110" s="175"/>
      <c r="AM110" s="175"/>
      <c r="AN110" s="175"/>
      <c r="AO110" s="175"/>
      <c r="AP110" s="175"/>
      <c r="AQ110" s="175"/>
      <c r="AR110" s="175"/>
      <c r="AS110" s="175"/>
      <c r="AT110" s="175"/>
    </row>
    <row r="111" ht="15.75" customHeight="1">
      <c r="A111" s="29"/>
      <c r="B111" s="113">
        <v>45726.0</v>
      </c>
      <c r="C111" s="49" t="s">
        <v>58</v>
      </c>
      <c r="D111" s="180" t="s">
        <v>151</v>
      </c>
      <c r="E111" s="14" t="s">
        <v>147</v>
      </c>
      <c r="F111" s="118">
        <v>7.0</v>
      </c>
      <c r="G111" s="136" t="s">
        <v>24</v>
      </c>
      <c r="H111" s="118">
        <v>3.0</v>
      </c>
      <c r="I111" s="14" t="s">
        <v>68</v>
      </c>
      <c r="J111" s="138"/>
      <c r="K111" s="17">
        <f t="shared" si="10"/>
        <v>3</v>
      </c>
      <c r="L111" s="18">
        <f t="shared" si="11"/>
        <v>0</v>
      </c>
      <c r="M111" s="3"/>
      <c r="N111" s="3"/>
      <c r="O111" s="3"/>
      <c r="P111" s="3"/>
      <c r="Q111" s="51"/>
      <c r="R111" s="51"/>
      <c r="S111" s="51"/>
      <c r="T111" s="51"/>
      <c r="U111" s="51"/>
      <c r="V111" s="51"/>
      <c r="AA111" s="175"/>
      <c r="AB111" s="176"/>
      <c r="AC111" s="175"/>
      <c r="AD111" s="175"/>
      <c r="AE111" s="175"/>
      <c r="AF111" s="175"/>
      <c r="AG111" s="175"/>
      <c r="AH111" s="175"/>
      <c r="AI111" s="175"/>
      <c r="AJ111" s="175"/>
      <c r="AK111" s="175"/>
      <c r="AL111" s="175"/>
      <c r="AM111" s="175"/>
      <c r="AN111" s="175"/>
      <c r="AO111" s="175"/>
      <c r="AP111" s="175"/>
      <c r="AQ111" s="175"/>
      <c r="AR111" s="175"/>
      <c r="AS111" s="175"/>
      <c r="AT111" s="175"/>
    </row>
    <row r="112" ht="15.75" customHeight="1">
      <c r="A112" s="29"/>
      <c r="B112" s="113">
        <v>45721.0</v>
      </c>
      <c r="C112" s="49" t="s">
        <v>130</v>
      </c>
      <c r="D112" s="180" t="s">
        <v>151</v>
      </c>
      <c r="E112" s="14" t="s">
        <v>94</v>
      </c>
      <c r="F112" s="118">
        <v>3.0</v>
      </c>
      <c r="G112" s="136" t="s">
        <v>24</v>
      </c>
      <c r="H112" s="118">
        <v>4.0</v>
      </c>
      <c r="I112" s="14" t="s">
        <v>66</v>
      </c>
      <c r="J112" s="177"/>
      <c r="K112" s="17">
        <f t="shared" si="10"/>
        <v>0</v>
      </c>
      <c r="L112" s="18">
        <f t="shared" si="11"/>
        <v>3</v>
      </c>
      <c r="Q112" s="4"/>
      <c r="R112" s="4"/>
      <c r="S112" s="4"/>
      <c r="T112" s="4"/>
      <c r="U112" s="4"/>
      <c r="V112" s="4"/>
      <c r="AA112" s="175"/>
      <c r="AB112" s="176"/>
      <c r="AC112" s="175"/>
      <c r="AD112" s="175"/>
      <c r="AE112" s="175"/>
      <c r="AF112" s="175"/>
      <c r="AG112" s="175"/>
      <c r="AH112" s="175"/>
      <c r="AI112" s="175"/>
      <c r="AJ112" s="175"/>
      <c r="AK112" s="175"/>
      <c r="AL112" s="175"/>
      <c r="AM112" s="175"/>
      <c r="AN112" s="175"/>
      <c r="AO112" s="175"/>
      <c r="AP112" s="175"/>
      <c r="AQ112" s="175"/>
      <c r="AR112" s="175"/>
      <c r="AS112" s="175"/>
      <c r="AT112" s="175"/>
    </row>
    <row r="113" ht="15.75" customHeight="1">
      <c r="A113" s="37"/>
      <c r="B113" s="113">
        <v>45721.0</v>
      </c>
      <c r="C113" s="49" t="s">
        <v>128</v>
      </c>
      <c r="D113" s="180" t="s">
        <v>151</v>
      </c>
      <c r="E113" s="14" t="s">
        <v>23</v>
      </c>
      <c r="F113" s="118">
        <v>2.0</v>
      </c>
      <c r="G113" s="136" t="s">
        <v>24</v>
      </c>
      <c r="H113" s="118">
        <v>3.0</v>
      </c>
      <c r="I113" s="14" t="s">
        <v>144</v>
      </c>
      <c r="J113" s="177"/>
      <c r="K113" s="17">
        <f t="shared" si="10"/>
        <v>0</v>
      </c>
      <c r="L113" s="18">
        <f t="shared" si="11"/>
        <v>3</v>
      </c>
      <c r="Q113" s="4"/>
      <c r="R113" s="4"/>
      <c r="S113" s="4"/>
      <c r="T113" s="4"/>
      <c r="U113" s="4"/>
      <c r="V113" s="4"/>
      <c r="AA113" s="175"/>
      <c r="AB113" s="176"/>
      <c r="AC113" s="175"/>
      <c r="AD113" s="175"/>
      <c r="AE113" s="175"/>
      <c r="AF113" s="175"/>
      <c r="AG113" s="175"/>
      <c r="AH113" s="175"/>
      <c r="AI113" s="175"/>
      <c r="AJ113" s="175"/>
      <c r="AK113" s="175"/>
      <c r="AL113" s="175"/>
      <c r="AM113" s="175"/>
      <c r="AN113" s="175"/>
      <c r="AO113" s="175"/>
      <c r="AP113" s="175"/>
      <c r="AQ113" s="175"/>
      <c r="AR113" s="175"/>
      <c r="AS113" s="175"/>
      <c r="AT113" s="175"/>
    </row>
    <row r="114" ht="15.75" customHeight="1">
      <c r="A114" s="179">
        <v>7.0</v>
      </c>
      <c r="B114" s="113">
        <v>45747.0</v>
      </c>
      <c r="C114" s="49" t="s">
        <v>59</v>
      </c>
      <c r="D114" s="180" t="s">
        <v>151</v>
      </c>
      <c r="E114" s="14" t="s">
        <v>144</v>
      </c>
      <c r="F114" s="118">
        <v>3.0</v>
      </c>
      <c r="G114" s="136" t="s">
        <v>24</v>
      </c>
      <c r="H114" s="118">
        <v>0.0</v>
      </c>
      <c r="I114" s="14" t="s">
        <v>71</v>
      </c>
      <c r="J114" s="177"/>
      <c r="K114" s="17">
        <f t="shared" si="10"/>
        <v>3</v>
      </c>
      <c r="L114" s="18">
        <f t="shared" si="11"/>
        <v>0</v>
      </c>
      <c r="Q114" s="4"/>
      <c r="R114" s="4"/>
      <c r="S114" s="4"/>
      <c r="T114" s="4"/>
      <c r="U114" s="4"/>
      <c r="V114" s="4"/>
      <c r="AA114" s="175"/>
      <c r="AB114" s="176"/>
      <c r="AC114" s="175"/>
      <c r="AD114" s="175"/>
      <c r="AE114" s="175"/>
      <c r="AF114" s="175"/>
      <c r="AG114" s="175"/>
      <c r="AH114" s="175"/>
      <c r="AI114" s="175"/>
      <c r="AJ114" s="175"/>
      <c r="AK114" s="175"/>
      <c r="AL114" s="175"/>
      <c r="AM114" s="175"/>
      <c r="AN114" s="175"/>
      <c r="AO114" s="175"/>
      <c r="AP114" s="175"/>
      <c r="AQ114" s="175"/>
      <c r="AR114" s="175"/>
      <c r="AS114" s="175"/>
      <c r="AT114" s="175"/>
    </row>
    <row r="115" ht="15.75" customHeight="1">
      <c r="A115" s="29"/>
      <c r="B115" s="113">
        <v>45741.0</v>
      </c>
      <c r="C115" s="49" t="s">
        <v>59</v>
      </c>
      <c r="D115" s="180" t="s">
        <v>151</v>
      </c>
      <c r="E115" s="14" t="s">
        <v>116</v>
      </c>
      <c r="F115" s="118">
        <v>5.0</v>
      </c>
      <c r="G115" s="136" t="s">
        <v>24</v>
      </c>
      <c r="H115" s="118">
        <v>0.0</v>
      </c>
      <c r="I115" s="14" t="s">
        <v>155</v>
      </c>
      <c r="J115" s="177"/>
      <c r="K115" s="17">
        <f t="shared" si="10"/>
        <v>3</v>
      </c>
      <c r="L115" s="18">
        <f t="shared" si="11"/>
        <v>0</v>
      </c>
      <c r="Q115" s="4"/>
      <c r="R115" s="4"/>
      <c r="S115" s="4"/>
      <c r="T115" s="4"/>
      <c r="U115" s="4"/>
      <c r="V115" s="4"/>
      <c r="AA115" s="175"/>
      <c r="AB115" s="176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  <c r="AM115" s="175"/>
      <c r="AN115" s="175"/>
      <c r="AO115" s="175"/>
      <c r="AP115" s="175"/>
      <c r="AQ115" s="175"/>
      <c r="AR115" s="175"/>
      <c r="AS115" s="175"/>
      <c r="AT115" s="175"/>
    </row>
    <row r="116" ht="15.75" customHeight="1">
      <c r="A116" s="29"/>
      <c r="B116" s="113">
        <v>45743.0</v>
      </c>
      <c r="C116" s="49" t="s">
        <v>77</v>
      </c>
      <c r="D116" s="180" t="s">
        <v>151</v>
      </c>
      <c r="E116" s="14" t="s">
        <v>72</v>
      </c>
      <c r="F116" s="118">
        <v>2.0</v>
      </c>
      <c r="G116" s="136" t="s">
        <v>24</v>
      </c>
      <c r="H116" s="118">
        <v>1.0</v>
      </c>
      <c r="I116" s="14" t="s">
        <v>147</v>
      </c>
      <c r="J116" s="177"/>
      <c r="K116" s="17">
        <f t="shared" si="10"/>
        <v>3</v>
      </c>
      <c r="L116" s="18">
        <f t="shared" si="11"/>
        <v>0</v>
      </c>
      <c r="Q116" s="4"/>
      <c r="R116" s="4"/>
      <c r="S116" s="4"/>
      <c r="T116" s="4"/>
      <c r="U116" s="4"/>
      <c r="V116" s="4"/>
      <c r="AJ116" s="175"/>
      <c r="AK116" s="175"/>
      <c r="AL116" s="175"/>
      <c r="AM116" s="175"/>
      <c r="AN116" s="175"/>
      <c r="AO116" s="175"/>
      <c r="AP116" s="175"/>
      <c r="AQ116" s="175"/>
      <c r="AR116" s="175"/>
      <c r="AS116" s="175"/>
      <c r="AT116" s="175"/>
    </row>
    <row r="117">
      <c r="A117" s="29"/>
      <c r="B117" s="113">
        <v>45743.0</v>
      </c>
      <c r="C117" s="49" t="s">
        <v>58</v>
      </c>
      <c r="D117" s="180" t="s">
        <v>151</v>
      </c>
      <c r="E117" s="14" t="s">
        <v>68</v>
      </c>
      <c r="F117" s="118">
        <v>5.0</v>
      </c>
      <c r="G117" s="136" t="s">
        <v>24</v>
      </c>
      <c r="H117" s="118">
        <v>3.0</v>
      </c>
      <c r="I117" s="14" t="s">
        <v>94</v>
      </c>
      <c r="K117" s="17">
        <f t="shared" si="10"/>
        <v>3</v>
      </c>
      <c r="L117" s="18">
        <f t="shared" si="11"/>
        <v>0</v>
      </c>
    </row>
    <row r="118">
      <c r="A118" s="37"/>
      <c r="B118" s="113">
        <v>45743.0</v>
      </c>
      <c r="C118" s="49" t="s">
        <v>59</v>
      </c>
      <c r="D118" s="180" t="s">
        <v>151</v>
      </c>
      <c r="E118" s="14" t="s">
        <v>66</v>
      </c>
      <c r="F118" s="118">
        <v>3.0</v>
      </c>
      <c r="G118" s="136" t="s">
        <v>24</v>
      </c>
      <c r="H118" s="118">
        <v>0.0</v>
      </c>
      <c r="I118" s="14" t="s">
        <v>23</v>
      </c>
      <c r="K118" s="17">
        <f t="shared" si="10"/>
        <v>3</v>
      </c>
      <c r="L118" s="18">
        <f t="shared" si="11"/>
        <v>0</v>
      </c>
    </row>
    <row r="119">
      <c r="A119" s="179">
        <v>8.0</v>
      </c>
      <c r="B119" s="113">
        <v>45757.0</v>
      </c>
      <c r="C119" s="49" t="s">
        <v>77</v>
      </c>
      <c r="D119" s="180" t="s">
        <v>151</v>
      </c>
      <c r="E119" s="14" t="s">
        <v>71</v>
      </c>
      <c r="F119" s="118">
        <v>0.0</v>
      </c>
      <c r="G119" s="136" t="s">
        <v>24</v>
      </c>
      <c r="H119" s="118">
        <v>3.0</v>
      </c>
      <c r="I119" s="14" t="s">
        <v>23</v>
      </c>
      <c r="K119" s="17">
        <f t="shared" si="10"/>
        <v>0</v>
      </c>
      <c r="L119" s="18">
        <f t="shared" si="11"/>
        <v>3</v>
      </c>
    </row>
    <row r="120">
      <c r="A120" s="29"/>
      <c r="B120" s="113">
        <v>45756.0</v>
      </c>
      <c r="C120" s="49" t="s">
        <v>54</v>
      </c>
      <c r="D120" s="180" t="s">
        <v>151</v>
      </c>
      <c r="E120" s="14" t="s">
        <v>155</v>
      </c>
      <c r="F120" s="118">
        <v>0.0</v>
      </c>
      <c r="G120" s="136" t="s">
        <v>24</v>
      </c>
      <c r="H120" s="118">
        <v>3.0</v>
      </c>
      <c r="I120" s="14" t="s">
        <v>144</v>
      </c>
      <c r="K120" s="17">
        <f t="shared" si="10"/>
        <v>0</v>
      </c>
      <c r="L120" s="18">
        <f t="shared" si="11"/>
        <v>3</v>
      </c>
    </row>
    <row r="121">
      <c r="A121" s="29"/>
      <c r="B121" s="113">
        <v>45756.0</v>
      </c>
      <c r="C121" s="49" t="s">
        <v>55</v>
      </c>
      <c r="D121" s="180" t="s">
        <v>151</v>
      </c>
      <c r="E121" s="14" t="s">
        <v>147</v>
      </c>
      <c r="F121" s="118">
        <v>2.0</v>
      </c>
      <c r="G121" s="136" t="s">
        <v>24</v>
      </c>
      <c r="H121" s="118">
        <v>3.0</v>
      </c>
      <c r="I121" s="14" t="s">
        <v>116</v>
      </c>
      <c r="K121" s="17">
        <f t="shared" si="10"/>
        <v>0</v>
      </c>
      <c r="L121" s="18">
        <f t="shared" si="11"/>
        <v>3</v>
      </c>
    </row>
    <row r="122">
      <c r="A122" s="29"/>
      <c r="B122" s="113">
        <v>45756.0</v>
      </c>
      <c r="C122" s="49" t="s">
        <v>56</v>
      </c>
      <c r="D122" s="180" t="s">
        <v>151</v>
      </c>
      <c r="E122" s="14" t="s">
        <v>94</v>
      </c>
      <c r="F122" s="118">
        <v>0.0</v>
      </c>
      <c r="G122" s="136" t="s">
        <v>24</v>
      </c>
      <c r="H122" s="118">
        <v>3.0</v>
      </c>
      <c r="I122" s="14" t="s">
        <v>72</v>
      </c>
      <c r="K122" s="17">
        <f t="shared" si="10"/>
        <v>0</v>
      </c>
      <c r="L122" s="18">
        <f t="shared" si="11"/>
        <v>3</v>
      </c>
    </row>
    <row r="123">
      <c r="A123" s="37"/>
      <c r="B123" s="113">
        <v>45757.0</v>
      </c>
      <c r="C123" s="49" t="s">
        <v>58</v>
      </c>
      <c r="D123" s="180" t="s">
        <v>151</v>
      </c>
      <c r="E123" s="14" t="s">
        <v>68</v>
      </c>
      <c r="F123" s="118">
        <v>1.0</v>
      </c>
      <c r="G123" s="136" t="s">
        <v>24</v>
      </c>
      <c r="H123" s="118">
        <v>4.0</v>
      </c>
      <c r="I123" s="14" t="s">
        <v>66</v>
      </c>
      <c r="K123" s="17">
        <f t="shared" si="10"/>
        <v>0</v>
      </c>
      <c r="L123" s="18">
        <f t="shared" si="11"/>
        <v>3</v>
      </c>
    </row>
    <row r="124">
      <c r="A124" s="179">
        <v>9.0</v>
      </c>
      <c r="B124" s="113">
        <v>45785.0</v>
      </c>
      <c r="C124" s="49" t="s">
        <v>59</v>
      </c>
      <c r="D124" s="180" t="s">
        <v>151</v>
      </c>
      <c r="E124" s="14" t="s">
        <v>66</v>
      </c>
      <c r="F124" s="118">
        <v>3.0</v>
      </c>
      <c r="G124" s="136" t="s">
        <v>24</v>
      </c>
      <c r="H124" s="118">
        <v>0.0</v>
      </c>
      <c r="I124" s="14" t="s">
        <v>71</v>
      </c>
      <c r="K124" s="17">
        <f t="shared" si="10"/>
        <v>3</v>
      </c>
      <c r="L124" s="18">
        <f t="shared" si="11"/>
        <v>0</v>
      </c>
    </row>
    <row r="125">
      <c r="A125" s="29"/>
      <c r="B125" s="113">
        <v>45785.0</v>
      </c>
      <c r="C125" s="49" t="s">
        <v>58</v>
      </c>
      <c r="D125" s="180" t="s">
        <v>151</v>
      </c>
      <c r="E125" s="14" t="s">
        <v>23</v>
      </c>
      <c r="F125" s="118">
        <v>1.0</v>
      </c>
      <c r="G125" s="136" t="s">
        <v>24</v>
      </c>
      <c r="H125" s="118">
        <v>4.0</v>
      </c>
      <c r="I125" s="14" t="s">
        <v>155</v>
      </c>
      <c r="K125" s="17">
        <f t="shared" si="10"/>
        <v>0</v>
      </c>
      <c r="L125" s="18">
        <f t="shared" si="11"/>
        <v>3</v>
      </c>
    </row>
    <row r="126">
      <c r="A126" s="29"/>
      <c r="B126" s="113">
        <v>45785.0</v>
      </c>
      <c r="C126" s="49" t="s">
        <v>77</v>
      </c>
      <c r="D126" s="180" t="s">
        <v>151</v>
      </c>
      <c r="E126" s="14" t="s">
        <v>144</v>
      </c>
      <c r="F126" s="118">
        <v>1.0</v>
      </c>
      <c r="G126" s="136" t="s">
        <v>24</v>
      </c>
      <c r="H126" s="118">
        <v>1.0</v>
      </c>
      <c r="I126" s="14" t="s">
        <v>147</v>
      </c>
      <c r="K126" s="17">
        <f t="shared" si="10"/>
        <v>1</v>
      </c>
      <c r="L126" s="18">
        <f t="shared" si="11"/>
        <v>1</v>
      </c>
    </row>
    <row r="127">
      <c r="A127" s="29"/>
      <c r="B127" s="113">
        <v>45791.0</v>
      </c>
      <c r="C127" s="49" t="s">
        <v>54</v>
      </c>
      <c r="D127" s="180" t="s">
        <v>151</v>
      </c>
      <c r="E127" s="14" t="s">
        <v>116</v>
      </c>
      <c r="F127" s="118">
        <v>5.0</v>
      </c>
      <c r="G127" s="136" t="s">
        <v>24</v>
      </c>
      <c r="H127" s="118">
        <v>4.0</v>
      </c>
      <c r="I127" s="14" t="s">
        <v>94</v>
      </c>
      <c r="K127" s="17">
        <f t="shared" si="10"/>
        <v>3</v>
      </c>
      <c r="L127" s="18">
        <f t="shared" si="11"/>
        <v>0</v>
      </c>
    </row>
    <row r="128">
      <c r="A128" s="37"/>
      <c r="B128" s="113">
        <v>45790.0</v>
      </c>
      <c r="C128" s="49" t="s">
        <v>77</v>
      </c>
      <c r="D128" s="180" t="s">
        <v>151</v>
      </c>
      <c r="E128" s="14" t="s">
        <v>72</v>
      </c>
      <c r="F128" s="118"/>
      <c r="G128" s="136" t="s">
        <v>24</v>
      </c>
      <c r="H128" s="118"/>
      <c r="I128" s="14" t="s">
        <v>68</v>
      </c>
      <c r="K128" s="17" t="str">
        <f t="shared" si="10"/>
        <v/>
      </c>
      <c r="L128" s="18" t="str">
        <f t="shared" si="11"/>
        <v/>
      </c>
    </row>
    <row r="134">
      <c r="AA134" s="74" t="s">
        <v>11</v>
      </c>
      <c r="AB134" s="74" t="s">
        <v>12</v>
      </c>
      <c r="AC134" s="74" t="s">
        <v>13</v>
      </c>
      <c r="AD134" s="74" t="s">
        <v>14</v>
      </c>
      <c r="AE134" s="74" t="s">
        <v>15</v>
      </c>
      <c r="AF134" s="74" t="s">
        <v>16</v>
      </c>
      <c r="AG134" s="74" t="s">
        <v>17</v>
      </c>
      <c r="AH134" s="74" t="s">
        <v>18</v>
      </c>
      <c r="AI134" s="74" t="s">
        <v>19</v>
      </c>
    </row>
    <row r="135">
      <c r="A135" s="174" t="s">
        <v>157</v>
      </c>
      <c r="H135" s="175"/>
      <c r="I135" s="176"/>
      <c r="J135" s="177"/>
      <c r="Q135" s="4"/>
      <c r="R135" s="4"/>
      <c r="S135" s="4"/>
      <c r="T135" s="4"/>
      <c r="U135" s="4"/>
      <c r="V135" s="4"/>
      <c r="AA135" s="166" t="s">
        <v>29</v>
      </c>
      <c r="AB135" s="146" t="str">
        <f t="array" ref="AB135:AI143">SORT(O137:V145,2,FALSE,8,FALSE)</f>
        <v>ECT</v>
      </c>
      <c r="AC135" s="147">
        <v>24.0</v>
      </c>
      <c r="AD135" s="147">
        <v>8.0</v>
      </c>
      <c r="AE135" s="147">
        <v>0.0</v>
      </c>
      <c r="AF135" s="147">
        <v>0.0</v>
      </c>
      <c r="AG135" s="147">
        <v>25.0</v>
      </c>
      <c r="AH135" s="194">
        <v>2.0</v>
      </c>
      <c r="AI135" s="147">
        <v>23.0</v>
      </c>
    </row>
    <row r="136">
      <c r="A136" s="73" t="s">
        <v>1</v>
      </c>
      <c r="B136" s="74" t="s">
        <v>2</v>
      </c>
      <c r="C136" s="74" t="s">
        <v>3</v>
      </c>
      <c r="D136" s="74" t="s">
        <v>4</v>
      </c>
      <c r="E136" s="130" t="s">
        <v>5</v>
      </c>
      <c r="F136" s="75" t="s">
        <v>6</v>
      </c>
      <c r="G136" s="7"/>
      <c r="H136" s="8"/>
      <c r="I136" s="130" t="s">
        <v>7</v>
      </c>
      <c r="J136" s="131" t="s">
        <v>8</v>
      </c>
      <c r="K136" s="9" t="s">
        <v>9</v>
      </c>
      <c r="L136" s="9" t="s">
        <v>10</v>
      </c>
      <c r="M136" s="190"/>
      <c r="N136" s="190" t="s">
        <v>11</v>
      </c>
      <c r="O136" s="190" t="s">
        <v>12</v>
      </c>
      <c r="P136" s="190" t="s">
        <v>13</v>
      </c>
      <c r="Q136" s="9" t="s">
        <v>14</v>
      </c>
      <c r="R136" s="9" t="s">
        <v>15</v>
      </c>
      <c r="S136" s="9" t="s">
        <v>16</v>
      </c>
      <c r="T136" s="9" t="s">
        <v>17</v>
      </c>
      <c r="U136" s="9" t="s">
        <v>18</v>
      </c>
      <c r="V136" s="9" t="s">
        <v>19</v>
      </c>
      <c r="AA136" s="166">
        <v>2.0</v>
      </c>
      <c r="AB136" s="146" t="s">
        <v>65</v>
      </c>
      <c r="AC136" s="147">
        <v>21.0</v>
      </c>
      <c r="AD136" s="147">
        <v>7.0</v>
      </c>
      <c r="AE136" s="147">
        <v>0.0</v>
      </c>
      <c r="AF136" s="147">
        <v>1.0</v>
      </c>
      <c r="AG136" s="147">
        <v>35.0</v>
      </c>
      <c r="AH136" s="194">
        <v>13.0</v>
      </c>
      <c r="AI136" s="147">
        <v>22.0</v>
      </c>
    </row>
    <row r="137">
      <c r="A137" s="179">
        <v>1.0</v>
      </c>
      <c r="B137" s="113">
        <v>45587.0</v>
      </c>
      <c r="C137" s="49" t="s">
        <v>59</v>
      </c>
      <c r="D137" s="180" t="s">
        <v>151</v>
      </c>
      <c r="E137" s="14" t="s">
        <v>158</v>
      </c>
      <c r="F137" s="118">
        <v>0.0</v>
      </c>
      <c r="G137" s="136" t="s">
        <v>24</v>
      </c>
      <c r="H137" s="118">
        <v>0.0</v>
      </c>
      <c r="I137" s="14" t="s">
        <v>117</v>
      </c>
      <c r="J137" s="138"/>
      <c r="K137" s="17">
        <f t="shared" ref="K137:K181" si="19">IF(F137="","",IFS(F137&gt;H137,3,F137=H137,1,H137&gt;F137,0,F137="",0))</f>
        <v>1</v>
      </c>
      <c r="L137" s="18">
        <f t="shared" ref="L137:L181" si="20">IF(H137="","",IFS(F137&lt;H137,3,F137=H137,1,H137&lt;F137,0))</f>
        <v>1</v>
      </c>
      <c r="M137" s="3"/>
      <c r="N137" s="18">
        <v>1.0</v>
      </c>
      <c r="O137" s="102" t="s">
        <v>117</v>
      </c>
      <c r="P137" s="18">
        <f t="shared" ref="P137:P145" si="21">SUMIF(E$137:E$181,O137,K$137:K$181)+SUMIF(I$137:I$181,O137,L$137:L$181)</f>
        <v>3</v>
      </c>
      <c r="Q137" s="28">
        <f t="shared" ref="Q137:Q145" si="22">COUNTIFS(E$137:E$181,O137,K$137:K$181,3)+COUNTIFS(I$137:I$181,O137,L$137:L$181,3)</f>
        <v>0</v>
      </c>
      <c r="R137" s="22">
        <f t="shared" ref="R137:R145" si="23">COUNTIFS(E$137:E$181,O137,K$137:K$181,1)+COUNTIFS(I$137:I$181,O137,L$137:L$181,1)</f>
        <v>3</v>
      </c>
      <c r="S137" s="22">
        <f t="shared" ref="S137:S145" si="24">COUNTIFS(E$137:E$181,O137,K$137:K$181,0)+COUNTIFS(I$137:I$181,O137,L$137:L$181,0)</f>
        <v>5</v>
      </c>
      <c r="T137" s="28">
        <f t="shared" ref="T137:T145" si="25">SUMIF(E$137:E$181,O137,F$137:F$181)+SUMIF(I$137:I$181,O137,H$137:H$181)</f>
        <v>7</v>
      </c>
      <c r="U137" s="192">
        <f t="shared" ref="U137:U145" si="26">SUMIF(E$137:E$181,O137,H$137:H$181)+SUMIF(I$137:I$181,O137,F$137:F$181)</f>
        <v>19</v>
      </c>
      <c r="V137" s="28">
        <f t="shared" ref="V137:V145" si="27">T137-U137</f>
        <v>-12</v>
      </c>
      <c r="AA137" s="145">
        <v>3.0</v>
      </c>
      <c r="AB137" s="146" t="s">
        <v>33</v>
      </c>
      <c r="AC137" s="147">
        <v>15.0</v>
      </c>
      <c r="AD137" s="147">
        <v>5.0</v>
      </c>
      <c r="AE137" s="147">
        <v>0.0</v>
      </c>
      <c r="AF137" s="147">
        <v>3.0</v>
      </c>
      <c r="AG137" s="147">
        <v>29.0</v>
      </c>
      <c r="AH137" s="194">
        <v>18.0</v>
      </c>
      <c r="AI137" s="147">
        <v>11.0</v>
      </c>
    </row>
    <row r="138">
      <c r="A138" s="29"/>
      <c r="B138" s="113">
        <v>45587.0</v>
      </c>
      <c r="C138" s="49" t="s">
        <v>59</v>
      </c>
      <c r="D138" s="180" t="s">
        <v>151</v>
      </c>
      <c r="E138" s="14" t="s">
        <v>65</v>
      </c>
      <c r="F138" s="118">
        <v>4.0</v>
      </c>
      <c r="G138" s="136" t="s">
        <v>24</v>
      </c>
      <c r="H138" s="118">
        <v>0.0</v>
      </c>
      <c r="I138" s="14" t="s">
        <v>73</v>
      </c>
      <c r="J138" s="138"/>
      <c r="K138" s="17">
        <f t="shared" si="19"/>
        <v>3</v>
      </c>
      <c r="L138" s="18">
        <f t="shared" si="20"/>
        <v>0</v>
      </c>
      <c r="M138" s="3"/>
      <c r="N138" s="18">
        <v>2.0</v>
      </c>
      <c r="O138" s="102" t="s">
        <v>158</v>
      </c>
      <c r="P138" s="18">
        <f t="shared" si="21"/>
        <v>10</v>
      </c>
      <c r="Q138" s="28">
        <f t="shared" si="22"/>
        <v>3</v>
      </c>
      <c r="R138" s="22">
        <f t="shared" si="23"/>
        <v>1</v>
      </c>
      <c r="S138" s="22">
        <f t="shared" si="24"/>
        <v>4</v>
      </c>
      <c r="T138" s="28">
        <f t="shared" si="25"/>
        <v>18</v>
      </c>
      <c r="U138" s="192">
        <f t="shared" si="26"/>
        <v>15</v>
      </c>
      <c r="V138" s="28">
        <f t="shared" si="27"/>
        <v>3</v>
      </c>
      <c r="AA138" s="145">
        <v>4.0</v>
      </c>
      <c r="AB138" s="146" t="s">
        <v>112</v>
      </c>
      <c r="AC138" s="147">
        <v>12.0</v>
      </c>
      <c r="AD138" s="147">
        <v>4.0</v>
      </c>
      <c r="AE138" s="147">
        <v>0.0</v>
      </c>
      <c r="AF138" s="147">
        <v>4.0</v>
      </c>
      <c r="AG138" s="147">
        <v>16.0</v>
      </c>
      <c r="AH138" s="194">
        <v>21.0</v>
      </c>
      <c r="AI138" s="147">
        <v>-5.0</v>
      </c>
    </row>
    <row r="139" ht="15.75" customHeight="1">
      <c r="A139" s="29"/>
      <c r="B139" s="113">
        <v>45588.0</v>
      </c>
      <c r="C139" s="49" t="s">
        <v>79</v>
      </c>
      <c r="D139" s="180" t="s">
        <v>151</v>
      </c>
      <c r="E139" s="14" t="s">
        <v>111</v>
      </c>
      <c r="F139" s="118">
        <v>1.0</v>
      </c>
      <c r="G139" s="136" t="s">
        <v>24</v>
      </c>
      <c r="H139" s="118">
        <v>4.0</v>
      </c>
      <c r="I139" s="14" t="s">
        <v>42</v>
      </c>
      <c r="J139" s="138"/>
      <c r="K139" s="17">
        <f t="shared" si="19"/>
        <v>0</v>
      </c>
      <c r="L139" s="18">
        <f t="shared" si="20"/>
        <v>3</v>
      </c>
      <c r="M139" s="3"/>
      <c r="N139" s="18">
        <v>3.0</v>
      </c>
      <c r="O139" s="102" t="s">
        <v>65</v>
      </c>
      <c r="P139" s="18">
        <f t="shared" si="21"/>
        <v>21</v>
      </c>
      <c r="Q139" s="28">
        <f t="shared" si="22"/>
        <v>7</v>
      </c>
      <c r="R139" s="22">
        <f t="shared" si="23"/>
        <v>0</v>
      </c>
      <c r="S139" s="22">
        <f t="shared" si="24"/>
        <v>1</v>
      </c>
      <c r="T139" s="28">
        <f t="shared" si="25"/>
        <v>35</v>
      </c>
      <c r="U139" s="192">
        <f t="shared" si="26"/>
        <v>13</v>
      </c>
      <c r="V139" s="28">
        <f t="shared" si="27"/>
        <v>22</v>
      </c>
      <c r="AA139" s="145">
        <v>5.0</v>
      </c>
      <c r="AB139" s="146" t="s">
        <v>158</v>
      </c>
      <c r="AC139" s="147">
        <v>10.0</v>
      </c>
      <c r="AD139" s="147">
        <v>3.0</v>
      </c>
      <c r="AE139" s="147">
        <v>1.0</v>
      </c>
      <c r="AF139" s="147">
        <v>4.0</v>
      </c>
      <c r="AG139" s="147">
        <v>18.0</v>
      </c>
      <c r="AH139" s="194">
        <v>15.0</v>
      </c>
      <c r="AI139" s="147">
        <v>3.0</v>
      </c>
      <c r="AJ139" s="175"/>
      <c r="AK139" s="175"/>
      <c r="AL139" s="175"/>
      <c r="AM139" s="175"/>
      <c r="AN139" s="175"/>
      <c r="AO139" s="175"/>
      <c r="AP139" s="175"/>
      <c r="AQ139" s="175"/>
      <c r="AR139" s="175"/>
      <c r="AS139" s="175"/>
      <c r="AT139" s="175"/>
    </row>
    <row r="140" ht="15.75" customHeight="1">
      <c r="A140" s="29"/>
      <c r="B140" s="113">
        <v>45588.0</v>
      </c>
      <c r="C140" s="49" t="s">
        <v>79</v>
      </c>
      <c r="D140" s="180" t="s">
        <v>151</v>
      </c>
      <c r="E140" s="107" t="s">
        <v>140</v>
      </c>
      <c r="F140" s="118">
        <v>0.0</v>
      </c>
      <c r="G140" s="136" t="s">
        <v>24</v>
      </c>
      <c r="H140" s="118">
        <v>4.0</v>
      </c>
      <c r="I140" s="107" t="s">
        <v>112</v>
      </c>
      <c r="J140" s="138"/>
      <c r="K140" s="17">
        <f t="shared" si="19"/>
        <v>0</v>
      </c>
      <c r="L140" s="18">
        <f t="shared" si="20"/>
        <v>3</v>
      </c>
      <c r="M140" s="3"/>
      <c r="N140" s="18">
        <v>4.0</v>
      </c>
      <c r="O140" s="102" t="s">
        <v>111</v>
      </c>
      <c r="P140" s="18">
        <f t="shared" si="21"/>
        <v>7</v>
      </c>
      <c r="Q140" s="28">
        <f t="shared" si="22"/>
        <v>2</v>
      </c>
      <c r="R140" s="22">
        <f t="shared" si="23"/>
        <v>1</v>
      </c>
      <c r="S140" s="22">
        <f t="shared" si="24"/>
        <v>5</v>
      </c>
      <c r="T140" s="28">
        <f t="shared" si="25"/>
        <v>11</v>
      </c>
      <c r="U140" s="192">
        <f t="shared" si="26"/>
        <v>30</v>
      </c>
      <c r="V140" s="28">
        <f t="shared" si="27"/>
        <v>-19</v>
      </c>
      <c r="AA140" s="145">
        <v>6.0</v>
      </c>
      <c r="AB140" s="146" t="s">
        <v>73</v>
      </c>
      <c r="AC140" s="147">
        <v>9.0</v>
      </c>
      <c r="AD140" s="147">
        <v>3.0</v>
      </c>
      <c r="AE140" s="147">
        <v>0.0</v>
      </c>
      <c r="AF140" s="147">
        <v>5.0</v>
      </c>
      <c r="AG140" s="147">
        <v>11.0</v>
      </c>
      <c r="AH140" s="194">
        <v>19.0</v>
      </c>
      <c r="AI140" s="147">
        <v>-8.0</v>
      </c>
      <c r="AJ140" s="132"/>
      <c r="AK140" s="132"/>
      <c r="AL140" s="132"/>
      <c r="AM140" s="132"/>
      <c r="AN140" s="132"/>
      <c r="AO140" s="132"/>
      <c r="AP140" s="132"/>
      <c r="AQ140" s="132"/>
      <c r="AR140" s="132"/>
      <c r="AS140" s="132"/>
      <c r="AT140" s="132"/>
    </row>
    <row r="141" ht="15.75" customHeight="1">
      <c r="A141" s="37"/>
      <c r="B141" s="12"/>
      <c r="C141" s="13"/>
      <c r="D141" s="180"/>
      <c r="E141" s="14" t="s">
        <v>33</v>
      </c>
      <c r="F141" s="118"/>
      <c r="G141" s="136" t="s">
        <v>24</v>
      </c>
      <c r="H141" s="118"/>
      <c r="I141" s="14">
        <v>0.0</v>
      </c>
      <c r="J141" s="138"/>
      <c r="K141" s="17" t="str">
        <f t="shared" si="19"/>
        <v/>
      </c>
      <c r="L141" s="18" t="str">
        <f t="shared" si="20"/>
        <v/>
      </c>
      <c r="M141" s="3"/>
      <c r="N141" s="18">
        <v>5.0</v>
      </c>
      <c r="O141" s="102" t="s">
        <v>140</v>
      </c>
      <c r="P141" s="18">
        <f t="shared" si="21"/>
        <v>4</v>
      </c>
      <c r="Q141" s="28">
        <f t="shared" si="22"/>
        <v>1</v>
      </c>
      <c r="R141" s="22">
        <f t="shared" si="23"/>
        <v>1</v>
      </c>
      <c r="S141" s="22">
        <f t="shared" si="24"/>
        <v>6</v>
      </c>
      <c r="T141" s="28">
        <f t="shared" si="25"/>
        <v>8</v>
      </c>
      <c r="U141" s="192">
        <f t="shared" si="26"/>
        <v>23</v>
      </c>
      <c r="V141" s="28">
        <f t="shared" si="27"/>
        <v>-15</v>
      </c>
      <c r="AA141" s="145">
        <v>7.0</v>
      </c>
      <c r="AB141" s="146" t="s">
        <v>111</v>
      </c>
      <c r="AC141" s="147">
        <v>7.0</v>
      </c>
      <c r="AD141" s="147">
        <v>2.0</v>
      </c>
      <c r="AE141" s="147">
        <v>1.0</v>
      </c>
      <c r="AF141" s="147">
        <v>5.0</v>
      </c>
      <c r="AG141" s="147">
        <v>11.0</v>
      </c>
      <c r="AH141" s="194">
        <v>30.0</v>
      </c>
      <c r="AI141" s="147">
        <v>-19.0</v>
      </c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</row>
    <row r="142" ht="15.75" customHeight="1">
      <c r="A142" s="179">
        <v>2.0</v>
      </c>
      <c r="B142" s="113">
        <v>45610.0</v>
      </c>
      <c r="C142" s="13" t="s">
        <v>55</v>
      </c>
      <c r="D142" s="180" t="s">
        <v>151</v>
      </c>
      <c r="E142" s="107" t="s">
        <v>117</v>
      </c>
      <c r="F142" s="187">
        <v>1.0</v>
      </c>
      <c r="G142" s="136" t="s">
        <v>24</v>
      </c>
      <c r="H142" s="118">
        <v>4.0</v>
      </c>
      <c r="I142" s="107" t="s">
        <v>65</v>
      </c>
      <c r="J142" s="138"/>
      <c r="K142" s="17">
        <f t="shared" si="19"/>
        <v>0</v>
      </c>
      <c r="L142" s="18">
        <f t="shared" si="20"/>
        <v>3</v>
      </c>
      <c r="M142" s="3"/>
      <c r="N142" s="18">
        <v>6.0</v>
      </c>
      <c r="O142" s="102" t="s">
        <v>33</v>
      </c>
      <c r="P142" s="18">
        <f t="shared" si="21"/>
        <v>15</v>
      </c>
      <c r="Q142" s="28">
        <f t="shared" si="22"/>
        <v>5</v>
      </c>
      <c r="R142" s="22">
        <f t="shared" si="23"/>
        <v>0</v>
      </c>
      <c r="S142" s="22">
        <f t="shared" si="24"/>
        <v>3</v>
      </c>
      <c r="T142" s="28">
        <f t="shared" si="25"/>
        <v>29</v>
      </c>
      <c r="U142" s="192">
        <f t="shared" si="26"/>
        <v>18</v>
      </c>
      <c r="V142" s="28">
        <f t="shared" si="27"/>
        <v>11</v>
      </c>
      <c r="AA142" s="145">
        <v>8.0</v>
      </c>
      <c r="AB142" s="146" t="s">
        <v>140</v>
      </c>
      <c r="AC142" s="147">
        <v>4.0</v>
      </c>
      <c r="AD142" s="147">
        <v>1.0</v>
      </c>
      <c r="AE142" s="147">
        <v>1.0</v>
      </c>
      <c r="AF142" s="147">
        <v>6.0</v>
      </c>
      <c r="AG142" s="147">
        <v>8.0</v>
      </c>
      <c r="AH142" s="194">
        <v>23.0</v>
      </c>
      <c r="AI142" s="147">
        <v>-15.0</v>
      </c>
      <c r="AJ142" s="148"/>
      <c r="AK142" s="148"/>
      <c r="AL142" s="148"/>
      <c r="AM142" s="148"/>
      <c r="AN142" s="148"/>
      <c r="AO142" s="148"/>
      <c r="AP142" s="148"/>
      <c r="AQ142" s="148"/>
      <c r="AR142" s="148"/>
      <c r="AS142" s="148"/>
      <c r="AT142" s="148"/>
    </row>
    <row r="143" ht="15.75" customHeight="1">
      <c r="A143" s="29"/>
      <c r="B143" s="195"/>
      <c r="C143" s="92"/>
      <c r="D143" s="180"/>
      <c r="E143" s="14">
        <v>0.0</v>
      </c>
      <c r="F143" s="187"/>
      <c r="G143" s="136" t="s">
        <v>24</v>
      </c>
      <c r="H143" s="118"/>
      <c r="I143" s="14" t="s">
        <v>158</v>
      </c>
      <c r="J143" s="138"/>
      <c r="K143" s="17" t="str">
        <f t="shared" si="19"/>
        <v/>
      </c>
      <c r="L143" s="18" t="str">
        <f t="shared" si="20"/>
        <v/>
      </c>
      <c r="M143" s="3"/>
      <c r="N143" s="18">
        <v>7.0</v>
      </c>
      <c r="O143" s="102" t="s">
        <v>112</v>
      </c>
      <c r="P143" s="18">
        <f t="shared" si="21"/>
        <v>12</v>
      </c>
      <c r="Q143" s="28">
        <f t="shared" si="22"/>
        <v>4</v>
      </c>
      <c r="R143" s="22">
        <f t="shared" si="23"/>
        <v>0</v>
      </c>
      <c r="S143" s="22">
        <f t="shared" si="24"/>
        <v>4</v>
      </c>
      <c r="T143" s="28">
        <f t="shared" si="25"/>
        <v>16</v>
      </c>
      <c r="U143" s="192">
        <f t="shared" si="26"/>
        <v>21</v>
      </c>
      <c r="V143" s="28">
        <f t="shared" si="27"/>
        <v>-5</v>
      </c>
      <c r="AA143" s="151">
        <v>9.0</v>
      </c>
      <c r="AB143" s="34" t="s">
        <v>117</v>
      </c>
      <c r="AC143" s="147">
        <v>3.0</v>
      </c>
      <c r="AD143" s="186">
        <v>0.0</v>
      </c>
      <c r="AE143" s="186">
        <v>3.0</v>
      </c>
      <c r="AF143" s="186">
        <v>5.0</v>
      </c>
      <c r="AG143" s="186">
        <v>7.0</v>
      </c>
      <c r="AH143" s="186">
        <v>19.0</v>
      </c>
      <c r="AI143" s="186">
        <v>-12.0</v>
      </c>
      <c r="AJ143" s="148"/>
      <c r="AK143" s="148"/>
      <c r="AL143" s="148"/>
      <c r="AM143" s="148"/>
      <c r="AN143" s="148"/>
      <c r="AO143" s="148"/>
      <c r="AP143" s="148"/>
      <c r="AQ143" s="148"/>
      <c r="AR143" s="148"/>
      <c r="AS143" s="148"/>
      <c r="AT143" s="148"/>
    </row>
    <row r="144" ht="15.75" customHeight="1">
      <c r="A144" s="29"/>
      <c r="B144" s="113">
        <v>45610.0</v>
      </c>
      <c r="C144" s="13" t="s">
        <v>55</v>
      </c>
      <c r="D144" s="180" t="s">
        <v>151</v>
      </c>
      <c r="E144" s="14" t="s">
        <v>73</v>
      </c>
      <c r="F144" s="187">
        <v>3.0</v>
      </c>
      <c r="G144" s="136" t="s">
        <v>24</v>
      </c>
      <c r="H144" s="118">
        <v>2.0</v>
      </c>
      <c r="I144" s="14" t="s">
        <v>111</v>
      </c>
      <c r="J144" s="138"/>
      <c r="K144" s="17">
        <f t="shared" si="19"/>
        <v>3</v>
      </c>
      <c r="L144" s="18">
        <f t="shared" si="20"/>
        <v>0</v>
      </c>
      <c r="M144" s="3"/>
      <c r="N144" s="18">
        <v>8.0</v>
      </c>
      <c r="O144" s="102" t="s">
        <v>42</v>
      </c>
      <c r="P144" s="18">
        <f t="shared" si="21"/>
        <v>24</v>
      </c>
      <c r="Q144" s="28">
        <f t="shared" si="22"/>
        <v>8</v>
      </c>
      <c r="R144" s="22">
        <f t="shared" si="23"/>
        <v>0</v>
      </c>
      <c r="S144" s="22">
        <f t="shared" si="24"/>
        <v>0</v>
      </c>
      <c r="T144" s="28">
        <f t="shared" si="25"/>
        <v>25</v>
      </c>
      <c r="U144" s="192">
        <f t="shared" si="26"/>
        <v>2</v>
      </c>
      <c r="V144" s="28">
        <f t="shared" si="27"/>
        <v>23</v>
      </c>
      <c r="AA144" s="85" t="s">
        <v>159</v>
      </c>
      <c r="AF144" s="175"/>
      <c r="AG144" s="175"/>
      <c r="AH144" s="175"/>
      <c r="AI144" s="175"/>
      <c r="AJ144" s="148"/>
      <c r="AK144" s="148"/>
      <c r="AL144" s="148"/>
      <c r="AM144" s="148"/>
      <c r="AN144" s="148"/>
      <c r="AO144" s="148"/>
      <c r="AP144" s="148"/>
      <c r="AQ144" s="148"/>
      <c r="AR144" s="148"/>
      <c r="AS144" s="148"/>
      <c r="AT144" s="148"/>
    </row>
    <row r="145" ht="15.75" customHeight="1">
      <c r="A145" s="29"/>
      <c r="B145" s="113">
        <v>45610.0</v>
      </c>
      <c r="C145" s="13" t="s">
        <v>56</v>
      </c>
      <c r="D145" s="180" t="s">
        <v>151</v>
      </c>
      <c r="E145" s="14" t="s">
        <v>42</v>
      </c>
      <c r="F145" s="187">
        <v>4.0</v>
      </c>
      <c r="G145" s="136" t="s">
        <v>24</v>
      </c>
      <c r="H145" s="118">
        <v>0.0</v>
      </c>
      <c r="I145" s="14" t="s">
        <v>140</v>
      </c>
      <c r="J145" s="138"/>
      <c r="K145" s="17">
        <f t="shared" si="19"/>
        <v>3</v>
      </c>
      <c r="L145" s="18">
        <f t="shared" si="20"/>
        <v>0</v>
      </c>
      <c r="M145" s="3"/>
      <c r="N145" s="61">
        <v>9.0</v>
      </c>
      <c r="O145" s="102" t="s">
        <v>73</v>
      </c>
      <c r="P145" s="18">
        <f t="shared" si="21"/>
        <v>9</v>
      </c>
      <c r="Q145" s="28">
        <f t="shared" si="22"/>
        <v>3</v>
      </c>
      <c r="R145" s="22">
        <f t="shared" si="23"/>
        <v>0</v>
      </c>
      <c r="S145" s="22">
        <f t="shared" si="24"/>
        <v>5</v>
      </c>
      <c r="T145" s="28">
        <f t="shared" si="25"/>
        <v>11</v>
      </c>
      <c r="U145" s="192">
        <f t="shared" si="26"/>
        <v>19</v>
      </c>
      <c r="V145" s="28">
        <f t="shared" si="27"/>
        <v>-8</v>
      </c>
      <c r="AF145" s="175"/>
      <c r="AG145" s="175"/>
      <c r="AH145" s="175"/>
      <c r="AI145" s="175"/>
      <c r="AJ145" s="148"/>
      <c r="AK145" s="148"/>
      <c r="AL145" s="148"/>
      <c r="AM145" s="148"/>
      <c r="AN145" s="148"/>
      <c r="AO145" s="148"/>
      <c r="AP145" s="148"/>
      <c r="AQ145" s="148"/>
      <c r="AR145" s="148"/>
      <c r="AS145" s="148"/>
      <c r="AT145" s="148"/>
    </row>
    <row r="146" ht="15.75" customHeight="1">
      <c r="A146" s="37"/>
      <c r="B146" s="113">
        <v>45610.0</v>
      </c>
      <c r="C146" s="49" t="s">
        <v>56</v>
      </c>
      <c r="D146" s="180" t="s">
        <v>151</v>
      </c>
      <c r="E146" s="14" t="s">
        <v>112</v>
      </c>
      <c r="F146" s="187">
        <v>0.0</v>
      </c>
      <c r="G146" s="136" t="s">
        <v>24</v>
      </c>
      <c r="H146" s="118">
        <v>7.0</v>
      </c>
      <c r="I146" s="14" t="s">
        <v>33</v>
      </c>
      <c r="J146" s="138"/>
      <c r="K146" s="17">
        <f t="shared" si="19"/>
        <v>0</v>
      </c>
      <c r="L146" s="18">
        <f t="shared" si="20"/>
        <v>3</v>
      </c>
      <c r="M146" s="3"/>
      <c r="N146" s="18"/>
      <c r="O146" s="196"/>
      <c r="P146" s="18"/>
      <c r="Q146" s="28"/>
      <c r="R146" s="22"/>
      <c r="S146" s="22"/>
      <c r="T146" s="28"/>
      <c r="U146" s="192"/>
      <c r="V146" s="28"/>
      <c r="AA146" s="48"/>
      <c r="AD146" s="175"/>
      <c r="AF146" s="175"/>
      <c r="AG146" s="175"/>
      <c r="AH146" s="175"/>
      <c r="AI146" s="175"/>
      <c r="AJ146" s="148"/>
      <c r="AK146" s="148"/>
      <c r="AL146" s="148"/>
      <c r="AM146" s="148"/>
      <c r="AN146" s="148"/>
      <c r="AO146" s="148"/>
      <c r="AP146" s="148"/>
      <c r="AQ146" s="148"/>
      <c r="AR146" s="148"/>
      <c r="AS146" s="148"/>
      <c r="AT146" s="148"/>
    </row>
    <row r="147" ht="15.75" customHeight="1">
      <c r="A147" s="179">
        <v>3.0</v>
      </c>
      <c r="B147" s="12">
        <v>45623.0</v>
      </c>
      <c r="C147" s="49" t="s">
        <v>79</v>
      </c>
      <c r="D147" s="180" t="s">
        <v>151</v>
      </c>
      <c r="E147" s="14" t="s">
        <v>111</v>
      </c>
      <c r="F147" s="118">
        <v>0.0</v>
      </c>
      <c r="G147" s="136" t="s">
        <v>24</v>
      </c>
      <c r="H147" s="118">
        <v>0.0</v>
      </c>
      <c r="I147" s="14" t="s">
        <v>117</v>
      </c>
      <c r="J147" s="138"/>
      <c r="K147" s="17">
        <f t="shared" si="19"/>
        <v>1</v>
      </c>
      <c r="L147" s="18">
        <f t="shared" si="20"/>
        <v>1</v>
      </c>
      <c r="M147" s="3"/>
      <c r="N147" s="3"/>
      <c r="O147" s="3"/>
      <c r="P147" s="3"/>
      <c r="Q147" s="51"/>
      <c r="R147" s="51"/>
      <c r="S147" s="22"/>
      <c r="T147" s="51"/>
      <c r="U147" s="51"/>
      <c r="V147" s="51"/>
      <c r="AF147" s="175"/>
      <c r="AG147" s="175"/>
      <c r="AH147" s="175"/>
      <c r="AI147" s="175"/>
      <c r="AJ147" s="148"/>
      <c r="AK147" s="148"/>
      <c r="AL147" s="148"/>
      <c r="AM147" s="148"/>
      <c r="AN147" s="148"/>
      <c r="AO147" s="148"/>
      <c r="AP147" s="148"/>
      <c r="AQ147" s="148"/>
      <c r="AR147" s="148"/>
      <c r="AS147" s="148"/>
      <c r="AT147" s="148"/>
    </row>
    <row r="148" ht="15.75" customHeight="1">
      <c r="A148" s="29"/>
      <c r="B148" s="12">
        <v>45623.0</v>
      </c>
      <c r="C148" s="49" t="s">
        <v>79</v>
      </c>
      <c r="D148" s="180" t="s">
        <v>151</v>
      </c>
      <c r="E148" s="107" t="s">
        <v>65</v>
      </c>
      <c r="F148" s="118">
        <v>4.0</v>
      </c>
      <c r="G148" s="136" t="s">
        <v>24</v>
      </c>
      <c r="H148" s="118">
        <v>3.0</v>
      </c>
      <c r="I148" s="107" t="s">
        <v>158</v>
      </c>
      <c r="J148" s="138"/>
      <c r="K148" s="17">
        <f t="shared" si="19"/>
        <v>3</v>
      </c>
      <c r="L148" s="18">
        <f t="shared" si="20"/>
        <v>0</v>
      </c>
      <c r="M148" s="3"/>
      <c r="N148" s="3"/>
      <c r="O148" s="3"/>
      <c r="P148" s="3"/>
      <c r="Q148" s="51"/>
      <c r="R148" s="51"/>
      <c r="S148" s="51"/>
      <c r="T148" s="51"/>
      <c r="U148" s="51"/>
      <c r="V148" s="51"/>
      <c r="AF148" s="175"/>
      <c r="AG148" s="175"/>
      <c r="AH148" s="175"/>
      <c r="AI148" s="175"/>
      <c r="AJ148" s="148"/>
      <c r="AK148" s="148"/>
      <c r="AL148" s="148"/>
      <c r="AM148" s="148"/>
      <c r="AN148" s="148"/>
      <c r="AO148" s="148"/>
      <c r="AP148" s="148"/>
      <c r="AQ148" s="148"/>
      <c r="AR148" s="148"/>
      <c r="AS148" s="148"/>
      <c r="AT148" s="148"/>
    </row>
    <row r="149" ht="15.75" customHeight="1">
      <c r="A149" s="29"/>
      <c r="B149" s="12">
        <v>45623.0</v>
      </c>
      <c r="C149" s="49" t="s">
        <v>80</v>
      </c>
      <c r="D149" s="180" t="s">
        <v>151</v>
      </c>
      <c r="E149" s="14" t="s">
        <v>140</v>
      </c>
      <c r="F149" s="118">
        <v>0.0</v>
      </c>
      <c r="G149" s="136" t="s">
        <v>24</v>
      </c>
      <c r="H149" s="118">
        <v>2.0</v>
      </c>
      <c r="I149" s="14" t="s">
        <v>73</v>
      </c>
      <c r="J149" s="138"/>
      <c r="K149" s="17">
        <f t="shared" si="19"/>
        <v>0</v>
      </c>
      <c r="L149" s="18">
        <f t="shared" si="20"/>
        <v>3</v>
      </c>
      <c r="M149" s="3"/>
      <c r="N149" s="3"/>
      <c r="O149" s="3"/>
      <c r="P149" s="3"/>
      <c r="Q149" s="51"/>
      <c r="R149" s="51"/>
      <c r="S149" s="51"/>
      <c r="T149" s="51"/>
      <c r="U149" s="51"/>
      <c r="V149" s="51"/>
      <c r="AF149" s="175"/>
      <c r="AG149" s="175"/>
      <c r="AH149" s="175"/>
      <c r="AI149" s="175"/>
      <c r="AJ149" s="148"/>
      <c r="AK149" s="148"/>
      <c r="AL149" s="148"/>
      <c r="AM149" s="148"/>
      <c r="AN149" s="148"/>
      <c r="AO149" s="148"/>
      <c r="AP149" s="148"/>
      <c r="AQ149" s="148"/>
      <c r="AR149" s="148"/>
      <c r="AS149" s="148"/>
      <c r="AT149" s="148"/>
    </row>
    <row r="150" ht="15.75" customHeight="1">
      <c r="A150" s="29"/>
      <c r="B150" s="12">
        <v>45623.0</v>
      </c>
      <c r="C150" s="49" t="s">
        <v>80</v>
      </c>
      <c r="D150" s="180" t="s">
        <v>151</v>
      </c>
      <c r="E150" s="14" t="s">
        <v>33</v>
      </c>
      <c r="F150" s="118">
        <v>0.0</v>
      </c>
      <c r="G150" s="136" t="s">
        <v>24</v>
      </c>
      <c r="H150" s="118">
        <v>3.0</v>
      </c>
      <c r="I150" s="14" t="s">
        <v>42</v>
      </c>
      <c r="J150" s="138"/>
      <c r="K150" s="17">
        <f t="shared" si="19"/>
        <v>0</v>
      </c>
      <c r="L150" s="18">
        <f t="shared" si="20"/>
        <v>3</v>
      </c>
      <c r="M150" s="3"/>
      <c r="N150" s="3"/>
      <c r="O150" s="3"/>
      <c r="P150" s="3"/>
      <c r="Q150" s="51"/>
      <c r="R150" s="51"/>
      <c r="S150" s="51"/>
      <c r="T150" s="51"/>
      <c r="U150" s="51"/>
      <c r="V150" s="51"/>
      <c r="AF150" s="175"/>
      <c r="AG150" s="175"/>
      <c r="AH150" s="175"/>
      <c r="AI150" s="175"/>
      <c r="AJ150" s="148"/>
      <c r="AK150" s="148"/>
      <c r="AL150" s="148"/>
      <c r="AM150" s="148"/>
      <c r="AN150" s="148"/>
      <c r="AO150" s="148"/>
      <c r="AP150" s="148"/>
      <c r="AQ150" s="148"/>
      <c r="AR150" s="148"/>
      <c r="AS150" s="148"/>
      <c r="AT150" s="148"/>
    </row>
    <row r="151" ht="15.75" customHeight="1">
      <c r="A151" s="37"/>
      <c r="B151" s="12"/>
      <c r="C151" s="49"/>
      <c r="D151" s="180"/>
      <c r="E151" s="107">
        <v>0.0</v>
      </c>
      <c r="F151" s="118"/>
      <c r="G151" s="136" t="s">
        <v>24</v>
      </c>
      <c r="H151" s="118"/>
      <c r="I151" s="107" t="s">
        <v>112</v>
      </c>
      <c r="J151" s="138"/>
      <c r="K151" s="17" t="str">
        <f t="shared" si="19"/>
        <v/>
      </c>
      <c r="L151" s="18" t="str">
        <f t="shared" si="20"/>
        <v/>
      </c>
      <c r="M151" s="3"/>
      <c r="N151" s="3"/>
      <c r="O151" s="3"/>
      <c r="P151" s="3"/>
      <c r="Q151" s="51"/>
      <c r="R151" s="51"/>
      <c r="S151" s="51"/>
      <c r="T151" s="51"/>
      <c r="U151" s="51"/>
      <c r="V151" s="51"/>
      <c r="AF151" s="175"/>
      <c r="AG151" s="175"/>
      <c r="AH151" s="175"/>
      <c r="AI151" s="175"/>
      <c r="AJ151" s="175"/>
      <c r="AK151" s="175"/>
      <c r="AL151" s="175"/>
      <c r="AM151" s="175"/>
      <c r="AN151" s="175"/>
      <c r="AO151" s="175"/>
      <c r="AP151" s="175"/>
      <c r="AQ151" s="175"/>
      <c r="AR151" s="175"/>
      <c r="AS151" s="175"/>
      <c r="AT151" s="175"/>
    </row>
    <row r="152" ht="15.75" customHeight="1">
      <c r="A152" s="179">
        <v>4.0</v>
      </c>
      <c r="B152" s="12">
        <v>45637.0</v>
      </c>
      <c r="C152" s="49" t="s">
        <v>58</v>
      </c>
      <c r="D152" s="49" t="s">
        <v>151</v>
      </c>
      <c r="E152" s="14" t="s">
        <v>117</v>
      </c>
      <c r="F152" s="118">
        <v>1.0</v>
      </c>
      <c r="G152" s="136" t="s">
        <v>24</v>
      </c>
      <c r="H152" s="118">
        <v>1.0</v>
      </c>
      <c r="I152" s="14" t="s">
        <v>140</v>
      </c>
      <c r="J152" s="163"/>
      <c r="K152" s="17">
        <f t="shared" si="19"/>
        <v>1</v>
      </c>
      <c r="L152" s="18">
        <f t="shared" si="20"/>
        <v>1</v>
      </c>
      <c r="M152" s="3"/>
      <c r="N152" s="3"/>
      <c r="O152" s="3"/>
      <c r="P152" s="3"/>
      <c r="Q152" s="4"/>
      <c r="R152" s="51"/>
      <c r="S152" s="51"/>
      <c r="T152" s="51"/>
      <c r="U152" s="51"/>
      <c r="V152" s="51"/>
      <c r="AF152" s="175"/>
      <c r="AG152" s="175"/>
      <c r="AH152" s="175"/>
      <c r="AI152" s="175"/>
      <c r="AJ152" s="175"/>
      <c r="AK152" s="175"/>
      <c r="AL152" s="175"/>
      <c r="AM152" s="175"/>
      <c r="AN152" s="175"/>
      <c r="AO152" s="175"/>
      <c r="AP152" s="175"/>
      <c r="AQ152" s="175"/>
      <c r="AR152" s="175"/>
      <c r="AS152" s="175"/>
      <c r="AT152" s="175"/>
    </row>
    <row r="153" ht="15.75" customHeight="1">
      <c r="A153" s="29"/>
      <c r="B153" s="12">
        <v>45637.0</v>
      </c>
      <c r="C153" s="49" t="s">
        <v>58</v>
      </c>
      <c r="D153" s="49" t="s">
        <v>151</v>
      </c>
      <c r="E153" s="14" t="s">
        <v>158</v>
      </c>
      <c r="F153" s="118">
        <v>1.0</v>
      </c>
      <c r="G153" s="136" t="s">
        <v>24</v>
      </c>
      <c r="H153" s="118">
        <v>2.0</v>
      </c>
      <c r="I153" s="14" t="s">
        <v>111</v>
      </c>
      <c r="J153" s="138"/>
      <c r="K153" s="17">
        <f t="shared" si="19"/>
        <v>0</v>
      </c>
      <c r="L153" s="18">
        <f t="shared" si="20"/>
        <v>3</v>
      </c>
      <c r="M153" s="3"/>
      <c r="N153" s="3"/>
      <c r="O153" s="3"/>
      <c r="P153" s="3"/>
      <c r="Q153" s="51"/>
      <c r="R153" s="51"/>
      <c r="S153" s="51"/>
      <c r="T153" s="51"/>
      <c r="U153" s="51"/>
      <c r="V153" s="51"/>
      <c r="AF153" s="175"/>
      <c r="AG153" s="175"/>
      <c r="AH153" s="175"/>
      <c r="AI153" s="175"/>
      <c r="AJ153" s="175"/>
      <c r="AK153" s="175"/>
      <c r="AL153" s="175"/>
      <c r="AM153" s="175"/>
      <c r="AN153" s="175"/>
      <c r="AO153" s="175"/>
      <c r="AP153" s="175"/>
      <c r="AQ153" s="175"/>
      <c r="AR153" s="175"/>
      <c r="AS153" s="175"/>
      <c r="AT153" s="175"/>
    </row>
    <row r="154" ht="15.75" customHeight="1">
      <c r="A154" s="29"/>
      <c r="B154" s="195"/>
      <c r="C154" s="197"/>
      <c r="D154" s="198"/>
      <c r="E154" s="14" t="s">
        <v>65</v>
      </c>
      <c r="F154" s="118"/>
      <c r="G154" s="136" t="s">
        <v>24</v>
      </c>
      <c r="H154" s="118"/>
      <c r="I154" s="14">
        <v>0.0</v>
      </c>
      <c r="J154" s="138"/>
      <c r="K154" s="17" t="str">
        <f t="shared" si="19"/>
        <v/>
      </c>
      <c r="L154" s="18" t="str">
        <f t="shared" si="20"/>
        <v/>
      </c>
      <c r="M154" s="3"/>
      <c r="N154" s="3"/>
      <c r="O154" s="3"/>
      <c r="P154" s="3"/>
      <c r="Q154" s="51"/>
      <c r="R154" s="51"/>
      <c r="S154" s="51"/>
      <c r="T154" s="51"/>
      <c r="U154" s="51"/>
      <c r="V154" s="51"/>
      <c r="AA154" s="175"/>
      <c r="AB154" s="176"/>
      <c r="AC154" s="175"/>
      <c r="AD154" s="175"/>
      <c r="AE154" s="175"/>
      <c r="AF154" s="175"/>
      <c r="AG154" s="175"/>
      <c r="AH154" s="175"/>
      <c r="AI154" s="175"/>
      <c r="AJ154" s="175"/>
      <c r="AK154" s="175"/>
      <c r="AL154" s="175"/>
      <c r="AM154" s="175"/>
      <c r="AN154" s="175"/>
      <c r="AO154" s="175"/>
      <c r="AP154" s="175"/>
      <c r="AQ154" s="175"/>
      <c r="AR154" s="175"/>
      <c r="AS154" s="175"/>
      <c r="AT154" s="175"/>
    </row>
    <row r="155" ht="15.75" customHeight="1">
      <c r="A155" s="29"/>
      <c r="B155" s="12">
        <v>45637.0</v>
      </c>
      <c r="C155" s="49" t="s">
        <v>59</v>
      </c>
      <c r="D155" s="49" t="s">
        <v>151</v>
      </c>
      <c r="E155" s="14" t="s">
        <v>73</v>
      </c>
      <c r="F155" s="118">
        <v>0.0</v>
      </c>
      <c r="G155" s="136" t="s">
        <v>24</v>
      </c>
      <c r="H155" s="118">
        <v>3.0</v>
      </c>
      <c r="I155" s="14" t="s">
        <v>33</v>
      </c>
      <c r="J155" s="138"/>
      <c r="K155" s="17">
        <f t="shared" si="19"/>
        <v>0</v>
      </c>
      <c r="L155" s="18">
        <f t="shared" si="20"/>
        <v>3</v>
      </c>
      <c r="M155" s="3"/>
      <c r="N155" s="3"/>
      <c r="O155" s="3"/>
      <c r="P155" s="3"/>
      <c r="Q155" s="51"/>
      <c r="R155" s="51"/>
      <c r="S155" s="51"/>
      <c r="T155" s="51"/>
      <c r="U155" s="51"/>
      <c r="V155" s="51"/>
      <c r="AA155" s="175"/>
      <c r="AB155" s="176"/>
      <c r="AC155" s="175"/>
      <c r="AD155" s="175"/>
      <c r="AE155" s="175"/>
      <c r="AF155" s="175"/>
      <c r="AG155" s="175"/>
      <c r="AH155" s="175"/>
      <c r="AI155" s="175"/>
      <c r="AJ155" s="175"/>
      <c r="AK155" s="175"/>
      <c r="AL155" s="175"/>
      <c r="AM155" s="175"/>
      <c r="AN155" s="175"/>
      <c r="AO155" s="175"/>
      <c r="AP155" s="175"/>
      <c r="AQ155" s="175"/>
      <c r="AR155" s="175"/>
      <c r="AS155" s="175"/>
      <c r="AT155" s="175"/>
    </row>
    <row r="156" ht="15.75" customHeight="1">
      <c r="A156" s="37"/>
      <c r="B156" s="12">
        <v>45637.0</v>
      </c>
      <c r="C156" s="49" t="s">
        <v>59</v>
      </c>
      <c r="D156" s="49" t="s">
        <v>151</v>
      </c>
      <c r="E156" s="107" t="s">
        <v>42</v>
      </c>
      <c r="F156" s="118">
        <v>3.0</v>
      </c>
      <c r="G156" s="136" t="s">
        <v>24</v>
      </c>
      <c r="H156" s="118">
        <v>0.0</v>
      </c>
      <c r="I156" s="107" t="s">
        <v>112</v>
      </c>
      <c r="J156" s="138"/>
      <c r="K156" s="17">
        <f t="shared" si="19"/>
        <v>3</v>
      </c>
      <c r="L156" s="18">
        <f t="shared" si="20"/>
        <v>0</v>
      </c>
      <c r="M156" s="3"/>
      <c r="N156" s="3"/>
      <c r="O156" s="3"/>
      <c r="P156" s="3"/>
      <c r="Q156" s="51"/>
      <c r="R156" s="51"/>
      <c r="S156" s="51"/>
      <c r="T156" s="51"/>
      <c r="U156" s="51"/>
      <c r="V156" s="51"/>
      <c r="AA156" s="175"/>
      <c r="AB156" s="176"/>
      <c r="AC156" s="175"/>
      <c r="AD156" s="175"/>
      <c r="AE156" s="175"/>
      <c r="AF156" s="175"/>
      <c r="AG156" s="175"/>
      <c r="AH156" s="175"/>
      <c r="AI156" s="175"/>
      <c r="AJ156" s="175"/>
      <c r="AK156" s="175"/>
      <c r="AL156" s="175"/>
      <c r="AM156" s="175"/>
      <c r="AN156" s="175"/>
      <c r="AO156" s="175"/>
      <c r="AP156" s="175"/>
      <c r="AQ156" s="175"/>
      <c r="AR156" s="175"/>
      <c r="AS156" s="175"/>
      <c r="AT156" s="175"/>
    </row>
    <row r="157" ht="15.75" customHeight="1">
      <c r="A157" s="179">
        <v>5.0</v>
      </c>
      <c r="B157" s="113">
        <v>45705.0</v>
      </c>
      <c r="C157" s="49" t="s">
        <v>77</v>
      </c>
      <c r="D157" s="180" t="s">
        <v>151</v>
      </c>
      <c r="E157" s="14" t="s">
        <v>33</v>
      </c>
      <c r="F157" s="118">
        <v>2.0</v>
      </c>
      <c r="G157" s="136" t="s">
        <v>24</v>
      </c>
      <c r="H157" s="118">
        <v>1.0</v>
      </c>
      <c r="I157" s="14" t="s">
        <v>117</v>
      </c>
      <c r="J157" s="138"/>
      <c r="K157" s="17">
        <f t="shared" si="19"/>
        <v>3</v>
      </c>
      <c r="L157" s="18">
        <f t="shared" si="20"/>
        <v>0</v>
      </c>
      <c r="M157" s="3"/>
      <c r="N157" s="3"/>
      <c r="O157" s="3"/>
      <c r="P157" s="3"/>
      <c r="Q157" s="51"/>
      <c r="R157" s="51"/>
      <c r="S157" s="51"/>
      <c r="T157" s="51"/>
      <c r="U157" s="51"/>
      <c r="V157" s="51"/>
      <c r="AA157" s="175"/>
      <c r="AB157" s="176"/>
      <c r="AC157" s="175"/>
      <c r="AD157" s="175"/>
      <c r="AE157" s="175"/>
      <c r="AF157" s="175"/>
      <c r="AG157" s="175"/>
      <c r="AH157" s="175"/>
      <c r="AI157" s="175"/>
      <c r="AJ157" s="175"/>
      <c r="AK157" s="175"/>
      <c r="AL157" s="175"/>
      <c r="AM157" s="175"/>
      <c r="AN157" s="175"/>
      <c r="AO157" s="175"/>
      <c r="AP157" s="175"/>
      <c r="AQ157" s="175"/>
      <c r="AR157" s="175"/>
      <c r="AS157" s="175"/>
      <c r="AT157" s="175"/>
    </row>
    <row r="158" ht="15.75" customHeight="1">
      <c r="A158" s="29"/>
      <c r="B158" s="113">
        <v>45705.0</v>
      </c>
      <c r="C158" s="49" t="s">
        <v>58</v>
      </c>
      <c r="D158" s="180" t="s">
        <v>151</v>
      </c>
      <c r="E158" s="14" t="s">
        <v>140</v>
      </c>
      <c r="F158" s="118">
        <v>1.0</v>
      </c>
      <c r="G158" s="136" t="s">
        <v>24</v>
      </c>
      <c r="H158" s="118">
        <v>5.0</v>
      </c>
      <c r="I158" s="14" t="s">
        <v>158</v>
      </c>
      <c r="J158" s="138"/>
      <c r="K158" s="17">
        <f t="shared" si="19"/>
        <v>0</v>
      </c>
      <c r="L158" s="18">
        <f t="shared" si="20"/>
        <v>3</v>
      </c>
      <c r="M158" s="3"/>
      <c r="N158" s="3"/>
      <c r="O158" s="3"/>
      <c r="P158" s="3"/>
      <c r="Q158" s="51"/>
      <c r="R158" s="51"/>
      <c r="S158" s="51"/>
      <c r="T158" s="51"/>
      <c r="U158" s="51"/>
      <c r="V158" s="51"/>
      <c r="AA158" s="175"/>
      <c r="AB158" s="176"/>
      <c r="AC158" s="175"/>
      <c r="AD158" s="175"/>
      <c r="AE158" s="175"/>
      <c r="AF158" s="175"/>
      <c r="AG158" s="175"/>
      <c r="AH158" s="175"/>
      <c r="AI158" s="175"/>
      <c r="AJ158" s="175"/>
      <c r="AK158" s="175"/>
      <c r="AL158" s="175"/>
      <c r="AM158" s="175"/>
      <c r="AN158" s="175"/>
      <c r="AO158" s="175"/>
      <c r="AP158" s="175"/>
      <c r="AQ158" s="175"/>
      <c r="AR158" s="175"/>
      <c r="AS158" s="175"/>
      <c r="AT158" s="175"/>
    </row>
    <row r="159" ht="15.75" customHeight="1">
      <c r="A159" s="29"/>
      <c r="B159" s="113">
        <v>45705.0</v>
      </c>
      <c r="C159" s="49" t="s">
        <v>59</v>
      </c>
      <c r="D159" s="180" t="s">
        <v>151</v>
      </c>
      <c r="E159" s="14" t="s">
        <v>111</v>
      </c>
      <c r="F159" s="118">
        <v>1.0</v>
      </c>
      <c r="G159" s="136" t="s">
        <v>24</v>
      </c>
      <c r="H159" s="118">
        <v>10.0</v>
      </c>
      <c r="I159" s="14" t="s">
        <v>65</v>
      </c>
      <c r="J159" s="138"/>
      <c r="K159" s="17">
        <f t="shared" si="19"/>
        <v>0</v>
      </c>
      <c r="L159" s="18">
        <f t="shared" si="20"/>
        <v>3</v>
      </c>
      <c r="M159" s="3"/>
      <c r="N159" s="3"/>
      <c r="O159" s="3"/>
      <c r="P159" s="3"/>
      <c r="Q159" s="51"/>
      <c r="R159" s="51"/>
      <c r="S159" s="51"/>
      <c r="T159" s="51"/>
      <c r="U159" s="51"/>
      <c r="V159" s="51"/>
      <c r="AA159" s="175"/>
      <c r="AB159" s="176"/>
      <c r="AC159" s="175"/>
      <c r="AD159" s="175"/>
      <c r="AE159" s="175"/>
      <c r="AF159" s="175"/>
      <c r="AG159" s="175"/>
      <c r="AH159" s="175"/>
      <c r="AI159" s="175"/>
      <c r="AJ159" s="175"/>
      <c r="AK159" s="175"/>
      <c r="AL159" s="175"/>
      <c r="AM159" s="175"/>
      <c r="AN159" s="175"/>
      <c r="AO159" s="175"/>
      <c r="AP159" s="175"/>
      <c r="AQ159" s="175"/>
      <c r="AR159" s="175"/>
      <c r="AS159" s="175"/>
      <c r="AT159" s="175"/>
    </row>
    <row r="160" ht="15.75" customHeight="1">
      <c r="A160" s="29"/>
      <c r="B160" s="113">
        <v>45707.0</v>
      </c>
      <c r="C160" s="49" t="s">
        <v>58</v>
      </c>
      <c r="D160" s="180" t="s">
        <v>151</v>
      </c>
      <c r="E160" s="107" t="s">
        <v>112</v>
      </c>
      <c r="F160" s="118">
        <v>2.0</v>
      </c>
      <c r="G160" s="136" t="s">
        <v>24</v>
      </c>
      <c r="H160" s="118">
        <v>1.0</v>
      </c>
      <c r="I160" s="107" t="s">
        <v>73</v>
      </c>
      <c r="J160" s="138"/>
      <c r="K160" s="17">
        <f t="shared" si="19"/>
        <v>3</v>
      </c>
      <c r="L160" s="18">
        <f t="shared" si="20"/>
        <v>0</v>
      </c>
      <c r="M160" s="3"/>
      <c r="N160" s="3"/>
      <c r="O160" s="3"/>
      <c r="P160" s="3"/>
      <c r="Q160" s="51"/>
      <c r="R160" s="51"/>
      <c r="S160" s="51"/>
      <c r="T160" s="51"/>
      <c r="U160" s="51"/>
      <c r="V160" s="51"/>
      <c r="AA160" s="175"/>
      <c r="AB160" s="176"/>
      <c r="AC160" s="175"/>
      <c r="AD160" s="175"/>
      <c r="AE160" s="175"/>
      <c r="AF160" s="175"/>
      <c r="AG160" s="175"/>
      <c r="AH160" s="175"/>
      <c r="AI160" s="175"/>
      <c r="AJ160" s="175"/>
      <c r="AK160" s="175"/>
      <c r="AL160" s="175"/>
      <c r="AM160" s="175"/>
      <c r="AN160" s="175"/>
      <c r="AO160" s="175"/>
      <c r="AP160" s="175"/>
      <c r="AQ160" s="175"/>
      <c r="AR160" s="175"/>
      <c r="AS160" s="175"/>
      <c r="AT160" s="175"/>
    </row>
    <row r="161" ht="15.75" customHeight="1">
      <c r="A161" s="37"/>
      <c r="B161" s="113"/>
      <c r="C161" s="13"/>
      <c r="D161" s="180" t="s">
        <v>151</v>
      </c>
      <c r="E161" s="107">
        <v>0.0</v>
      </c>
      <c r="F161" s="118"/>
      <c r="G161" s="136" t="s">
        <v>24</v>
      </c>
      <c r="H161" s="118"/>
      <c r="I161" s="107" t="s">
        <v>42</v>
      </c>
      <c r="J161" s="138"/>
      <c r="K161" s="17" t="str">
        <f t="shared" si="19"/>
        <v/>
      </c>
      <c r="L161" s="18" t="str">
        <f t="shared" si="20"/>
        <v/>
      </c>
      <c r="M161" s="3"/>
      <c r="N161" s="3"/>
      <c r="O161" s="3"/>
      <c r="P161" s="3"/>
      <c r="Q161" s="51"/>
      <c r="R161" s="51"/>
      <c r="S161" s="51"/>
      <c r="T161" s="51"/>
      <c r="U161" s="51"/>
      <c r="V161" s="51"/>
      <c r="AA161" s="175"/>
      <c r="AB161" s="176"/>
      <c r="AC161" s="175"/>
      <c r="AD161" s="175"/>
      <c r="AE161" s="175"/>
      <c r="AF161" s="175"/>
      <c r="AG161" s="175"/>
      <c r="AH161" s="175"/>
      <c r="AI161" s="175"/>
      <c r="AJ161" s="175"/>
      <c r="AK161" s="175"/>
      <c r="AL161" s="175"/>
      <c r="AM161" s="175"/>
      <c r="AN161" s="175"/>
      <c r="AO161" s="175"/>
      <c r="AP161" s="175"/>
      <c r="AQ161" s="175"/>
      <c r="AR161" s="175"/>
      <c r="AS161" s="175"/>
      <c r="AT161" s="175"/>
    </row>
    <row r="162" ht="15.75" customHeight="1">
      <c r="A162" s="179">
        <v>6.0</v>
      </c>
      <c r="B162" s="113">
        <v>45727.0</v>
      </c>
      <c r="C162" s="49" t="s">
        <v>58</v>
      </c>
      <c r="D162" s="180" t="s">
        <v>151</v>
      </c>
      <c r="E162" s="107" t="s">
        <v>117</v>
      </c>
      <c r="F162" s="118">
        <v>2.0</v>
      </c>
      <c r="G162" s="136" t="s">
        <v>24</v>
      </c>
      <c r="H162" s="118">
        <v>4.0</v>
      </c>
      <c r="I162" s="107" t="s">
        <v>112</v>
      </c>
      <c r="J162" s="138"/>
      <c r="K162" s="17">
        <f t="shared" si="19"/>
        <v>0</v>
      </c>
      <c r="L162" s="18">
        <f t="shared" si="20"/>
        <v>3</v>
      </c>
      <c r="M162" s="3"/>
      <c r="N162" s="3"/>
      <c r="O162" s="3"/>
      <c r="P162" s="3"/>
      <c r="Q162" s="51"/>
      <c r="R162" s="51"/>
      <c r="S162" s="51"/>
      <c r="T162" s="51"/>
      <c r="U162" s="51"/>
      <c r="V162" s="51"/>
      <c r="AA162" s="175"/>
      <c r="AB162" s="176"/>
      <c r="AC162" s="175"/>
      <c r="AD162" s="175"/>
      <c r="AE162" s="175"/>
      <c r="AF162" s="175"/>
      <c r="AG162" s="175"/>
      <c r="AH162" s="175"/>
      <c r="AI162" s="175"/>
      <c r="AJ162" s="175"/>
      <c r="AK162" s="175"/>
      <c r="AL162" s="175"/>
      <c r="AM162" s="175"/>
      <c r="AN162" s="175"/>
      <c r="AO162" s="175"/>
      <c r="AP162" s="175"/>
      <c r="AQ162" s="175"/>
      <c r="AR162" s="175"/>
      <c r="AS162" s="175"/>
      <c r="AT162" s="175"/>
    </row>
    <row r="163" ht="15.75" customHeight="1">
      <c r="A163" s="29"/>
      <c r="B163" s="113">
        <v>45729.0</v>
      </c>
      <c r="C163" s="49" t="s">
        <v>77</v>
      </c>
      <c r="D163" s="180" t="s">
        <v>151</v>
      </c>
      <c r="E163" s="14" t="s">
        <v>158</v>
      </c>
      <c r="F163" s="118">
        <v>3.0</v>
      </c>
      <c r="G163" s="136" t="s">
        <v>24</v>
      </c>
      <c r="H163" s="118">
        <v>5.0</v>
      </c>
      <c r="I163" s="14" t="s">
        <v>33</v>
      </c>
      <c r="J163" s="138"/>
      <c r="K163" s="17">
        <f t="shared" si="19"/>
        <v>0</v>
      </c>
      <c r="L163" s="18">
        <f t="shared" si="20"/>
        <v>3</v>
      </c>
      <c r="M163" s="3"/>
      <c r="N163" s="3"/>
      <c r="O163" s="3"/>
      <c r="P163" s="3"/>
      <c r="Q163" s="51"/>
      <c r="R163" s="51"/>
      <c r="S163" s="51"/>
      <c r="T163" s="51"/>
      <c r="U163" s="51"/>
      <c r="V163" s="51"/>
      <c r="AA163" s="175"/>
      <c r="AB163" s="176"/>
      <c r="AC163" s="175"/>
      <c r="AD163" s="175"/>
      <c r="AE163" s="175"/>
      <c r="AF163" s="175"/>
      <c r="AG163" s="175"/>
      <c r="AH163" s="175"/>
      <c r="AI163" s="175"/>
      <c r="AJ163" s="175"/>
      <c r="AK163" s="175"/>
      <c r="AL163" s="175"/>
      <c r="AM163" s="175"/>
      <c r="AN163" s="175"/>
      <c r="AO163" s="175"/>
      <c r="AP163" s="175"/>
      <c r="AQ163" s="175"/>
      <c r="AR163" s="175"/>
      <c r="AS163" s="175"/>
      <c r="AT163" s="175"/>
    </row>
    <row r="164" ht="15.75" customHeight="1">
      <c r="A164" s="29"/>
      <c r="B164" s="113">
        <v>45726.0</v>
      </c>
      <c r="C164" s="49" t="s">
        <v>77</v>
      </c>
      <c r="D164" s="180" t="s">
        <v>151</v>
      </c>
      <c r="E164" s="14" t="s">
        <v>65</v>
      </c>
      <c r="F164" s="118">
        <v>2.0</v>
      </c>
      <c r="G164" s="136" t="s">
        <v>24</v>
      </c>
      <c r="H164" s="118">
        <v>1.0</v>
      </c>
      <c r="I164" s="14" t="s">
        <v>140</v>
      </c>
      <c r="J164" s="138"/>
      <c r="K164" s="17">
        <f t="shared" si="19"/>
        <v>3</v>
      </c>
      <c r="L164" s="18">
        <f t="shared" si="20"/>
        <v>0</v>
      </c>
      <c r="M164" s="3"/>
      <c r="N164" s="3"/>
      <c r="O164" s="3"/>
      <c r="P164" s="3"/>
      <c r="Q164" s="51"/>
      <c r="R164" s="51"/>
      <c r="S164" s="51"/>
      <c r="T164" s="51"/>
      <c r="U164" s="51"/>
      <c r="V164" s="51"/>
      <c r="AA164" s="175"/>
      <c r="AB164" s="176"/>
      <c r="AC164" s="175"/>
      <c r="AD164" s="175"/>
      <c r="AE164" s="175"/>
      <c r="AF164" s="175"/>
      <c r="AG164" s="175"/>
      <c r="AH164" s="175"/>
      <c r="AI164" s="175"/>
      <c r="AJ164" s="175"/>
      <c r="AK164" s="175"/>
      <c r="AL164" s="175"/>
      <c r="AM164" s="175"/>
      <c r="AN164" s="175"/>
      <c r="AO164" s="175"/>
      <c r="AP164" s="175"/>
      <c r="AQ164" s="175"/>
      <c r="AR164" s="175"/>
      <c r="AS164" s="175"/>
      <c r="AT164" s="175"/>
    </row>
    <row r="165" ht="15.75" customHeight="1">
      <c r="A165" s="29"/>
      <c r="B165" s="195"/>
      <c r="C165" s="197"/>
      <c r="D165" s="180" t="s">
        <v>151</v>
      </c>
      <c r="E165" s="14" t="s">
        <v>111</v>
      </c>
      <c r="F165" s="118"/>
      <c r="G165" s="136" t="s">
        <v>24</v>
      </c>
      <c r="H165" s="118"/>
      <c r="I165" s="14">
        <v>0.0</v>
      </c>
      <c r="K165" s="17" t="str">
        <f t="shared" si="19"/>
        <v/>
      </c>
      <c r="L165" s="18" t="str">
        <f t="shared" si="20"/>
        <v/>
      </c>
      <c r="AJ165" s="175"/>
      <c r="AK165" s="175"/>
      <c r="AL165" s="175"/>
      <c r="AM165" s="175"/>
      <c r="AN165" s="175"/>
      <c r="AO165" s="175"/>
      <c r="AP165" s="175"/>
      <c r="AQ165" s="175"/>
      <c r="AR165" s="175"/>
      <c r="AS165" s="175"/>
      <c r="AT165" s="175"/>
    </row>
    <row r="166" ht="15.75" customHeight="1">
      <c r="A166" s="37"/>
      <c r="B166" s="113">
        <v>45727.0</v>
      </c>
      <c r="C166" s="49" t="s">
        <v>77</v>
      </c>
      <c r="D166" s="180" t="s">
        <v>151</v>
      </c>
      <c r="E166" s="14" t="s">
        <v>73</v>
      </c>
      <c r="F166" s="118">
        <v>0.0</v>
      </c>
      <c r="G166" s="136" t="s">
        <v>24</v>
      </c>
      <c r="H166" s="118">
        <v>3.0</v>
      </c>
      <c r="I166" s="14" t="s">
        <v>42</v>
      </c>
      <c r="J166" s="177"/>
      <c r="K166" s="17">
        <f t="shared" si="19"/>
        <v>0</v>
      </c>
      <c r="L166" s="18">
        <f t="shared" si="20"/>
        <v>3</v>
      </c>
      <c r="Q166" s="4"/>
      <c r="R166" s="4"/>
      <c r="S166" s="4"/>
      <c r="T166" s="4"/>
      <c r="U166" s="4"/>
      <c r="V166" s="4"/>
      <c r="AA166" s="175"/>
      <c r="AB166" s="176"/>
      <c r="AC166" s="175"/>
      <c r="AD166" s="175"/>
      <c r="AE166" s="175"/>
      <c r="AF166" s="175"/>
      <c r="AG166" s="175"/>
      <c r="AH166" s="175"/>
      <c r="AI166" s="175"/>
      <c r="AJ166" s="175"/>
      <c r="AK166" s="175"/>
      <c r="AL166" s="175"/>
      <c r="AM166" s="175"/>
      <c r="AN166" s="175"/>
      <c r="AO166" s="175"/>
      <c r="AP166" s="175"/>
      <c r="AQ166" s="175"/>
      <c r="AR166" s="175"/>
      <c r="AS166" s="175"/>
      <c r="AT166" s="175"/>
    </row>
    <row r="167" ht="15.75" customHeight="1">
      <c r="A167" s="179">
        <v>7.0</v>
      </c>
      <c r="B167" s="113">
        <v>45748.0</v>
      </c>
      <c r="C167" s="49" t="s">
        <v>77</v>
      </c>
      <c r="D167" s="180" t="s">
        <v>151</v>
      </c>
      <c r="E167" s="14" t="s">
        <v>42</v>
      </c>
      <c r="F167" s="118">
        <v>5.0</v>
      </c>
      <c r="G167" s="136" t="s">
        <v>24</v>
      </c>
      <c r="H167" s="118">
        <v>0.0</v>
      </c>
      <c r="I167" s="14" t="s">
        <v>117</v>
      </c>
      <c r="J167" s="177"/>
      <c r="K167" s="17">
        <f t="shared" si="19"/>
        <v>3</v>
      </c>
      <c r="L167" s="18">
        <f t="shared" si="20"/>
        <v>0</v>
      </c>
      <c r="Q167" s="4"/>
      <c r="R167" s="4"/>
      <c r="S167" s="4"/>
      <c r="T167" s="4"/>
      <c r="U167" s="4"/>
      <c r="V167" s="4"/>
      <c r="AA167" s="175"/>
      <c r="AB167" s="176"/>
      <c r="AC167" s="175"/>
      <c r="AD167" s="175"/>
      <c r="AE167" s="175"/>
      <c r="AF167" s="175"/>
      <c r="AG167" s="175"/>
      <c r="AH167" s="175"/>
      <c r="AI167" s="175"/>
      <c r="AJ167" s="175"/>
      <c r="AK167" s="175"/>
      <c r="AL167" s="175"/>
      <c r="AM167" s="175"/>
      <c r="AN167" s="175"/>
      <c r="AO167" s="175"/>
      <c r="AP167" s="175"/>
      <c r="AQ167" s="175"/>
      <c r="AR167" s="175"/>
      <c r="AS167" s="175"/>
      <c r="AT167" s="175"/>
    </row>
    <row r="168" ht="15.75" customHeight="1">
      <c r="A168" s="29"/>
      <c r="B168" s="113">
        <v>45756.0</v>
      </c>
      <c r="C168" s="49" t="s">
        <v>54</v>
      </c>
      <c r="D168" s="180" t="s">
        <v>151</v>
      </c>
      <c r="E168" s="14" t="s">
        <v>112</v>
      </c>
      <c r="F168" s="118">
        <v>0.0</v>
      </c>
      <c r="G168" s="136" t="s">
        <v>24</v>
      </c>
      <c r="H168" s="118">
        <v>3.0</v>
      </c>
      <c r="I168" s="14" t="s">
        <v>158</v>
      </c>
      <c r="J168" s="177"/>
      <c r="K168" s="17">
        <f t="shared" si="19"/>
        <v>0</v>
      </c>
      <c r="L168" s="18">
        <f t="shared" si="20"/>
        <v>3</v>
      </c>
      <c r="Q168" s="4"/>
      <c r="R168" s="4"/>
      <c r="S168" s="4"/>
      <c r="T168" s="4"/>
      <c r="U168" s="4"/>
      <c r="V168" s="4"/>
      <c r="AA168" s="175"/>
      <c r="AB168" s="176"/>
      <c r="AC168" s="175"/>
      <c r="AD168" s="175"/>
      <c r="AE168" s="175"/>
      <c r="AF168" s="175"/>
      <c r="AG168" s="175"/>
      <c r="AH168" s="175"/>
      <c r="AI168" s="175"/>
      <c r="AJ168" s="175"/>
      <c r="AK168" s="175"/>
      <c r="AL168" s="175"/>
      <c r="AM168" s="175"/>
      <c r="AN168" s="175"/>
      <c r="AO168" s="175"/>
      <c r="AP168" s="175"/>
      <c r="AQ168" s="175"/>
      <c r="AR168" s="175"/>
      <c r="AS168" s="175"/>
      <c r="AT168" s="175"/>
    </row>
    <row r="169" ht="15.75" customHeight="1">
      <c r="A169" s="29"/>
      <c r="B169" s="113">
        <v>45754.0</v>
      </c>
      <c r="C169" s="49" t="s">
        <v>58</v>
      </c>
      <c r="D169" s="180" t="s">
        <v>151</v>
      </c>
      <c r="E169" s="14" t="s">
        <v>33</v>
      </c>
      <c r="F169" s="118">
        <v>4.0</v>
      </c>
      <c r="G169" s="136" t="s">
        <v>24</v>
      </c>
      <c r="H169" s="118">
        <v>6.0</v>
      </c>
      <c r="I169" s="14" t="s">
        <v>65</v>
      </c>
      <c r="J169" s="177"/>
      <c r="K169" s="17">
        <f t="shared" si="19"/>
        <v>0</v>
      </c>
      <c r="L169" s="18">
        <f t="shared" si="20"/>
        <v>3</v>
      </c>
      <c r="Q169" s="4"/>
      <c r="R169" s="4"/>
      <c r="S169" s="4"/>
      <c r="T169" s="4"/>
      <c r="U169" s="4"/>
      <c r="V169" s="4"/>
      <c r="AA169" s="175"/>
      <c r="AB169" s="176"/>
      <c r="AC169" s="175"/>
      <c r="AD169" s="175"/>
      <c r="AE169" s="175"/>
      <c r="AF169" s="175"/>
      <c r="AG169" s="175"/>
      <c r="AH169" s="175"/>
      <c r="AI169" s="175"/>
      <c r="AJ169" s="175"/>
      <c r="AK169" s="175"/>
      <c r="AL169" s="175"/>
      <c r="AM169" s="175"/>
      <c r="AN169" s="175"/>
      <c r="AO169" s="175"/>
      <c r="AP169" s="175"/>
      <c r="AQ169" s="175"/>
      <c r="AR169" s="175"/>
      <c r="AS169" s="175"/>
      <c r="AT169" s="175"/>
    </row>
    <row r="170" ht="15.75" customHeight="1">
      <c r="A170" s="29"/>
      <c r="B170" s="113">
        <v>45755.0</v>
      </c>
      <c r="C170" s="49" t="s">
        <v>59</v>
      </c>
      <c r="D170" s="180" t="s">
        <v>151</v>
      </c>
      <c r="E170" s="14" t="s">
        <v>140</v>
      </c>
      <c r="F170" s="118">
        <v>1.0</v>
      </c>
      <c r="G170" s="136" t="s">
        <v>24</v>
      </c>
      <c r="H170" s="118">
        <v>3.0</v>
      </c>
      <c r="I170" s="14" t="s">
        <v>111</v>
      </c>
      <c r="J170" s="177"/>
      <c r="K170" s="17">
        <f t="shared" si="19"/>
        <v>0</v>
      </c>
      <c r="L170" s="18">
        <f t="shared" si="20"/>
        <v>3</v>
      </c>
      <c r="Q170" s="4"/>
      <c r="R170" s="4"/>
      <c r="S170" s="4"/>
      <c r="T170" s="4"/>
      <c r="U170" s="4"/>
      <c r="V170" s="4"/>
      <c r="AA170" s="175"/>
      <c r="AB170" s="176"/>
      <c r="AC170" s="175"/>
      <c r="AD170" s="175"/>
      <c r="AE170" s="175"/>
      <c r="AF170" s="175"/>
      <c r="AG170" s="175"/>
      <c r="AH170" s="175"/>
      <c r="AI170" s="175"/>
      <c r="AJ170" s="175"/>
      <c r="AK170" s="175"/>
      <c r="AL170" s="175"/>
      <c r="AM170" s="175"/>
      <c r="AN170" s="175"/>
      <c r="AO170" s="175"/>
      <c r="AP170" s="175"/>
      <c r="AQ170" s="175"/>
      <c r="AR170" s="175"/>
      <c r="AS170" s="175"/>
      <c r="AT170" s="175"/>
    </row>
    <row r="171" ht="15.75" customHeight="1">
      <c r="A171" s="37"/>
      <c r="B171" s="12"/>
      <c r="C171" s="49"/>
      <c r="D171" s="180" t="s">
        <v>151</v>
      </c>
      <c r="E171" s="14">
        <v>0.0</v>
      </c>
      <c r="F171" s="118"/>
      <c r="G171" s="136" t="s">
        <v>24</v>
      </c>
      <c r="H171" s="118"/>
      <c r="I171" s="14" t="s">
        <v>73</v>
      </c>
      <c r="J171" s="177"/>
      <c r="K171" s="17" t="str">
        <f t="shared" si="19"/>
        <v/>
      </c>
      <c r="L171" s="18" t="str">
        <f t="shared" si="20"/>
        <v/>
      </c>
      <c r="Q171" s="4"/>
      <c r="R171" s="4"/>
      <c r="S171" s="4"/>
      <c r="T171" s="4"/>
      <c r="U171" s="4"/>
      <c r="V171" s="4"/>
      <c r="AA171" s="175"/>
      <c r="AB171" s="176"/>
      <c r="AC171" s="175"/>
      <c r="AD171" s="175"/>
      <c r="AE171" s="175"/>
      <c r="AF171" s="175"/>
      <c r="AG171" s="175"/>
      <c r="AH171" s="175"/>
      <c r="AI171" s="175"/>
      <c r="AJ171" s="175"/>
      <c r="AK171" s="175"/>
      <c r="AL171" s="175"/>
      <c r="AM171" s="175"/>
      <c r="AN171" s="175"/>
      <c r="AO171" s="175"/>
      <c r="AP171" s="175"/>
      <c r="AQ171" s="175"/>
      <c r="AR171" s="175"/>
      <c r="AS171" s="175"/>
      <c r="AT171" s="175"/>
    </row>
    <row r="172" ht="15.75" customHeight="1">
      <c r="A172" s="179">
        <v>8.0</v>
      </c>
      <c r="B172" s="12">
        <v>45782.0</v>
      </c>
      <c r="C172" s="49" t="s">
        <v>77</v>
      </c>
      <c r="D172" s="180" t="s">
        <v>151</v>
      </c>
      <c r="E172" s="14" t="s">
        <v>117</v>
      </c>
      <c r="F172" s="118">
        <v>2.0</v>
      </c>
      <c r="G172" s="136" t="s">
        <v>24</v>
      </c>
      <c r="H172" s="118">
        <v>3.0</v>
      </c>
      <c r="I172" s="14" t="s">
        <v>73</v>
      </c>
      <c r="J172" s="177"/>
      <c r="K172" s="17">
        <f t="shared" si="19"/>
        <v>0</v>
      </c>
      <c r="L172" s="18">
        <f t="shared" si="20"/>
        <v>3</v>
      </c>
      <c r="Q172" s="4"/>
      <c r="R172" s="4"/>
      <c r="S172" s="4"/>
      <c r="T172" s="4"/>
      <c r="U172" s="4"/>
      <c r="V172" s="4"/>
      <c r="AA172" s="175"/>
      <c r="AB172" s="176"/>
      <c r="AC172" s="175"/>
      <c r="AD172" s="175"/>
      <c r="AE172" s="175"/>
      <c r="AF172" s="175"/>
      <c r="AG172" s="175"/>
      <c r="AH172" s="175"/>
      <c r="AI172" s="175"/>
      <c r="AJ172" s="175"/>
      <c r="AK172" s="175"/>
      <c r="AL172" s="175"/>
      <c r="AM172" s="175"/>
      <c r="AN172" s="175"/>
      <c r="AO172" s="175"/>
      <c r="AP172" s="175"/>
      <c r="AQ172" s="175"/>
      <c r="AR172" s="175"/>
      <c r="AS172" s="175"/>
      <c r="AT172" s="175"/>
    </row>
    <row r="173" ht="15.75" customHeight="1">
      <c r="A173" s="29"/>
      <c r="B173" s="12">
        <v>45782.0</v>
      </c>
      <c r="C173" s="49" t="s">
        <v>58</v>
      </c>
      <c r="D173" s="180" t="s">
        <v>151</v>
      </c>
      <c r="E173" s="14" t="s">
        <v>158</v>
      </c>
      <c r="F173" s="118">
        <v>0.0</v>
      </c>
      <c r="G173" s="136" t="s">
        <v>24</v>
      </c>
      <c r="H173" s="118">
        <v>1.0</v>
      </c>
      <c r="I173" s="14" t="s">
        <v>42</v>
      </c>
      <c r="J173" s="177"/>
      <c r="K173" s="17">
        <f t="shared" si="19"/>
        <v>0</v>
      </c>
      <c r="L173" s="18">
        <f t="shared" si="20"/>
        <v>3</v>
      </c>
      <c r="Q173" s="4"/>
      <c r="R173" s="4"/>
      <c r="S173" s="4"/>
      <c r="T173" s="4"/>
      <c r="U173" s="4"/>
      <c r="V173" s="4"/>
      <c r="AA173" s="175"/>
      <c r="AB173" s="176"/>
      <c r="AC173" s="175"/>
      <c r="AD173" s="175"/>
      <c r="AE173" s="175"/>
      <c r="AF173" s="175"/>
      <c r="AG173" s="175"/>
      <c r="AH173" s="175"/>
      <c r="AI173" s="175"/>
      <c r="AJ173" s="175"/>
      <c r="AK173" s="175"/>
      <c r="AL173" s="175"/>
      <c r="AM173" s="175"/>
      <c r="AN173" s="175"/>
      <c r="AO173" s="175"/>
      <c r="AP173" s="175"/>
      <c r="AQ173" s="175"/>
      <c r="AR173" s="175"/>
      <c r="AS173" s="175"/>
      <c r="AT173" s="175"/>
    </row>
    <row r="174" ht="15.75" customHeight="1">
      <c r="A174" s="29"/>
      <c r="B174" s="12">
        <v>45782.0</v>
      </c>
      <c r="C174" s="49" t="s">
        <v>59</v>
      </c>
      <c r="D174" s="180" t="s">
        <v>151</v>
      </c>
      <c r="E174" s="14" t="s">
        <v>65</v>
      </c>
      <c r="F174" s="118">
        <v>4.0</v>
      </c>
      <c r="G174" s="136" t="s">
        <v>24</v>
      </c>
      <c r="H174" s="118">
        <v>1.0</v>
      </c>
      <c r="I174" s="14" t="s">
        <v>112</v>
      </c>
      <c r="J174" s="177"/>
      <c r="K174" s="17">
        <f t="shared" si="19"/>
        <v>3</v>
      </c>
      <c r="L174" s="18">
        <f t="shared" si="20"/>
        <v>0</v>
      </c>
      <c r="Q174" s="4"/>
      <c r="R174" s="4"/>
      <c r="S174" s="4"/>
      <c r="T174" s="4"/>
      <c r="U174" s="4"/>
      <c r="V174" s="4"/>
      <c r="AA174" s="175"/>
      <c r="AB174" s="176"/>
      <c r="AC174" s="175"/>
      <c r="AD174" s="175"/>
      <c r="AE174" s="175"/>
      <c r="AF174" s="175"/>
      <c r="AG174" s="175"/>
      <c r="AH174" s="175"/>
      <c r="AI174" s="175"/>
      <c r="AJ174" s="175"/>
      <c r="AK174" s="175"/>
      <c r="AL174" s="175"/>
      <c r="AM174" s="175"/>
      <c r="AN174" s="175"/>
      <c r="AO174" s="175"/>
      <c r="AP174" s="175"/>
      <c r="AQ174" s="175"/>
      <c r="AR174" s="175"/>
      <c r="AS174" s="175"/>
      <c r="AT174" s="175"/>
    </row>
    <row r="175" ht="15.75" customHeight="1">
      <c r="A175" s="29"/>
      <c r="B175" s="113">
        <v>45783.0</v>
      </c>
      <c r="C175" s="49" t="s">
        <v>77</v>
      </c>
      <c r="D175" s="180" t="s">
        <v>151</v>
      </c>
      <c r="E175" s="14" t="s">
        <v>111</v>
      </c>
      <c r="F175" s="118">
        <v>1.0</v>
      </c>
      <c r="G175" s="136" t="s">
        <v>24</v>
      </c>
      <c r="H175" s="118">
        <v>6.0</v>
      </c>
      <c r="I175" s="14" t="s">
        <v>33</v>
      </c>
      <c r="J175" s="177"/>
      <c r="K175" s="17">
        <f t="shared" si="19"/>
        <v>0</v>
      </c>
      <c r="L175" s="18">
        <f t="shared" si="20"/>
        <v>3</v>
      </c>
      <c r="Q175" s="4"/>
      <c r="R175" s="4"/>
      <c r="S175" s="4"/>
      <c r="T175" s="4"/>
      <c r="U175" s="4"/>
      <c r="V175" s="4"/>
      <c r="AA175" s="175"/>
      <c r="AB175" s="176"/>
      <c r="AC175" s="175"/>
      <c r="AD175" s="175"/>
      <c r="AE175" s="175"/>
      <c r="AF175" s="175"/>
      <c r="AG175" s="175"/>
      <c r="AH175" s="175"/>
      <c r="AI175" s="175"/>
      <c r="AJ175" s="175"/>
      <c r="AK175" s="175"/>
      <c r="AL175" s="175"/>
      <c r="AM175" s="175"/>
      <c r="AN175" s="175"/>
      <c r="AO175" s="175"/>
      <c r="AP175" s="175"/>
      <c r="AQ175" s="175"/>
      <c r="AR175" s="175"/>
      <c r="AS175" s="175"/>
      <c r="AT175" s="175"/>
    </row>
    <row r="176" ht="15.75" customHeight="1">
      <c r="A176" s="37"/>
      <c r="B176" s="12"/>
      <c r="C176" s="49"/>
      <c r="D176" s="180" t="s">
        <v>151</v>
      </c>
      <c r="E176" s="14" t="s">
        <v>140</v>
      </c>
      <c r="F176" s="118"/>
      <c r="G176" s="136" t="s">
        <v>24</v>
      </c>
      <c r="H176" s="118"/>
      <c r="I176" s="14">
        <v>0.0</v>
      </c>
      <c r="J176" s="177"/>
      <c r="K176" s="17" t="str">
        <f t="shared" si="19"/>
        <v/>
      </c>
      <c r="L176" s="18" t="str">
        <f t="shared" si="20"/>
        <v/>
      </c>
      <c r="Q176" s="4"/>
      <c r="R176" s="4"/>
      <c r="S176" s="4"/>
      <c r="T176" s="4"/>
      <c r="U176" s="4"/>
      <c r="V176" s="4"/>
      <c r="AA176" s="175"/>
      <c r="AB176" s="176"/>
      <c r="AC176" s="175"/>
      <c r="AD176" s="175"/>
      <c r="AE176" s="175"/>
      <c r="AF176" s="175"/>
      <c r="AG176" s="175"/>
      <c r="AH176" s="175"/>
      <c r="AI176" s="175"/>
      <c r="AJ176" s="175"/>
      <c r="AK176" s="175"/>
      <c r="AL176" s="175"/>
      <c r="AM176" s="175"/>
      <c r="AN176" s="175"/>
      <c r="AO176" s="175"/>
      <c r="AP176" s="175"/>
      <c r="AQ176" s="175"/>
      <c r="AR176" s="175"/>
      <c r="AS176" s="175"/>
      <c r="AT176" s="175"/>
    </row>
    <row r="177" ht="15.75" customHeight="1">
      <c r="A177" s="179">
        <v>9.0</v>
      </c>
      <c r="B177" s="12"/>
      <c r="C177" s="49"/>
      <c r="D177" s="180" t="s">
        <v>151</v>
      </c>
      <c r="E177" s="14">
        <v>0.0</v>
      </c>
      <c r="F177" s="118"/>
      <c r="G177" s="136" t="s">
        <v>24</v>
      </c>
      <c r="H177" s="118"/>
      <c r="I177" s="14" t="s">
        <v>117</v>
      </c>
      <c r="J177" s="177"/>
      <c r="K177" s="17" t="str">
        <f t="shared" si="19"/>
        <v/>
      </c>
      <c r="L177" s="18" t="str">
        <f t="shared" si="20"/>
        <v/>
      </c>
      <c r="Q177" s="4"/>
      <c r="R177" s="4"/>
      <c r="S177" s="4"/>
      <c r="T177" s="4"/>
      <c r="U177" s="4"/>
      <c r="V177" s="4"/>
      <c r="AA177" s="175"/>
      <c r="AB177" s="176"/>
      <c r="AC177" s="175"/>
      <c r="AD177" s="175"/>
      <c r="AE177" s="175"/>
      <c r="AF177" s="175"/>
      <c r="AG177" s="175"/>
      <c r="AH177" s="175"/>
      <c r="AI177" s="175"/>
      <c r="AJ177" s="175"/>
      <c r="AK177" s="175"/>
      <c r="AL177" s="175"/>
      <c r="AM177" s="175"/>
      <c r="AN177" s="175"/>
      <c r="AO177" s="175"/>
      <c r="AP177" s="175"/>
      <c r="AQ177" s="175"/>
      <c r="AR177" s="175"/>
      <c r="AS177" s="175"/>
      <c r="AT177" s="175"/>
    </row>
    <row r="178" ht="15.75" customHeight="1">
      <c r="A178" s="29"/>
      <c r="B178" s="113">
        <v>45791.0</v>
      </c>
      <c r="C178" s="49" t="s">
        <v>55</v>
      </c>
      <c r="D178" s="180" t="s">
        <v>151</v>
      </c>
      <c r="E178" s="14" t="s">
        <v>73</v>
      </c>
      <c r="F178" s="118">
        <v>2.0</v>
      </c>
      <c r="G178" s="136" t="s">
        <v>24</v>
      </c>
      <c r="H178" s="118">
        <v>3.0</v>
      </c>
      <c r="I178" s="14" t="s">
        <v>158</v>
      </c>
      <c r="J178" s="177"/>
      <c r="K178" s="17">
        <f t="shared" si="19"/>
        <v>0</v>
      </c>
      <c r="L178" s="18">
        <f t="shared" si="20"/>
        <v>3</v>
      </c>
      <c r="Q178" s="4"/>
      <c r="R178" s="4"/>
      <c r="S178" s="4"/>
      <c r="T178" s="4"/>
      <c r="U178" s="4"/>
      <c r="V178" s="4"/>
      <c r="AA178" s="175"/>
      <c r="AB178" s="176"/>
      <c r="AC178" s="175"/>
      <c r="AD178" s="175"/>
      <c r="AE178" s="175"/>
      <c r="AF178" s="175"/>
      <c r="AG178" s="175"/>
      <c r="AH178" s="175"/>
      <c r="AI178" s="175"/>
      <c r="AJ178" s="175"/>
      <c r="AK178" s="175"/>
      <c r="AL178" s="175"/>
      <c r="AM178" s="175"/>
      <c r="AN178" s="175"/>
      <c r="AO178" s="175"/>
      <c r="AP178" s="175"/>
      <c r="AQ178" s="175"/>
      <c r="AR178" s="175"/>
      <c r="AS178" s="175"/>
      <c r="AT178" s="175"/>
    </row>
    <row r="179" ht="15.75" customHeight="1">
      <c r="A179" s="29"/>
      <c r="B179" s="113">
        <v>45791.0</v>
      </c>
      <c r="C179" s="49" t="s">
        <v>56</v>
      </c>
      <c r="D179" s="180" t="s">
        <v>151</v>
      </c>
      <c r="E179" s="14" t="s">
        <v>42</v>
      </c>
      <c r="F179" s="118">
        <v>2.0</v>
      </c>
      <c r="G179" s="136" t="s">
        <v>24</v>
      </c>
      <c r="H179" s="118">
        <v>1.0</v>
      </c>
      <c r="I179" s="14" t="s">
        <v>65</v>
      </c>
      <c r="J179" s="177"/>
      <c r="K179" s="17">
        <f t="shared" si="19"/>
        <v>3</v>
      </c>
      <c r="L179" s="18">
        <f t="shared" si="20"/>
        <v>0</v>
      </c>
      <c r="Q179" s="4"/>
      <c r="R179" s="4"/>
      <c r="S179" s="4"/>
      <c r="T179" s="4"/>
      <c r="U179" s="4"/>
      <c r="V179" s="4"/>
      <c r="AA179" s="175"/>
      <c r="AB179" s="176"/>
      <c r="AC179" s="175"/>
      <c r="AD179" s="175"/>
      <c r="AE179" s="175"/>
      <c r="AF179" s="175"/>
      <c r="AG179" s="175"/>
      <c r="AH179" s="175"/>
      <c r="AI179" s="175"/>
      <c r="AJ179" s="175"/>
      <c r="AK179" s="175"/>
      <c r="AL179" s="175"/>
      <c r="AM179" s="175"/>
      <c r="AN179" s="175"/>
      <c r="AO179" s="175"/>
      <c r="AP179" s="175"/>
      <c r="AQ179" s="175"/>
      <c r="AR179" s="175"/>
      <c r="AS179" s="175"/>
      <c r="AT179" s="175"/>
    </row>
    <row r="180" ht="15.75" customHeight="1">
      <c r="A180" s="29"/>
      <c r="B180" s="113">
        <v>45796.0</v>
      </c>
      <c r="C180" s="49" t="s">
        <v>58</v>
      </c>
      <c r="D180" s="180" t="s">
        <v>151</v>
      </c>
      <c r="E180" s="14" t="s">
        <v>112</v>
      </c>
      <c r="F180" s="118">
        <v>5.0</v>
      </c>
      <c r="G180" s="136" t="s">
        <v>24</v>
      </c>
      <c r="H180" s="118">
        <v>1.0</v>
      </c>
      <c r="I180" s="14" t="s">
        <v>111</v>
      </c>
      <c r="J180" s="177"/>
      <c r="K180" s="17">
        <f t="shared" si="19"/>
        <v>3</v>
      </c>
      <c r="L180" s="18">
        <f t="shared" si="20"/>
        <v>0</v>
      </c>
      <c r="Q180" s="4"/>
      <c r="R180" s="4"/>
      <c r="S180" s="4"/>
      <c r="T180" s="4"/>
      <c r="U180" s="4"/>
      <c r="V180" s="4"/>
      <c r="AA180" s="175"/>
      <c r="AB180" s="176"/>
      <c r="AC180" s="175"/>
      <c r="AD180" s="175"/>
      <c r="AE180" s="175"/>
      <c r="AF180" s="175"/>
      <c r="AG180" s="175"/>
      <c r="AH180" s="175"/>
      <c r="AI180" s="175"/>
      <c r="AJ180" s="175"/>
      <c r="AK180" s="175"/>
      <c r="AL180" s="175"/>
      <c r="AM180" s="175"/>
      <c r="AN180" s="175"/>
      <c r="AO180" s="175"/>
      <c r="AP180" s="175"/>
      <c r="AQ180" s="175"/>
      <c r="AR180" s="175"/>
      <c r="AS180" s="175"/>
      <c r="AT180" s="175"/>
    </row>
    <row r="181" ht="15.75" customHeight="1">
      <c r="A181" s="37"/>
      <c r="B181" s="113">
        <v>45796.0</v>
      </c>
      <c r="C181" s="49" t="s">
        <v>59</v>
      </c>
      <c r="D181" s="180" t="s">
        <v>151</v>
      </c>
      <c r="E181" s="14" t="s">
        <v>33</v>
      </c>
      <c r="F181" s="118">
        <v>2.0</v>
      </c>
      <c r="G181" s="136" t="s">
        <v>24</v>
      </c>
      <c r="H181" s="118">
        <v>4.0</v>
      </c>
      <c r="I181" s="14" t="s">
        <v>140</v>
      </c>
      <c r="J181" s="177"/>
      <c r="K181" s="17">
        <f t="shared" si="19"/>
        <v>0</v>
      </c>
      <c r="L181" s="18">
        <f t="shared" si="20"/>
        <v>3</v>
      </c>
      <c r="Q181" s="4"/>
      <c r="R181" s="4"/>
      <c r="S181" s="4"/>
      <c r="T181" s="4"/>
      <c r="U181" s="4"/>
      <c r="V181" s="4"/>
      <c r="AA181" s="175"/>
      <c r="AB181" s="176"/>
      <c r="AC181" s="175"/>
      <c r="AD181" s="175"/>
      <c r="AE181" s="175"/>
      <c r="AF181" s="175"/>
      <c r="AG181" s="175"/>
      <c r="AH181" s="175"/>
      <c r="AI181" s="175"/>
      <c r="AJ181" s="175"/>
      <c r="AK181" s="175"/>
      <c r="AL181" s="175"/>
      <c r="AM181" s="175"/>
      <c r="AN181" s="175"/>
      <c r="AO181" s="175"/>
      <c r="AP181" s="175"/>
      <c r="AQ181" s="175"/>
      <c r="AR181" s="175"/>
      <c r="AS181" s="175"/>
      <c r="AT181" s="175"/>
    </row>
    <row r="182" ht="15.75" customHeight="1">
      <c r="A182" s="189"/>
      <c r="B182" s="177"/>
      <c r="C182" s="177"/>
      <c r="D182" s="177"/>
      <c r="E182" s="176"/>
      <c r="F182" s="175"/>
      <c r="G182" s="175"/>
      <c r="H182" s="175"/>
      <c r="I182" s="176"/>
      <c r="J182" s="177"/>
      <c r="Q182" s="4"/>
      <c r="R182" s="4"/>
      <c r="S182" s="4"/>
      <c r="T182" s="4"/>
      <c r="U182" s="4"/>
      <c r="V182" s="4"/>
      <c r="AA182" s="175"/>
      <c r="AB182" s="176"/>
      <c r="AC182" s="175"/>
      <c r="AD182" s="175"/>
      <c r="AE182" s="175"/>
      <c r="AF182" s="175"/>
      <c r="AG182" s="175"/>
      <c r="AH182" s="175"/>
      <c r="AI182" s="175"/>
      <c r="AJ182" s="175"/>
      <c r="AK182" s="175"/>
      <c r="AL182" s="175"/>
      <c r="AM182" s="175"/>
      <c r="AN182" s="175"/>
      <c r="AO182" s="175"/>
      <c r="AP182" s="175"/>
      <c r="AQ182" s="175"/>
      <c r="AR182" s="175"/>
      <c r="AS182" s="175"/>
      <c r="AT182" s="175"/>
    </row>
    <row r="183" ht="15.75" customHeight="1">
      <c r="A183" s="189"/>
      <c r="B183" s="177"/>
      <c r="C183" s="177"/>
      <c r="D183" s="177"/>
      <c r="E183" s="176"/>
      <c r="F183" s="175"/>
      <c r="G183" s="175"/>
      <c r="H183" s="175"/>
      <c r="I183" s="176"/>
      <c r="J183" s="177"/>
      <c r="Q183" s="4"/>
      <c r="R183" s="4"/>
      <c r="S183" s="4"/>
      <c r="T183" s="4"/>
      <c r="U183" s="4"/>
      <c r="V183" s="4"/>
      <c r="AA183" s="175"/>
      <c r="AB183" s="176"/>
      <c r="AC183" s="175"/>
      <c r="AD183" s="175"/>
      <c r="AE183" s="175"/>
      <c r="AF183" s="175"/>
      <c r="AG183" s="175"/>
      <c r="AH183" s="175"/>
      <c r="AI183" s="175"/>
      <c r="AJ183" s="175"/>
      <c r="AK183" s="175"/>
      <c r="AL183" s="175"/>
      <c r="AM183" s="175"/>
      <c r="AN183" s="175"/>
      <c r="AO183" s="175"/>
      <c r="AP183" s="175"/>
      <c r="AQ183" s="175"/>
      <c r="AR183" s="175"/>
      <c r="AS183" s="175"/>
      <c r="AT183" s="175"/>
    </row>
    <row r="184" ht="15.75" customHeight="1">
      <c r="A184" s="189"/>
      <c r="B184" s="177"/>
      <c r="C184" s="177"/>
      <c r="D184" s="177"/>
      <c r="E184" s="176"/>
      <c r="F184" s="175"/>
      <c r="G184" s="175"/>
      <c r="H184" s="175"/>
      <c r="I184" s="176"/>
      <c r="J184" s="177"/>
      <c r="Q184" s="4"/>
      <c r="R184" s="4"/>
      <c r="S184" s="4"/>
      <c r="T184" s="4"/>
      <c r="U184" s="4"/>
      <c r="V184" s="4"/>
      <c r="AA184" s="175"/>
      <c r="AB184" s="176"/>
      <c r="AC184" s="175"/>
      <c r="AD184" s="175"/>
      <c r="AE184" s="175"/>
      <c r="AF184" s="175"/>
      <c r="AG184" s="175"/>
      <c r="AH184" s="175"/>
      <c r="AI184" s="175"/>
      <c r="AJ184" s="175"/>
      <c r="AK184" s="175"/>
      <c r="AL184" s="175"/>
      <c r="AM184" s="175"/>
      <c r="AN184" s="175"/>
      <c r="AO184" s="175"/>
      <c r="AP184" s="175"/>
      <c r="AQ184" s="175"/>
      <c r="AR184" s="175"/>
      <c r="AS184" s="175"/>
      <c r="AT184" s="175"/>
    </row>
    <row r="185" ht="15.75" customHeight="1">
      <c r="A185" s="189"/>
      <c r="B185" s="177"/>
      <c r="C185" s="177"/>
      <c r="D185" s="177"/>
      <c r="E185" s="176"/>
      <c r="F185" s="175"/>
      <c r="G185" s="175"/>
      <c r="H185" s="175"/>
      <c r="I185" s="176"/>
      <c r="J185" s="177"/>
      <c r="Q185" s="4"/>
      <c r="R185" s="4"/>
      <c r="S185" s="4"/>
      <c r="T185" s="4"/>
      <c r="U185" s="4"/>
      <c r="V185" s="4"/>
      <c r="AA185" s="175"/>
      <c r="AB185" s="176"/>
      <c r="AC185" s="175"/>
      <c r="AD185" s="175"/>
      <c r="AE185" s="175"/>
      <c r="AF185" s="175"/>
      <c r="AG185" s="175"/>
      <c r="AH185" s="175"/>
      <c r="AI185" s="175"/>
      <c r="AJ185" s="175"/>
      <c r="AK185" s="175"/>
      <c r="AL185" s="175"/>
      <c r="AM185" s="175"/>
      <c r="AN185" s="175"/>
      <c r="AO185" s="175"/>
      <c r="AP185" s="175"/>
      <c r="AQ185" s="175"/>
      <c r="AR185" s="175"/>
      <c r="AS185" s="175"/>
      <c r="AT185" s="175"/>
    </row>
    <row r="186" ht="15.75" customHeight="1">
      <c r="A186" s="189"/>
      <c r="B186" s="177"/>
      <c r="C186" s="177"/>
      <c r="D186" s="177"/>
      <c r="E186" s="176"/>
      <c r="F186" s="175"/>
      <c r="G186" s="175"/>
      <c r="H186" s="175"/>
      <c r="I186" s="176"/>
      <c r="J186" s="177"/>
      <c r="Q186" s="4"/>
      <c r="R186" s="4"/>
      <c r="S186" s="4"/>
      <c r="T186" s="4"/>
      <c r="U186" s="4"/>
      <c r="V186" s="4"/>
      <c r="AA186" s="175"/>
      <c r="AB186" s="176"/>
      <c r="AC186" s="175"/>
      <c r="AD186" s="175"/>
      <c r="AE186" s="175"/>
      <c r="AF186" s="175"/>
      <c r="AG186" s="175"/>
      <c r="AH186" s="175"/>
      <c r="AI186" s="175"/>
      <c r="AJ186" s="175"/>
      <c r="AK186" s="175"/>
      <c r="AL186" s="175"/>
      <c r="AM186" s="175"/>
      <c r="AN186" s="175"/>
      <c r="AO186" s="175"/>
      <c r="AP186" s="175"/>
      <c r="AQ186" s="175"/>
      <c r="AR186" s="175"/>
      <c r="AS186" s="175"/>
      <c r="AT186" s="175"/>
    </row>
    <row r="187" ht="15.75" customHeight="1">
      <c r="A187" s="189"/>
      <c r="B187" s="177"/>
      <c r="C187" s="177"/>
      <c r="D187" s="177"/>
      <c r="E187" s="176"/>
      <c r="F187" s="175"/>
      <c r="G187" s="175"/>
      <c r="H187" s="175"/>
      <c r="I187" s="176"/>
      <c r="J187" s="177"/>
      <c r="Q187" s="4"/>
      <c r="R187" s="4"/>
      <c r="S187" s="4"/>
      <c r="T187" s="4"/>
      <c r="U187" s="4"/>
      <c r="V187" s="4"/>
      <c r="AA187" s="175"/>
      <c r="AB187" s="176"/>
      <c r="AC187" s="175"/>
      <c r="AD187" s="175"/>
      <c r="AE187" s="175"/>
      <c r="AF187" s="175"/>
      <c r="AG187" s="175"/>
      <c r="AH187" s="175"/>
      <c r="AI187" s="175"/>
      <c r="AJ187" s="175"/>
      <c r="AK187" s="175"/>
      <c r="AL187" s="175"/>
      <c r="AM187" s="175"/>
      <c r="AN187" s="175"/>
      <c r="AO187" s="175"/>
      <c r="AP187" s="175"/>
      <c r="AQ187" s="175"/>
      <c r="AR187" s="175"/>
      <c r="AS187" s="175"/>
      <c r="AT187" s="175"/>
    </row>
    <row r="188" ht="15.75" customHeight="1">
      <c r="A188" s="189"/>
      <c r="B188" s="177"/>
      <c r="C188" s="177"/>
      <c r="D188" s="177"/>
      <c r="E188" s="176"/>
      <c r="F188" s="175"/>
      <c r="G188" s="175"/>
      <c r="H188" s="175"/>
      <c r="I188" s="176"/>
      <c r="J188" s="177"/>
      <c r="Q188" s="4"/>
      <c r="R188" s="4"/>
      <c r="S188" s="4"/>
      <c r="T188" s="4"/>
      <c r="U188" s="4"/>
      <c r="V188" s="4"/>
      <c r="AA188" s="175"/>
      <c r="AB188" s="176"/>
      <c r="AC188" s="175"/>
      <c r="AD188" s="175"/>
      <c r="AE188" s="175"/>
      <c r="AF188" s="175"/>
      <c r="AG188" s="175"/>
      <c r="AH188" s="175"/>
      <c r="AI188" s="175"/>
      <c r="AJ188" s="175"/>
      <c r="AK188" s="175"/>
      <c r="AL188" s="175"/>
      <c r="AM188" s="175"/>
      <c r="AN188" s="175"/>
      <c r="AO188" s="175"/>
      <c r="AP188" s="175"/>
      <c r="AQ188" s="175"/>
      <c r="AR188" s="175"/>
      <c r="AS188" s="175"/>
      <c r="AT188" s="175"/>
    </row>
    <row r="189" ht="15.75" customHeight="1">
      <c r="A189" s="189"/>
      <c r="B189" s="177"/>
      <c r="C189" s="177"/>
      <c r="D189" s="177"/>
      <c r="E189" s="176"/>
      <c r="F189" s="175"/>
      <c r="G189" s="175"/>
      <c r="H189" s="175"/>
      <c r="I189" s="176"/>
      <c r="J189" s="177"/>
      <c r="Q189" s="4"/>
      <c r="R189" s="4"/>
      <c r="S189" s="4"/>
      <c r="T189" s="4"/>
      <c r="U189" s="4"/>
      <c r="V189" s="4"/>
      <c r="AA189" s="175"/>
      <c r="AB189" s="176"/>
      <c r="AC189" s="175"/>
      <c r="AD189" s="175"/>
      <c r="AE189" s="175"/>
      <c r="AF189" s="175"/>
      <c r="AG189" s="175"/>
      <c r="AH189" s="175"/>
      <c r="AI189" s="175"/>
      <c r="AJ189" s="175"/>
      <c r="AK189" s="175"/>
      <c r="AL189" s="175"/>
      <c r="AM189" s="175"/>
      <c r="AN189" s="175"/>
      <c r="AO189" s="175"/>
      <c r="AP189" s="175"/>
      <c r="AQ189" s="175"/>
      <c r="AR189" s="175"/>
      <c r="AS189" s="175"/>
      <c r="AT189" s="175"/>
    </row>
    <row r="190" ht="15.75" customHeight="1">
      <c r="A190" s="189"/>
      <c r="B190" s="177"/>
      <c r="C190" s="177"/>
      <c r="D190" s="177"/>
      <c r="E190" s="176"/>
      <c r="F190" s="175"/>
      <c r="G190" s="175"/>
      <c r="H190" s="175"/>
      <c r="I190" s="176"/>
      <c r="J190" s="177"/>
      <c r="Q190" s="4"/>
      <c r="R190" s="4"/>
      <c r="S190" s="4"/>
      <c r="T190" s="4"/>
      <c r="U190" s="4"/>
      <c r="V190" s="4"/>
      <c r="AA190" s="175"/>
      <c r="AB190" s="176"/>
      <c r="AC190" s="175"/>
      <c r="AD190" s="175"/>
      <c r="AE190" s="175"/>
      <c r="AF190" s="175"/>
      <c r="AG190" s="175"/>
      <c r="AH190" s="175"/>
      <c r="AI190" s="175"/>
      <c r="AJ190" s="175"/>
      <c r="AK190" s="175"/>
      <c r="AL190" s="175"/>
      <c r="AM190" s="175"/>
      <c r="AN190" s="175"/>
      <c r="AO190" s="175"/>
      <c r="AP190" s="175"/>
      <c r="AQ190" s="175"/>
      <c r="AR190" s="175"/>
      <c r="AS190" s="175"/>
      <c r="AT190" s="175"/>
    </row>
    <row r="191" ht="15.75" customHeight="1">
      <c r="A191" s="189"/>
      <c r="B191" s="177"/>
      <c r="C191" s="177"/>
      <c r="D191" s="177"/>
      <c r="E191" s="176"/>
      <c r="F191" s="175"/>
      <c r="G191" s="175"/>
      <c r="H191" s="175"/>
      <c r="I191" s="176"/>
      <c r="J191" s="177"/>
      <c r="Q191" s="4"/>
      <c r="R191" s="4"/>
      <c r="S191" s="4"/>
      <c r="T191" s="4"/>
      <c r="U191" s="4"/>
      <c r="V191" s="4"/>
      <c r="AA191" s="175"/>
      <c r="AB191" s="176"/>
      <c r="AC191" s="175"/>
      <c r="AD191" s="175"/>
      <c r="AE191" s="175"/>
      <c r="AF191" s="175"/>
      <c r="AG191" s="175"/>
      <c r="AH191" s="175"/>
      <c r="AI191" s="175"/>
      <c r="AJ191" s="175"/>
      <c r="AK191" s="175"/>
      <c r="AL191" s="175"/>
      <c r="AM191" s="175"/>
      <c r="AN191" s="175"/>
      <c r="AO191" s="175"/>
      <c r="AP191" s="175"/>
      <c r="AQ191" s="175"/>
      <c r="AR191" s="175"/>
      <c r="AS191" s="175"/>
      <c r="AT191" s="175"/>
    </row>
    <row r="192" ht="15.75" customHeight="1">
      <c r="A192" s="189"/>
      <c r="B192" s="177"/>
      <c r="C192" s="177"/>
      <c r="D192" s="177"/>
      <c r="E192" s="176"/>
      <c r="F192" s="175"/>
      <c r="G192" s="175"/>
      <c r="H192" s="175"/>
      <c r="I192" s="176"/>
      <c r="J192" s="177"/>
      <c r="Q192" s="4"/>
      <c r="R192" s="4"/>
      <c r="S192" s="4"/>
      <c r="T192" s="4"/>
      <c r="U192" s="4"/>
      <c r="V192" s="4"/>
      <c r="AA192" s="175"/>
      <c r="AB192" s="176"/>
      <c r="AC192" s="175"/>
      <c r="AD192" s="175"/>
      <c r="AE192" s="175"/>
      <c r="AF192" s="175"/>
      <c r="AG192" s="175"/>
      <c r="AH192" s="175"/>
      <c r="AI192" s="175"/>
      <c r="AJ192" s="175"/>
      <c r="AK192" s="175"/>
      <c r="AL192" s="175"/>
      <c r="AM192" s="175"/>
      <c r="AN192" s="175"/>
      <c r="AO192" s="175"/>
      <c r="AP192" s="175"/>
      <c r="AQ192" s="175"/>
      <c r="AR192" s="175"/>
      <c r="AS192" s="175"/>
      <c r="AT192" s="175"/>
    </row>
    <row r="193" ht="15.75" customHeight="1">
      <c r="A193" s="189"/>
      <c r="B193" s="177"/>
      <c r="C193" s="177"/>
      <c r="D193" s="177"/>
      <c r="E193" s="176"/>
      <c r="F193" s="175"/>
      <c r="G193" s="175"/>
      <c r="H193" s="175"/>
      <c r="I193" s="176"/>
      <c r="J193" s="177"/>
      <c r="Q193" s="4"/>
      <c r="R193" s="4"/>
      <c r="S193" s="4"/>
      <c r="T193" s="4"/>
      <c r="U193" s="4"/>
      <c r="V193" s="4"/>
      <c r="AA193" s="175"/>
      <c r="AB193" s="176"/>
      <c r="AC193" s="175"/>
      <c r="AD193" s="175"/>
      <c r="AE193" s="175"/>
      <c r="AF193" s="175"/>
      <c r="AG193" s="175"/>
      <c r="AH193" s="175"/>
      <c r="AI193" s="175"/>
      <c r="AJ193" s="175"/>
      <c r="AK193" s="175"/>
      <c r="AL193" s="175"/>
      <c r="AM193" s="175"/>
      <c r="AN193" s="175"/>
      <c r="AO193" s="175"/>
      <c r="AP193" s="175"/>
      <c r="AQ193" s="175"/>
      <c r="AR193" s="175"/>
      <c r="AS193" s="175"/>
      <c r="AT193" s="175"/>
    </row>
    <row r="194" ht="15.75" customHeight="1">
      <c r="A194" s="189"/>
      <c r="B194" s="177"/>
      <c r="C194" s="177"/>
      <c r="D194" s="177"/>
      <c r="E194" s="176"/>
      <c r="F194" s="175"/>
      <c r="G194" s="175"/>
      <c r="H194" s="175"/>
      <c r="I194" s="176"/>
      <c r="J194" s="177"/>
      <c r="Q194" s="4"/>
      <c r="R194" s="4"/>
      <c r="S194" s="4"/>
      <c r="T194" s="4"/>
      <c r="U194" s="4"/>
      <c r="V194" s="4"/>
      <c r="AA194" s="175"/>
      <c r="AB194" s="176"/>
      <c r="AC194" s="175"/>
      <c r="AD194" s="175"/>
      <c r="AE194" s="175"/>
      <c r="AF194" s="175"/>
      <c r="AG194" s="175"/>
      <c r="AH194" s="175"/>
      <c r="AI194" s="175"/>
      <c r="AJ194" s="175"/>
      <c r="AK194" s="175"/>
      <c r="AL194" s="175"/>
      <c r="AM194" s="175"/>
      <c r="AN194" s="175"/>
      <c r="AO194" s="175"/>
      <c r="AP194" s="175"/>
      <c r="AQ194" s="175"/>
      <c r="AR194" s="175"/>
      <c r="AS194" s="175"/>
      <c r="AT194" s="175"/>
    </row>
    <row r="195" ht="15.75" customHeight="1">
      <c r="A195" s="189"/>
      <c r="B195" s="177"/>
      <c r="C195" s="177"/>
      <c r="D195" s="177"/>
      <c r="E195" s="176"/>
      <c r="F195" s="175"/>
      <c r="G195" s="175"/>
      <c r="H195" s="175"/>
      <c r="I195" s="176"/>
      <c r="J195" s="177"/>
      <c r="Q195" s="4"/>
      <c r="R195" s="4"/>
      <c r="S195" s="4"/>
      <c r="T195" s="4"/>
      <c r="U195" s="4"/>
      <c r="V195" s="4"/>
      <c r="AA195" s="175"/>
      <c r="AB195" s="176"/>
      <c r="AC195" s="175"/>
      <c r="AD195" s="175"/>
      <c r="AE195" s="175"/>
      <c r="AF195" s="175"/>
      <c r="AG195" s="175"/>
      <c r="AH195" s="175"/>
      <c r="AI195" s="175"/>
      <c r="AJ195" s="175"/>
      <c r="AK195" s="175"/>
      <c r="AL195" s="175"/>
      <c r="AM195" s="175"/>
      <c r="AN195" s="175"/>
      <c r="AO195" s="175"/>
      <c r="AP195" s="175"/>
      <c r="AQ195" s="175"/>
      <c r="AR195" s="175"/>
      <c r="AS195" s="175"/>
      <c r="AT195" s="175"/>
    </row>
    <row r="196" ht="15.75" customHeight="1">
      <c r="A196" s="189"/>
      <c r="B196" s="177"/>
      <c r="C196" s="177"/>
      <c r="D196" s="177"/>
      <c r="E196" s="176"/>
      <c r="F196" s="175"/>
      <c r="G196" s="175"/>
      <c r="H196" s="175"/>
      <c r="I196" s="176"/>
      <c r="J196" s="177"/>
      <c r="Q196" s="4"/>
      <c r="R196" s="4"/>
      <c r="S196" s="4"/>
      <c r="T196" s="4"/>
      <c r="U196" s="4"/>
      <c r="V196" s="4"/>
      <c r="AA196" s="175"/>
      <c r="AB196" s="176"/>
      <c r="AC196" s="175"/>
      <c r="AD196" s="175"/>
      <c r="AE196" s="175"/>
      <c r="AF196" s="175"/>
      <c r="AG196" s="175"/>
      <c r="AH196" s="175"/>
      <c r="AI196" s="175"/>
      <c r="AJ196" s="175"/>
      <c r="AK196" s="175"/>
      <c r="AL196" s="175"/>
      <c r="AM196" s="175"/>
      <c r="AN196" s="175"/>
      <c r="AO196" s="175"/>
      <c r="AP196" s="175"/>
      <c r="AQ196" s="175"/>
      <c r="AR196" s="175"/>
      <c r="AS196" s="175"/>
      <c r="AT196" s="175"/>
    </row>
    <row r="197" ht="15.75" customHeight="1">
      <c r="A197" s="189"/>
      <c r="B197" s="177"/>
      <c r="C197" s="177"/>
      <c r="D197" s="177"/>
      <c r="E197" s="176"/>
      <c r="F197" s="175"/>
      <c r="G197" s="175"/>
      <c r="H197" s="175"/>
      <c r="I197" s="176"/>
      <c r="J197" s="177"/>
      <c r="Q197" s="4"/>
      <c r="R197" s="4"/>
      <c r="S197" s="4"/>
      <c r="T197" s="4"/>
      <c r="U197" s="4"/>
      <c r="V197" s="4"/>
      <c r="AA197" s="175"/>
      <c r="AB197" s="176"/>
      <c r="AC197" s="175"/>
      <c r="AD197" s="175"/>
      <c r="AE197" s="175"/>
      <c r="AF197" s="175"/>
      <c r="AG197" s="175"/>
      <c r="AH197" s="175"/>
      <c r="AI197" s="175"/>
      <c r="AJ197" s="175"/>
      <c r="AK197" s="175"/>
      <c r="AL197" s="175"/>
      <c r="AM197" s="175"/>
      <c r="AN197" s="175"/>
      <c r="AO197" s="175"/>
      <c r="AP197" s="175"/>
      <c r="AQ197" s="175"/>
      <c r="AR197" s="175"/>
      <c r="AS197" s="175"/>
      <c r="AT197" s="175"/>
    </row>
    <row r="198" ht="15.75" customHeight="1">
      <c r="A198" s="189"/>
      <c r="B198" s="177"/>
      <c r="C198" s="177"/>
      <c r="D198" s="177"/>
      <c r="E198" s="176"/>
      <c r="F198" s="175"/>
      <c r="G198" s="175"/>
      <c r="H198" s="175"/>
      <c r="I198" s="176"/>
      <c r="J198" s="177"/>
      <c r="Q198" s="4"/>
      <c r="R198" s="4"/>
      <c r="S198" s="4"/>
      <c r="T198" s="4"/>
      <c r="U198" s="4"/>
      <c r="V198" s="4"/>
      <c r="AA198" s="175"/>
      <c r="AB198" s="176"/>
      <c r="AC198" s="175"/>
      <c r="AD198" s="175"/>
      <c r="AE198" s="175"/>
      <c r="AF198" s="175"/>
      <c r="AG198" s="175"/>
      <c r="AH198" s="175"/>
      <c r="AI198" s="175"/>
      <c r="AJ198" s="175"/>
      <c r="AK198" s="175"/>
      <c r="AL198" s="175"/>
      <c r="AM198" s="175"/>
      <c r="AN198" s="175"/>
      <c r="AO198" s="175"/>
      <c r="AP198" s="175"/>
      <c r="AQ198" s="175"/>
      <c r="AR198" s="175"/>
      <c r="AS198" s="175"/>
      <c r="AT198" s="175"/>
    </row>
    <row r="199" ht="15.75" customHeight="1">
      <c r="A199" s="189"/>
      <c r="B199" s="177"/>
      <c r="C199" s="177"/>
      <c r="D199" s="177"/>
      <c r="E199" s="176"/>
      <c r="F199" s="175"/>
      <c r="G199" s="175"/>
      <c r="H199" s="175"/>
      <c r="I199" s="176"/>
      <c r="J199" s="177"/>
      <c r="Q199" s="4"/>
      <c r="R199" s="4"/>
      <c r="S199" s="4"/>
      <c r="T199" s="4"/>
      <c r="U199" s="4"/>
      <c r="V199" s="4"/>
      <c r="AA199" s="175"/>
      <c r="AB199" s="176"/>
      <c r="AC199" s="175"/>
      <c r="AD199" s="175"/>
      <c r="AE199" s="175"/>
      <c r="AF199" s="175"/>
      <c r="AG199" s="175"/>
      <c r="AH199" s="175"/>
      <c r="AI199" s="175"/>
      <c r="AJ199" s="175"/>
      <c r="AK199" s="175"/>
      <c r="AL199" s="175"/>
      <c r="AM199" s="175"/>
      <c r="AN199" s="175"/>
      <c r="AO199" s="175"/>
      <c r="AP199" s="175"/>
      <c r="AQ199" s="175"/>
      <c r="AR199" s="175"/>
      <c r="AS199" s="175"/>
      <c r="AT199" s="175"/>
    </row>
    <row r="200" ht="15.75" customHeight="1">
      <c r="A200" s="189"/>
      <c r="B200" s="177"/>
      <c r="C200" s="177"/>
      <c r="D200" s="177"/>
      <c r="E200" s="176"/>
      <c r="F200" s="175"/>
      <c r="G200" s="175"/>
      <c r="H200" s="175"/>
      <c r="I200" s="176"/>
      <c r="J200" s="177"/>
      <c r="Q200" s="4"/>
      <c r="R200" s="4"/>
      <c r="S200" s="4"/>
      <c r="T200" s="4"/>
      <c r="U200" s="4"/>
      <c r="V200" s="4"/>
      <c r="AA200" s="175"/>
      <c r="AB200" s="176"/>
      <c r="AC200" s="175"/>
      <c r="AD200" s="175"/>
      <c r="AE200" s="175"/>
      <c r="AF200" s="175"/>
      <c r="AG200" s="175"/>
      <c r="AH200" s="175"/>
      <c r="AI200" s="175"/>
      <c r="AJ200" s="175"/>
      <c r="AK200" s="175"/>
      <c r="AL200" s="175"/>
      <c r="AM200" s="175"/>
      <c r="AN200" s="175"/>
      <c r="AO200" s="175"/>
      <c r="AP200" s="175"/>
      <c r="AQ200" s="175"/>
      <c r="AR200" s="175"/>
      <c r="AS200" s="175"/>
      <c r="AT200" s="175"/>
    </row>
    <row r="201" ht="15.75" customHeight="1">
      <c r="A201" s="189"/>
      <c r="B201" s="177"/>
      <c r="C201" s="177"/>
      <c r="D201" s="177"/>
      <c r="E201" s="176"/>
      <c r="F201" s="175"/>
      <c r="G201" s="175"/>
      <c r="H201" s="175"/>
      <c r="I201" s="176"/>
      <c r="J201" s="177"/>
      <c r="Q201" s="4"/>
      <c r="R201" s="4"/>
      <c r="S201" s="4"/>
      <c r="T201" s="4"/>
      <c r="U201" s="4"/>
      <c r="V201" s="4"/>
      <c r="AA201" s="175"/>
      <c r="AB201" s="176"/>
      <c r="AC201" s="175"/>
      <c r="AD201" s="175"/>
      <c r="AE201" s="175"/>
      <c r="AF201" s="175"/>
      <c r="AG201" s="175"/>
      <c r="AH201" s="175"/>
      <c r="AI201" s="175"/>
      <c r="AJ201" s="175"/>
      <c r="AK201" s="175"/>
      <c r="AL201" s="175"/>
      <c r="AM201" s="175"/>
      <c r="AN201" s="175"/>
      <c r="AO201" s="175"/>
      <c r="AP201" s="175"/>
      <c r="AQ201" s="175"/>
      <c r="AR201" s="175"/>
      <c r="AS201" s="175"/>
      <c r="AT201" s="175"/>
    </row>
    <row r="202" ht="15.75" customHeight="1">
      <c r="A202" s="189"/>
      <c r="B202" s="177"/>
      <c r="C202" s="177"/>
      <c r="D202" s="177"/>
      <c r="E202" s="176"/>
      <c r="F202" s="175"/>
      <c r="G202" s="175"/>
      <c r="H202" s="175"/>
      <c r="I202" s="176"/>
      <c r="J202" s="177"/>
      <c r="Q202" s="4"/>
      <c r="R202" s="4"/>
      <c r="S202" s="4"/>
      <c r="T202" s="4"/>
      <c r="U202" s="4"/>
      <c r="V202" s="4"/>
      <c r="AA202" s="175"/>
      <c r="AB202" s="176"/>
      <c r="AC202" s="175"/>
      <c r="AD202" s="175"/>
      <c r="AE202" s="175"/>
      <c r="AF202" s="175"/>
      <c r="AG202" s="175"/>
      <c r="AH202" s="175"/>
      <c r="AI202" s="175"/>
      <c r="AJ202" s="175"/>
      <c r="AK202" s="175"/>
      <c r="AL202" s="175"/>
      <c r="AM202" s="175"/>
      <c r="AN202" s="175"/>
      <c r="AO202" s="175"/>
      <c r="AP202" s="175"/>
      <c r="AQ202" s="175"/>
      <c r="AR202" s="175"/>
      <c r="AS202" s="175"/>
      <c r="AT202" s="175"/>
    </row>
    <row r="203" ht="15.75" customHeight="1">
      <c r="A203" s="189"/>
      <c r="B203" s="177"/>
      <c r="C203" s="177"/>
      <c r="D203" s="177"/>
      <c r="E203" s="176"/>
      <c r="F203" s="175"/>
      <c r="G203" s="175"/>
      <c r="H203" s="175"/>
      <c r="I203" s="176"/>
      <c r="J203" s="177"/>
      <c r="Q203" s="4"/>
      <c r="R203" s="4"/>
      <c r="S203" s="4"/>
      <c r="T203" s="4"/>
      <c r="U203" s="4"/>
      <c r="V203" s="4"/>
      <c r="AA203" s="175"/>
      <c r="AB203" s="176"/>
      <c r="AC203" s="175"/>
      <c r="AD203" s="175"/>
      <c r="AE203" s="175"/>
      <c r="AF203" s="175"/>
      <c r="AG203" s="175"/>
      <c r="AH203" s="175"/>
      <c r="AI203" s="175"/>
      <c r="AJ203" s="175"/>
      <c r="AK203" s="175"/>
      <c r="AL203" s="175"/>
      <c r="AM203" s="175"/>
      <c r="AN203" s="175"/>
      <c r="AO203" s="175"/>
      <c r="AP203" s="175"/>
      <c r="AQ203" s="175"/>
      <c r="AR203" s="175"/>
      <c r="AS203" s="175"/>
      <c r="AT203" s="175"/>
    </row>
    <row r="204" ht="15.75" customHeight="1">
      <c r="A204" s="189"/>
      <c r="B204" s="177"/>
      <c r="C204" s="177"/>
      <c r="D204" s="177"/>
      <c r="E204" s="176"/>
      <c r="F204" s="175"/>
      <c r="G204" s="175"/>
      <c r="H204" s="175"/>
      <c r="I204" s="176"/>
      <c r="J204" s="177"/>
      <c r="Q204" s="4"/>
      <c r="R204" s="4"/>
      <c r="S204" s="4"/>
      <c r="T204" s="4"/>
      <c r="U204" s="4"/>
      <c r="V204" s="4"/>
      <c r="AA204" s="175"/>
      <c r="AB204" s="176"/>
      <c r="AC204" s="175"/>
      <c r="AD204" s="175"/>
      <c r="AE204" s="175"/>
      <c r="AF204" s="175"/>
      <c r="AG204" s="175"/>
      <c r="AH204" s="175"/>
      <c r="AI204" s="175"/>
      <c r="AJ204" s="175"/>
      <c r="AK204" s="175"/>
      <c r="AL204" s="175"/>
      <c r="AM204" s="175"/>
      <c r="AN204" s="175"/>
      <c r="AO204" s="175"/>
      <c r="AP204" s="175"/>
      <c r="AQ204" s="175"/>
      <c r="AR204" s="175"/>
      <c r="AS204" s="175"/>
      <c r="AT204" s="175"/>
    </row>
    <row r="205" ht="15.75" customHeight="1">
      <c r="A205" s="189"/>
      <c r="B205" s="177"/>
      <c r="C205" s="177"/>
      <c r="D205" s="177"/>
      <c r="E205" s="176"/>
      <c r="F205" s="175"/>
      <c r="G205" s="175"/>
      <c r="H205" s="175"/>
      <c r="I205" s="176"/>
      <c r="J205" s="177"/>
      <c r="Q205" s="4"/>
      <c r="R205" s="4"/>
      <c r="S205" s="4"/>
      <c r="T205" s="4"/>
      <c r="U205" s="4"/>
      <c r="V205" s="4"/>
      <c r="AA205" s="175"/>
      <c r="AB205" s="176"/>
      <c r="AC205" s="175"/>
      <c r="AD205" s="175"/>
      <c r="AE205" s="175"/>
      <c r="AF205" s="175"/>
      <c r="AG205" s="175"/>
      <c r="AH205" s="175"/>
      <c r="AI205" s="175"/>
      <c r="AJ205" s="175"/>
      <c r="AK205" s="175"/>
      <c r="AL205" s="175"/>
      <c r="AM205" s="175"/>
      <c r="AN205" s="175"/>
      <c r="AO205" s="175"/>
      <c r="AP205" s="175"/>
      <c r="AQ205" s="175"/>
      <c r="AR205" s="175"/>
      <c r="AS205" s="175"/>
      <c r="AT205" s="175"/>
    </row>
    <row r="206" ht="15.75" customHeight="1">
      <c r="A206" s="189"/>
      <c r="B206" s="177"/>
      <c r="C206" s="177"/>
      <c r="D206" s="177"/>
      <c r="E206" s="176"/>
      <c r="F206" s="175"/>
      <c r="G206" s="175"/>
      <c r="H206" s="175"/>
      <c r="I206" s="176"/>
      <c r="J206" s="177"/>
      <c r="Q206" s="4"/>
      <c r="R206" s="4"/>
      <c r="S206" s="4"/>
      <c r="T206" s="4"/>
      <c r="U206" s="4"/>
      <c r="V206" s="4"/>
      <c r="AA206" s="175"/>
      <c r="AB206" s="176"/>
      <c r="AC206" s="175"/>
      <c r="AD206" s="175"/>
      <c r="AE206" s="175"/>
      <c r="AF206" s="175"/>
      <c r="AG206" s="175"/>
      <c r="AH206" s="175"/>
      <c r="AI206" s="175"/>
      <c r="AJ206" s="175"/>
      <c r="AK206" s="175"/>
      <c r="AL206" s="175"/>
      <c r="AM206" s="175"/>
      <c r="AN206" s="175"/>
      <c r="AO206" s="175"/>
      <c r="AP206" s="175"/>
      <c r="AQ206" s="175"/>
      <c r="AR206" s="175"/>
      <c r="AS206" s="175"/>
      <c r="AT206" s="175"/>
    </row>
    <row r="207" ht="15.75" customHeight="1">
      <c r="A207" s="189"/>
      <c r="B207" s="177"/>
      <c r="C207" s="177"/>
      <c r="D207" s="177"/>
      <c r="E207" s="176"/>
      <c r="F207" s="175"/>
      <c r="G207" s="175"/>
      <c r="H207" s="175"/>
      <c r="I207" s="176"/>
      <c r="J207" s="177"/>
      <c r="Q207" s="4"/>
      <c r="R207" s="4"/>
      <c r="S207" s="4"/>
      <c r="T207" s="4"/>
      <c r="U207" s="4"/>
      <c r="V207" s="4"/>
      <c r="AA207" s="175"/>
      <c r="AB207" s="176"/>
      <c r="AC207" s="175"/>
      <c r="AD207" s="175"/>
      <c r="AE207" s="175"/>
      <c r="AF207" s="175"/>
      <c r="AG207" s="175"/>
      <c r="AH207" s="175"/>
      <c r="AI207" s="175"/>
      <c r="AJ207" s="175"/>
      <c r="AK207" s="175"/>
      <c r="AL207" s="175"/>
      <c r="AM207" s="175"/>
      <c r="AN207" s="175"/>
      <c r="AO207" s="175"/>
      <c r="AP207" s="175"/>
      <c r="AQ207" s="175"/>
      <c r="AR207" s="175"/>
      <c r="AS207" s="175"/>
      <c r="AT207" s="175"/>
    </row>
    <row r="208" ht="15.75" customHeight="1">
      <c r="A208" s="189"/>
      <c r="B208" s="177"/>
      <c r="C208" s="177"/>
      <c r="D208" s="177"/>
      <c r="E208" s="176"/>
      <c r="F208" s="175"/>
      <c r="G208" s="175"/>
      <c r="H208" s="175"/>
      <c r="I208" s="176"/>
      <c r="J208" s="177"/>
      <c r="Q208" s="4"/>
      <c r="R208" s="4"/>
      <c r="S208" s="4"/>
      <c r="T208" s="4"/>
      <c r="U208" s="4"/>
      <c r="V208" s="4"/>
      <c r="AA208" s="175"/>
      <c r="AB208" s="176"/>
      <c r="AC208" s="175"/>
      <c r="AD208" s="175"/>
      <c r="AE208" s="175"/>
      <c r="AF208" s="175"/>
      <c r="AG208" s="175"/>
      <c r="AH208" s="175"/>
      <c r="AI208" s="175"/>
      <c r="AJ208" s="175"/>
      <c r="AK208" s="175"/>
      <c r="AL208" s="175"/>
      <c r="AM208" s="175"/>
      <c r="AN208" s="175"/>
      <c r="AO208" s="175"/>
      <c r="AP208" s="175"/>
      <c r="AQ208" s="175"/>
      <c r="AR208" s="175"/>
      <c r="AS208" s="175"/>
      <c r="AT208" s="175"/>
    </row>
    <row r="209" ht="15.75" customHeight="1">
      <c r="A209" s="189"/>
      <c r="B209" s="177"/>
      <c r="C209" s="177"/>
      <c r="D209" s="177"/>
      <c r="E209" s="176"/>
      <c r="F209" s="175"/>
      <c r="G209" s="175"/>
      <c r="H209" s="175"/>
      <c r="I209" s="176"/>
      <c r="J209" s="177"/>
      <c r="Q209" s="4"/>
      <c r="R209" s="4"/>
      <c r="S209" s="4"/>
      <c r="T209" s="4"/>
      <c r="U209" s="4"/>
      <c r="V209" s="4"/>
      <c r="AA209" s="175"/>
      <c r="AB209" s="176"/>
      <c r="AC209" s="175"/>
      <c r="AD209" s="175"/>
      <c r="AE209" s="175"/>
      <c r="AF209" s="175"/>
      <c r="AG209" s="175"/>
      <c r="AH209" s="175"/>
      <c r="AI209" s="175"/>
      <c r="AJ209" s="175"/>
      <c r="AK209" s="175"/>
      <c r="AL209" s="175"/>
      <c r="AM209" s="175"/>
      <c r="AN209" s="175"/>
      <c r="AO209" s="175"/>
      <c r="AP209" s="175"/>
      <c r="AQ209" s="175"/>
      <c r="AR209" s="175"/>
      <c r="AS209" s="175"/>
      <c r="AT209" s="175"/>
    </row>
    <row r="210" ht="15.75" customHeight="1">
      <c r="A210" s="189"/>
      <c r="B210" s="177"/>
      <c r="C210" s="177"/>
      <c r="D210" s="177"/>
      <c r="E210" s="176"/>
      <c r="F210" s="175"/>
      <c r="G210" s="175"/>
      <c r="H210" s="175"/>
      <c r="I210" s="176"/>
      <c r="J210" s="177"/>
      <c r="Q210" s="4"/>
      <c r="R210" s="4"/>
      <c r="S210" s="4"/>
      <c r="T210" s="4"/>
      <c r="U210" s="4"/>
      <c r="V210" s="4"/>
      <c r="AA210" s="175"/>
      <c r="AB210" s="176"/>
      <c r="AC210" s="175"/>
      <c r="AD210" s="175"/>
      <c r="AE210" s="175"/>
      <c r="AF210" s="175"/>
      <c r="AG210" s="175"/>
      <c r="AH210" s="175"/>
      <c r="AI210" s="175"/>
      <c r="AJ210" s="175"/>
      <c r="AK210" s="175"/>
      <c r="AL210" s="175"/>
      <c r="AM210" s="175"/>
      <c r="AN210" s="175"/>
      <c r="AO210" s="175"/>
      <c r="AP210" s="175"/>
      <c r="AQ210" s="175"/>
      <c r="AR210" s="175"/>
      <c r="AS210" s="175"/>
      <c r="AT210" s="175"/>
    </row>
    <row r="211" ht="15.75" customHeight="1">
      <c r="A211" s="189"/>
      <c r="B211" s="177"/>
      <c r="C211" s="177"/>
      <c r="D211" s="177"/>
      <c r="E211" s="176"/>
      <c r="F211" s="175"/>
      <c r="G211" s="175"/>
      <c r="H211" s="175"/>
      <c r="I211" s="176"/>
      <c r="J211" s="177"/>
      <c r="Q211" s="4"/>
      <c r="R211" s="4"/>
      <c r="S211" s="4"/>
      <c r="T211" s="4"/>
      <c r="U211" s="4"/>
      <c r="V211" s="4"/>
      <c r="AA211" s="175"/>
      <c r="AB211" s="176"/>
      <c r="AC211" s="175"/>
      <c r="AD211" s="175"/>
      <c r="AE211" s="175"/>
      <c r="AF211" s="175"/>
      <c r="AG211" s="175"/>
      <c r="AH211" s="175"/>
      <c r="AI211" s="175"/>
      <c r="AJ211" s="175"/>
      <c r="AK211" s="175"/>
      <c r="AL211" s="175"/>
      <c r="AM211" s="175"/>
      <c r="AN211" s="175"/>
      <c r="AO211" s="175"/>
      <c r="AP211" s="175"/>
      <c r="AQ211" s="175"/>
      <c r="AR211" s="175"/>
      <c r="AS211" s="175"/>
      <c r="AT211" s="175"/>
    </row>
    <row r="212" ht="15.75" customHeight="1">
      <c r="A212" s="189"/>
      <c r="B212" s="177"/>
      <c r="C212" s="177"/>
      <c r="D212" s="177"/>
      <c r="E212" s="176"/>
      <c r="F212" s="175"/>
      <c r="G212" s="175"/>
      <c r="H212" s="175"/>
      <c r="I212" s="176"/>
      <c r="J212" s="177"/>
      <c r="Q212" s="4"/>
      <c r="R212" s="4"/>
      <c r="S212" s="4"/>
      <c r="T212" s="4"/>
      <c r="U212" s="4"/>
      <c r="V212" s="4"/>
      <c r="AA212" s="175"/>
      <c r="AB212" s="176"/>
      <c r="AC212" s="175"/>
      <c r="AD212" s="175"/>
      <c r="AE212" s="175"/>
      <c r="AF212" s="175"/>
      <c r="AG212" s="175"/>
      <c r="AH212" s="175"/>
      <c r="AI212" s="175"/>
      <c r="AJ212" s="175"/>
      <c r="AK212" s="175"/>
      <c r="AL212" s="175"/>
      <c r="AM212" s="175"/>
      <c r="AN212" s="175"/>
      <c r="AO212" s="175"/>
      <c r="AP212" s="175"/>
      <c r="AQ212" s="175"/>
      <c r="AR212" s="175"/>
      <c r="AS212" s="175"/>
      <c r="AT212" s="175"/>
    </row>
    <row r="213" ht="15.75" customHeight="1">
      <c r="A213" s="189"/>
      <c r="B213" s="177"/>
      <c r="C213" s="177"/>
      <c r="D213" s="177"/>
      <c r="E213" s="176"/>
      <c r="F213" s="175"/>
      <c r="G213" s="175"/>
      <c r="H213" s="175"/>
      <c r="I213" s="176"/>
      <c r="J213" s="177"/>
      <c r="Q213" s="4"/>
      <c r="R213" s="4"/>
      <c r="S213" s="4"/>
      <c r="T213" s="4"/>
      <c r="U213" s="4"/>
      <c r="V213" s="4"/>
      <c r="AA213" s="175"/>
      <c r="AB213" s="176"/>
      <c r="AC213" s="175"/>
      <c r="AD213" s="175"/>
      <c r="AE213" s="175"/>
      <c r="AF213" s="175"/>
      <c r="AG213" s="175"/>
      <c r="AH213" s="175"/>
      <c r="AI213" s="175"/>
      <c r="AJ213" s="175"/>
      <c r="AK213" s="175"/>
      <c r="AL213" s="175"/>
      <c r="AM213" s="175"/>
      <c r="AN213" s="175"/>
      <c r="AO213" s="175"/>
      <c r="AP213" s="175"/>
      <c r="AQ213" s="175"/>
      <c r="AR213" s="175"/>
      <c r="AS213" s="175"/>
      <c r="AT213" s="175"/>
    </row>
    <row r="214" ht="15.75" customHeight="1">
      <c r="A214" s="189"/>
      <c r="B214" s="177"/>
      <c r="C214" s="177"/>
      <c r="D214" s="177"/>
      <c r="E214" s="176"/>
      <c r="F214" s="175"/>
      <c r="G214" s="175"/>
      <c r="H214" s="175"/>
      <c r="I214" s="176"/>
      <c r="J214" s="177"/>
      <c r="Q214" s="4"/>
      <c r="R214" s="4"/>
      <c r="S214" s="4"/>
      <c r="T214" s="4"/>
      <c r="U214" s="4"/>
      <c r="V214" s="4"/>
      <c r="AA214" s="175"/>
      <c r="AB214" s="176"/>
      <c r="AC214" s="175"/>
      <c r="AD214" s="175"/>
      <c r="AE214" s="175"/>
      <c r="AF214" s="175"/>
      <c r="AG214" s="175"/>
      <c r="AH214" s="175"/>
      <c r="AI214" s="175"/>
      <c r="AJ214" s="175"/>
      <c r="AK214" s="175"/>
      <c r="AL214" s="175"/>
      <c r="AM214" s="175"/>
      <c r="AN214" s="175"/>
      <c r="AO214" s="175"/>
      <c r="AP214" s="175"/>
      <c r="AQ214" s="175"/>
      <c r="AR214" s="175"/>
      <c r="AS214" s="175"/>
      <c r="AT214" s="175"/>
    </row>
    <row r="215" ht="15.75" customHeight="1">
      <c r="A215" s="189"/>
      <c r="B215" s="177"/>
      <c r="C215" s="177"/>
      <c r="D215" s="177"/>
      <c r="E215" s="176"/>
      <c r="F215" s="175"/>
      <c r="G215" s="175"/>
      <c r="H215" s="175"/>
      <c r="I215" s="176"/>
      <c r="J215" s="177"/>
      <c r="Q215" s="4"/>
      <c r="R215" s="4"/>
      <c r="S215" s="4"/>
      <c r="T215" s="4"/>
      <c r="U215" s="4"/>
      <c r="V215" s="4"/>
      <c r="AA215" s="175"/>
      <c r="AB215" s="176"/>
      <c r="AC215" s="175"/>
      <c r="AD215" s="175"/>
      <c r="AE215" s="175"/>
      <c r="AF215" s="175"/>
      <c r="AG215" s="175"/>
      <c r="AH215" s="175"/>
      <c r="AI215" s="175"/>
      <c r="AJ215" s="175"/>
      <c r="AK215" s="175"/>
      <c r="AL215" s="175"/>
      <c r="AM215" s="175"/>
      <c r="AN215" s="175"/>
      <c r="AO215" s="175"/>
      <c r="AP215" s="175"/>
      <c r="AQ215" s="175"/>
      <c r="AR215" s="175"/>
      <c r="AS215" s="175"/>
      <c r="AT215" s="175"/>
    </row>
    <row r="216" ht="15.75" customHeight="1">
      <c r="A216" s="189"/>
      <c r="B216" s="177"/>
      <c r="C216" s="177"/>
      <c r="D216" s="177"/>
      <c r="E216" s="176"/>
      <c r="F216" s="175"/>
      <c r="G216" s="175"/>
      <c r="H216" s="175"/>
      <c r="I216" s="176"/>
      <c r="J216" s="177"/>
      <c r="Q216" s="4"/>
      <c r="R216" s="4"/>
      <c r="S216" s="4"/>
      <c r="T216" s="4"/>
      <c r="U216" s="4"/>
      <c r="V216" s="4"/>
      <c r="AA216" s="175"/>
      <c r="AB216" s="176"/>
      <c r="AC216" s="175"/>
      <c r="AD216" s="175"/>
      <c r="AE216" s="175"/>
      <c r="AF216" s="175"/>
      <c r="AG216" s="175"/>
      <c r="AH216" s="175"/>
      <c r="AI216" s="175"/>
      <c r="AJ216" s="175"/>
      <c r="AK216" s="175"/>
      <c r="AL216" s="175"/>
      <c r="AM216" s="175"/>
      <c r="AN216" s="175"/>
      <c r="AO216" s="175"/>
      <c r="AP216" s="175"/>
      <c r="AQ216" s="175"/>
      <c r="AR216" s="175"/>
      <c r="AS216" s="175"/>
      <c r="AT216" s="175"/>
    </row>
    <row r="217" ht="15.75" customHeight="1">
      <c r="A217" s="189"/>
      <c r="B217" s="177"/>
      <c r="C217" s="177"/>
      <c r="D217" s="177"/>
      <c r="E217" s="176"/>
      <c r="F217" s="175"/>
      <c r="G217" s="175"/>
      <c r="H217" s="175"/>
      <c r="I217" s="176"/>
      <c r="J217" s="177"/>
      <c r="Q217" s="4"/>
      <c r="R217" s="4"/>
      <c r="S217" s="4"/>
      <c r="T217" s="4"/>
      <c r="U217" s="4"/>
      <c r="V217" s="4"/>
      <c r="AA217" s="175"/>
      <c r="AB217" s="176"/>
      <c r="AC217" s="175"/>
      <c r="AD217" s="175"/>
      <c r="AE217" s="175"/>
      <c r="AF217" s="175"/>
      <c r="AG217" s="175"/>
      <c r="AH217" s="175"/>
      <c r="AI217" s="175"/>
      <c r="AJ217" s="175"/>
      <c r="AK217" s="175"/>
      <c r="AL217" s="175"/>
      <c r="AM217" s="175"/>
      <c r="AN217" s="175"/>
      <c r="AO217" s="175"/>
      <c r="AP217" s="175"/>
      <c r="AQ217" s="175"/>
      <c r="AR217" s="175"/>
      <c r="AS217" s="175"/>
      <c r="AT217" s="175"/>
    </row>
    <row r="218" ht="15.75" customHeight="1">
      <c r="A218" s="189"/>
      <c r="B218" s="177"/>
      <c r="C218" s="177"/>
      <c r="D218" s="177"/>
      <c r="E218" s="176"/>
      <c r="F218" s="175"/>
      <c r="G218" s="175"/>
      <c r="H218" s="175"/>
      <c r="I218" s="176"/>
      <c r="J218" s="177"/>
      <c r="Q218" s="4"/>
      <c r="R218" s="4"/>
      <c r="S218" s="4"/>
      <c r="T218" s="4"/>
      <c r="U218" s="4"/>
      <c r="V218" s="4"/>
      <c r="AA218" s="175"/>
      <c r="AB218" s="176"/>
      <c r="AC218" s="175"/>
      <c r="AD218" s="175"/>
      <c r="AE218" s="175"/>
      <c r="AF218" s="175"/>
      <c r="AG218" s="175"/>
      <c r="AH218" s="175"/>
      <c r="AI218" s="175"/>
      <c r="AJ218" s="175"/>
      <c r="AK218" s="175"/>
      <c r="AL218" s="175"/>
      <c r="AM218" s="175"/>
      <c r="AN218" s="175"/>
      <c r="AO218" s="175"/>
      <c r="AP218" s="175"/>
      <c r="AQ218" s="175"/>
      <c r="AR218" s="175"/>
      <c r="AS218" s="175"/>
      <c r="AT218" s="175"/>
    </row>
    <row r="219" ht="15.75" customHeight="1">
      <c r="A219" s="189"/>
      <c r="B219" s="177"/>
      <c r="C219" s="177"/>
      <c r="D219" s="177"/>
      <c r="E219" s="176"/>
      <c r="F219" s="175"/>
      <c r="G219" s="175"/>
      <c r="H219" s="175"/>
      <c r="I219" s="176"/>
      <c r="J219" s="177"/>
      <c r="Q219" s="4"/>
      <c r="R219" s="4"/>
      <c r="S219" s="4"/>
      <c r="T219" s="4"/>
      <c r="U219" s="4"/>
      <c r="V219" s="4"/>
      <c r="AA219" s="175"/>
      <c r="AB219" s="176"/>
      <c r="AC219" s="175"/>
      <c r="AD219" s="175"/>
      <c r="AE219" s="175"/>
      <c r="AF219" s="175"/>
      <c r="AG219" s="175"/>
      <c r="AH219" s="175"/>
      <c r="AI219" s="175"/>
      <c r="AJ219" s="175"/>
      <c r="AK219" s="175"/>
      <c r="AL219" s="175"/>
      <c r="AM219" s="175"/>
      <c r="AN219" s="175"/>
      <c r="AO219" s="175"/>
      <c r="AP219" s="175"/>
      <c r="AQ219" s="175"/>
      <c r="AR219" s="175"/>
      <c r="AS219" s="175"/>
      <c r="AT219" s="175"/>
    </row>
    <row r="220" ht="15.75" customHeight="1">
      <c r="A220" s="189"/>
      <c r="B220" s="177"/>
      <c r="C220" s="177"/>
      <c r="D220" s="177"/>
      <c r="E220" s="176"/>
      <c r="F220" s="175"/>
      <c r="G220" s="175"/>
      <c r="H220" s="175"/>
      <c r="I220" s="176"/>
      <c r="J220" s="177"/>
      <c r="Q220" s="4"/>
      <c r="R220" s="4"/>
      <c r="S220" s="4"/>
      <c r="T220" s="4"/>
      <c r="U220" s="4"/>
      <c r="V220" s="4"/>
      <c r="AA220" s="175"/>
      <c r="AB220" s="176"/>
      <c r="AC220" s="175"/>
      <c r="AD220" s="175"/>
      <c r="AE220" s="175"/>
      <c r="AF220" s="175"/>
      <c r="AG220" s="175"/>
      <c r="AH220" s="175"/>
      <c r="AI220" s="175"/>
      <c r="AJ220" s="175"/>
      <c r="AK220" s="175"/>
      <c r="AL220" s="175"/>
      <c r="AM220" s="175"/>
      <c r="AN220" s="175"/>
      <c r="AO220" s="175"/>
      <c r="AP220" s="175"/>
      <c r="AQ220" s="175"/>
      <c r="AR220" s="175"/>
      <c r="AS220" s="175"/>
      <c r="AT220" s="175"/>
    </row>
    <row r="221" ht="15.75" customHeight="1">
      <c r="A221" s="189"/>
      <c r="B221" s="177"/>
      <c r="C221" s="177"/>
      <c r="D221" s="177"/>
      <c r="E221" s="176"/>
      <c r="F221" s="175"/>
      <c r="G221" s="175"/>
      <c r="H221" s="175"/>
      <c r="I221" s="176"/>
      <c r="J221" s="177"/>
      <c r="Q221" s="4"/>
      <c r="R221" s="4"/>
      <c r="S221" s="4"/>
      <c r="T221" s="4"/>
      <c r="U221" s="4"/>
      <c r="V221" s="4"/>
      <c r="AA221" s="175"/>
      <c r="AB221" s="176"/>
      <c r="AC221" s="175"/>
      <c r="AD221" s="175"/>
      <c r="AE221" s="175"/>
      <c r="AF221" s="175"/>
      <c r="AG221" s="175"/>
      <c r="AH221" s="175"/>
      <c r="AI221" s="175"/>
      <c r="AJ221" s="175"/>
      <c r="AK221" s="175"/>
      <c r="AL221" s="175"/>
      <c r="AM221" s="175"/>
      <c r="AN221" s="175"/>
      <c r="AO221" s="175"/>
      <c r="AP221" s="175"/>
      <c r="AQ221" s="175"/>
      <c r="AR221" s="175"/>
      <c r="AS221" s="175"/>
      <c r="AT221" s="175"/>
    </row>
    <row r="222" ht="15.75" customHeight="1">
      <c r="A222" s="189"/>
      <c r="B222" s="177"/>
      <c r="C222" s="177"/>
      <c r="D222" s="177"/>
      <c r="E222" s="176"/>
      <c r="F222" s="175"/>
      <c r="G222" s="175"/>
      <c r="H222" s="175"/>
      <c r="I222" s="176"/>
      <c r="J222" s="177"/>
      <c r="Q222" s="4"/>
      <c r="R222" s="4"/>
      <c r="S222" s="4"/>
      <c r="T222" s="4"/>
      <c r="U222" s="4"/>
      <c r="V222" s="4"/>
      <c r="AA222" s="175"/>
      <c r="AB222" s="176"/>
      <c r="AC222" s="175"/>
      <c r="AD222" s="175"/>
      <c r="AE222" s="175"/>
      <c r="AF222" s="175"/>
      <c r="AG222" s="175"/>
      <c r="AH222" s="175"/>
      <c r="AI222" s="175"/>
      <c r="AJ222" s="175"/>
      <c r="AK222" s="175"/>
      <c r="AL222" s="175"/>
      <c r="AM222" s="175"/>
      <c r="AN222" s="175"/>
      <c r="AO222" s="175"/>
      <c r="AP222" s="175"/>
      <c r="AQ222" s="175"/>
      <c r="AR222" s="175"/>
      <c r="AS222" s="175"/>
      <c r="AT222" s="175"/>
    </row>
    <row r="223" ht="15.75" customHeight="1">
      <c r="A223" s="189"/>
      <c r="B223" s="177"/>
      <c r="C223" s="177"/>
      <c r="D223" s="177"/>
      <c r="E223" s="176"/>
      <c r="F223" s="175"/>
      <c r="G223" s="175"/>
      <c r="H223" s="175"/>
      <c r="I223" s="176"/>
      <c r="J223" s="177"/>
      <c r="Q223" s="4"/>
      <c r="R223" s="4"/>
      <c r="S223" s="4"/>
      <c r="T223" s="4"/>
      <c r="U223" s="4"/>
      <c r="V223" s="4"/>
      <c r="AA223" s="175"/>
      <c r="AB223" s="176"/>
      <c r="AC223" s="175"/>
      <c r="AD223" s="175"/>
      <c r="AE223" s="175"/>
      <c r="AF223" s="175"/>
      <c r="AG223" s="175"/>
      <c r="AH223" s="175"/>
      <c r="AI223" s="175"/>
      <c r="AJ223" s="175"/>
      <c r="AK223" s="175"/>
      <c r="AL223" s="175"/>
      <c r="AM223" s="175"/>
      <c r="AN223" s="175"/>
      <c r="AO223" s="175"/>
      <c r="AP223" s="175"/>
      <c r="AQ223" s="175"/>
      <c r="AR223" s="175"/>
      <c r="AS223" s="175"/>
      <c r="AT223" s="175"/>
    </row>
    <row r="224" ht="15.75" customHeight="1">
      <c r="A224" s="189"/>
      <c r="B224" s="177"/>
      <c r="C224" s="177"/>
      <c r="D224" s="177"/>
      <c r="E224" s="176"/>
      <c r="F224" s="175"/>
      <c r="G224" s="175"/>
      <c r="H224" s="175"/>
      <c r="I224" s="176"/>
      <c r="J224" s="177"/>
      <c r="Q224" s="4"/>
      <c r="R224" s="4"/>
      <c r="S224" s="4"/>
      <c r="T224" s="4"/>
      <c r="U224" s="4"/>
      <c r="V224" s="4"/>
      <c r="AA224" s="175"/>
      <c r="AB224" s="176"/>
      <c r="AC224" s="175"/>
      <c r="AD224" s="175"/>
      <c r="AE224" s="175"/>
      <c r="AF224" s="175"/>
      <c r="AG224" s="175"/>
      <c r="AH224" s="175"/>
      <c r="AI224" s="175"/>
      <c r="AJ224" s="175"/>
      <c r="AK224" s="175"/>
      <c r="AL224" s="175"/>
      <c r="AM224" s="175"/>
      <c r="AN224" s="175"/>
      <c r="AO224" s="175"/>
      <c r="AP224" s="175"/>
      <c r="AQ224" s="175"/>
      <c r="AR224" s="175"/>
      <c r="AS224" s="175"/>
      <c r="AT224" s="175"/>
    </row>
    <row r="225" ht="15.75" customHeight="1">
      <c r="A225" s="189"/>
      <c r="B225" s="177"/>
      <c r="C225" s="177"/>
      <c r="D225" s="177"/>
      <c r="E225" s="176"/>
      <c r="F225" s="175"/>
      <c r="G225" s="175"/>
      <c r="H225" s="175"/>
      <c r="I225" s="176"/>
      <c r="J225" s="177"/>
      <c r="Q225" s="4"/>
      <c r="R225" s="4"/>
      <c r="S225" s="4"/>
      <c r="T225" s="4"/>
      <c r="U225" s="4"/>
      <c r="V225" s="4"/>
      <c r="AA225" s="175"/>
      <c r="AB225" s="176"/>
      <c r="AC225" s="175"/>
      <c r="AD225" s="175"/>
      <c r="AE225" s="175"/>
      <c r="AF225" s="175"/>
      <c r="AG225" s="175"/>
      <c r="AH225" s="175"/>
      <c r="AI225" s="175"/>
      <c r="AJ225" s="175"/>
      <c r="AK225" s="175"/>
      <c r="AL225" s="175"/>
      <c r="AM225" s="175"/>
      <c r="AN225" s="175"/>
      <c r="AO225" s="175"/>
      <c r="AP225" s="175"/>
      <c r="AQ225" s="175"/>
      <c r="AR225" s="175"/>
      <c r="AS225" s="175"/>
      <c r="AT225" s="175"/>
    </row>
    <row r="226" ht="15.75" customHeight="1">
      <c r="A226" s="189"/>
      <c r="B226" s="177"/>
      <c r="C226" s="177"/>
      <c r="D226" s="177"/>
      <c r="E226" s="176"/>
      <c r="F226" s="175"/>
      <c r="G226" s="175"/>
      <c r="H226" s="175"/>
      <c r="I226" s="176"/>
      <c r="J226" s="177"/>
      <c r="Q226" s="4"/>
      <c r="R226" s="4"/>
      <c r="S226" s="4"/>
      <c r="T226" s="4"/>
      <c r="U226" s="4"/>
      <c r="V226" s="4"/>
      <c r="AA226" s="175"/>
      <c r="AB226" s="176"/>
      <c r="AC226" s="175"/>
      <c r="AD226" s="175"/>
      <c r="AE226" s="175"/>
      <c r="AF226" s="175"/>
      <c r="AG226" s="175"/>
      <c r="AH226" s="175"/>
      <c r="AI226" s="175"/>
      <c r="AJ226" s="175"/>
      <c r="AK226" s="175"/>
      <c r="AL226" s="175"/>
      <c r="AM226" s="175"/>
      <c r="AN226" s="175"/>
      <c r="AO226" s="175"/>
      <c r="AP226" s="175"/>
      <c r="AQ226" s="175"/>
      <c r="AR226" s="175"/>
      <c r="AS226" s="175"/>
      <c r="AT226" s="175"/>
    </row>
    <row r="227" ht="15.75" customHeight="1">
      <c r="A227" s="189"/>
      <c r="B227" s="177"/>
      <c r="C227" s="177"/>
      <c r="D227" s="177"/>
      <c r="E227" s="176"/>
      <c r="F227" s="175"/>
      <c r="G227" s="175"/>
      <c r="H227" s="175"/>
      <c r="I227" s="176"/>
      <c r="J227" s="177"/>
      <c r="Q227" s="4"/>
      <c r="R227" s="4"/>
      <c r="S227" s="4"/>
      <c r="T227" s="4"/>
      <c r="U227" s="4"/>
      <c r="V227" s="4"/>
      <c r="AA227" s="175"/>
      <c r="AB227" s="176"/>
      <c r="AC227" s="175"/>
      <c r="AD227" s="175"/>
      <c r="AE227" s="175"/>
      <c r="AF227" s="175"/>
      <c r="AG227" s="175"/>
      <c r="AH227" s="175"/>
      <c r="AI227" s="175"/>
      <c r="AJ227" s="175"/>
      <c r="AK227" s="175"/>
      <c r="AL227" s="175"/>
      <c r="AM227" s="175"/>
      <c r="AN227" s="175"/>
      <c r="AO227" s="175"/>
      <c r="AP227" s="175"/>
      <c r="AQ227" s="175"/>
      <c r="AR227" s="175"/>
      <c r="AS227" s="175"/>
      <c r="AT227" s="175"/>
    </row>
    <row r="228" ht="15.75" customHeight="1">
      <c r="A228" s="189"/>
      <c r="B228" s="177"/>
      <c r="C228" s="177"/>
      <c r="D228" s="177"/>
      <c r="E228" s="176"/>
      <c r="F228" s="175"/>
      <c r="G228" s="175"/>
      <c r="H228" s="175"/>
      <c r="I228" s="176"/>
      <c r="J228" s="177"/>
      <c r="Q228" s="4"/>
      <c r="R228" s="4"/>
      <c r="S228" s="4"/>
      <c r="T228" s="4"/>
      <c r="U228" s="4"/>
      <c r="V228" s="4"/>
      <c r="AA228" s="175"/>
      <c r="AB228" s="176"/>
      <c r="AC228" s="175"/>
      <c r="AD228" s="175"/>
      <c r="AE228" s="175"/>
      <c r="AF228" s="175"/>
      <c r="AG228" s="175"/>
      <c r="AH228" s="175"/>
      <c r="AI228" s="175"/>
      <c r="AJ228" s="175"/>
      <c r="AK228" s="175"/>
      <c r="AL228" s="175"/>
      <c r="AM228" s="175"/>
      <c r="AN228" s="175"/>
      <c r="AO228" s="175"/>
      <c r="AP228" s="175"/>
      <c r="AQ228" s="175"/>
      <c r="AR228" s="175"/>
      <c r="AS228" s="175"/>
      <c r="AT228" s="175"/>
    </row>
    <row r="229" ht="15.75" customHeight="1">
      <c r="A229" s="189"/>
      <c r="B229" s="177"/>
      <c r="C229" s="177"/>
      <c r="D229" s="177"/>
      <c r="E229" s="176"/>
      <c r="F229" s="175"/>
      <c r="G229" s="175"/>
      <c r="H229" s="175"/>
      <c r="I229" s="176"/>
      <c r="J229" s="177"/>
      <c r="Q229" s="4"/>
      <c r="R229" s="4"/>
      <c r="S229" s="4"/>
      <c r="T229" s="4"/>
      <c r="U229" s="4"/>
      <c r="V229" s="4"/>
      <c r="AA229" s="175"/>
      <c r="AB229" s="176"/>
      <c r="AC229" s="175"/>
      <c r="AD229" s="175"/>
      <c r="AE229" s="175"/>
      <c r="AF229" s="175"/>
      <c r="AG229" s="175"/>
      <c r="AH229" s="175"/>
      <c r="AI229" s="175"/>
      <c r="AJ229" s="175"/>
      <c r="AK229" s="175"/>
      <c r="AL229" s="175"/>
      <c r="AM229" s="175"/>
      <c r="AN229" s="175"/>
      <c r="AO229" s="175"/>
      <c r="AP229" s="175"/>
      <c r="AQ229" s="175"/>
      <c r="AR229" s="175"/>
      <c r="AS229" s="175"/>
      <c r="AT229" s="175"/>
    </row>
    <row r="230" ht="15.75" customHeight="1">
      <c r="A230" s="189"/>
      <c r="B230" s="177"/>
      <c r="C230" s="177"/>
      <c r="D230" s="177"/>
      <c r="E230" s="176"/>
      <c r="F230" s="175"/>
      <c r="G230" s="175"/>
      <c r="H230" s="175"/>
      <c r="I230" s="176"/>
      <c r="J230" s="177"/>
      <c r="Q230" s="4"/>
      <c r="R230" s="4"/>
      <c r="S230" s="4"/>
      <c r="T230" s="4"/>
      <c r="U230" s="4"/>
      <c r="V230" s="4"/>
      <c r="AA230" s="175"/>
      <c r="AB230" s="176"/>
      <c r="AC230" s="175"/>
      <c r="AD230" s="175"/>
      <c r="AE230" s="175"/>
      <c r="AF230" s="175"/>
      <c r="AG230" s="175"/>
      <c r="AH230" s="175"/>
      <c r="AI230" s="175"/>
      <c r="AJ230" s="175"/>
      <c r="AK230" s="175"/>
      <c r="AL230" s="175"/>
      <c r="AM230" s="175"/>
      <c r="AN230" s="175"/>
      <c r="AO230" s="175"/>
      <c r="AP230" s="175"/>
      <c r="AQ230" s="175"/>
      <c r="AR230" s="175"/>
      <c r="AS230" s="175"/>
      <c r="AT230" s="175"/>
    </row>
    <row r="231" ht="15.75" customHeight="1">
      <c r="A231" s="189"/>
      <c r="B231" s="177"/>
      <c r="C231" s="177"/>
      <c r="D231" s="177"/>
      <c r="E231" s="176"/>
      <c r="F231" s="175"/>
      <c r="G231" s="175"/>
      <c r="H231" s="175"/>
      <c r="I231" s="176"/>
      <c r="J231" s="177"/>
      <c r="Q231" s="4"/>
      <c r="R231" s="4"/>
      <c r="S231" s="4"/>
      <c r="T231" s="4"/>
      <c r="U231" s="4"/>
      <c r="V231" s="4"/>
      <c r="AA231" s="175"/>
      <c r="AB231" s="176"/>
      <c r="AC231" s="175"/>
      <c r="AD231" s="175"/>
      <c r="AE231" s="175"/>
      <c r="AF231" s="175"/>
      <c r="AG231" s="175"/>
      <c r="AH231" s="175"/>
      <c r="AI231" s="175"/>
      <c r="AJ231" s="175"/>
      <c r="AK231" s="175"/>
      <c r="AL231" s="175"/>
      <c r="AM231" s="175"/>
      <c r="AN231" s="175"/>
      <c r="AO231" s="175"/>
      <c r="AP231" s="175"/>
      <c r="AQ231" s="175"/>
      <c r="AR231" s="175"/>
      <c r="AS231" s="175"/>
      <c r="AT231" s="175"/>
    </row>
    <row r="232" ht="15.75" customHeight="1">
      <c r="A232" s="189"/>
      <c r="B232" s="177"/>
      <c r="C232" s="177"/>
      <c r="D232" s="177"/>
      <c r="E232" s="176"/>
      <c r="F232" s="175"/>
      <c r="G232" s="175"/>
      <c r="H232" s="175"/>
      <c r="I232" s="176"/>
      <c r="J232" s="177"/>
      <c r="Q232" s="4"/>
      <c r="R232" s="4"/>
      <c r="S232" s="4"/>
      <c r="T232" s="4"/>
      <c r="U232" s="4"/>
      <c r="V232" s="4"/>
      <c r="AA232" s="175"/>
      <c r="AB232" s="176"/>
      <c r="AC232" s="175"/>
      <c r="AD232" s="175"/>
      <c r="AE232" s="175"/>
      <c r="AF232" s="175"/>
      <c r="AG232" s="175"/>
      <c r="AH232" s="175"/>
      <c r="AI232" s="175"/>
      <c r="AJ232" s="175"/>
      <c r="AK232" s="175"/>
      <c r="AL232" s="175"/>
      <c r="AM232" s="175"/>
      <c r="AN232" s="175"/>
      <c r="AO232" s="175"/>
      <c r="AP232" s="175"/>
      <c r="AQ232" s="175"/>
      <c r="AR232" s="175"/>
      <c r="AS232" s="175"/>
      <c r="AT232" s="175"/>
    </row>
    <row r="233" ht="15.75" customHeight="1">
      <c r="A233" s="189"/>
      <c r="B233" s="177"/>
      <c r="C233" s="177"/>
      <c r="D233" s="177"/>
      <c r="E233" s="176"/>
      <c r="F233" s="175"/>
      <c r="G233" s="175"/>
      <c r="H233" s="175"/>
      <c r="I233" s="176"/>
      <c r="J233" s="177"/>
      <c r="Q233" s="4"/>
      <c r="R233" s="4"/>
      <c r="S233" s="4"/>
      <c r="T233" s="4"/>
      <c r="U233" s="4"/>
      <c r="V233" s="4"/>
      <c r="AA233" s="175"/>
      <c r="AB233" s="176"/>
      <c r="AC233" s="175"/>
      <c r="AD233" s="175"/>
      <c r="AE233" s="175"/>
      <c r="AF233" s="175"/>
      <c r="AG233" s="175"/>
      <c r="AH233" s="175"/>
      <c r="AI233" s="175"/>
      <c r="AJ233" s="175"/>
      <c r="AK233" s="175"/>
      <c r="AL233" s="175"/>
      <c r="AM233" s="175"/>
      <c r="AN233" s="175"/>
      <c r="AO233" s="175"/>
      <c r="AP233" s="175"/>
      <c r="AQ233" s="175"/>
      <c r="AR233" s="175"/>
      <c r="AS233" s="175"/>
      <c r="AT233" s="175"/>
    </row>
    <row r="234" ht="15.75" customHeight="1">
      <c r="A234" s="189"/>
      <c r="B234" s="177"/>
      <c r="C234" s="177"/>
      <c r="D234" s="177"/>
      <c r="E234" s="176"/>
      <c r="F234" s="175"/>
      <c r="G234" s="175"/>
      <c r="H234" s="175"/>
      <c r="I234" s="176"/>
      <c r="J234" s="177"/>
      <c r="Q234" s="4"/>
      <c r="R234" s="4"/>
      <c r="S234" s="4"/>
      <c r="T234" s="4"/>
      <c r="U234" s="4"/>
      <c r="V234" s="4"/>
      <c r="AA234" s="175"/>
      <c r="AB234" s="176"/>
      <c r="AC234" s="175"/>
      <c r="AD234" s="175"/>
      <c r="AE234" s="175"/>
      <c r="AF234" s="175"/>
      <c r="AG234" s="175"/>
      <c r="AH234" s="175"/>
      <c r="AI234" s="175"/>
      <c r="AJ234" s="175"/>
      <c r="AK234" s="175"/>
      <c r="AL234" s="175"/>
      <c r="AM234" s="175"/>
      <c r="AN234" s="175"/>
      <c r="AO234" s="175"/>
      <c r="AP234" s="175"/>
      <c r="AQ234" s="175"/>
      <c r="AR234" s="175"/>
      <c r="AS234" s="175"/>
      <c r="AT234" s="175"/>
    </row>
    <row r="235" ht="15.75" customHeight="1">
      <c r="A235" s="189"/>
      <c r="B235" s="177"/>
      <c r="C235" s="177"/>
      <c r="D235" s="177"/>
      <c r="E235" s="176"/>
      <c r="F235" s="175"/>
      <c r="G235" s="175"/>
      <c r="H235" s="175"/>
      <c r="I235" s="176"/>
      <c r="J235" s="177"/>
      <c r="Q235" s="4"/>
      <c r="R235" s="4"/>
      <c r="S235" s="4"/>
      <c r="T235" s="4"/>
      <c r="U235" s="4"/>
      <c r="V235" s="4"/>
      <c r="AA235" s="175"/>
      <c r="AB235" s="176"/>
      <c r="AC235" s="175"/>
      <c r="AD235" s="175"/>
      <c r="AE235" s="175"/>
      <c r="AF235" s="175"/>
      <c r="AG235" s="175"/>
      <c r="AH235" s="175"/>
      <c r="AI235" s="175"/>
      <c r="AJ235" s="175"/>
      <c r="AK235" s="175"/>
      <c r="AL235" s="175"/>
      <c r="AM235" s="175"/>
      <c r="AN235" s="175"/>
      <c r="AO235" s="175"/>
      <c r="AP235" s="175"/>
      <c r="AQ235" s="175"/>
      <c r="AR235" s="175"/>
      <c r="AS235" s="175"/>
      <c r="AT235" s="175"/>
    </row>
    <row r="236" ht="15.75" customHeight="1">
      <c r="A236" s="189"/>
      <c r="B236" s="177"/>
      <c r="C236" s="177"/>
      <c r="D236" s="177"/>
      <c r="E236" s="176"/>
      <c r="F236" s="175"/>
      <c r="G236" s="175"/>
      <c r="H236" s="175"/>
      <c r="I236" s="176"/>
      <c r="J236" s="177"/>
      <c r="Q236" s="4"/>
      <c r="R236" s="4"/>
      <c r="S236" s="4"/>
      <c r="T236" s="4"/>
      <c r="U236" s="4"/>
      <c r="V236" s="4"/>
      <c r="AA236" s="175"/>
      <c r="AB236" s="176"/>
      <c r="AC236" s="175"/>
      <c r="AD236" s="175"/>
      <c r="AE236" s="175"/>
      <c r="AF236" s="175"/>
      <c r="AG236" s="175"/>
      <c r="AH236" s="175"/>
      <c r="AI236" s="175"/>
      <c r="AJ236" s="175"/>
      <c r="AK236" s="175"/>
      <c r="AL236" s="175"/>
      <c r="AM236" s="175"/>
      <c r="AN236" s="175"/>
      <c r="AO236" s="175"/>
      <c r="AP236" s="175"/>
      <c r="AQ236" s="175"/>
      <c r="AR236" s="175"/>
      <c r="AS236" s="175"/>
      <c r="AT236" s="175"/>
    </row>
    <row r="237" ht="15.75" customHeight="1">
      <c r="A237" s="189"/>
      <c r="B237" s="177"/>
      <c r="C237" s="177"/>
      <c r="D237" s="177"/>
      <c r="E237" s="176"/>
      <c r="F237" s="175"/>
      <c r="G237" s="175"/>
      <c r="H237" s="175"/>
      <c r="I237" s="176"/>
      <c r="J237" s="177"/>
      <c r="Q237" s="4"/>
      <c r="R237" s="4"/>
      <c r="S237" s="4"/>
      <c r="T237" s="4"/>
      <c r="U237" s="4"/>
      <c r="V237" s="4"/>
      <c r="AA237" s="175"/>
      <c r="AB237" s="176"/>
      <c r="AC237" s="175"/>
      <c r="AD237" s="175"/>
      <c r="AE237" s="175"/>
      <c r="AF237" s="175"/>
      <c r="AG237" s="175"/>
      <c r="AH237" s="175"/>
      <c r="AI237" s="175"/>
      <c r="AJ237" s="175"/>
      <c r="AK237" s="175"/>
      <c r="AL237" s="175"/>
      <c r="AM237" s="175"/>
      <c r="AN237" s="175"/>
      <c r="AO237" s="175"/>
      <c r="AP237" s="175"/>
      <c r="AQ237" s="175"/>
      <c r="AR237" s="175"/>
      <c r="AS237" s="175"/>
      <c r="AT237" s="175"/>
    </row>
    <row r="238" ht="15.75" customHeight="1">
      <c r="A238" s="189"/>
      <c r="B238" s="177"/>
      <c r="C238" s="177"/>
      <c r="D238" s="177"/>
      <c r="E238" s="176"/>
      <c r="F238" s="175"/>
      <c r="G238" s="175"/>
      <c r="H238" s="175"/>
      <c r="I238" s="176"/>
      <c r="J238" s="177"/>
      <c r="Q238" s="4"/>
      <c r="R238" s="4"/>
      <c r="S238" s="4"/>
      <c r="T238" s="4"/>
      <c r="U238" s="4"/>
      <c r="V238" s="4"/>
      <c r="AA238" s="175"/>
      <c r="AB238" s="176"/>
      <c r="AC238" s="175"/>
      <c r="AD238" s="175"/>
      <c r="AE238" s="175"/>
      <c r="AF238" s="175"/>
      <c r="AG238" s="175"/>
      <c r="AH238" s="175"/>
      <c r="AI238" s="175"/>
      <c r="AJ238" s="175"/>
      <c r="AK238" s="175"/>
      <c r="AL238" s="175"/>
      <c r="AM238" s="175"/>
      <c r="AN238" s="175"/>
      <c r="AO238" s="175"/>
      <c r="AP238" s="175"/>
      <c r="AQ238" s="175"/>
      <c r="AR238" s="175"/>
      <c r="AS238" s="175"/>
      <c r="AT238" s="175"/>
    </row>
    <row r="239" ht="15.75" customHeight="1">
      <c r="A239" s="189"/>
      <c r="B239" s="177"/>
      <c r="C239" s="177"/>
      <c r="D239" s="177"/>
      <c r="E239" s="176"/>
      <c r="F239" s="175"/>
      <c r="G239" s="175"/>
      <c r="H239" s="175"/>
      <c r="I239" s="176"/>
      <c r="J239" s="177"/>
      <c r="Q239" s="4"/>
      <c r="R239" s="4"/>
      <c r="S239" s="4"/>
      <c r="T239" s="4"/>
      <c r="U239" s="4"/>
      <c r="V239" s="4"/>
      <c r="AA239" s="175"/>
      <c r="AB239" s="176"/>
      <c r="AC239" s="175"/>
      <c r="AD239" s="175"/>
      <c r="AE239" s="175"/>
      <c r="AF239" s="175"/>
      <c r="AG239" s="175"/>
      <c r="AH239" s="175"/>
      <c r="AI239" s="175"/>
      <c r="AJ239" s="175"/>
      <c r="AK239" s="175"/>
      <c r="AL239" s="175"/>
      <c r="AM239" s="175"/>
      <c r="AN239" s="175"/>
      <c r="AO239" s="175"/>
      <c r="AP239" s="175"/>
      <c r="AQ239" s="175"/>
      <c r="AR239" s="175"/>
      <c r="AS239" s="175"/>
      <c r="AT239" s="175"/>
    </row>
    <row r="240" ht="15.75" customHeight="1">
      <c r="A240" s="189"/>
      <c r="B240" s="177"/>
      <c r="C240" s="177"/>
      <c r="D240" s="177"/>
      <c r="E240" s="176"/>
      <c r="F240" s="175"/>
      <c r="G240" s="175"/>
      <c r="H240" s="175"/>
      <c r="I240" s="176"/>
      <c r="J240" s="177"/>
      <c r="Q240" s="4"/>
      <c r="R240" s="4"/>
      <c r="S240" s="4"/>
      <c r="T240" s="4"/>
      <c r="U240" s="4"/>
      <c r="V240" s="4"/>
      <c r="AA240" s="175"/>
      <c r="AB240" s="176"/>
      <c r="AC240" s="175"/>
      <c r="AD240" s="175"/>
      <c r="AE240" s="175"/>
      <c r="AF240" s="175"/>
      <c r="AG240" s="175"/>
      <c r="AH240" s="175"/>
      <c r="AI240" s="175"/>
      <c r="AJ240" s="175"/>
      <c r="AK240" s="175"/>
      <c r="AL240" s="175"/>
      <c r="AM240" s="175"/>
      <c r="AN240" s="175"/>
      <c r="AO240" s="175"/>
      <c r="AP240" s="175"/>
      <c r="AQ240" s="175"/>
      <c r="AR240" s="175"/>
      <c r="AS240" s="175"/>
      <c r="AT240" s="175"/>
    </row>
    <row r="241" ht="15.75" customHeight="1">
      <c r="A241" s="189"/>
      <c r="B241" s="177"/>
      <c r="C241" s="177"/>
      <c r="D241" s="177"/>
      <c r="E241" s="176"/>
      <c r="F241" s="175"/>
      <c r="G241" s="175"/>
      <c r="H241" s="175"/>
      <c r="I241" s="176"/>
      <c r="J241" s="177"/>
      <c r="Q241" s="4"/>
      <c r="R241" s="4"/>
      <c r="S241" s="4"/>
      <c r="T241" s="4"/>
      <c r="U241" s="4"/>
      <c r="V241" s="4"/>
      <c r="AA241" s="175"/>
      <c r="AB241" s="176"/>
      <c r="AC241" s="175"/>
      <c r="AD241" s="175"/>
      <c r="AE241" s="175"/>
      <c r="AF241" s="175"/>
      <c r="AG241" s="175"/>
      <c r="AH241" s="175"/>
      <c r="AI241" s="175"/>
      <c r="AJ241" s="175"/>
      <c r="AK241" s="175"/>
      <c r="AL241" s="175"/>
      <c r="AM241" s="175"/>
      <c r="AN241" s="175"/>
      <c r="AO241" s="175"/>
      <c r="AP241" s="175"/>
      <c r="AQ241" s="175"/>
      <c r="AR241" s="175"/>
      <c r="AS241" s="175"/>
      <c r="AT241" s="175"/>
    </row>
    <row r="242" ht="15.75" customHeight="1">
      <c r="A242" s="189"/>
      <c r="B242" s="177"/>
      <c r="C242" s="177"/>
      <c r="D242" s="177"/>
      <c r="E242" s="176"/>
      <c r="F242" s="175"/>
      <c r="G242" s="175"/>
      <c r="H242" s="175"/>
      <c r="I242" s="176"/>
      <c r="J242" s="177"/>
      <c r="Q242" s="4"/>
      <c r="R242" s="4"/>
      <c r="S242" s="4"/>
      <c r="T242" s="4"/>
      <c r="U242" s="4"/>
      <c r="V242" s="4"/>
      <c r="AA242" s="175"/>
      <c r="AB242" s="176"/>
      <c r="AC242" s="175"/>
      <c r="AD242" s="175"/>
      <c r="AE242" s="175"/>
      <c r="AF242" s="175"/>
      <c r="AG242" s="175"/>
      <c r="AH242" s="175"/>
      <c r="AI242" s="175"/>
      <c r="AJ242" s="175"/>
      <c r="AK242" s="175"/>
      <c r="AL242" s="175"/>
      <c r="AM242" s="175"/>
      <c r="AN242" s="175"/>
      <c r="AO242" s="175"/>
      <c r="AP242" s="175"/>
      <c r="AQ242" s="175"/>
      <c r="AR242" s="175"/>
      <c r="AS242" s="175"/>
      <c r="AT242" s="175"/>
    </row>
    <row r="243" ht="15.75" customHeight="1">
      <c r="A243" s="189"/>
      <c r="B243" s="177"/>
      <c r="C243" s="177"/>
      <c r="D243" s="177"/>
      <c r="E243" s="176"/>
      <c r="F243" s="175"/>
      <c r="G243" s="175"/>
      <c r="H243" s="175"/>
      <c r="I243" s="176"/>
      <c r="J243" s="177"/>
      <c r="Q243" s="4"/>
      <c r="R243" s="4"/>
      <c r="S243" s="4"/>
      <c r="T243" s="4"/>
      <c r="U243" s="4"/>
      <c r="V243" s="4"/>
      <c r="AA243" s="175"/>
      <c r="AB243" s="176"/>
      <c r="AC243" s="175"/>
      <c r="AD243" s="175"/>
      <c r="AE243" s="175"/>
      <c r="AF243" s="175"/>
      <c r="AG243" s="175"/>
      <c r="AH243" s="175"/>
      <c r="AI243" s="175"/>
      <c r="AJ243" s="175"/>
      <c r="AK243" s="175"/>
      <c r="AL243" s="175"/>
      <c r="AM243" s="175"/>
      <c r="AN243" s="175"/>
      <c r="AO243" s="175"/>
      <c r="AP243" s="175"/>
      <c r="AQ243" s="175"/>
      <c r="AR243" s="175"/>
      <c r="AS243" s="175"/>
      <c r="AT243" s="175"/>
    </row>
    <row r="244" ht="15.75" customHeight="1">
      <c r="A244" s="189"/>
      <c r="B244" s="177"/>
      <c r="C244" s="177"/>
      <c r="D244" s="177"/>
      <c r="E244" s="176"/>
      <c r="F244" s="175"/>
      <c r="G244" s="175"/>
      <c r="H244" s="175"/>
      <c r="I244" s="176"/>
      <c r="J244" s="177"/>
      <c r="Q244" s="4"/>
      <c r="R244" s="4"/>
      <c r="S244" s="4"/>
      <c r="T244" s="4"/>
      <c r="U244" s="4"/>
      <c r="V244" s="4"/>
      <c r="AA244" s="175"/>
      <c r="AB244" s="176"/>
      <c r="AC244" s="175"/>
      <c r="AD244" s="175"/>
      <c r="AE244" s="175"/>
      <c r="AF244" s="175"/>
      <c r="AG244" s="175"/>
      <c r="AH244" s="175"/>
      <c r="AI244" s="175"/>
      <c r="AJ244" s="175"/>
      <c r="AK244" s="175"/>
      <c r="AL244" s="175"/>
      <c r="AM244" s="175"/>
      <c r="AN244" s="175"/>
      <c r="AO244" s="175"/>
      <c r="AP244" s="175"/>
      <c r="AQ244" s="175"/>
      <c r="AR244" s="175"/>
      <c r="AS244" s="175"/>
      <c r="AT244" s="175"/>
    </row>
    <row r="245" ht="15.75" customHeight="1">
      <c r="A245" s="189"/>
      <c r="B245" s="177"/>
      <c r="C245" s="177"/>
      <c r="D245" s="177"/>
      <c r="E245" s="176"/>
      <c r="F245" s="175"/>
      <c r="G245" s="175"/>
      <c r="H245" s="175"/>
      <c r="I245" s="176"/>
      <c r="J245" s="177"/>
      <c r="Q245" s="4"/>
      <c r="R245" s="4"/>
      <c r="S245" s="4"/>
      <c r="T245" s="4"/>
      <c r="U245" s="4"/>
      <c r="V245" s="4"/>
      <c r="AA245" s="175"/>
      <c r="AB245" s="176"/>
      <c r="AC245" s="175"/>
      <c r="AD245" s="175"/>
      <c r="AE245" s="175"/>
      <c r="AF245" s="175"/>
      <c r="AG245" s="175"/>
      <c r="AH245" s="175"/>
      <c r="AI245" s="175"/>
      <c r="AJ245" s="175"/>
      <c r="AK245" s="175"/>
      <c r="AL245" s="175"/>
      <c r="AM245" s="175"/>
      <c r="AN245" s="175"/>
      <c r="AO245" s="175"/>
      <c r="AP245" s="175"/>
      <c r="AQ245" s="175"/>
      <c r="AR245" s="175"/>
      <c r="AS245" s="175"/>
      <c r="AT245" s="175"/>
    </row>
    <row r="246" ht="15.75" customHeight="1">
      <c r="A246" s="189"/>
      <c r="B246" s="177"/>
      <c r="C246" s="177"/>
      <c r="D246" s="177"/>
      <c r="E246" s="176"/>
      <c r="F246" s="175"/>
      <c r="G246" s="175"/>
      <c r="H246" s="175"/>
      <c r="I246" s="176"/>
      <c r="J246" s="177"/>
      <c r="Q246" s="4"/>
      <c r="R246" s="4"/>
      <c r="S246" s="4"/>
      <c r="T246" s="4"/>
      <c r="U246" s="4"/>
      <c r="V246" s="4"/>
      <c r="AA246" s="175"/>
      <c r="AB246" s="176"/>
      <c r="AC246" s="175"/>
      <c r="AD246" s="175"/>
      <c r="AE246" s="175"/>
      <c r="AF246" s="175"/>
      <c r="AG246" s="175"/>
      <c r="AH246" s="175"/>
      <c r="AI246" s="175"/>
      <c r="AJ246" s="175"/>
      <c r="AK246" s="175"/>
      <c r="AL246" s="175"/>
      <c r="AM246" s="175"/>
      <c r="AN246" s="175"/>
      <c r="AO246" s="175"/>
      <c r="AP246" s="175"/>
      <c r="AQ246" s="175"/>
      <c r="AR246" s="175"/>
      <c r="AS246" s="175"/>
      <c r="AT246" s="175"/>
    </row>
    <row r="247" ht="15.75" customHeight="1">
      <c r="A247" s="189"/>
      <c r="B247" s="177"/>
      <c r="C247" s="177"/>
      <c r="D247" s="177"/>
      <c r="E247" s="176"/>
      <c r="F247" s="175"/>
      <c r="G247" s="175"/>
      <c r="H247" s="175"/>
      <c r="I247" s="176"/>
      <c r="J247" s="177"/>
      <c r="Q247" s="4"/>
      <c r="R247" s="4"/>
      <c r="S247" s="4"/>
      <c r="T247" s="4"/>
      <c r="U247" s="4"/>
      <c r="V247" s="4"/>
      <c r="AA247" s="175"/>
      <c r="AB247" s="176"/>
      <c r="AC247" s="175"/>
      <c r="AD247" s="175"/>
      <c r="AE247" s="175"/>
      <c r="AF247" s="175"/>
      <c r="AG247" s="175"/>
      <c r="AH247" s="175"/>
      <c r="AI247" s="175"/>
      <c r="AJ247" s="175"/>
      <c r="AK247" s="175"/>
      <c r="AL247" s="175"/>
      <c r="AM247" s="175"/>
      <c r="AN247" s="175"/>
      <c r="AO247" s="175"/>
      <c r="AP247" s="175"/>
      <c r="AQ247" s="175"/>
      <c r="AR247" s="175"/>
      <c r="AS247" s="175"/>
      <c r="AT247" s="175"/>
    </row>
    <row r="248" ht="15.75" customHeight="1">
      <c r="A248" s="189"/>
      <c r="B248" s="177"/>
      <c r="C248" s="177"/>
      <c r="D248" s="177"/>
      <c r="E248" s="176"/>
      <c r="F248" s="175"/>
      <c r="G248" s="175"/>
      <c r="H248" s="175"/>
      <c r="I248" s="176"/>
      <c r="J248" s="177"/>
      <c r="Q248" s="4"/>
      <c r="R248" s="4"/>
      <c r="S248" s="4"/>
      <c r="T248" s="4"/>
      <c r="U248" s="4"/>
      <c r="V248" s="4"/>
      <c r="AA248" s="175"/>
      <c r="AB248" s="176"/>
      <c r="AC248" s="175"/>
      <c r="AD248" s="175"/>
      <c r="AE248" s="175"/>
      <c r="AF248" s="175"/>
      <c r="AG248" s="175"/>
      <c r="AH248" s="175"/>
      <c r="AI248" s="175"/>
      <c r="AJ248" s="175"/>
      <c r="AK248" s="175"/>
      <c r="AL248" s="175"/>
      <c r="AM248" s="175"/>
      <c r="AN248" s="175"/>
      <c r="AO248" s="175"/>
      <c r="AP248" s="175"/>
      <c r="AQ248" s="175"/>
      <c r="AR248" s="175"/>
      <c r="AS248" s="175"/>
      <c r="AT248" s="175"/>
    </row>
    <row r="249" ht="15.75" customHeight="1">
      <c r="A249" s="189"/>
      <c r="B249" s="177"/>
      <c r="C249" s="177"/>
      <c r="D249" s="177"/>
      <c r="E249" s="176"/>
      <c r="F249" s="175"/>
      <c r="G249" s="175"/>
      <c r="H249" s="175"/>
      <c r="I249" s="176"/>
      <c r="J249" s="177"/>
      <c r="Q249" s="4"/>
      <c r="R249" s="4"/>
      <c r="S249" s="4"/>
      <c r="T249" s="4"/>
      <c r="U249" s="4"/>
      <c r="V249" s="4"/>
      <c r="AA249" s="175"/>
      <c r="AB249" s="176"/>
      <c r="AC249" s="175"/>
      <c r="AD249" s="175"/>
      <c r="AE249" s="175"/>
      <c r="AF249" s="175"/>
      <c r="AG249" s="175"/>
      <c r="AH249" s="175"/>
      <c r="AI249" s="175"/>
      <c r="AJ249" s="175"/>
      <c r="AK249" s="175"/>
      <c r="AL249" s="175"/>
      <c r="AM249" s="175"/>
      <c r="AN249" s="175"/>
      <c r="AO249" s="175"/>
      <c r="AP249" s="175"/>
      <c r="AQ249" s="175"/>
      <c r="AR249" s="175"/>
      <c r="AS249" s="175"/>
      <c r="AT249" s="175"/>
    </row>
    <row r="250" ht="15.75" customHeight="1">
      <c r="A250" s="189"/>
      <c r="B250" s="177"/>
      <c r="C250" s="177"/>
      <c r="D250" s="177"/>
      <c r="E250" s="176"/>
      <c r="F250" s="175"/>
      <c r="G250" s="175"/>
      <c r="H250" s="175"/>
      <c r="I250" s="176"/>
      <c r="J250" s="177"/>
      <c r="Q250" s="4"/>
      <c r="R250" s="4"/>
      <c r="S250" s="4"/>
      <c r="T250" s="4"/>
      <c r="U250" s="4"/>
      <c r="V250" s="4"/>
      <c r="AA250" s="175"/>
      <c r="AB250" s="176"/>
      <c r="AC250" s="175"/>
      <c r="AD250" s="175"/>
      <c r="AE250" s="175"/>
      <c r="AF250" s="175"/>
      <c r="AG250" s="175"/>
      <c r="AH250" s="175"/>
      <c r="AI250" s="175"/>
      <c r="AJ250" s="175"/>
      <c r="AK250" s="175"/>
      <c r="AL250" s="175"/>
      <c r="AM250" s="175"/>
      <c r="AN250" s="175"/>
      <c r="AO250" s="175"/>
      <c r="AP250" s="175"/>
      <c r="AQ250" s="175"/>
      <c r="AR250" s="175"/>
      <c r="AS250" s="175"/>
      <c r="AT250" s="175"/>
    </row>
    <row r="251" ht="15.75" customHeight="1">
      <c r="A251" s="189"/>
      <c r="B251" s="177"/>
      <c r="C251" s="177"/>
      <c r="D251" s="177"/>
      <c r="E251" s="176"/>
      <c r="F251" s="175"/>
      <c r="G251" s="175"/>
      <c r="H251" s="175"/>
      <c r="I251" s="176"/>
      <c r="J251" s="177"/>
      <c r="Q251" s="4"/>
      <c r="R251" s="4"/>
      <c r="S251" s="4"/>
      <c r="T251" s="4"/>
      <c r="U251" s="4"/>
      <c r="V251" s="4"/>
      <c r="AA251" s="175"/>
      <c r="AB251" s="176"/>
      <c r="AC251" s="175"/>
      <c r="AD251" s="175"/>
      <c r="AE251" s="175"/>
      <c r="AF251" s="175"/>
      <c r="AG251" s="175"/>
      <c r="AH251" s="175"/>
      <c r="AI251" s="175"/>
      <c r="AJ251" s="175"/>
      <c r="AK251" s="175"/>
      <c r="AL251" s="175"/>
      <c r="AM251" s="175"/>
      <c r="AN251" s="175"/>
      <c r="AO251" s="175"/>
      <c r="AP251" s="175"/>
      <c r="AQ251" s="175"/>
      <c r="AR251" s="175"/>
      <c r="AS251" s="175"/>
      <c r="AT251" s="175"/>
    </row>
    <row r="252" ht="15.75" customHeight="1">
      <c r="A252" s="189"/>
      <c r="B252" s="177"/>
      <c r="C252" s="177"/>
      <c r="D252" s="177"/>
      <c r="E252" s="176"/>
      <c r="F252" s="175"/>
      <c r="G252" s="175"/>
      <c r="H252" s="175"/>
      <c r="I252" s="176"/>
      <c r="J252" s="177"/>
      <c r="Q252" s="4"/>
      <c r="R252" s="4"/>
      <c r="S252" s="4"/>
      <c r="T252" s="4"/>
      <c r="U252" s="4"/>
      <c r="V252" s="4"/>
      <c r="AA252" s="175"/>
      <c r="AB252" s="176"/>
      <c r="AC252" s="175"/>
      <c r="AD252" s="175"/>
      <c r="AE252" s="175"/>
      <c r="AF252" s="175"/>
      <c r="AG252" s="175"/>
      <c r="AH252" s="175"/>
      <c r="AI252" s="175"/>
      <c r="AJ252" s="175"/>
      <c r="AK252" s="175"/>
      <c r="AL252" s="175"/>
      <c r="AM252" s="175"/>
      <c r="AN252" s="175"/>
      <c r="AO252" s="175"/>
      <c r="AP252" s="175"/>
      <c r="AQ252" s="175"/>
      <c r="AR252" s="175"/>
      <c r="AS252" s="175"/>
      <c r="AT252" s="175"/>
    </row>
    <row r="253" ht="15.75" customHeight="1">
      <c r="A253" s="189"/>
      <c r="B253" s="177"/>
      <c r="C253" s="177"/>
      <c r="D253" s="177"/>
      <c r="E253" s="176"/>
      <c r="F253" s="175"/>
      <c r="G253" s="175"/>
      <c r="H253" s="175"/>
      <c r="I253" s="176"/>
      <c r="J253" s="177"/>
      <c r="Q253" s="4"/>
      <c r="R253" s="4"/>
      <c r="S253" s="4"/>
      <c r="T253" s="4"/>
      <c r="U253" s="4"/>
      <c r="V253" s="4"/>
      <c r="AA253" s="175"/>
      <c r="AB253" s="176"/>
      <c r="AC253" s="175"/>
      <c r="AD253" s="175"/>
      <c r="AE253" s="175"/>
      <c r="AF253" s="175"/>
      <c r="AG253" s="175"/>
      <c r="AH253" s="175"/>
      <c r="AI253" s="175"/>
      <c r="AJ253" s="175"/>
      <c r="AK253" s="175"/>
      <c r="AL253" s="175"/>
      <c r="AM253" s="175"/>
      <c r="AN253" s="175"/>
      <c r="AO253" s="175"/>
      <c r="AP253" s="175"/>
      <c r="AQ253" s="175"/>
      <c r="AR253" s="175"/>
      <c r="AS253" s="175"/>
      <c r="AT253" s="175"/>
    </row>
    <row r="254" ht="15.75" customHeight="1">
      <c r="A254" s="189"/>
      <c r="B254" s="177"/>
      <c r="C254" s="177"/>
      <c r="D254" s="177"/>
      <c r="E254" s="176"/>
      <c r="F254" s="175"/>
      <c r="G254" s="175"/>
      <c r="H254" s="175"/>
      <c r="I254" s="176"/>
      <c r="J254" s="177"/>
      <c r="Q254" s="4"/>
      <c r="R254" s="4"/>
      <c r="S254" s="4"/>
      <c r="T254" s="4"/>
      <c r="U254" s="4"/>
      <c r="V254" s="4"/>
      <c r="AA254" s="175"/>
      <c r="AB254" s="176"/>
      <c r="AC254" s="175"/>
      <c r="AD254" s="175"/>
      <c r="AE254" s="175"/>
      <c r="AF254" s="175"/>
      <c r="AG254" s="175"/>
      <c r="AH254" s="175"/>
      <c r="AI254" s="175"/>
      <c r="AJ254" s="175"/>
      <c r="AK254" s="175"/>
      <c r="AL254" s="175"/>
      <c r="AM254" s="175"/>
      <c r="AN254" s="175"/>
      <c r="AO254" s="175"/>
      <c r="AP254" s="175"/>
      <c r="AQ254" s="175"/>
      <c r="AR254" s="175"/>
      <c r="AS254" s="175"/>
      <c r="AT254" s="175"/>
    </row>
    <row r="255" ht="15.75" customHeight="1">
      <c r="A255" s="189"/>
      <c r="B255" s="177"/>
      <c r="C255" s="177"/>
      <c r="D255" s="177"/>
      <c r="E255" s="176"/>
      <c r="F255" s="175"/>
      <c r="G255" s="175"/>
      <c r="H255" s="175"/>
      <c r="I255" s="176"/>
      <c r="J255" s="177"/>
      <c r="Q255" s="4"/>
      <c r="R255" s="4"/>
      <c r="S255" s="4"/>
      <c r="T255" s="4"/>
      <c r="U255" s="4"/>
      <c r="V255" s="4"/>
      <c r="AA255" s="175"/>
      <c r="AB255" s="176"/>
      <c r="AC255" s="175"/>
      <c r="AD255" s="175"/>
      <c r="AE255" s="175"/>
      <c r="AF255" s="175"/>
      <c r="AG255" s="175"/>
      <c r="AH255" s="175"/>
      <c r="AI255" s="175"/>
      <c r="AJ255" s="175"/>
      <c r="AK255" s="175"/>
      <c r="AL255" s="175"/>
      <c r="AM255" s="175"/>
      <c r="AN255" s="175"/>
      <c r="AO255" s="175"/>
      <c r="AP255" s="175"/>
      <c r="AQ255" s="175"/>
      <c r="AR255" s="175"/>
      <c r="AS255" s="175"/>
      <c r="AT255" s="175"/>
    </row>
    <row r="256" ht="15.75" customHeight="1">
      <c r="A256" s="189"/>
      <c r="B256" s="177"/>
      <c r="C256" s="177"/>
      <c r="D256" s="177"/>
      <c r="E256" s="176"/>
      <c r="F256" s="175"/>
      <c r="G256" s="175"/>
      <c r="H256" s="175"/>
      <c r="I256" s="176"/>
      <c r="J256" s="177"/>
      <c r="Q256" s="4"/>
      <c r="R256" s="4"/>
      <c r="S256" s="4"/>
      <c r="T256" s="4"/>
      <c r="U256" s="4"/>
      <c r="V256" s="4"/>
      <c r="AA256" s="175"/>
      <c r="AB256" s="176"/>
      <c r="AC256" s="175"/>
      <c r="AD256" s="175"/>
      <c r="AE256" s="175"/>
      <c r="AF256" s="175"/>
      <c r="AG256" s="175"/>
      <c r="AH256" s="175"/>
      <c r="AI256" s="175"/>
      <c r="AJ256" s="175"/>
      <c r="AK256" s="175"/>
      <c r="AL256" s="175"/>
      <c r="AM256" s="175"/>
      <c r="AN256" s="175"/>
      <c r="AO256" s="175"/>
      <c r="AP256" s="175"/>
      <c r="AQ256" s="175"/>
      <c r="AR256" s="175"/>
      <c r="AS256" s="175"/>
      <c r="AT256" s="175"/>
    </row>
    <row r="257" ht="15.75" customHeight="1">
      <c r="A257" s="189"/>
      <c r="B257" s="177"/>
      <c r="C257" s="177"/>
      <c r="D257" s="177"/>
      <c r="E257" s="176"/>
      <c r="F257" s="175"/>
      <c r="G257" s="175"/>
      <c r="H257" s="175"/>
      <c r="I257" s="176"/>
      <c r="J257" s="177"/>
      <c r="Q257" s="4"/>
      <c r="R257" s="4"/>
      <c r="S257" s="4"/>
      <c r="T257" s="4"/>
      <c r="U257" s="4"/>
      <c r="V257" s="4"/>
      <c r="AA257" s="175"/>
      <c r="AB257" s="176"/>
      <c r="AC257" s="175"/>
      <c r="AD257" s="175"/>
      <c r="AE257" s="175"/>
      <c r="AF257" s="175"/>
      <c r="AG257" s="175"/>
      <c r="AH257" s="175"/>
      <c r="AI257" s="175"/>
      <c r="AJ257" s="175"/>
      <c r="AK257" s="175"/>
      <c r="AL257" s="175"/>
      <c r="AM257" s="175"/>
      <c r="AN257" s="175"/>
      <c r="AO257" s="175"/>
      <c r="AP257" s="175"/>
      <c r="AQ257" s="175"/>
      <c r="AR257" s="175"/>
      <c r="AS257" s="175"/>
      <c r="AT257" s="175"/>
    </row>
    <row r="258" ht="15.75" customHeight="1">
      <c r="A258" s="189"/>
      <c r="B258" s="177"/>
      <c r="C258" s="177"/>
      <c r="D258" s="177"/>
      <c r="E258" s="176"/>
      <c r="F258" s="175"/>
      <c r="G258" s="175"/>
      <c r="H258" s="175"/>
      <c r="I258" s="176"/>
      <c r="J258" s="177"/>
      <c r="Q258" s="4"/>
      <c r="R258" s="4"/>
      <c r="S258" s="4"/>
      <c r="T258" s="4"/>
      <c r="U258" s="4"/>
      <c r="V258" s="4"/>
      <c r="AA258" s="175"/>
      <c r="AB258" s="176"/>
      <c r="AC258" s="175"/>
      <c r="AD258" s="175"/>
      <c r="AE258" s="175"/>
      <c r="AF258" s="175"/>
      <c r="AG258" s="175"/>
      <c r="AH258" s="175"/>
      <c r="AI258" s="175"/>
      <c r="AJ258" s="175"/>
      <c r="AK258" s="175"/>
      <c r="AL258" s="175"/>
      <c r="AM258" s="175"/>
      <c r="AN258" s="175"/>
      <c r="AO258" s="175"/>
      <c r="AP258" s="175"/>
      <c r="AQ258" s="175"/>
      <c r="AR258" s="175"/>
      <c r="AS258" s="175"/>
      <c r="AT258" s="175"/>
    </row>
    <row r="259" ht="15.75" customHeight="1">
      <c r="A259" s="189"/>
      <c r="B259" s="177"/>
      <c r="C259" s="177"/>
      <c r="D259" s="177"/>
      <c r="E259" s="176"/>
      <c r="F259" s="175"/>
      <c r="G259" s="175"/>
      <c r="H259" s="175"/>
      <c r="I259" s="176"/>
      <c r="J259" s="177"/>
      <c r="Q259" s="4"/>
      <c r="R259" s="4"/>
      <c r="S259" s="4"/>
      <c r="T259" s="4"/>
      <c r="U259" s="4"/>
      <c r="V259" s="4"/>
      <c r="AA259" s="175"/>
      <c r="AB259" s="176"/>
      <c r="AC259" s="175"/>
      <c r="AD259" s="175"/>
      <c r="AE259" s="175"/>
      <c r="AF259" s="175"/>
      <c r="AG259" s="175"/>
      <c r="AH259" s="175"/>
      <c r="AI259" s="175"/>
      <c r="AJ259" s="175"/>
      <c r="AK259" s="175"/>
      <c r="AL259" s="175"/>
      <c r="AM259" s="175"/>
      <c r="AN259" s="175"/>
      <c r="AO259" s="175"/>
      <c r="AP259" s="175"/>
      <c r="AQ259" s="175"/>
      <c r="AR259" s="175"/>
      <c r="AS259" s="175"/>
      <c r="AT259" s="175"/>
    </row>
    <row r="260" ht="15.75" customHeight="1">
      <c r="A260" s="189"/>
      <c r="B260" s="177"/>
      <c r="C260" s="177"/>
      <c r="D260" s="177"/>
      <c r="E260" s="176"/>
      <c r="F260" s="175"/>
      <c r="G260" s="175"/>
      <c r="H260" s="175"/>
      <c r="I260" s="176"/>
      <c r="J260" s="177"/>
      <c r="Q260" s="4"/>
      <c r="R260" s="4"/>
      <c r="S260" s="4"/>
      <c r="T260" s="4"/>
      <c r="U260" s="4"/>
      <c r="V260" s="4"/>
      <c r="AA260" s="175"/>
      <c r="AB260" s="176"/>
      <c r="AC260" s="175"/>
      <c r="AD260" s="175"/>
      <c r="AE260" s="175"/>
      <c r="AF260" s="175"/>
      <c r="AG260" s="175"/>
      <c r="AH260" s="175"/>
      <c r="AI260" s="175"/>
      <c r="AJ260" s="175"/>
      <c r="AK260" s="175"/>
      <c r="AL260" s="175"/>
      <c r="AM260" s="175"/>
      <c r="AN260" s="175"/>
      <c r="AO260" s="175"/>
      <c r="AP260" s="175"/>
      <c r="AQ260" s="175"/>
      <c r="AR260" s="175"/>
      <c r="AS260" s="175"/>
      <c r="AT260" s="175"/>
    </row>
    <row r="261" ht="15.75" customHeight="1">
      <c r="A261" s="189"/>
      <c r="B261" s="177"/>
      <c r="C261" s="177"/>
      <c r="D261" s="177"/>
      <c r="E261" s="176"/>
      <c r="F261" s="175"/>
      <c r="G261" s="175"/>
      <c r="H261" s="175"/>
      <c r="I261" s="176"/>
      <c r="J261" s="177"/>
      <c r="Q261" s="4"/>
      <c r="R261" s="4"/>
      <c r="S261" s="4"/>
      <c r="T261" s="4"/>
      <c r="U261" s="4"/>
      <c r="V261" s="4"/>
      <c r="AA261" s="175"/>
      <c r="AB261" s="176"/>
      <c r="AC261" s="175"/>
      <c r="AD261" s="175"/>
      <c r="AE261" s="175"/>
      <c r="AF261" s="175"/>
      <c r="AG261" s="175"/>
      <c r="AH261" s="175"/>
      <c r="AI261" s="175"/>
      <c r="AJ261" s="175"/>
      <c r="AK261" s="175"/>
      <c r="AL261" s="175"/>
      <c r="AM261" s="175"/>
      <c r="AN261" s="175"/>
      <c r="AO261" s="175"/>
      <c r="AP261" s="175"/>
      <c r="AQ261" s="175"/>
      <c r="AR261" s="175"/>
      <c r="AS261" s="175"/>
      <c r="AT261" s="175"/>
    </row>
    <row r="262" ht="15.75" customHeight="1">
      <c r="A262" s="189"/>
      <c r="B262" s="177"/>
      <c r="C262" s="177"/>
      <c r="D262" s="177"/>
      <c r="E262" s="176"/>
      <c r="F262" s="175"/>
      <c r="G262" s="175"/>
      <c r="H262" s="175"/>
      <c r="I262" s="176"/>
      <c r="J262" s="177"/>
      <c r="Q262" s="4"/>
      <c r="R262" s="4"/>
      <c r="S262" s="4"/>
      <c r="T262" s="4"/>
      <c r="U262" s="4"/>
      <c r="V262" s="4"/>
      <c r="AA262" s="175"/>
      <c r="AB262" s="176"/>
      <c r="AC262" s="175"/>
      <c r="AD262" s="175"/>
      <c r="AE262" s="175"/>
      <c r="AF262" s="175"/>
      <c r="AG262" s="175"/>
      <c r="AH262" s="175"/>
      <c r="AI262" s="175"/>
      <c r="AJ262" s="175"/>
      <c r="AK262" s="175"/>
      <c r="AL262" s="175"/>
      <c r="AM262" s="175"/>
      <c r="AN262" s="175"/>
      <c r="AO262" s="175"/>
      <c r="AP262" s="175"/>
      <c r="AQ262" s="175"/>
      <c r="AR262" s="175"/>
      <c r="AS262" s="175"/>
      <c r="AT262" s="175"/>
    </row>
    <row r="263" ht="15.75" customHeight="1">
      <c r="A263" s="189"/>
      <c r="B263" s="177"/>
      <c r="C263" s="177"/>
      <c r="D263" s="177"/>
      <c r="E263" s="176"/>
      <c r="F263" s="175"/>
      <c r="G263" s="175"/>
      <c r="H263" s="175"/>
      <c r="I263" s="176"/>
      <c r="J263" s="177"/>
      <c r="Q263" s="4"/>
      <c r="R263" s="4"/>
      <c r="S263" s="4"/>
      <c r="T263" s="4"/>
      <c r="U263" s="4"/>
      <c r="V263" s="4"/>
      <c r="AA263" s="175"/>
      <c r="AB263" s="176"/>
      <c r="AC263" s="175"/>
      <c r="AD263" s="175"/>
      <c r="AE263" s="175"/>
      <c r="AF263" s="175"/>
      <c r="AG263" s="175"/>
      <c r="AH263" s="175"/>
      <c r="AI263" s="175"/>
      <c r="AJ263" s="175"/>
      <c r="AK263" s="175"/>
      <c r="AL263" s="175"/>
      <c r="AM263" s="175"/>
      <c r="AN263" s="175"/>
      <c r="AO263" s="175"/>
      <c r="AP263" s="175"/>
      <c r="AQ263" s="175"/>
      <c r="AR263" s="175"/>
      <c r="AS263" s="175"/>
      <c r="AT263" s="175"/>
    </row>
    <row r="264" ht="15.75" customHeight="1">
      <c r="A264" s="189"/>
      <c r="B264" s="177"/>
      <c r="C264" s="177"/>
      <c r="D264" s="177"/>
      <c r="E264" s="176"/>
      <c r="F264" s="175"/>
      <c r="G264" s="175"/>
      <c r="H264" s="175"/>
      <c r="I264" s="176"/>
      <c r="J264" s="177"/>
      <c r="Q264" s="4"/>
      <c r="R264" s="4"/>
      <c r="S264" s="4"/>
      <c r="T264" s="4"/>
      <c r="U264" s="4"/>
      <c r="V264" s="4"/>
      <c r="AA264" s="175"/>
      <c r="AB264" s="176"/>
      <c r="AC264" s="175"/>
      <c r="AD264" s="175"/>
      <c r="AE264" s="175"/>
      <c r="AF264" s="175"/>
      <c r="AG264" s="175"/>
      <c r="AH264" s="175"/>
      <c r="AI264" s="175"/>
      <c r="AJ264" s="175"/>
      <c r="AK264" s="175"/>
      <c r="AL264" s="175"/>
      <c r="AM264" s="175"/>
      <c r="AN264" s="175"/>
      <c r="AO264" s="175"/>
      <c r="AP264" s="175"/>
      <c r="AQ264" s="175"/>
      <c r="AR264" s="175"/>
      <c r="AS264" s="175"/>
      <c r="AT264" s="175"/>
    </row>
    <row r="265" ht="15.75" customHeight="1">
      <c r="A265" s="189"/>
      <c r="B265" s="177"/>
      <c r="C265" s="177"/>
      <c r="D265" s="177"/>
      <c r="E265" s="176"/>
      <c r="F265" s="175"/>
      <c r="G265" s="175"/>
      <c r="H265" s="175"/>
      <c r="I265" s="176"/>
      <c r="J265" s="177"/>
      <c r="Q265" s="4"/>
      <c r="R265" s="4"/>
      <c r="S265" s="4"/>
      <c r="T265" s="4"/>
      <c r="U265" s="4"/>
      <c r="V265" s="4"/>
      <c r="AA265" s="175"/>
      <c r="AB265" s="176"/>
      <c r="AC265" s="175"/>
      <c r="AD265" s="175"/>
      <c r="AE265" s="175"/>
      <c r="AF265" s="175"/>
      <c r="AG265" s="175"/>
      <c r="AH265" s="175"/>
      <c r="AI265" s="175"/>
      <c r="AJ265" s="175"/>
      <c r="AK265" s="175"/>
      <c r="AL265" s="175"/>
      <c r="AM265" s="175"/>
      <c r="AN265" s="175"/>
      <c r="AO265" s="175"/>
      <c r="AP265" s="175"/>
      <c r="AQ265" s="175"/>
      <c r="AR265" s="175"/>
      <c r="AS265" s="175"/>
      <c r="AT265" s="175"/>
    </row>
    <row r="266" ht="15.75" customHeight="1">
      <c r="A266" s="189"/>
      <c r="B266" s="177"/>
      <c r="C266" s="177"/>
      <c r="D266" s="177"/>
      <c r="E266" s="176"/>
      <c r="F266" s="175"/>
      <c r="G266" s="175"/>
      <c r="H266" s="175"/>
      <c r="I266" s="176"/>
      <c r="J266" s="177"/>
      <c r="Q266" s="4"/>
      <c r="R266" s="4"/>
      <c r="S266" s="4"/>
      <c r="T266" s="4"/>
      <c r="U266" s="4"/>
      <c r="V266" s="4"/>
      <c r="AA266" s="175"/>
      <c r="AB266" s="176"/>
      <c r="AC266" s="175"/>
      <c r="AD266" s="175"/>
      <c r="AE266" s="175"/>
      <c r="AF266" s="175"/>
      <c r="AG266" s="175"/>
      <c r="AH266" s="175"/>
      <c r="AI266" s="175"/>
      <c r="AJ266" s="175"/>
      <c r="AK266" s="175"/>
      <c r="AL266" s="175"/>
      <c r="AM266" s="175"/>
      <c r="AN266" s="175"/>
      <c r="AO266" s="175"/>
      <c r="AP266" s="175"/>
      <c r="AQ266" s="175"/>
      <c r="AR266" s="175"/>
      <c r="AS266" s="175"/>
      <c r="AT266" s="175"/>
    </row>
    <row r="267" ht="15.75" customHeight="1">
      <c r="A267" s="189"/>
      <c r="B267" s="177"/>
      <c r="C267" s="177"/>
      <c r="D267" s="177"/>
      <c r="E267" s="176"/>
      <c r="F267" s="175"/>
      <c r="G267" s="175"/>
      <c r="H267" s="175"/>
      <c r="I267" s="176"/>
      <c r="J267" s="177"/>
      <c r="Q267" s="4"/>
      <c r="R267" s="4"/>
      <c r="S267" s="4"/>
      <c r="T267" s="4"/>
      <c r="U267" s="4"/>
      <c r="V267" s="4"/>
      <c r="AA267" s="175"/>
      <c r="AB267" s="176"/>
      <c r="AC267" s="175"/>
      <c r="AD267" s="175"/>
      <c r="AE267" s="175"/>
      <c r="AF267" s="175"/>
      <c r="AG267" s="175"/>
      <c r="AH267" s="175"/>
      <c r="AI267" s="175"/>
      <c r="AJ267" s="175"/>
      <c r="AK267" s="175"/>
      <c r="AL267" s="175"/>
      <c r="AM267" s="175"/>
      <c r="AN267" s="175"/>
      <c r="AO267" s="175"/>
      <c r="AP267" s="175"/>
      <c r="AQ267" s="175"/>
      <c r="AR267" s="175"/>
      <c r="AS267" s="175"/>
      <c r="AT267" s="175"/>
    </row>
    <row r="268" ht="15.75" customHeight="1">
      <c r="A268" s="189"/>
      <c r="B268" s="177"/>
      <c r="C268" s="177"/>
      <c r="D268" s="177"/>
      <c r="E268" s="176"/>
      <c r="F268" s="175"/>
      <c r="G268" s="175"/>
      <c r="H268" s="175"/>
      <c r="I268" s="176"/>
      <c r="J268" s="177"/>
      <c r="Q268" s="4"/>
      <c r="R268" s="4"/>
      <c r="S268" s="4"/>
      <c r="T268" s="4"/>
      <c r="U268" s="4"/>
      <c r="V268" s="4"/>
      <c r="AA268" s="175"/>
      <c r="AB268" s="176"/>
      <c r="AC268" s="175"/>
      <c r="AD268" s="175"/>
      <c r="AE268" s="175"/>
      <c r="AF268" s="175"/>
      <c r="AG268" s="175"/>
      <c r="AH268" s="175"/>
      <c r="AI268" s="175"/>
      <c r="AJ268" s="175"/>
      <c r="AK268" s="175"/>
      <c r="AL268" s="175"/>
      <c r="AM268" s="175"/>
      <c r="AN268" s="175"/>
      <c r="AO268" s="175"/>
      <c r="AP268" s="175"/>
      <c r="AQ268" s="175"/>
      <c r="AR268" s="175"/>
      <c r="AS268" s="175"/>
      <c r="AT268" s="175"/>
    </row>
    <row r="269" ht="15.75" customHeight="1">
      <c r="A269" s="189"/>
      <c r="B269" s="177"/>
      <c r="C269" s="177"/>
      <c r="D269" s="177"/>
      <c r="E269" s="176"/>
      <c r="F269" s="175"/>
      <c r="G269" s="175"/>
      <c r="H269" s="175"/>
      <c r="I269" s="176"/>
      <c r="J269" s="177"/>
      <c r="Q269" s="4"/>
      <c r="R269" s="4"/>
      <c r="S269" s="4"/>
      <c r="T269" s="4"/>
      <c r="U269" s="4"/>
      <c r="V269" s="4"/>
      <c r="AA269" s="175"/>
      <c r="AB269" s="176"/>
      <c r="AC269" s="175"/>
      <c r="AD269" s="175"/>
      <c r="AE269" s="175"/>
      <c r="AF269" s="175"/>
      <c r="AG269" s="175"/>
      <c r="AH269" s="175"/>
      <c r="AI269" s="175"/>
      <c r="AJ269" s="175"/>
      <c r="AK269" s="175"/>
      <c r="AL269" s="175"/>
      <c r="AM269" s="175"/>
      <c r="AN269" s="175"/>
      <c r="AO269" s="175"/>
      <c r="AP269" s="175"/>
      <c r="AQ269" s="175"/>
      <c r="AR269" s="175"/>
      <c r="AS269" s="175"/>
      <c r="AT269" s="175"/>
    </row>
    <row r="270" ht="15.75" customHeight="1">
      <c r="A270" s="189"/>
      <c r="B270" s="177"/>
      <c r="C270" s="177"/>
      <c r="D270" s="177"/>
      <c r="E270" s="176"/>
      <c r="F270" s="175"/>
      <c r="G270" s="175"/>
      <c r="H270" s="175"/>
      <c r="I270" s="176"/>
      <c r="J270" s="177"/>
      <c r="Q270" s="4"/>
      <c r="R270" s="4"/>
      <c r="S270" s="4"/>
      <c r="T270" s="4"/>
      <c r="U270" s="4"/>
      <c r="V270" s="4"/>
      <c r="AA270" s="175"/>
      <c r="AB270" s="176"/>
      <c r="AC270" s="175"/>
      <c r="AD270" s="175"/>
      <c r="AE270" s="175"/>
      <c r="AF270" s="175"/>
      <c r="AG270" s="175"/>
      <c r="AH270" s="175"/>
      <c r="AI270" s="175"/>
      <c r="AJ270" s="175"/>
      <c r="AK270" s="175"/>
      <c r="AL270" s="175"/>
      <c r="AM270" s="175"/>
      <c r="AN270" s="175"/>
      <c r="AO270" s="175"/>
      <c r="AP270" s="175"/>
      <c r="AQ270" s="175"/>
      <c r="AR270" s="175"/>
      <c r="AS270" s="175"/>
      <c r="AT270" s="175"/>
    </row>
    <row r="271" ht="15.75" customHeight="1">
      <c r="A271" s="189"/>
      <c r="B271" s="177"/>
      <c r="C271" s="177"/>
      <c r="D271" s="177"/>
      <c r="E271" s="176"/>
      <c r="F271" s="175"/>
      <c r="G271" s="175"/>
      <c r="H271" s="175"/>
      <c r="I271" s="176"/>
      <c r="J271" s="177"/>
      <c r="Q271" s="4"/>
      <c r="R271" s="4"/>
      <c r="S271" s="4"/>
      <c r="T271" s="4"/>
      <c r="U271" s="4"/>
      <c r="V271" s="4"/>
      <c r="AA271" s="175"/>
      <c r="AB271" s="176"/>
      <c r="AC271" s="175"/>
      <c r="AD271" s="175"/>
      <c r="AE271" s="175"/>
      <c r="AF271" s="175"/>
      <c r="AG271" s="175"/>
      <c r="AH271" s="175"/>
      <c r="AI271" s="175"/>
      <c r="AJ271" s="175"/>
      <c r="AK271" s="175"/>
      <c r="AL271" s="175"/>
      <c r="AM271" s="175"/>
      <c r="AN271" s="175"/>
      <c r="AO271" s="175"/>
      <c r="AP271" s="175"/>
      <c r="AQ271" s="175"/>
      <c r="AR271" s="175"/>
      <c r="AS271" s="175"/>
      <c r="AT271" s="175"/>
    </row>
    <row r="272" ht="15.75" customHeight="1">
      <c r="A272" s="189"/>
      <c r="B272" s="177"/>
      <c r="C272" s="177"/>
      <c r="D272" s="177"/>
      <c r="E272" s="176"/>
      <c r="F272" s="175"/>
      <c r="G272" s="175"/>
      <c r="H272" s="175"/>
      <c r="I272" s="176"/>
      <c r="J272" s="177"/>
      <c r="Q272" s="4"/>
      <c r="R272" s="4"/>
      <c r="S272" s="4"/>
      <c r="T272" s="4"/>
      <c r="U272" s="4"/>
      <c r="V272" s="4"/>
      <c r="AA272" s="175"/>
      <c r="AB272" s="176"/>
      <c r="AC272" s="175"/>
      <c r="AD272" s="175"/>
      <c r="AE272" s="175"/>
      <c r="AF272" s="175"/>
      <c r="AG272" s="175"/>
      <c r="AH272" s="175"/>
      <c r="AI272" s="175"/>
      <c r="AJ272" s="175"/>
      <c r="AK272" s="175"/>
      <c r="AL272" s="175"/>
      <c r="AM272" s="175"/>
      <c r="AN272" s="175"/>
      <c r="AO272" s="175"/>
      <c r="AP272" s="175"/>
      <c r="AQ272" s="175"/>
      <c r="AR272" s="175"/>
      <c r="AS272" s="175"/>
      <c r="AT272" s="175"/>
    </row>
    <row r="273" ht="15.75" customHeight="1">
      <c r="A273" s="189"/>
      <c r="B273" s="177"/>
      <c r="C273" s="177"/>
      <c r="D273" s="177"/>
      <c r="E273" s="176"/>
      <c r="F273" s="175"/>
      <c r="G273" s="175"/>
      <c r="H273" s="175"/>
      <c r="I273" s="176"/>
      <c r="J273" s="177"/>
      <c r="Q273" s="4"/>
      <c r="R273" s="4"/>
      <c r="S273" s="4"/>
      <c r="T273" s="4"/>
      <c r="U273" s="4"/>
      <c r="V273" s="4"/>
      <c r="AA273" s="175"/>
      <c r="AB273" s="176"/>
      <c r="AC273" s="175"/>
      <c r="AD273" s="175"/>
      <c r="AE273" s="175"/>
      <c r="AF273" s="175"/>
      <c r="AG273" s="175"/>
      <c r="AH273" s="175"/>
      <c r="AI273" s="175"/>
      <c r="AJ273" s="175"/>
      <c r="AK273" s="175"/>
      <c r="AL273" s="175"/>
      <c r="AM273" s="175"/>
      <c r="AN273" s="175"/>
      <c r="AO273" s="175"/>
      <c r="AP273" s="175"/>
      <c r="AQ273" s="175"/>
      <c r="AR273" s="175"/>
      <c r="AS273" s="175"/>
      <c r="AT273" s="175"/>
    </row>
    <row r="274" ht="15.75" customHeight="1">
      <c r="A274" s="189"/>
      <c r="B274" s="177"/>
      <c r="C274" s="177"/>
      <c r="D274" s="177"/>
      <c r="E274" s="176"/>
      <c r="F274" s="175"/>
      <c r="G274" s="175"/>
      <c r="H274" s="175"/>
      <c r="I274" s="176"/>
      <c r="J274" s="177"/>
      <c r="Q274" s="4"/>
      <c r="R274" s="4"/>
      <c r="S274" s="4"/>
      <c r="T274" s="4"/>
      <c r="U274" s="4"/>
      <c r="V274" s="4"/>
      <c r="AA274" s="175"/>
      <c r="AB274" s="176"/>
      <c r="AC274" s="175"/>
      <c r="AD274" s="175"/>
      <c r="AE274" s="175"/>
      <c r="AF274" s="175"/>
      <c r="AG274" s="175"/>
      <c r="AH274" s="175"/>
      <c r="AI274" s="175"/>
      <c r="AJ274" s="175"/>
      <c r="AK274" s="175"/>
      <c r="AL274" s="175"/>
      <c r="AM274" s="175"/>
      <c r="AN274" s="175"/>
      <c r="AO274" s="175"/>
      <c r="AP274" s="175"/>
      <c r="AQ274" s="175"/>
      <c r="AR274" s="175"/>
      <c r="AS274" s="175"/>
      <c r="AT274" s="175"/>
    </row>
    <row r="275" ht="15.75" customHeight="1">
      <c r="A275" s="189"/>
      <c r="B275" s="177"/>
      <c r="C275" s="177"/>
      <c r="D275" s="177"/>
      <c r="E275" s="176"/>
      <c r="F275" s="175"/>
      <c r="G275" s="175"/>
      <c r="H275" s="175"/>
      <c r="I275" s="176"/>
      <c r="J275" s="177"/>
      <c r="Q275" s="4"/>
      <c r="R275" s="4"/>
      <c r="S275" s="4"/>
      <c r="T275" s="4"/>
      <c r="U275" s="4"/>
      <c r="V275" s="4"/>
      <c r="AA275" s="175"/>
      <c r="AB275" s="176"/>
      <c r="AC275" s="175"/>
      <c r="AD275" s="175"/>
      <c r="AE275" s="175"/>
      <c r="AF275" s="175"/>
      <c r="AG275" s="175"/>
      <c r="AH275" s="175"/>
      <c r="AI275" s="175"/>
      <c r="AJ275" s="175"/>
      <c r="AK275" s="175"/>
      <c r="AL275" s="175"/>
      <c r="AM275" s="175"/>
      <c r="AN275" s="175"/>
      <c r="AO275" s="175"/>
      <c r="AP275" s="175"/>
      <c r="AQ275" s="175"/>
      <c r="AR275" s="175"/>
      <c r="AS275" s="175"/>
      <c r="AT275" s="175"/>
    </row>
    <row r="276" ht="15.75" customHeight="1">
      <c r="A276" s="189"/>
      <c r="B276" s="177"/>
      <c r="C276" s="177"/>
      <c r="D276" s="177"/>
      <c r="E276" s="176"/>
      <c r="F276" s="175"/>
      <c r="G276" s="175"/>
      <c r="H276" s="175"/>
      <c r="I276" s="176"/>
      <c r="J276" s="177"/>
      <c r="Q276" s="4"/>
      <c r="R276" s="4"/>
      <c r="S276" s="4"/>
      <c r="T276" s="4"/>
      <c r="U276" s="4"/>
      <c r="V276" s="4"/>
      <c r="AA276" s="175"/>
      <c r="AB276" s="176"/>
      <c r="AC276" s="175"/>
      <c r="AD276" s="175"/>
      <c r="AE276" s="175"/>
      <c r="AF276" s="175"/>
      <c r="AG276" s="175"/>
      <c r="AH276" s="175"/>
      <c r="AI276" s="175"/>
      <c r="AJ276" s="175"/>
      <c r="AK276" s="175"/>
      <c r="AL276" s="175"/>
      <c r="AM276" s="175"/>
      <c r="AN276" s="175"/>
      <c r="AO276" s="175"/>
      <c r="AP276" s="175"/>
      <c r="AQ276" s="175"/>
      <c r="AR276" s="175"/>
      <c r="AS276" s="175"/>
      <c r="AT276" s="175"/>
    </row>
    <row r="277" ht="15.75" customHeight="1">
      <c r="A277" s="189"/>
      <c r="B277" s="177"/>
      <c r="C277" s="177"/>
      <c r="D277" s="177"/>
      <c r="E277" s="176"/>
      <c r="F277" s="175"/>
      <c r="G277" s="175"/>
      <c r="H277" s="175"/>
      <c r="I277" s="176"/>
      <c r="J277" s="177"/>
      <c r="Q277" s="4"/>
      <c r="R277" s="4"/>
      <c r="S277" s="4"/>
      <c r="T277" s="4"/>
      <c r="U277" s="4"/>
      <c r="V277" s="4"/>
      <c r="AA277" s="175"/>
      <c r="AB277" s="176"/>
      <c r="AC277" s="175"/>
      <c r="AD277" s="175"/>
      <c r="AE277" s="175"/>
      <c r="AF277" s="175"/>
      <c r="AG277" s="175"/>
      <c r="AH277" s="175"/>
      <c r="AI277" s="175"/>
      <c r="AJ277" s="175"/>
      <c r="AK277" s="175"/>
      <c r="AL277" s="175"/>
      <c r="AM277" s="175"/>
      <c r="AN277" s="175"/>
      <c r="AO277" s="175"/>
      <c r="AP277" s="175"/>
      <c r="AQ277" s="175"/>
      <c r="AR277" s="175"/>
      <c r="AS277" s="175"/>
      <c r="AT277" s="175"/>
    </row>
    <row r="278" ht="15.75" customHeight="1">
      <c r="A278" s="189"/>
      <c r="B278" s="177"/>
      <c r="C278" s="177"/>
      <c r="D278" s="177"/>
      <c r="E278" s="176"/>
      <c r="F278" s="175"/>
      <c r="G278" s="175"/>
      <c r="H278" s="175"/>
      <c r="I278" s="176"/>
      <c r="J278" s="177"/>
      <c r="Q278" s="4"/>
      <c r="R278" s="4"/>
      <c r="S278" s="4"/>
      <c r="T278" s="4"/>
      <c r="U278" s="4"/>
      <c r="V278" s="4"/>
      <c r="AA278" s="175"/>
      <c r="AB278" s="176"/>
      <c r="AC278" s="175"/>
      <c r="AD278" s="175"/>
      <c r="AE278" s="175"/>
      <c r="AF278" s="175"/>
      <c r="AG278" s="175"/>
      <c r="AH278" s="175"/>
      <c r="AI278" s="175"/>
      <c r="AJ278" s="175"/>
      <c r="AK278" s="175"/>
      <c r="AL278" s="175"/>
      <c r="AM278" s="175"/>
      <c r="AN278" s="175"/>
      <c r="AO278" s="175"/>
      <c r="AP278" s="175"/>
      <c r="AQ278" s="175"/>
      <c r="AR278" s="175"/>
      <c r="AS278" s="175"/>
      <c r="AT278" s="175"/>
    </row>
    <row r="279" ht="15.75" customHeight="1">
      <c r="A279" s="189"/>
      <c r="B279" s="177"/>
      <c r="C279" s="177"/>
      <c r="D279" s="177"/>
      <c r="E279" s="176"/>
      <c r="F279" s="175"/>
      <c r="G279" s="175"/>
      <c r="H279" s="175"/>
      <c r="I279" s="176"/>
      <c r="J279" s="177"/>
      <c r="Q279" s="4"/>
      <c r="R279" s="4"/>
      <c r="S279" s="4"/>
      <c r="T279" s="4"/>
      <c r="U279" s="4"/>
      <c r="V279" s="4"/>
      <c r="AA279" s="175"/>
      <c r="AB279" s="176"/>
      <c r="AC279" s="175"/>
      <c r="AD279" s="175"/>
      <c r="AE279" s="175"/>
      <c r="AF279" s="175"/>
      <c r="AG279" s="175"/>
      <c r="AH279" s="175"/>
      <c r="AI279" s="175"/>
      <c r="AJ279" s="175"/>
      <c r="AK279" s="175"/>
      <c r="AL279" s="175"/>
      <c r="AM279" s="175"/>
      <c r="AN279" s="175"/>
      <c r="AO279" s="175"/>
      <c r="AP279" s="175"/>
      <c r="AQ279" s="175"/>
      <c r="AR279" s="175"/>
      <c r="AS279" s="175"/>
      <c r="AT279" s="175"/>
    </row>
    <row r="280" ht="15.75" customHeight="1">
      <c r="A280" s="189"/>
      <c r="B280" s="177"/>
      <c r="C280" s="177"/>
      <c r="D280" s="177"/>
      <c r="E280" s="176"/>
      <c r="F280" s="175"/>
      <c r="G280" s="175"/>
      <c r="H280" s="175"/>
      <c r="I280" s="176"/>
      <c r="J280" s="177"/>
      <c r="Q280" s="4"/>
      <c r="R280" s="4"/>
      <c r="S280" s="4"/>
      <c r="T280" s="4"/>
      <c r="U280" s="4"/>
      <c r="V280" s="4"/>
      <c r="AA280" s="175"/>
      <c r="AB280" s="176"/>
      <c r="AC280" s="175"/>
      <c r="AD280" s="175"/>
      <c r="AE280" s="175"/>
      <c r="AF280" s="175"/>
      <c r="AG280" s="175"/>
      <c r="AH280" s="175"/>
      <c r="AI280" s="175"/>
      <c r="AJ280" s="175"/>
      <c r="AK280" s="175"/>
      <c r="AL280" s="175"/>
      <c r="AM280" s="175"/>
      <c r="AN280" s="175"/>
      <c r="AO280" s="175"/>
      <c r="AP280" s="175"/>
      <c r="AQ280" s="175"/>
      <c r="AR280" s="175"/>
      <c r="AS280" s="175"/>
      <c r="AT280" s="175"/>
    </row>
    <row r="281" ht="15.75" customHeight="1">
      <c r="A281" s="189"/>
      <c r="B281" s="177"/>
      <c r="C281" s="177"/>
      <c r="D281" s="177"/>
      <c r="E281" s="176"/>
      <c r="F281" s="175"/>
      <c r="G281" s="175"/>
      <c r="H281" s="175"/>
      <c r="I281" s="176"/>
      <c r="J281" s="177"/>
      <c r="Q281" s="4"/>
      <c r="R281" s="4"/>
      <c r="S281" s="4"/>
      <c r="T281" s="4"/>
      <c r="U281" s="4"/>
      <c r="V281" s="4"/>
      <c r="AA281" s="175"/>
      <c r="AB281" s="176"/>
      <c r="AC281" s="175"/>
      <c r="AD281" s="175"/>
      <c r="AE281" s="175"/>
      <c r="AF281" s="175"/>
      <c r="AG281" s="175"/>
      <c r="AH281" s="175"/>
      <c r="AI281" s="175"/>
      <c r="AJ281" s="175"/>
      <c r="AK281" s="175"/>
      <c r="AL281" s="175"/>
      <c r="AM281" s="175"/>
      <c r="AN281" s="175"/>
      <c r="AO281" s="175"/>
      <c r="AP281" s="175"/>
      <c r="AQ281" s="175"/>
      <c r="AR281" s="175"/>
      <c r="AS281" s="175"/>
      <c r="AT281" s="175"/>
    </row>
    <row r="282" ht="15.75" customHeight="1">
      <c r="A282" s="189"/>
      <c r="B282" s="177"/>
      <c r="C282" s="177"/>
      <c r="D282" s="177"/>
      <c r="E282" s="176"/>
      <c r="F282" s="175"/>
      <c r="G282" s="175"/>
      <c r="H282" s="175"/>
      <c r="I282" s="176"/>
      <c r="J282" s="177"/>
      <c r="Q282" s="4"/>
      <c r="R282" s="4"/>
      <c r="S282" s="4"/>
      <c r="T282" s="4"/>
      <c r="U282" s="4"/>
      <c r="V282" s="4"/>
      <c r="AA282" s="175"/>
      <c r="AB282" s="176"/>
      <c r="AC282" s="175"/>
      <c r="AD282" s="175"/>
      <c r="AE282" s="175"/>
      <c r="AF282" s="175"/>
      <c r="AG282" s="175"/>
      <c r="AH282" s="175"/>
      <c r="AI282" s="175"/>
      <c r="AJ282" s="175"/>
      <c r="AK282" s="175"/>
      <c r="AL282" s="175"/>
      <c r="AM282" s="175"/>
      <c r="AN282" s="175"/>
      <c r="AO282" s="175"/>
      <c r="AP282" s="175"/>
      <c r="AQ282" s="175"/>
      <c r="AR282" s="175"/>
      <c r="AS282" s="175"/>
      <c r="AT282" s="175"/>
    </row>
    <row r="283" ht="15.75" customHeight="1">
      <c r="A283" s="189"/>
      <c r="B283" s="177"/>
      <c r="C283" s="177"/>
      <c r="D283" s="177"/>
      <c r="E283" s="176"/>
      <c r="F283" s="175"/>
      <c r="G283" s="175"/>
      <c r="H283" s="175"/>
      <c r="I283" s="176"/>
      <c r="J283" s="177"/>
      <c r="Q283" s="4"/>
      <c r="R283" s="4"/>
      <c r="S283" s="4"/>
      <c r="T283" s="4"/>
      <c r="U283" s="4"/>
      <c r="V283" s="4"/>
      <c r="AA283" s="175"/>
      <c r="AB283" s="176"/>
      <c r="AC283" s="175"/>
      <c r="AD283" s="175"/>
      <c r="AE283" s="175"/>
      <c r="AF283" s="175"/>
      <c r="AG283" s="175"/>
      <c r="AH283" s="175"/>
      <c r="AI283" s="175"/>
      <c r="AJ283" s="175"/>
      <c r="AK283" s="175"/>
      <c r="AL283" s="175"/>
      <c r="AM283" s="175"/>
      <c r="AN283" s="175"/>
      <c r="AO283" s="175"/>
      <c r="AP283" s="175"/>
      <c r="AQ283" s="175"/>
      <c r="AR283" s="175"/>
      <c r="AS283" s="175"/>
      <c r="AT283" s="175"/>
    </row>
    <row r="284" ht="15.75" customHeight="1">
      <c r="A284" s="189"/>
      <c r="B284" s="177"/>
      <c r="C284" s="177"/>
      <c r="D284" s="177"/>
      <c r="E284" s="176"/>
      <c r="F284" s="175"/>
      <c r="G284" s="175"/>
      <c r="H284" s="175"/>
      <c r="I284" s="176"/>
      <c r="J284" s="177"/>
      <c r="Q284" s="4"/>
      <c r="R284" s="4"/>
      <c r="S284" s="4"/>
      <c r="T284" s="4"/>
      <c r="U284" s="4"/>
      <c r="V284" s="4"/>
      <c r="AA284" s="175"/>
      <c r="AB284" s="176"/>
      <c r="AC284" s="175"/>
      <c r="AD284" s="175"/>
      <c r="AE284" s="175"/>
      <c r="AF284" s="175"/>
      <c r="AG284" s="175"/>
      <c r="AH284" s="175"/>
      <c r="AI284" s="175"/>
      <c r="AJ284" s="175"/>
      <c r="AK284" s="175"/>
      <c r="AL284" s="175"/>
      <c r="AM284" s="175"/>
      <c r="AN284" s="175"/>
      <c r="AO284" s="175"/>
      <c r="AP284" s="175"/>
      <c r="AQ284" s="175"/>
      <c r="AR284" s="175"/>
      <c r="AS284" s="175"/>
      <c r="AT284" s="175"/>
    </row>
    <row r="285" ht="15.75" customHeight="1">
      <c r="A285" s="189"/>
      <c r="B285" s="177"/>
      <c r="C285" s="177"/>
      <c r="D285" s="177"/>
      <c r="E285" s="176"/>
      <c r="F285" s="175"/>
      <c r="G285" s="175"/>
      <c r="H285" s="175"/>
      <c r="I285" s="176"/>
      <c r="J285" s="177"/>
      <c r="Q285" s="4"/>
      <c r="R285" s="4"/>
      <c r="S285" s="4"/>
      <c r="T285" s="4"/>
      <c r="U285" s="4"/>
      <c r="V285" s="4"/>
      <c r="AA285" s="175"/>
      <c r="AB285" s="176"/>
      <c r="AC285" s="175"/>
      <c r="AD285" s="175"/>
      <c r="AE285" s="175"/>
      <c r="AF285" s="175"/>
      <c r="AG285" s="175"/>
      <c r="AH285" s="175"/>
      <c r="AI285" s="175"/>
      <c r="AJ285" s="175"/>
      <c r="AK285" s="175"/>
      <c r="AL285" s="175"/>
      <c r="AM285" s="175"/>
      <c r="AN285" s="175"/>
      <c r="AO285" s="175"/>
      <c r="AP285" s="175"/>
      <c r="AQ285" s="175"/>
      <c r="AR285" s="175"/>
      <c r="AS285" s="175"/>
      <c r="AT285" s="175"/>
    </row>
    <row r="286" ht="15.75" customHeight="1">
      <c r="A286" s="189"/>
      <c r="B286" s="177"/>
      <c r="C286" s="177"/>
      <c r="D286" s="177"/>
      <c r="E286" s="176"/>
      <c r="F286" s="175"/>
      <c r="G286" s="175"/>
      <c r="H286" s="175"/>
      <c r="I286" s="176"/>
      <c r="J286" s="177"/>
      <c r="Q286" s="4"/>
      <c r="R286" s="4"/>
      <c r="S286" s="4"/>
      <c r="T286" s="4"/>
      <c r="U286" s="4"/>
      <c r="V286" s="4"/>
      <c r="AA286" s="175"/>
      <c r="AB286" s="176"/>
      <c r="AC286" s="175"/>
      <c r="AD286" s="175"/>
      <c r="AE286" s="175"/>
      <c r="AF286" s="175"/>
      <c r="AG286" s="175"/>
      <c r="AH286" s="175"/>
      <c r="AI286" s="175"/>
      <c r="AJ286" s="175"/>
      <c r="AK286" s="175"/>
      <c r="AL286" s="175"/>
      <c r="AM286" s="175"/>
      <c r="AN286" s="175"/>
      <c r="AO286" s="175"/>
      <c r="AP286" s="175"/>
      <c r="AQ286" s="175"/>
      <c r="AR286" s="175"/>
      <c r="AS286" s="175"/>
      <c r="AT286" s="175"/>
    </row>
    <row r="287" ht="15.75" customHeight="1">
      <c r="A287" s="189"/>
      <c r="B287" s="177"/>
      <c r="C287" s="177"/>
      <c r="D287" s="177"/>
      <c r="E287" s="176"/>
      <c r="F287" s="175"/>
      <c r="G287" s="175"/>
      <c r="H287" s="175"/>
      <c r="I287" s="176"/>
      <c r="J287" s="177"/>
      <c r="Q287" s="4"/>
      <c r="R287" s="4"/>
      <c r="S287" s="4"/>
      <c r="T287" s="4"/>
      <c r="U287" s="4"/>
      <c r="V287" s="4"/>
      <c r="AA287" s="175"/>
      <c r="AB287" s="176"/>
      <c r="AC287" s="175"/>
      <c r="AD287" s="175"/>
      <c r="AE287" s="175"/>
      <c r="AF287" s="175"/>
      <c r="AG287" s="175"/>
      <c r="AH287" s="175"/>
      <c r="AI287" s="175"/>
      <c r="AJ287" s="175"/>
      <c r="AK287" s="175"/>
      <c r="AL287" s="175"/>
      <c r="AM287" s="175"/>
      <c r="AN287" s="175"/>
      <c r="AO287" s="175"/>
      <c r="AP287" s="175"/>
      <c r="AQ287" s="175"/>
      <c r="AR287" s="175"/>
      <c r="AS287" s="175"/>
      <c r="AT287" s="175"/>
    </row>
    <row r="288" ht="15.75" customHeight="1">
      <c r="A288" s="189"/>
      <c r="B288" s="177"/>
      <c r="C288" s="177"/>
      <c r="D288" s="177"/>
      <c r="E288" s="176"/>
      <c r="F288" s="175"/>
      <c r="G288" s="175"/>
      <c r="H288" s="175"/>
      <c r="I288" s="176"/>
      <c r="J288" s="177"/>
      <c r="Q288" s="4"/>
      <c r="R288" s="4"/>
      <c r="S288" s="4"/>
      <c r="T288" s="4"/>
      <c r="U288" s="4"/>
      <c r="V288" s="4"/>
      <c r="AA288" s="175"/>
      <c r="AB288" s="176"/>
      <c r="AC288" s="175"/>
      <c r="AD288" s="175"/>
      <c r="AE288" s="175"/>
      <c r="AF288" s="175"/>
      <c r="AG288" s="175"/>
      <c r="AH288" s="175"/>
      <c r="AI288" s="175"/>
      <c r="AJ288" s="175"/>
      <c r="AK288" s="175"/>
      <c r="AL288" s="175"/>
      <c r="AM288" s="175"/>
      <c r="AN288" s="175"/>
      <c r="AO288" s="175"/>
      <c r="AP288" s="175"/>
      <c r="AQ288" s="175"/>
      <c r="AR288" s="175"/>
      <c r="AS288" s="175"/>
      <c r="AT288" s="175"/>
    </row>
    <row r="289" ht="15.75" customHeight="1">
      <c r="A289" s="189"/>
      <c r="B289" s="177"/>
      <c r="C289" s="177"/>
      <c r="D289" s="177"/>
      <c r="E289" s="176"/>
      <c r="F289" s="175"/>
      <c r="G289" s="175"/>
      <c r="H289" s="175"/>
      <c r="I289" s="176"/>
      <c r="J289" s="177"/>
      <c r="Q289" s="4"/>
      <c r="R289" s="4"/>
      <c r="S289" s="4"/>
      <c r="T289" s="4"/>
      <c r="U289" s="4"/>
      <c r="V289" s="4"/>
      <c r="AA289" s="175"/>
      <c r="AB289" s="176"/>
      <c r="AC289" s="175"/>
      <c r="AD289" s="175"/>
      <c r="AE289" s="175"/>
      <c r="AF289" s="175"/>
      <c r="AG289" s="175"/>
      <c r="AH289" s="175"/>
      <c r="AI289" s="175"/>
      <c r="AJ289" s="175"/>
      <c r="AK289" s="175"/>
      <c r="AL289" s="175"/>
      <c r="AM289" s="175"/>
      <c r="AN289" s="175"/>
      <c r="AO289" s="175"/>
      <c r="AP289" s="175"/>
      <c r="AQ289" s="175"/>
      <c r="AR289" s="175"/>
      <c r="AS289" s="175"/>
      <c r="AT289" s="175"/>
    </row>
    <row r="290" ht="15.75" customHeight="1">
      <c r="A290" s="189"/>
      <c r="B290" s="177"/>
      <c r="C290" s="177"/>
      <c r="D290" s="177"/>
      <c r="E290" s="176"/>
      <c r="F290" s="175"/>
      <c r="G290" s="175"/>
      <c r="H290" s="175"/>
      <c r="I290" s="176"/>
      <c r="J290" s="177"/>
      <c r="Q290" s="4"/>
      <c r="R290" s="4"/>
      <c r="S290" s="4"/>
      <c r="T290" s="4"/>
      <c r="U290" s="4"/>
      <c r="V290" s="4"/>
      <c r="AA290" s="175"/>
      <c r="AB290" s="176"/>
      <c r="AC290" s="175"/>
      <c r="AD290" s="175"/>
      <c r="AE290" s="175"/>
      <c r="AF290" s="175"/>
      <c r="AG290" s="175"/>
      <c r="AH290" s="175"/>
      <c r="AI290" s="175"/>
      <c r="AJ290" s="175"/>
      <c r="AK290" s="175"/>
      <c r="AL290" s="175"/>
      <c r="AM290" s="175"/>
      <c r="AN290" s="175"/>
      <c r="AO290" s="175"/>
      <c r="AP290" s="175"/>
      <c r="AQ290" s="175"/>
      <c r="AR290" s="175"/>
      <c r="AS290" s="175"/>
      <c r="AT290" s="175"/>
    </row>
    <row r="291" ht="15.75" customHeight="1">
      <c r="A291" s="189"/>
      <c r="B291" s="177"/>
      <c r="C291" s="177"/>
      <c r="D291" s="177"/>
      <c r="E291" s="176"/>
      <c r="F291" s="175"/>
      <c r="G291" s="175"/>
      <c r="H291" s="175"/>
      <c r="I291" s="176"/>
      <c r="J291" s="177"/>
      <c r="Q291" s="4"/>
      <c r="R291" s="4"/>
      <c r="S291" s="4"/>
      <c r="T291" s="4"/>
      <c r="U291" s="4"/>
      <c r="V291" s="4"/>
      <c r="AA291" s="175"/>
      <c r="AB291" s="176"/>
      <c r="AC291" s="175"/>
      <c r="AD291" s="175"/>
      <c r="AE291" s="175"/>
      <c r="AF291" s="175"/>
      <c r="AG291" s="175"/>
      <c r="AH291" s="175"/>
      <c r="AI291" s="175"/>
      <c r="AJ291" s="175"/>
      <c r="AK291" s="175"/>
      <c r="AL291" s="175"/>
      <c r="AM291" s="175"/>
      <c r="AN291" s="175"/>
      <c r="AO291" s="175"/>
      <c r="AP291" s="175"/>
      <c r="AQ291" s="175"/>
      <c r="AR291" s="175"/>
      <c r="AS291" s="175"/>
      <c r="AT291" s="175"/>
    </row>
    <row r="292" ht="15.75" customHeight="1">
      <c r="A292" s="189"/>
      <c r="B292" s="177"/>
      <c r="C292" s="177"/>
      <c r="D292" s="177"/>
      <c r="E292" s="176"/>
      <c r="F292" s="175"/>
      <c r="G292" s="175"/>
      <c r="H292" s="175"/>
      <c r="I292" s="176"/>
      <c r="J292" s="177"/>
      <c r="Q292" s="4"/>
      <c r="R292" s="4"/>
      <c r="S292" s="4"/>
      <c r="T292" s="4"/>
      <c r="U292" s="4"/>
      <c r="V292" s="4"/>
      <c r="AA292" s="175"/>
      <c r="AB292" s="176"/>
      <c r="AC292" s="175"/>
      <c r="AD292" s="175"/>
      <c r="AE292" s="175"/>
      <c r="AF292" s="175"/>
      <c r="AG292" s="175"/>
      <c r="AH292" s="175"/>
      <c r="AI292" s="175"/>
      <c r="AJ292" s="175"/>
      <c r="AK292" s="175"/>
      <c r="AL292" s="175"/>
      <c r="AM292" s="175"/>
      <c r="AN292" s="175"/>
      <c r="AO292" s="175"/>
      <c r="AP292" s="175"/>
      <c r="AQ292" s="175"/>
      <c r="AR292" s="175"/>
      <c r="AS292" s="175"/>
      <c r="AT292" s="175"/>
    </row>
    <row r="293" ht="15.75" customHeight="1">
      <c r="A293" s="189"/>
      <c r="B293" s="177"/>
      <c r="C293" s="177"/>
      <c r="D293" s="177"/>
      <c r="E293" s="176"/>
      <c r="F293" s="175"/>
      <c r="G293" s="175"/>
      <c r="H293" s="175"/>
      <c r="I293" s="176"/>
      <c r="J293" s="177"/>
      <c r="Q293" s="4"/>
      <c r="R293" s="4"/>
      <c r="S293" s="4"/>
      <c r="T293" s="4"/>
      <c r="U293" s="4"/>
      <c r="V293" s="4"/>
      <c r="AA293" s="175"/>
      <c r="AB293" s="176"/>
      <c r="AC293" s="175"/>
      <c r="AD293" s="175"/>
      <c r="AE293" s="175"/>
      <c r="AF293" s="175"/>
      <c r="AG293" s="175"/>
      <c r="AH293" s="175"/>
      <c r="AI293" s="175"/>
      <c r="AJ293" s="175"/>
      <c r="AK293" s="175"/>
      <c r="AL293" s="175"/>
      <c r="AM293" s="175"/>
      <c r="AN293" s="175"/>
      <c r="AO293" s="175"/>
      <c r="AP293" s="175"/>
      <c r="AQ293" s="175"/>
      <c r="AR293" s="175"/>
      <c r="AS293" s="175"/>
      <c r="AT293" s="175"/>
    </row>
    <row r="294" ht="15.75" customHeight="1">
      <c r="A294" s="189"/>
      <c r="B294" s="177"/>
      <c r="C294" s="177"/>
      <c r="D294" s="177"/>
      <c r="E294" s="176"/>
      <c r="F294" s="175"/>
      <c r="G294" s="175"/>
      <c r="H294" s="175"/>
      <c r="I294" s="176"/>
      <c r="J294" s="177"/>
      <c r="Q294" s="4"/>
      <c r="R294" s="4"/>
      <c r="S294" s="4"/>
      <c r="T294" s="4"/>
      <c r="U294" s="4"/>
      <c r="V294" s="4"/>
      <c r="AA294" s="175"/>
      <c r="AB294" s="176"/>
      <c r="AC294" s="175"/>
      <c r="AD294" s="175"/>
      <c r="AE294" s="175"/>
      <c r="AF294" s="175"/>
      <c r="AG294" s="175"/>
      <c r="AH294" s="175"/>
      <c r="AI294" s="175"/>
      <c r="AJ294" s="175"/>
      <c r="AK294" s="175"/>
      <c r="AL294" s="175"/>
      <c r="AM294" s="175"/>
      <c r="AN294" s="175"/>
      <c r="AO294" s="175"/>
      <c r="AP294" s="175"/>
      <c r="AQ294" s="175"/>
      <c r="AR294" s="175"/>
      <c r="AS294" s="175"/>
      <c r="AT294" s="175"/>
    </row>
    <row r="295" ht="15.75" customHeight="1">
      <c r="A295" s="189"/>
      <c r="B295" s="177"/>
      <c r="C295" s="177"/>
      <c r="D295" s="177"/>
      <c r="E295" s="176"/>
      <c r="F295" s="175"/>
      <c r="G295" s="175"/>
      <c r="H295" s="175"/>
      <c r="I295" s="176"/>
      <c r="J295" s="177"/>
      <c r="Q295" s="4"/>
      <c r="R295" s="4"/>
      <c r="S295" s="4"/>
      <c r="T295" s="4"/>
      <c r="U295" s="4"/>
      <c r="V295" s="4"/>
      <c r="AA295" s="175"/>
      <c r="AB295" s="176"/>
      <c r="AC295" s="175"/>
      <c r="AD295" s="175"/>
      <c r="AE295" s="175"/>
      <c r="AF295" s="175"/>
      <c r="AG295" s="175"/>
      <c r="AH295" s="175"/>
      <c r="AI295" s="175"/>
      <c r="AJ295" s="175"/>
      <c r="AK295" s="175"/>
      <c r="AL295" s="175"/>
      <c r="AM295" s="175"/>
      <c r="AN295" s="175"/>
      <c r="AO295" s="175"/>
      <c r="AP295" s="175"/>
      <c r="AQ295" s="175"/>
      <c r="AR295" s="175"/>
      <c r="AS295" s="175"/>
      <c r="AT295" s="175"/>
    </row>
    <row r="296" ht="15.75" customHeight="1">
      <c r="A296" s="189"/>
      <c r="B296" s="177"/>
      <c r="C296" s="177"/>
      <c r="D296" s="177"/>
      <c r="E296" s="176"/>
      <c r="F296" s="175"/>
      <c r="G296" s="175"/>
      <c r="H296" s="175"/>
      <c r="I296" s="176"/>
      <c r="J296" s="177"/>
      <c r="Q296" s="4"/>
      <c r="R296" s="4"/>
      <c r="S296" s="4"/>
      <c r="T296" s="4"/>
      <c r="U296" s="4"/>
      <c r="V296" s="4"/>
      <c r="AA296" s="175"/>
      <c r="AB296" s="176"/>
      <c r="AC296" s="175"/>
      <c r="AD296" s="175"/>
      <c r="AE296" s="175"/>
      <c r="AF296" s="175"/>
      <c r="AG296" s="175"/>
      <c r="AH296" s="175"/>
      <c r="AI296" s="175"/>
      <c r="AJ296" s="175"/>
      <c r="AK296" s="175"/>
      <c r="AL296" s="175"/>
      <c r="AM296" s="175"/>
      <c r="AN296" s="175"/>
      <c r="AO296" s="175"/>
      <c r="AP296" s="175"/>
      <c r="AQ296" s="175"/>
      <c r="AR296" s="175"/>
      <c r="AS296" s="175"/>
      <c r="AT296" s="175"/>
    </row>
    <row r="297" ht="15.75" customHeight="1">
      <c r="A297" s="189"/>
      <c r="B297" s="177"/>
      <c r="C297" s="177"/>
      <c r="D297" s="177"/>
      <c r="E297" s="176"/>
      <c r="F297" s="175"/>
      <c r="G297" s="175"/>
      <c r="H297" s="175"/>
      <c r="I297" s="176"/>
      <c r="J297" s="177"/>
      <c r="Q297" s="4"/>
      <c r="R297" s="4"/>
      <c r="S297" s="4"/>
      <c r="T297" s="4"/>
      <c r="U297" s="4"/>
      <c r="V297" s="4"/>
      <c r="AA297" s="175"/>
      <c r="AB297" s="176"/>
      <c r="AC297" s="175"/>
      <c r="AD297" s="175"/>
      <c r="AE297" s="175"/>
      <c r="AF297" s="175"/>
      <c r="AG297" s="175"/>
      <c r="AH297" s="175"/>
      <c r="AI297" s="175"/>
      <c r="AJ297" s="175"/>
      <c r="AK297" s="175"/>
      <c r="AL297" s="175"/>
      <c r="AM297" s="175"/>
      <c r="AN297" s="175"/>
      <c r="AO297" s="175"/>
      <c r="AP297" s="175"/>
      <c r="AQ297" s="175"/>
      <c r="AR297" s="175"/>
      <c r="AS297" s="175"/>
      <c r="AT297" s="175"/>
    </row>
    <row r="298" ht="15.75" customHeight="1">
      <c r="A298" s="189"/>
      <c r="B298" s="177"/>
      <c r="C298" s="177"/>
      <c r="D298" s="177"/>
      <c r="E298" s="176"/>
      <c r="F298" s="175"/>
      <c r="G298" s="175"/>
      <c r="H298" s="175"/>
      <c r="I298" s="176"/>
      <c r="J298" s="177"/>
      <c r="Q298" s="4"/>
      <c r="R298" s="4"/>
      <c r="S298" s="4"/>
      <c r="T298" s="4"/>
      <c r="U298" s="4"/>
      <c r="V298" s="4"/>
      <c r="AA298" s="175"/>
      <c r="AB298" s="176"/>
      <c r="AC298" s="175"/>
      <c r="AD298" s="175"/>
      <c r="AE298" s="175"/>
      <c r="AF298" s="175"/>
      <c r="AG298" s="175"/>
      <c r="AH298" s="175"/>
      <c r="AI298" s="175"/>
      <c r="AJ298" s="175"/>
      <c r="AK298" s="175"/>
      <c r="AL298" s="175"/>
      <c r="AM298" s="175"/>
      <c r="AN298" s="175"/>
      <c r="AO298" s="175"/>
      <c r="AP298" s="175"/>
      <c r="AQ298" s="175"/>
      <c r="AR298" s="175"/>
      <c r="AS298" s="175"/>
      <c r="AT298" s="175"/>
    </row>
    <row r="299" ht="15.75" customHeight="1">
      <c r="A299" s="189"/>
      <c r="B299" s="177"/>
      <c r="C299" s="177"/>
      <c r="D299" s="177"/>
      <c r="E299" s="176"/>
      <c r="F299" s="175"/>
      <c r="G299" s="175"/>
      <c r="H299" s="175"/>
      <c r="I299" s="176"/>
      <c r="J299" s="177"/>
      <c r="Q299" s="4"/>
      <c r="R299" s="4"/>
      <c r="S299" s="4"/>
      <c r="T299" s="4"/>
      <c r="U299" s="4"/>
      <c r="V299" s="4"/>
      <c r="AA299" s="175"/>
      <c r="AB299" s="176"/>
      <c r="AC299" s="175"/>
      <c r="AD299" s="175"/>
      <c r="AE299" s="175"/>
      <c r="AF299" s="175"/>
      <c r="AG299" s="175"/>
      <c r="AH299" s="175"/>
      <c r="AI299" s="175"/>
      <c r="AJ299" s="175"/>
      <c r="AK299" s="175"/>
      <c r="AL299" s="175"/>
      <c r="AM299" s="175"/>
      <c r="AN299" s="175"/>
      <c r="AO299" s="175"/>
      <c r="AP299" s="175"/>
      <c r="AQ299" s="175"/>
      <c r="AR299" s="175"/>
      <c r="AS299" s="175"/>
      <c r="AT299" s="175"/>
    </row>
    <row r="300" ht="15.75" customHeight="1">
      <c r="A300" s="189"/>
      <c r="B300" s="177"/>
      <c r="C300" s="177"/>
      <c r="D300" s="177"/>
      <c r="E300" s="176"/>
      <c r="F300" s="175"/>
      <c r="G300" s="175"/>
      <c r="H300" s="175"/>
      <c r="I300" s="176"/>
      <c r="J300" s="177"/>
      <c r="Q300" s="4"/>
      <c r="R300" s="4"/>
      <c r="S300" s="4"/>
      <c r="T300" s="4"/>
      <c r="U300" s="4"/>
      <c r="V300" s="4"/>
      <c r="AA300" s="175"/>
      <c r="AB300" s="176"/>
      <c r="AC300" s="175"/>
      <c r="AD300" s="175"/>
      <c r="AE300" s="175"/>
      <c r="AF300" s="175"/>
      <c r="AG300" s="175"/>
      <c r="AH300" s="175"/>
      <c r="AI300" s="175"/>
      <c r="AJ300" s="175"/>
      <c r="AK300" s="175"/>
      <c r="AL300" s="175"/>
      <c r="AM300" s="175"/>
      <c r="AN300" s="175"/>
      <c r="AO300" s="175"/>
      <c r="AP300" s="175"/>
      <c r="AQ300" s="175"/>
      <c r="AR300" s="175"/>
      <c r="AS300" s="175"/>
      <c r="AT300" s="175"/>
    </row>
    <row r="301" ht="15.75" customHeight="1">
      <c r="A301" s="189"/>
      <c r="B301" s="177"/>
      <c r="C301" s="177"/>
      <c r="D301" s="177"/>
      <c r="E301" s="176"/>
      <c r="F301" s="175"/>
      <c r="G301" s="175"/>
      <c r="H301" s="175"/>
      <c r="I301" s="176"/>
      <c r="J301" s="177"/>
      <c r="Q301" s="4"/>
      <c r="R301" s="4"/>
      <c r="S301" s="4"/>
      <c r="T301" s="4"/>
      <c r="U301" s="4"/>
      <c r="V301" s="4"/>
      <c r="AA301" s="175"/>
      <c r="AB301" s="176"/>
      <c r="AC301" s="175"/>
      <c r="AD301" s="175"/>
      <c r="AE301" s="175"/>
      <c r="AF301" s="175"/>
      <c r="AG301" s="175"/>
      <c r="AH301" s="175"/>
      <c r="AI301" s="175"/>
      <c r="AJ301" s="175"/>
      <c r="AK301" s="175"/>
      <c r="AL301" s="175"/>
      <c r="AM301" s="175"/>
      <c r="AN301" s="175"/>
      <c r="AO301" s="175"/>
      <c r="AP301" s="175"/>
      <c r="AQ301" s="175"/>
      <c r="AR301" s="175"/>
      <c r="AS301" s="175"/>
      <c r="AT301" s="175"/>
    </row>
    <row r="302" ht="15.75" customHeight="1">
      <c r="A302" s="189"/>
      <c r="B302" s="177"/>
      <c r="C302" s="177"/>
      <c r="D302" s="177"/>
      <c r="E302" s="176"/>
      <c r="F302" s="175"/>
      <c r="G302" s="175"/>
      <c r="H302" s="175"/>
      <c r="I302" s="176"/>
      <c r="J302" s="177"/>
      <c r="Q302" s="4"/>
      <c r="R302" s="4"/>
      <c r="S302" s="4"/>
      <c r="T302" s="4"/>
      <c r="U302" s="4"/>
      <c r="V302" s="4"/>
      <c r="AA302" s="175"/>
      <c r="AB302" s="176"/>
      <c r="AC302" s="175"/>
      <c r="AD302" s="175"/>
      <c r="AE302" s="175"/>
      <c r="AF302" s="175"/>
      <c r="AG302" s="175"/>
      <c r="AH302" s="175"/>
      <c r="AI302" s="175"/>
      <c r="AJ302" s="175"/>
      <c r="AK302" s="175"/>
      <c r="AL302" s="175"/>
      <c r="AM302" s="175"/>
      <c r="AN302" s="175"/>
      <c r="AO302" s="175"/>
      <c r="AP302" s="175"/>
      <c r="AQ302" s="175"/>
      <c r="AR302" s="175"/>
      <c r="AS302" s="175"/>
      <c r="AT302" s="175"/>
    </row>
    <row r="303" ht="15.75" customHeight="1">
      <c r="A303" s="189"/>
      <c r="B303" s="177"/>
      <c r="C303" s="177"/>
      <c r="D303" s="177"/>
      <c r="E303" s="176"/>
      <c r="F303" s="175"/>
      <c r="G303" s="175"/>
      <c r="H303" s="175"/>
      <c r="I303" s="176"/>
      <c r="J303" s="177"/>
      <c r="Q303" s="4"/>
      <c r="R303" s="4"/>
      <c r="S303" s="4"/>
      <c r="T303" s="4"/>
      <c r="U303" s="4"/>
      <c r="V303" s="4"/>
      <c r="AA303" s="175"/>
      <c r="AB303" s="176"/>
      <c r="AC303" s="175"/>
      <c r="AD303" s="175"/>
      <c r="AE303" s="175"/>
      <c r="AF303" s="175"/>
      <c r="AG303" s="175"/>
      <c r="AH303" s="175"/>
      <c r="AI303" s="175"/>
      <c r="AJ303" s="175"/>
      <c r="AK303" s="175"/>
      <c r="AL303" s="175"/>
      <c r="AM303" s="175"/>
      <c r="AN303" s="175"/>
      <c r="AO303" s="175"/>
      <c r="AP303" s="175"/>
      <c r="AQ303" s="175"/>
      <c r="AR303" s="175"/>
      <c r="AS303" s="175"/>
      <c r="AT303" s="175"/>
    </row>
    <row r="304" ht="15.75" customHeight="1">
      <c r="A304" s="189"/>
      <c r="B304" s="177"/>
      <c r="C304" s="177"/>
      <c r="D304" s="177"/>
      <c r="E304" s="176"/>
      <c r="F304" s="175"/>
      <c r="G304" s="175"/>
      <c r="H304" s="175"/>
      <c r="I304" s="176"/>
      <c r="J304" s="177"/>
      <c r="Q304" s="4"/>
      <c r="R304" s="4"/>
      <c r="S304" s="4"/>
      <c r="T304" s="4"/>
      <c r="U304" s="4"/>
      <c r="V304" s="4"/>
      <c r="AA304" s="175"/>
      <c r="AB304" s="176"/>
      <c r="AC304" s="175"/>
      <c r="AD304" s="175"/>
      <c r="AE304" s="175"/>
      <c r="AF304" s="175"/>
      <c r="AG304" s="175"/>
      <c r="AH304" s="175"/>
      <c r="AI304" s="175"/>
      <c r="AJ304" s="175"/>
      <c r="AK304" s="175"/>
      <c r="AL304" s="175"/>
      <c r="AM304" s="175"/>
      <c r="AN304" s="175"/>
      <c r="AO304" s="175"/>
      <c r="AP304" s="175"/>
      <c r="AQ304" s="175"/>
      <c r="AR304" s="175"/>
      <c r="AS304" s="175"/>
      <c r="AT304" s="175"/>
    </row>
    <row r="305" ht="15.75" customHeight="1">
      <c r="A305" s="189"/>
      <c r="B305" s="177"/>
      <c r="C305" s="177"/>
      <c r="D305" s="177"/>
      <c r="E305" s="176"/>
      <c r="F305" s="175"/>
      <c r="G305" s="175"/>
      <c r="H305" s="175"/>
      <c r="I305" s="176"/>
      <c r="J305" s="177"/>
      <c r="Q305" s="4"/>
      <c r="R305" s="4"/>
      <c r="S305" s="4"/>
      <c r="T305" s="4"/>
      <c r="U305" s="4"/>
      <c r="V305" s="4"/>
      <c r="AA305" s="175"/>
      <c r="AB305" s="176"/>
      <c r="AC305" s="175"/>
      <c r="AD305" s="175"/>
      <c r="AE305" s="175"/>
      <c r="AF305" s="175"/>
      <c r="AG305" s="175"/>
      <c r="AH305" s="175"/>
      <c r="AI305" s="175"/>
      <c r="AJ305" s="175"/>
      <c r="AK305" s="175"/>
      <c r="AL305" s="175"/>
      <c r="AM305" s="175"/>
      <c r="AN305" s="175"/>
      <c r="AO305" s="175"/>
      <c r="AP305" s="175"/>
      <c r="AQ305" s="175"/>
      <c r="AR305" s="175"/>
      <c r="AS305" s="175"/>
      <c r="AT305" s="175"/>
    </row>
    <row r="306" ht="15.75" customHeight="1">
      <c r="A306" s="189"/>
      <c r="B306" s="177"/>
      <c r="C306" s="177"/>
      <c r="D306" s="177"/>
      <c r="E306" s="176"/>
      <c r="F306" s="175"/>
      <c r="G306" s="175"/>
      <c r="H306" s="175"/>
      <c r="I306" s="176"/>
      <c r="J306" s="177"/>
      <c r="Q306" s="4"/>
      <c r="R306" s="4"/>
      <c r="S306" s="4"/>
      <c r="T306" s="4"/>
      <c r="U306" s="4"/>
      <c r="V306" s="4"/>
      <c r="AA306" s="175"/>
      <c r="AB306" s="176"/>
      <c r="AC306" s="175"/>
      <c r="AD306" s="175"/>
      <c r="AE306" s="175"/>
      <c r="AF306" s="175"/>
      <c r="AG306" s="175"/>
      <c r="AH306" s="175"/>
      <c r="AI306" s="175"/>
      <c r="AJ306" s="175"/>
      <c r="AK306" s="175"/>
      <c r="AL306" s="175"/>
      <c r="AM306" s="175"/>
      <c r="AN306" s="175"/>
      <c r="AO306" s="175"/>
      <c r="AP306" s="175"/>
      <c r="AQ306" s="175"/>
      <c r="AR306" s="175"/>
      <c r="AS306" s="175"/>
      <c r="AT306" s="175"/>
    </row>
    <row r="307" ht="15.75" customHeight="1">
      <c r="A307" s="189"/>
      <c r="B307" s="177"/>
      <c r="C307" s="177"/>
      <c r="D307" s="177"/>
      <c r="E307" s="176"/>
      <c r="F307" s="175"/>
      <c r="G307" s="175"/>
      <c r="H307" s="175"/>
      <c r="I307" s="176"/>
      <c r="J307" s="177"/>
      <c r="Q307" s="4"/>
      <c r="R307" s="4"/>
      <c r="S307" s="4"/>
      <c r="T307" s="4"/>
      <c r="U307" s="4"/>
      <c r="V307" s="4"/>
      <c r="AA307" s="175"/>
      <c r="AB307" s="176"/>
      <c r="AC307" s="175"/>
      <c r="AD307" s="175"/>
      <c r="AE307" s="175"/>
      <c r="AF307" s="175"/>
      <c r="AG307" s="175"/>
      <c r="AH307" s="175"/>
      <c r="AI307" s="175"/>
      <c r="AJ307" s="175"/>
      <c r="AK307" s="175"/>
      <c r="AL307" s="175"/>
      <c r="AM307" s="175"/>
      <c r="AN307" s="175"/>
      <c r="AO307" s="175"/>
      <c r="AP307" s="175"/>
      <c r="AQ307" s="175"/>
      <c r="AR307" s="175"/>
      <c r="AS307" s="175"/>
      <c r="AT307" s="175"/>
    </row>
    <row r="308" ht="15.75" customHeight="1">
      <c r="A308" s="189"/>
      <c r="B308" s="177"/>
      <c r="C308" s="177"/>
      <c r="D308" s="177"/>
      <c r="E308" s="176"/>
      <c r="F308" s="175"/>
      <c r="G308" s="175"/>
      <c r="H308" s="175"/>
      <c r="I308" s="176"/>
      <c r="J308" s="177"/>
      <c r="Q308" s="4"/>
      <c r="R308" s="4"/>
      <c r="S308" s="4"/>
      <c r="T308" s="4"/>
      <c r="U308" s="4"/>
      <c r="V308" s="4"/>
      <c r="AA308" s="175"/>
      <c r="AB308" s="176"/>
      <c r="AC308" s="175"/>
      <c r="AD308" s="175"/>
      <c r="AE308" s="175"/>
      <c r="AF308" s="175"/>
      <c r="AG308" s="175"/>
      <c r="AH308" s="175"/>
      <c r="AI308" s="175"/>
      <c r="AJ308" s="175"/>
      <c r="AK308" s="175"/>
      <c r="AL308" s="175"/>
      <c r="AM308" s="175"/>
      <c r="AN308" s="175"/>
      <c r="AO308" s="175"/>
      <c r="AP308" s="175"/>
      <c r="AQ308" s="175"/>
      <c r="AR308" s="175"/>
      <c r="AS308" s="175"/>
      <c r="AT308" s="175"/>
    </row>
    <row r="309" ht="15.75" customHeight="1">
      <c r="A309" s="189"/>
      <c r="B309" s="177"/>
      <c r="C309" s="177"/>
      <c r="D309" s="177"/>
      <c r="E309" s="176"/>
      <c r="F309" s="175"/>
      <c r="G309" s="175"/>
      <c r="H309" s="175"/>
      <c r="I309" s="176"/>
      <c r="J309" s="177"/>
      <c r="Q309" s="4"/>
      <c r="R309" s="4"/>
      <c r="S309" s="4"/>
      <c r="T309" s="4"/>
      <c r="U309" s="4"/>
      <c r="V309" s="4"/>
      <c r="AA309" s="175"/>
      <c r="AB309" s="176"/>
      <c r="AC309" s="175"/>
      <c r="AD309" s="175"/>
      <c r="AE309" s="175"/>
      <c r="AF309" s="175"/>
      <c r="AG309" s="175"/>
      <c r="AH309" s="175"/>
      <c r="AI309" s="175"/>
      <c r="AJ309" s="175"/>
      <c r="AK309" s="175"/>
      <c r="AL309" s="175"/>
      <c r="AM309" s="175"/>
      <c r="AN309" s="175"/>
      <c r="AO309" s="175"/>
      <c r="AP309" s="175"/>
      <c r="AQ309" s="175"/>
      <c r="AR309" s="175"/>
      <c r="AS309" s="175"/>
      <c r="AT309" s="175"/>
    </row>
    <row r="310" ht="15.75" customHeight="1">
      <c r="A310" s="189"/>
      <c r="B310" s="177"/>
      <c r="C310" s="177"/>
      <c r="D310" s="177"/>
      <c r="E310" s="176"/>
      <c r="F310" s="175"/>
      <c r="G310" s="175"/>
      <c r="H310" s="175"/>
      <c r="I310" s="176"/>
      <c r="J310" s="177"/>
      <c r="Q310" s="4"/>
      <c r="R310" s="4"/>
      <c r="S310" s="4"/>
      <c r="T310" s="4"/>
      <c r="U310" s="4"/>
      <c r="V310" s="4"/>
      <c r="AA310" s="175"/>
      <c r="AB310" s="176"/>
      <c r="AC310" s="175"/>
      <c r="AD310" s="175"/>
      <c r="AE310" s="175"/>
      <c r="AF310" s="175"/>
      <c r="AG310" s="175"/>
      <c r="AH310" s="175"/>
      <c r="AI310" s="175"/>
      <c r="AJ310" s="175"/>
      <c r="AK310" s="175"/>
      <c r="AL310" s="175"/>
      <c r="AM310" s="175"/>
      <c r="AN310" s="175"/>
      <c r="AO310" s="175"/>
      <c r="AP310" s="175"/>
      <c r="AQ310" s="175"/>
      <c r="AR310" s="175"/>
      <c r="AS310" s="175"/>
      <c r="AT310" s="175"/>
    </row>
    <row r="311" ht="15.75" customHeight="1">
      <c r="A311" s="189"/>
      <c r="B311" s="177"/>
      <c r="C311" s="177"/>
      <c r="D311" s="177"/>
      <c r="E311" s="176"/>
      <c r="F311" s="175"/>
      <c r="G311" s="175"/>
      <c r="H311" s="175"/>
      <c r="I311" s="176"/>
      <c r="J311" s="177"/>
      <c r="Q311" s="4"/>
      <c r="R311" s="4"/>
      <c r="S311" s="4"/>
      <c r="T311" s="4"/>
      <c r="U311" s="4"/>
      <c r="V311" s="4"/>
      <c r="AA311" s="175"/>
      <c r="AB311" s="176"/>
      <c r="AC311" s="175"/>
      <c r="AD311" s="175"/>
      <c r="AE311" s="175"/>
      <c r="AF311" s="175"/>
      <c r="AG311" s="175"/>
      <c r="AH311" s="175"/>
      <c r="AI311" s="175"/>
      <c r="AJ311" s="175"/>
      <c r="AK311" s="175"/>
      <c r="AL311" s="175"/>
      <c r="AM311" s="175"/>
      <c r="AN311" s="175"/>
      <c r="AO311" s="175"/>
      <c r="AP311" s="175"/>
      <c r="AQ311" s="175"/>
      <c r="AR311" s="175"/>
      <c r="AS311" s="175"/>
      <c r="AT311" s="175"/>
    </row>
    <row r="312" ht="15.75" customHeight="1">
      <c r="A312" s="189"/>
      <c r="B312" s="177"/>
      <c r="C312" s="177"/>
      <c r="D312" s="177"/>
      <c r="E312" s="176"/>
      <c r="F312" s="175"/>
      <c r="G312" s="175"/>
      <c r="H312" s="175"/>
      <c r="I312" s="176"/>
      <c r="J312" s="177"/>
      <c r="Q312" s="4"/>
      <c r="R312" s="4"/>
      <c r="S312" s="4"/>
      <c r="T312" s="4"/>
      <c r="U312" s="4"/>
      <c r="V312" s="4"/>
      <c r="AA312" s="175"/>
      <c r="AB312" s="176"/>
      <c r="AC312" s="175"/>
      <c r="AD312" s="175"/>
      <c r="AE312" s="175"/>
      <c r="AF312" s="175"/>
      <c r="AG312" s="175"/>
      <c r="AH312" s="175"/>
      <c r="AI312" s="175"/>
      <c r="AJ312" s="175"/>
      <c r="AK312" s="175"/>
      <c r="AL312" s="175"/>
      <c r="AM312" s="175"/>
      <c r="AN312" s="175"/>
      <c r="AO312" s="175"/>
      <c r="AP312" s="175"/>
      <c r="AQ312" s="175"/>
      <c r="AR312" s="175"/>
      <c r="AS312" s="175"/>
      <c r="AT312" s="175"/>
    </row>
    <row r="313" ht="15.75" customHeight="1">
      <c r="A313" s="189"/>
      <c r="B313" s="177"/>
      <c r="C313" s="177"/>
      <c r="D313" s="177"/>
      <c r="E313" s="176"/>
      <c r="F313" s="175"/>
      <c r="G313" s="175"/>
      <c r="H313" s="175"/>
      <c r="I313" s="176"/>
      <c r="J313" s="177"/>
      <c r="Q313" s="4"/>
      <c r="R313" s="4"/>
      <c r="S313" s="4"/>
      <c r="T313" s="4"/>
      <c r="U313" s="4"/>
      <c r="V313" s="4"/>
      <c r="AA313" s="175"/>
      <c r="AB313" s="176"/>
      <c r="AC313" s="175"/>
      <c r="AD313" s="175"/>
      <c r="AE313" s="175"/>
      <c r="AF313" s="175"/>
      <c r="AG313" s="175"/>
      <c r="AH313" s="175"/>
      <c r="AI313" s="175"/>
      <c r="AJ313" s="175"/>
      <c r="AK313" s="175"/>
      <c r="AL313" s="175"/>
      <c r="AM313" s="175"/>
      <c r="AN313" s="175"/>
      <c r="AO313" s="175"/>
      <c r="AP313" s="175"/>
      <c r="AQ313" s="175"/>
      <c r="AR313" s="175"/>
      <c r="AS313" s="175"/>
      <c r="AT313" s="175"/>
    </row>
    <row r="314" ht="15.75" customHeight="1">
      <c r="A314" s="189"/>
      <c r="B314" s="177"/>
      <c r="C314" s="177"/>
      <c r="D314" s="177"/>
      <c r="E314" s="176"/>
      <c r="F314" s="175"/>
      <c r="G314" s="175"/>
      <c r="H314" s="175"/>
      <c r="I314" s="176"/>
      <c r="J314" s="177"/>
      <c r="Q314" s="4"/>
      <c r="R314" s="4"/>
      <c r="S314" s="4"/>
      <c r="T314" s="4"/>
      <c r="U314" s="4"/>
      <c r="V314" s="4"/>
      <c r="AA314" s="175"/>
      <c r="AB314" s="176"/>
      <c r="AC314" s="175"/>
      <c r="AD314" s="175"/>
      <c r="AE314" s="175"/>
      <c r="AF314" s="175"/>
      <c r="AG314" s="175"/>
      <c r="AH314" s="175"/>
      <c r="AI314" s="175"/>
      <c r="AJ314" s="175"/>
      <c r="AK314" s="175"/>
      <c r="AL314" s="175"/>
      <c r="AM314" s="175"/>
      <c r="AN314" s="175"/>
      <c r="AO314" s="175"/>
      <c r="AP314" s="175"/>
      <c r="AQ314" s="175"/>
      <c r="AR314" s="175"/>
      <c r="AS314" s="175"/>
      <c r="AT314" s="175"/>
    </row>
    <row r="315" ht="15.75" customHeight="1">
      <c r="A315" s="189"/>
      <c r="B315" s="177"/>
      <c r="C315" s="177"/>
      <c r="D315" s="177"/>
      <c r="E315" s="176"/>
      <c r="F315" s="175"/>
      <c r="G315" s="175"/>
      <c r="H315" s="175"/>
      <c r="I315" s="176"/>
      <c r="J315" s="177"/>
      <c r="Q315" s="4"/>
      <c r="R315" s="4"/>
      <c r="S315" s="4"/>
      <c r="T315" s="4"/>
      <c r="U315" s="4"/>
      <c r="V315" s="4"/>
      <c r="AA315" s="175"/>
      <c r="AB315" s="176"/>
      <c r="AC315" s="175"/>
      <c r="AD315" s="175"/>
      <c r="AE315" s="175"/>
      <c r="AF315" s="175"/>
      <c r="AG315" s="175"/>
      <c r="AH315" s="175"/>
      <c r="AI315" s="175"/>
      <c r="AJ315" s="175"/>
      <c r="AK315" s="175"/>
      <c r="AL315" s="175"/>
      <c r="AM315" s="175"/>
      <c r="AN315" s="175"/>
      <c r="AO315" s="175"/>
      <c r="AP315" s="175"/>
      <c r="AQ315" s="175"/>
      <c r="AR315" s="175"/>
      <c r="AS315" s="175"/>
      <c r="AT315" s="175"/>
    </row>
    <row r="316" ht="15.75" customHeight="1">
      <c r="A316" s="189"/>
      <c r="B316" s="177"/>
      <c r="C316" s="177"/>
      <c r="D316" s="177"/>
      <c r="E316" s="176"/>
      <c r="F316" s="175"/>
      <c r="G316" s="175"/>
      <c r="H316" s="175"/>
      <c r="I316" s="176"/>
      <c r="J316" s="177"/>
      <c r="Q316" s="4"/>
      <c r="R316" s="4"/>
      <c r="S316" s="4"/>
      <c r="T316" s="4"/>
      <c r="U316" s="4"/>
      <c r="V316" s="4"/>
      <c r="AA316" s="175"/>
      <c r="AB316" s="176"/>
      <c r="AC316" s="175"/>
      <c r="AD316" s="175"/>
      <c r="AE316" s="175"/>
      <c r="AF316" s="175"/>
      <c r="AG316" s="175"/>
      <c r="AH316" s="175"/>
      <c r="AI316" s="175"/>
      <c r="AJ316" s="175"/>
      <c r="AK316" s="175"/>
      <c r="AL316" s="175"/>
      <c r="AM316" s="175"/>
      <c r="AN316" s="175"/>
      <c r="AO316" s="175"/>
      <c r="AP316" s="175"/>
      <c r="AQ316" s="175"/>
      <c r="AR316" s="175"/>
      <c r="AS316" s="175"/>
      <c r="AT316" s="175"/>
    </row>
    <row r="317" ht="15.75" customHeight="1">
      <c r="A317" s="189"/>
      <c r="B317" s="177"/>
      <c r="C317" s="177"/>
      <c r="D317" s="177"/>
      <c r="E317" s="176"/>
      <c r="F317" s="175"/>
      <c r="G317" s="175"/>
      <c r="H317" s="175"/>
      <c r="I317" s="176"/>
      <c r="J317" s="177"/>
      <c r="Q317" s="4"/>
      <c r="R317" s="4"/>
      <c r="S317" s="4"/>
      <c r="T317" s="4"/>
      <c r="U317" s="4"/>
      <c r="V317" s="4"/>
      <c r="AA317" s="175"/>
      <c r="AB317" s="176"/>
      <c r="AC317" s="175"/>
      <c r="AD317" s="175"/>
      <c r="AE317" s="175"/>
      <c r="AF317" s="175"/>
      <c r="AG317" s="175"/>
      <c r="AH317" s="175"/>
      <c r="AI317" s="175"/>
      <c r="AJ317" s="175"/>
      <c r="AK317" s="175"/>
      <c r="AL317" s="175"/>
      <c r="AM317" s="175"/>
      <c r="AN317" s="175"/>
      <c r="AO317" s="175"/>
      <c r="AP317" s="175"/>
      <c r="AQ317" s="175"/>
      <c r="AR317" s="175"/>
      <c r="AS317" s="175"/>
      <c r="AT317" s="175"/>
    </row>
    <row r="318" ht="15.75" customHeight="1">
      <c r="A318" s="189"/>
      <c r="B318" s="177"/>
      <c r="C318" s="177"/>
      <c r="D318" s="177"/>
      <c r="E318" s="176"/>
      <c r="F318" s="175"/>
      <c r="G318" s="175"/>
      <c r="H318" s="175"/>
      <c r="I318" s="176"/>
      <c r="J318" s="177"/>
      <c r="Q318" s="4"/>
      <c r="R318" s="4"/>
      <c r="S318" s="4"/>
      <c r="T318" s="4"/>
      <c r="U318" s="4"/>
      <c r="V318" s="4"/>
      <c r="AA318" s="175"/>
      <c r="AB318" s="176"/>
      <c r="AC318" s="175"/>
      <c r="AD318" s="175"/>
      <c r="AE318" s="175"/>
      <c r="AF318" s="175"/>
      <c r="AG318" s="175"/>
      <c r="AH318" s="175"/>
      <c r="AI318" s="175"/>
      <c r="AJ318" s="175"/>
      <c r="AK318" s="175"/>
      <c r="AL318" s="175"/>
      <c r="AM318" s="175"/>
      <c r="AN318" s="175"/>
      <c r="AO318" s="175"/>
      <c r="AP318" s="175"/>
      <c r="AQ318" s="175"/>
      <c r="AR318" s="175"/>
      <c r="AS318" s="175"/>
      <c r="AT318" s="175"/>
    </row>
    <row r="319" ht="15.75" customHeight="1">
      <c r="A319" s="189"/>
      <c r="B319" s="177"/>
      <c r="C319" s="177"/>
      <c r="D319" s="177"/>
      <c r="E319" s="176"/>
      <c r="F319" s="175"/>
      <c r="G319" s="175"/>
      <c r="H319" s="175"/>
      <c r="I319" s="176"/>
      <c r="J319" s="177"/>
      <c r="Q319" s="4"/>
      <c r="R319" s="4"/>
      <c r="S319" s="4"/>
      <c r="T319" s="4"/>
      <c r="U319" s="4"/>
      <c r="V319" s="4"/>
      <c r="AA319" s="175"/>
      <c r="AB319" s="176"/>
      <c r="AC319" s="175"/>
      <c r="AD319" s="175"/>
      <c r="AE319" s="175"/>
      <c r="AF319" s="175"/>
      <c r="AG319" s="175"/>
      <c r="AH319" s="175"/>
      <c r="AI319" s="175"/>
      <c r="AJ319" s="175"/>
      <c r="AK319" s="175"/>
      <c r="AL319" s="175"/>
      <c r="AM319" s="175"/>
      <c r="AN319" s="175"/>
      <c r="AO319" s="175"/>
      <c r="AP319" s="175"/>
      <c r="AQ319" s="175"/>
      <c r="AR319" s="175"/>
      <c r="AS319" s="175"/>
      <c r="AT319" s="175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A15:AC15"/>
    <mergeCell ref="AA17:AC24"/>
    <mergeCell ref="AA94:AC94"/>
    <mergeCell ref="AA95:AC102"/>
    <mergeCell ref="AD95:AE102"/>
    <mergeCell ref="AA144:AC144"/>
    <mergeCell ref="AA146:AC153"/>
    <mergeCell ref="AD146:AE153"/>
    <mergeCell ref="A1:G1"/>
    <mergeCell ref="F2:H2"/>
    <mergeCell ref="X2:Y2"/>
    <mergeCell ref="A3:A8"/>
    <mergeCell ref="A9:A14"/>
    <mergeCell ref="A15:A20"/>
    <mergeCell ref="AD16:AE23"/>
    <mergeCell ref="A63:A68"/>
    <mergeCell ref="A82:G82"/>
    <mergeCell ref="F83:H83"/>
    <mergeCell ref="A21:A26"/>
    <mergeCell ref="A27:A32"/>
    <mergeCell ref="A33:A38"/>
    <mergeCell ref="A39:A44"/>
    <mergeCell ref="A45:A50"/>
    <mergeCell ref="A51:A56"/>
    <mergeCell ref="A57:A62"/>
    <mergeCell ref="A119:A123"/>
    <mergeCell ref="A124:A128"/>
    <mergeCell ref="A135:G135"/>
    <mergeCell ref="F136:H136"/>
    <mergeCell ref="A84:A88"/>
    <mergeCell ref="A89:A93"/>
    <mergeCell ref="A94:A98"/>
    <mergeCell ref="A99:A103"/>
    <mergeCell ref="A104:A108"/>
    <mergeCell ref="A109:A113"/>
    <mergeCell ref="A114:A118"/>
    <mergeCell ref="A172:A176"/>
    <mergeCell ref="A177:A181"/>
    <mergeCell ref="A137:A141"/>
    <mergeCell ref="A142:A146"/>
    <mergeCell ref="A147:A151"/>
    <mergeCell ref="A152:A156"/>
    <mergeCell ref="A157:A161"/>
    <mergeCell ref="A162:A166"/>
    <mergeCell ref="A167:A1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3" width="7.25"/>
    <col customWidth="1" min="4" max="4" width="5.38"/>
    <col customWidth="1" min="5" max="5" width="14.38"/>
    <col customWidth="1" min="6" max="6" width="12.63"/>
    <col customWidth="1" min="7" max="7" width="2.63"/>
    <col customWidth="1" min="9" max="9" width="14.38"/>
    <col customWidth="1" hidden="1" min="10" max="10" width="14.88"/>
    <col hidden="1" min="11" max="21" width="12.63"/>
    <col customWidth="1" hidden="1" min="22" max="22" width="12.88"/>
    <col customWidth="1" min="23" max="23" width="12.0"/>
    <col customWidth="1" min="24" max="24" width="14.0"/>
    <col customWidth="1" min="27" max="27" width="15.63"/>
    <col customWidth="1" min="28" max="28" width="14.38"/>
    <col customWidth="1" hidden="1" min="31" max="31" width="12.63"/>
    <col customWidth="1" hidden="1" min="36" max="36" width="12.63"/>
  </cols>
  <sheetData>
    <row r="1" ht="15.75" customHeight="1">
      <c r="A1" s="199" t="s">
        <v>160</v>
      </c>
      <c r="I1" s="2"/>
      <c r="AA1" s="4"/>
      <c r="AB1" s="2"/>
      <c r="AC1" s="4"/>
      <c r="AD1" s="4"/>
      <c r="AE1" s="4"/>
      <c r="AF1" s="4"/>
      <c r="AG1" s="4"/>
      <c r="AH1" s="4"/>
      <c r="AI1" s="4"/>
      <c r="AJ1" s="4"/>
    </row>
    <row r="2" ht="15.75" customHeight="1">
      <c r="A2" s="10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161</v>
      </c>
      <c r="U2" s="9" t="s">
        <v>162</v>
      </c>
      <c r="V2" s="9" t="s">
        <v>163</v>
      </c>
      <c r="W2" s="4"/>
      <c r="X2" s="123" t="s">
        <v>20</v>
      </c>
      <c r="Y2" s="8"/>
      <c r="Z2" s="4"/>
      <c r="AA2" s="5" t="s">
        <v>11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16</v>
      </c>
      <c r="AG2" s="5" t="s">
        <v>161</v>
      </c>
      <c r="AH2" s="5" t="s">
        <v>162</v>
      </c>
      <c r="AI2" s="5" t="s">
        <v>163</v>
      </c>
      <c r="AJ2" s="9"/>
    </row>
    <row r="3" ht="15.75" customHeight="1">
      <c r="A3" s="106">
        <v>1.0</v>
      </c>
      <c r="B3" s="12">
        <v>45587.0</v>
      </c>
      <c r="C3" s="13" t="s">
        <v>21</v>
      </c>
      <c r="D3" s="13" t="s">
        <v>22</v>
      </c>
      <c r="E3" s="79" t="s">
        <v>31</v>
      </c>
      <c r="F3" s="56">
        <v>2.0</v>
      </c>
      <c r="G3" s="69" t="s">
        <v>24</v>
      </c>
      <c r="H3" s="56">
        <v>0.0</v>
      </c>
      <c r="I3" s="14" t="s">
        <v>32</v>
      </c>
      <c r="J3" s="3"/>
      <c r="K3" s="17">
        <f t="shared" ref="K3:K68" si="1">IFS(F3=H3+2,3,F3=H3-2,0,F3=H3+1,2,F3=H3-1,1,F3="","")</f>
        <v>3</v>
      </c>
      <c r="L3" s="18">
        <f t="shared" ref="L3:L68" si="2">IFS(H3=F3+2,3,H3=F3-2,0,H3=F3+1,2,H3=F3-1,1,H3="","")</f>
        <v>0</v>
      </c>
      <c r="M3" s="3"/>
      <c r="N3" s="18">
        <v>1.0</v>
      </c>
      <c r="O3" s="102" t="s">
        <v>31</v>
      </c>
      <c r="P3" s="18">
        <f t="shared" ref="P3:P14" si="3">SUMIF(E$3:E$68,O3,K$3:K$68)+SUMIF(I$3:I$68,O3,L$3:L$68)</f>
        <v>29</v>
      </c>
      <c r="Q3" s="20">
        <f t="shared" ref="Q3:Q14" si="4">COUNTIFS(E$3:E$68,O3,K$3:K$68,2)+COUNTIFS(I$3:I$68,O3,L$3:L$68,2)+COUNTIFS(E$3:E$68,O3,K$3:K$68,3)+COUNTIFS(I$3:I$68,O3,L$3:L$68,3)</f>
        <v>10</v>
      </c>
      <c r="R3" s="20"/>
      <c r="S3" s="22">
        <f t="shared" ref="S3:S14" si="5">COUNTIFS(E$3:E$68,O3,K$3:K$68,1)+COUNTIFS(I$3:I$68,O3,L$3:L$68,1)+COUNTIFS(E$3:E$68,O3,K$3:K$68,0)+COUNTIFS(I$3:I$68,O3,L$3:L$68,0)</f>
        <v>1</v>
      </c>
      <c r="T3" s="18">
        <f t="shared" ref="T3:T14" si="6">SUMIF(E$3:E$68,O3,F$3:F$68)+SUMIF(I$3:I$68,O3,H$3:H$68)</f>
        <v>20</v>
      </c>
      <c r="U3" s="22">
        <f t="shared" ref="U3:U14" si="7">SUMIF(E$3:E$68,O3,H$3:H$68)+SUMIF(I$3:I$68,O3,F$3:F$68)</f>
        <v>3</v>
      </c>
      <c r="V3" s="18">
        <f t="shared" ref="V3:V14" si="8">T3-U3</f>
        <v>17</v>
      </c>
      <c r="X3" s="124" t="s">
        <v>26</v>
      </c>
      <c r="Y3" s="124" t="s">
        <v>13</v>
      </c>
      <c r="AA3" s="24" t="s">
        <v>29</v>
      </c>
      <c r="AB3" s="108" t="str">
        <f t="array" ref="AB3:AI14">SORT(O3:V14,2,FALSE,8,FALSE)</f>
        <v>EET</v>
      </c>
      <c r="AC3" s="26">
        <v>29.0</v>
      </c>
      <c r="AD3" s="26">
        <v>10.0</v>
      </c>
      <c r="AE3" s="26"/>
      <c r="AF3" s="27">
        <v>1.0</v>
      </c>
      <c r="AG3" s="26">
        <v>20.0</v>
      </c>
      <c r="AH3" s="27">
        <v>3.0</v>
      </c>
      <c r="AI3" s="26">
        <v>17.0</v>
      </c>
      <c r="AJ3" s="28"/>
    </row>
    <row r="4" ht="15.75" customHeight="1">
      <c r="A4" s="29"/>
      <c r="B4" s="12">
        <v>45587.0</v>
      </c>
      <c r="C4" s="13" t="s">
        <v>21</v>
      </c>
      <c r="D4" s="13" t="s">
        <v>22</v>
      </c>
      <c r="E4" s="79" t="s">
        <v>66</v>
      </c>
      <c r="F4" s="56">
        <v>0.0</v>
      </c>
      <c r="G4" s="69" t="s">
        <v>24</v>
      </c>
      <c r="H4" s="56">
        <v>2.0</v>
      </c>
      <c r="I4" s="14" t="s">
        <v>37</v>
      </c>
      <c r="J4" s="3"/>
      <c r="K4" s="17">
        <f t="shared" si="1"/>
        <v>0</v>
      </c>
      <c r="L4" s="18">
        <f t="shared" si="2"/>
        <v>3</v>
      </c>
      <c r="M4" s="3"/>
      <c r="N4" s="18">
        <v>2.0</v>
      </c>
      <c r="O4" s="102" t="s">
        <v>155</v>
      </c>
      <c r="P4" s="18">
        <f t="shared" si="3"/>
        <v>20</v>
      </c>
      <c r="Q4" s="20">
        <f t="shared" si="4"/>
        <v>6</v>
      </c>
      <c r="R4" s="20"/>
      <c r="S4" s="22">
        <f t="shared" si="5"/>
        <v>5</v>
      </c>
      <c r="T4" s="18">
        <f t="shared" si="6"/>
        <v>14</v>
      </c>
      <c r="U4" s="22">
        <f t="shared" si="7"/>
        <v>10</v>
      </c>
      <c r="V4" s="18">
        <f t="shared" si="8"/>
        <v>4</v>
      </c>
      <c r="X4" s="125" t="s">
        <v>66</v>
      </c>
      <c r="Y4" s="125">
        <v>2.0</v>
      </c>
      <c r="AA4" s="24" t="s">
        <v>35</v>
      </c>
      <c r="AB4" s="108" t="s">
        <v>25</v>
      </c>
      <c r="AC4" s="26">
        <v>28.0</v>
      </c>
      <c r="AD4" s="26">
        <v>9.0</v>
      </c>
      <c r="AE4" s="26"/>
      <c r="AF4" s="27">
        <v>2.0</v>
      </c>
      <c r="AG4" s="26">
        <v>20.0</v>
      </c>
      <c r="AH4" s="27">
        <v>5.0</v>
      </c>
      <c r="AI4" s="26">
        <v>15.0</v>
      </c>
      <c r="AJ4" s="28"/>
    </row>
    <row r="5" ht="15.75" customHeight="1">
      <c r="A5" s="29"/>
      <c r="B5" s="12">
        <v>45587.0</v>
      </c>
      <c r="C5" s="13" t="s">
        <v>21</v>
      </c>
      <c r="D5" s="13" t="s">
        <v>22</v>
      </c>
      <c r="E5" s="79" t="s">
        <v>25</v>
      </c>
      <c r="F5" s="56">
        <v>1.0</v>
      </c>
      <c r="G5" s="69" t="s">
        <v>24</v>
      </c>
      <c r="H5" s="56">
        <v>2.0</v>
      </c>
      <c r="I5" s="14" t="s">
        <v>38</v>
      </c>
      <c r="J5" s="3"/>
      <c r="K5" s="17">
        <f t="shared" si="1"/>
        <v>1</v>
      </c>
      <c r="L5" s="18">
        <f t="shared" si="2"/>
        <v>2</v>
      </c>
      <c r="M5" s="3"/>
      <c r="N5" s="18">
        <v>3.0</v>
      </c>
      <c r="O5" s="102" t="s">
        <v>32</v>
      </c>
      <c r="P5" s="18">
        <f t="shared" si="3"/>
        <v>7</v>
      </c>
      <c r="Q5" s="20">
        <f t="shared" si="4"/>
        <v>3</v>
      </c>
      <c r="R5" s="20"/>
      <c r="S5" s="22">
        <f t="shared" si="5"/>
        <v>8</v>
      </c>
      <c r="T5" s="18">
        <f t="shared" si="6"/>
        <v>6</v>
      </c>
      <c r="U5" s="22">
        <f t="shared" si="7"/>
        <v>18</v>
      </c>
      <c r="V5" s="18">
        <f t="shared" si="8"/>
        <v>-12</v>
      </c>
      <c r="X5" s="125" t="s">
        <v>50</v>
      </c>
      <c r="Y5" s="125">
        <v>1.0</v>
      </c>
      <c r="AA5" s="24" t="s">
        <v>40</v>
      </c>
      <c r="AB5" s="108" t="s">
        <v>38</v>
      </c>
      <c r="AC5" s="26">
        <v>27.0</v>
      </c>
      <c r="AD5" s="26">
        <v>9.0</v>
      </c>
      <c r="AE5" s="26"/>
      <c r="AF5" s="27">
        <v>2.0</v>
      </c>
      <c r="AG5" s="26">
        <v>20.0</v>
      </c>
      <c r="AH5" s="27">
        <v>6.0</v>
      </c>
      <c r="AI5" s="26">
        <v>14.0</v>
      </c>
      <c r="AJ5" s="28"/>
    </row>
    <row r="6" ht="15.75" customHeight="1">
      <c r="A6" s="29"/>
      <c r="B6" s="12">
        <v>45587.0</v>
      </c>
      <c r="C6" s="13" t="s">
        <v>30</v>
      </c>
      <c r="D6" s="13" t="s">
        <v>22</v>
      </c>
      <c r="E6" s="79" t="s">
        <v>117</v>
      </c>
      <c r="F6" s="56">
        <v>2.0</v>
      </c>
      <c r="G6" s="69" t="s">
        <v>24</v>
      </c>
      <c r="H6" s="56">
        <v>0.0</v>
      </c>
      <c r="I6" s="14" t="s">
        <v>72</v>
      </c>
      <c r="J6" s="3"/>
      <c r="K6" s="17">
        <f t="shared" si="1"/>
        <v>3</v>
      </c>
      <c r="L6" s="18">
        <f t="shared" si="2"/>
        <v>0</v>
      </c>
      <c r="M6" s="3"/>
      <c r="N6" s="18">
        <v>4.0</v>
      </c>
      <c r="O6" s="102" t="s">
        <v>43</v>
      </c>
      <c r="P6" s="18">
        <f t="shared" si="3"/>
        <v>11</v>
      </c>
      <c r="Q6" s="20">
        <f t="shared" si="4"/>
        <v>3</v>
      </c>
      <c r="R6" s="20"/>
      <c r="S6" s="22">
        <f t="shared" si="5"/>
        <v>8</v>
      </c>
      <c r="T6" s="18">
        <f t="shared" si="6"/>
        <v>9</v>
      </c>
      <c r="U6" s="22">
        <f t="shared" si="7"/>
        <v>17</v>
      </c>
      <c r="V6" s="18">
        <f t="shared" si="8"/>
        <v>-8</v>
      </c>
      <c r="AA6" s="24" t="s">
        <v>44</v>
      </c>
      <c r="AB6" s="108" t="s">
        <v>73</v>
      </c>
      <c r="AC6" s="26">
        <v>23.0</v>
      </c>
      <c r="AD6" s="26">
        <v>8.0</v>
      </c>
      <c r="AE6" s="26"/>
      <c r="AF6" s="27">
        <v>3.0</v>
      </c>
      <c r="AG6" s="26">
        <v>17.0</v>
      </c>
      <c r="AH6" s="27">
        <v>8.0</v>
      </c>
      <c r="AI6" s="26">
        <v>9.0</v>
      </c>
      <c r="AJ6" s="28"/>
    </row>
    <row r="7" ht="15.75" customHeight="1">
      <c r="A7" s="29"/>
      <c r="B7" s="12">
        <v>45587.0</v>
      </c>
      <c r="C7" s="13" t="s">
        <v>30</v>
      </c>
      <c r="D7" s="13" t="s">
        <v>22</v>
      </c>
      <c r="E7" s="79" t="s">
        <v>43</v>
      </c>
      <c r="F7" s="56">
        <v>0.0</v>
      </c>
      <c r="G7" s="69" t="s">
        <v>24</v>
      </c>
      <c r="H7" s="56">
        <v>2.0</v>
      </c>
      <c r="I7" s="14" t="s">
        <v>73</v>
      </c>
      <c r="J7" s="3"/>
      <c r="K7" s="17">
        <f t="shared" si="1"/>
        <v>0</v>
      </c>
      <c r="L7" s="18">
        <f t="shared" si="2"/>
        <v>3</v>
      </c>
      <c r="M7" s="3"/>
      <c r="N7" s="18">
        <v>5.0</v>
      </c>
      <c r="O7" s="102" t="s">
        <v>37</v>
      </c>
      <c r="P7" s="18">
        <f t="shared" si="3"/>
        <v>14</v>
      </c>
      <c r="Q7" s="20">
        <f t="shared" si="4"/>
        <v>4</v>
      </c>
      <c r="R7" s="20"/>
      <c r="S7" s="22">
        <f t="shared" si="5"/>
        <v>7</v>
      </c>
      <c r="T7" s="18">
        <f t="shared" si="6"/>
        <v>10</v>
      </c>
      <c r="U7" s="22">
        <f t="shared" si="7"/>
        <v>14</v>
      </c>
      <c r="V7" s="18">
        <f t="shared" si="8"/>
        <v>-4</v>
      </c>
      <c r="AA7" s="24" t="s">
        <v>46</v>
      </c>
      <c r="AB7" s="108" t="s">
        <v>155</v>
      </c>
      <c r="AC7" s="26">
        <v>20.0</v>
      </c>
      <c r="AD7" s="26">
        <v>6.0</v>
      </c>
      <c r="AE7" s="26"/>
      <c r="AF7" s="27">
        <v>5.0</v>
      </c>
      <c r="AG7" s="26">
        <v>14.0</v>
      </c>
      <c r="AH7" s="27">
        <v>10.0</v>
      </c>
      <c r="AI7" s="26">
        <v>4.0</v>
      </c>
      <c r="AJ7" s="28"/>
    </row>
    <row r="8" ht="15.75" customHeight="1">
      <c r="A8" s="37"/>
      <c r="B8" s="12">
        <v>45587.0</v>
      </c>
      <c r="C8" s="13" t="s">
        <v>30</v>
      </c>
      <c r="D8" s="13" t="s">
        <v>22</v>
      </c>
      <c r="E8" s="79" t="s">
        <v>69</v>
      </c>
      <c r="F8" s="56">
        <v>0.0</v>
      </c>
      <c r="G8" s="69" t="s">
        <v>24</v>
      </c>
      <c r="H8" s="56">
        <v>2.0</v>
      </c>
      <c r="I8" s="14" t="s">
        <v>155</v>
      </c>
      <c r="J8" s="3"/>
      <c r="K8" s="17">
        <f t="shared" si="1"/>
        <v>0</v>
      </c>
      <c r="L8" s="18">
        <f t="shared" si="2"/>
        <v>3</v>
      </c>
      <c r="M8" s="3"/>
      <c r="N8" s="18">
        <v>6.0</v>
      </c>
      <c r="O8" s="102" t="s">
        <v>117</v>
      </c>
      <c r="P8" s="18">
        <f t="shared" si="3"/>
        <v>19</v>
      </c>
      <c r="Q8" s="20">
        <f t="shared" si="4"/>
        <v>8</v>
      </c>
      <c r="R8" s="20"/>
      <c r="S8" s="22">
        <f t="shared" si="5"/>
        <v>3</v>
      </c>
      <c r="T8" s="18">
        <f t="shared" si="6"/>
        <v>16</v>
      </c>
      <c r="U8" s="22">
        <f t="shared" si="7"/>
        <v>11</v>
      </c>
      <c r="V8" s="18">
        <f t="shared" si="8"/>
        <v>5</v>
      </c>
      <c r="AA8" s="24" t="s">
        <v>48</v>
      </c>
      <c r="AB8" s="108" t="s">
        <v>117</v>
      </c>
      <c r="AC8" s="26">
        <v>19.0</v>
      </c>
      <c r="AD8" s="26">
        <v>8.0</v>
      </c>
      <c r="AE8" s="26"/>
      <c r="AF8" s="27">
        <v>3.0</v>
      </c>
      <c r="AG8" s="26">
        <v>16.0</v>
      </c>
      <c r="AH8" s="27">
        <v>11.0</v>
      </c>
      <c r="AI8" s="26">
        <v>5.0</v>
      </c>
      <c r="AJ8" s="28"/>
    </row>
    <row r="9" ht="15.75" customHeight="1">
      <c r="A9" s="106">
        <v>2.0</v>
      </c>
      <c r="B9" s="12">
        <v>45610.0</v>
      </c>
      <c r="C9" s="200" t="s">
        <v>30</v>
      </c>
      <c r="D9" s="13" t="s">
        <v>22</v>
      </c>
      <c r="E9" s="79" t="s">
        <v>32</v>
      </c>
      <c r="F9" s="56">
        <v>2.0</v>
      </c>
      <c r="G9" s="69" t="s">
        <v>24</v>
      </c>
      <c r="H9" s="56">
        <v>0.0</v>
      </c>
      <c r="I9" s="14" t="s">
        <v>69</v>
      </c>
      <c r="J9" s="3"/>
      <c r="K9" s="17">
        <f t="shared" si="1"/>
        <v>3</v>
      </c>
      <c r="L9" s="18">
        <f t="shared" si="2"/>
        <v>0</v>
      </c>
      <c r="M9" s="3"/>
      <c r="N9" s="18">
        <v>7.0</v>
      </c>
      <c r="O9" s="102" t="s">
        <v>38</v>
      </c>
      <c r="P9" s="18">
        <f t="shared" si="3"/>
        <v>27</v>
      </c>
      <c r="Q9" s="20">
        <f t="shared" si="4"/>
        <v>9</v>
      </c>
      <c r="R9" s="20"/>
      <c r="S9" s="22">
        <f t="shared" si="5"/>
        <v>2</v>
      </c>
      <c r="T9" s="18">
        <f t="shared" si="6"/>
        <v>20</v>
      </c>
      <c r="U9" s="22">
        <f t="shared" si="7"/>
        <v>6</v>
      </c>
      <c r="V9" s="18">
        <f t="shared" si="8"/>
        <v>14</v>
      </c>
      <c r="AA9" s="24">
        <v>7.0</v>
      </c>
      <c r="AB9" s="108" t="s">
        <v>37</v>
      </c>
      <c r="AC9" s="26">
        <v>14.0</v>
      </c>
      <c r="AD9" s="26">
        <v>4.0</v>
      </c>
      <c r="AE9" s="26"/>
      <c r="AF9" s="27">
        <v>7.0</v>
      </c>
      <c r="AG9" s="26">
        <v>10.0</v>
      </c>
      <c r="AH9" s="27">
        <v>14.0</v>
      </c>
      <c r="AI9" s="26">
        <v>-4.0</v>
      </c>
      <c r="AJ9" s="28"/>
    </row>
    <row r="10" ht="15.75" customHeight="1">
      <c r="A10" s="29"/>
      <c r="B10" s="12">
        <v>45610.0</v>
      </c>
      <c r="C10" s="200" t="s">
        <v>36</v>
      </c>
      <c r="D10" s="13" t="s">
        <v>22</v>
      </c>
      <c r="E10" s="79" t="s">
        <v>37</v>
      </c>
      <c r="F10" s="56">
        <v>0.0</v>
      </c>
      <c r="G10" s="69" t="s">
        <v>24</v>
      </c>
      <c r="H10" s="56">
        <v>2.0</v>
      </c>
      <c r="I10" s="14" t="s">
        <v>31</v>
      </c>
      <c r="J10" s="3"/>
      <c r="K10" s="17">
        <f t="shared" si="1"/>
        <v>0</v>
      </c>
      <c r="L10" s="18">
        <f t="shared" si="2"/>
        <v>3</v>
      </c>
      <c r="M10" s="3"/>
      <c r="N10" s="18">
        <v>8.0</v>
      </c>
      <c r="O10" s="102" t="s">
        <v>25</v>
      </c>
      <c r="P10" s="18">
        <f t="shared" si="3"/>
        <v>28</v>
      </c>
      <c r="Q10" s="20">
        <f t="shared" si="4"/>
        <v>9</v>
      </c>
      <c r="R10" s="20"/>
      <c r="S10" s="22">
        <f t="shared" si="5"/>
        <v>2</v>
      </c>
      <c r="T10" s="18">
        <f t="shared" si="6"/>
        <v>20</v>
      </c>
      <c r="U10" s="22">
        <f t="shared" si="7"/>
        <v>5</v>
      </c>
      <c r="V10" s="18">
        <f t="shared" si="8"/>
        <v>15</v>
      </c>
      <c r="AA10" s="40">
        <v>8.0</v>
      </c>
      <c r="AB10" s="108" t="s">
        <v>43</v>
      </c>
      <c r="AC10" s="26">
        <v>11.0</v>
      </c>
      <c r="AD10" s="26">
        <v>3.0</v>
      </c>
      <c r="AE10" s="26"/>
      <c r="AF10" s="27">
        <v>8.0</v>
      </c>
      <c r="AG10" s="26">
        <v>9.0</v>
      </c>
      <c r="AH10" s="27">
        <v>17.0</v>
      </c>
      <c r="AI10" s="26">
        <v>-8.0</v>
      </c>
      <c r="AJ10" s="28"/>
    </row>
    <row r="11" ht="15.75" customHeight="1">
      <c r="A11" s="29"/>
      <c r="B11" s="12">
        <v>45610.0</v>
      </c>
      <c r="C11" s="200" t="s">
        <v>36</v>
      </c>
      <c r="D11" s="13" t="s">
        <v>22</v>
      </c>
      <c r="E11" s="79" t="s">
        <v>38</v>
      </c>
      <c r="F11" s="56">
        <v>2.0</v>
      </c>
      <c r="G11" s="69" t="s">
        <v>24</v>
      </c>
      <c r="H11" s="56">
        <v>1.0</v>
      </c>
      <c r="I11" s="14" t="s">
        <v>66</v>
      </c>
      <c r="J11" s="3"/>
      <c r="K11" s="17">
        <f t="shared" si="1"/>
        <v>2</v>
      </c>
      <c r="L11" s="18">
        <f t="shared" si="2"/>
        <v>1</v>
      </c>
      <c r="M11" s="3"/>
      <c r="N11" s="18">
        <v>9.0</v>
      </c>
      <c r="O11" s="102" t="s">
        <v>72</v>
      </c>
      <c r="P11" s="18">
        <f t="shared" si="3"/>
        <v>6</v>
      </c>
      <c r="Q11" s="20">
        <f t="shared" si="4"/>
        <v>2</v>
      </c>
      <c r="R11" s="20"/>
      <c r="S11" s="22">
        <f t="shared" si="5"/>
        <v>9</v>
      </c>
      <c r="T11" s="18">
        <f t="shared" si="6"/>
        <v>5</v>
      </c>
      <c r="U11" s="22">
        <f t="shared" si="7"/>
        <v>19</v>
      </c>
      <c r="V11" s="18">
        <f t="shared" si="8"/>
        <v>-14</v>
      </c>
      <c r="AA11" s="41">
        <v>9.0</v>
      </c>
      <c r="AB11" s="108" t="s">
        <v>66</v>
      </c>
      <c r="AC11" s="26">
        <v>11.0</v>
      </c>
      <c r="AD11" s="26">
        <v>3.0</v>
      </c>
      <c r="AE11" s="26"/>
      <c r="AF11" s="27">
        <v>8.0</v>
      </c>
      <c r="AG11" s="26">
        <v>9.0</v>
      </c>
      <c r="AH11" s="27">
        <v>17.0</v>
      </c>
      <c r="AI11" s="26">
        <v>-8.0</v>
      </c>
      <c r="AJ11" s="28"/>
    </row>
    <row r="12" ht="15.75" customHeight="1">
      <c r="A12" s="29"/>
      <c r="B12" s="12">
        <v>45610.0</v>
      </c>
      <c r="C12" s="200" t="s">
        <v>36</v>
      </c>
      <c r="D12" s="13" t="s">
        <v>22</v>
      </c>
      <c r="E12" s="79" t="s">
        <v>72</v>
      </c>
      <c r="F12" s="56">
        <v>0.0</v>
      </c>
      <c r="G12" s="69" t="s">
        <v>24</v>
      </c>
      <c r="H12" s="56">
        <v>2.0</v>
      </c>
      <c r="I12" s="14" t="s">
        <v>25</v>
      </c>
      <c r="J12" s="3"/>
      <c r="K12" s="17">
        <f t="shared" si="1"/>
        <v>0</v>
      </c>
      <c r="L12" s="18">
        <f t="shared" si="2"/>
        <v>3</v>
      </c>
      <c r="M12" s="3"/>
      <c r="N12" s="18">
        <v>10.0</v>
      </c>
      <c r="O12" s="177" t="s">
        <v>66</v>
      </c>
      <c r="P12" s="18">
        <f t="shared" si="3"/>
        <v>11</v>
      </c>
      <c r="Q12" s="20">
        <f t="shared" si="4"/>
        <v>3</v>
      </c>
      <c r="R12" s="20"/>
      <c r="S12" s="22">
        <f t="shared" si="5"/>
        <v>8</v>
      </c>
      <c r="T12" s="18">
        <f t="shared" si="6"/>
        <v>9</v>
      </c>
      <c r="U12" s="22">
        <f t="shared" si="7"/>
        <v>17</v>
      </c>
      <c r="V12" s="18">
        <f t="shared" si="8"/>
        <v>-8</v>
      </c>
      <c r="AA12" s="41">
        <v>10.0</v>
      </c>
      <c r="AB12" s="108" t="s">
        <v>32</v>
      </c>
      <c r="AC12" s="26">
        <v>7.0</v>
      </c>
      <c r="AD12" s="26">
        <v>3.0</v>
      </c>
      <c r="AE12" s="26"/>
      <c r="AF12" s="27">
        <v>8.0</v>
      </c>
      <c r="AG12" s="26">
        <v>6.0</v>
      </c>
      <c r="AH12" s="27">
        <v>18.0</v>
      </c>
      <c r="AI12" s="26">
        <v>-12.0</v>
      </c>
      <c r="AJ12" s="28"/>
    </row>
    <row r="13" ht="15.75" customHeight="1">
      <c r="A13" s="29"/>
      <c r="B13" s="12">
        <v>45610.0</v>
      </c>
      <c r="C13" s="200" t="s">
        <v>41</v>
      </c>
      <c r="D13" s="13" t="s">
        <v>22</v>
      </c>
      <c r="E13" s="79" t="s">
        <v>73</v>
      </c>
      <c r="F13" s="56">
        <v>2.0</v>
      </c>
      <c r="G13" s="69" t="s">
        <v>24</v>
      </c>
      <c r="H13" s="56">
        <v>0.0</v>
      </c>
      <c r="I13" s="14" t="s">
        <v>117</v>
      </c>
      <c r="J13" s="3"/>
      <c r="K13" s="17">
        <f t="shared" si="1"/>
        <v>3</v>
      </c>
      <c r="L13" s="18">
        <f t="shared" si="2"/>
        <v>0</v>
      </c>
      <c r="M13" s="3"/>
      <c r="N13" s="18">
        <v>11.0</v>
      </c>
      <c r="O13" s="173" t="s">
        <v>73</v>
      </c>
      <c r="P13" s="18">
        <f t="shared" si="3"/>
        <v>23</v>
      </c>
      <c r="Q13" s="20">
        <f t="shared" si="4"/>
        <v>8</v>
      </c>
      <c r="R13" s="20"/>
      <c r="S13" s="22">
        <f t="shared" si="5"/>
        <v>3</v>
      </c>
      <c r="T13" s="18">
        <f t="shared" si="6"/>
        <v>17</v>
      </c>
      <c r="U13" s="22">
        <f t="shared" si="7"/>
        <v>8</v>
      </c>
      <c r="V13" s="18">
        <f t="shared" si="8"/>
        <v>9</v>
      </c>
      <c r="AA13" s="41">
        <v>11.0</v>
      </c>
      <c r="AB13" s="108" t="s">
        <v>72</v>
      </c>
      <c r="AC13" s="26">
        <v>6.0</v>
      </c>
      <c r="AD13" s="26">
        <v>2.0</v>
      </c>
      <c r="AE13" s="26"/>
      <c r="AF13" s="27">
        <v>9.0</v>
      </c>
      <c r="AG13" s="26">
        <v>5.0</v>
      </c>
      <c r="AH13" s="27">
        <v>19.0</v>
      </c>
      <c r="AI13" s="26">
        <v>-14.0</v>
      </c>
      <c r="AJ13" s="28"/>
    </row>
    <row r="14" ht="15.75" customHeight="1">
      <c r="A14" s="37"/>
      <c r="B14" s="12">
        <v>45610.0</v>
      </c>
      <c r="C14" s="200" t="s">
        <v>41</v>
      </c>
      <c r="D14" s="13" t="s">
        <v>22</v>
      </c>
      <c r="E14" s="79" t="s">
        <v>155</v>
      </c>
      <c r="F14" s="56">
        <v>1.0</v>
      </c>
      <c r="G14" s="69" t="s">
        <v>24</v>
      </c>
      <c r="H14" s="56">
        <v>2.0</v>
      </c>
      <c r="I14" s="14" t="s">
        <v>43</v>
      </c>
      <c r="J14" s="3"/>
      <c r="K14" s="17">
        <f t="shared" si="1"/>
        <v>1</v>
      </c>
      <c r="L14" s="18">
        <f t="shared" si="2"/>
        <v>2</v>
      </c>
      <c r="M14" s="3"/>
      <c r="N14" s="36">
        <v>12.0</v>
      </c>
      <c r="O14" s="201" t="s">
        <v>69</v>
      </c>
      <c r="P14" s="18">
        <f t="shared" si="3"/>
        <v>3</v>
      </c>
      <c r="Q14" s="20">
        <f t="shared" si="4"/>
        <v>1</v>
      </c>
      <c r="S14" s="22">
        <f t="shared" si="5"/>
        <v>10</v>
      </c>
      <c r="T14" s="18">
        <f t="shared" si="6"/>
        <v>2</v>
      </c>
      <c r="U14" s="22">
        <f t="shared" si="7"/>
        <v>20</v>
      </c>
      <c r="V14" s="18">
        <f t="shared" si="8"/>
        <v>-18</v>
      </c>
      <c r="AA14" s="43">
        <v>12.0</v>
      </c>
      <c r="AB14" s="34" t="s">
        <v>69</v>
      </c>
      <c r="AC14" s="26">
        <v>3.0</v>
      </c>
      <c r="AD14" s="90">
        <v>1.0</v>
      </c>
      <c r="AE14" s="90"/>
      <c r="AF14" s="90">
        <v>10.0</v>
      </c>
      <c r="AG14" s="90">
        <v>2.0</v>
      </c>
      <c r="AH14" s="90">
        <v>20.0</v>
      </c>
      <c r="AI14" s="90">
        <v>-18.0</v>
      </c>
      <c r="AJ14" s="4"/>
    </row>
    <row r="15" ht="15.75" customHeight="1">
      <c r="A15" s="106">
        <v>3.0</v>
      </c>
      <c r="B15" s="12">
        <v>45623.0</v>
      </c>
      <c r="C15" s="13" t="s">
        <v>55</v>
      </c>
      <c r="D15" s="13" t="s">
        <v>22</v>
      </c>
      <c r="E15" s="79" t="s">
        <v>32</v>
      </c>
      <c r="F15" s="56">
        <v>2.0</v>
      </c>
      <c r="G15" s="69" t="s">
        <v>24</v>
      </c>
      <c r="H15" s="56">
        <v>1.0</v>
      </c>
      <c r="I15" s="14" t="s">
        <v>37</v>
      </c>
      <c r="J15" s="3"/>
      <c r="K15" s="17">
        <f t="shared" si="1"/>
        <v>2</v>
      </c>
      <c r="L15" s="18">
        <f t="shared" si="2"/>
        <v>1</v>
      </c>
      <c r="M15" s="3"/>
      <c r="N15" s="3"/>
      <c r="O15" s="3"/>
      <c r="P15" s="3"/>
      <c r="Q15" s="3"/>
      <c r="R15" s="3"/>
      <c r="S15" s="3"/>
      <c r="T15" s="3"/>
      <c r="U15" s="3"/>
      <c r="V15" s="3"/>
      <c r="AA15" s="85" t="s">
        <v>164</v>
      </c>
      <c r="AD15" s="47"/>
      <c r="AF15" s="4"/>
      <c r="AG15" s="4"/>
      <c r="AH15" s="4"/>
      <c r="AI15" s="4"/>
      <c r="AJ15" s="4"/>
    </row>
    <row r="16" ht="15.75" customHeight="1">
      <c r="A16" s="29"/>
      <c r="B16" s="12">
        <v>45623.0</v>
      </c>
      <c r="C16" s="13" t="s">
        <v>55</v>
      </c>
      <c r="D16" s="13" t="s">
        <v>22</v>
      </c>
      <c r="E16" s="79" t="s">
        <v>31</v>
      </c>
      <c r="F16" s="56">
        <v>0.0</v>
      </c>
      <c r="G16" s="69" t="s">
        <v>24</v>
      </c>
      <c r="H16" s="56">
        <v>2.0</v>
      </c>
      <c r="I16" s="14" t="s">
        <v>38</v>
      </c>
      <c r="J16" s="3"/>
      <c r="K16" s="17">
        <f t="shared" si="1"/>
        <v>0</v>
      </c>
      <c r="L16" s="18">
        <f t="shared" si="2"/>
        <v>3</v>
      </c>
      <c r="M16" s="3"/>
      <c r="N16" s="3"/>
      <c r="O16" s="3"/>
      <c r="P16" s="3"/>
      <c r="Q16" s="3"/>
      <c r="R16" s="3"/>
      <c r="S16" s="3"/>
      <c r="T16" s="3"/>
      <c r="U16" s="3"/>
      <c r="V16" s="3"/>
      <c r="AF16" s="4"/>
      <c r="AG16" s="4"/>
      <c r="AH16" s="4"/>
      <c r="AI16" s="4"/>
      <c r="AJ16" s="4"/>
    </row>
    <row r="17" ht="15.75" customHeight="1">
      <c r="A17" s="29"/>
      <c r="B17" s="12">
        <v>45623.0</v>
      </c>
      <c r="C17" s="13" t="s">
        <v>56</v>
      </c>
      <c r="D17" s="13" t="s">
        <v>22</v>
      </c>
      <c r="E17" s="79" t="s">
        <v>66</v>
      </c>
      <c r="F17" s="56">
        <v>1.0</v>
      </c>
      <c r="G17" s="69" t="s">
        <v>24</v>
      </c>
      <c r="H17" s="56">
        <v>2.0</v>
      </c>
      <c r="I17" s="14" t="s">
        <v>72</v>
      </c>
      <c r="J17" s="3"/>
      <c r="K17" s="17">
        <f t="shared" si="1"/>
        <v>1</v>
      </c>
      <c r="L17" s="18">
        <f t="shared" si="2"/>
        <v>2</v>
      </c>
      <c r="M17" s="3"/>
      <c r="N17" s="3"/>
      <c r="O17" s="3"/>
      <c r="P17" s="3"/>
      <c r="Q17" s="3"/>
      <c r="R17" s="3"/>
      <c r="S17" s="3"/>
      <c r="T17" s="3"/>
      <c r="U17" s="3"/>
      <c r="V17" s="3"/>
      <c r="AA17" s="48"/>
      <c r="AF17" s="4"/>
      <c r="AG17" s="4"/>
      <c r="AH17" s="4"/>
      <c r="AI17" s="4"/>
      <c r="AJ17" s="4"/>
    </row>
    <row r="18" ht="15.75" customHeight="1">
      <c r="A18" s="29"/>
      <c r="B18" s="12">
        <v>45623.0</v>
      </c>
      <c r="C18" s="13" t="s">
        <v>56</v>
      </c>
      <c r="D18" s="13" t="s">
        <v>22</v>
      </c>
      <c r="E18" s="79" t="s">
        <v>25</v>
      </c>
      <c r="F18" s="56">
        <v>2.0</v>
      </c>
      <c r="G18" s="69" t="s">
        <v>24</v>
      </c>
      <c r="H18" s="56">
        <v>1.0</v>
      </c>
      <c r="I18" s="14" t="s">
        <v>73</v>
      </c>
      <c r="J18" s="50"/>
      <c r="K18" s="17">
        <f t="shared" si="1"/>
        <v>2</v>
      </c>
      <c r="L18" s="18">
        <f t="shared" si="2"/>
        <v>1</v>
      </c>
      <c r="M18" s="3"/>
      <c r="N18" s="3"/>
      <c r="O18" s="3"/>
      <c r="P18" s="3"/>
      <c r="R18" s="3"/>
      <c r="S18" s="3"/>
      <c r="T18" s="3"/>
      <c r="U18" s="3"/>
      <c r="V18" s="3"/>
      <c r="AF18" s="4"/>
      <c r="AG18" s="4"/>
      <c r="AH18" s="4"/>
      <c r="AI18" s="4"/>
      <c r="AJ18" s="4"/>
    </row>
    <row r="19" ht="15.75" customHeight="1">
      <c r="A19" s="29"/>
      <c r="B19" s="12">
        <v>45623.0</v>
      </c>
      <c r="C19" s="13" t="s">
        <v>57</v>
      </c>
      <c r="D19" s="13" t="s">
        <v>22</v>
      </c>
      <c r="E19" s="79" t="s">
        <v>117</v>
      </c>
      <c r="F19" s="56">
        <v>2.0</v>
      </c>
      <c r="G19" s="69" t="s">
        <v>24</v>
      </c>
      <c r="H19" s="56">
        <v>1.0</v>
      </c>
      <c r="I19" s="14" t="s">
        <v>155</v>
      </c>
      <c r="J19" s="3"/>
      <c r="K19" s="17">
        <f t="shared" si="1"/>
        <v>2</v>
      </c>
      <c r="L19" s="18">
        <f t="shared" si="2"/>
        <v>1</v>
      </c>
      <c r="M19" s="3"/>
      <c r="N19" s="3"/>
      <c r="O19" s="3"/>
      <c r="P19" s="3"/>
      <c r="Q19" s="3"/>
      <c r="R19" s="3"/>
      <c r="S19" s="3"/>
      <c r="T19" s="3"/>
      <c r="U19" s="3"/>
      <c r="V19" s="3"/>
      <c r="AF19" s="4"/>
      <c r="AG19" s="4"/>
      <c r="AH19" s="4"/>
      <c r="AI19" s="4"/>
      <c r="AJ19" s="4"/>
    </row>
    <row r="20" ht="15.75" customHeight="1">
      <c r="A20" s="37"/>
      <c r="B20" s="12">
        <v>45623.0</v>
      </c>
      <c r="C20" s="13" t="s">
        <v>57</v>
      </c>
      <c r="D20" s="13" t="s">
        <v>22</v>
      </c>
      <c r="E20" s="79" t="s">
        <v>69</v>
      </c>
      <c r="F20" s="56">
        <v>0.0</v>
      </c>
      <c r="G20" s="69" t="s">
        <v>24</v>
      </c>
      <c r="H20" s="56">
        <v>2.0</v>
      </c>
      <c r="I20" s="14" t="s">
        <v>43</v>
      </c>
      <c r="J20" s="3"/>
      <c r="K20" s="17">
        <f t="shared" si="1"/>
        <v>0</v>
      </c>
      <c r="L20" s="18">
        <f t="shared" si="2"/>
        <v>3</v>
      </c>
      <c r="M20" s="3"/>
      <c r="N20" s="3"/>
      <c r="O20" s="3"/>
      <c r="P20" s="3"/>
      <c r="Q20" s="3"/>
      <c r="R20" s="3"/>
      <c r="S20" s="3"/>
      <c r="T20" s="3"/>
      <c r="U20" s="3"/>
      <c r="V20" s="3"/>
      <c r="AF20" s="4"/>
      <c r="AG20" s="4"/>
      <c r="AH20" s="4"/>
      <c r="AI20" s="4"/>
      <c r="AJ20" s="4"/>
    </row>
    <row r="21" ht="15.75" customHeight="1">
      <c r="A21" s="106">
        <v>4.0</v>
      </c>
      <c r="B21" s="54">
        <v>45634.0</v>
      </c>
      <c r="C21" s="13" t="s">
        <v>54</v>
      </c>
      <c r="D21" s="13" t="s">
        <v>22</v>
      </c>
      <c r="E21" s="79" t="s">
        <v>37</v>
      </c>
      <c r="F21" s="56">
        <v>2.0</v>
      </c>
      <c r="G21" s="69" t="s">
        <v>24</v>
      </c>
      <c r="H21" s="56">
        <v>0.0</v>
      </c>
      <c r="I21" s="14" t="s">
        <v>69</v>
      </c>
      <c r="J21" s="3"/>
      <c r="K21" s="17">
        <f t="shared" si="1"/>
        <v>3</v>
      </c>
      <c r="L21" s="18">
        <f t="shared" si="2"/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AF21" s="4"/>
      <c r="AG21" s="4"/>
      <c r="AH21" s="4"/>
      <c r="AI21" s="4"/>
      <c r="AJ21" s="4"/>
    </row>
    <row r="22" ht="15.75" customHeight="1">
      <c r="A22" s="29"/>
      <c r="B22" s="12">
        <v>45634.0</v>
      </c>
      <c r="C22" s="13" t="s">
        <v>56</v>
      </c>
      <c r="D22" s="13" t="s">
        <v>22</v>
      </c>
      <c r="E22" s="79" t="s">
        <v>38</v>
      </c>
      <c r="F22" s="56">
        <v>2.0</v>
      </c>
      <c r="G22" s="69" t="s">
        <v>24</v>
      </c>
      <c r="H22" s="56">
        <v>0.0</v>
      </c>
      <c r="I22" s="14" t="s">
        <v>32</v>
      </c>
      <c r="J22" s="3"/>
      <c r="K22" s="17">
        <f t="shared" si="1"/>
        <v>3</v>
      </c>
      <c r="L22" s="18">
        <f t="shared" si="2"/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AF22" s="4"/>
      <c r="AG22" s="4"/>
      <c r="AH22" s="4"/>
      <c r="AI22" s="4"/>
      <c r="AJ22" s="4"/>
    </row>
    <row r="23" ht="15.75" customHeight="1">
      <c r="A23" s="29"/>
      <c r="B23" s="12">
        <v>45634.0</v>
      </c>
      <c r="C23" s="13" t="s">
        <v>56</v>
      </c>
      <c r="D23" s="13" t="s">
        <v>22</v>
      </c>
      <c r="E23" s="79" t="s">
        <v>72</v>
      </c>
      <c r="F23" s="56">
        <v>0.0</v>
      </c>
      <c r="G23" s="69" t="s">
        <v>24</v>
      </c>
      <c r="H23" s="56">
        <v>2.0</v>
      </c>
      <c r="I23" s="14" t="s">
        <v>31</v>
      </c>
      <c r="J23" s="3"/>
      <c r="K23" s="17">
        <f t="shared" si="1"/>
        <v>0</v>
      </c>
      <c r="L23" s="18">
        <f t="shared" si="2"/>
        <v>3</v>
      </c>
      <c r="M23" s="3"/>
      <c r="N23" s="3"/>
      <c r="O23" s="3"/>
      <c r="P23" s="3"/>
      <c r="Q23" s="3"/>
      <c r="R23" s="3"/>
      <c r="S23" s="3"/>
      <c r="T23" s="3"/>
      <c r="U23" s="3"/>
      <c r="V23" s="3"/>
      <c r="AD23" s="4"/>
      <c r="AE23" s="4"/>
      <c r="AF23" s="4"/>
      <c r="AG23" s="4"/>
      <c r="AH23" s="4"/>
      <c r="AI23" s="4"/>
      <c r="AJ23" s="4"/>
    </row>
    <row r="24" ht="15.75" customHeight="1">
      <c r="A24" s="29"/>
      <c r="B24" s="12">
        <v>45634.0</v>
      </c>
      <c r="C24" s="13" t="s">
        <v>57</v>
      </c>
      <c r="D24" s="13" t="s">
        <v>22</v>
      </c>
      <c r="E24" s="79" t="s">
        <v>73</v>
      </c>
      <c r="F24" s="56">
        <v>2.0</v>
      </c>
      <c r="G24" s="69" t="s">
        <v>24</v>
      </c>
      <c r="H24" s="56">
        <v>0.0</v>
      </c>
      <c r="I24" s="14" t="s">
        <v>66</v>
      </c>
      <c r="J24" s="3"/>
      <c r="K24" s="17">
        <f t="shared" si="1"/>
        <v>3</v>
      </c>
      <c r="L24" s="18">
        <f t="shared" si="2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AD24" s="4"/>
      <c r="AE24" s="4"/>
      <c r="AF24" s="4"/>
      <c r="AG24" s="4"/>
      <c r="AH24" s="4"/>
      <c r="AI24" s="4"/>
      <c r="AJ24" s="4"/>
    </row>
    <row r="25" ht="15.75" customHeight="1">
      <c r="A25" s="29"/>
      <c r="B25" s="12">
        <v>45634.0</v>
      </c>
      <c r="C25" s="13" t="s">
        <v>57</v>
      </c>
      <c r="D25" s="13" t="s">
        <v>22</v>
      </c>
      <c r="E25" s="79" t="s">
        <v>155</v>
      </c>
      <c r="F25" s="56">
        <v>0.0</v>
      </c>
      <c r="G25" s="69" t="s">
        <v>24</v>
      </c>
      <c r="H25" s="56">
        <v>2.0</v>
      </c>
      <c r="I25" s="14" t="s">
        <v>25</v>
      </c>
      <c r="J25" s="3"/>
      <c r="K25" s="17">
        <f t="shared" si="1"/>
        <v>0</v>
      </c>
      <c r="L25" s="18">
        <f t="shared" si="2"/>
        <v>3</v>
      </c>
      <c r="M25" s="3"/>
      <c r="N25" s="3"/>
      <c r="O25" s="3"/>
      <c r="P25" s="3"/>
      <c r="Q25" s="3"/>
      <c r="R25" s="3"/>
      <c r="S25" s="3"/>
      <c r="T25" s="3"/>
      <c r="U25" s="3"/>
      <c r="V25" s="3"/>
      <c r="AA25" s="4"/>
      <c r="AB25" s="2"/>
      <c r="AC25" s="4"/>
      <c r="AD25" s="4"/>
      <c r="AE25" s="4"/>
      <c r="AF25" s="4"/>
      <c r="AG25" s="4"/>
      <c r="AH25" s="4"/>
      <c r="AI25" s="4"/>
      <c r="AJ25" s="4"/>
    </row>
    <row r="26" ht="15.75" customHeight="1">
      <c r="A26" s="37"/>
      <c r="B26" s="12">
        <v>45634.0</v>
      </c>
      <c r="C26" s="13" t="s">
        <v>57</v>
      </c>
      <c r="D26" s="13" t="s">
        <v>22</v>
      </c>
      <c r="E26" s="79" t="s">
        <v>43</v>
      </c>
      <c r="F26" s="56">
        <v>1.0</v>
      </c>
      <c r="G26" s="69" t="s">
        <v>24</v>
      </c>
      <c r="H26" s="56">
        <v>2.0</v>
      </c>
      <c r="I26" s="14" t="s">
        <v>117</v>
      </c>
      <c r="J26" s="3"/>
      <c r="K26" s="17">
        <f t="shared" si="1"/>
        <v>1</v>
      </c>
      <c r="L26" s="18">
        <f t="shared" si="2"/>
        <v>2</v>
      </c>
      <c r="M26" s="3"/>
      <c r="N26" s="3"/>
      <c r="O26" s="3"/>
      <c r="P26" s="3"/>
      <c r="Q26" s="3"/>
      <c r="R26" s="3"/>
      <c r="S26" s="3"/>
      <c r="T26" s="3"/>
      <c r="U26" s="3"/>
      <c r="V26" s="3"/>
      <c r="AA26" s="4"/>
      <c r="AB26" s="2"/>
      <c r="AC26" s="4"/>
      <c r="AD26" s="4"/>
      <c r="AE26" s="4"/>
      <c r="AF26" s="4"/>
      <c r="AG26" s="4"/>
      <c r="AH26" s="4"/>
      <c r="AI26" s="4"/>
      <c r="AJ26" s="4"/>
    </row>
    <row r="27" ht="15.75" customHeight="1">
      <c r="A27" s="106">
        <v>5.0</v>
      </c>
      <c r="B27" s="12">
        <v>45707.0</v>
      </c>
      <c r="C27" s="13" t="s">
        <v>130</v>
      </c>
      <c r="D27" s="13" t="s">
        <v>22</v>
      </c>
      <c r="E27" s="79" t="s">
        <v>37</v>
      </c>
      <c r="F27" s="56">
        <v>0.0</v>
      </c>
      <c r="G27" s="69" t="s">
        <v>24</v>
      </c>
      <c r="H27" s="56">
        <v>2.0</v>
      </c>
      <c r="I27" s="14" t="s">
        <v>38</v>
      </c>
      <c r="J27" s="3"/>
      <c r="K27" s="17">
        <f t="shared" si="1"/>
        <v>0</v>
      </c>
      <c r="L27" s="18">
        <f t="shared" si="2"/>
        <v>3</v>
      </c>
      <c r="M27" s="3"/>
      <c r="N27" s="3"/>
      <c r="O27" s="3"/>
      <c r="P27" s="3"/>
      <c r="Q27" s="3"/>
      <c r="R27" s="3"/>
      <c r="S27" s="3"/>
      <c r="T27" s="3"/>
      <c r="U27" s="3"/>
      <c r="V27" s="3"/>
      <c r="AA27" s="4"/>
      <c r="AB27" s="2"/>
      <c r="AC27" s="4"/>
      <c r="AD27" s="4"/>
      <c r="AE27" s="4"/>
      <c r="AF27" s="4"/>
      <c r="AG27" s="4"/>
      <c r="AH27" s="4"/>
      <c r="AI27" s="4"/>
      <c r="AJ27" s="4"/>
    </row>
    <row r="28" ht="15.75" customHeight="1">
      <c r="A28" s="29"/>
      <c r="B28" s="12">
        <v>45707.0</v>
      </c>
      <c r="C28" s="13" t="s">
        <v>130</v>
      </c>
      <c r="D28" s="13" t="s">
        <v>22</v>
      </c>
      <c r="E28" s="79" t="s">
        <v>32</v>
      </c>
      <c r="F28" s="56">
        <v>0.0</v>
      </c>
      <c r="G28" s="69" t="s">
        <v>24</v>
      </c>
      <c r="H28" s="56">
        <v>2.0</v>
      </c>
      <c r="I28" s="14" t="s">
        <v>72</v>
      </c>
      <c r="J28" s="3"/>
      <c r="K28" s="17">
        <f t="shared" si="1"/>
        <v>0</v>
      </c>
      <c r="L28" s="18">
        <f t="shared" si="2"/>
        <v>3</v>
      </c>
      <c r="M28" s="3"/>
      <c r="N28" s="3"/>
      <c r="O28" s="3"/>
      <c r="P28" s="3"/>
      <c r="Q28" s="3"/>
      <c r="R28" s="3"/>
      <c r="S28" s="3"/>
      <c r="T28" s="3"/>
      <c r="U28" s="3"/>
      <c r="V28" s="3"/>
      <c r="AA28" s="4"/>
      <c r="AB28" s="2"/>
      <c r="AC28" s="4"/>
      <c r="AD28" s="4"/>
      <c r="AE28" s="4"/>
      <c r="AF28" s="4"/>
      <c r="AG28" s="4"/>
      <c r="AH28" s="4"/>
      <c r="AI28" s="4"/>
      <c r="AJ28" s="4"/>
    </row>
    <row r="29" ht="15.75" customHeight="1">
      <c r="A29" s="29"/>
      <c r="B29" s="12">
        <v>45707.0</v>
      </c>
      <c r="C29" s="13" t="s">
        <v>130</v>
      </c>
      <c r="D29" s="13" t="s">
        <v>22</v>
      </c>
      <c r="E29" s="79" t="s">
        <v>31</v>
      </c>
      <c r="F29" s="56">
        <v>2.0</v>
      </c>
      <c r="G29" s="69" t="s">
        <v>24</v>
      </c>
      <c r="H29" s="56">
        <v>0.0</v>
      </c>
      <c r="I29" s="14" t="s">
        <v>73</v>
      </c>
      <c r="J29" s="3"/>
      <c r="K29" s="17">
        <f t="shared" si="1"/>
        <v>3</v>
      </c>
      <c r="L29" s="18">
        <f t="shared" si="2"/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AA29" s="4"/>
      <c r="AB29" s="2"/>
      <c r="AC29" s="4"/>
      <c r="AD29" s="4"/>
      <c r="AE29" s="4"/>
      <c r="AF29" s="4"/>
      <c r="AG29" s="4"/>
      <c r="AH29" s="4"/>
      <c r="AI29" s="4"/>
      <c r="AJ29" s="4"/>
    </row>
    <row r="30" ht="15.75" customHeight="1">
      <c r="A30" s="29"/>
      <c r="B30" s="12">
        <v>45707.0</v>
      </c>
      <c r="C30" s="13" t="s">
        <v>75</v>
      </c>
      <c r="D30" s="13" t="s">
        <v>22</v>
      </c>
      <c r="E30" s="79" t="s">
        <v>66</v>
      </c>
      <c r="F30" s="56">
        <v>0.0</v>
      </c>
      <c r="G30" s="69" t="s">
        <v>24</v>
      </c>
      <c r="H30" s="56">
        <v>2.0</v>
      </c>
      <c r="I30" s="14" t="s">
        <v>155</v>
      </c>
      <c r="J30" s="3"/>
      <c r="K30" s="17">
        <f t="shared" si="1"/>
        <v>0</v>
      </c>
      <c r="L30" s="18">
        <f t="shared" si="2"/>
        <v>3</v>
      </c>
      <c r="M30" s="3"/>
      <c r="N30" s="3"/>
      <c r="O30" s="3"/>
      <c r="P30" s="3"/>
      <c r="Q30" s="3"/>
      <c r="R30" s="3"/>
      <c r="S30" s="3"/>
      <c r="T30" s="3"/>
      <c r="U30" s="3"/>
      <c r="V30" s="3"/>
      <c r="AA30" s="4"/>
      <c r="AB30" s="2"/>
      <c r="AC30" s="4"/>
      <c r="AD30" s="4"/>
      <c r="AE30" s="4"/>
      <c r="AF30" s="4"/>
      <c r="AG30" s="4"/>
      <c r="AH30" s="4"/>
      <c r="AI30" s="4"/>
      <c r="AJ30" s="4"/>
    </row>
    <row r="31" ht="15.75" customHeight="1">
      <c r="A31" s="29"/>
      <c r="B31" s="12">
        <v>45707.0</v>
      </c>
      <c r="C31" s="13" t="s">
        <v>75</v>
      </c>
      <c r="D31" s="13" t="s">
        <v>22</v>
      </c>
      <c r="E31" s="79" t="s">
        <v>25</v>
      </c>
      <c r="F31" s="56">
        <v>2.0</v>
      </c>
      <c r="G31" s="69" t="s">
        <v>24</v>
      </c>
      <c r="H31" s="56">
        <v>0.0</v>
      </c>
      <c r="I31" s="14" t="s">
        <v>43</v>
      </c>
      <c r="J31" s="3"/>
      <c r="K31" s="17">
        <f t="shared" si="1"/>
        <v>3</v>
      </c>
      <c r="L31" s="18">
        <f t="shared" si="2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AA31" s="4"/>
      <c r="AB31" s="2"/>
      <c r="AC31" s="4"/>
      <c r="AD31" s="4"/>
      <c r="AE31" s="4"/>
      <c r="AF31" s="4"/>
      <c r="AG31" s="4"/>
      <c r="AH31" s="4"/>
      <c r="AI31" s="4"/>
      <c r="AJ31" s="4"/>
    </row>
    <row r="32" ht="15.75" customHeight="1">
      <c r="A32" s="37"/>
      <c r="B32" s="12">
        <v>45707.0</v>
      </c>
      <c r="C32" s="13" t="s">
        <v>75</v>
      </c>
      <c r="D32" s="13" t="s">
        <v>22</v>
      </c>
      <c r="E32" s="79" t="s">
        <v>69</v>
      </c>
      <c r="F32" s="56">
        <v>0.0</v>
      </c>
      <c r="G32" s="69" t="s">
        <v>24</v>
      </c>
      <c r="H32" s="56">
        <v>2.0</v>
      </c>
      <c r="I32" s="14" t="s">
        <v>117</v>
      </c>
      <c r="J32" s="3"/>
      <c r="K32" s="17">
        <f t="shared" si="1"/>
        <v>0</v>
      </c>
      <c r="L32" s="18">
        <f t="shared" si="2"/>
        <v>3</v>
      </c>
      <c r="M32" s="3"/>
      <c r="N32" s="3"/>
      <c r="O32" s="3"/>
      <c r="P32" s="3"/>
      <c r="Q32" s="3"/>
      <c r="R32" s="3"/>
      <c r="S32" s="3"/>
      <c r="T32" s="3"/>
      <c r="U32" s="3"/>
      <c r="V32" s="3"/>
      <c r="AA32" s="4"/>
      <c r="AB32" s="2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106">
        <v>6.0</v>
      </c>
      <c r="B33" s="12">
        <v>45727.0</v>
      </c>
      <c r="C33" s="200" t="s">
        <v>36</v>
      </c>
      <c r="D33" s="13" t="s">
        <v>22</v>
      </c>
      <c r="E33" s="79" t="s">
        <v>38</v>
      </c>
      <c r="F33" s="56">
        <v>2.0</v>
      </c>
      <c r="G33" s="69" t="s">
        <v>24</v>
      </c>
      <c r="H33" s="56">
        <v>0.0</v>
      </c>
      <c r="I33" s="14" t="s">
        <v>69</v>
      </c>
      <c r="J33" s="3"/>
      <c r="K33" s="17">
        <f t="shared" si="1"/>
        <v>3</v>
      </c>
      <c r="L33" s="18">
        <f t="shared" si="2"/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AA33" s="4"/>
      <c r="AB33" s="2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29"/>
      <c r="B34" s="12">
        <v>45727.0</v>
      </c>
      <c r="C34" s="200" t="s">
        <v>36</v>
      </c>
      <c r="D34" s="13" t="s">
        <v>22</v>
      </c>
      <c r="E34" s="79" t="s">
        <v>72</v>
      </c>
      <c r="F34" s="56">
        <v>0.0</v>
      </c>
      <c r="G34" s="69" t="s">
        <v>24</v>
      </c>
      <c r="H34" s="56">
        <v>2.0</v>
      </c>
      <c r="I34" s="14" t="s">
        <v>37</v>
      </c>
      <c r="J34" s="3"/>
      <c r="K34" s="17">
        <f t="shared" si="1"/>
        <v>0</v>
      </c>
      <c r="L34" s="18">
        <f t="shared" si="2"/>
        <v>3</v>
      </c>
      <c r="M34" s="3"/>
      <c r="N34" s="3"/>
      <c r="O34" s="3"/>
      <c r="P34" s="3"/>
      <c r="Q34" s="3"/>
      <c r="R34" s="3"/>
      <c r="S34" s="3"/>
      <c r="T34" s="3"/>
      <c r="U34" s="3"/>
      <c r="V34" s="3"/>
      <c r="AA34" s="4"/>
      <c r="AB34" s="2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29"/>
      <c r="B35" s="12">
        <v>45727.0</v>
      </c>
      <c r="C35" s="200" t="s">
        <v>36</v>
      </c>
      <c r="D35" s="13" t="s">
        <v>22</v>
      </c>
      <c r="E35" s="79" t="s">
        <v>73</v>
      </c>
      <c r="F35" s="56">
        <v>2.0</v>
      </c>
      <c r="G35" s="69" t="s">
        <v>24</v>
      </c>
      <c r="H35" s="56">
        <v>0.0</v>
      </c>
      <c r="I35" s="14" t="s">
        <v>32</v>
      </c>
      <c r="J35" s="3"/>
      <c r="K35" s="17">
        <f t="shared" si="1"/>
        <v>3</v>
      </c>
      <c r="L35" s="18">
        <f t="shared" si="2"/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AA35" s="4"/>
      <c r="AB35" s="2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29"/>
      <c r="B36" s="12">
        <v>45727.0</v>
      </c>
      <c r="C36" s="200" t="s">
        <v>41</v>
      </c>
      <c r="D36" s="13" t="s">
        <v>22</v>
      </c>
      <c r="E36" s="79" t="s">
        <v>155</v>
      </c>
      <c r="F36" s="56">
        <v>0.0</v>
      </c>
      <c r="G36" s="69" t="s">
        <v>24</v>
      </c>
      <c r="H36" s="56">
        <v>2.0</v>
      </c>
      <c r="I36" s="14" t="s">
        <v>31</v>
      </c>
      <c r="J36" s="3"/>
      <c r="K36" s="17">
        <f t="shared" si="1"/>
        <v>0</v>
      </c>
      <c r="L36" s="18">
        <f t="shared" si="2"/>
        <v>3</v>
      </c>
      <c r="M36" s="3"/>
      <c r="N36" s="3"/>
      <c r="O36" s="3"/>
      <c r="P36" s="3"/>
      <c r="Q36" s="3"/>
      <c r="R36" s="3"/>
      <c r="S36" s="3"/>
      <c r="T36" s="3"/>
      <c r="U36" s="3"/>
      <c r="V36" s="3"/>
      <c r="AA36" s="4"/>
      <c r="AB36" s="2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29"/>
      <c r="B37" s="12">
        <v>45727.0</v>
      </c>
      <c r="C37" s="200" t="s">
        <v>41</v>
      </c>
      <c r="D37" s="13" t="s">
        <v>22</v>
      </c>
      <c r="E37" s="79" t="s">
        <v>43</v>
      </c>
      <c r="F37" s="56">
        <v>1.0</v>
      </c>
      <c r="G37" s="69" t="s">
        <v>24</v>
      </c>
      <c r="H37" s="56">
        <v>2.0</v>
      </c>
      <c r="I37" s="14" t="s">
        <v>66</v>
      </c>
      <c r="J37" s="3"/>
      <c r="K37" s="17">
        <f t="shared" si="1"/>
        <v>1</v>
      </c>
      <c r="L37" s="18">
        <f t="shared" si="2"/>
        <v>2</v>
      </c>
      <c r="M37" s="3"/>
      <c r="N37" s="3"/>
      <c r="O37" s="3"/>
      <c r="P37" s="3"/>
      <c r="Q37" s="3"/>
      <c r="R37" s="3"/>
      <c r="S37" s="3"/>
      <c r="T37" s="3"/>
      <c r="U37" s="3"/>
      <c r="V37" s="3"/>
      <c r="AA37" s="4"/>
      <c r="AB37" s="2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37"/>
      <c r="B38" s="12">
        <v>45727.0</v>
      </c>
      <c r="C38" s="200" t="s">
        <v>41</v>
      </c>
      <c r="D38" s="13" t="s">
        <v>22</v>
      </c>
      <c r="E38" s="79" t="s">
        <v>117</v>
      </c>
      <c r="F38" s="56">
        <v>0.0</v>
      </c>
      <c r="G38" s="69" t="s">
        <v>24</v>
      </c>
      <c r="H38" s="56">
        <v>2.0</v>
      </c>
      <c r="I38" s="14" t="s">
        <v>25</v>
      </c>
      <c r="J38" s="3"/>
      <c r="K38" s="17">
        <f t="shared" si="1"/>
        <v>0</v>
      </c>
      <c r="L38" s="18">
        <f t="shared" si="2"/>
        <v>3</v>
      </c>
      <c r="M38" s="3"/>
      <c r="N38" s="3"/>
      <c r="O38" s="3"/>
      <c r="P38" s="3"/>
      <c r="Q38" s="3"/>
      <c r="R38" s="3"/>
      <c r="S38" s="3"/>
      <c r="T38" s="3"/>
      <c r="U38" s="3"/>
      <c r="V38" s="3"/>
      <c r="AA38" s="4"/>
      <c r="AB38" s="2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106">
        <v>7.0</v>
      </c>
      <c r="B39" s="12">
        <v>45747.0</v>
      </c>
      <c r="C39" s="13" t="s">
        <v>21</v>
      </c>
      <c r="D39" s="13" t="s">
        <v>22</v>
      </c>
      <c r="E39" s="79" t="s">
        <v>38</v>
      </c>
      <c r="F39" s="56">
        <v>2.0</v>
      </c>
      <c r="G39" s="69" t="s">
        <v>24</v>
      </c>
      <c r="H39" s="56">
        <v>0.0</v>
      </c>
      <c r="I39" s="14" t="s">
        <v>72</v>
      </c>
      <c r="J39" s="3"/>
      <c r="K39" s="17">
        <f t="shared" si="1"/>
        <v>3</v>
      </c>
      <c r="L39" s="18">
        <f t="shared" si="2"/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AA39" s="4"/>
      <c r="AB39" s="2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29"/>
      <c r="B40" s="12">
        <v>45747.0</v>
      </c>
      <c r="C40" s="13" t="s">
        <v>21</v>
      </c>
      <c r="D40" s="13" t="s">
        <v>22</v>
      </c>
      <c r="E40" s="79" t="s">
        <v>37</v>
      </c>
      <c r="F40" s="56">
        <v>0.0</v>
      </c>
      <c r="G40" s="69" t="s">
        <v>24</v>
      </c>
      <c r="H40" s="56">
        <v>2.0</v>
      </c>
      <c r="I40" s="14" t="s">
        <v>73</v>
      </c>
      <c r="J40" s="3"/>
      <c r="K40" s="17">
        <f t="shared" si="1"/>
        <v>0</v>
      </c>
      <c r="L40" s="18">
        <f t="shared" si="2"/>
        <v>3</v>
      </c>
      <c r="M40" s="3"/>
      <c r="N40" s="3"/>
      <c r="O40" s="3"/>
      <c r="P40" s="3"/>
      <c r="Q40" s="3"/>
      <c r="R40" s="3"/>
      <c r="S40" s="3"/>
      <c r="T40" s="3"/>
      <c r="U40" s="3"/>
      <c r="V40" s="3"/>
      <c r="AA40" s="4"/>
      <c r="AB40" s="2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29"/>
      <c r="B41" s="12">
        <v>45747.0</v>
      </c>
      <c r="C41" s="13" t="s">
        <v>21</v>
      </c>
      <c r="D41" s="49" t="s">
        <v>22</v>
      </c>
      <c r="E41" s="187" t="s">
        <v>32</v>
      </c>
      <c r="F41" s="56">
        <v>0.0</v>
      </c>
      <c r="G41" s="69" t="s">
        <v>24</v>
      </c>
      <c r="H41" s="56">
        <v>2.0</v>
      </c>
      <c r="I41" s="107" t="s">
        <v>155</v>
      </c>
      <c r="J41" s="3"/>
      <c r="K41" s="17">
        <f t="shared" si="1"/>
        <v>0</v>
      </c>
      <c r="L41" s="18">
        <f t="shared" si="2"/>
        <v>3</v>
      </c>
      <c r="M41" s="3"/>
      <c r="N41" s="3"/>
      <c r="O41" s="3"/>
      <c r="P41" s="3"/>
      <c r="Q41" s="3"/>
      <c r="R41" s="3"/>
      <c r="S41" s="3"/>
      <c r="T41" s="3"/>
      <c r="U41" s="3"/>
      <c r="V41" s="3"/>
      <c r="AA41" s="4"/>
      <c r="AB41" s="2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29"/>
      <c r="B42" s="12">
        <v>45747.0</v>
      </c>
      <c r="C42" s="13" t="s">
        <v>30</v>
      </c>
      <c r="D42" s="13" t="s">
        <v>22</v>
      </c>
      <c r="E42" s="79" t="s">
        <v>31</v>
      </c>
      <c r="F42" s="56">
        <v>2.0</v>
      </c>
      <c r="G42" s="69" t="s">
        <v>24</v>
      </c>
      <c r="H42" s="56">
        <v>0.0</v>
      </c>
      <c r="I42" s="14" t="s">
        <v>43</v>
      </c>
      <c r="J42" s="3"/>
      <c r="K42" s="17">
        <f t="shared" si="1"/>
        <v>3</v>
      </c>
      <c r="L42" s="18">
        <f t="shared" si="2"/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AA42" s="4"/>
      <c r="AB42" s="2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29"/>
      <c r="B43" s="12">
        <v>45747.0</v>
      </c>
      <c r="C43" s="13" t="s">
        <v>30</v>
      </c>
      <c r="D43" s="13" t="s">
        <v>22</v>
      </c>
      <c r="E43" s="79" t="s">
        <v>66</v>
      </c>
      <c r="F43" s="56">
        <v>1.0</v>
      </c>
      <c r="G43" s="69" t="s">
        <v>24</v>
      </c>
      <c r="H43" s="56">
        <v>2.0</v>
      </c>
      <c r="I43" s="14" t="s">
        <v>117</v>
      </c>
      <c r="J43" s="3"/>
      <c r="K43" s="17">
        <f t="shared" si="1"/>
        <v>1</v>
      </c>
      <c r="L43" s="18">
        <f t="shared" si="2"/>
        <v>2</v>
      </c>
      <c r="M43" s="3"/>
      <c r="N43" s="3"/>
      <c r="O43" s="3"/>
      <c r="P43" s="3"/>
      <c r="Q43" s="3"/>
      <c r="R43" s="3"/>
      <c r="S43" s="3"/>
      <c r="T43" s="3"/>
      <c r="U43" s="3"/>
      <c r="V43" s="3"/>
      <c r="AA43" s="4"/>
      <c r="AB43" s="2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37"/>
      <c r="B44" s="12">
        <v>45747.0</v>
      </c>
      <c r="C44" s="13" t="s">
        <v>30</v>
      </c>
      <c r="D44" s="13" t="s">
        <v>22</v>
      </c>
      <c r="E44" s="79" t="s">
        <v>69</v>
      </c>
      <c r="F44" s="56">
        <v>0.0</v>
      </c>
      <c r="G44" s="69" t="s">
        <v>24</v>
      </c>
      <c r="H44" s="56">
        <v>2.0</v>
      </c>
      <c r="I44" s="14" t="s">
        <v>25</v>
      </c>
      <c r="J44" s="3"/>
      <c r="K44" s="17">
        <f t="shared" si="1"/>
        <v>0</v>
      </c>
      <c r="L44" s="18">
        <f t="shared" si="2"/>
        <v>3</v>
      </c>
      <c r="M44" s="3"/>
      <c r="N44" s="3"/>
      <c r="O44" s="3"/>
      <c r="P44" s="3"/>
      <c r="Q44" s="3"/>
      <c r="R44" s="3"/>
      <c r="S44" s="3"/>
      <c r="T44" s="3"/>
      <c r="U44" s="3"/>
      <c r="V44" s="3"/>
      <c r="AA44" s="4"/>
      <c r="AB44" s="2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106">
        <v>8.0</v>
      </c>
      <c r="B45" s="12">
        <v>45747.0</v>
      </c>
      <c r="C45" s="200" t="s">
        <v>36</v>
      </c>
      <c r="D45" s="13" t="s">
        <v>22</v>
      </c>
      <c r="E45" s="79" t="s">
        <v>72</v>
      </c>
      <c r="F45" s="56">
        <v>0.0</v>
      </c>
      <c r="G45" s="69" t="s">
        <v>24</v>
      </c>
      <c r="H45" s="56">
        <v>2.0</v>
      </c>
      <c r="I45" s="14" t="s">
        <v>69</v>
      </c>
      <c r="J45" s="3"/>
      <c r="K45" s="17">
        <f t="shared" si="1"/>
        <v>0</v>
      </c>
      <c r="L45" s="18">
        <f t="shared" si="2"/>
        <v>3</v>
      </c>
      <c r="M45" s="3"/>
      <c r="N45" s="3"/>
      <c r="O45" s="3"/>
      <c r="P45" s="3"/>
      <c r="Q45" s="3"/>
      <c r="R45" s="3"/>
      <c r="S45" s="3"/>
      <c r="T45" s="3"/>
      <c r="U45" s="3"/>
      <c r="V45" s="3"/>
      <c r="AA45" s="4"/>
      <c r="AB45" s="2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29"/>
      <c r="B46" s="54">
        <v>45747.0</v>
      </c>
      <c r="C46" s="200" t="s">
        <v>36</v>
      </c>
      <c r="D46" s="13" t="s">
        <v>22</v>
      </c>
      <c r="E46" s="79" t="s">
        <v>73</v>
      </c>
      <c r="F46" s="56">
        <v>2.0</v>
      </c>
      <c r="G46" s="69" t="s">
        <v>24</v>
      </c>
      <c r="H46" s="56">
        <v>1.0</v>
      </c>
      <c r="I46" s="14" t="s">
        <v>38</v>
      </c>
      <c r="J46" s="3"/>
      <c r="K46" s="17">
        <f t="shared" si="1"/>
        <v>2</v>
      </c>
      <c r="L46" s="18">
        <f t="shared" si="2"/>
        <v>1</v>
      </c>
      <c r="M46" s="3"/>
      <c r="N46" s="3"/>
      <c r="O46" s="3"/>
      <c r="P46" s="3"/>
      <c r="Q46" s="3"/>
      <c r="R46" s="3"/>
      <c r="S46" s="3"/>
      <c r="T46" s="3"/>
      <c r="U46" s="3"/>
      <c r="V46" s="3"/>
      <c r="AA46" s="4"/>
      <c r="AB46" s="2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29"/>
      <c r="B47" s="54">
        <v>45747.0</v>
      </c>
      <c r="C47" s="200" t="s">
        <v>36</v>
      </c>
      <c r="D47" s="13" t="s">
        <v>22</v>
      </c>
      <c r="E47" s="79" t="s">
        <v>155</v>
      </c>
      <c r="F47" s="56">
        <v>2.0</v>
      </c>
      <c r="G47" s="69" t="s">
        <v>24</v>
      </c>
      <c r="H47" s="56">
        <v>0.0</v>
      </c>
      <c r="I47" s="14" t="s">
        <v>37</v>
      </c>
      <c r="J47" s="3"/>
      <c r="K47" s="17">
        <f t="shared" si="1"/>
        <v>3</v>
      </c>
      <c r="L47" s="18">
        <f t="shared" si="2"/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AA47" s="4"/>
      <c r="AB47" s="2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29"/>
      <c r="B48" s="54">
        <v>45747.0</v>
      </c>
      <c r="C48" s="200" t="s">
        <v>41</v>
      </c>
      <c r="D48" s="13" t="s">
        <v>22</v>
      </c>
      <c r="E48" s="187" t="s">
        <v>43</v>
      </c>
      <c r="F48" s="56">
        <v>1.0</v>
      </c>
      <c r="G48" s="69" t="s">
        <v>24</v>
      </c>
      <c r="H48" s="56">
        <v>2.0</v>
      </c>
      <c r="I48" s="107" t="s">
        <v>32</v>
      </c>
      <c r="K48" s="17">
        <f t="shared" si="1"/>
        <v>1</v>
      </c>
      <c r="L48" s="18">
        <f t="shared" si="2"/>
        <v>2</v>
      </c>
      <c r="AA48" s="4"/>
      <c r="AB48" s="2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29"/>
      <c r="B49" s="54">
        <v>45747.0</v>
      </c>
      <c r="C49" s="200" t="s">
        <v>41</v>
      </c>
      <c r="D49" s="13" t="s">
        <v>22</v>
      </c>
      <c r="E49" s="187" t="s">
        <v>117</v>
      </c>
      <c r="F49" s="56">
        <v>0.0</v>
      </c>
      <c r="G49" s="69" t="s">
        <v>24</v>
      </c>
      <c r="H49" s="56">
        <v>2.0</v>
      </c>
      <c r="I49" s="107" t="s">
        <v>31</v>
      </c>
      <c r="K49" s="17">
        <f t="shared" si="1"/>
        <v>0</v>
      </c>
      <c r="L49" s="18">
        <f t="shared" si="2"/>
        <v>3</v>
      </c>
      <c r="AA49" s="4"/>
      <c r="AB49" s="2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37"/>
      <c r="B50" s="54">
        <v>45747.0</v>
      </c>
      <c r="C50" s="200" t="s">
        <v>41</v>
      </c>
      <c r="D50" s="13" t="s">
        <v>22</v>
      </c>
      <c r="E50" s="79" t="s">
        <v>25</v>
      </c>
      <c r="F50" s="56">
        <v>2.0</v>
      </c>
      <c r="G50" s="69" t="s">
        <v>24</v>
      </c>
      <c r="H50" s="56">
        <v>0.0</v>
      </c>
      <c r="I50" s="14" t="s">
        <v>66</v>
      </c>
      <c r="K50" s="17">
        <f t="shared" si="1"/>
        <v>3</v>
      </c>
      <c r="L50" s="18">
        <f t="shared" si="2"/>
        <v>0</v>
      </c>
      <c r="AA50" s="4"/>
      <c r="AB50" s="2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106">
        <v>9.0</v>
      </c>
      <c r="B51" s="12">
        <v>45760.0</v>
      </c>
      <c r="C51" s="200" t="s">
        <v>56</v>
      </c>
      <c r="D51" s="13" t="s">
        <v>22</v>
      </c>
      <c r="E51" s="79" t="s">
        <v>72</v>
      </c>
      <c r="F51" s="13">
        <v>1.0</v>
      </c>
      <c r="G51" s="69" t="s">
        <v>24</v>
      </c>
      <c r="H51" s="56">
        <v>2.0</v>
      </c>
      <c r="I51" s="14" t="s">
        <v>73</v>
      </c>
      <c r="K51" s="17">
        <f t="shared" si="1"/>
        <v>1</v>
      </c>
      <c r="L51" s="18">
        <f t="shared" si="2"/>
        <v>2</v>
      </c>
      <c r="AA51" s="4"/>
      <c r="AB51" s="2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29"/>
      <c r="B52" s="12">
        <v>45760.0</v>
      </c>
      <c r="C52" s="200" t="s">
        <v>56</v>
      </c>
      <c r="D52" s="13" t="s">
        <v>22</v>
      </c>
      <c r="E52" s="79" t="s">
        <v>38</v>
      </c>
      <c r="F52" s="13">
        <v>2.0</v>
      </c>
      <c r="G52" s="69" t="s">
        <v>24</v>
      </c>
      <c r="H52" s="56">
        <v>0.0</v>
      </c>
      <c r="I52" s="14" t="s">
        <v>155</v>
      </c>
      <c r="K52" s="17">
        <f t="shared" si="1"/>
        <v>3</v>
      </c>
      <c r="L52" s="18">
        <f t="shared" si="2"/>
        <v>0</v>
      </c>
      <c r="AA52" s="4"/>
      <c r="AB52" s="2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29"/>
      <c r="B53" s="12">
        <v>45760.0</v>
      </c>
      <c r="C53" s="200" t="s">
        <v>56</v>
      </c>
      <c r="D53" s="13" t="s">
        <v>22</v>
      </c>
      <c r="E53" s="79" t="s">
        <v>37</v>
      </c>
      <c r="F53" s="13">
        <v>2.0</v>
      </c>
      <c r="G53" s="69" t="s">
        <v>24</v>
      </c>
      <c r="H53" s="56">
        <v>0.0</v>
      </c>
      <c r="I53" s="14" t="s">
        <v>43</v>
      </c>
      <c r="K53" s="17">
        <f t="shared" si="1"/>
        <v>3</v>
      </c>
      <c r="L53" s="18">
        <f t="shared" si="2"/>
        <v>0</v>
      </c>
      <c r="AA53" s="4"/>
      <c r="AB53" s="2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29"/>
      <c r="B54" s="12">
        <v>45760.0</v>
      </c>
      <c r="C54" s="200" t="s">
        <v>57</v>
      </c>
      <c r="D54" s="13" t="s">
        <v>22</v>
      </c>
      <c r="E54" s="79" t="s">
        <v>32</v>
      </c>
      <c r="F54" s="13">
        <v>0.0</v>
      </c>
      <c r="G54" s="69" t="s">
        <v>24</v>
      </c>
      <c r="H54" s="56">
        <v>2.0</v>
      </c>
      <c r="I54" s="14" t="s">
        <v>117</v>
      </c>
      <c r="K54" s="17">
        <f t="shared" si="1"/>
        <v>0</v>
      </c>
      <c r="L54" s="18">
        <f t="shared" si="2"/>
        <v>3</v>
      </c>
      <c r="AA54" s="4"/>
      <c r="AB54" s="2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29"/>
      <c r="B55" s="12">
        <v>45760.0</v>
      </c>
      <c r="C55" s="200" t="s">
        <v>57</v>
      </c>
      <c r="D55" s="13" t="s">
        <v>22</v>
      </c>
      <c r="E55" s="79" t="s">
        <v>31</v>
      </c>
      <c r="F55" s="13">
        <v>2.0</v>
      </c>
      <c r="G55" s="69" t="s">
        <v>24</v>
      </c>
      <c r="H55" s="56">
        <v>1.0</v>
      </c>
      <c r="I55" s="14" t="s">
        <v>25</v>
      </c>
      <c r="K55" s="17">
        <f t="shared" si="1"/>
        <v>2</v>
      </c>
      <c r="L55" s="18">
        <f t="shared" si="2"/>
        <v>1</v>
      </c>
      <c r="AA55" s="4"/>
      <c r="AB55" s="2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37"/>
      <c r="B56" s="12">
        <v>45760.0</v>
      </c>
      <c r="C56" s="200" t="s">
        <v>57</v>
      </c>
      <c r="D56" s="13" t="s">
        <v>22</v>
      </c>
      <c r="E56" s="79" t="s">
        <v>69</v>
      </c>
      <c r="F56" s="13">
        <v>0.0</v>
      </c>
      <c r="G56" s="69" t="s">
        <v>24</v>
      </c>
      <c r="H56" s="56">
        <v>2.0</v>
      </c>
      <c r="I56" s="14" t="s">
        <v>66</v>
      </c>
      <c r="K56" s="17">
        <f t="shared" si="1"/>
        <v>0</v>
      </c>
      <c r="L56" s="18">
        <f t="shared" si="2"/>
        <v>3</v>
      </c>
      <c r="AA56" s="4"/>
      <c r="AB56" s="2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106">
        <v>10.0</v>
      </c>
      <c r="B57" s="54">
        <v>45785.0</v>
      </c>
      <c r="C57" s="13" t="s">
        <v>21</v>
      </c>
      <c r="D57" s="13" t="s">
        <v>22</v>
      </c>
      <c r="E57" s="79" t="s">
        <v>69</v>
      </c>
      <c r="F57" s="56">
        <v>0.0</v>
      </c>
      <c r="G57" s="69" t="s">
        <v>24</v>
      </c>
      <c r="H57" s="56">
        <v>2.0</v>
      </c>
      <c r="I57" s="14" t="s">
        <v>73</v>
      </c>
      <c r="K57" s="17">
        <f t="shared" si="1"/>
        <v>0</v>
      </c>
      <c r="L57" s="18">
        <f t="shared" si="2"/>
        <v>3</v>
      </c>
      <c r="AA57" s="4"/>
      <c r="AB57" s="2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29"/>
      <c r="B58" s="12">
        <v>45785.0</v>
      </c>
      <c r="C58" s="13" t="s">
        <v>21</v>
      </c>
      <c r="D58" s="13" t="s">
        <v>22</v>
      </c>
      <c r="E58" s="79" t="s">
        <v>155</v>
      </c>
      <c r="F58" s="56">
        <v>2.0</v>
      </c>
      <c r="G58" s="69" t="s">
        <v>24</v>
      </c>
      <c r="H58" s="56">
        <v>0.0</v>
      </c>
      <c r="I58" s="14" t="s">
        <v>72</v>
      </c>
      <c r="K58" s="17">
        <f t="shared" si="1"/>
        <v>3</v>
      </c>
      <c r="L58" s="18">
        <f t="shared" si="2"/>
        <v>0</v>
      </c>
      <c r="AA58" s="4"/>
      <c r="AB58" s="2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29"/>
      <c r="B59" s="12">
        <v>45785.0</v>
      </c>
      <c r="C59" s="13" t="s">
        <v>21</v>
      </c>
      <c r="D59" s="13" t="s">
        <v>22</v>
      </c>
      <c r="E59" s="79" t="s">
        <v>43</v>
      </c>
      <c r="F59" s="56">
        <v>0.0</v>
      </c>
      <c r="G59" s="69" t="s">
        <v>24</v>
      </c>
      <c r="H59" s="56">
        <v>2.0</v>
      </c>
      <c r="I59" s="14" t="s">
        <v>38</v>
      </c>
      <c r="K59" s="17">
        <f t="shared" si="1"/>
        <v>0</v>
      </c>
      <c r="L59" s="18">
        <f t="shared" si="2"/>
        <v>3</v>
      </c>
      <c r="AA59" s="4"/>
      <c r="AB59" s="2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29"/>
      <c r="B60" s="12">
        <v>45785.0</v>
      </c>
      <c r="C60" s="13" t="s">
        <v>30</v>
      </c>
      <c r="D60" s="13" t="s">
        <v>22</v>
      </c>
      <c r="E60" s="79" t="s">
        <v>117</v>
      </c>
      <c r="F60" s="56">
        <v>2.0</v>
      </c>
      <c r="G60" s="69" t="s">
        <v>24</v>
      </c>
      <c r="H60" s="56">
        <v>1.0</v>
      </c>
      <c r="I60" s="14" t="s">
        <v>37</v>
      </c>
      <c r="K60" s="17">
        <f t="shared" si="1"/>
        <v>2</v>
      </c>
      <c r="L60" s="18">
        <f t="shared" si="2"/>
        <v>1</v>
      </c>
      <c r="AA60" s="4"/>
      <c r="AB60" s="2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29"/>
      <c r="B61" s="12">
        <v>45785.0</v>
      </c>
      <c r="C61" s="13" t="s">
        <v>30</v>
      </c>
      <c r="D61" s="13" t="s">
        <v>22</v>
      </c>
      <c r="E61" s="79" t="s">
        <v>25</v>
      </c>
      <c r="F61" s="56">
        <v>2.0</v>
      </c>
      <c r="G61" s="69" t="s">
        <v>24</v>
      </c>
      <c r="H61" s="56">
        <v>0.0</v>
      </c>
      <c r="I61" s="14" t="s">
        <v>32</v>
      </c>
      <c r="K61" s="17">
        <f t="shared" si="1"/>
        <v>3</v>
      </c>
      <c r="L61" s="18">
        <f t="shared" si="2"/>
        <v>0</v>
      </c>
      <c r="AA61" s="4"/>
      <c r="AB61" s="2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37"/>
      <c r="B62" s="12">
        <v>45785.0</v>
      </c>
      <c r="C62" s="13" t="s">
        <v>30</v>
      </c>
      <c r="D62" s="13" t="s">
        <v>22</v>
      </c>
      <c r="E62" s="79" t="s">
        <v>66</v>
      </c>
      <c r="F62" s="56">
        <v>0.0</v>
      </c>
      <c r="G62" s="69" t="s">
        <v>24</v>
      </c>
      <c r="H62" s="56">
        <v>2.0</v>
      </c>
      <c r="I62" s="14" t="s">
        <v>31</v>
      </c>
      <c r="K62" s="17">
        <f t="shared" si="1"/>
        <v>0</v>
      </c>
      <c r="L62" s="18">
        <f t="shared" si="2"/>
        <v>3</v>
      </c>
      <c r="AA62" s="4"/>
      <c r="AB62" s="2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106">
        <v>11.0</v>
      </c>
      <c r="B63" s="12">
        <v>45785.0</v>
      </c>
      <c r="C63" s="200" t="s">
        <v>36</v>
      </c>
      <c r="D63" s="13" t="s">
        <v>22</v>
      </c>
      <c r="E63" s="79" t="s">
        <v>73</v>
      </c>
      <c r="F63" s="56">
        <v>0.0</v>
      </c>
      <c r="G63" s="69" t="s">
        <v>24</v>
      </c>
      <c r="H63" s="56">
        <v>2.0</v>
      </c>
      <c r="I63" s="14" t="s">
        <v>155</v>
      </c>
      <c r="K63" s="17">
        <f t="shared" si="1"/>
        <v>0</v>
      </c>
      <c r="L63" s="18">
        <f t="shared" si="2"/>
        <v>3</v>
      </c>
      <c r="AA63" s="4"/>
      <c r="AB63" s="2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29"/>
      <c r="B64" s="12">
        <v>45785.0</v>
      </c>
      <c r="C64" s="200" t="s">
        <v>36</v>
      </c>
      <c r="D64" s="13" t="s">
        <v>22</v>
      </c>
      <c r="E64" s="79" t="s">
        <v>72</v>
      </c>
      <c r="F64" s="56">
        <v>0.0</v>
      </c>
      <c r="G64" s="69" t="s">
        <v>24</v>
      </c>
      <c r="H64" s="56">
        <v>2.0</v>
      </c>
      <c r="I64" s="14" t="s">
        <v>43</v>
      </c>
      <c r="K64" s="17">
        <f t="shared" si="1"/>
        <v>0</v>
      </c>
      <c r="L64" s="18">
        <f t="shared" si="2"/>
        <v>3</v>
      </c>
      <c r="AA64" s="4"/>
      <c r="AB64" s="2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29"/>
      <c r="B65" s="12">
        <v>45785.0</v>
      </c>
      <c r="C65" s="200" t="s">
        <v>36</v>
      </c>
      <c r="D65" s="13" t="s">
        <v>22</v>
      </c>
      <c r="E65" s="79" t="s">
        <v>38</v>
      </c>
      <c r="F65" s="56">
        <v>1.0</v>
      </c>
      <c r="G65" s="69" t="s">
        <v>24</v>
      </c>
      <c r="H65" s="56">
        <v>2.0</v>
      </c>
      <c r="I65" s="14" t="s">
        <v>117</v>
      </c>
      <c r="K65" s="17">
        <f t="shared" si="1"/>
        <v>1</v>
      </c>
      <c r="L65" s="18">
        <f t="shared" si="2"/>
        <v>2</v>
      </c>
      <c r="AA65" s="4"/>
      <c r="AB65" s="2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29"/>
      <c r="B66" s="12">
        <v>45785.0</v>
      </c>
      <c r="C66" s="200" t="s">
        <v>41</v>
      </c>
      <c r="D66" s="13" t="s">
        <v>22</v>
      </c>
      <c r="E66" s="79" t="s">
        <v>37</v>
      </c>
      <c r="F66" s="56">
        <v>0.0</v>
      </c>
      <c r="G66" s="69" t="s">
        <v>24</v>
      </c>
      <c r="H66" s="56">
        <v>2.0</v>
      </c>
      <c r="I66" s="14" t="s">
        <v>25</v>
      </c>
      <c r="K66" s="17">
        <f t="shared" si="1"/>
        <v>0</v>
      </c>
      <c r="L66" s="18">
        <f t="shared" si="2"/>
        <v>3</v>
      </c>
      <c r="AA66" s="4"/>
      <c r="AB66" s="2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29"/>
      <c r="B67" s="12">
        <v>45785.0</v>
      </c>
      <c r="C67" s="200" t="s">
        <v>41</v>
      </c>
      <c r="D67" s="13" t="s">
        <v>22</v>
      </c>
      <c r="E67" s="79" t="s">
        <v>32</v>
      </c>
      <c r="F67" s="56">
        <v>0.0</v>
      </c>
      <c r="G67" s="69" t="s">
        <v>24</v>
      </c>
      <c r="H67" s="56">
        <v>2.0</v>
      </c>
      <c r="I67" s="14" t="s">
        <v>66</v>
      </c>
      <c r="K67" s="17">
        <f t="shared" si="1"/>
        <v>0</v>
      </c>
      <c r="L67" s="18">
        <f t="shared" si="2"/>
        <v>3</v>
      </c>
      <c r="R67" s="3"/>
      <c r="S67" s="3"/>
      <c r="T67" s="3"/>
      <c r="U67" s="3"/>
      <c r="V67" s="3"/>
      <c r="AA67" s="4"/>
      <c r="AB67" s="2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37"/>
      <c r="B68" s="54">
        <v>45785.0</v>
      </c>
      <c r="C68" s="200" t="s">
        <v>41</v>
      </c>
      <c r="D68" s="13" t="s">
        <v>22</v>
      </c>
      <c r="E68" s="79" t="s">
        <v>31</v>
      </c>
      <c r="F68" s="56">
        <v>2.0</v>
      </c>
      <c r="G68" s="69" t="s">
        <v>24</v>
      </c>
      <c r="H68" s="56">
        <v>0.0</v>
      </c>
      <c r="I68" s="14" t="s">
        <v>69</v>
      </c>
      <c r="K68" s="17">
        <f t="shared" si="1"/>
        <v>3</v>
      </c>
      <c r="L68" s="18">
        <f t="shared" si="2"/>
        <v>0</v>
      </c>
      <c r="R68" s="3"/>
      <c r="S68" s="3"/>
      <c r="T68" s="3"/>
      <c r="U68" s="3"/>
      <c r="V68" s="3"/>
      <c r="AA68" s="4"/>
      <c r="AB68" s="2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202"/>
      <c r="B69" s="1"/>
      <c r="C69" s="1"/>
      <c r="D69" s="1"/>
      <c r="E69" s="116"/>
      <c r="F69" s="1"/>
      <c r="G69" s="1"/>
      <c r="I69" s="2"/>
      <c r="AA69" s="4"/>
      <c r="AB69" s="2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202"/>
      <c r="B70" s="1"/>
      <c r="C70" s="1"/>
      <c r="D70" s="1"/>
      <c r="E70" s="116"/>
      <c r="F70" s="1"/>
      <c r="G70" s="1"/>
      <c r="I70" s="2"/>
      <c r="AA70" s="4"/>
      <c r="AB70" s="2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202"/>
      <c r="B71" s="1"/>
      <c r="C71" s="1"/>
      <c r="D71" s="1"/>
      <c r="E71" s="116"/>
      <c r="F71" s="1"/>
      <c r="G71" s="1"/>
      <c r="I71" s="2"/>
      <c r="AA71" s="4"/>
      <c r="AB71" s="2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199" t="s">
        <v>165</v>
      </c>
      <c r="I72" s="2"/>
      <c r="AA72" s="4"/>
      <c r="AB72" s="2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10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161</v>
      </c>
      <c r="U73" s="9" t="s">
        <v>162</v>
      </c>
      <c r="V73" s="9" t="s">
        <v>163</v>
      </c>
      <c r="W73" s="4"/>
      <c r="X73" s="123" t="s">
        <v>20</v>
      </c>
      <c r="Y73" s="8"/>
      <c r="Z73" s="4"/>
      <c r="AA73" s="5" t="s">
        <v>11</v>
      </c>
      <c r="AB73" s="5" t="s">
        <v>12</v>
      </c>
      <c r="AC73" s="5" t="s">
        <v>13</v>
      </c>
      <c r="AD73" s="5" t="s">
        <v>14</v>
      </c>
      <c r="AE73" s="5" t="s">
        <v>15</v>
      </c>
      <c r="AF73" s="5" t="s">
        <v>16</v>
      </c>
      <c r="AG73" s="5" t="s">
        <v>161</v>
      </c>
      <c r="AH73" s="5" t="s">
        <v>162</v>
      </c>
      <c r="AI73" s="5" t="s">
        <v>163</v>
      </c>
      <c r="AJ73" s="9"/>
    </row>
    <row r="74" ht="15.75" customHeight="1">
      <c r="A74" s="106">
        <v>1.0</v>
      </c>
      <c r="B74" s="12">
        <v>45587.0</v>
      </c>
      <c r="C74" s="13" t="s">
        <v>36</v>
      </c>
      <c r="D74" s="13" t="s">
        <v>22</v>
      </c>
      <c r="E74" s="14" t="s">
        <v>39</v>
      </c>
      <c r="F74" s="56">
        <v>1.0</v>
      </c>
      <c r="G74" s="69" t="s">
        <v>24</v>
      </c>
      <c r="H74" s="56">
        <v>2.0</v>
      </c>
      <c r="I74" s="14" t="s">
        <v>34</v>
      </c>
      <c r="J74" s="3"/>
      <c r="K74" s="17">
        <f t="shared" ref="K74:K118" si="9">IFS(F74=H74+2,3,F74=H74-2,0,F74=H74+1,2,F74=H74-1,1,F74="","")</f>
        <v>1</v>
      </c>
      <c r="L74" s="18">
        <f t="shared" ref="L74:L118" si="10">IFS(H74=F74+2,3,H74=F74-2,0,H74=F74+1,2,H74=F74-1,1,H74="","")</f>
        <v>2</v>
      </c>
      <c r="M74" s="3"/>
      <c r="N74" s="18">
        <v>1.0</v>
      </c>
      <c r="O74" s="102" t="s">
        <v>34</v>
      </c>
      <c r="P74" s="18">
        <f t="shared" ref="P74:P83" si="11">SUMIF(E$74:E$118,O74,K$74:K$118)+SUMIF(I$74:I$118,O74,L$74:L$118)</f>
        <v>9</v>
      </c>
      <c r="Q74" s="20">
        <f t="shared" ref="Q74:Q83" si="12">COUNTIFS(E$74:E$118,O74,K$74:K$118,2)+COUNTIFS(I$74:I$118,O74,L$74:L$118,2)+COUNTIFS(E$74:E$118,O74,K$74:K$118,3)+COUNTIFS(I$74:I$118,O74,L$74:L$118,3)</f>
        <v>3</v>
      </c>
      <c r="R74" s="22"/>
      <c r="S74" s="22">
        <f t="shared" ref="S74:S83" si="13">COUNTIFS(E$74:E$118,O74,K$74:K$118,1)+COUNTIFS(I$74:I$118,O74,L$74:L$118,1)+COUNTIFS(E$74:E$118,O74,K$74:K$118,0)+COUNTIFS(I$74:I$118,O74,L$74:L$118,0)</f>
        <v>5</v>
      </c>
      <c r="T74" s="18">
        <f t="shared" ref="T74:T83" si="14">SUMIF(E$74:E$118,O74,F$74:F$118)+SUMIF(I$74:I$118,O74,H$74:H$118)</f>
        <v>8</v>
      </c>
      <c r="U74" s="22">
        <f t="shared" ref="U74:U83" si="15">SUMIF(E$74:E$118,O74,H$74:H$118)+SUMIF(I$74:I$118,O74,F$74:F$118)</f>
        <v>12</v>
      </c>
      <c r="V74" s="18">
        <f t="shared" ref="V74:V83" si="16">T74-U74</f>
        <v>-4</v>
      </c>
      <c r="X74" s="124" t="s">
        <v>26</v>
      </c>
      <c r="Y74" s="124" t="s">
        <v>13</v>
      </c>
      <c r="AA74" s="119" t="s">
        <v>29</v>
      </c>
      <c r="AB74" s="108" t="str">
        <f t="array" ref="AB74:AI83">SORT(O74:V83,2,FALSE,8,FALSE)</f>
        <v>Eng. Materiais</v>
      </c>
      <c r="AC74" s="26">
        <v>24.0</v>
      </c>
      <c r="AD74" s="26">
        <v>8.0</v>
      </c>
      <c r="AE74" s="27"/>
      <c r="AF74" s="27">
        <v>0.0</v>
      </c>
      <c r="AG74" s="26">
        <v>16.0</v>
      </c>
      <c r="AH74" s="27">
        <v>0.0</v>
      </c>
      <c r="AI74" s="26">
        <v>16.0</v>
      </c>
      <c r="AJ74" s="28"/>
    </row>
    <row r="75" ht="15.75" customHeight="1">
      <c r="A75" s="29"/>
      <c r="B75" s="12">
        <v>45587.0</v>
      </c>
      <c r="C75" s="13" t="s">
        <v>36</v>
      </c>
      <c r="D75" s="13" t="s">
        <v>22</v>
      </c>
      <c r="E75" s="14" t="s">
        <v>33</v>
      </c>
      <c r="F75" s="56"/>
      <c r="G75" s="69" t="s">
        <v>24</v>
      </c>
      <c r="H75" s="56"/>
      <c r="I75" s="14" t="s">
        <v>141</v>
      </c>
      <c r="J75" s="3"/>
      <c r="K75" s="17" t="str">
        <f t="shared" si="9"/>
        <v/>
      </c>
      <c r="L75" s="18" t="str">
        <f t="shared" si="10"/>
        <v/>
      </c>
      <c r="M75" s="3"/>
      <c r="N75" s="18">
        <v>2.0</v>
      </c>
      <c r="O75" s="102" t="s">
        <v>39</v>
      </c>
      <c r="P75" s="18">
        <f t="shared" si="11"/>
        <v>18</v>
      </c>
      <c r="Q75" s="20">
        <f t="shared" si="12"/>
        <v>6</v>
      </c>
      <c r="R75" s="22"/>
      <c r="S75" s="22">
        <f t="shared" si="13"/>
        <v>2</v>
      </c>
      <c r="T75" s="18">
        <f t="shared" si="14"/>
        <v>13</v>
      </c>
      <c r="U75" s="22">
        <f t="shared" si="15"/>
        <v>5</v>
      </c>
      <c r="V75" s="18">
        <f t="shared" si="16"/>
        <v>8</v>
      </c>
      <c r="X75" s="125" t="s">
        <v>34</v>
      </c>
      <c r="Y75" s="125">
        <v>3.0</v>
      </c>
      <c r="AA75" s="119">
        <v>2.0</v>
      </c>
      <c r="AB75" s="108" t="s">
        <v>39</v>
      </c>
      <c r="AC75" s="26">
        <v>18.0</v>
      </c>
      <c r="AD75" s="26">
        <v>6.0</v>
      </c>
      <c r="AE75" s="27"/>
      <c r="AF75" s="27">
        <v>2.0</v>
      </c>
      <c r="AG75" s="26">
        <v>13.0</v>
      </c>
      <c r="AH75" s="27">
        <v>5.0</v>
      </c>
      <c r="AI75" s="26">
        <v>8.0</v>
      </c>
      <c r="AJ75" s="28"/>
    </row>
    <row r="76" ht="15.75" customHeight="1">
      <c r="A76" s="29"/>
      <c r="B76" s="12">
        <v>45587.0</v>
      </c>
      <c r="C76" s="13" t="s">
        <v>36</v>
      </c>
      <c r="D76" s="13" t="s">
        <v>22</v>
      </c>
      <c r="E76" s="14" t="s">
        <v>116</v>
      </c>
      <c r="F76" s="56">
        <v>2.0</v>
      </c>
      <c r="G76" s="69" t="s">
        <v>24</v>
      </c>
      <c r="H76" s="56">
        <v>0.0</v>
      </c>
      <c r="I76" s="14" t="s">
        <v>71</v>
      </c>
      <c r="J76" s="3"/>
      <c r="K76" s="17">
        <f t="shared" si="9"/>
        <v>3</v>
      </c>
      <c r="L76" s="18">
        <f t="shared" si="10"/>
        <v>0</v>
      </c>
      <c r="M76" s="3"/>
      <c r="N76" s="18">
        <v>3.0</v>
      </c>
      <c r="O76" s="102" t="s">
        <v>33</v>
      </c>
      <c r="P76" s="18">
        <f t="shared" si="11"/>
        <v>24</v>
      </c>
      <c r="Q76" s="20">
        <f t="shared" si="12"/>
        <v>8</v>
      </c>
      <c r="R76" s="22"/>
      <c r="S76" s="22">
        <f t="shared" si="13"/>
        <v>0</v>
      </c>
      <c r="T76" s="18">
        <f t="shared" si="14"/>
        <v>16</v>
      </c>
      <c r="U76" s="22">
        <f t="shared" si="15"/>
        <v>0</v>
      </c>
      <c r="V76" s="18">
        <f t="shared" si="16"/>
        <v>16</v>
      </c>
      <c r="X76" s="125" t="s">
        <v>166</v>
      </c>
      <c r="Y76" s="125">
        <v>0.0</v>
      </c>
      <c r="AA76" s="24">
        <v>3.0</v>
      </c>
      <c r="AB76" s="108" t="s">
        <v>111</v>
      </c>
      <c r="AC76" s="26">
        <v>13.0</v>
      </c>
      <c r="AD76" s="26">
        <v>4.0</v>
      </c>
      <c r="AE76" s="27"/>
      <c r="AF76" s="27">
        <v>4.0</v>
      </c>
      <c r="AG76" s="26">
        <v>10.0</v>
      </c>
      <c r="AH76" s="27">
        <v>9.0</v>
      </c>
      <c r="AI76" s="26">
        <v>1.0</v>
      </c>
      <c r="AJ76" s="28"/>
    </row>
    <row r="77" ht="15.75" customHeight="1">
      <c r="A77" s="29"/>
      <c r="B77" s="12">
        <v>45587.0</v>
      </c>
      <c r="C77" s="13" t="s">
        <v>41</v>
      </c>
      <c r="D77" s="13" t="s">
        <v>22</v>
      </c>
      <c r="E77" s="14" t="s">
        <v>23</v>
      </c>
      <c r="F77" s="56">
        <v>0.0</v>
      </c>
      <c r="G77" s="69" t="s">
        <v>24</v>
      </c>
      <c r="H77" s="56">
        <v>2.0</v>
      </c>
      <c r="I77" s="14" t="s">
        <v>45</v>
      </c>
      <c r="J77" s="3"/>
      <c r="K77" s="17">
        <f t="shared" si="9"/>
        <v>0</v>
      </c>
      <c r="L77" s="18">
        <f t="shared" si="10"/>
        <v>3</v>
      </c>
      <c r="M77" s="3"/>
      <c r="N77" s="18">
        <v>4.0</v>
      </c>
      <c r="O77" s="102" t="s">
        <v>116</v>
      </c>
      <c r="P77" s="18">
        <f t="shared" si="11"/>
        <v>12</v>
      </c>
      <c r="Q77" s="20">
        <f t="shared" si="12"/>
        <v>4</v>
      </c>
      <c r="R77" s="22"/>
      <c r="S77" s="22">
        <f t="shared" si="13"/>
        <v>4</v>
      </c>
      <c r="T77" s="18">
        <f t="shared" si="14"/>
        <v>9</v>
      </c>
      <c r="U77" s="22">
        <f t="shared" si="15"/>
        <v>9</v>
      </c>
      <c r="V77" s="18">
        <f t="shared" si="16"/>
        <v>0</v>
      </c>
      <c r="AA77" s="24">
        <v>4.0</v>
      </c>
      <c r="AB77" s="108" t="s">
        <v>116</v>
      </c>
      <c r="AC77" s="26">
        <v>12.0</v>
      </c>
      <c r="AD77" s="26">
        <v>4.0</v>
      </c>
      <c r="AE77" s="27"/>
      <c r="AF77" s="27">
        <v>4.0</v>
      </c>
      <c r="AG77" s="26">
        <v>9.0</v>
      </c>
      <c r="AH77" s="27">
        <v>9.0</v>
      </c>
      <c r="AI77" s="26">
        <v>0.0</v>
      </c>
      <c r="AJ77" s="28"/>
    </row>
    <row r="78" ht="15.75" customHeight="1">
      <c r="A78" s="37"/>
      <c r="B78" s="12">
        <v>45587.0</v>
      </c>
      <c r="C78" s="13" t="s">
        <v>41</v>
      </c>
      <c r="D78" s="13" t="s">
        <v>22</v>
      </c>
      <c r="E78" s="14" t="s">
        <v>111</v>
      </c>
      <c r="F78" s="56">
        <v>1.0</v>
      </c>
      <c r="G78" s="69" t="s">
        <v>24</v>
      </c>
      <c r="H78" s="56">
        <v>2.0</v>
      </c>
      <c r="I78" s="14" t="s">
        <v>96</v>
      </c>
      <c r="J78" s="3"/>
      <c r="K78" s="17">
        <f t="shared" si="9"/>
        <v>1</v>
      </c>
      <c r="L78" s="18">
        <f t="shared" si="10"/>
        <v>2</v>
      </c>
      <c r="M78" s="3"/>
      <c r="N78" s="18">
        <v>5.0</v>
      </c>
      <c r="O78" s="102" t="s">
        <v>23</v>
      </c>
      <c r="P78" s="18">
        <f t="shared" si="11"/>
        <v>5</v>
      </c>
      <c r="Q78" s="20">
        <f t="shared" si="12"/>
        <v>2</v>
      </c>
      <c r="R78" s="22"/>
      <c r="S78" s="22">
        <f t="shared" si="13"/>
        <v>6</v>
      </c>
      <c r="T78" s="18">
        <f t="shared" si="14"/>
        <v>4</v>
      </c>
      <c r="U78" s="22">
        <f t="shared" si="15"/>
        <v>13</v>
      </c>
      <c r="V78" s="18">
        <f t="shared" si="16"/>
        <v>-9</v>
      </c>
      <c r="AA78" s="24">
        <v>5.0</v>
      </c>
      <c r="AB78" s="108" t="s">
        <v>96</v>
      </c>
      <c r="AC78" s="26">
        <v>10.0</v>
      </c>
      <c r="AD78" s="26">
        <v>3.0</v>
      </c>
      <c r="AE78" s="27"/>
      <c r="AF78" s="27">
        <v>5.0</v>
      </c>
      <c r="AG78" s="26">
        <v>8.0</v>
      </c>
      <c r="AH78" s="27">
        <v>11.0</v>
      </c>
      <c r="AI78" s="26">
        <v>-3.0</v>
      </c>
      <c r="AJ78" s="28"/>
    </row>
    <row r="79" ht="15.75" customHeight="1">
      <c r="A79" s="106">
        <v>2.0</v>
      </c>
      <c r="B79" s="12">
        <v>45610.0</v>
      </c>
      <c r="C79" s="200" t="s">
        <v>21</v>
      </c>
      <c r="D79" s="13" t="s">
        <v>22</v>
      </c>
      <c r="E79" s="14" t="s">
        <v>34</v>
      </c>
      <c r="F79" s="56">
        <v>0.0</v>
      </c>
      <c r="G79" s="69" t="s">
        <v>24</v>
      </c>
      <c r="H79" s="56">
        <v>2.0</v>
      </c>
      <c r="I79" s="14" t="s">
        <v>33</v>
      </c>
      <c r="J79" s="3"/>
      <c r="K79" s="17">
        <f t="shared" si="9"/>
        <v>0</v>
      </c>
      <c r="L79" s="18">
        <f t="shared" si="10"/>
        <v>3</v>
      </c>
      <c r="M79" s="3"/>
      <c r="N79" s="18">
        <v>6.0</v>
      </c>
      <c r="O79" s="102" t="s">
        <v>111</v>
      </c>
      <c r="P79" s="18">
        <f t="shared" si="11"/>
        <v>13</v>
      </c>
      <c r="Q79" s="20">
        <f t="shared" si="12"/>
        <v>4</v>
      </c>
      <c r="R79" s="22"/>
      <c r="S79" s="22">
        <f t="shared" si="13"/>
        <v>4</v>
      </c>
      <c r="T79" s="18">
        <f t="shared" si="14"/>
        <v>10</v>
      </c>
      <c r="U79" s="22">
        <f t="shared" si="15"/>
        <v>9</v>
      </c>
      <c r="V79" s="18">
        <f t="shared" si="16"/>
        <v>1</v>
      </c>
      <c r="AA79" s="24">
        <v>6.0</v>
      </c>
      <c r="AB79" s="108" t="s">
        <v>34</v>
      </c>
      <c r="AC79" s="26">
        <v>9.0</v>
      </c>
      <c r="AD79" s="26">
        <v>3.0</v>
      </c>
      <c r="AE79" s="27"/>
      <c r="AF79" s="27">
        <v>5.0</v>
      </c>
      <c r="AG79" s="26">
        <v>8.0</v>
      </c>
      <c r="AH79" s="27">
        <v>12.0</v>
      </c>
      <c r="AI79" s="26">
        <v>-4.0</v>
      </c>
      <c r="AJ79" s="28"/>
    </row>
    <row r="80" ht="15.75" customHeight="1">
      <c r="A80" s="29"/>
      <c r="B80" s="12">
        <v>45610.0</v>
      </c>
      <c r="C80" s="200" t="s">
        <v>21</v>
      </c>
      <c r="D80" s="13" t="s">
        <v>22</v>
      </c>
      <c r="E80" s="14" t="s">
        <v>96</v>
      </c>
      <c r="F80" s="56">
        <v>1.0</v>
      </c>
      <c r="G80" s="69" t="s">
        <v>24</v>
      </c>
      <c r="H80" s="56">
        <v>2.0</v>
      </c>
      <c r="I80" s="14" t="s">
        <v>39</v>
      </c>
      <c r="J80" s="3"/>
      <c r="K80" s="17">
        <f t="shared" si="9"/>
        <v>1</v>
      </c>
      <c r="L80" s="18">
        <f t="shared" si="10"/>
        <v>2</v>
      </c>
      <c r="M80" s="3"/>
      <c r="N80" s="18">
        <v>7.0</v>
      </c>
      <c r="O80" s="102" t="s">
        <v>45</v>
      </c>
      <c r="P80" s="18">
        <f t="shared" si="11"/>
        <v>9</v>
      </c>
      <c r="Q80" s="20">
        <f t="shared" si="12"/>
        <v>3</v>
      </c>
      <c r="R80" s="22"/>
      <c r="S80" s="22">
        <f t="shared" si="13"/>
        <v>5</v>
      </c>
      <c r="T80" s="18">
        <f t="shared" si="14"/>
        <v>6</v>
      </c>
      <c r="U80" s="22">
        <f t="shared" si="15"/>
        <v>10</v>
      </c>
      <c r="V80" s="18">
        <f t="shared" si="16"/>
        <v>-4</v>
      </c>
      <c r="AA80" s="24">
        <v>7.0</v>
      </c>
      <c r="AB80" s="108" t="s">
        <v>45</v>
      </c>
      <c r="AC80" s="26">
        <v>9.0</v>
      </c>
      <c r="AD80" s="26">
        <v>3.0</v>
      </c>
      <c r="AE80" s="27"/>
      <c r="AF80" s="27">
        <v>5.0</v>
      </c>
      <c r="AG80" s="26">
        <v>6.0</v>
      </c>
      <c r="AH80" s="27">
        <v>10.0</v>
      </c>
      <c r="AI80" s="26">
        <v>-4.0</v>
      </c>
      <c r="AJ80" s="28"/>
    </row>
    <row r="81" ht="15.75" customHeight="1">
      <c r="A81" s="29"/>
      <c r="B81" s="12">
        <v>45610.0</v>
      </c>
      <c r="C81" s="200" t="s">
        <v>21</v>
      </c>
      <c r="D81" s="13" t="s">
        <v>22</v>
      </c>
      <c r="E81" s="14" t="s">
        <v>141</v>
      </c>
      <c r="F81" s="56"/>
      <c r="G81" s="69" t="s">
        <v>24</v>
      </c>
      <c r="H81" s="56"/>
      <c r="I81" s="14" t="s">
        <v>116</v>
      </c>
      <c r="J81" s="3"/>
      <c r="K81" s="17" t="str">
        <f t="shared" si="9"/>
        <v/>
      </c>
      <c r="L81" s="18" t="str">
        <f t="shared" si="10"/>
        <v/>
      </c>
      <c r="M81" s="3"/>
      <c r="N81" s="18">
        <v>8.0</v>
      </c>
      <c r="O81" s="102" t="s">
        <v>71</v>
      </c>
      <c r="P81" s="18">
        <f t="shared" si="11"/>
        <v>8</v>
      </c>
      <c r="Q81" s="20">
        <f t="shared" si="12"/>
        <v>3</v>
      </c>
      <c r="R81" s="22"/>
      <c r="S81" s="22">
        <f t="shared" si="13"/>
        <v>5</v>
      </c>
      <c r="T81" s="18">
        <f t="shared" si="14"/>
        <v>7</v>
      </c>
      <c r="U81" s="22">
        <f t="shared" si="15"/>
        <v>12</v>
      </c>
      <c r="V81" s="18">
        <f t="shared" si="16"/>
        <v>-5</v>
      </c>
      <c r="AA81" s="24">
        <v>8.0</v>
      </c>
      <c r="AB81" s="108" t="s">
        <v>71</v>
      </c>
      <c r="AC81" s="26">
        <v>8.0</v>
      </c>
      <c r="AD81" s="26">
        <v>3.0</v>
      </c>
      <c r="AE81" s="27"/>
      <c r="AF81" s="27">
        <v>5.0</v>
      </c>
      <c r="AG81" s="26">
        <v>7.0</v>
      </c>
      <c r="AH81" s="27">
        <v>12.0</v>
      </c>
      <c r="AI81" s="26">
        <v>-5.0</v>
      </c>
      <c r="AJ81" s="28"/>
    </row>
    <row r="82" ht="15.75" customHeight="1">
      <c r="A82" s="29"/>
      <c r="B82" s="12">
        <v>45623.0</v>
      </c>
      <c r="C82" s="200" t="s">
        <v>80</v>
      </c>
      <c r="D82" s="13" t="s">
        <v>22</v>
      </c>
      <c r="E82" s="14" t="s">
        <v>71</v>
      </c>
      <c r="F82" s="56">
        <v>2.0</v>
      </c>
      <c r="G82" s="69" t="s">
        <v>24</v>
      </c>
      <c r="H82" s="56">
        <v>0.0</v>
      </c>
      <c r="I82" s="14" t="s">
        <v>23</v>
      </c>
      <c r="J82" s="3"/>
      <c r="K82" s="17">
        <f t="shared" si="9"/>
        <v>3</v>
      </c>
      <c r="L82" s="18">
        <f t="shared" si="10"/>
        <v>0</v>
      </c>
      <c r="M82" s="3"/>
      <c r="N82" s="18">
        <v>9.0</v>
      </c>
      <c r="O82" s="102" t="s">
        <v>141</v>
      </c>
      <c r="P82" s="18">
        <f t="shared" si="11"/>
        <v>0</v>
      </c>
      <c r="Q82" s="20">
        <f t="shared" si="12"/>
        <v>0</v>
      </c>
      <c r="R82" s="22"/>
      <c r="S82" s="22">
        <f t="shared" si="13"/>
        <v>0</v>
      </c>
      <c r="T82" s="18">
        <f t="shared" si="14"/>
        <v>0</v>
      </c>
      <c r="U82" s="22">
        <f t="shared" si="15"/>
        <v>0</v>
      </c>
      <c r="V82" s="18">
        <f t="shared" si="16"/>
        <v>0</v>
      </c>
      <c r="AA82" s="24">
        <v>9.0</v>
      </c>
      <c r="AB82" s="108" t="s">
        <v>23</v>
      </c>
      <c r="AC82" s="26">
        <v>5.0</v>
      </c>
      <c r="AD82" s="26">
        <v>2.0</v>
      </c>
      <c r="AE82" s="27"/>
      <c r="AF82" s="27">
        <v>6.0</v>
      </c>
      <c r="AG82" s="26">
        <v>4.0</v>
      </c>
      <c r="AH82" s="27">
        <v>13.0</v>
      </c>
      <c r="AI82" s="26">
        <v>-9.0</v>
      </c>
      <c r="AJ82" s="28"/>
    </row>
    <row r="83" ht="15.75" customHeight="1">
      <c r="A83" s="37"/>
      <c r="B83" s="12">
        <v>45610.0</v>
      </c>
      <c r="C83" s="200" t="s">
        <v>30</v>
      </c>
      <c r="D83" s="13" t="s">
        <v>22</v>
      </c>
      <c r="E83" s="14" t="s">
        <v>45</v>
      </c>
      <c r="F83" s="56">
        <v>0.0</v>
      </c>
      <c r="G83" s="69" t="s">
        <v>24</v>
      </c>
      <c r="H83" s="56">
        <v>2.0</v>
      </c>
      <c r="I83" s="14" t="s">
        <v>111</v>
      </c>
      <c r="J83" s="3"/>
      <c r="K83" s="17">
        <f t="shared" si="9"/>
        <v>0</v>
      </c>
      <c r="L83" s="18">
        <f t="shared" si="10"/>
        <v>3</v>
      </c>
      <c r="M83" s="3"/>
      <c r="N83" s="18">
        <v>10.0</v>
      </c>
      <c r="O83" s="102" t="s">
        <v>96</v>
      </c>
      <c r="P83" s="18">
        <f t="shared" si="11"/>
        <v>10</v>
      </c>
      <c r="Q83" s="20">
        <f t="shared" si="12"/>
        <v>3</v>
      </c>
      <c r="R83" s="22"/>
      <c r="S83" s="22">
        <f t="shared" si="13"/>
        <v>5</v>
      </c>
      <c r="T83" s="18">
        <f t="shared" si="14"/>
        <v>8</v>
      </c>
      <c r="U83" s="22">
        <f t="shared" si="15"/>
        <v>11</v>
      </c>
      <c r="V83" s="18">
        <f t="shared" si="16"/>
        <v>-3</v>
      </c>
      <c r="AA83" s="24">
        <v>10.0</v>
      </c>
      <c r="AB83" s="108" t="s">
        <v>141</v>
      </c>
      <c r="AC83" s="26">
        <v>0.0</v>
      </c>
      <c r="AD83" s="26">
        <v>0.0</v>
      </c>
      <c r="AE83" s="27"/>
      <c r="AF83" s="27">
        <v>0.0</v>
      </c>
      <c r="AG83" s="26">
        <v>0.0</v>
      </c>
      <c r="AH83" s="27">
        <v>0.0</v>
      </c>
      <c r="AI83" s="26">
        <v>0.0</v>
      </c>
      <c r="AJ83" s="4"/>
    </row>
    <row r="84" ht="15.75" customHeight="1">
      <c r="A84" s="106">
        <v>3.0</v>
      </c>
      <c r="B84" s="12">
        <v>45623.0</v>
      </c>
      <c r="C84" s="13" t="s">
        <v>53</v>
      </c>
      <c r="D84" s="13" t="s">
        <v>22</v>
      </c>
      <c r="E84" s="14" t="s">
        <v>116</v>
      </c>
      <c r="F84" s="56">
        <v>1.0</v>
      </c>
      <c r="G84" s="69" t="s">
        <v>24</v>
      </c>
      <c r="H84" s="56">
        <v>2.0</v>
      </c>
      <c r="I84" s="14" t="s">
        <v>34</v>
      </c>
      <c r="J84" s="3"/>
      <c r="K84" s="17">
        <f t="shared" si="9"/>
        <v>1</v>
      </c>
      <c r="L84" s="18">
        <f t="shared" si="10"/>
        <v>2</v>
      </c>
      <c r="M84" s="3"/>
      <c r="AA84" s="85" t="s">
        <v>167</v>
      </c>
      <c r="AD84" s="47"/>
      <c r="AF84" s="4"/>
      <c r="AG84" s="4"/>
      <c r="AH84" s="4"/>
      <c r="AI84" s="4"/>
      <c r="AJ84" s="4"/>
    </row>
    <row r="85" ht="15.75" customHeight="1">
      <c r="A85" s="29"/>
      <c r="B85" s="12">
        <v>45623.0</v>
      </c>
      <c r="C85" s="13" t="s">
        <v>54</v>
      </c>
      <c r="D85" s="13" t="s">
        <v>22</v>
      </c>
      <c r="E85" s="14" t="s">
        <v>33</v>
      </c>
      <c r="F85" s="56">
        <v>2.0</v>
      </c>
      <c r="G85" s="69" t="s">
        <v>24</v>
      </c>
      <c r="H85" s="56">
        <v>0.0</v>
      </c>
      <c r="I85" s="14" t="s">
        <v>39</v>
      </c>
      <c r="J85" s="3"/>
      <c r="K85" s="17">
        <f t="shared" si="9"/>
        <v>3</v>
      </c>
      <c r="L85" s="18">
        <f t="shared" si="10"/>
        <v>0</v>
      </c>
      <c r="M85" s="3"/>
      <c r="AA85" s="48"/>
      <c r="AF85" s="4"/>
      <c r="AG85" s="4"/>
      <c r="AH85" s="4"/>
      <c r="AI85" s="4"/>
      <c r="AJ85" s="4"/>
    </row>
    <row r="86" ht="15.75" customHeight="1">
      <c r="A86" s="29"/>
      <c r="B86" s="12">
        <v>45623.0</v>
      </c>
      <c r="C86" s="13" t="s">
        <v>54</v>
      </c>
      <c r="D86" s="13" t="s">
        <v>22</v>
      </c>
      <c r="E86" s="14" t="s">
        <v>23</v>
      </c>
      <c r="F86" s="56"/>
      <c r="G86" s="69" t="s">
        <v>24</v>
      </c>
      <c r="H86" s="56"/>
      <c r="I86" s="14" t="s">
        <v>141</v>
      </c>
      <c r="J86" s="3"/>
      <c r="K86" s="17" t="str">
        <f t="shared" si="9"/>
        <v/>
      </c>
      <c r="L86" s="18" t="str">
        <f t="shared" si="10"/>
        <v/>
      </c>
      <c r="M86" s="3"/>
      <c r="N86" s="3"/>
      <c r="O86" s="3"/>
      <c r="P86" s="3"/>
      <c r="Q86" s="3"/>
      <c r="R86" s="3"/>
      <c r="S86" s="3"/>
      <c r="T86" s="3"/>
      <c r="U86" s="3"/>
      <c r="V86" s="3"/>
      <c r="AF86" s="4"/>
      <c r="AG86" s="4"/>
      <c r="AH86" s="4"/>
      <c r="AI86" s="4"/>
      <c r="AJ86" s="4"/>
    </row>
    <row r="87" ht="15.75" customHeight="1">
      <c r="A87" s="29"/>
      <c r="B87" s="12">
        <v>45623.0</v>
      </c>
      <c r="C87" s="13" t="s">
        <v>54</v>
      </c>
      <c r="D87" s="13" t="s">
        <v>22</v>
      </c>
      <c r="E87" s="14" t="s">
        <v>111</v>
      </c>
      <c r="F87" s="56">
        <v>2.0</v>
      </c>
      <c r="G87" s="69" t="s">
        <v>24</v>
      </c>
      <c r="H87" s="56">
        <v>1.0</v>
      </c>
      <c r="I87" s="14" t="s">
        <v>71</v>
      </c>
      <c r="J87" s="3"/>
      <c r="K87" s="17">
        <f t="shared" si="9"/>
        <v>2</v>
      </c>
      <c r="L87" s="18">
        <f t="shared" si="10"/>
        <v>1</v>
      </c>
      <c r="M87" s="3"/>
      <c r="N87" s="3"/>
      <c r="O87" s="3"/>
      <c r="P87" s="3"/>
      <c r="Q87" s="3"/>
      <c r="R87" s="3"/>
      <c r="S87" s="3"/>
      <c r="T87" s="3"/>
      <c r="U87" s="3"/>
      <c r="V87" s="3"/>
      <c r="AF87" s="4"/>
      <c r="AG87" s="4"/>
      <c r="AH87" s="4"/>
      <c r="AI87" s="4"/>
      <c r="AJ87" s="4"/>
    </row>
    <row r="88" ht="15.75" customHeight="1">
      <c r="A88" s="37"/>
      <c r="B88" s="12">
        <v>45623.0</v>
      </c>
      <c r="C88" s="13" t="s">
        <v>55</v>
      </c>
      <c r="D88" s="13" t="s">
        <v>22</v>
      </c>
      <c r="E88" s="14" t="s">
        <v>96</v>
      </c>
      <c r="F88" s="56">
        <v>0.0</v>
      </c>
      <c r="G88" s="69" t="s">
        <v>24</v>
      </c>
      <c r="H88" s="56">
        <v>2.0</v>
      </c>
      <c r="I88" s="14" t="s">
        <v>45</v>
      </c>
      <c r="J88" s="3"/>
      <c r="K88" s="17">
        <f t="shared" si="9"/>
        <v>0</v>
      </c>
      <c r="L88" s="18">
        <f t="shared" si="10"/>
        <v>3</v>
      </c>
      <c r="M88" s="3"/>
      <c r="N88" s="3"/>
      <c r="O88" s="3"/>
      <c r="P88" s="3"/>
      <c r="Q88" s="3"/>
      <c r="R88" s="3"/>
      <c r="S88" s="3"/>
      <c r="T88" s="3"/>
      <c r="U88" s="3"/>
      <c r="V88" s="3"/>
      <c r="AF88" s="4"/>
      <c r="AG88" s="4"/>
      <c r="AH88" s="4"/>
      <c r="AI88" s="4"/>
      <c r="AJ88" s="4"/>
    </row>
    <row r="89" ht="15.75" customHeight="1">
      <c r="A89" s="106">
        <v>4.0</v>
      </c>
      <c r="B89" s="12">
        <v>45634.0</v>
      </c>
      <c r="C89" s="13" t="s">
        <v>56</v>
      </c>
      <c r="D89" s="13" t="s">
        <v>22</v>
      </c>
      <c r="E89" s="14" t="s">
        <v>34</v>
      </c>
      <c r="F89" s="56">
        <v>1.0</v>
      </c>
      <c r="G89" s="69" t="s">
        <v>24</v>
      </c>
      <c r="H89" s="56">
        <v>2.0</v>
      </c>
      <c r="I89" s="14" t="s">
        <v>23</v>
      </c>
      <c r="J89" s="50"/>
      <c r="K89" s="17">
        <f t="shared" si="9"/>
        <v>1</v>
      </c>
      <c r="L89" s="18">
        <f t="shared" si="10"/>
        <v>2</v>
      </c>
      <c r="M89" s="3"/>
      <c r="N89" s="3"/>
      <c r="O89" s="3"/>
      <c r="P89" s="3"/>
      <c r="R89" s="3"/>
      <c r="S89" s="3"/>
      <c r="T89" s="3"/>
      <c r="U89" s="3"/>
      <c r="V89" s="3"/>
      <c r="AF89" s="4"/>
      <c r="AG89" s="4"/>
      <c r="AH89" s="4"/>
      <c r="AI89" s="4"/>
      <c r="AJ89" s="4"/>
    </row>
    <row r="90" ht="15.75" customHeight="1">
      <c r="A90" s="29"/>
      <c r="B90" s="12">
        <v>45634.0</v>
      </c>
      <c r="C90" s="13" t="s">
        <v>54</v>
      </c>
      <c r="D90" s="13" t="s">
        <v>22</v>
      </c>
      <c r="E90" s="14" t="s">
        <v>39</v>
      </c>
      <c r="F90" s="56">
        <v>2.0</v>
      </c>
      <c r="G90" s="69" t="s">
        <v>24</v>
      </c>
      <c r="H90" s="56">
        <v>0.0</v>
      </c>
      <c r="I90" s="14" t="s">
        <v>116</v>
      </c>
      <c r="J90" s="3"/>
      <c r="K90" s="17">
        <f t="shared" si="9"/>
        <v>3</v>
      </c>
      <c r="L90" s="18">
        <f t="shared" si="10"/>
        <v>0</v>
      </c>
      <c r="M90" s="3"/>
      <c r="N90" s="3"/>
      <c r="O90" s="3"/>
      <c r="P90" s="3"/>
      <c r="Q90" s="3"/>
      <c r="R90" s="3"/>
      <c r="S90" s="3"/>
      <c r="T90" s="3"/>
      <c r="U90" s="3"/>
      <c r="V90" s="3"/>
      <c r="AF90" s="4"/>
      <c r="AG90" s="4"/>
      <c r="AH90" s="4"/>
      <c r="AI90" s="4"/>
      <c r="AJ90" s="4"/>
    </row>
    <row r="91" ht="15.75" customHeight="1">
      <c r="A91" s="29"/>
      <c r="B91" s="12">
        <v>45634.0</v>
      </c>
      <c r="C91" s="13" t="s">
        <v>55</v>
      </c>
      <c r="D91" s="13" t="s">
        <v>22</v>
      </c>
      <c r="E91" s="14" t="s">
        <v>33</v>
      </c>
      <c r="F91" s="56">
        <v>2.0</v>
      </c>
      <c r="G91" s="69" t="s">
        <v>24</v>
      </c>
      <c r="H91" s="56">
        <v>0.0</v>
      </c>
      <c r="I91" s="14" t="s">
        <v>96</v>
      </c>
      <c r="J91" s="3"/>
      <c r="K91" s="17">
        <f t="shared" si="9"/>
        <v>3</v>
      </c>
      <c r="L91" s="18">
        <f t="shared" si="10"/>
        <v>0</v>
      </c>
      <c r="M91" s="3"/>
      <c r="N91" s="3"/>
      <c r="O91" s="3"/>
      <c r="P91" s="3"/>
      <c r="Q91" s="3"/>
      <c r="R91" s="3"/>
      <c r="S91" s="3"/>
      <c r="T91" s="3"/>
      <c r="U91" s="3"/>
      <c r="V91" s="3"/>
      <c r="AF91" s="4"/>
      <c r="AG91" s="4"/>
      <c r="AH91" s="4"/>
      <c r="AI91" s="4"/>
      <c r="AJ91" s="4"/>
    </row>
    <row r="92" ht="15.75" customHeight="1">
      <c r="A92" s="29"/>
      <c r="B92" s="12">
        <v>45634.0</v>
      </c>
      <c r="C92" s="13" t="s">
        <v>55</v>
      </c>
      <c r="D92" s="13" t="s">
        <v>22</v>
      </c>
      <c r="E92" s="128" t="s">
        <v>141</v>
      </c>
      <c r="F92" s="56"/>
      <c r="G92" s="69" t="s">
        <v>24</v>
      </c>
      <c r="H92" s="56"/>
      <c r="I92" s="14" t="s">
        <v>111</v>
      </c>
      <c r="J92" s="3"/>
      <c r="K92" s="17" t="str">
        <f t="shared" si="9"/>
        <v/>
      </c>
      <c r="L92" s="18" t="str">
        <f t="shared" si="10"/>
        <v/>
      </c>
      <c r="M92" s="3"/>
      <c r="N92" s="3"/>
      <c r="O92" s="3"/>
      <c r="P92" s="3"/>
      <c r="Q92" s="3"/>
      <c r="R92" s="3"/>
      <c r="S92" s="3"/>
      <c r="T92" s="3"/>
      <c r="U92" s="3"/>
      <c r="V92" s="3"/>
      <c r="AD92" s="4"/>
      <c r="AE92" s="4"/>
      <c r="AF92" s="4"/>
      <c r="AG92" s="4"/>
      <c r="AH92" s="4"/>
      <c r="AI92" s="4"/>
      <c r="AJ92" s="4"/>
    </row>
    <row r="93" ht="15.75" customHeight="1">
      <c r="A93" s="37"/>
      <c r="B93" s="12">
        <v>45634.0</v>
      </c>
      <c r="C93" s="13" t="s">
        <v>55</v>
      </c>
      <c r="D93" s="13" t="s">
        <v>22</v>
      </c>
      <c r="E93" s="14" t="s">
        <v>71</v>
      </c>
      <c r="F93" s="56">
        <v>0.0</v>
      </c>
      <c r="G93" s="69" t="s">
        <v>24</v>
      </c>
      <c r="H93" s="56">
        <v>2.0</v>
      </c>
      <c r="I93" s="14" t="s">
        <v>45</v>
      </c>
      <c r="J93" s="3"/>
      <c r="K93" s="17">
        <f t="shared" si="9"/>
        <v>0</v>
      </c>
      <c r="L93" s="18">
        <f t="shared" si="10"/>
        <v>3</v>
      </c>
      <c r="M93" s="3"/>
      <c r="N93" s="3"/>
      <c r="O93" s="3"/>
      <c r="P93" s="3"/>
      <c r="Q93" s="3"/>
      <c r="R93" s="3"/>
      <c r="S93" s="3"/>
      <c r="T93" s="3"/>
      <c r="U93" s="3"/>
      <c r="V93" s="3"/>
      <c r="AA93" s="93"/>
      <c r="AD93" s="4"/>
      <c r="AE93" s="4"/>
      <c r="AF93" s="4"/>
      <c r="AG93" s="4"/>
      <c r="AH93" s="4"/>
      <c r="AI93" s="4"/>
      <c r="AJ93" s="4"/>
    </row>
    <row r="94" ht="15.75" customHeight="1">
      <c r="A94" s="106">
        <v>5.0</v>
      </c>
      <c r="B94" s="12">
        <v>45707.0</v>
      </c>
      <c r="C94" s="13" t="s">
        <v>128</v>
      </c>
      <c r="D94" s="13" t="s">
        <v>22</v>
      </c>
      <c r="E94" s="14" t="s">
        <v>111</v>
      </c>
      <c r="F94" s="56">
        <v>2.0</v>
      </c>
      <c r="G94" s="69" t="s">
        <v>24</v>
      </c>
      <c r="H94" s="56">
        <v>0.0</v>
      </c>
      <c r="I94" s="14" t="s">
        <v>34</v>
      </c>
      <c r="J94" s="3"/>
      <c r="K94" s="17">
        <f t="shared" si="9"/>
        <v>3</v>
      </c>
      <c r="L94" s="18">
        <f t="shared" si="10"/>
        <v>0</v>
      </c>
      <c r="M94" s="3"/>
      <c r="N94" s="3"/>
      <c r="O94" s="3"/>
      <c r="P94" s="3"/>
      <c r="Q94" s="3"/>
      <c r="R94" s="3"/>
      <c r="S94" s="3"/>
      <c r="T94" s="3"/>
      <c r="U94" s="3"/>
      <c r="V94" s="3"/>
      <c r="AA94" s="4"/>
      <c r="AB94" s="2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29"/>
      <c r="B95" s="12">
        <v>45707.0</v>
      </c>
      <c r="C95" s="13" t="s">
        <v>128</v>
      </c>
      <c r="D95" s="13" t="s">
        <v>22</v>
      </c>
      <c r="E95" s="14" t="s">
        <v>23</v>
      </c>
      <c r="F95" s="56">
        <v>0.0</v>
      </c>
      <c r="G95" s="69" t="s">
        <v>24</v>
      </c>
      <c r="H95" s="56">
        <v>2.0</v>
      </c>
      <c r="I95" s="14" t="s">
        <v>39</v>
      </c>
      <c r="J95" s="3"/>
      <c r="K95" s="17">
        <f t="shared" si="9"/>
        <v>0</v>
      </c>
      <c r="L95" s="18">
        <f t="shared" si="10"/>
        <v>3</v>
      </c>
      <c r="M95" s="3"/>
      <c r="N95" s="3"/>
      <c r="O95" s="3"/>
      <c r="P95" s="3"/>
      <c r="Q95" s="3"/>
      <c r="R95" s="3"/>
      <c r="S95" s="3"/>
      <c r="T95" s="3"/>
      <c r="U95" s="3"/>
      <c r="V95" s="3"/>
      <c r="AA95" s="4"/>
      <c r="AB95" s="2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29"/>
      <c r="B96" s="12">
        <v>45707.0</v>
      </c>
      <c r="C96" s="13" t="s">
        <v>128</v>
      </c>
      <c r="D96" s="13" t="s">
        <v>22</v>
      </c>
      <c r="E96" s="14" t="s">
        <v>116</v>
      </c>
      <c r="F96" s="56">
        <v>0.0</v>
      </c>
      <c r="G96" s="69" t="s">
        <v>24</v>
      </c>
      <c r="H96" s="56">
        <v>2.0</v>
      </c>
      <c r="I96" s="14" t="s">
        <v>33</v>
      </c>
      <c r="J96" s="3"/>
      <c r="K96" s="17">
        <f t="shared" si="9"/>
        <v>0</v>
      </c>
      <c r="L96" s="18">
        <f t="shared" si="10"/>
        <v>3</v>
      </c>
      <c r="M96" s="3"/>
      <c r="N96" s="3"/>
      <c r="O96" s="3"/>
      <c r="P96" s="3"/>
      <c r="Q96" s="3"/>
      <c r="R96" s="3"/>
      <c r="S96" s="3"/>
      <c r="T96" s="3"/>
      <c r="U96" s="3"/>
      <c r="V96" s="3"/>
      <c r="AA96" s="4"/>
      <c r="AB96" s="2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29"/>
      <c r="B97" s="203"/>
      <c r="C97" s="92"/>
      <c r="D97" s="13" t="s">
        <v>22</v>
      </c>
      <c r="E97" s="14" t="s">
        <v>45</v>
      </c>
      <c r="F97" s="56"/>
      <c r="G97" s="69" t="s">
        <v>24</v>
      </c>
      <c r="H97" s="56"/>
      <c r="I97" s="14" t="s">
        <v>141</v>
      </c>
      <c r="J97" s="3"/>
      <c r="K97" s="17" t="str">
        <f t="shared" si="9"/>
        <v/>
      </c>
      <c r="L97" s="18" t="str">
        <f t="shared" si="10"/>
        <v/>
      </c>
      <c r="M97" s="3"/>
      <c r="N97" s="3"/>
      <c r="O97" s="3"/>
      <c r="P97" s="3"/>
      <c r="Q97" s="3"/>
      <c r="R97" s="3"/>
      <c r="S97" s="3"/>
      <c r="T97" s="3"/>
      <c r="U97" s="3"/>
      <c r="V97" s="3"/>
      <c r="AA97" s="4"/>
      <c r="AB97" s="2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37"/>
      <c r="B98" s="12">
        <v>45707.0</v>
      </c>
      <c r="C98" s="13" t="s">
        <v>129</v>
      </c>
      <c r="D98" s="13" t="s">
        <v>22</v>
      </c>
      <c r="E98" s="14" t="s">
        <v>96</v>
      </c>
      <c r="F98" s="56">
        <v>1.0</v>
      </c>
      <c r="G98" s="69" t="s">
        <v>24</v>
      </c>
      <c r="H98" s="56">
        <v>2.0</v>
      </c>
      <c r="I98" s="14" t="s">
        <v>71</v>
      </c>
      <c r="J98" s="3"/>
      <c r="K98" s="17">
        <f t="shared" si="9"/>
        <v>1</v>
      </c>
      <c r="L98" s="18">
        <f t="shared" si="10"/>
        <v>2</v>
      </c>
      <c r="M98" s="3"/>
      <c r="N98" s="3"/>
      <c r="O98" s="3"/>
      <c r="P98" s="3"/>
      <c r="Q98" s="3"/>
      <c r="R98" s="3"/>
      <c r="S98" s="3"/>
      <c r="T98" s="3"/>
      <c r="U98" s="3"/>
      <c r="V98" s="3"/>
      <c r="AA98" s="4"/>
      <c r="AB98" s="2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106">
        <v>6.0</v>
      </c>
      <c r="B99" s="12">
        <v>45760.0</v>
      </c>
      <c r="C99" s="13" t="s">
        <v>54</v>
      </c>
      <c r="D99" s="13" t="s">
        <v>22</v>
      </c>
      <c r="E99" s="14" t="s">
        <v>34</v>
      </c>
      <c r="F99" s="13">
        <v>2.0</v>
      </c>
      <c r="G99" s="69" t="s">
        <v>24</v>
      </c>
      <c r="H99" s="56">
        <v>0.0</v>
      </c>
      <c r="I99" s="14" t="s">
        <v>45</v>
      </c>
      <c r="J99" s="3"/>
      <c r="K99" s="17">
        <f t="shared" si="9"/>
        <v>3</v>
      </c>
      <c r="L99" s="18">
        <f t="shared" si="10"/>
        <v>0</v>
      </c>
      <c r="M99" s="3"/>
      <c r="N99" s="3"/>
      <c r="O99" s="3"/>
      <c r="P99" s="3"/>
      <c r="Q99" s="3"/>
      <c r="R99" s="3"/>
      <c r="S99" s="3"/>
      <c r="T99" s="3"/>
      <c r="U99" s="3"/>
      <c r="V99" s="3"/>
      <c r="AA99" s="4"/>
      <c r="AB99" s="2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29"/>
      <c r="B100" s="12">
        <v>45707.0</v>
      </c>
      <c r="C100" s="13" t="s">
        <v>129</v>
      </c>
      <c r="D100" s="13" t="s">
        <v>22</v>
      </c>
      <c r="E100" s="14" t="s">
        <v>39</v>
      </c>
      <c r="F100" s="13">
        <v>2.0</v>
      </c>
      <c r="G100" s="69" t="s">
        <v>24</v>
      </c>
      <c r="H100" s="56">
        <v>0.0</v>
      </c>
      <c r="I100" s="14" t="s">
        <v>111</v>
      </c>
      <c r="J100" s="3"/>
      <c r="K100" s="17">
        <f t="shared" si="9"/>
        <v>3</v>
      </c>
      <c r="L100" s="18">
        <f t="shared" si="10"/>
        <v>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AA100" s="4"/>
      <c r="AB100" s="2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29"/>
      <c r="B101" s="12">
        <v>45760.0</v>
      </c>
      <c r="C101" s="13" t="s">
        <v>54</v>
      </c>
      <c r="D101" s="13" t="s">
        <v>22</v>
      </c>
      <c r="E101" s="14" t="s">
        <v>33</v>
      </c>
      <c r="F101" s="13">
        <v>2.0</v>
      </c>
      <c r="G101" s="69" t="s">
        <v>24</v>
      </c>
      <c r="H101" s="56">
        <v>0.0</v>
      </c>
      <c r="I101" s="14" t="s">
        <v>23</v>
      </c>
      <c r="J101" s="3"/>
      <c r="K101" s="17">
        <f t="shared" si="9"/>
        <v>3</v>
      </c>
      <c r="L101" s="18">
        <f t="shared" si="10"/>
        <v>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AA101" s="4"/>
      <c r="AB101" s="2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29"/>
      <c r="B102" s="12">
        <v>45760.0</v>
      </c>
      <c r="C102" s="13" t="s">
        <v>54</v>
      </c>
      <c r="D102" s="13" t="s">
        <v>22</v>
      </c>
      <c r="E102" s="14" t="s">
        <v>116</v>
      </c>
      <c r="F102" s="13">
        <v>2.0</v>
      </c>
      <c r="G102" s="69" t="s">
        <v>24</v>
      </c>
      <c r="H102" s="56">
        <v>0.0</v>
      </c>
      <c r="I102" s="14" t="s">
        <v>96</v>
      </c>
      <c r="J102" s="3"/>
      <c r="K102" s="17">
        <f t="shared" si="9"/>
        <v>3</v>
      </c>
      <c r="L102" s="18">
        <f t="shared" si="10"/>
        <v>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AA102" s="4"/>
      <c r="AB102" s="2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37"/>
      <c r="B103" s="12">
        <v>45760.0</v>
      </c>
      <c r="C103" s="13" t="s">
        <v>55</v>
      </c>
      <c r="D103" s="13" t="s">
        <v>22</v>
      </c>
      <c r="E103" s="128" t="s">
        <v>141</v>
      </c>
      <c r="F103" s="13"/>
      <c r="G103" s="69" t="s">
        <v>24</v>
      </c>
      <c r="H103" s="56"/>
      <c r="I103" s="14" t="s">
        <v>71</v>
      </c>
      <c r="J103" s="3"/>
      <c r="K103" s="17" t="str">
        <f t="shared" si="9"/>
        <v/>
      </c>
      <c r="L103" s="18" t="str">
        <f t="shared" si="10"/>
        <v/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AA103" s="4"/>
      <c r="AB103" s="2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106">
        <v>7.0</v>
      </c>
      <c r="B104" s="12">
        <v>45792.0</v>
      </c>
      <c r="C104" s="200" t="s">
        <v>21</v>
      </c>
      <c r="D104" s="13" t="s">
        <v>22</v>
      </c>
      <c r="E104" s="14" t="s">
        <v>71</v>
      </c>
      <c r="F104" s="56">
        <v>2.0</v>
      </c>
      <c r="G104" s="69" t="s">
        <v>24</v>
      </c>
      <c r="H104" s="56">
        <v>1.0</v>
      </c>
      <c r="I104" s="14" t="s">
        <v>34</v>
      </c>
      <c r="J104" s="3"/>
      <c r="K104" s="17">
        <f t="shared" si="9"/>
        <v>2</v>
      </c>
      <c r="L104" s="18">
        <f t="shared" si="10"/>
        <v>1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AA104" s="4"/>
      <c r="AB104" s="2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29"/>
      <c r="B105" s="12">
        <v>45760.0</v>
      </c>
      <c r="C105" s="13" t="s">
        <v>55</v>
      </c>
      <c r="D105" s="13" t="s">
        <v>22</v>
      </c>
      <c r="E105" s="14" t="s">
        <v>45</v>
      </c>
      <c r="F105" s="56">
        <v>0.0</v>
      </c>
      <c r="G105" s="69" t="s">
        <v>24</v>
      </c>
      <c r="H105" s="56">
        <v>2.0</v>
      </c>
      <c r="I105" s="14" t="s">
        <v>39</v>
      </c>
      <c r="J105" s="3"/>
      <c r="K105" s="17">
        <f t="shared" si="9"/>
        <v>0</v>
      </c>
      <c r="L105" s="18">
        <f t="shared" si="10"/>
        <v>3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AA105" s="4"/>
      <c r="AB105" s="2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29"/>
      <c r="B106" s="12">
        <v>45760.0</v>
      </c>
      <c r="C106" s="13" t="s">
        <v>55</v>
      </c>
      <c r="D106" s="13" t="s">
        <v>22</v>
      </c>
      <c r="E106" s="14" t="s">
        <v>111</v>
      </c>
      <c r="F106" s="56">
        <v>0.0</v>
      </c>
      <c r="G106" s="69" t="s">
        <v>24</v>
      </c>
      <c r="H106" s="56">
        <v>2.0</v>
      </c>
      <c r="I106" s="14" t="s">
        <v>33</v>
      </c>
      <c r="J106" s="3"/>
      <c r="K106" s="17">
        <f t="shared" si="9"/>
        <v>0</v>
      </c>
      <c r="L106" s="18">
        <f t="shared" si="10"/>
        <v>3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AA106" s="4"/>
      <c r="AB106" s="2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29"/>
      <c r="B107" s="12">
        <v>45792.0</v>
      </c>
      <c r="C107" s="200" t="s">
        <v>21</v>
      </c>
      <c r="D107" s="13" t="s">
        <v>22</v>
      </c>
      <c r="E107" s="14" t="s">
        <v>23</v>
      </c>
      <c r="F107" s="56">
        <v>2.0</v>
      </c>
      <c r="G107" s="69" t="s">
        <v>24</v>
      </c>
      <c r="H107" s="56">
        <v>0.0</v>
      </c>
      <c r="I107" s="14" t="s">
        <v>116</v>
      </c>
      <c r="J107" s="3"/>
      <c r="K107" s="17">
        <f t="shared" si="9"/>
        <v>3</v>
      </c>
      <c r="L107" s="18">
        <f t="shared" si="10"/>
        <v>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AA107" s="4"/>
      <c r="AB107" s="2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37"/>
      <c r="B108" s="12"/>
      <c r="C108" s="13"/>
      <c r="D108" s="13"/>
      <c r="E108" s="14" t="s">
        <v>96</v>
      </c>
      <c r="F108" s="56"/>
      <c r="G108" s="69" t="s">
        <v>24</v>
      </c>
      <c r="H108" s="56"/>
      <c r="I108" s="14" t="s">
        <v>141</v>
      </c>
      <c r="J108" s="3"/>
      <c r="K108" s="17" t="str">
        <f t="shared" si="9"/>
        <v/>
      </c>
      <c r="L108" s="18" t="str">
        <f t="shared" si="10"/>
        <v/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AA108" s="4"/>
      <c r="AB108" s="2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106">
        <v>8.0</v>
      </c>
      <c r="B109" s="12"/>
      <c r="C109" s="13"/>
      <c r="D109" s="13"/>
      <c r="E109" s="14" t="s">
        <v>34</v>
      </c>
      <c r="F109" s="56"/>
      <c r="G109" s="69" t="s">
        <v>24</v>
      </c>
      <c r="H109" s="56"/>
      <c r="I109" s="14" t="s">
        <v>141</v>
      </c>
      <c r="J109" s="3"/>
      <c r="K109" s="17" t="str">
        <f t="shared" si="9"/>
        <v/>
      </c>
      <c r="L109" s="18" t="str">
        <f t="shared" si="10"/>
        <v/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AA109" s="4"/>
      <c r="AB109" s="2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29"/>
      <c r="B110" s="12">
        <v>45782.0</v>
      </c>
      <c r="C110" s="200" t="s">
        <v>21</v>
      </c>
      <c r="D110" s="13" t="s">
        <v>22</v>
      </c>
      <c r="E110" s="14" t="s">
        <v>39</v>
      </c>
      <c r="F110" s="56">
        <v>2.0</v>
      </c>
      <c r="G110" s="69" t="s">
        <v>24</v>
      </c>
      <c r="H110" s="56">
        <v>0.0</v>
      </c>
      <c r="I110" s="14" t="s">
        <v>71</v>
      </c>
      <c r="J110" s="3"/>
      <c r="K110" s="17">
        <f t="shared" si="9"/>
        <v>3</v>
      </c>
      <c r="L110" s="18">
        <f t="shared" si="10"/>
        <v>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AA110" s="4"/>
      <c r="AB110" s="2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29"/>
      <c r="B111" s="12">
        <v>45782.0</v>
      </c>
      <c r="C111" s="200" t="s">
        <v>21</v>
      </c>
      <c r="D111" s="13" t="s">
        <v>22</v>
      </c>
      <c r="E111" s="14" t="s">
        <v>33</v>
      </c>
      <c r="F111" s="56">
        <v>2.0</v>
      </c>
      <c r="G111" s="69" t="s">
        <v>24</v>
      </c>
      <c r="H111" s="56">
        <v>0.0</v>
      </c>
      <c r="I111" s="14" t="s">
        <v>45</v>
      </c>
      <c r="J111" s="3"/>
      <c r="K111" s="17">
        <f t="shared" si="9"/>
        <v>3</v>
      </c>
      <c r="L111" s="18">
        <f t="shared" si="10"/>
        <v>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AA111" s="4"/>
      <c r="AB111" s="2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29"/>
      <c r="B112" s="12">
        <v>45782.0</v>
      </c>
      <c r="C112" s="200" t="s">
        <v>30</v>
      </c>
      <c r="D112" s="13" t="s">
        <v>22</v>
      </c>
      <c r="E112" s="14" t="s">
        <v>116</v>
      </c>
      <c r="F112" s="56">
        <v>2.0</v>
      </c>
      <c r="G112" s="69" t="s">
        <v>24</v>
      </c>
      <c r="H112" s="56">
        <v>1.0</v>
      </c>
      <c r="I112" s="14" t="s">
        <v>111</v>
      </c>
      <c r="J112" s="3"/>
      <c r="K112" s="17">
        <f t="shared" si="9"/>
        <v>2</v>
      </c>
      <c r="L112" s="18">
        <f t="shared" si="10"/>
        <v>1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AA112" s="4"/>
      <c r="AB112" s="2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37"/>
      <c r="B113" s="12">
        <v>45782.0</v>
      </c>
      <c r="C113" s="200" t="s">
        <v>30</v>
      </c>
      <c r="D113" s="13" t="s">
        <v>22</v>
      </c>
      <c r="E113" s="14" t="s">
        <v>23</v>
      </c>
      <c r="F113" s="56">
        <v>0.0</v>
      </c>
      <c r="G113" s="69" t="s">
        <v>24</v>
      </c>
      <c r="H113" s="56">
        <v>2.0</v>
      </c>
      <c r="I113" s="14" t="s">
        <v>96</v>
      </c>
      <c r="J113" s="3"/>
      <c r="K113" s="17">
        <f t="shared" si="9"/>
        <v>0</v>
      </c>
      <c r="L113" s="18">
        <f t="shared" si="10"/>
        <v>3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AA113" s="4"/>
      <c r="AB113" s="2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106">
        <v>9.0</v>
      </c>
      <c r="B114" s="12">
        <v>45782.0</v>
      </c>
      <c r="C114" s="13" t="s">
        <v>36</v>
      </c>
      <c r="D114" s="13" t="s">
        <v>22</v>
      </c>
      <c r="E114" s="14" t="s">
        <v>96</v>
      </c>
      <c r="F114" s="56">
        <v>2.0</v>
      </c>
      <c r="G114" s="69" t="s">
        <v>24</v>
      </c>
      <c r="H114" s="56">
        <v>0.0</v>
      </c>
      <c r="I114" s="14" t="s">
        <v>34</v>
      </c>
      <c r="J114" s="3"/>
      <c r="K114" s="17">
        <f t="shared" si="9"/>
        <v>3</v>
      </c>
      <c r="L114" s="18">
        <f t="shared" si="10"/>
        <v>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AA114" s="4"/>
      <c r="AB114" s="2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29"/>
      <c r="B115" s="203"/>
      <c r="C115" s="92"/>
      <c r="D115" s="92"/>
      <c r="E115" s="14" t="s">
        <v>141</v>
      </c>
      <c r="F115" s="56"/>
      <c r="G115" s="69" t="s">
        <v>24</v>
      </c>
      <c r="H115" s="56"/>
      <c r="I115" s="14" t="s">
        <v>39</v>
      </c>
      <c r="J115" s="3"/>
      <c r="K115" s="17" t="str">
        <f t="shared" si="9"/>
        <v/>
      </c>
      <c r="L115" s="18" t="str">
        <f t="shared" si="10"/>
        <v/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AA115" s="4"/>
      <c r="AB115" s="2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29"/>
      <c r="B116" s="12">
        <v>45782.0</v>
      </c>
      <c r="C116" s="13" t="s">
        <v>36</v>
      </c>
      <c r="D116" s="13" t="s">
        <v>22</v>
      </c>
      <c r="E116" s="14" t="s">
        <v>71</v>
      </c>
      <c r="F116" s="56">
        <v>0.0</v>
      </c>
      <c r="G116" s="69" t="s">
        <v>24</v>
      </c>
      <c r="H116" s="56">
        <v>2.0</v>
      </c>
      <c r="I116" s="14" t="s">
        <v>33</v>
      </c>
      <c r="J116" s="3"/>
      <c r="K116" s="17">
        <f t="shared" si="9"/>
        <v>0</v>
      </c>
      <c r="L116" s="18">
        <f t="shared" si="10"/>
        <v>3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AA116" s="4"/>
      <c r="AB116" s="2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29"/>
      <c r="B117" s="12">
        <v>45782.0</v>
      </c>
      <c r="C117" s="13" t="s">
        <v>41</v>
      </c>
      <c r="D117" s="13" t="s">
        <v>22</v>
      </c>
      <c r="E117" s="14" t="s">
        <v>45</v>
      </c>
      <c r="F117" s="56">
        <v>0.0</v>
      </c>
      <c r="G117" s="69" t="s">
        <v>24</v>
      </c>
      <c r="H117" s="56">
        <v>2.0</v>
      </c>
      <c r="I117" s="14" t="s">
        <v>116</v>
      </c>
      <c r="J117" s="3"/>
      <c r="K117" s="17">
        <f t="shared" si="9"/>
        <v>0</v>
      </c>
      <c r="L117" s="18">
        <f t="shared" si="10"/>
        <v>3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AA117" s="4"/>
      <c r="AB117" s="2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37"/>
      <c r="B118" s="12">
        <v>45782.0</v>
      </c>
      <c r="C118" s="13" t="s">
        <v>41</v>
      </c>
      <c r="D118" s="13" t="s">
        <v>22</v>
      </c>
      <c r="E118" s="14" t="s">
        <v>111</v>
      </c>
      <c r="F118" s="56">
        <v>2.0</v>
      </c>
      <c r="G118" s="69" t="s">
        <v>24</v>
      </c>
      <c r="H118" s="56">
        <v>0.0</v>
      </c>
      <c r="I118" s="14" t="s">
        <v>23</v>
      </c>
      <c r="J118" s="3"/>
      <c r="K118" s="17">
        <f t="shared" si="9"/>
        <v>3</v>
      </c>
      <c r="L118" s="18">
        <f t="shared" si="10"/>
        <v>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AA118" s="4"/>
      <c r="AB118" s="2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202"/>
      <c r="B119" s="1"/>
      <c r="C119" s="1"/>
      <c r="D119" s="1"/>
      <c r="E119" s="116"/>
      <c r="F119" s="1"/>
      <c r="G119" s="1"/>
      <c r="I119" s="2"/>
      <c r="AA119" s="4"/>
      <c r="AB119" s="2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202"/>
      <c r="B120" s="1"/>
      <c r="C120" s="1"/>
      <c r="D120" s="1"/>
      <c r="E120" s="116"/>
      <c r="F120" s="1"/>
      <c r="G120" s="1"/>
      <c r="I120" s="2"/>
      <c r="AA120" s="4"/>
      <c r="AB120" s="2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202"/>
      <c r="B121" s="1"/>
      <c r="C121" s="1"/>
      <c r="D121" s="1"/>
      <c r="E121" s="116"/>
      <c r="F121" s="1"/>
      <c r="G121" s="1"/>
      <c r="I121" s="2"/>
      <c r="AA121" s="4"/>
      <c r="AB121" s="2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199" t="s">
        <v>168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15.75" customHeight="1">
      <c r="A123" s="105" t="s">
        <v>1</v>
      </c>
      <c r="B123" s="5" t="s">
        <v>2</v>
      </c>
      <c r="C123" s="5" t="s">
        <v>3</v>
      </c>
      <c r="D123" s="5" t="s">
        <v>4</v>
      </c>
      <c r="E123" s="5" t="s">
        <v>5</v>
      </c>
      <c r="F123" s="6" t="s">
        <v>6</v>
      </c>
      <c r="G123" s="7"/>
      <c r="H123" s="8"/>
      <c r="I123" s="5" t="s">
        <v>7</v>
      </c>
      <c r="J123" s="9" t="s">
        <v>8</v>
      </c>
      <c r="K123" s="9" t="s">
        <v>9</v>
      </c>
      <c r="L123" s="9" t="s">
        <v>10</v>
      </c>
      <c r="M123" s="9"/>
      <c r="N123" s="9" t="s">
        <v>11</v>
      </c>
      <c r="O123" s="9" t="s">
        <v>12</v>
      </c>
      <c r="P123" s="9" t="s">
        <v>13</v>
      </c>
      <c r="Q123" s="9" t="s">
        <v>14</v>
      </c>
      <c r="R123" s="9"/>
      <c r="S123" s="9" t="s">
        <v>16</v>
      </c>
      <c r="T123" s="9" t="s">
        <v>161</v>
      </c>
      <c r="U123" s="9" t="s">
        <v>162</v>
      </c>
      <c r="V123" s="9" t="s">
        <v>163</v>
      </c>
      <c r="W123" s="4"/>
      <c r="X123" s="123" t="s">
        <v>20</v>
      </c>
      <c r="Y123" s="8"/>
      <c r="Z123" s="4"/>
      <c r="AA123" s="5" t="s">
        <v>11</v>
      </c>
      <c r="AB123" s="5" t="s">
        <v>12</v>
      </c>
      <c r="AC123" s="5" t="s">
        <v>13</v>
      </c>
      <c r="AD123" s="5" t="s">
        <v>14</v>
      </c>
      <c r="AE123" s="5" t="s">
        <v>15</v>
      </c>
      <c r="AF123" s="5" t="s">
        <v>16</v>
      </c>
      <c r="AG123" s="5" t="s">
        <v>161</v>
      </c>
      <c r="AH123" s="5" t="s">
        <v>162</v>
      </c>
      <c r="AI123" s="5" t="s">
        <v>163</v>
      </c>
      <c r="AJ123" s="9"/>
    </row>
    <row r="124" ht="15.75" customHeight="1">
      <c r="A124" s="106">
        <v>1.0</v>
      </c>
      <c r="B124" s="12">
        <v>45587.0</v>
      </c>
      <c r="C124" s="13" t="s">
        <v>41</v>
      </c>
      <c r="D124" s="13" t="s">
        <v>22</v>
      </c>
      <c r="E124" s="14" t="s">
        <v>62</v>
      </c>
      <c r="F124" s="56">
        <v>0.0</v>
      </c>
      <c r="G124" s="69" t="s">
        <v>24</v>
      </c>
      <c r="H124" s="56">
        <v>2.0</v>
      </c>
      <c r="I124" s="79" t="s">
        <v>64</v>
      </c>
      <c r="J124" s="3"/>
      <c r="K124" s="17">
        <f t="shared" ref="K124:K168" si="17">IFS(F124=H124+2,3,F124=H124-2,0,F124=H124+1,2,F124=H124-1,1,F124="","")</f>
        <v>0</v>
      </c>
      <c r="L124" s="18">
        <f t="shared" ref="L124:L168" si="18">IFS(H124=F124+2,3,H124=F124-2,0,H124=F124+1,2,H124=F124-1,1,H124="","")</f>
        <v>3</v>
      </c>
      <c r="M124" s="3"/>
      <c r="N124" s="18">
        <v>1.0</v>
      </c>
      <c r="O124" s="102" t="s">
        <v>64</v>
      </c>
      <c r="P124" s="18">
        <f t="shared" ref="P124:P133" si="19">SUMIF(E$124:E$168,O124,K$124:K$168)+SUMIF(I$124:I$168,O124,L$124:L$168)</f>
        <v>23</v>
      </c>
      <c r="Q124" s="20">
        <f t="shared" ref="Q124:Q133" si="20">COUNTIFS(E$124:E$168,O124,K$124:K$168,2)+COUNTIFS(I$124:I$168,O124,L$124:L$168,2)+COUNTIFS(E$124:E$168,O124,K$124:K$168,3)+COUNTIFS(I$124:I$168,O124,L$124:L$168,3)</f>
        <v>8</v>
      </c>
      <c r="R124" s="22"/>
      <c r="S124" s="22">
        <f t="shared" ref="S124:S133" si="21">COUNTIFS(E$124:E$168,O124,K$124:K$168,1)+COUNTIFS(I$124:I$168,O124,L$124:L$168,1)+COUNTIFS(E$124:E$168,O124,K$124:K$168,0)+COUNTIFS(I$124:I$168,O124,L$124:L$168,0)</f>
        <v>1</v>
      </c>
      <c r="T124" s="18">
        <f t="shared" ref="T124:T133" si="22">SUMIF(E$124:E$168,O124,F$124:F$168)+SUMIF(I$124:I$168,O124,H$124:H$168)</f>
        <v>17</v>
      </c>
      <c r="U124" s="22">
        <f t="shared" ref="U124:U133" si="23">SUMIF(E$124:E$168,O124,H$124:H$168)+SUMIF(I$124:I$168,O124,F$124:F$168)</f>
        <v>4</v>
      </c>
      <c r="V124" s="18">
        <f t="shared" ref="V124:V133" si="24">T124-U124</f>
        <v>13</v>
      </c>
      <c r="X124" s="124" t="s">
        <v>26</v>
      </c>
      <c r="Y124" s="124" t="s">
        <v>13</v>
      </c>
      <c r="AA124" s="119" t="s">
        <v>29</v>
      </c>
      <c r="AB124" s="108" t="str">
        <f t="array" ref="AB124:AI133">SORT(O124:V133,2,FALSE,9,FALSE,8,FALSE())</f>
        <v>GPT</v>
      </c>
      <c r="AC124" s="26">
        <v>23.0</v>
      </c>
      <c r="AD124" s="26">
        <v>8.0</v>
      </c>
      <c r="AE124" s="27"/>
      <c r="AF124" s="27">
        <v>1.0</v>
      </c>
      <c r="AG124" s="26">
        <v>17.0</v>
      </c>
      <c r="AH124" s="27">
        <v>4.0</v>
      </c>
      <c r="AI124" s="26">
        <v>13.0</v>
      </c>
      <c r="AJ124" s="28"/>
    </row>
    <row r="125" ht="15.75" customHeight="1">
      <c r="A125" s="29"/>
      <c r="B125" s="12">
        <v>45600.0</v>
      </c>
      <c r="C125" s="13" t="s">
        <v>21</v>
      </c>
      <c r="D125" s="13" t="s">
        <v>22</v>
      </c>
      <c r="E125" s="14" t="s">
        <v>42</v>
      </c>
      <c r="F125" s="56">
        <v>1.0</v>
      </c>
      <c r="G125" s="69" t="s">
        <v>24</v>
      </c>
      <c r="H125" s="56">
        <v>2.0</v>
      </c>
      <c r="I125" s="79" t="s">
        <v>68</v>
      </c>
      <c r="J125" s="3"/>
      <c r="K125" s="17">
        <f t="shared" si="17"/>
        <v>1</v>
      </c>
      <c r="L125" s="18">
        <f t="shared" si="18"/>
        <v>2</v>
      </c>
      <c r="M125" s="3"/>
      <c r="N125" s="18">
        <v>2.0</v>
      </c>
      <c r="O125" s="102" t="s">
        <v>62</v>
      </c>
      <c r="P125" s="18">
        <f t="shared" si="19"/>
        <v>1</v>
      </c>
      <c r="Q125" s="20">
        <f t="shared" si="20"/>
        <v>0</v>
      </c>
      <c r="R125" s="22"/>
      <c r="S125" s="22">
        <f t="shared" si="21"/>
        <v>9</v>
      </c>
      <c r="T125" s="18">
        <f t="shared" si="22"/>
        <v>1</v>
      </c>
      <c r="U125" s="22">
        <f t="shared" si="23"/>
        <v>18</v>
      </c>
      <c r="V125" s="18">
        <f t="shared" si="24"/>
        <v>-17</v>
      </c>
      <c r="X125" s="125" t="s">
        <v>158</v>
      </c>
      <c r="Y125" s="126">
        <v>2.0</v>
      </c>
      <c r="AA125" s="119">
        <v>2.0</v>
      </c>
      <c r="AB125" s="108" t="s">
        <v>158</v>
      </c>
      <c r="AC125" s="26">
        <v>19.0</v>
      </c>
      <c r="AD125" s="26">
        <v>7.0</v>
      </c>
      <c r="AE125" s="27"/>
      <c r="AF125" s="27">
        <v>2.0</v>
      </c>
      <c r="AG125" s="26">
        <v>16.0</v>
      </c>
      <c r="AH125" s="27">
        <v>8.0</v>
      </c>
      <c r="AI125" s="26">
        <v>8.0</v>
      </c>
      <c r="AJ125" s="28"/>
    </row>
    <row r="126" ht="15.75" customHeight="1">
      <c r="A126" s="29"/>
      <c r="B126" s="12">
        <v>45600.0</v>
      </c>
      <c r="C126" s="13" t="s">
        <v>30</v>
      </c>
      <c r="D126" s="13" t="s">
        <v>22</v>
      </c>
      <c r="E126" s="14" t="s">
        <v>158</v>
      </c>
      <c r="F126" s="56">
        <v>2.0</v>
      </c>
      <c r="G126" s="69" t="s">
        <v>24</v>
      </c>
      <c r="H126" s="56">
        <v>1.0</v>
      </c>
      <c r="I126" s="79" t="s">
        <v>94</v>
      </c>
      <c r="J126" s="3"/>
      <c r="K126" s="17">
        <f t="shared" si="17"/>
        <v>2</v>
      </c>
      <c r="L126" s="18">
        <f t="shared" si="18"/>
        <v>1</v>
      </c>
      <c r="M126" s="3"/>
      <c r="N126" s="18">
        <v>3.0</v>
      </c>
      <c r="O126" s="102" t="s">
        <v>42</v>
      </c>
      <c r="P126" s="18">
        <f t="shared" si="19"/>
        <v>17</v>
      </c>
      <c r="Q126" s="20">
        <f t="shared" si="20"/>
        <v>6</v>
      </c>
      <c r="R126" s="22"/>
      <c r="S126" s="22">
        <f t="shared" si="21"/>
        <v>3</v>
      </c>
      <c r="T126" s="18">
        <f t="shared" si="22"/>
        <v>14</v>
      </c>
      <c r="U126" s="22">
        <f t="shared" si="23"/>
        <v>9</v>
      </c>
      <c r="V126" s="18">
        <f t="shared" si="24"/>
        <v>5</v>
      </c>
      <c r="X126" s="125" t="s">
        <v>67</v>
      </c>
      <c r="Y126" s="126">
        <v>1.0</v>
      </c>
      <c r="AA126" s="24">
        <v>3.0</v>
      </c>
      <c r="AB126" s="108" t="s">
        <v>67</v>
      </c>
      <c r="AC126" s="26">
        <v>19.0</v>
      </c>
      <c r="AD126" s="26">
        <v>6.0</v>
      </c>
      <c r="AE126" s="27"/>
      <c r="AF126" s="27">
        <v>3.0</v>
      </c>
      <c r="AG126" s="26">
        <v>15.0</v>
      </c>
      <c r="AH126" s="27">
        <v>8.0</v>
      </c>
      <c r="AI126" s="26">
        <v>7.0</v>
      </c>
      <c r="AJ126" s="28"/>
    </row>
    <row r="127" ht="15.75" customHeight="1">
      <c r="A127" s="29"/>
      <c r="B127" s="12">
        <v>45600.0</v>
      </c>
      <c r="C127" s="13" t="s">
        <v>36</v>
      </c>
      <c r="D127" s="13" t="s">
        <v>22</v>
      </c>
      <c r="E127" s="14" t="s">
        <v>169</v>
      </c>
      <c r="F127" s="56">
        <v>2.0</v>
      </c>
      <c r="G127" s="69" t="s">
        <v>24</v>
      </c>
      <c r="H127" s="56">
        <v>0.0</v>
      </c>
      <c r="I127" s="79" t="s">
        <v>170</v>
      </c>
      <c r="J127" s="3"/>
      <c r="K127" s="17">
        <f t="shared" si="17"/>
        <v>3</v>
      </c>
      <c r="L127" s="18">
        <f t="shared" si="18"/>
        <v>0</v>
      </c>
      <c r="M127" s="3"/>
      <c r="N127" s="18">
        <v>4.0</v>
      </c>
      <c r="O127" s="102" t="s">
        <v>158</v>
      </c>
      <c r="P127" s="18">
        <f t="shared" si="19"/>
        <v>19</v>
      </c>
      <c r="Q127" s="20">
        <f t="shared" si="20"/>
        <v>7</v>
      </c>
      <c r="R127" s="22"/>
      <c r="S127" s="22">
        <f t="shared" si="21"/>
        <v>2</v>
      </c>
      <c r="T127" s="18">
        <f t="shared" si="22"/>
        <v>16</v>
      </c>
      <c r="U127" s="22">
        <f t="shared" si="23"/>
        <v>8</v>
      </c>
      <c r="V127" s="18">
        <f t="shared" si="24"/>
        <v>8</v>
      </c>
      <c r="AA127" s="24">
        <v>4.0</v>
      </c>
      <c r="AB127" s="108" t="s">
        <v>42</v>
      </c>
      <c r="AC127" s="26">
        <v>17.0</v>
      </c>
      <c r="AD127" s="26">
        <v>6.0</v>
      </c>
      <c r="AE127" s="27"/>
      <c r="AF127" s="27">
        <v>3.0</v>
      </c>
      <c r="AG127" s="26">
        <v>14.0</v>
      </c>
      <c r="AH127" s="27">
        <v>9.0</v>
      </c>
      <c r="AI127" s="26">
        <v>5.0</v>
      </c>
      <c r="AJ127" s="28"/>
    </row>
    <row r="128" ht="15.75" customHeight="1">
      <c r="A128" s="37"/>
      <c r="B128" s="12">
        <v>45600.0</v>
      </c>
      <c r="C128" s="13" t="s">
        <v>41</v>
      </c>
      <c r="D128" s="13" t="s">
        <v>22</v>
      </c>
      <c r="E128" s="14" t="s">
        <v>67</v>
      </c>
      <c r="F128" s="56">
        <v>2.0</v>
      </c>
      <c r="G128" s="69" t="s">
        <v>24</v>
      </c>
      <c r="H128" s="56">
        <v>1.0</v>
      </c>
      <c r="I128" s="79" t="s">
        <v>140</v>
      </c>
      <c r="J128" s="3"/>
      <c r="K128" s="17">
        <f t="shared" si="17"/>
        <v>2</v>
      </c>
      <c r="L128" s="18">
        <f t="shared" si="18"/>
        <v>1</v>
      </c>
      <c r="M128" s="3"/>
      <c r="N128" s="18">
        <v>5.0</v>
      </c>
      <c r="O128" s="102" t="s">
        <v>169</v>
      </c>
      <c r="P128" s="18">
        <f t="shared" si="19"/>
        <v>13</v>
      </c>
      <c r="Q128" s="20">
        <f t="shared" si="20"/>
        <v>4</v>
      </c>
      <c r="R128" s="22"/>
      <c r="S128" s="22">
        <f t="shared" si="21"/>
        <v>5</v>
      </c>
      <c r="T128" s="18">
        <f t="shared" si="22"/>
        <v>9</v>
      </c>
      <c r="U128" s="22">
        <f t="shared" si="23"/>
        <v>10</v>
      </c>
      <c r="V128" s="18">
        <f t="shared" si="24"/>
        <v>-1</v>
      </c>
      <c r="X128" s="123" t="s">
        <v>20</v>
      </c>
      <c r="Y128" s="8"/>
      <c r="AA128" s="24">
        <v>5.0</v>
      </c>
      <c r="AB128" s="108" t="s">
        <v>140</v>
      </c>
      <c r="AC128" s="26">
        <v>15.0</v>
      </c>
      <c r="AD128" s="26">
        <v>5.0</v>
      </c>
      <c r="AE128" s="27"/>
      <c r="AF128" s="27">
        <v>3.0</v>
      </c>
      <c r="AG128" s="26">
        <v>13.0</v>
      </c>
      <c r="AH128" s="27">
        <v>9.0</v>
      </c>
      <c r="AI128" s="26">
        <v>4.0</v>
      </c>
      <c r="AJ128" s="28"/>
    </row>
    <row r="129" ht="15.75" customHeight="1">
      <c r="A129" s="106">
        <v>2.0</v>
      </c>
      <c r="B129" s="12">
        <v>45623.0</v>
      </c>
      <c r="C129" s="13" t="s">
        <v>53</v>
      </c>
      <c r="D129" s="13" t="s">
        <v>22</v>
      </c>
      <c r="E129" s="14" t="s">
        <v>64</v>
      </c>
      <c r="F129" s="56">
        <v>2.0</v>
      </c>
      <c r="G129" s="69" t="s">
        <v>24</v>
      </c>
      <c r="H129" s="56">
        <v>0.0</v>
      </c>
      <c r="I129" s="79" t="s">
        <v>42</v>
      </c>
      <c r="J129" s="3"/>
      <c r="K129" s="17">
        <f t="shared" si="17"/>
        <v>3</v>
      </c>
      <c r="L129" s="18">
        <f t="shared" si="18"/>
        <v>0</v>
      </c>
      <c r="M129" s="3"/>
      <c r="N129" s="18">
        <v>6.0</v>
      </c>
      <c r="O129" s="102" t="s">
        <v>67</v>
      </c>
      <c r="P129" s="18">
        <f t="shared" si="19"/>
        <v>19</v>
      </c>
      <c r="Q129" s="20">
        <f t="shared" si="20"/>
        <v>6</v>
      </c>
      <c r="R129" s="22"/>
      <c r="S129" s="22">
        <f t="shared" si="21"/>
        <v>3</v>
      </c>
      <c r="T129" s="18">
        <f t="shared" si="22"/>
        <v>15</v>
      </c>
      <c r="U129" s="22">
        <f t="shared" si="23"/>
        <v>8</v>
      </c>
      <c r="V129" s="18">
        <f t="shared" si="24"/>
        <v>7</v>
      </c>
      <c r="X129" s="124" t="s">
        <v>26</v>
      </c>
      <c r="Y129" s="124" t="s">
        <v>13</v>
      </c>
      <c r="AA129" s="24">
        <v>6.0</v>
      </c>
      <c r="AB129" s="108" t="s">
        <v>169</v>
      </c>
      <c r="AC129" s="26">
        <v>13.0</v>
      </c>
      <c r="AD129" s="26">
        <v>4.0</v>
      </c>
      <c r="AE129" s="27"/>
      <c r="AF129" s="27">
        <v>5.0</v>
      </c>
      <c r="AG129" s="26">
        <v>9.0</v>
      </c>
      <c r="AH129" s="27">
        <v>10.0</v>
      </c>
      <c r="AI129" s="26">
        <v>-1.0</v>
      </c>
      <c r="AJ129" s="28"/>
    </row>
    <row r="130" ht="15.75" customHeight="1">
      <c r="A130" s="29"/>
      <c r="B130" s="12">
        <v>45623.0</v>
      </c>
      <c r="C130" s="13" t="s">
        <v>51</v>
      </c>
      <c r="D130" s="13" t="s">
        <v>22</v>
      </c>
      <c r="E130" s="14" t="s">
        <v>140</v>
      </c>
      <c r="F130" s="56">
        <v>2.0</v>
      </c>
      <c r="G130" s="69" t="s">
        <v>24</v>
      </c>
      <c r="H130" s="56">
        <v>0.0</v>
      </c>
      <c r="I130" s="79" t="s">
        <v>62</v>
      </c>
      <c r="J130" s="3"/>
      <c r="K130" s="17">
        <f t="shared" si="17"/>
        <v>3</v>
      </c>
      <c r="L130" s="18">
        <f t="shared" si="18"/>
        <v>0</v>
      </c>
      <c r="M130" s="3"/>
      <c r="N130" s="18">
        <v>7.0</v>
      </c>
      <c r="O130" s="121" t="s">
        <v>170</v>
      </c>
      <c r="P130" s="18">
        <f t="shared" si="19"/>
        <v>5</v>
      </c>
      <c r="Q130" s="20">
        <f t="shared" si="20"/>
        <v>2</v>
      </c>
      <c r="R130" s="22"/>
      <c r="S130" s="22">
        <f t="shared" si="21"/>
        <v>5</v>
      </c>
      <c r="T130" s="18">
        <f t="shared" si="22"/>
        <v>4</v>
      </c>
      <c r="U130" s="22">
        <f t="shared" si="23"/>
        <v>11</v>
      </c>
      <c r="V130" s="18">
        <f t="shared" si="24"/>
        <v>-7</v>
      </c>
      <c r="X130" s="125" t="s">
        <v>169</v>
      </c>
      <c r="Y130" s="125">
        <v>3.0</v>
      </c>
      <c r="AA130" s="24">
        <v>7.0</v>
      </c>
      <c r="AB130" s="108" t="s">
        <v>94</v>
      </c>
      <c r="AC130" s="26">
        <v>13.0</v>
      </c>
      <c r="AD130" s="26">
        <v>4.0</v>
      </c>
      <c r="AE130" s="27"/>
      <c r="AF130" s="27">
        <v>5.0</v>
      </c>
      <c r="AG130" s="26">
        <v>10.0</v>
      </c>
      <c r="AH130" s="27">
        <v>11.0</v>
      </c>
      <c r="AI130" s="26">
        <v>-1.0</v>
      </c>
      <c r="AJ130" s="28"/>
    </row>
    <row r="131" ht="15.75" customHeight="1">
      <c r="A131" s="29"/>
      <c r="B131" s="12">
        <v>45623.0</v>
      </c>
      <c r="C131" s="13" t="s">
        <v>51</v>
      </c>
      <c r="D131" s="13" t="s">
        <v>22</v>
      </c>
      <c r="E131" s="14" t="s">
        <v>68</v>
      </c>
      <c r="F131" s="56">
        <v>1.0</v>
      </c>
      <c r="G131" s="69" t="s">
        <v>24</v>
      </c>
      <c r="H131" s="56">
        <v>2.0</v>
      </c>
      <c r="I131" s="79" t="s">
        <v>158</v>
      </c>
      <c r="J131" s="3"/>
      <c r="K131" s="17">
        <f t="shared" si="17"/>
        <v>1</v>
      </c>
      <c r="L131" s="18">
        <f t="shared" si="18"/>
        <v>2</v>
      </c>
      <c r="M131" s="3"/>
      <c r="N131" s="18">
        <v>8.0</v>
      </c>
      <c r="O131" s="102" t="s">
        <v>94</v>
      </c>
      <c r="P131" s="18">
        <f t="shared" si="19"/>
        <v>13</v>
      </c>
      <c r="Q131" s="20">
        <f t="shared" si="20"/>
        <v>4</v>
      </c>
      <c r="R131" s="22"/>
      <c r="S131" s="22">
        <f t="shared" si="21"/>
        <v>5</v>
      </c>
      <c r="T131" s="18">
        <f t="shared" si="22"/>
        <v>10</v>
      </c>
      <c r="U131" s="22">
        <f t="shared" si="23"/>
        <v>11</v>
      </c>
      <c r="V131" s="18">
        <f t="shared" si="24"/>
        <v>-1</v>
      </c>
      <c r="X131" s="125" t="s">
        <v>94</v>
      </c>
      <c r="Y131" s="125">
        <v>0.0</v>
      </c>
      <c r="AA131" s="24">
        <v>8.0</v>
      </c>
      <c r="AB131" s="108" t="s">
        <v>68</v>
      </c>
      <c r="AC131" s="26">
        <v>7.0</v>
      </c>
      <c r="AD131" s="26">
        <v>2.0</v>
      </c>
      <c r="AE131" s="27"/>
      <c r="AF131" s="27">
        <v>7.0</v>
      </c>
      <c r="AG131" s="26">
        <v>6.0</v>
      </c>
      <c r="AH131" s="27">
        <v>15.0</v>
      </c>
      <c r="AI131" s="26">
        <v>-9.0</v>
      </c>
      <c r="AJ131" s="28"/>
    </row>
    <row r="132" ht="15.75" customHeight="1">
      <c r="A132" s="29"/>
      <c r="B132" s="12">
        <v>45610.0</v>
      </c>
      <c r="C132" s="13" t="s">
        <v>30</v>
      </c>
      <c r="D132" s="13" t="s">
        <v>22</v>
      </c>
      <c r="E132" s="14" t="s">
        <v>94</v>
      </c>
      <c r="F132" s="56">
        <v>0.0</v>
      </c>
      <c r="G132" s="69" t="s">
        <v>24</v>
      </c>
      <c r="H132" s="56">
        <v>2.0</v>
      </c>
      <c r="I132" s="79" t="s">
        <v>169</v>
      </c>
      <c r="J132" s="3"/>
      <c r="K132" s="17">
        <f t="shared" si="17"/>
        <v>0</v>
      </c>
      <c r="L132" s="18">
        <f t="shared" si="18"/>
        <v>3</v>
      </c>
      <c r="M132" s="3"/>
      <c r="N132" s="18">
        <v>9.0</v>
      </c>
      <c r="O132" s="102" t="s">
        <v>68</v>
      </c>
      <c r="P132" s="18">
        <f t="shared" si="19"/>
        <v>7</v>
      </c>
      <c r="Q132" s="20">
        <f t="shared" si="20"/>
        <v>2</v>
      </c>
      <c r="R132" s="22"/>
      <c r="S132" s="22">
        <f t="shared" si="21"/>
        <v>7</v>
      </c>
      <c r="T132" s="18">
        <f t="shared" si="22"/>
        <v>6</v>
      </c>
      <c r="U132" s="22">
        <f t="shared" si="23"/>
        <v>15</v>
      </c>
      <c r="V132" s="18">
        <f t="shared" si="24"/>
        <v>-9</v>
      </c>
      <c r="AA132" s="24">
        <v>9.0</v>
      </c>
      <c r="AB132" s="108" t="s">
        <v>170</v>
      </c>
      <c r="AC132" s="26">
        <v>5.0</v>
      </c>
      <c r="AD132" s="26">
        <v>2.0</v>
      </c>
      <c r="AE132" s="27"/>
      <c r="AF132" s="27">
        <v>5.0</v>
      </c>
      <c r="AG132" s="26">
        <v>4.0</v>
      </c>
      <c r="AH132" s="27">
        <v>11.0</v>
      </c>
      <c r="AI132" s="26">
        <v>-7.0</v>
      </c>
      <c r="AJ132" s="28"/>
    </row>
    <row r="133" ht="15.75" customHeight="1">
      <c r="A133" s="37"/>
      <c r="B133" s="12">
        <v>45623.0</v>
      </c>
      <c r="C133" s="13" t="s">
        <v>51</v>
      </c>
      <c r="D133" s="13" t="s">
        <v>22</v>
      </c>
      <c r="E133" s="79" t="s">
        <v>170</v>
      </c>
      <c r="F133" s="56">
        <v>0.0</v>
      </c>
      <c r="G133" s="69" t="s">
        <v>24</v>
      </c>
      <c r="H133" s="56">
        <v>2.0</v>
      </c>
      <c r="I133" s="79" t="s">
        <v>67</v>
      </c>
      <c r="J133" s="3"/>
      <c r="K133" s="17">
        <f t="shared" si="17"/>
        <v>0</v>
      </c>
      <c r="L133" s="18">
        <f t="shared" si="18"/>
        <v>3</v>
      </c>
      <c r="M133" s="3"/>
      <c r="N133" s="18">
        <v>10.0</v>
      </c>
      <c r="O133" s="177" t="s">
        <v>140</v>
      </c>
      <c r="P133" s="18">
        <f t="shared" si="19"/>
        <v>15</v>
      </c>
      <c r="Q133" s="20">
        <f t="shared" si="20"/>
        <v>5</v>
      </c>
      <c r="R133" s="22"/>
      <c r="S133" s="22">
        <f t="shared" si="21"/>
        <v>3</v>
      </c>
      <c r="T133" s="18">
        <f t="shared" si="22"/>
        <v>13</v>
      </c>
      <c r="U133" s="22">
        <f t="shared" si="23"/>
        <v>9</v>
      </c>
      <c r="V133" s="18">
        <f t="shared" si="24"/>
        <v>4</v>
      </c>
      <c r="AA133" s="24">
        <v>10.0</v>
      </c>
      <c r="AB133" s="108" t="s">
        <v>62</v>
      </c>
      <c r="AC133" s="26">
        <v>1.0</v>
      </c>
      <c r="AD133" s="26">
        <v>0.0</v>
      </c>
      <c r="AE133" s="27"/>
      <c r="AF133" s="27">
        <v>9.0</v>
      </c>
      <c r="AG133" s="26">
        <v>1.0</v>
      </c>
      <c r="AH133" s="27">
        <v>18.0</v>
      </c>
      <c r="AI133" s="26">
        <v>-17.0</v>
      </c>
      <c r="AJ133" s="4"/>
    </row>
    <row r="134" ht="15.75" customHeight="1">
      <c r="A134" s="106">
        <v>3.0</v>
      </c>
      <c r="B134" s="12">
        <v>45634.0</v>
      </c>
      <c r="C134" s="13" t="s">
        <v>51</v>
      </c>
      <c r="D134" s="13" t="s">
        <v>22</v>
      </c>
      <c r="E134" s="14" t="s">
        <v>158</v>
      </c>
      <c r="F134" s="56">
        <v>1.0</v>
      </c>
      <c r="G134" s="69" t="s">
        <v>24</v>
      </c>
      <c r="H134" s="56">
        <v>2.0</v>
      </c>
      <c r="I134" s="79" t="s">
        <v>64</v>
      </c>
      <c r="J134" s="3"/>
      <c r="K134" s="17">
        <f t="shared" si="17"/>
        <v>1</v>
      </c>
      <c r="L134" s="18">
        <f t="shared" si="18"/>
        <v>2</v>
      </c>
      <c r="M134" s="3"/>
      <c r="AA134" s="85" t="s">
        <v>171</v>
      </c>
      <c r="AD134" s="4"/>
      <c r="AE134" s="4"/>
      <c r="AF134" s="4"/>
      <c r="AG134" s="4"/>
      <c r="AH134" s="4"/>
      <c r="AI134" s="4"/>
      <c r="AJ134" s="4"/>
    </row>
    <row r="135" ht="15.75" customHeight="1">
      <c r="A135" s="29"/>
      <c r="B135" s="12">
        <v>45634.0</v>
      </c>
      <c r="C135" s="13" t="s">
        <v>51</v>
      </c>
      <c r="D135" s="13" t="s">
        <v>22</v>
      </c>
      <c r="E135" s="14" t="s">
        <v>42</v>
      </c>
      <c r="F135" s="56">
        <v>2.0</v>
      </c>
      <c r="G135" s="69" t="s">
        <v>24</v>
      </c>
      <c r="H135" s="56">
        <v>1.0</v>
      </c>
      <c r="I135" s="79" t="s">
        <v>62</v>
      </c>
      <c r="J135" s="3"/>
      <c r="K135" s="17">
        <f t="shared" si="17"/>
        <v>2</v>
      </c>
      <c r="L135" s="18">
        <f t="shared" si="18"/>
        <v>1</v>
      </c>
      <c r="M135" s="3"/>
      <c r="AA135" s="48"/>
      <c r="AD135" s="47"/>
      <c r="AF135" s="4"/>
      <c r="AG135" s="4"/>
      <c r="AH135" s="4"/>
      <c r="AI135" s="4"/>
      <c r="AJ135" s="4"/>
    </row>
    <row r="136" ht="15.75" customHeight="1">
      <c r="A136" s="29"/>
      <c r="B136" s="12">
        <v>45634.0</v>
      </c>
      <c r="C136" s="13" t="s">
        <v>51</v>
      </c>
      <c r="D136" s="13" t="s">
        <v>22</v>
      </c>
      <c r="E136" s="14" t="s">
        <v>169</v>
      </c>
      <c r="F136" s="56">
        <v>2.0</v>
      </c>
      <c r="G136" s="69" t="s">
        <v>24</v>
      </c>
      <c r="H136" s="56">
        <v>0.0</v>
      </c>
      <c r="I136" s="79" t="s">
        <v>68</v>
      </c>
      <c r="J136" s="3"/>
      <c r="K136" s="17">
        <f t="shared" si="17"/>
        <v>3</v>
      </c>
      <c r="L136" s="18">
        <f t="shared" si="18"/>
        <v>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AF136" s="4"/>
      <c r="AG136" s="4"/>
      <c r="AH136" s="4"/>
      <c r="AI136" s="4"/>
      <c r="AJ136" s="4"/>
    </row>
    <row r="137" ht="15.75" customHeight="1">
      <c r="A137" s="29"/>
      <c r="B137" s="12">
        <v>45634.0</v>
      </c>
      <c r="C137" s="13" t="s">
        <v>53</v>
      </c>
      <c r="D137" s="13" t="s">
        <v>22</v>
      </c>
      <c r="E137" s="14" t="s">
        <v>67</v>
      </c>
      <c r="F137" s="56">
        <v>1.0</v>
      </c>
      <c r="G137" s="69" t="s">
        <v>24</v>
      </c>
      <c r="H137" s="56">
        <v>2.0</v>
      </c>
      <c r="I137" s="79" t="s">
        <v>94</v>
      </c>
      <c r="J137" s="3"/>
      <c r="K137" s="17">
        <f t="shared" si="17"/>
        <v>1</v>
      </c>
      <c r="L137" s="18">
        <f t="shared" si="18"/>
        <v>2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AF137" s="4"/>
      <c r="AG137" s="4"/>
      <c r="AH137" s="4"/>
      <c r="AI137" s="4"/>
      <c r="AJ137" s="4"/>
    </row>
    <row r="138" ht="15.75" customHeight="1">
      <c r="A138" s="37"/>
      <c r="B138" s="203"/>
      <c r="C138" s="92"/>
      <c r="D138" s="13" t="s">
        <v>22</v>
      </c>
      <c r="E138" s="14" t="s">
        <v>140</v>
      </c>
      <c r="F138" s="56"/>
      <c r="G138" s="69" t="s">
        <v>24</v>
      </c>
      <c r="H138" s="56"/>
      <c r="I138" s="79" t="s">
        <v>170</v>
      </c>
      <c r="J138" s="3"/>
      <c r="K138" s="17" t="str">
        <f t="shared" si="17"/>
        <v/>
      </c>
      <c r="L138" s="18" t="str">
        <f t="shared" si="18"/>
        <v/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AF138" s="4"/>
      <c r="AG138" s="4"/>
      <c r="AH138" s="4"/>
      <c r="AI138" s="4"/>
      <c r="AJ138" s="4"/>
    </row>
    <row r="139" ht="15.75" customHeight="1">
      <c r="A139" s="106">
        <v>4.0</v>
      </c>
      <c r="B139" s="12">
        <v>45634.0</v>
      </c>
      <c r="C139" s="13" t="s">
        <v>53</v>
      </c>
      <c r="D139" s="13" t="s">
        <v>22</v>
      </c>
      <c r="E139" s="14" t="s">
        <v>64</v>
      </c>
      <c r="F139" s="56">
        <v>2.0</v>
      </c>
      <c r="G139" s="69" t="s">
        <v>24</v>
      </c>
      <c r="H139" s="56">
        <v>0.0</v>
      </c>
      <c r="I139" s="79" t="s">
        <v>169</v>
      </c>
      <c r="J139" s="50"/>
      <c r="K139" s="17">
        <f t="shared" si="17"/>
        <v>3</v>
      </c>
      <c r="L139" s="18">
        <f t="shared" si="18"/>
        <v>0</v>
      </c>
      <c r="M139" s="3"/>
      <c r="N139" s="3"/>
      <c r="O139" s="3"/>
      <c r="P139" s="3"/>
      <c r="R139" s="3"/>
      <c r="S139" s="3"/>
      <c r="T139" s="3"/>
      <c r="U139" s="3"/>
      <c r="V139" s="3"/>
      <c r="AF139" s="4"/>
      <c r="AG139" s="4"/>
      <c r="AH139" s="4"/>
      <c r="AI139" s="4"/>
      <c r="AJ139" s="4"/>
    </row>
    <row r="140" ht="15.75" customHeight="1">
      <c r="A140" s="29"/>
      <c r="B140" s="12">
        <v>45634.0</v>
      </c>
      <c r="C140" s="13" t="s">
        <v>54</v>
      </c>
      <c r="D140" s="13" t="s">
        <v>22</v>
      </c>
      <c r="E140" s="14" t="s">
        <v>62</v>
      </c>
      <c r="F140" s="56">
        <v>0.0</v>
      </c>
      <c r="G140" s="69" t="s">
        <v>24</v>
      </c>
      <c r="H140" s="56">
        <v>2.0</v>
      </c>
      <c r="I140" s="79" t="s">
        <v>158</v>
      </c>
      <c r="J140" s="3"/>
      <c r="K140" s="17">
        <f t="shared" si="17"/>
        <v>0</v>
      </c>
      <c r="L140" s="18">
        <f t="shared" si="18"/>
        <v>3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AF140" s="4"/>
      <c r="AG140" s="4"/>
      <c r="AH140" s="4"/>
      <c r="AI140" s="4"/>
      <c r="AJ140" s="4"/>
    </row>
    <row r="141" ht="15.75" customHeight="1">
      <c r="A141" s="29"/>
      <c r="B141" s="12">
        <v>45705.0</v>
      </c>
      <c r="C141" s="13" t="s">
        <v>21</v>
      </c>
      <c r="D141" s="13" t="s">
        <v>22</v>
      </c>
      <c r="E141" s="14" t="s">
        <v>42</v>
      </c>
      <c r="F141" s="56">
        <v>2.0</v>
      </c>
      <c r="G141" s="69" t="s">
        <v>24</v>
      </c>
      <c r="H141" s="56">
        <v>1.0</v>
      </c>
      <c r="I141" s="79" t="s">
        <v>140</v>
      </c>
      <c r="J141" s="3"/>
      <c r="K141" s="17">
        <f t="shared" si="17"/>
        <v>2</v>
      </c>
      <c r="L141" s="18">
        <f t="shared" si="18"/>
        <v>1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AF141" s="4"/>
      <c r="AG141" s="4"/>
      <c r="AH141" s="4"/>
      <c r="AI141" s="4"/>
      <c r="AJ141" s="4"/>
    </row>
    <row r="142" ht="15.75" customHeight="1">
      <c r="A142" s="29"/>
      <c r="B142" s="12">
        <v>45705.0</v>
      </c>
      <c r="C142" s="13" t="s">
        <v>21</v>
      </c>
      <c r="D142" s="13" t="s">
        <v>22</v>
      </c>
      <c r="E142" s="14" t="s">
        <v>68</v>
      </c>
      <c r="F142" s="56">
        <v>0.0</v>
      </c>
      <c r="G142" s="69" t="s">
        <v>24</v>
      </c>
      <c r="H142" s="56">
        <v>2.0</v>
      </c>
      <c r="I142" s="79" t="s">
        <v>67</v>
      </c>
      <c r="J142" s="3"/>
      <c r="K142" s="17">
        <f t="shared" si="17"/>
        <v>0</v>
      </c>
      <c r="L142" s="18">
        <f t="shared" si="18"/>
        <v>3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AF142" s="4"/>
      <c r="AG142" s="4"/>
      <c r="AH142" s="4"/>
      <c r="AI142" s="4"/>
      <c r="AJ142" s="4"/>
    </row>
    <row r="143" ht="15.75" customHeight="1">
      <c r="A143" s="37"/>
      <c r="B143" s="12">
        <v>45705.0</v>
      </c>
      <c r="C143" s="13" t="s">
        <v>30</v>
      </c>
      <c r="D143" s="13" t="s">
        <v>22</v>
      </c>
      <c r="E143" s="14" t="s">
        <v>94</v>
      </c>
      <c r="F143" s="56">
        <v>2.0</v>
      </c>
      <c r="G143" s="69" t="s">
        <v>24</v>
      </c>
      <c r="H143" s="56">
        <v>0.0</v>
      </c>
      <c r="I143" s="79" t="s">
        <v>93</v>
      </c>
      <c r="J143" s="3"/>
      <c r="K143" s="17">
        <f t="shared" si="17"/>
        <v>3</v>
      </c>
      <c r="L143" s="18">
        <f t="shared" si="18"/>
        <v>0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AA143" s="93"/>
      <c r="AD143" s="4"/>
      <c r="AE143" s="4"/>
      <c r="AF143" s="4"/>
      <c r="AG143" s="4"/>
      <c r="AH143" s="4"/>
      <c r="AI143" s="4"/>
      <c r="AJ143" s="4"/>
    </row>
    <row r="144" ht="15.75" customHeight="1">
      <c r="A144" s="106">
        <v>5.0</v>
      </c>
      <c r="B144" s="12">
        <v>45705.0</v>
      </c>
      <c r="C144" s="13" t="s">
        <v>30</v>
      </c>
      <c r="D144" s="13" t="s">
        <v>22</v>
      </c>
      <c r="E144" s="14" t="s">
        <v>67</v>
      </c>
      <c r="F144" s="56">
        <v>2.0</v>
      </c>
      <c r="G144" s="69" t="s">
        <v>24</v>
      </c>
      <c r="H144" s="56">
        <v>1.0</v>
      </c>
      <c r="I144" s="79" t="s">
        <v>64</v>
      </c>
      <c r="J144" s="3"/>
      <c r="K144" s="17">
        <f t="shared" si="17"/>
        <v>2</v>
      </c>
      <c r="L144" s="18">
        <f t="shared" si="18"/>
        <v>1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AA144" s="4"/>
      <c r="AB144" s="2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29"/>
      <c r="B145" s="12">
        <v>45705.0</v>
      </c>
      <c r="C145" s="13" t="s">
        <v>36</v>
      </c>
      <c r="D145" s="13" t="s">
        <v>22</v>
      </c>
      <c r="E145" s="14" t="s">
        <v>169</v>
      </c>
      <c r="F145" s="56">
        <v>2.0</v>
      </c>
      <c r="G145" s="69" t="s">
        <v>24</v>
      </c>
      <c r="H145" s="56">
        <v>0.0</v>
      </c>
      <c r="I145" s="79" t="s">
        <v>62</v>
      </c>
      <c r="J145" s="3"/>
      <c r="K145" s="17">
        <f t="shared" si="17"/>
        <v>3</v>
      </c>
      <c r="L145" s="18">
        <f t="shared" si="18"/>
        <v>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AA145" s="4"/>
      <c r="AB145" s="2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29"/>
      <c r="B146" s="12">
        <v>45705.0</v>
      </c>
      <c r="C146" s="13" t="s">
        <v>41</v>
      </c>
      <c r="D146" s="13" t="s">
        <v>22</v>
      </c>
      <c r="E146" s="14" t="s">
        <v>158</v>
      </c>
      <c r="F146" s="56">
        <v>2.0</v>
      </c>
      <c r="G146" s="69" t="s">
        <v>24</v>
      </c>
      <c r="H146" s="56">
        <v>1.0</v>
      </c>
      <c r="I146" s="79" t="s">
        <v>42</v>
      </c>
      <c r="J146" s="3"/>
      <c r="K146" s="17">
        <f t="shared" si="17"/>
        <v>2</v>
      </c>
      <c r="L146" s="18">
        <f t="shared" si="18"/>
        <v>1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AA146" s="4"/>
      <c r="AB146" s="2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29"/>
      <c r="B147" s="12">
        <v>45705.0</v>
      </c>
      <c r="C147" s="13" t="s">
        <v>36</v>
      </c>
      <c r="D147" s="13" t="s">
        <v>22</v>
      </c>
      <c r="E147" s="79" t="s">
        <v>170</v>
      </c>
      <c r="F147" s="56">
        <v>2.0</v>
      </c>
      <c r="G147" s="69" t="s">
        <v>24</v>
      </c>
      <c r="H147" s="56">
        <v>1.0</v>
      </c>
      <c r="I147" s="79" t="s">
        <v>68</v>
      </c>
      <c r="J147" s="3"/>
      <c r="K147" s="17">
        <f t="shared" si="17"/>
        <v>2</v>
      </c>
      <c r="L147" s="18">
        <f t="shared" si="18"/>
        <v>1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AA147" s="4"/>
      <c r="AB147" s="2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37"/>
      <c r="B148" s="12">
        <v>45705.0</v>
      </c>
      <c r="C148" s="13" t="s">
        <v>41</v>
      </c>
      <c r="D148" s="13" t="s">
        <v>22</v>
      </c>
      <c r="E148" s="14" t="s">
        <v>140</v>
      </c>
      <c r="F148" s="56">
        <v>2.0</v>
      </c>
      <c r="G148" s="69" t="s">
        <v>24</v>
      </c>
      <c r="H148" s="56">
        <v>1.0</v>
      </c>
      <c r="I148" s="79" t="s">
        <v>94</v>
      </c>
      <c r="J148" s="3"/>
      <c r="K148" s="17">
        <f t="shared" si="17"/>
        <v>2</v>
      </c>
      <c r="L148" s="18">
        <f t="shared" si="18"/>
        <v>1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AA148" s="4"/>
      <c r="AB148" s="2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106">
        <v>6.0</v>
      </c>
      <c r="B149" s="12">
        <v>45760.0</v>
      </c>
      <c r="C149" s="200" t="s">
        <v>51</v>
      </c>
      <c r="D149" s="13" t="s">
        <v>22</v>
      </c>
      <c r="E149" s="14" t="s">
        <v>64</v>
      </c>
      <c r="F149" s="13">
        <v>2.0</v>
      </c>
      <c r="G149" s="69" t="s">
        <v>24</v>
      </c>
      <c r="H149" s="56">
        <v>0.0</v>
      </c>
      <c r="I149" s="79" t="s">
        <v>170</v>
      </c>
      <c r="J149" s="3"/>
      <c r="K149" s="17">
        <f t="shared" si="17"/>
        <v>3</v>
      </c>
      <c r="L149" s="18">
        <f t="shared" si="18"/>
        <v>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AA149" s="4"/>
      <c r="AB149" s="2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29"/>
      <c r="B150" s="12">
        <v>45760.0</v>
      </c>
      <c r="C150" s="200" t="s">
        <v>51</v>
      </c>
      <c r="D150" s="13" t="s">
        <v>22</v>
      </c>
      <c r="E150" s="14" t="s">
        <v>62</v>
      </c>
      <c r="F150" s="13">
        <v>0.0</v>
      </c>
      <c r="G150" s="69" t="s">
        <v>24</v>
      </c>
      <c r="H150" s="56">
        <v>2.0</v>
      </c>
      <c r="I150" s="79" t="s">
        <v>67</v>
      </c>
      <c r="J150" s="3"/>
      <c r="K150" s="17">
        <f t="shared" si="17"/>
        <v>0</v>
      </c>
      <c r="L150" s="18">
        <f t="shared" si="18"/>
        <v>3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AA150" s="4"/>
      <c r="AB150" s="2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29"/>
      <c r="B151" s="12">
        <v>45736.0</v>
      </c>
      <c r="C151" s="200" t="s">
        <v>36</v>
      </c>
      <c r="D151" s="13" t="s">
        <v>22</v>
      </c>
      <c r="E151" s="14" t="s">
        <v>42</v>
      </c>
      <c r="F151" s="13">
        <v>2.0</v>
      </c>
      <c r="G151" s="69" t="s">
        <v>24</v>
      </c>
      <c r="H151" s="56">
        <v>0.0</v>
      </c>
      <c r="I151" s="79" t="s">
        <v>169</v>
      </c>
      <c r="J151" s="3"/>
      <c r="K151" s="17">
        <f t="shared" si="17"/>
        <v>3</v>
      </c>
      <c r="L151" s="18">
        <f t="shared" si="18"/>
        <v>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AA151" s="4"/>
      <c r="AB151" s="2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29"/>
      <c r="B152" s="12">
        <v>45760.0</v>
      </c>
      <c r="C152" s="200" t="s">
        <v>51</v>
      </c>
      <c r="D152" s="13" t="s">
        <v>22</v>
      </c>
      <c r="E152" s="14" t="s">
        <v>158</v>
      </c>
      <c r="F152" s="13">
        <v>1.0</v>
      </c>
      <c r="G152" s="69" t="s">
        <v>24</v>
      </c>
      <c r="H152" s="56">
        <v>2.0</v>
      </c>
      <c r="I152" s="79" t="s">
        <v>140</v>
      </c>
      <c r="J152" s="3"/>
      <c r="K152" s="17">
        <f t="shared" si="17"/>
        <v>1</v>
      </c>
      <c r="L152" s="18">
        <f t="shared" si="18"/>
        <v>2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AA152" s="4"/>
      <c r="AB152" s="2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37"/>
      <c r="B153" s="12">
        <v>45760.0</v>
      </c>
      <c r="C153" s="13" t="s">
        <v>53</v>
      </c>
      <c r="D153" s="13" t="s">
        <v>22</v>
      </c>
      <c r="E153" s="14" t="s">
        <v>68</v>
      </c>
      <c r="F153" s="13">
        <v>0.0</v>
      </c>
      <c r="G153" s="69" t="s">
        <v>24</v>
      </c>
      <c r="H153" s="56">
        <v>2.0</v>
      </c>
      <c r="I153" s="79" t="s">
        <v>94</v>
      </c>
      <c r="J153" s="3"/>
      <c r="K153" s="17">
        <f t="shared" si="17"/>
        <v>0</v>
      </c>
      <c r="L153" s="18">
        <f t="shared" si="18"/>
        <v>3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AA153" s="4"/>
      <c r="AB153" s="2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106">
        <v>7.0</v>
      </c>
      <c r="B154" s="12">
        <v>45792.0</v>
      </c>
      <c r="C154" s="13" t="s">
        <v>30</v>
      </c>
      <c r="D154" s="13" t="s">
        <v>22</v>
      </c>
      <c r="E154" s="14" t="s">
        <v>94</v>
      </c>
      <c r="F154" s="56">
        <v>0.0</v>
      </c>
      <c r="G154" s="69" t="s">
        <v>24</v>
      </c>
      <c r="H154" s="56">
        <v>2.0</v>
      </c>
      <c r="I154" s="79" t="s">
        <v>64</v>
      </c>
      <c r="J154" s="3"/>
      <c r="K154" s="17">
        <f t="shared" si="17"/>
        <v>0</v>
      </c>
      <c r="L154" s="18">
        <f t="shared" si="18"/>
        <v>3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AA154" s="4"/>
      <c r="AB154" s="2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29"/>
      <c r="B155" s="12">
        <v>45792.0</v>
      </c>
      <c r="C155" s="200" t="s">
        <v>36</v>
      </c>
      <c r="D155" s="13" t="s">
        <v>22</v>
      </c>
      <c r="E155" s="79" t="s">
        <v>170</v>
      </c>
      <c r="F155" s="56">
        <v>2.0</v>
      </c>
      <c r="G155" s="69" t="s">
        <v>24</v>
      </c>
      <c r="H155" s="56">
        <v>0.0</v>
      </c>
      <c r="I155" s="79" t="s">
        <v>62</v>
      </c>
      <c r="J155" s="3"/>
      <c r="K155" s="17">
        <f t="shared" si="17"/>
        <v>3</v>
      </c>
      <c r="L155" s="18">
        <f t="shared" si="18"/>
        <v>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AA155" s="4"/>
      <c r="AB155" s="2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29"/>
      <c r="B156" s="12">
        <v>45760.0</v>
      </c>
      <c r="C156" s="13" t="s">
        <v>53</v>
      </c>
      <c r="D156" s="13" t="s">
        <v>22</v>
      </c>
      <c r="E156" s="14" t="s">
        <v>67</v>
      </c>
      <c r="F156" s="56">
        <v>1.0</v>
      </c>
      <c r="G156" s="69" t="s">
        <v>24</v>
      </c>
      <c r="H156" s="56">
        <v>2.0</v>
      </c>
      <c r="I156" s="79" t="s">
        <v>42</v>
      </c>
      <c r="J156" s="3"/>
      <c r="K156" s="17">
        <f t="shared" si="17"/>
        <v>1</v>
      </c>
      <c r="L156" s="18">
        <f t="shared" si="18"/>
        <v>2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AA156" s="4"/>
      <c r="AB156" s="2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29"/>
      <c r="B157" s="12">
        <v>45760.0</v>
      </c>
      <c r="C157" s="13" t="s">
        <v>53</v>
      </c>
      <c r="D157" s="13" t="s">
        <v>22</v>
      </c>
      <c r="E157" s="14" t="s">
        <v>169</v>
      </c>
      <c r="F157" s="56">
        <v>0.0</v>
      </c>
      <c r="G157" s="69" t="s">
        <v>24</v>
      </c>
      <c r="H157" s="56">
        <v>2.0</v>
      </c>
      <c r="I157" s="79" t="s">
        <v>158</v>
      </c>
      <c r="J157" s="3"/>
      <c r="K157" s="17">
        <f t="shared" si="17"/>
        <v>0</v>
      </c>
      <c r="L157" s="18">
        <f t="shared" si="18"/>
        <v>3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AA157" s="4"/>
      <c r="AB157" s="2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37"/>
      <c r="B158" s="12">
        <v>45792.0</v>
      </c>
      <c r="C158" s="13" t="s">
        <v>41</v>
      </c>
      <c r="D158" s="13" t="s">
        <v>22</v>
      </c>
      <c r="E158" s="14" t="s">
        <v>140</v>
      </c>
      <c r="F158" s="56">
        <v>2.0</v>
      </c>
      <c r="G158" s="69" t="s">
        <v>24</v>
      </c>
      <c r="H158" s="56">
        <v>0.0</v>
      </c>
      <c r="I158" s="79" t="s">
        <v>68</v>
      </c>
      <c r="J158" s="3"/>
      <c r="K158" s="17">
        <f t="shared" si="17"/>
        <v>3</v>
      </c>
      <c r="L158" s="18">
        <f t="shared" si="18"/>
        <v>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AA158" s="4"/>
      <c r="AB158" s="2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106">
        <v>8.0</v>
      </c>
      <c r="B159" s="12">
        <v>45783.0</v>
      </c>
      <c r="C159" s="13" t="s">
        <v>21</v>
      </c>
      <c r="D159" s="13" t="s">
        <v>22</v>
      </c>
      <c r="E159" s="14" t="s">
        <v>64</v>
      </c>
      <c r="F159" s="56">
        <v>2.0</v>
      </c>
      <c r="G159" s="69" t="s">
        <v>24</v>
      </c>
      <c r="H159" s="56">
        <v>0.0</v>
      </c>
      <c r="I159" s="79" t="s">
        <v>68</v>
      </c>
      <c r="J159" s="3"/>
      <c r="K159" s="17">
        <f t="shared" si="17"/>
        <v>3</v>
      </c>
      <c r="L159" s="18">
        <f t="shared" si="18"/>
        <v>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AA159" s="4"/>
      <c r="AB159" s="2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29"/>
      <c r="B160" s="12">
        <v>45783.0</v>
      </c>
      <c r="C160" s="13" t="s">
        <v>21</v>
      </c>
      <c r="D160" s="13" t="s">
        <v>22</v>
      </c>
      <c r="E160" s="14" t="s">
        <v>62</v>
      </c>
      <c r="F160" s="56">
        <v>0.0</v>
      </c>
      <c r="G160" s="69" t="s">
        <v>24</v>
      </c>
      <c r="H160" s="56">
        <v>2.0</v>
      </c>
      <c r="I160" s="79" t="s">
        <v>94</v>
      </c>
      <c r="J160" s="3"/>
      <c r="K160" s="17">
        <f t="shared" si="17"/>
        <v>0</v>
      </c>
      <c r="L160" s="18">
        <f t="shared" si="18"/>
        <v>3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AA160" s="4"/>
      <c r="AB160" s="2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29"/>
      <c r="B161" s="12">
        <v>45783.0</v>
      </c>
      <c r="C161" s="13" t="s">
        <v>21</v>
      </c>
      <c r="D161" s="13" t="s">
        <v>22</v>
      </c>
      <c r="E161" s="14" t="s">
        <v>42</v>
      </c>
      <c r="F161" s="56">
        <v>2.0</v>
      </c>
      <c r="G161" s="69" t="s">
        <v>24</v>
      </c>
      <c r="H161" s="56">
        <v>0.0</v>
      </c>
      <c r="I161" s="79" t="s">
        <v>170</v>
      </c>
      <c r="J161" s="3"/>
      <c r="K161" s="17">
        <f t="shared" si="17"/>
        <v>3</v>
      </c>
      <c r="L161" s="18">
        <f t="shared" si="18"/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AA161" s="4"/>
      <c r="AB161" s="2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29"/>
      <c r="B162" s="12">
        <v>45783.0</v>
      </c>
      <c r="C162" s="13" t="s">
        <v>30</v>
      </c>
      <c r="D162" s="13" t="s">
        <v>22</v>
      </c>
      <c r="E162" s="14" t="s">
        <v>158</v>
      </c>
      <c r="F162" s="56">
        <v>2.0</v>
      </c>
      <c r="G162" s="69" t="s">
        <v>24</v>
      </c>
      <c r="H162" s="56">
        <v>1.0</v>
      </c>
      <c r="I162" s="79" t="s">
        <v>67</v>
      </c>
      <c r="J162" s="3"/>
      <c r="K162" s="17">
        <f t="shared" si="17"/>
        <v>2</v>
      </c>
      <c r="L162" s="18">
        <f t="shared" si="18"/>
        <v>1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AA162" s="4"/>
      <c r="AB162" s="2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37"/>
      <c r="B163" s="12">
        <v>45783.0</v>
      </c>
      <c r="C163" s="13" t="s">
        <v>30</v>
      </c>
      <c r="D163" s="13" t="s">
        <v>22</v>
      </c>
      <c r="E163" s="14" t="s">
        <v>169</v>
      </c>
      <c r="F163" s="56">
        <v>1.0</v>
      </c>
      <c r="G163" s="69" t="s">
        <v>24</v>
      </c>
      <c r="H163" s="56">
        <v>2.0</v>
      </c>
      <c r="I163" s="79" t="s">
        <v>140</v>
      </c>
      <c r="J163" s="3"/>
      <c r="K163" s="17">
        <f t="shared" si="17"/>
        <v>1</v>
      </c>
      <c r="L163" s="18">
        <f t="shared" si="18"/>
        <v>2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AA163" s="4"/>
      <c r="AB163" s="2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106">
        <v>9.0</v>
      </c>
      <c r="B164" s="12">
        <v>45783.0</v>
      </c>
      <c r="C164" s="200" t="s">
        <v>36</v>
      </c>
      <c r="D164" s="13" t="s">
        <v>22</v>
      </c>
      <c r="E164" s="14" t="s">
        <v>140</v>
      </c>
      <c r="F164" s="56">
        <v>1.0</v>
      </c>
      <c r="G164" s="69" t="s">
        <v>24</v>
      </c>
      <c r="H164" s="56">
        <v>2.0</v>
      </c>
      <c r="I164" s="79" t="s">
        <v>64</v>
      </c>
      <c r="J164" s="3"/>
      <c r="K164" s="17">
        <f t="shared" si="17"/>
        <v>1</v>
      </c>
      <c r="L164" s="18">
        <f t="shared" si="18"/>
        <v>2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AA164" s="4"/>
      <c r="AB164" s="2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29"/>
      <c r="B165" s="12">
        <v>45783.0</v>
      </c>
      <c r="C165" s="13" t="s">
        <v>30</v>
      </c>
      <c r="D165" s="13" t="s">
        <v>22</v>
      </c>
      <c r="E165" s="14" t="s">
        <v>68</v>
      </c>
      <c r="F165" s="56">
        <v>2.0</v>
      </c>
      <c r="G165" s="69" t="s">
        <v>24</v>
      </c>
      <c r="H165" s="56">
        <v>0.0</v>
      </c>
      <c r="I165" s="79" t="s">
        <v>62</v>
      </c>
      <c r="J165" s="3"/>
      <c r="K165" s="17">
        <f t="shared" si="17"/>
        <v>3</v>
      </c>
      <c r="L165" s="18">
        <f t="shared" si="18"/>
        <v>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AA165" s="4"/>
      <c r="AB165" s="2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29"/>
      <c r="B166" s="12">
        <v>45783.0</v>
      </c>
      <c r="C166" s="200" t="s">
        <v>36</v>
      </c>
      <c r="D166" s="13" t="s">
        <v>22</v>
      </c>
      <c r="E166" s="14" t="s">
        <v>94</v>
      </c>
      <c r="F166" s="56">
        <v>0.0</v>
      </c>
      <c r="G166" s="69" t="s">
        <v>24</v>
      </c>
      <c r="H166" s="56">
        <v>2.0</v>
      </c>
      <c r="I166" s="79" t="s">
        <v>42</v>
      </c>
      <c r="J166" s="3"/>
      <c r="K166" s="17">
        <f t="shared" si="17"/>
        <v>0</v>
      </c>
      <c r="L166" s="18">
        <f t="shared" si="18"/>
        <v>3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AA166" s="4"/>
      <c r="AB166" s="2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29"/>
      <c r="B167" s="12">
        <v>45783.0</v>
      </c>
      <c r="C167" s="200" t="s">
        <v>41</v>
      </c>
      <c r="D167" s="13" t="s">
        <v>22</v>
      </c>
      <c r="E167" s="79" t="s">
        <v>170</v>
      </c>
      <c r="F167" s="56">
        <v>0.0</v>
      </c>
      <c r="G167" s="69" t="s">
        <v>24</v>
      </c>
      <c r="H167" s="56">
        <v>2.0</v>
      </c>
      <c r="I167" s="79" t="s">
        <v>158</v>
      </c>
      <c r="J167" s="3"/>
      <c r="K167" s="17">
        <f t="shared" si="17"/>
        <v>0</v>
      </c>
      <c r="L167" s="18">
        <f t="shared" si="18"/>
        <v>3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AA167" s="4"/>
      <c r="AB167" s="2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37"/>
      <c r="B168" s="12">
        <v>45783.0</v>
      </c>
      <c r="C168" s="13" t="s">
        <v>41</v>
      </c>
      <c r="D168" s="13" t="s">
        <v>22</v>
      </c>
      <c r="E168" s="14" t="s">
        <v>67</v>
      </c>
      <c r="F168" s="56">
        <v>2.0</v>
      </c>
      <c r="G168" s="69" t="s">
        <v>24</v>
      </c>
      <c r="H168" s="56">
        <v>0.0</v>
      </c>
      <c r="I168" s="79" t="s">
        <v>169</v>
      </c>
      <c r="J168" s="3"/>
      <c r="K168" s="17">
        <f t="shared" si="17"/>
        <v>3</v>
      </c>
      <c r="L168" s="18">
        <f t="shared" si="18"/>
        <v>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AA168" s="4"/>
      <c r="AB168" s="2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204"/>
      <c r="E169" s="2"/>
      <c r="I169" s="2"/>
      <c r="AA169" s="4"/>
      <c r="AB169" s="2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E170" s="2"/>
      <c r="I170" s="2"/>
      <c r="AA170" s="4"/>
      <c r="AB170" s="2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E171" s="2"/>
      <c r="I171" s="2"/>
      <c r="AA171" s="4"/>
      <c r="AB171" s="2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E172" s="2"/>
      <c r="I172" s="2"/>
      <c r="AA172" s="4"/>
      <c r="AB172" s="2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204"/>
      <c r="E173" s="2"/>
      <c r="I173" s="2"/>
      <c r="AA173" s="4"/>
      <c r="AB173" s="2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E174" s="2"/>
      <c r="I174" s="2"/>
      <c r="AA174" s="4"/>
      <c r="AB174" s="2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E175" s="2"/>
      <c r="I175" s="2"/>
      <c r="AA175" s="4"/>
      <c r="AB175" s="2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E176" s="2"/>
      <c r="I176" s="2"/>
      <c r="AA176" s="4"/>
      <c r="AB176" s="2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E177" s="2"/>
      <c r="I177" s="2"/>
      <c r="AA177" s="4"/>
      <c r="AB177" s="2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E178" s="2"/>
      <c r="I178" s="2"/>
      <c r="AA178" s="4"/>
      <c r="AB178" s="2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204"/>
      <c r="E179" s="2"/>
      <c r="I179" s="2"/>
      <c r="AA179" s="4"/>
      <c r="AB179" s="2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204"/>
      <c r="E180" s="2"/>
      <c r="I180" s="2"/>
      <c r="AA180" s="4"/>
      <c r="AB180" s="2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204"/>
      <c r="E181" s="2"/>
      <c r="I181" s="2"/>
      <c r="AA181" s="4"/>
      <c r="AB181" s="2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204"/>
      <c r="E182" s="2"/>
      <c r="I182" s="2"/>
      <c r="AA182" s="4"/>
      <c r="AB182" s="2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204"/>
      <c r="E183" s="2"/>
      <c r="I183" s="2"/>
      <c r="AA183" s="4"/>
      <c r="AB183" s="2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204"/>
      <c r="E184" s="2"/>
      <c r="I184" s="2"/>
      <c r="AA184" s="4"/>
      <c r="AB184" s="2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204"/>
      <c r="E185" s="2"/>
      <c r="I185" s="2"/>
      <c r="AA185" s="4"/>
      <c r="AB185" s="2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204"/>
      <c r="E186" s="2"/>
      <c r="I186" s="2"/>
      <c r="AA186" s="4"/>
      <c r="AB186" s="2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204"/>
      <c r="E187" s="2"/>
      <c r="I187" s="2"/>
      <c r="AA187" s="4"/>
      <c r="AB187" s="2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204"/>
      <c r="E188" s="2"/>
      <c r="I188" s="2"/>
      <c r="AA188" s="4"/>
      <c r="AB188" s="2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204"/>
      <c r="E189" s="2"/>
      <c r="I189" s="2"/>
      <c r="AA189" s="4"/>
      <c r="AB189" s="2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204"/>
      <c r="E190" s="2"/>
      <c r="I190" s="2"/>
      <c r="AA190" s="4"/>
      <c r="AB190" s="2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204"/>
      <c r="E191" s="2"/>
      <c r="I191" s="2"/>
      <c r="AA191" s="4"/>
      <c r="AB191" s="2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204"/>
      <c r="E192" s="2"/>
      <c r="I192" s="2"/>
      <c r="AA192" s="4"/>
      <c r="AB192" s="2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204"/>
      <c r="E193" s="2"/>
      <c r="I193" s="2"/>
      <c r="AA193" s="4"/>
      <c r="AB193" s="2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204"/>
      <c r="E194" s="2"/>
      <c r="I194" s="2"/>
      <c r="AA194" s="4"/>
      <c r="AB194" s="2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204"/>
      <c r="E195" s="2"/>
      <c r="I195" s="2"/>
      <c r="AA195" s="4"/>
      <c r="AB195" s="2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204"/>
      <c r="E196" s="2"/>
      <c r="I196" s="2"/>
      <c r="AA196" s="4"/>
      <c r="AB196" s="2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204"/>
      <c r="E197" s="2"/>
      <c r="I197" s="2"/>
      <c r="AA197" s="4"/>
      <c r="AB197" s="2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204"/>
      <c r="E198" s="2"/>
      <c r="I198" s="2"/>
      <c r="AA198" s="4"/>
      <c r="AB198" s="2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204"/>
      <c r="E199" s="2"/>
      <c r="I199" s="2"/>
      <c r="AA199" s="4"/>
      <c r="AB199" s="2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204"/>
      <c r="E200" s="2"/>
      <c r="I200" s="2"/>
      <c r="AA200" s="4"/>
      <c r="AB200" s="2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204"/>
      <c r="E201" s="2"/>
      <c r="I201" s="2"/>
      <c r="AA201" s="4"/>
      <c r="AB201" s="2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204"/>
      <c r="E202" s="2"/>
      <c r="I202" s="2"/>
      <c r="AA202" s="4"/>
      <c r="AB202" s="2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204"/>
      <c r="E203" s="2"/>
      <c r="I203" s="2"/>
      <c r="AA203" s="4"/>
      <c r="AB203" s="2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204"/>
      <c r="E204" s="2"/>
      <c r="I204" s="2"/>
      <c r="AA204" s="4"/>
      <c r="AB204" s="2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204"/>
      <c r="E205" s="2"/>
      <c r="I205" s="2"/>
      <c r="AA205" s="4"/>
      <c r="AB205" s="2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204"/>
      <c r="E206" s="2"/>
      <c r="I206" s="2"/>
      <c r="AA206" s="4"/>
      <c r="AB206" s="2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204"/>
      <c r="E207" s="2"/>
      <c r="I207" s="2"/>
      <c r="AA207" s="4"/>
      <c r="AB207" s="2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204"/>
      <c r="E208" s="2"/>
      <c r="I208" s="2"/>
      <c r="AA208" s="4"/>
      <c r="AB208" s="2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204"/>
      <c r="E209" s="2"/>
      <c r="I209" s="2"/>
      <c r="AA209" s="4"/>
      <c r="AB209" s="2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204"/>
      <c r="E210" s="2"/>
      <c r="I210" s="2"/>
      <c r="AA210" s="4"/>
      <c r="AB210" s="2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204"/>
      <c r="E211" s="2"/>
      <c r="I211" s="2"/>
      <c r="AA211" s="4"/>
      <c r="AB211" s="2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204"/>
      <c r="E212" s="2"/>
      <c r="I212" s="2"/>
      <c r="AA212" s="4"/>
      <c r="AB212" s="2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204"/>
      <c r="E213" s="2"/>
      <c r="I213" s="2"/>
      <c r="AA213" s="4"/>
      <c r="AB213" s="2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204"/>
      <c r="E214" s="2"/>
      <c r="I214" s="2"/>
      <c r="AA214" s="4"/>
      <c r="AB214" s="2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204"/>
      <c r="E215" s="2"/>
      <c r="I215" s="2"/>
      <c r="AA215" s="4"/>
      <c r="AB215" s="2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204"/>
      <c r="E216" s="2"/>
      <c r="I216" s="2"/>
      <c r="AA216" s="4"/>
      <c r="AB216" s="2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204"/>
      <c r="E217" s="2"/>
      <c r="I217" s="2"/>
      <c r="AA217" s="4"/>
      <c r="AB217" s="2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204"/>
      <c r="E218" s="2"/>
      <c r="I218" s="2"/>
      <c r="AA218" s="4"/>
      <c r="AB218" s="2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204"/>
      <c r="E219" s="2"/>
      <c r="I219" s="2"/>
      <c r="AA219" s="4"/>
      <c r="AB219" s="2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204"/>
      <c r="E220" s="2"/>
      <c r="I220" s="2"/>
      <c r="AA220" s="4"/>
      <c r="AB220" s="2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204"/>
      <c r="E221" s="2"/>
      <c r="I221" s="2"/>
      <c r="AA221" s="4"/>
      <c r="AB221" s="2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204"/>
      <c r="E222" s="2"/>
      <c r="I222" s="2"/>
      <c r="AA222" s="4"/>
      <c r="AB222" s="2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204"/>
      <c r="E223" s="2"/>
      <c r="I223" s="2"/>
      <c r="AA223" s="4"/>
      <c r="AB223" s="2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204"/>
      <c r="E224" s="2"/>
      <c r="I224" s="2"/>
      <c r="AA224" s="4"/>
      <c r="AB224" s="2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204"/>
      <c r="E225" s="2"/>
      <c r="I225" s="2"/>
      <c r="AA225" s="4"/>
      <c r="AB225" s="2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204"/>
      <c r="E226" s="2"/>
      <c r="I226" s="2"/>
      <c r="AA226" s="4"/>
      <c r="AB226" s="2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204"/>
      <c r="E227" s="2"/>
      <c r="I227" s="2"/>
      <c r="AA227" s="4"/>
      <c r="AB227" s="2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204"/>
      <c r="E228" s="2"/>
      <c r="I228" s="2"/>
      <c r="AA228" s="4"/>
      <c r="AB228" s="2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204"/>
      <c r="E229" s="2"/>
      <c r="I229" s="2"/>
      <c r="AA229" s="4"/>
      <c r="AB229" s="2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204"/>
      <c r="E230" s="2"/>
      <c r="I230" s="2"/>
      <c r="AA230" s="4"/>
      <c r="AB230" s="2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204"/>
      <c r="E231" s="2"/>
      <c r="I231" s="2"/>
      <c r="AA231" s="4"/>
      <c r="AB231" s="2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204"/>
      <c r="E232" s="2"/>
      <c r="I232" s="2"/>
      <c r="AA232" s="4"/>
      <c r="AB232" s="2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204"/>
      <c r="E233" s="2"/>
      <c r="I233" s="2"/>
      <c r="AA233" s="4"/>
      <c r="AB233" s="2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204"/>
      <c r="E234" s="2"/>
      <c r="I234" s="2"/>
      <c r="AA234" s="4"/>
      <c r="AB234" s="2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204"/>
      <c r="E235" s="2"/>
      <c r="I235" s="2"/>
      <c r="AA235" s="4"/>
      <c r="AB235" s="2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204"/>
      <c r="E236" s="2"/>
      <c r="I236" s="2"/>
      <c r="AA236" s="4"/>
      <c r="AB236" s="2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204"/>
      <c r="E237" s="2"/>
      <c r="I237" s="2"/>
      <c r="AA237" s="4"/>
      <c r="AB237" s="2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204"/>
      <c r="E238" s="2"/>
      <c r="I238" s="2"/>
      <c r="AA238" s="4"/>
      <c r="AB238" s="2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204"/>
      <c r="E239" s="2"/>
      <c r="I239" s="2"/>
      <c r="AA239" s="4"/>
      <c r="AB239" s="2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204"/>
      <c r="E240" s="2"/>
      <c r="I240" s="2"/>
      <c r="AA240" s="4"/>
      <c r="AB240" s="2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204"/>
      <c r="E241" s="2"/>
      <c r="I241" s="2"/>
      <c r="AA241" s="4"/>
      <c r="AB241" s="2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204"/>
      <c r="E242" s="2"/>
      <c r="I242" s="2"/>
      <c r="AA242" s="4"/>
      <c r="AB242" s="2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204"/>
      <c r="E243" s="2"/>
      <c r="I243" s="2"/>
      <c r="AA243" s="4"/>
      <c r="AB243" s="2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204"/>
      <c r="E244" s="2"/>
      <c r="I244" s="2"/>
      <c r="AA244" s="4"/>
      <c r="AB244" s="2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204"/>
      <c r="E245" s="2"/>
      <c r="I245" s="2"/>
      <c r="AA245" s="4"/>
      <c r="AB245" s="2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204"/>
      <c r="E246" s="2"/>
      <c r="I246" s="2"/>
      <c r="AA246" s="4"/>
      <c r="AB246" s="2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204"/>
      <c r="E247" s="2"/>
      <c r="I247" s="2"/>
      <c r="AA247" s="4"/>
      <c r="AB247" s="2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204"/>
      <c r="E248" s="2"/>
      <c r="I248" s="2"/>
      <c r="AA248" s="4"/>
      <c r="AB248" s="2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204"/>
      <c r="E249" s="2"/>
      <c r="I249" s="2"/>
      <c r="AA249" s="4"/>
      <c r="AB249" s="2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204"/>
      <c r="E250" s="2"/>
      <c r="I250" s="2"/>
      <c r="AA250" s="4"/>
      <c r="AB250" s="2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204"/>
      <c r="E251" s="2"/>
      <c r="I251" s="2"/>
      <c r="AA251" s="4"/>
      <c r="AB251" s="2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204"/>
      <c r="E252" s="2"/>
      <c r="I252" s="2"/>
      <c r="AA252" s="4"/>
      <c r="AB252" s="2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204"/>
      <c r="E253" s="2"/>
      <c r="I253" s="2"/>
      <c r="AA253" s="4"/>
      <c r="AB253" s="2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204"/>
      <c r="E254" s="2"/>
      <c r="I254" s="2"/>
      <c r="AA254" s="4"/>
      <c r="AB254" s="2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204"/>
      <c r="E255" s="2"/>
      <c r="I255" s="2"/>
      <c r="AA255" s="4"/>
      <c r="AB255" s="2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204"/>
      <c r="E256" s="2"/>
      <c r="I256" s="2"/>
      <c r="AA256" s="4"/>
      <c r="AB256" s="2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204"/>
      <c r="E257" s="2"/>
      <c r="I257" s="2"/>
      <c r="AA257" s="4"/>
      <c r="AB257" s="2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204"/>
      <c r="E258" s="2"/>
      <c r="I258" s="2"/>
      <c r="AA258" s="4"/>
      <c r="AB258" s="2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204"/>
      <c r="E259" s="2"/>
      <c r="I259" s="2"/>
      <c r="AA259" s="4"/>
      <c r="AB259" s="2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204"/>
      <c r="E260" s="2"/>
      <c r="I260" s="2"/>
      <c r="AA260" s="4"/>
      <c r="AB260" s="2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204"/>
      <c r="E261" s="2"/>
      <c r="I261" s="2"/>
      <c r="AA261" s="4"/>
      <c r="AB261" s="2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204"/>
      <c r="E262" s="2"/>
      <c r="I262" s="2"/>
      <c r="AA262" s="4"/>
      <c r="AB262" s="2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204"/>
      <c r="E263" s="2"/>
      <c r="I263" s="2"/>
      <c r="AA263" s="4"/>
      <c r="AB263" s="2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204"/>
      <c r="E264" s="2"/>
      <c r="I264" s="2"/>
      <c r="AA264" s="4"/>
      <c r="AB264" s="2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204"/>
      <c r="E265" s="2"/>
      <c r="I265" s="2"/>
      <c r="AA265" s="4"/>
      <c r="AB265" s="2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204"/>
      <c r="E266" s="2"/>
      <c r="I266" s="2"/>
      <c r="AA266" s="4"/>
      <c r="AB266" s="2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204"/>
      <c r="E267" s="2"/>
      <c r="I267" s="2"/>
      <c r="AA267" s="4"/>
      <c r="AB267" s="2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204"/>
      <c r="E268" s="2"/>
      <c r="I268" s="2"/>
      <c r="AA268" s="4"/>
      <c r="AB268" s="2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204"/>
      <c r="E269" s="2"/>
      <c r="I269" s="2"/>
      <c r="AA269" s="4"/>
      <c r="AB269" s="2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204"/>
      <c r="E270" s="2"/>
      <c r="I270" s="2"/>
      <c r="AA270" s="4"/>
      <c r="AB270" s="2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204"/>
      <c r="E271" s="2"/>
      <c r="I271" s="2"/>
      <c r="AA271" s="4"/>
      <c r="AB271" s="2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204"/>
      <c r="E272" s="2"/>
      <c r="I272" s="2"/>
      <c r="AA272" s="4"/>
      <c r="AB272" s="2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204"/>
      <c r="E273" s="2"/>
      <c r="I273" s="2"/>
      <c r="AA273" s="4"/>
      <c r="AB273" s="2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204"/>
      <c r="E274" s="2"/>
      <c r="I274" s="2"/>
      <c r="AA274" s="4"/>
      <c r="AB274" s="2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204"/>
      <c r="E275" s="2"/>
      <c r="I275" s="2"/>
      <c r="AA275" s="4"/>
      <c r="AB275" s="2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204"/>
      <c r="E276" s="2"/>
      <c r="I276" s="2"/>
      <c r="AA276" s="4"/>
      <c r="AB276" s="2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204"/>
      <c r="E277" s="2"/>
      <c r="I277" s="2"/>
      <c r="AA277" s="4"/>
      <c r="AB277" s="2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204"/>
      <c r="E278" s="2"/>
      <c r="I278" s="2"/>
      <c r="AA278" s="4"/>
      <c r="AB278" s="2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204"/>
      <c r="E279" s="2"/>
      <c r="I279" s="2"/>
      <c r="AA279" s="4"/>
      <c r="AB279" s="2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204"/>
      <c r="E280" s="2"/>
      <c r="I280" s="2"/>
      <c r="AA280" s="4"/>
      <c r="AB280" s="2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204"/>
      <c r="E281" s="2"/>
      <c r="I281" s="2"/>
      <c r="AA281" s="4"/>
      <c r="AB281" s="2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204"/>
      <c r="E282" s="2"/>
      <c r="I282" s="2"/>
      <c r="AA282" s="4"/>
      <c r="AB282" s="2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204"/>
      <c r="E283" s="2"/>
      <c r="I283" s="2"/>
      <c r="AA283" s="4"/>
      <c r="AB283" s="2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204"/>
      <c r="E284" s="2"/>
      <c r="I284" s="2"/>
      <c r="AA284" s="4"/>
      <c r="AB284" s="2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204"/>
      <c r="E285" s="2"/>
      <c r="I285" s="2"/>
      <c r="AA285" s="4"/>
      <c r="AB285" s="2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204"/>
      <c r="E286" s="2"/>
      <c r="I286" s="2"/>
      <c r="AA286" s="4"/>
      <c r="AB286" s="2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204"/>
      <c r="E287" s="2"/>
      <c r="I287" s="2"/>
      <c r="AA287" s="4"/>
      <c r="AB287" s="2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204"/>
      <c r="E288" s="2"/>
      <c r="I288" s="2"/>
      <c r="AA288" s="4"/>
      <c r="AB288" s="2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204"/>
      <c r="E289" s="2"/>
      <c r="I289" s="2"/>
      <c r="AA289" s="4"/>
      <c r="AB289" s="2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204"/>
      <c r="E290" s="2"/>
      <c r="I290" s="2"/>
      <c r="AA290" s="4"/>
      <c r="AB290" s="2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204"/>
      <c r="E291" s="2"/>
      <c r="I291" s="2"/>
      <c r="AA291" s="4"/>
      <c r="AB291" s="2"/>
      <c r="AC291" s="4"/>
      <c r="AD291" s="4"/>
      <c r="AE291" s="4"/>
      <c r="AF291" s="4"/>
      <c r="AG291" s="4"/>
      <c r="AH291" s="4"/>
      <c r="AI291" s="4"/>
      <c r="AJ291" s="4"/>
    </row>
    <row r="292" ht="15.75" customHeight="1">
      <c r="A292" s="204"/>
      <c r="E292" s="2"/>
      <c r="I292" s="2"/>
      <c r="AA292" s="4"/>
      <c r="AB292" s="2"/>
      <c r="AC292" s="4"/>
      <c r="AD292" s="4"/>
      <c r="AE292" s="4"/>
      <c r="AF292" s="4"/>
      <c r="AG292" s="4"/>
      <c r="AH292" s="4"/>
      <c r="AI292" s="4"/>
      <c r="AJ292" s="4"/>
    </row>
    <row r="293" ht="15.75" customHeight="1">
      <c r="A293" s="204"/>
      <c r="E293" s="2"/>
      <c r="I293" s="2"/>
      <c r="AA293" s="4"/>
      <c r="AB293" s="2"/>
      <c r="AC293" s="4"/>
      <c r="AD293" s="4"/>
      <c r="AE293" s="4"/>
      <c r="AF293" s="4"/>
      <c r="AG293" s="4"/>
      <c r="AH293" s="4"/>
      <c r="AI293" s="4"/>
      <c r="AJ293" s="4"/>
    </row>
    <row r="294" ht="15.75" customHeight="1">
      <c r="A294" s="204"/>
      <c r="E294" s="2"/>
      <c r="I294" s="2"/>
      <c r="AA294" s="4"/>
      <c r="AB294" s="2"/>
      <c r="AC294" s="4"/>
      <c r="AD294" s="4"/>
      <c r="AE294" s="4"/>
      <c r="AF294" s="4"/>
      <c r="AG294" s="4"/>
      <c r="AH294" s="4"/>
      <c r="AI294" s="4"/>
      <c r="AJ294" s="4"/>
    </row>
    <row r="295" ht="15.75" customHeight="1">
      <c r="A295" s="204"/>
      <c r="E295" s="2"/>
      <c r="I295" s="2"/>
      <c r="AA295" s="4"/>
      <c r="AB295" s="2"/>
      <c r="AC295" s="4"/>
      <c r="AD295" s="4"/>
      <c r="AE295" s="4"/>
      <c r="AF295" s="4"/>
      <c r="AG295" s="4"/>
      <c r="AH295" s="4"/>
      <c r="AI295" s="4"/>
      <c r="AJ295" s="4"/>
    </row>
    <row r="296" ht="15.75" customHeight="1">
      <c r="A296" s="204"/>
      <c r="E296" s="2"/>
      <c r="I296" s="2"/>
      <c r="AA296" s="4"/>
      <c r="AB296" s="2"/>
      <c r="AC296" s="4"/>
      <c r="AD296" s="4"/>
      <c r="AE296" s="4"/>
      <c r="AF296" s="4"/>
      <c r="AG296" s="4"/>
      <c r="AH296" s="4"/>
      <c r="AI296" s="4"/>
      <c r="AJ296" s="4"/>
    </row>
    <row r="297" ht="15.75" customHeight="1">
      <c r="A297" s="204"/>
      <c r="E297" s="2"/>
      <c r="I297" s="2"/>
      <c r="AA297" s="4"/>
      <c r="AB297" s="2"/>
      <c r="AC297" s="4"/>
      <c r="AD297" s="4"/>
      <c r="AE297" s="4"/>
      <c r="AF297" s="4"/>
      <c r="AG297" s="4"/>
      <c r="AH297" s="4"/>
      <c r="AI297" s="4"/>
      <c r="AJ297" s="4"/>
    </row>
    <row r="298" ht="15.75" customHeight="1">
      <c r="A298" s="204"/>
      <c r="E298" s="2"/>
      <c r="I298" s="2"/>
      <c r="AA298" s="4"/>
      <c r="AB298" s="2"/>
      <c r="AC298" s="4"/>
      <c r="AD298" s="4"/>
      <c r="AE298" s="4"/>
      <c r="AF298" s="4"/>
      <c r="AG298" s="4"/>
      <c r="AH298" s="4"/>
      <c r="AI298" s="4"/>
      <c r="AJ298" s="4"/>
    </row>
    <row r="299" ht="15.75" customHeight="1">
      <c r="A299" s="204"/>
      <c r="E299" s="2"/>
      <c r="I299" s="2"/>
      <c r="AA299" s="4"/>
      <c r="AB299" s="2"/>
      <c r="AC299" s="4"/>
      <c r="AD299" s="4"/>
      <c r="AE299" s="4"/>
      <c r="AF299" s="4"/>
      <c r="AG299" s="4"/>
      <c r="AH299" s="4"/>
      <c r="AI299" s="4"/>
      <c r="AJ299" s="4"/>
    </row>
    <row r="300" ht="15.75" customHeight="1">
      <c r="A300" s="204"/>
      <c r="E300" s="2"/>
      <c r="I300" s="2"/>
      <c r="AA300" s="4"/>
      <c r="AB300" s="2"/>
      <c r="AC300" s="4"/>
      <c r="AD300" s="4"/>
      <c r="AE300" s="4"/>
      <c r="AF300" s="4"/>
      <c r="AG300" s="4"/>
      <c r="AH300" s="4"/>
      <c r="AI300" s="4"/>
      <c r="AJ300" s="4"/>
    </row>
    <row r="301" ht="15.75" customHeight="1">
      <c r="A301" s="204"/>
      <c r="E301" s="2"/>
      <c r="I301" s="2"/>
      <c r="AA301" s="4"/>
      <c r="AB301" s="2"/>
      <c r="AC301" s="4"/>
      <c r="AD301" s="4"/>
      <c r="AE301" s="4"/>
      <c r="AF301" s="4"/>
      <c r="AG301" s="4"/>
      <c r="AH301" s="4"/>
      <c r="AI301" s="4"/>
      <c r="AJ301" s="4"/>
    </row>
    <row r="302" ht="15.75" customHeight="1">
      <c r="A302" s="204"/>
      <c r="E302" s="2"/>
      <c r="I302" s="2"/>
      <c r="AA302" s="4"/>
      <c r="AB302" s="2"/>
      <c r="AC302" s="4"/>
      <c r="AD302" s="4"/>
      <c r="AE302" s="4"/>
      <c r="AF302" s="4"/>
      <c r="AG302" s="4"/>
      <c r="AH302" s="4"/>
      <c r="AI302" s="4"/>
      <c r="AJ302" s="4"/>
    </row>
    <row r="303" ht="15.75" customHeight="1">
      <c r="A303" s="204"/>
      <c r="E303" s="2"/>
      <c r="I303" s="2"/>
      <c r="AA303" s="4"/>
      <c r="AB303" s="2"/>
      <c r="AC303" s="4"/>
      <c r="AD303" s="4"/>
      <c r="AE303" s="4"/>
      <c r="AF303" s="4"/>
      <c r="AG303" s="4"/>
      <c r="AH303" s="4"/>
      <c r="AI303" s="4"/>
      <c r="AJ303" s="4"/>
    </row>
    <row r="304" ht="15.75" customHeight="1">
      <c r="A304" s="204"/>
      <c r="E304" s="2"/>
      <c r="I304" s="2"/>
      <c r="AA304" s="4"/>
      <c r="AB304" s="2"/>
      <c r="AC304" s="4"/>
      <c r="AD304" s="4"/>
      <c r="AE304" s="4"/>
      <c r="AF304" s="4"/>
      <c r="AG304" s="4"/>
      <c r="AH304" s="4"/>
      <c r="AI304" s="4"/>
      <c r="AJ304" s="4"/>
    </row>
    <row r="305" ht="15.75" customHeight="1">
      <c r="A305" s="204"/>
      <c r="E305" s="2"/>
      <c r="I305" s="2"/>
      <c r="AA305" s="4"/>
      <c r="AB305" s="2"/>
      <c r="AC305" s="4"/>
      <c r="AD305" s="4"/>
      <c r="AE305" s="4"/>
      <c r="AF305" s="4"/>
      <c r="AG305" s="4"/>
      <c r="AH305" s="4"/>
      <c r="AI305" s="4"/>
      <c r="AJ305" s="4"/>
    </row>
    <row r="306" ht="15.75" customHeight="1">
      <c r="A306" s="204"/>
      <c r="E306" s="2"/>
      <c r="I306" s="2"/>
      <c r="AA306" s="4"/>
      <c r="AB306" s="2"/>
      <c r="AC306" s="4"/>
      <c r="AD306" s="4"/>
      <c r="AE306" s="4"/>
      <c r="AF306" s="4"/>
      <c r="AG306" s="4"/>
      <c r="AH306" s="4"/>
      <c r="AI306" s="4"/>
      <c r="AJ306" s="4"/>
    </row>
    <row r="307" ht="15.75" customHeight="1">
      <c r="A307" s="204"/>
      <c r="E307" s="2"/>
      <c r="I307" s="2"/>
      <c r="AA307" s="4"/>
      <c r="AB307" s="2"/>
      <c r="AC307" s="4"/>
      <c r="AD307" s="4"/>
      <c r="AE307" s="4"/>
      <c r="AF307" s="4"/>
      <c r="AG307" s="4"/>
      <c r="AH307" s="4"/>
      <c r="AI307" s="4"/>
      <c r="AJ307" s="4"/>
    </row>
    <row r="308" ht="15.75" customHeight="1">
      <c r="A308" s="204"/>
      <c r="E308" s="2"/>
      <c r="I308" s="2"/>
      <c r="AA308" s="4"/>
      <c r="AB308" s="2"/>
      <c r="AC308" s="4"/>
      <c r="AD308" s="4"/>
      <c r="AE308" s="4"/>
      <c r="AF308" s="4"/>
      <c r="AG308" s="4"/>
      <c r="AH308" s="4"/>
      <c r="AI308" s="4"/>
      <c r="AJ308" s="4"/>
    </row>
    <row r="309" ht="15.75" customHeight="1">
      <c r="A309" s="204"/>
      <c r="E309" s="2"/>
      <c r="I309" s="2"/>
      <c r="AA309" s="4"/>
      <c r="AB309" s="2"/>
      <c r="AC309" s="4"/>
      <c r="AD309" s="4"/>
      <c r="AE309" s="4"/>
      <c r="AF309" s="4"/>
      <c r="AG309" s="4"/>
      <c r="AH309" s="4"/>
      <c r="AI309" s="4"/>
      <c r="AJ309" s="4"/>
    </row>
    <row r="310" ht="15.75" customHeight="1">
      <c r="A310" s="204"/>
      <c r="E310" s="2"/>
      <c r="I310" s="2"/>
      <c r="AA310" s="4"/>
      <c r="AB310" s="2"/>
      <c r="AC310" s="4"/>
      <c r="AD310" s="4"/>
      <c r="AE310" s="4"/>
      <c r="AF310" s="4"/>
      <c r="AG310" s="4"/>
      <c r="AH310" s="4"/>
      <c r="AI310" s="4"/>
      <c r="AJ310" s="4"/>
    </row>
    <row r="311" ht="15.75" customHeight="1">
      <c r="A311" s="204"/>
      <c r="E311" s="2"/>
      <c r="I311" s="2"/>
      <c r="AA311" s="4"/>
      <c r="AB311" s="2"/>
      <c r="AC311" s="4"/>
      <c r="AD311" s="4"/>
      <c r="AE311" s="4"/>
      <c r="AF311" s="4"/>
      <c r="AG311" s="4"/>
      <c r="AH311" s="4"/>
      <c r="AI311" s="4"/>
      <c r="AJ311" s="4"/>
    </row>
    <row r="312" ht="15.75" customHeight="1">
      <c r="A312" s="204"/>
      <c r="E312" s="2"/>
      <c r="I312" s="2"/>
      <c r="AA312" s="4"/>
      <c r="AB312" s="2"/>
      <c r="AC312" s="4"/>
      <c r="AD312" s="4"/>
      <c r="AE312" s="4"/>
      <c r="AF312" s="4"/>
      <c r="AG312" s="4"/>
      <c r="AH312" s="4"/>
      <c r="AI312" s="4"/>
      <c r="AJ312" s="4"/>
    </row>
    <row r="313" ht="15.75" customHeight="1">
      <c r="A313" s="204"/>
      <c r="E313" s="2"/>
      <c r="I313" s="2"/>
      <c r="AA313" s="4"/>
      <c r="AB313" s="2"/>
      <c r="AC313" s="4"/>
      <c r="AD313" s="4"/>
      <c r="AE313" s="4"/>
      <c r="AF313" s="4"/>
      <c r="AG313" s="4"/>
      <c r="AH313" s="4"/>
      <c r="AI313" s="4"/>
      <c r="AJ313" s="4"/>
    </row>
    <row r="314" ht="15.75" customHeight="1">
      <c r="A314" s="204"/>
      <c r="E314" s="2"/>
      <c r="I314" s="2"/>
      <c r="AA314" s="4"/>
      <c r="AB314" s="2"/>
      <c r="AC314" s="4"/>
      <c r="AD314" s="4"/>
      <c r="AE314" s="4"/>
      <c r="AF314" s="4"/>
      <c r="AG314" s="4"/>
      <c r="AH314" s="4"/>
      <c r="AI314" s="4"/>
      <c r="AJ314" s="4"/>
    </row>
    <row r="315" ht="15.75" customHeight="1">
      <c r="A315" s="204"/>
      <c r="E315" s="2"/>
      <c r="I315" s="2"/>
      <c r="AA315" s="4"/>
      <c r="AB315" s="2"/>
      <c r="AC315" s="4"/>
      <c r="AD315" s="4"/>
      <c r="AE315" s="4"/>
      <c r="AF315" s="4"/>
      <c r="AG315" s="4"/>
      <c r="AH315" s="4"/>
      <c r="AI315" s="4"/>
      <c r="AJ315" s="4"/>
    </row>
    <row r="316" ht="15.75" customHeight="1">
      <c r="A316" s="204"/>
      <c r="E316" s="2"/>
      <c r="I316" s="2"/>
      <c r="AA316" s="4"/>
      <c r="AB316" s="2"/>
      <c r="AC316" s="4"/>
      <c r="AD316" s="4"/>
      <c r="AE316" s="4"/>
      <c r="AF316" s="4"/>
      <c r="AG316" s="4"/>
      <c r="AH316" s="4"/>
      <c r="AI316" s="4"/>
      <c r="AJ316" s="4"/>
    </row>
    <row r="317" ht="15.75" customHeight="1">
      <c r="A317" s="204"/>
      <c r="E317" s="2"/>
      <c r="I317" s="2"/>
      <c r="AA317" s="4"/>
      <c r="AB317" s="2"/>
      <c r="AC317" s="4"/>
      <c r="AD317" s="4"/>
      <c r="AE317" s="4"/>
      <c r="AF317" s="4"/>
      <c r="AG317" s="4"/>
      <c r="AH317" s="4"/>
      <c r="AI317" s="4"/>
      <c r="AJ317" s="4"/>
    </row>
    <row r="318" ht="15.75" customHeight="1">
      <c r="A318" s="204"/>
      <c r="E318" s="2"/>
      <c r="I318" s="2"/>
      <c r="AA318" s="4"/>
      <c r="AB318" s="2"/>
      <c r="AC318" s="4"/>
      <c r="AD318" s="4"/>
      <c r="AE318" s="4"/>
      <c r="AF318" s="4"/>
      <c r="AG318" s="4"/>
      <c r="AH318" s="4"/>
      <c r="AI318" s="4"/>
      <c r="AJ318" s="4"/>
    </row>
    <row r="319" ht="15.75" customHeight="1">
      <c r="A319" s="204"/>
      <c r="E319" s="2"/>
      <c r="I319" s="2"/>
      <c r="AA319" s="4"/>
      <c r="AB319" s="2"/>
      <c r="AC319" s="4"/>
      <c r="AD319" s="4"/>
      <c r="AE319" s="4"/>
      <c r="AF319" s="4"/>
      <c r="AG319" s="4"/>
      <c r="AH319" s="4"/>
      <c r="AI319" s="4"/>
      <c r="AJ319" s="4"/>
    </row>
    <row r="320" ht="15.75" customHeight="1">
      <c r="A320" s="204"/>
      <c r="E320" s="2"/>
      <c r="I320" s="2"/>
      <c r="AA320" s="4"/>
      <c r="AB320" s="2"/>
      <c r="AC320" s="4"/>
      <c r="AD320" s="4"/>
      <c r="AE320" s="4"/>
      <c r="AF320" s="4"/>
      <c r="AG320" s="4"/>
      <c r="AH320" s="4"/>
      <c r="AI320" s="4"/>
      <c r="AJ320" s="4"/>
    </row>
    <row r="321" ht="15.75" customHeight="1">
      <c r="A321" s="204"/>
      <c r="E321" s="2"/>
      <c r="I321" s="2"/>
      <c r="AA321" s="4"/>
      <c r="AB321" s="2"/>
      <c r="AC321" s="4"/>
      <c r="AD321" s="4"/>
      <c r="AE321" s="4"/>
      <c r="AF321" s="4"/>
      <c r="AG321" s="4"/>
      <c r="AH321" s="4"/>
      <c r="AI321" s="4"/>
      <c r="AJ321" s="4"/>
    </row>
    <row r="322" ht="15.75" customHeight="1">
      <c r="A322" s="204"/>
      <c r="E322" s="2"/>
      <c r="I322" s="2"/>
      <c r="AA322" s="4"/>
      <c r="AB322" s="2"/>
      <c r="AC322" s="4"/>
      <c r="AD322" s="4"/>
      <c r="AE322" s="4"/>
      <c r="AF322" s="4"/>
      <c r="AG322" s="4"/>
      <c r="AH322" s="4"/>
      <c r="AI322" s="4"/>
      <c r="AJ322" s="4"/>
    </row>
    <row r="323" ht="15.75" customHeight="1">
      <c r="A323" s="204"/>
      <c r="E323" s="2"/>
      <c r="I323" s="2"/>
      <c r="AA323" s="4"/>
      <c r="AB323" s="2"/>
      <c r="AC323" s="4"/>
      <c r="AD323" s="4"/>
      <c r="AE323" s="4"/>
      <c r="AF323" s="4"/>
      <c r="AG323" s="4"/>
      <c r="AH323" s="4"/>
      <c r="AI323" s="4"/>
      <c r="AJ323" s="4"/>
    </row>
    <row r="324" ht="15.75" customHeight="1">
      <c r="A324" s="204"/>
      <c r="E324" s="2"/>
      <c r="I324" s="2"/>
      <c r="AA324" s="4"/>
      <c r="AB324" s="2"/>
      <c r="AC324" s="4"/>
      <c r="AD324" s="4"/>
      <c r="AE324" s="4"/>
      <c r="AF324" s="4"/>
      <c r="AG324" s="4"/>
      <c r="AH324" s="4"/>
      <c r="AI324" s="4"/>
      <c r="AJ324" s="4"/>
    </row>
    <row r="325" ht="15.75" customHeight="1">
      <c r="A325" s="204"/>
      <c r="E325" s="2"/>
      <c r="I325" s="2"/>
      <c r="AA325" s="4"/>
      <c r="AB325" s="2"/>
      <c r="AC325" s="4"/>
      <c r="AD325" s="4"/>
      <c r="AE325" s="4"/>
      <c r="AF325" s="4"/>
      <c r="AG325" s="4"/>
      <c r="AH325" s="4"/>
      <c r="AI325" s="4"/>
      <c r="AJ325" s="4"/>
    </row>
    <row r="326" ht="15.75" customHeight="1">
      <c r="A326" s="204"/>
      <c r="E326" s="2"/>
      <c r="I326" s="2"/>
      <c r="AA326" s="4"/>
      <c r="AB326" s="2"/>
      <c r="AC326" s="4"/>
      <c r="AD326" s="4"/>
      <c r="AE326" s="4"/>
      <c r="AF326" s="4"/>
      <c r="AG326" s="4"/>
      <c r="AH326" s="4"/>
      <c r="AI326" s="4"/>
      <c r="AJ326" s="4"/>
    </row>
    <row r="327" ht="15.75" customHeight="1">
      <c r="A327" s="204"/>
      <c r="E327" s="2"/>
      <c r="I327" s="2"/>
      <c r="AA327" s="4"/>
      <c r="AB327" s="2"/>
      <c r="AC327" s="4"/>
      <c r="AD327" s="4"/>
      <c r="AE327" s="4"/>
      <c r="AF327" s="4"/>
      <c r="AG327" s="4"/>
      <c r="AH327" s="4"/>
      <c r="AI327" s="4"/>
      <c r="AJ327" s="4"/>
    </row>
    <row r="328" ht="15.75" customHeight="1">
      <c r="A328" s="204"/>
      <c r="E328" s="2"/>
      <c r="I328" s="2"/>
      <c r="AA328" s="4"/>
      <c r="AB328" s="2"/>
      <c r="AC328" s="4"/>
      <c r="AD328" s="4"/>
      <c r="AE328" s="4"/>
      <c r="AF328" s="4"/>
      <c r="AG328" s="4"/>
      <c r="AH328" s="4"/>
      <c r="AI328" s="4"/>
      <c r="AJ328" s="4"/>
    </row>
    <row r="329" ht="15.75" customHeight="1">
      <c r="A329" s="204"/>
      <c r="E329" s="2"/>
      <c r="I329" s="2"/>
      <c r="AA329" s="4"/>
      <c r="AB329" s="2"/>
      <c r="AC329" s="4"/>
      <c r="AD329" s="4"/>
      <c r="AE329" s="4"/>
      <c r="AF329" s="4"/>
      <c r="AG329" s="4"/>
      <c r="AH329" s="4"/>
      <c r="AI329" s="4"/>
      <c r="AJ329" s="4"/>
    </row>
    <row r="330" ht="15.75" customHeight="1">
      <c r="A330" s="204"/>
      <c r="E330" s="2"/>
      <c r="I330" s="2"/>
      <c r="AA330" s="4"/>
      <c r="AB330" s="2"/>
      <c r="AC330" s="4"/>
      <c r="AD330" s="4"/>
      <c r="AE330" s="4"/>
      <c r="AF330" s="4"/>
      <c r="AG330" s="4"/>
      <c r="AH330" s="4"/>
      <c r="AI330" s="4"/>
      <c r="AJ330" s="4"/>
    </row>
    <row r="331" ht="15.75" customHeight="1">
      <c r="A331" s="204"/>
      <c r="E331" s="2"/>
      <c r="I331" s="2"/>
      <c r="AA331" s="4"/>
      <c r="AB331" s="2"/>
      <c r="AC331" s="4"/>
      <c r="AD331" s="4"/>
      <c r="AE331" s="4"/>
      <c r="AF331" s="4"/>
      <c r="AG331" s="4"/>
      <c r="AH331" s="4"/>
      <c r="AI331" s="4"/>
      <c r="AJ331" s="4"/>
    </row>
    <row r="332" ht="15.75" customHeight="1">
      <c r="A332" s="204"/>
      <c r="E332" s="2"/>
      <c r="I332" s="2"/>
      <c r="AA332" s="4"/>
      <c r="AB332" s="2"/>
      <c r="AC332" s="4"/>
      <c r="AD332" s="4"/>
      <c r="AE332" s="4"/>
      <c r="AF332" s="4"/>
      <c r="AG332" s="4"/>
      <c r="AH332" s="4"/>
      <c r="AI332" s="4"/>
      <c r="AJ332" s="4"/>
    </row>
    <row r="333" ht="15.75" customHeight="1">
      <c r="A333" s="204"/>
      <c r="E333" s="2"/>
      <c r="I333" s="2"/>
      <c r="AA333" s="4"/>
      <c r="AB333" s="2"/>
      <c r="AC333" s="4"/>
      <c r="AD333" s="4"/>
      <c r="AE333" s="4"/>
      <c r="AF333" s="4"/>
      <c r="AG333" s="4"/>
      <c r="AH333" s="4"/>
      <c r="AI333" s="4"/>
      <c r="AJ333" s="4"/>
    </row>
    <row r="334" ht="15.75" customHeight="1">
      <c r="A334" s="204"/>
      <c r="E334" s="2"/>
      <c r="I334" s="2"/>
      <c r="AA334" s="4"/>
      <c r="AB334" s="2"/>
      <c r="AC334" s="4"/>
      <c r="AD334" s="4"/>
      <c r="AE334" s="4"/>
      <c r="AF334" s="4"/>
      <c r="AG334" s="4"/>
      <c r="AH334" s="4"/>
      <c r="AI334" s="4"/>
      <c r="AJ334" s="4"/>
    </row>
    <row r="335" ht="15.75" customHeight="1">
      <c r="A335" s="204"/>
      <c r="E335" s="2"/>
      <c r="I335" s="2"/>
      <c r="AA335" s="4"/>
      <c r="AB335" s="2"/>
      <c r="AC335" s="4"/>
      <c r="AD335" s="4"/>
      <c r="AE335" s="4"/>
      <c r="AF335" s="4"/>
      <c r="AG335" s="4"/>
      <c r="AH335" s="4"/>
      <c r="AI335" s="4"/>
      <c r="AJ335" s="4"/>
    </row>
    <row r="336" ht="15.75" customHeight="1">
      <c r="A336" s="204"/>
      <c r="E336" s="2"/>
      <c r="I336" s="2"/>
      <c r="AA336" s="4"/>
      <c r="AB336" s="2"/>
      <c r="AC336" s="4"/>
      <c r="AD336" s="4"/>
      <c r="AE336" s="4"/>
      <c r="AF336" s="4"/>
      <c r="AG336" s="4"/>
      <c r="AH336" s="4"/>
      <c r="AI336" s="4"/>
      <c r="AJ336" s="4"/>
    </row>
    <row r="337" ht="15.75" customHeight="1">
      <c r="A337" s="204"/>
      <c r="E337" s="2"/>
      <c r="I337" s="2"/>
      <c r="AA337" s="4"/>
      <c r="AB337" s="2"/>
      <c r="AC337" s="4"/>
      <c r="AD337" s="4"/>
      <c r="AE337" s="4"/>
      <c r="AF337" s="4"/>
      <c r="AG337" s="4"/>
      <c r="AH337" s="4"/>
      <c r="AI337" s="4"/>
      <c r="AJ337" s="4"/>
    </row>
    <row r="338" ht="15.75" customHeight="1">
      <c r="A338" s="204"/>
      <c r="E338" s="2"/>
      <c r="I338" s="2"/>
      <c r="AA338" s="4"/>
      <c r="AB338" s="2"/>
      <c r="AC338" s="4"/>
      <c r="AD338" s="4"/>
      <c r="AE338" s="4"/>
      <c r="AF338" s="4"/>
      <c r="AG338" s="4"/>
      <c r="AH338" s="4"/>
      <c r="AI338" s="4"/>
      <c r="AJ338" s="4"/>
    </row>
    <row r="339" ht="15.75" customHeight="1">
      <c r="A339" s="204"/>
      <c r="E339" s="2"/>
      <c r="I339" s="2"/>
      <c r="AA339" s="4"/>
      <c r="AB339" s="2"/>
      <c r="AC339" s="4"/>
      <c r="AD339" s="4"/>
      <c r="AE339" s="4"/>
      <c r="AF339" s="4"/>
      <c r="AG339" s="4"/>
      <c r="AH339" s="4"/>
      <c r="AI339" s="4"/>
      <c r="AJ339" s="4"/>
    </row>
    <row r="340" ht="15.75" customHeight="1">
      <c r="A340" s="204"/>
      <c r="E340" s="2"/>
      <c r="I340" s="2"/>
      <c r="AA340" s="4"/>
      <c r="AB340" s="2"/>
      <c r="AC340" s="4"/>
      <c r="AD340" s="4"/>
      <c r="AE340" s="4"/>
      <c r="AF340" s="4"/>
      <c r="AG340" s="4"/>
      <c r="AH340" s="4"/>
      <c r="AI340" s="4"/>
      <c r="AJ340" s="4"/>
    </row>
    <row r="341" ht="15.75" customHeight="1">
      <c r="A341" s="204"/>
      <c r="E341" s="2"/>
      <c r="I341" s="2"/>
      <c r="AA341" s="4"/>
      <c r="AB341" s="2"/>
      <c r="AC341" s="4"/>
      <c r="AD341" s="4"/>
      <c r="AE341" s="4"/>
      <c r="AF341" s="4"/>
      <c r="AG341" s="4"/>
      <c r="AH341" s="4"/>
      <c r="AI341" s="4"/>
      <c r="AJ341" s="4"/>
    </row>
    <row r="342" ht="15.75" customHeight="1">
      <c r="A342" s="204"/>
      <c r="E342" s="2"/>
      <c r="I342" s="2"/>
      <c r="AA342" s="4"/>
      <c r="AB342" s="2"/>
      <c r="AC342" s="4"/>
      <c r="AD342" s="4"/>
      <c r="AE342" s="4"/>
      <c r="AF342" s="4"/>
      <c r="AG342" s="4"/>
      <c r="AH342" s="4"/>
      <c r="AI342" s="4"/>
      <c r="AJ342" s="4"/>
    </row>
    <row r="343" ht="15.75" customHeight="1">
      <c r="A343" s="204"/>
      <c r="E343" s="2"/>
      <c r="I343" s="2"/>
      <c r="AA343" s="4"/>
      <c r="AB343" s="2"/>
      <c r="AC343" s="4"/>
      <c r="AD343" s="4"/>
      <c r="AE343" s="4"/>
      <c r="AF343" s="4"/>
      <c r="AG343" s="4"/>
      <c r="AH343" s="4"/>
      <c r="AI343" s="4"/>
      <c r="AJ343" s="4"/>
    </row>
    <row r="344" ht="15.75" customHeight="1">
      <c r="A344" s="204"/>
      <c r="E344" s="2"/>
      <c r="I344" s="2"/>
      <c r="AA344" s="4"/>
      <c r="AB344" s="2"/>
      <c r="AC344" s="4"/>
      <c r="AD344" s="4"/>
      <c r="AE344" s="4"/>
      <c r="AF344" s="4"/>
      <c r="AG344" s="4"/>
      <c r="AH344" s="4"/>
      <c r="AI344" s="4"/>
      <c r="AJ344" s="4"/>
    </row>
    <row r="345" ht="15.75" customHeight="1">
      <c r="A345" s="204"/>
      <c r="E345" s="2"/>
      <c r="I345" s="2"/>
      <c r="AA345" s="4"/>
      <c r="AB345" s="2"/>
      <c r="AC345" s="4"/>
      <c r="AD345" s="4"/>
      <c r="AE345" s="4"/>
      <c r="AF345" s="4"/>
      <c r="AG345" s="4"/>
      <c r="AH345" s="4"/>
      <c r="AI345" s="4"/>
      <c r="AJ345" s="4"/>
    </row>
    <row r="346" ht="15.75" customHeight="1">
      <c r="A346" s="204"/>
      <c r="E346" s="2"/>
      <c r="I346" s="2"/>
      <c r="AA346" s="4"/>
      <c r="AB346" s="2"/>
      <c r="AC346" s="4"/>
      <c r="AD346" s="4"/>
      <c r="AE346" s="4"/>
      <c r="AF346" s="4"/>
      <c r="AG346" s="4"/>
      <c r="AH346" s="4"/>
      <c r="AI346" s="4"/>
      <c r="AJ346" s="4"/>
    </row>
    <row r="347" ht="15.75" customHeight="1">
      <c r="A347" s="204"/>
      <c r="E347" s="2"/>
      <c r="I347" s="2"/>
      <c r="AA347" s="4"/>
      <c r="AB347" s="2"/>
      <c r="AC347" s="4"/>
      <c r="AD347" s="4"/>
      <c r="AE347" s="4"/>
      <c r="AF347" s="4"/>
      <c r="AG347" s="4"/>
      <c r="AH347" s="4"/>
      <c r="AI347" s="4"/>
      <c r="AJ347" s="4"/>
    </row>
    <row r="348" ht="15.75" customHeight="1">
      <c r="A348" s="204"/>
      <c r="E348" s="2"/>
      <c r="I348" s="2"/>
      <c r="AA348" s="4"/>
      <c r="AB348" s="2"/>
      <c r="AC348" s="4"/>
      <c r="AD348" s="4"/>
      <c r="AE348" s="4"/>
      <c r="AF348" s="4"/>
      <c r="AG348" s="4"/>
      <c r="AH348" s="4"/>
      <c r="AI348" s="4"/>
      <c r="AJ348" s="4"/>
    </row>
    <row r="349" ht="15.75" customHeight="1">
      <c r="A349" s="204"/>
      <c r="E349" s="2"/>
      <c r="I349" s="2"/>
      <c r="AA349" s="4"/>
      <c r="AB349" s="2"/>
      <c r="AC349" s="4"/>
      <c r="AD349" s="4"/>
      <c r="AE349" s="4"/>
      <c r="AF349" s="4"/>
      <c r="AG349" s="4"/>
      <c r="AH349" s="4"/>
      <c r="AI349" s="4"/>
      <c r="AJ349" s="4"/>
    </row>
    <row r="350" ht="15.75" customHeight="1">
      <c r="A350" s="204"/>
      <c r="E350" s="2"/>
      <c r="I350" s="2"/>
      <c r="AA350" s="4"/>
      <c r="AB350" s="2"/>
      <c r="AC350" s="4"/>
      <c r="AD350" s="4"/>
      <c r="AE350" s="4"/>
      <c r="AF350" s="4"/>
      <c r="AG350" s="4"/>
      <c r="AH350" s="4"/>
      <c r="AI350" s="4"/>
      <c r="AJ350" s="4"/>
    </row>
    <row r="351" ht="15.75" customHeight="1">
      <c r="A351" s="204"/>
      <c r="E351" s="2"/>
      <c r="I351" s="2"/>
      <c r="AA351" s="4"/>
      <c r="AB351" s="2"/>
      <c r="AC351" s="4"/>
      <c r="AD351" s="4"/>
      <c r="AE351" s="4"/>
      <c r="AF351" s="4"/>
      <c r="AG351" s="4"/>
      <c r="AH351" s="4"/>
      <c r="AI351" s="4"/>
      <c r="AJ351" s="4"/>
    </row>
    <row r="352" ht="15.75" customHeight="1">
      <c r="A352" s="204"/>
      <c r="E352" s="2"/>
      <c r="I352" s="2"/>
      <c r="AA352" s="4"/>
      <c r="AB352" s="2"/>
      <c r="AC352" s="4"/>
      <c r="AD352" s="4"/>
      <c r="AE352" s="4"/>
      <c r="AF352" s="4"/>
      <c r="AG352" s="4"/>
      <c r="AH352" s="4"/>
      <c r="AI352" s="4"/>
      <c r="AJ352" s="4"/>
    </row>
    <row r="353" ht="15.75" customHeight="1">
      <c r="A353" s="204"/>
      <c r="E353" s="2"/>
      <c r="I353" s="2"/>
      <c r="AA353" s="4"/>
      <c r="AB353" s="2"/>
      <c r="AC353" s="4"/>
      <c r="AD353" s="4"/>
      <c r="AE353" s="4"/>
      <c r="AF353" s="4"/>
      <c r="AG353" s="4"/>
      <c r="AH353" s="4"/>
      <c r="AI353" s="4"/>
      <c r="AJ353" s="4"/>
    </row>
    <row r="354" ht="15.75" customHeight="1">
      <c r="A354" s="204"/>
      <c r="E354" s="2"/>
      <c r="I354" s="2"/>
      <c r="AA354" s="4"/>
      <c r="AB354" s="2"/>
      <c r="AC354" s="4"/>
      <c r="AD354" s="4"/>
      <c r="AE354" s="4"/>
      <c r="AF354" s="4"/>
      <c r="AG354" s="4"/>
      <c r="AH354" s="4"/>
      <c r="AI354" s="4"/>
      <c r="AJ354" s="4"/>
    </row>
    <row r="355" ht="15.75" customHeight="1">
      <c r="A355" s="204"/>
      <c r="E355" s="2"/>
      <c r="I355" s="2"/>
      <c r="AA355" s="4"/>
      <c r="AB355" s="2"/>
      <c r="AC355" s="4"/>
      <c r="AD355" s="4"/>
      <c r="AE355" s="4"/>
      <c r="AF355" s="4"/>
      <c r="AG355" s="4"/>
      <c r="AH355" s="4"/>
      <c r="AI355" s="4"/>
      <c r="AJ355" s="4"/>
    </row>
    <row r="356" ht="15.75" customHeight="1">
      <c r="A356" s="204"/>
      <c r="E356" s="2"/>
      <c r="I356" s="2"/>
      <c r="AA356" s="4"/>
      <c r="AB356" s="2"/>
      <c r="AC356" s="4"/>
      <c r="AD356" s="4"/>
      <c r="AE356" s="4"/>
      <c r="AF356" s="4"/>
      <c r="AG356" s="4"/>
      <c r="AH356" s="4"/>
      <c r="AI356" s="4"/>
      <c r="AJ356" s="4"/>
    </row>
    <row r="357" ht="15.75" customHeight="1">
      <c r="A357" s="204"/>
      <c r="E357" s="2"/>
      <c r="I357" s="2"/>
      <c r="AA357" s="4"/>
      <c r="AB357" s="2"/>
      <c r="AC357" s="4"/>
      <c r="AD357" s="4"/>
      <c r="AE357" s="4"/>
      <c r="AF357" s="4"/>
      <c r="AG357" s="4"/>
      <c r="AH357" s="4"/>
      <c r="AI357" s="4"/>
      <c r="AJ357" s="4"/>
    </row>
    <row r="358" ht="15.75" customHeight="1">
      <c r="A358" s="204"/>
      <c r="E358" s="2"/>
      <c r="I358" s="2"/>
      <c r="AA358" s="4"/>
      <c r="AB358" s="2"/>
      <c r="AC358" s="4"/>
      <c r="AD358" s="4"/>
      <c r="AE358" s="4"/>
      <c r="AF358" s="4"/>
      <c r="AG358" s="4"/>
      <c r="AH358" s="4"/>
      <c r="AI358" s="4"/>
      <c r="AJ358" s="4"/>
    </row>
    <row r="359" ht="15.75" customHeight="1">
      <c r="A359" s="204"/>
      <c r="E359" s="2"/>
      <c r="I359" s="2"/>
      <c r="AA359" s="4"/>
      <c r="AB359" s="2"/>
      <c r="AC359" s="4"/>
      <c r="AD359" s="4"/>
      <c r="AE359" s="4"/>
      <c r="AF359" s="4"/>
      <c r="AG359" s="4"/>
      <c r="AH359" s="4"/>
      <c r="AI359" s="4"/>
      <c r="AJ359" s="4"/>
    </row>
    <row r="360" ht="15.75" customHeight="1">
      <c r="A360" s="204"/>
      <c r="E360" s="2"/>
      <c r="I360" s="2"/>
      <c r="AA360" s="4"/>
      <c r="AB360" s="2"/>
      <c r="AC360" s="4"/>
      <c r="AD360" s="4"/>
      <c r="AE360" s="4"/>
      <c r="AF360" s="4"/>
      <c r="AG360" s="4"/>
      <c r="AH360" s="4"/>
      <c r="AI360" s="4"/>
      <c r="AJ360" s="4"/>
    </row>
    <row r="361" ht="15.75" customHeight="1">
      <c r="A361" s="204"/>
      <c r="E361" s="2"/>
      <c r="I361" s="2"/>
      <c r="AA361" s="4"/>
      <c r="AB361" s="2"/>
      <c r="AC361" s="4"/>
      <c r="AD361" s="4"/>
      <c r="AE361" s="4"/>
      <c r="AF361" s="4"/>
      <c r="AG361" s="4"/>
      <c r="AH361" s="4"/>
      <c r="AI361" s="4"/>
      <c r="AJ361" s="4"/>
    </row>
    <row r="362" ht="15.75" customHeight="1">
      <c r="A362" s="204"/>
      <c r="E362" s="2"/>
      <c r="I362" s="2"/>
      <c r="AA362" s="4"/>
      <c r="AB362" s="2"/>
      <c r="AC362" s="4"/>
      <c r="AD362" s="4"/>
      <c r="AE362" s="4"/>
      <c r="AF362" s="4"/>
      <c r="AG362" s="4"/>
      <c r="AH362" s="4"/>
      <c r="AI362" s="4"/>
      <c r="AJ362" s="4"/>
    </row>
    <row r="363" ht="15.75" customHeight="1">
      <c r="A363" s="204"/>
      <c r="E363" s="2"/>
      <c r="I363" s="2"/>
      <c r="AA363" s="4"/>
      <c r="AB363" s="2"/>
      <c r="AC363" s="4"/>
      <c r="AD363" s="4"/>
      <c r="AE363" s="4"/>
      <c r="AF363" s="4"/>
      <c r="AG363" s="4"/>
      <c r="AH363" s="4"/>
      <c r="AI363" s="4"/>
      <c r="AJ363" s="4"/>
    </row>
    <row r="364" ht="15.75" customHeight="1">
      <c r="A364" s="204"/>
      <c r="E364" s="2"/>
      <c r="I364" s="2"/>
      <c r="AA364" s="4"/>
      <c r="AB364" s="2"/>
      <c r="AC364" s="4"/>
      <c r="AD364" s="4"/>
      <c r="AE364" s="4"/>
      <c r="AF364" s="4"/>
      <c r="AG364" s="4"/>
      <c r="AH364" s="4"/>
      <c r="AI364" s="4"/>
      <c r="AJ364" s="4"/>
    </row>
    <row r="365" ht="15.75" customHeight="1">
      <c r="A365" s="204"/>
      <c r="E365" s="2"/>
      <c r="I365" s="2"/>
      <c r="AA365" s="4"/>
      <c r="AB365" s="2"/>
      <c r="AC365" s="4"/>
      <c r="AD365" s="4"/>
      <c r="AE365" s="4"/>
      <c r="AF365" s="4"/>
      <c r="AG365" s="4"/>
      <c r="AH365" s="4"/>
      <c r="AI365" s="4"/>
      <c r="AJ365" s="4"/>
    </row>
    <row r="366" ht="15.75" customHeight="1">
      <c r="A366" s="204"/>
      <c r="E366" s="2"/>
      <c r="I366" s="2"/>
      <c r="AA366" s="4"/>
      <c r="AB366" s="2"/>
      <c r="AC366" s="4"/>
      <c r="AD366" s="4"/>
      <c r="AE366" s="4"/>
      <c r="AF366" s="4"/>
      <c r="AG366" s="4"/>
      <c r="AH366" s="4"/>
      <c r="AI366" s="4"/>
      <c r="AJ366" s="4"/>
    </row>
    <row r="367" ht="15.75" customHeight="1">
      <c r="A367" s="204"/>
      <c r="E367" s="2"/>
      <c r="I367" s="2"/>
      <c r="AA367" s="4"/>
      <c r="AB367" s="2"/>
      <c r="AC367" s="4"/>
      <c r="AD367" s="4"/>
      <c r="AE367" s="4"/>
      <c r="AF367" s="4"/>
      <c r="AG367" s="4"/>
      <c r="AH367" s="4"/>
      <c r="AI367" s="4"/>
      <c r="AJ367" s="4"/>
    </row>
    <row r="368" ht="15.75" customHeight="1">
      <c r="A368" s="204"/>
      <c r="E368" s="2"/>
      <c r="I368" s="2"/>
      <c r="AA368" s="4"/>
      <c r="AB368" s="2"/>
      <c r="AC368" s="4"/>
      <c r="AD368" s="4"/>
      <c r="AE368" s="4"/>
      <c r="AF368" s="4"/>
      <c r="AG368" s="4"/>
      <c r="AH368" s="4"/>
      <c r="AI368" s="4"/>
      <c r="AJ368" s="4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159:A163"/>
    <mergeCell ref="A164:A168"/>
    <mergeCell ref="A169:A172"/>
    <mergeCell ref="A173:A178"/>
    <mergeCell ref="A124:A128"/>
    <mergeCell ref="A129:A133"/>
    <mergeCell ref="A134:A138"/>
    <mergeCell ref="A139:A143"/>
    <mergeCell ref="A144:A148"/>
    <mergeCell ref="A149:A153"/>
    <mergeCell ref="A154:A158"/>
    <mergeCell ref="A1:G1"/>
    <mergeCell ref="F2:H2"/>
    <mergeCell ref="X2:Y2"/>
    <mergeCell ref="A3:A8"/>
    <mergeCell ref="A9:A14"/>
    <mergeCell ref="A15:A20"/>
    <mergeCell ref="AD15:AE22"/>
    <mergeCell ref="A63:A68"/>
    <mergeCell ref="A72:G72"/>
    <mergeCell ref="F73:H73"/>
    <mergeCell ref="X73:Y73"/>
    <mergeCell ref="A21:A26"/>
    <mergeCell ref="A27:A32"/>
    <mergeCell ref="A33:A38"/>
    <mergeCell ref="A39:A44"/>
    <mergeCell ref="A45:A50"/>
    <mergeCell ref="A51:A56"/>
    <mergeCell ref="A57:A62"/>
    <mergeCell ref="A109:A113"/>
    <mergeCell ref="A114:A118"/>
    <mergeCell ref="A122:G122"/>
    <mergeCell ref="F123:H123"/>
    <mergeCell ref="X123:Y123"/>
    <mergeCell ref="A74:A78"/>
    <mergeCell ref="A79:A83"/>
    <mergeCell ref="A84:A88"/>
    <mergeCell ref="A89:A93"/>
    <mergeCell ref="A94:A98"/>
    <mergeCell ref="A99:A103"/>
    <mergeCell ref="A104:A108"/>
    <mergeCell ref="AA135:AC142"/>
    <mergeCell ref="AD135:AE142"/>
    <mergeCell ref="AA143:AC143"/>
    <mergeCell ref="X128:Y128"/>
    <mergeCell ref="AA15:AC15"/>
    <mergeCell ref="AA17:AC24"/>
    <mergeCell ref="AA84:AC84"/>
    <mergeCell ref="AD84:AE91"/>
    <mergeCell ref="AA85:AC92"/>
    <mergeCell ref="AA93:AC93"/>
    <mergeCell ref="AA134:AC1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3" width="6.63"/>
    <col customWidth="1" min="4" max="4" width="5.38"/>
    <col customWidth="1" min="5" max="5" width="16.0"/>
    <col customWidth="1" min="6" max="6" width="12.63"/>
    <col customWidth="1" min="7" max="7" width="2.75"/>
    <col customWidth="1" min="9" max="9" width="16.0"/>
    <col customWidth="1" hidden="1" min="10" max="10" width="14.88"/>
    <col hidden="1" min="11" max="22" width="12.63"/>
    <col customWidth="1" min="24" max="24" width="14.63"/>
    <col customWidth="1" min="28" max="28" width="15.63"/>
    <col customWidth="1" min="29" max="29" width="16.0"/>
    <col customWidth="1" hidden="1" min="32" max="32" width="12.63"/>
    <col customWidth="1" hidden="1" min="37" max="47" width="12.63"/>
  </cols>
  <sheetData>
    <row r="1" ht="15.75" customHeight="1">
      <c r="A1" s="104" t="s">
        <v>172</v>
      </c>
      <c r="I1" s="2"/>
      <c r="AB1" s="4"/>
      <c r="AC1" s="2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ht="15.75" customHeight="1">
      <c r="A2" s="10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 t="s">
        <v>6</v>
      </c>
      <c r="G2" s="7"/>
      <c r="H2" s="8"/>
      <c r="I2" s="5" t="s">
        <v>7</v>
      </c>
      <c r="J2" s="9" t="s">
        <v>8</v>
      </c>
      <c r="K2" s="9" t="s">
        <v>9</v>
      </c>
      <c r="L2" s="9" t="s">
        <v>10</v>
      </c>
      <c r="M2" s="9"/>
      <c r="N2" s="9" t="s">
        <v>11</v>
      </c>
      <c r="O2" s="9" t="s">
        <v>12</v>
      </c>
      <c r="P2" s="9" t="s">
        <v>13</v>
      </c>
      <c r="Q2" s="9" t="s">
        <v>14</v>
      </c>
      <c r="R2" s="9"/>
      <c r="S2" s="9" t="s">
        <v>16</v>
      </c>
      <c r="T2" s="9" t="s">
        <v>161</v>
      </c>
      <c r="U2" s="9" t="s">
        <v>162</v>
      </c>
      <c r="V2" s="9" t="s">
        <v>163</v>
      </c>
      <c r="W2" s="4"/>
      <c r="X2" s="10" t="s">
        <v>47</v>
      </c>
      <c r="Y2" s="205"/>
      <c r="Z2" s="4"/>
      <c r="AA2" s="4"/>
      <c r="AB2" s="5" t="s">
        <v>11</v>
      </c>
      <c r="AC2" s="5" t="s">
        <v>12</v>
      </c>
      <c r="AD2" s="5" t="s">
        <v>13</v>
      </c>
      <c r="AE2" s="5" t="s">
        <v>14</v>
      </c>
      <c r="AF2" s="5" t="s">
        <v>15</v>
      </c>
      <c r="AG2" s="5" t="s">
        <v>16</v>
      </c>
      <c r="AH2" s="5" t="s">
        <v>161</v>
      </c>
      <c r="AI2" s="5" t="s">
        <v>162</v>
      </c>
      <c r="AJ2" s="5" t="s">
        <v>163</v>
      </c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ht="15.75" customHeight="1">
      <c r="A3" s="106">
        <v>1.0</v>
      </c>
      <c r="B3" s="54">
        <v>45586.0</v>
      </c>
      <c r="C3" s="13" t="s">
        <v>21</v>
      </c>
      <c r="D3" s="13" t="s">
        <v>22</v>
      </c>
      <c r="E3" s="14" t="s">
        <v>73</v>
      </c>
      <c r="F3" s="56">
        <v>0.0</v>
      </c>
      <c r="G3" s="69" t="s">
        <v>173</v>
      </c>
      <c r="H3" s="56">
        <v>2.0</v>
      </c>
      <c r="I3" s="14" t="s">
        <v>25</v>
      </c>
      <c r="J3" s="3"/>
      <c r="K3" s="17">
        <f t="shared" ref="K3:K68" si="1">IFS(F3=H3+2,3,F3=H3-2,0,F3=H3+1,2,F3=H3-1,1,F3="","")</f>
        <v>0</v>
      </c>
      <c r="L3" s="18">
        <f t="shared" ref="L3:L68" si="2">IFS(H3=F3+2,3,H3=F3-2,0,H3=F3+1,2,H3=F3-1,1,H3="","")</f>
        <v>3</v>
      </c>
      <c r="M3" s="3"/>
      <c r="N3" s="18">
        <v>1.0</v>
      </c>
      <c r="O3" s="102" t="s">
        <v>73</v>
      </c>
      <c r="P3" s="18">
        <f t="shared" ref="P3:P14" si="3">SUMIF(E$3:E$68,O3,K$3:K$68)+SUMIF(I$3:I$68,O3,L$3:L$68)</f>
        <v>10</v>
      </c>
      <c r="Q3" s="20">
        <f t="shared" ref="Q3:Q14" si="4">COUNTIFS(E$3:E$68,O3,K$3:K$68,2)+COUNTIFS(I$3:I$68,O3,L$3:L$68,2)+COUNTIFS(E$3:E$68,O3,K$3:K$68,3)+COUNTIFS(I$3:I$68,O3,L$3:L$68,3)</f>
        <v>4</v>
      </c>
      <c r="R3" s="20"/>
      <c r="S3" s="22">
        <f t="shared" ref="S3:S14" si="5">COUNTIFS(E$3:E$68,O3,K$3:K$68,1)+COUNTIFS(I$3:I$68,O3,L$3:L$68,1)+COUNTIFS(E$3:E$68,O3,K$3:K$68,0)+COUNTIFS(I$3:I$68,O3,L$3:L$68,0)</f>
        <v>7</v>
      </c>
      <c r="T3" s="18">
        <f t="shared" ref="T3:T14" si="6">SUMIF(E$3:E$68,O3,F$3:F$68)+SUMIF(I$3:I$68,O3,H$3:H$68)</f>
        <v>8</v>
      </c>
      <c r="U3" s="22">
        <f t="shared" ref="U3:U14" si="7">SUMIF(E$3:E$68,O3,H$3:H$68)+SUMIF(I$3:I$68,O3,F$3:F$68)</f>
        <v>16</v>
      </c>
      <c r="V3" s="18">
        <f t="shared" ref="V3:V14" si="8">T3-U3</f>
        <v>-8</v>
      </c>
      <c r="X3" s="23" t="s">
        <v>26</v>
      </c>
      <c r="Y3" s="23" t="s">
        <v>13</v>
      </c>
      <c r="AB3" s="24" t="s">
        <v>29</v>
      </c>
      <c r="AC3" s="206" t="str">
        <f t="array" ref="AC3:AK14">SORT(O3:W14,2,FALSE,9,FALSE,8,FALSE())</f>
        <v>EET</v>
      </c>
      <c r="AD3" s="26">
        <v>31.0</v>
      </c>
      <c r="AE3" s="26">
        <v>11.0</v>
      </c>
      <c r="AF3" s="26"/>
      <c r="AG3" s="27">
        <v>0.0</v>
      </c>
      <c r="AH3" s="26">
        <v>22.0</v>
      </c>
      <c r="AI3" s="27">
        <v>2.0</v>
      </c>
      <c r="AJ3" s="26">
        <v>20.0</v>
      </c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</row>
    <row r="4" ht="15.75" customHeight="1">
      <c r="A4" s="29"/>
      <c r="B4" s="54">
        <v>45586.0</v>
      </c>
      <c r="C4" s="13" t="s">
        <v>21</v>
      </c>
      <c r="D4" s="13" t="s">
        <v>22</v>
      </c>
      <c r="E4" s="14" t="s">
        <v>69</v>
      </c>
      <c r="F4" s="56">
        <v>0.0</v>
      </c>
      <c r="G4" s="69" t="s">
        <v>173</v>
      </c>
      <c r="H4" s="56">
        <v>2.0</v>
      </c>
      <c r="I4" s="14" t="s">
        <v>117</v>
      </c>
      <c r="J4" s="3"/>
      <c r="K4" s="17">
        <f t="shared" si="1"/>
        <v>0</v>
      </c>
      <c r="L4" s="18">
        <f t="shared" si="2"/>
        <v>3</v>
      </c>
      <c r="M4" s="3"/>
      <c r="N4" s="18">
        <v>2.0</v>
      </c>
      <c r="O4" s="102" t="s">
        <v>112</v>
      </c>
      <c r="P4" s="18">
        <f t="shared" si="3"/>
        <v>13</v>
      </c>
      <c r="Q4" s="20">
        <f t="shared" si="4"/>
        <v>4</v>
      </c>
      <c r="R4" s="20"/>
      <c r="S4" s="22">
        <f t="shared" si="5"/>
        <v>7</v>
      </c>
      <c r="T4" s="18">
        <f t="shared" si="6"/>
        <v>11</v>
      </c>
      <c r="U4" s="22">
        <f t="shared" si="7"/>
        <v>16</v>
      </c>
      <c r="V4" s="18">
        <f t="shared" si="8"/>
        <v>-5</v>
      </c>
      <c r="X4" s="207" t="s">
        <v>112</v>
      </c>
      <c r="Y4" s="208">
        <v>2.0</v>
      </c>
      <c r="AB4" s="24" t="s">
        <v>35</v>
      </c>
      <c r="AC4" s="206" t="s">
        <v>25</v>
      </c>
      <c r="AD4" s="26">
        <v>29.0</v>
      </c>
      <c r="AE4" s="26">
        <v>9.0</v>
      </c>
      <c r="AF4" s="26"/>
      <c r="AG4" s="27">
        <v>2.0</v>
      </c>
      <c r="AH4" s="26">
        <v>20.0</v>
      </c>
      <c r="AI4" s="27">
        <v>4.0</v>
      </c>
      <c r="AJ4" s="26">
        <v>16.0</v>
      </c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</row>
    <row r="5" ht="15.75" customHeight="1">
      <c r="A5" s="29"/>
      <c r="B5" s="12">
        <v>45610.0</v>
      </c>
      <c r="C5" s="13" t="s">
        <v>41</v>
      </c>
      <c r="D5" s="13" t="s">
        <v>22</v>
      </c>
      <c r="E5" s="14" t="s">
        <v>31</v>
      </c>
      <c r="F5" s="56">
        <v>2.0</v>
      </c>
      <c r="G5" s="69" t="s">
        <v>173</v>
      </c>
      <c r="H5" s="56">
        <v>0.0</v>
      </c>
      <c r="I5" s="14" t="s">
        <v>72</v>
      </c>
      <c r="J5" s="3"/>
      <c r="K5" s="17">
        <f t="shared" si="1"/>
        <v>3</v>
      </c>
      <c r="L5" s="18">
        <f t="shared" si="2"/>
        <v>0</v>
      </c>
      <c r="M5" s="3"/>
      <c r="N5" s="18">
        <v>3.0</v>
      </c>
      <c r="O5" s="102" t="s">
        <v>25</v>
      </c>
      <c r="P5" s="18">
        <f t="shared" si="3"/>
        <v>29</v>
      </c>
      <c r="Q5" s="20">
        <f t="shared" si="4"/>
        <v>9</v>
      </c>
      <c r="R5" s="20"/>
      <c r="S5" s="22">
        <f t="shared" si="5"/>
        <v>2</v>
      </c>
      <c r="T5" s="18">
        <f t="shared" si="6"/>
        <v>20</v>
      </c>
      <c r="U5" s="22">
        <f t="shared" si="7"/>
        <v>4</v>
      </c>
      <c r="V5" s="18">
        <f t="shared" si="8"/>
        <v>16</v>
      </c>
      <c r="X5" s="209" t="s">
        <v>42</v>
      </c>
      <c r="Y5" s="210">
        <v>1.0</v>
      </c>
      <c r="AB5" s="24" t="s">
        <v>40</v>
      </c>
      <c r="AC5" s="206" t="s">
        <v>117</v>
      </c>
      <c r="AD5" s="26">
        <v>24.0</v>
      </c>
      <c r="AE5" s="26">
        <v>7.0</v>
      </c>
      <c r="AF5" s="26"/>
      <c r="AG5" s="27">
        <v>4.0</v>
      </c>
      <c r="AH5" s="26">
        <v>17.0</v>
      </c>
      <c r="AI5" s="27">
        <v>8.0</v>
      </c>
      <c r="AJ5" s="26">
        <v>9.0</v>
      </c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</row>
    <row r="6" ht="15.75" customHeight="1">
      <c r="A6" s="29"/>
      <c r="B6" s="54">
        <v>45586.0</v>
      </c>
      <c r="C6" s="13" t="s">
        <v>21</v>
      </c>
      <c r="D6" s="13" t="s">
        <v>22</v>
      </c>
      <c r="E6" s="14" t="s">
        <v>64</v>
      </c>
      <c r="F6" s="56">
        <v>2.0</v>
      </c>
      <c r="G6" s="69" t="s">
        <v>173</v>
      </c>
      <c r="H6" s="56">
        <v>0.0</v>
      </c>
      <c r="I6" s="14" t="s">
        <v>174</v>
      </c>
      <c r="J6" s="3"/>
      <c r="K6" s="17">
        <f t="shared" si="1"/>
        <v>3</v>
      </c>
      <c r="L6" s="18">
        <f t="shared" si="2"/>
        <v>0</v>
      </c>
      <c r="M6" s="3"/>
      <c r="N6" s="18">
        <v>4.0</v>
      </c>
      <c r="O6" s="102" t="s">
        <v>42</v>
      </c>
      <c r="P6" s="18">
        <f t="shared" si="3"/>
        <v>13</v>
      </c>
      <c r="Q6" s="20">
        <f t="shared" si="4"/>
        <v>3</v>
      </c>
      <c r="R6" s="20"/>
      <c r="S6" s="22">
        <f t="shared" si="5"/>
        <v>8</v>
      </c>
      <c r="T6" s="18">
        <f t="shared" si="6"/>
        <v>10</v>
      </c>
      <c r="U6" s="22">
        <f t="shared" si="7"/>
        <v>16</v>
      </c>
      <c r="V6" s="18">
        <f t="shared" si="8"/>
        <v>-6</v>
      </c>
      <c r="AB6" s="24" t="s">
        <v>44</v>
      </c>
      <c r="AC6" s="206" t="s">
        <v>174</v>
      </c>
      <c r="AD6" s="26">
        <v>22.0</v>
      </c>
      <c r="AE6" s="26">
        <v>8.0</v>
      </c>
      <c r="AF6" s="26"/>
      <c r="AG6" s="27">
        <v>3.0</v>
      </c>
      <c r="AH6" s="26">
        <v>16.0</v>
      </c>
      <c r="AI6" s="27">
        <v>8.0</v>
      </c>
      <c r="AJ6" s="26">
        <v>8.0</v>
      </c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</row>
    <row r="7" ht="15.75" customHeight="1">
      <c r="A7" s="29"/>
      <c r="B7" s="54">
        <v>45586.0</v>
      </c>
      <c r="C7" s="13" t="s">
        <v>30</v>
      </c>
      <c r="D7" s="13" t="s">
        <v>22</v>
      </c>
      <c r="E7" s="14" t="s">
        <v>42</v>
      </c>
      <c r="F7" s="56">
        <v>0.0</v>
      </c>
      <c r="G7" s="69" t="s">
        <v>173</v>
      </c>
      <c r="H7" s="56">
        <v>2.0</v>
      </c>
      <c r="I7" s="14" t="s">
        <v>37</v>
      </c>
      <c r="J7" s="3"/>
      <c r="K7" s="17">
        <f t="shared" si="1"/>
        <v>0</v>
      </c>
      <c r="L7" s="18">
        <f t="shared" si="2"/>
        <v>3</v>
      </c>
      <c r="M7" s="3"/>
      <c r="N7" s="18">
        <v>5.0</v>
      </c>
      <c r="O7" s="102" t="s">
        <v>117</v>
      </c>
      <c r="P7" s="18">
        <f t="shared" si="3"/>
        <v>24</v>
      </c>
      <c r="Q7" s="20">
        <f t="shared" si="4"/>
        <v>7</v>
      </c>
      <c r="R7" s="20"/>
      <c r="S7" s="22">
        <f t="shared" si="5"/>
        <v>4</v>
      </c>
      <c r="T7" s="18">
        <f t="shared" si="6"/>
        <v>17</v>
      </c>
      <c r="U7" s="22">
        <f t="shared" si="7"/>
        <v>8</v>
      </c>
      <c r="V7" s="18">
        <f t="shared" si="8"/>
        <v>9</v>
      </c>
      <c r="AB7" s="24" t="s">
        <v>46</v>
      </c>
      <c r="AC7" s="206" t="s">
        <v>140</v>
      </c>
      <c r="AD7" s="26">
        <v>17.0</v>
      </c>
      <c r="AE7" s="26">
        <v>7.0</v>
      </c>
      <c r="AF7" s="26"/>
      <c r="AG7" s="27">
        <v>4.0</v>
      </c>
      <c r="AH7" s="26">
        <v>15.0</v>
      </c>
      <c r="AI7" s="27">
        <v>13.0</v>
      </c>
      <c r="AJ7" s="26">
        <v>2.0</v>
      </c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</row>
    <row r="8" ht="15.75" customHeight="1">
      <c r="A8" s="37"/>
      <c r="B8" s="54">
        <v>45586.0</v>
      </c>
      <c r="C8" s="13" t="s">
        <v>30</v>
      </c>
      <c r="D8" s="13" t="s">
        <v>22</v>
      </c>
      <c r="E8" s="14" t="s">
        <v>140</v>
      </c>
      <c r="F8" s="56">
        <v>2.0</v>
      </c>
      <c r="G8" s="69" t="s">
        <v>173</v>
      </c>
      <c r="H8" s="56">
        <v>0.0</v>
      </c>
      <c r="I8" s="14" t="s">
        <v>112</v>
      </c>
      <c r="J8" s="3"/>
      <c r="K8" s="17">
        <f t="shared" si="1"/>
        <v>3</v>
      </c>
      <c r="L8" s="18">
        <f t="shared" si="2"/>
        <v>0</v>
      </c>
      <c r="M8" s="3"/>
      <c r="N8" s="18">
        <v>6.0</v>
      </c>
      <c r="O8" s="102" t="s">
        <v>64</v>
      </c>
      <c r="P8" s="18">
        <f t="shared" si="3"/>
        <v>16</v>
      </c>
      <c r="Q8" s="20">
        <f t="shared" si="4"/>
        <v>6</v>
      </c>
      <c r="R8" s="20"/>
      <c r="S8" s="22">
        <f t="shared" si="5"/>
        <v>5</v>
      </c>
      <c r="T8" s="18">
        <f t="shared" si="6"/>
        <v>13</v>
      </c>
      <c r="U8" s="22">
        <f t="shared" si="7"/>
        <v>13</v>
      </c>
      <c r="V8" s="18">
        <f t="shared" si="8"/>
        <v>0</v>
      </c>
      <c r="AB8" s="24" t="s">
        <v>48</v>
      </c>
      <c r="AC8" s="206" t="s">
        <v>64</v>
      </c>
      <c r="AD8" s="26">
        <v>16.0</v>
      </c>
      <c r="AE8" s="26">
        <v>6.0</v>
      </c>
      <c r="AF8" s="26"/>
      <c r="AG8" s="27">
        <v>5.0</v>
      </c>
      <c r="AH8" s="26">
        <v>13.0</v>
      </c>
      <c r="AI8" s="27">
        <v>13.0</v>
      </c>
      <c r="AJ8" s="26">
        <v>0.0</v>
      </c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</row>
    <row r="9" ht="15.75" customHeight="1">
      <c r="A9" s="106">
        <v>2.0</v>
      </c>
      <c r="B9" s="12">
        <v>45601.0</v>
      </c>
      <c r="C9" s="200" t="s">
        <v>36</v>
      </c>
      <c r="D9" s="13" t="s">
        <v>22</v>
      </c>
      <c r="E9" s="14" t="s">
        <v>25</v>
      </c>
      <c r="F9" s="56">
        <v>2.0</v>
      </c>
      <c r="G9" s="69" t="s">
        <v>173</v>
      </c>
      <c r="H9" s="56">
        <v>0.0</v>
      </c>
      <c r="I9" s="14" t="s">
        <v>140</v>
      </c>
      <c r="J9" s="3"/>
      <c r="K9" s="17">
        <f t="shared" si="1"/>
        <v>3</v>
      </c>
      <c r="L9" s="18">
        <f t="shared" si="2"/>
        <v>0</v>
      </c>
      <c r="M9" s="3"/>
      <c r="N9" s="18">
        <v>7.0</v>
      </c>
      <c r="O9" s="102" t="s">
        <v>72</v>
      </c>
      <c r="P9" s="18">
        <f t="shared" si="3"/>
        <v>3</v>
      </c>
      <c r="Q9" s="20">
        <f t="shared" si="4"/>
        <v>1</v>
      </c>
      <c r="R9" s="20"/>
      <c r="S9" s="22">
        <f t="shared" si="5"/>
        <v>10</v>
      </c>
      <c r="T9" s="18">
        <f t="shared" si="6"/>
        <v>2</v>
      </c>
      <c r="U9" s="22">
        <f t="shared" si="7"/>
        <v>20</v>
      </c>
      <c r="V9" s="18">
        <f t="shared" si="8"/>
        <v>-18</v>
      </c>
      <c r="AB9" s="24">
        <v>7.0</v>
      </c>
      <c r="AC9" s="206" t="s">
        <v>112</v>
      </c>
      <c r="AD9" s="26">
        <v>13.0</v>
      </c>
      <c r="AE9" s="26">
        <v>4.0</v>
      </c>
      <c r="AF9" s="26"/>
      <c r="AG9" s="27">
        <v>7.0</v>
      </c>
      <c r="AH9" s="26">
        <v>11.0</v>
      </c>
      <c r="AI9" s="27">
        <v>16.0</v>
      </c>
      <c r="AJ9" s="26">
        <v>-5.0</v>
      </c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</row>
    <row r="10" ht="15.75" customHeight="1">
      <c r="A10" s="29"/>
      <c r="B10" s="12">
        <v>45601.0</v>
      </c>
      <c r="C10" s="200" t="s">
        <v>36</v>
      </c>
      <c r="D10" s="13" t="s">
        <v>22</v>
      </c>
      <c r="E10" s="14" t="s">
        <v>117</v>
      </c>
      <c r="F10" s="56">
        <v>2.0</v>
      </c>
      <c r="G10" s="69" t="s">
        <v>173</v>
      </c>
      <c r="H10" s="56">
        <v>0.0</v>
      </c>
      <c r="I10" s="14" t="s">
        <v>73</v>
      </c>
      <c r="J10" s="3"/>
      <c r="K10" s="17">
        <f t="shared" si="1"/>
        <v>3</v>
      </c>
      <c r="L10" s="18">
        <f t="shared" si="2"/>
        <v>0</v>
      </c>
      <c r="M10" s="3"/>
      <c r="N10" s="18">
        <v>8.0</v>
      </c>
      <c r="O10" s="102" t="s">
        <v>31</v>
      </c>
      <c r="P10" s="18">
        <f t="shared" si="3"/>
        <v>31</v>
      </c>
      <c r="Q10" s="20">
        <f t="shared" si="4"/>
        <v>11</v>
      </c>
      <c r="R10" s="20"/>
      <c r="S10" s="22">
        <f t="shared" si="5"/>
        <v>0</v>
      </c>
      <c r="T10" s="18">
        <f t="shared" si="6"/>
        <v>22</v>
      </c>
      <c r="U10" s="22">
        <f t="shared" si="7"/>
        <v>2</v>
      </c>
      <c r="V10" s="18">
        <f t="shared" si="8"/>
        <v>20</v>
      </c>
      <c r="AB10" s="24">
        <v>8.0</v>
      </c>
      <c r="AC10" s="206" t="s">
        <v>42</v>
      </c>
      <c r="AD10" s="26">
        <v>13.0</v>
      </c>
      <c r="AE10" s="26">
        <v>3.0</v>
      </c>
      <c r="AF10" s="26"/>
      <c r="AG10" s="27">
        <v>8.0</v>
      </c>
      <c r="AH10" s="26">
        <v>10.0</v>
      </c>
      <c r="AI10" s="27">
        <v>16.0</v>
      </c>
      <c r="AJ10" s="26">
        <v>-6.0</v>
      </c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</row>
    <row r="11" ht="15.75" customHeight="1">
      <c r="A11" s="29"/>
      <c r="B11" s="12">
        <v>45601.0</v>
      </c>
      <c r="C11" s="200" t="s">
        <v>36</v>
      </c>
      <c r="D11" s="13" t="s">
        <v>22</v>
      </c>
      <c r="E11" s="14" t="s">
        <v>72</v>
      </c>
      <c r="F11" s="56">
        <v>0.0</v>
      </c>
      <c r="G11" s="69" t="s">
        <v>173</v>
      </c>
      <c r="H11" s="56">
        <v>2.0</v>
      </c>
      <c r="I11" s="14" t="s">
        <v>69</v>
      </c>
      <c r="J11" s="3"/>
      <c r="K11" s="17">
        <f t="shared" si="1"/>
        <v>0</v>
      </c>
      <c r="L11" s="18">
        <f t="shared" si="2"/>
        <v>3</v>
      </c>
      <c r="M11" s="3"/>
      <c r="N11" s="18">
        <v>9.0</v>
      </c>
      <c r="O11" s="102" t="s">
        <v>174</v>
      </c>
      <c r="P11" s="18">
        <f t="shared" si="3"/>
        <v>22</v>
      </c>
      <c r="Q11" s="20">
        <f t="shared" si="4"/>
        <v>8</v>
      </c>
      <c r="R11" s="20"/>
      <c r="S11" s="22">
        <f t="shared" si="5"/>
        <v>3</v>
      </c>
      <c r="T11" s="18">
        <f t="shared" si="6"/>
        <v>16</v>
      </c>
      <c r="U11" s="22">
        <f t="shared" si="7"/>
        <v>8</v>
      </c>
      <c r="V11" s="18">
        <f t="shared" si="8"/>
        <v>8</v>
      </c>
      <c r="AB11" s="41">
        <v>9.0</v>
      </c>
      <c r="AC11" s="206" t="s">
        <v>69</v>
      </c>
      <c r="AD11" s="26">
        <v>11.0</v>
      </c>
      <c r="AE11" s="26">
        <v>4.0</v>
      </c>
      <c r="AF11" s="26"/>
      <c r="AG11" s="27">
        <v>7.0</v>
      </c>
      <c r="AH11" s="26">
        <v>9.0</v>
      </c>
      <c r="AI11" s="27">
        <v>16.0</v>
      </c>
      <c r="AJ11" s="26">
        <v>-7.0</v>
      </c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</row>
    <row r="12" ht="15.75" customHeight="1">
      <c r="A12" s="29"/>
      <c r="B12" s="12">
        <v>45601.0</v>
      </c>
      <c r="C12" s="200" t="s">
        <v>41</v>
      </c>
      <c r="D12" s="13" t="s">
        <v>22</v>
      </c>
      <c r="E12" s="14" t="s">
        <v>174</v>
      </c>
      <c r="F12" s="56">
        <v>0.0</v>
      </c>
      <c r="G12" s="69" t="s">
        <v>173</v>
      </c>
      <c r="H12" s="56">
        <v>2.0</v>
      </c>
      <c r="I12" s="14" t="s">
        <v>31</v>
      </c>
      <c r="J12" s="3"/>
      <c r="K12" s="17">
        <f t="shared" si="1"/>
        <v>0</v>
      </c>
      <c r="L12" s="18">
        <f t="shared" si="2"/>
        <v>3</v>
      </c>
      <c r="M12" s="3"/>
      <c r="N12" s="18">
        <v>10.0</v>
      </c>
      <c r="O12" s="177" t="s">
        <v>69</v>
      </c>
      <c r="P12" s="18">
        <f t="shared" si="3"/>
        <v>11</v>
      </c>
      <c r="Q12" s="20">
        <f t="shared" si="4"/>
        <v>4</v>
      </c>
      <c r="R12" s="20"/>
      <c r="S12" s="22">
        <f t="shared" si="5"/>
        <v>7</v>
      </c>
      <c r="T12" s="18">
        <f t="shared" si="6"/>
        <v>9</v>
      </c>
      <c r="U12" s="22">
        <f t="shared" si="7"/>
        <v>16</v>
      </c>
      <c r="V12" s="18">
        <f t="shared" si="8"/>
        <v>-7</v>
      </c>
      <c r="AB12" s="41">
        <v>10.0</v>
      </c>
      <c r="AC12" s="206" t="s">
        <v>73</v>
      </c>
      <c r="AD12" s="26">
        <v>10.0</v>
      </c>
      <c r="AE12" s="26">
        <v>4.0</v>
      </c>
      <c r="AF12" s="26"/>
      <c r="AG12" s="27">
        <v>7.0</v>
      </c>
      <c r="AH12" s="26">
        <v>8.0</v>
      </c>
      <c r="AI12" s="27">
        <v>16.0</v>
      </c>
      <c r="AJ12" s="26">
        <v>-8.0</v>
      </c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</row>
    <row r="13" ht="15.75" customHeight="1">
      <c r="A13" s="29"/>
      <c r="B13" s="12">
        <v>45601.0</v>
      </c>
      <c r="C13" s="200" t="s">
        <v>41</v>
      </c>
      <c r="D13" s="13" t="s">
        <v>22</v>
      </c>
      <c r="E13" s="14" t="s">
        <v>37</v>
      </c>
      <c r="F13" s="56">
        <v>1.0</v>
      </c>
      <c r="G13" s="69" t="s">
        <v>173</v>
      </c>
      <c r="H13" s="56">
        <v>2.0</v>
      </c>
      <c r="I13" s="14" t="s">
        <v>64</v>
      </c>
      <c r="J13" s="3"/>
      <c r="K13" s="17">
        <f t="shared" si="1"/>
        <v>1</v>
      </c>
      <c r="L13" s="18">
        <f t="shared" si="2"/>
        <v>2</v>
      </c>
      <c r="M13" s="3"/>
      <c r="N13" s="18">
        <v>11.0</v>
      </c>
      <c r="O13" s="173" t="s">
        <v>37</v>
      </c>
      <c r="P13" s="18">
        <f t="shared" si="3"/>
        <v>9</v>
      </c>
      <c r="Q13" s="20">
        <f t="shared" si="4"/>
        <v>2</v>
      </c>
      <c r="R13" s="20"/>
      <c r="S13" s="22">
        <f t="shared" si="5"/>
        <v>9</v>
      </c>
      <c r="T13" s="18">
        <f t="shared" si="6"/>
        <v>8</v>
      </c>
      <c r="U13" s="22">
        <f t="shared" si="7"/>
        <v>19</v>
      </c>
      <c r="V13" s="18">
        <f t="shared" si="8"/>
        <v>-11</v>
      </c>
      <c r="AB13" s="41">
        <v>11.0</v>
      </c>
      <c r="AC13" s="206" t="s">
        <v>37</v>
      </c>
      <c r="AD13" s="26">
        <v>9.0</v>
      </c>
      <c r="AE13" s="26">
        <v>2.0</v>
      </c>
      <c r="AF13" s="26"/>
      <c r="AG13" s="27">
        <v>9.0</v>
      </c>
      <c r="AH13" s="26">
        <v>8.0</v>
      </c>
      <c r="AI13" s="27">
        <v>19.0</v>
      </c>
      <c r="AJ13" s="26">
        <v>-11.0</v>
      </c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</row>
    <row r="14" ht="15.75" customHeight="1">
      <c r="A14" s="37"/>
      <c r="B14" s="12">
        <v>45601.0</v>
      </c>
      <c r="C14" s="200" t="s">
        <v>41</v>
      </c>
      <c r="D14" s="13" t="s">
        <v>22</v>
      </c>
      <c r="E14" s="14" t="s">
        <v>112</v>
      </c>
      <c r="F14" s="56">
        <v>2.0</v>
      </c>
      <c r="G14" s="69" t="s">
        <v>173</v>
      </c>
      <c r="H14" s="56">
        <v>1.0</v>
      </c>
      <c r="I14" s="14" t="s">
        <v>42</v>
      </c>
      <c r="J14" s="3"/>
      <c r="K14" s="17">
        <f t="shared" si="1"/>
        <v>2</v>
      </c>
      <c r="L14" s="18">
        <f t="shared" si="2"/>
        <v>1</v>
      </c>
      <c r="M14" s="3"/>
      <c r="N14" s="18">
        <v>12.0</v>
      </c>
      <c r="O14" s="173" t="s">
        <v>140</v>
      </c>
      <c r="P14" s="18">
        <f t="shared" si="3"/>
        <v>17</v>
      </c>
      <c r="Q14" s="20">
        <f t="shared" si="4"/>
        <v>7</v>
      </c>
      <c r="R14" s="20"/>
      <c r="S14" s="22">
        <f t="shared" si="5"/>
        <v>4</v>
      </c>
      <c r="T14" s="18">
        <f t="shared" si="6"/>
        <v>15</v>
      </c>
      <c r="U14" s="22">
        <f t="shared" si="7"/>
        <v>13</v>
      </c>
      <c r="V14" s="18">
        <f t="shared" si="8"/>
        <v>2</v>
      </c>
      <c r="AB14" s="41">
        <v>12.0</v>
      </c>
      <c r="AC14" s="206" t="s">
        <v>72</v>
      </c>
      <c r="AD14" s="26">
        <v>3.0</v>
      </c>
      <c r="AE14" s="26">
        <v>1.0</v>
      </c>
      <c r="AF14" s="26"/>
      <c r="AG14" s="27">
        <v>10.0</v>
      </c>
      <c r="AH14" s="26">
        <v>2.0</v>
      </c>
      <c r="AI14" s="27">
        <v>20.0</v>
      </c>
      <c r="AJ14" s="26">
        <v>-18.0</v>
      </c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</row>
    <row r="15" ht="15.75" customHeight="1">
      <c r="A15" s="106">
        <v>3.0</v>
      </c>
      <c r="B15" s="12">
        <v>45616.0</v>
      </c>
      <c r="C15" s="13" t="s">
        <v>56</v>
      </c>
      <c r="D15" s="13" t="s">
        <v>22</v>
      </c>
      <c r="E15" s="14" t="s">
        <v>25</v>
      </c>
      <c r="F15" s="56">
        <v>2.0</v>
      </c>
      <c r="G15" s="69" t="s">
        <v>173</v>
      </c>
      <c r="H15" s="56">
        <v>0.0</v>
      </c>
      <c r="I15" s="14" t="s">
        <v>117</v>
      </c>
      <c r="J15" s="3"/>
      <c r="K15" s="17">
        <f t="shared" si="1"/>
        <v>3</v>
      </c>
      <c r="L15" s="18">
        <f t="shared" si="2"/>
        <v>0</v>
      </c>
      <c r="M15" s="3"/>
      <c r="N15" s="3"/>
      <c r="O15" s="3"/>
      <c r="P15" s="3"/>
      <c r="Q15" s="20"/>
      <c r="R15" s="3"/>
      <c r="S15" s="3"/>
      <c r="T15" s="3"/>
      <c r="U15" s="3"/>
      <c r="V15" s="3"/>
      <c r="AB15" s="85" t="s">
        <v>175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ht="15.75" customHeight="1">
      <c r="A16" s="29"/>
      <c r="B16" s="12">
        <v>45616.0</v>
      </c>
      <c r="C16" s="13" t="s">
        <v>56</v>
      </c>
      <c r="D16" s="13" t="s">
        <v>22</v>
      </c>
      <c r="E16" s="14" t="s">
        <v>73</v>
      </c>
      <c r="F16" s="56">
        <v>2.0</v>
      </c>
      <c r="G16" s="69" t="s">
        <v>173</v>
      </c>
      <c r="H16" s="56">
        <v>0.0</v>
      </c>
      <c r="I16" s="14" t="s">
        <v>72</v>
      </c>
      <c r="J16" s="3"/>
      <c r="K16" s="17">
        <f t="shared" si="1"/>
        <v>3</v>
      </c>
      <c r="L16" s="18">
        <f t="shared" si="2"/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AB16" s="48"/>
      <c r="AE16" s="47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ht="15.75" customHeight="1">
      <c r="A17" s="29"/>
      <c r="B17" s="12">
        <v>45623.0</v>
      </c>
      <c r="C17" s="13" t="s">
        <v>51</v>
      </c>
      <c r="D17" s="13" t="s">
        <v>22</v>
      </c>
      <c r="E17" s="14" t="s">
        <v>69</v>
      </c>
      <c r="F17" s="56">
        <v>0.0</v>
      </c>
      <c r="G17" s="69" t="s">
        <v>173</v>
      </c>
      <c r="H17" s="56">
        <v>2.0</v>
      </c>
      <c r="I17" s="14" t="s">
        <v>174</v>
      </c>
      <c r="J17" s="3"/>
      <c r="K17" s="17">
        <f t="shared" si="1"/>
        <v>0</v>
      </c>
      <c r="L17" s="18">
        <f t="shared" si="2"/>
        <v>3</v>
      </c>
      <c r="M17" s="3"/>
      <c r="N17" s="3"/>
      <c r="O17" s="3"/>
      <c r="P17" s="3"/>
      <c r="Q17" s="3"/>
      <c r="R17" s="3"/>
      <c r="S17" s="3"/>
      <c r="T17" s="3"/>
      <c r="U17" s="3"/>
      <c r="V17" s="3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ht="15.75" customHeight="1">
      <c r="A18" s="29"/>
      <c r="B18" s="12">
        <v>45623.0</v>
      </c>
      <c r="C18" s="13" t="s">
        <v>57</v>
      </c>
      <c r="D18" s="13" t="s">
        <v>22</v>
      </c>
      <c r="E18" s="14" t="s">
        <v>31</v>
      </c>
      <c r="F18" s="56">
        <v>2.0</v>
      </c>
      <c r="G18" s="69" t="s">
        <v>173</v>
      </c>
      <c r="H18" s="56">
        <v>0.0</v>
      </c>
      <c r="I18" s="14" t="s">
        <v>37</v>
      </c>
      <c r="J18" s="50"/>
      <c r="K18" s="17">
        <f t="shared" si="1"/>
        <v>3</v>
      </c>
      <c r="L18" s="18">
        <f t="shared" si="2"/>
        <v>0</v>
      </c>
      <c r="M18" s="3"/>
      <c r="N18" s="3"/>
      <c r="O18" s="3"/>
      <c r="P18" s="3"/>
      <c r="R18" s="3"/>
      <c r="S18" s="3"/>
      <c r="T18" s="3"/>
      <c r="U18" s="3"/>
      <c r="V18" s="3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</row>
    <row r="19" ht="15.75" customHeight="1">
      <c r="A19" s="29"/>
      <c r="B19" s="12">
        <v>45616.0</v>
      </c>
      <c r="C19" s="13" t="s">
        <v>57</v>
      </c>
      <c r="D19" s="13" t="s">
        <v>22</v>
      </c>
      <c r="E19" s="14" t="s">
        <v>64</v>
      </c>
      <c r="F19" s="56">
        <v>2.0</v>
      </c>
      <c r="G19" s="69" t="s">
        <v>173</v>
      </c>
      <c r="H19" s="56">
        <v>1.0</v>
      </c>
      <c r="I19" s="14" t="s">
        <v>112</v>
      </c>
      <c r="J19" s="3"/>
      <c r="K19" s="17">
        <f t="shared" si="1"/>
        <v>2</v>
      </c>
      <c r="L19" s="18">
        <f t="shared" si="2"/>
        <v>1</v>
      </c>
      <c r="M19" s="3"/>
      <c r="N19" s="3"/>
      <c r="O19" s="3"/>
      <c r="P19" s="3"/>
      <c r="Q19" s="3"/>
      <c r="R19" s="3"/>
      <c r="S19" s="3"/>
      <c r="T19" s="3"/>
      <c r="U19" s="3"/>
      <c r="V19" s="3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</row>
    <row r="20" ht="15.75" customHeight="1">
      <c r="A20" s="37"/>
      <c r="B20" s="12">
        <v>45616.0</v>
      </c>
      <c r="C20" s="13" t="s">
        <v>57</v>
      </c>
      <c r="D20" s="13" t="s">
        <v>22</v>
      </c>
      <c r="E20" s="14" t="s">
        <v>140</v>
      </c>
      <c r="F20" s="56">
        <v>2.0</v>
      </c>
      <c r="G20" s="69" t="s">
        <v>173</v>
      </c>
      <c r="H20" s="56">
        <v>1.0</v>
      </c>
      <c r="I20" s="14" t="s">
        <v>42</v>
      </c>
      <c r="J20" s="3"/>
      <c r="K20" s="17">
        <f t="shared" si="1"/>
        <v>2</v>
      </c>
      <c r="L20" s="18">
        <f t="shared" si="2"/>
        <v>1</v>
      </c>
      <c r="M20" s="3"/>
      <c r="N20" s="3"/>
      <c r="O20" s="3"/>
      <c r="P20" s="3"/>
      <c r="Q20" s="3"/>
      <c r="R20" s="3"/>
      <c r="S20" s="3"/>
      <c r="T20" s="3"/>
      <c r="U20" s="3"/>
      <c r="V20" s="3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</row>
    <row r="21" ht="15.75" customHeight="1">
      <c r="A21" s="106">
        <v>4.0</v>
      </c>
      <c r="B21" s="12">
        <v>45641.0</v>
      </c>
      <c r="C21" s="13" t="s">
        <v>56</v>
      </c>
      <c r="D21" s="13" t="s">
        <v>22</v>
      </c>
      <c r="E21" s="14" t="s">
        <v>117</v>
      </c>
      <c r="F21" s="13">
        <v>1.0</v>
      </c>
      <c r="G21" s="69" t="s">
        <v>173</v>
      </c>
      <c r="H21" s="56">
        <v>2.0</v>
      </c>
      <c r="I21" s="14" t="s">
        <v>140</v>
      </c>
      <c r="J21" s="3"/>
      <c r="K21" s="17">
        <f t="shared" si="1"/>
        <v>1</v>
      </c>
      <c r="L21" s="18">
        <f t="shared" si="2"/>
        <v>2</v>
      </c>
      <c r="M21" s="3"/>
      <c r="N21" s="3"/>
      <c r="O21" s="3"/>
      <c r="P21" s="3"/>
      <c r="Q21" s="3"/>
      <c r="R21" s="3"/>
      <c r="S21" s="3"/>
      <c r="T21" s="3"/>
      <c r="U21" s="3"/>
      <c r="V21" s="3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</row>
    <row r="22" ht="15.75" customHeight="1">
      <c r="A22" s="29"/>
      <c r="B22" s="12">
        <v>45641.0</v>
      </c>
      <c r="C22" s="13" t="s">
        <v>57</v>
      </c>
      <c r="D22" s="13" t="s">
        <v>22</v>
      </c>
      <c r="E22" s="14" t="s">
        <v>72</v>
      </c>
      <c r="F22" s="49">
        <v>0.0</v>
      </c>
      <c r="G22" s="69" t="s">
        <v>173</v>
      </c>
      <c r="H22" s="56">
        <v>2.0</v>
      </c>
      <c r="I22" s="14" t="s">
        <v>25</v>
      </c>
      <c r="J22" s="3"/>
      <c r="K22" s="17">
        <f t="shared" si="1"/>
        <v>0</v>
      </c>
      <c r="L22" s="18">
        <f t="shared" si="2"/>
        <v>3</v>
      </c>
      <c r="M22" s="3"/>
      <c r="N22" s="3"/>
      <c r="O22" s="3"/>
      <c r="P22" s="3"/>
      <c r="Q22" s="3"/>
      <c r="R22" s="3"/>
      <c r="S22" s="3"/>
      <c r="T22" s="3"/>
      <c r="U22" s="3"/>
      <c r="V22" s="3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</row>
    <row r="23" ht="15.75" customHeight="1">
      <c r="A23" s="29"/>
      <c r="B23" s="12">
        <v>45641.0</v>
      </c>
      <c r="C23" s="13" t="s">
        <v>56</v>
      </c>
      <c r="D23" s="13" t="s">
        <v>22</v>
      </c>
      <c r="E23" s="14" t="s">
        <v>174</v>
      </c>
      <c r="F23" s="13">
        <v>2.0</v>
      </c>
      <c r="G23" s="69" t="s">
        <v>173</v>
      </c>
      <c r="H23" s="56">
        <v>0.0</v>
      </c>
      <c r="I23" s="14" t="s">
        <v>73</v>
      </c>
      <c r="J23" s="3"/>
      <c r="K23" s="17">
        <f t="shared" si="1"/>
        <v>3</v>
      </c>
      <c r="L23" s="18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</row>
    <row r="24" ht="15.75" customHeight="1">
      <c r="A24" s="29"/>
      <c r="B24" s="12">
        <v>45641.0</v>
      </c>
      <c r="C24" s="13" t="s">
        <v>56</v>
      </c>
      <c r="D24" s="13" t="s">
        <v>22</v>
      </c>
      <c r="E24" s="14" t="s">
        <v>37</v>
      </c>
      <c r="F24" s="13">
        <v>1.0</v>
      </c>
      <c r="G24" s="69" t="s">
        <v>173</v>
      </c>
      <c r="H24" s="56">
        <v>2.0</v>
      </c>
      <c r="I24" s="14" t="s">
        <v>69</v>
      </c>
      <c r="J24" s="3"/>
      <c r="K24" s="17">
        <f t="shared" si="1"/>
        <v>1</v>
      </c>
      <c r="L24" s="18">
        <f t="shared" si="2"/>
        <v>2</v>
      </c>
      <c r="M24" s="3"/>
      <c r="N24" s="3"/>
      <c r="O24" s="3"/>
      <c r="P24" s="3"/>
      <c r="Q24" s="3"/>
      <c r="R24" s="3"/>
      <c r="S24" s="3"/>
      <c r="T24" s="3"/>
      <c r="U24" s="3"/>
      <c r="V24" s="3"/>
      <c r="AB24" s="93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ht="15.75" customHeight="1">
      <c r="A25" s="29"/>
      <c r="B25" s="12">
        <v>45641.0</v>
      </c>
      <c r="C25" s="13" t="s">
        <v>57</v>
      </c>
      <c r="D25" s="13" t="s">
        <v>22</v>
      </c>
      <c r="E25" s="14" t="s">
        <v>112</v>
      </c>
      <c r="F25" s="13">
        <v>0.0</v>
      </c>
      <c r="G25" s="69" t="s">
        <v>173</v>
      </c>
      <c r="H25" s="56">
        <v>2.0</v>
      </c>
      <c r="I25" s="14" t="s">
        <v>31</v>
      </c>
      <c r="J25" s="3"/>
      <c r="K25" s="17">
        <f t="shared" si="1"/>
        <v>0</v>
      </c>
      <c r="L25" s="18">
        <f t="shared" si="2"/>
        <v>3</v>
      </c>
      <c r="M25" s="3"/>
      <c r="N25" s="3"/>
      <c r="O25" s="3"/>
      <c r="P25" s="3"/>
      <c r="Q25" s="3"/>
      <c r="R25" s="3"/>
      <c r="S25" s="3"/>
      <c r="T25" s="3"/>
      <c r="U25" s="3"/>
      <c r="V25" s="3"/>
      <c r="AB25" s="4"/>
      <c r="AC25" s="2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</row>
    <row r="26" ht="15.75" customHeight="1">
      <c r="A26" s="37"/>
      <c r="B26" s="12">
        <v>45641.0</v>
      </c>
      <c r="C26" s="13" t="s">
        <v>57</v>
      </c>
      <c r="D26" s="13" t="s">
        <v>22</v>
      </c>
      <c r="E26" s="14" t="s">
        <v>42</v>
      </c>
      <c r="F26" s="13">
        <v>1.0</v>
      </c>
      <c r="G26" s="69" t="s">
        <v>173</v>
      </c>
      <c r="H26" s="56">
        <v>2.0</v>
      </c>
      <c r="I26" s="14" t="s">
        <v>64</v>
      </c>
      <c r="J26" s="3"/>
      <c r="K26" s="17">
        <f t="shared" si="1"/>
        <v>1</v>
      </c>
      <c r="L26" s="18">
        <f t="shared" si="2"/>
        <v>2</v>
      </c>
      <c r="M26" s="3"/>
      <c r="N26" s="3"/>
      <c r="O26" s="3"/>
      <c r="P26" s="3"/>
      <c r="Q26" s="3"/>
      <c r="R26" s="3"/>
      <c r="S26" s="3"/>
      <c r="T26" s="3"/>
      <c r="U26" s="3"/>
      <c r="V26" s="3"/>
      <c r="AB26" s="4"/>
      <c r="AC26" s="2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</row>
    <row r="27" ht="15.75" customHeight="1">
      <c r="A27" s="106">
        <v>5.0</v>
      </c>
      <c r="B27" s="12">
        <v>45714.0</v>
      </c>
      <c r="C27" s="13" t="s">
        <v>58</v>
      </c>
      <c r="D27" s="13" t="s">
        <v>22</v>
      </c>
      <c r="E27" s="14" t="s">
        <v>117</v>
      </c>
      <c r="F27" s="56">
        <v>2.0</v>
      </c>
      <c r="G27" s="69" t="s">
        <v>173</v>
      </c>
      <c r="H27" s="56">
        <v>0.0</v>
      </c>
      <c r="I27" s="14" t="s">
        <v>72</v>
      </c>
      <c r="J27" s="3"/>
      <c r="K27" s="17">
        <f t="shared" si="1"/>
        <v>3</v>
      </c>
      <c r="L27" s="18">
        <f t="shared" si="2"/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AB27" s="4"/>
      <c r="AC27" s="2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ht="15.75" customHeight="1">
      <c r="A28" s="29"/>
      <c r="B28" s="12">
        <v>45714.0</v>
      </c>
      <c r="C28" s="13" t="s">
        <v>58</v>
      </c>
      <c r="D28" s="13" t="s">
        <v>22</v>
      </c>
      <c r="E28" s="14" t="s">
        <v>25</v>
      </c>
      <c r="F28" s="56">
        <v>2.0</v>
      </c>
      <c r="G28" s="69" t="s">
        <v>173</v>
      </c>
      <c r="H28" s="56">
        <v>0.0</v>
      </c>
      <c r="I28" s="14" t="s">
        <v>174</v>
      </c>
      <c r="J28" s="3"/>
      <c r="K28" s="17">
        <f t="shared" si="1"/>
        <v>3</v>
      </c>
      <c r="L28" s="18">
        <f t="shared" si="2"/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AB28" s="4"/>
      <c r="AC28" s="2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ht="15.75" customHeight="1">
      <c r="A29" s="29"/>
      <c r="B29" s="12">
        <v>45705.0</v>
      </c>
      <c r="C29" s="13" t="s">
        <v>41</v>
      </c>
      <c r="D29" s="13" t="s">
        <v>22</v>
      </c>
      <c r="E29" s="14" t="s">
        <v>73</v>
      </c>
      <c r="F29" s="56">
        <v>2.0</v>
      </c>
      <c r="G29" s="69" t="s">
        <v>173</v>
      </c>
      <c r="H29" s="56">
        <v>1.0</v>
      </c>
      <c r="I29" s="14" t="s">
        <v>37</v>
      </c>
      <c r="J29" s="3"/>
      <c r="K29" s="17">
        <f t="shared" si="1"/>
        <v>2</v>
      </c>
      <c r="L29" s="18">
        <f t="shared" si="2"/>
        <v>1</v>
      </c>
      <c r="M29" s="3"/>
      <c r="N29" s="3"/>
      <c r="O29" s="3"/>
      <c r="P29" s="3"/>
      <c r="Q29" s="3"/>
      <c r="R29" s="3"/>
      <c r="S29" s="3"/>
      <c r="T29" s="3"/>
      <c r="U29" s="3"/>
      <c r="V29" s="3"/>
      <c r="AB29" s="4"/>
      <c r="AC29" s="2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ht="15.75" customHeight="1">
      <c r="A30" s="29"/>
      <c r="B30" s="12">
        <v>45714.0</v>
      </c>
      <c r="C30" s="13" t="s">
        <v>59</v>
      </c>
      <c r="D30" s="13" t="s">
        <v>22</v>
      </c>
      <c r="E30" s="14" t="s">
        <v>69</v>
      </c>
      <c r="F30" s="56">
        <v>2.0</v>
      </c>
      <c r="G30" s="69" t="s">
        <v>173</v>
      </c>
      <c r="H30" s="56">
        <v>1.0</v>
      </c>
      <c r="I30" s="14" t="s">
        <v>112</v>
      </c>
      <c r="J30" s="3"/>
      <c r="K30" s="17">
        <f t="shared" si="1"/>
        <v>2</v>
      </c>
      <c r="L30" s="18">
        <f t="shared" si="2"/>
        <v>1</v>
      </c>
      <c r="M30" s="3"/>
      <c r="N30" s="3"/>
      <c r="O30" s="3"/>
      <c r="P30" s="3"/>
      <c r="Q30" s="3"/>
      <c r="R30" s="3"/>
      <c r="S30" s="3"/>
      <c r="T30" s="3"/>
      <c r="U30" s="3"/>
      <c r="V30" s="3"/>
      <c r="AB30" s="4"/>
      <c r="AC30" s="2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</row>
    <row r="31" ht="15.75" customHeight="1">
      <c r="A31" s="29"/>
      <c r="B31" s="12">
        <v>45714.0</v>
      </c>
      <c r="C31" s="13" t="s">
        <v>59</v>
      </c>
      <c r="D31" s="13" t="s">
        <v>22</v>
      </c>
      <c r="E31" s="14" t="s">
        <v>31</v>
      </c>
      <c r="F31" s="56">
        <v>2.0</v>
      </c>
      <c r="G31" s="69" t="s">
        <v>173</v>
      </c>
      <c r="H31" s="56">
        <v>0.0</v>
      </c>
      <c r="I31" s="14" t="s">
        <v>42</v>
      </c>
      <c r="J31" s="3"/>
      <c r="K31" s="17">
        <f t="shared" si="1"/>
        <v>3</v>
      </c>
      <c r="L31" s="18">
        <f t="shared" si="2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AB31" s="4"/>
      <c r="AC31" s="2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</row>
    <row r="32" ht="15.75" customHeight="1">
      <c r="A32" s="37"/>
      <c r="B32" s="12">
        <v>45714.0</v>
      </c>
      <c r="C32" s="13" t="s">
        <v>59</v>
      </c>
      <c r="D32" s="13" t="s">
        <v>22</v>
      </c>
      <c r="E32" s="14" t="s">
        <v>140</v>
      </c>
      <c r="F32" s="56">
        <v>2.0</v>
      </c>
      <c r="G32" s="69" t="s">
        <v>173</v>
      </c>
      <c r="H32" s="56">
        <v>1.0</v>
      </c>
      <c r="I32" s="14" t="s">
        <v>64</v>
      </c>
      <c r="J32" s="3"/>
      <c r="K32" s="17">
        <f t="shared" si="1"/>
        <v>2</v>
      </c>
      <c r="L32" s="18">
        <f t="shared" si="2"/>
        <v>1</v>
      </c>
      <c r="M32" s="3"/>
      <c r="N32" s="3"/>
      <c r="O32" s="3"/>
      <c r="P32" s="3"/>
      <c r="Q32" s="3"/>
      <c r="R32" s="3"/>
      <c r="S32" s="3"/>
      <c r="T32" s="3"/>
      <c r="U32" s="3"/>
      <c r="V32" s="3"/>
      <c r="AB32" s="4"/>
      <c r="AC32" s="2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ht="15.75" customHeight="1">
      <c r="A33" s="106">
        <v>6.0</v>
      </c>
      <c r="B33" s="12">
        <v>45782.0</v>
      </c>
      <c r="C33" s="13" t="s">
        <v>36</v>
      </c>
      <c r="D33" s="13" t="s">
        <v>22</v>
      </c>
      <c r="E33" s="14" t="s">
        <v>72</v>
      </c>
      <c r="F33" s="56">
        <v>0.0</v>
      </c>
      <c r="G33" s="69" t="s">
        <v>173</v>
      </c>
      <c r="H33" s="56">
        <v>2.0</v>
      </c>
      <c r="I33" s="14" t="s">
        <v>140</v>
      </c>
      <c r="J33" s="3"/>
      <c r="K33" s="17">
        <f t="shared" si="1"/>
        <v>0</v>
      </c>
      <c r="L33" s="18">
        <f t="shared" si="2"/>
        <v>3</v>
      </c>
      <c r="M33" s="3"/>
      <c r="N33" s="3"/>
      <c r="O33" s="3"/>
      <c r="P33" s="3"/>
      <c r="Q33" s="3"/>
      <c r="R33" s="3"/>
      <c r="S33" s="3"/>
      <c r="T33" s="3"/>
      <c r="U33" s="3"/>
      <c r="V33" s="3"/>
      <c r="AB33" s="4"/>
      <c r="AC33" s="2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</row>
    <row r="34" ht="15.75" customHeight="1">
      <c r="A34" s="29"/>
      <c r="B34" s="12">
        <v>45726.0</v>
      </c>
      <c r="C34" s="13" t="s">
        <v>36</v>
      </c>
      <c r="D34" s="13" t="s">
        <v>22</v>
      </c>
      <c r="E34" s="14" t="s">
        <v>174</v>
      </c>
      <c r="F34" s="56">
        <v>2.0</v>
      </c>
      <c r="G34" s="69" t="s">
        <v>173</v>
      </c>
      <c r="H34" s="56">
        <v>1.0</v>
      </c>
      <c r="I34" s="14" t="s">
        <v>117</v>
      </c>
      <c r="J34" s="3"/>
      <c r="K34" s="17">
        <f t="shared" si="1"/>
        <v>2</v>
      </c>
      <c r="L34" s="18">
        <f t="shared" si="2"/>
        <v>1</v>
      </c>
      <c r="M34" s="3"/>
      <c r="N34" s="3"/>
      <c r="O34" s="3"/>
      <c r="P34" s="3"/>
      <c r="Q34" s="3"/>
      <c r="R34" s="3"/>
      <c r="S34" s="3"/>
      <c r="T34" s="3"/>
      <c r="U34" s="3"/>
      <c r="V34" s="3"/>
      <c r="AB34" s="4"/>
      <c r="AC34" s="2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</row>
    <row r="35" ht="15.75" customHeight="1">
      <c r="A35" s="29"/>
      <c r="B35" s="12">
        <v>45726.0</v>
      </c>
      <c r="C35" s="13" t="s">
        <v>36</v>
      </c>
      <c r="D35" s="13" t="s">
        <v>22</v>
      </c>
      <c r="E35" s="14" t="s">
        <v>37</v>
      </c>
      <c r="F35" s="56">
        <v>0.0</v>
      </c>
      <c r="G35" s="69" t="s">
        <v>173</v>
      </c>
      <c r="H35" s="56">
        <v>2.0</v>
      </c>
      <c r="I35" s="14" t="s">
        <v>25</v>
      </c>
      <c r="J35" s="3"/>
      <c r="K35" s="17">
        <f t="shared" si="1"/>
        <v>0</v>
      </c>
      <c r="L35" s="18">
        <f t="shared" si="2"/>
        <v>3</v>
      </c>
      <c r="M35" s="3"/>
      <c r="N35" s="3"/>
      <c r="O35" s="3"/>
      <c r="P35" s="3"/>
      <c r="Q35" s="3"/>
      <c r="R35" s="3"/>
      <c r="S35" s="3"/>
      <c r="T35" s="3"/>
      <c r="U35" s="3"/>
      <c r="V35" s="3"/>
      <c r="AB35" s="4"/>
      <c r="AC35" s="2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</row>
    <row r="36" ht="15.75" customHeight="1">
      <c r="A36" s="29"/>
      <c r="B36" s="12">
        <v>45726.0</v>
      </c>
      <c r="C36" s="13" t="s">
        <v>41</v>
      </c>
      <c r="D36" s="13" t="s">
        <v>22</v>
      </c>
      <c r="E36" s="14" t="s">
        <v>112</v>
      </c>
      <c r="F36" s="56">
        <v>2.0</v>
      </c>
      <c r="G36" s="69" t="s">
        <v>173</v>
      </c>
      <c r="H36" s="56">
        <v>0.0</v>
      </c>
      <c r="I36" s="14" t="s">
        <v>73</v>
      </c>
      <c r="J36" s="3"/>
      <c r="K36" s="17">
        <f t="shared" si="1"/>
        <v>3</v>
      </c>
      <c r="L36" s="18">
        <f t="shared" si="2"/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AB36" s="4"/>
      <c r="AC36" s="2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</row>
    <row r="37" ht="15.75" customHeight="1">
      <c r="A37" s="29"/>
      <c r="B37" s="12">
        <v>45726.0</v>
      </c>
      <c r="C37" s="13" t="s">
        <v>41</v>
      </c>
      <c r="D37" s="13" t="s">
        <v>22</v>
      </c>
      <c r="E37" s="14" t="s">
        <v>42</v>
      </c>
      <c r="F37" s="56">
        <v>2.0</v>
      </c>
      <c r="G37" s="69" t="s">
        <v>173</v>
      </c>
      <c r="H37" s="56">
        <v>0.0</v>
      </c>
      <c r="I37" s="14" t="s">
        <v>69</v>
      </c>
      <c r="J37" s="3"/>
      <c r="K37" s="17">
        <f t="shared" si="1"/>
        <v>3</v>
      </c>
      <c r="L37" s="18">
        <f t="shared" si="2"/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AB37" s="4"/>
      <c r="AC37" s="2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</row>
    <row r="38" ht="15.75" customHeight="1">
      <c r="A38" s="37"/>
      <c r="B38" s="12">
        <v>45726.0</v>
      </c>
      <c r="C38" s="13" t="s">
        <v>41</v>
      </c>
      <c r="D38" s="13" t="s">
        <v>22</v>
      </c>
      <c r="E38" s="14" t="s">
        <v>64</v>
      </c>
      <c r="F38" s="56">
        <v>0.0</v>
      </c>
      <c r="G38" s="69" t="s">
        <v>173</v>
      </c>
      <c r="H38" s="56">
        <v>2.0</v>
      </c>
      <c r="I38" s="14" t="s">
        <v>31</v>
      </c>
      <c r="J38" s="3"/>
      <c r="K38" s="17">
        <f t="shared" si="1"/>
        <v>0</v>
      </c>
      <c r="L38" s="18">
        <f t="shared" si="2"/>
        <v>3</v>
      </c>
      <c r="M38" s="3"/>
      <c r="N38" s="3"/>
      <c r="O38" s="3"/>
      <c r="P38" s="3"/>
      <c r="Q38" s="3"/>
      <c r="R38" s="3"/>
      <c r="S38" s="3"/>
      <c r="T38" s="3"/>
      <c r="U38" s="3"/>
      <c r="V38" s="3"/>
      <c r="AB38" s="4"/>
      <c r="AC38" s="2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</row>
    <row r="39" ht="15.75" customHeight="1">
      <c r="A39" s="106">
        <v>7.0</v>
      </c>
      <c r="B39" s="12">
        <v>45782.0</v>
      </c>
      <c r="C39" s="13" t="s">
        <v>41</v>
      </c>
      <c r="D39" s="13" t="s">
        <v>22</v>
      </c>
      <c r="E39" s="14" t="s">
        <v>72</v>
      </c>
      <c r="F39" s="56">
        <v>0.0</v>
      </c>
      <c r="G39" s="69" t="s">
        <v>173</v>
      </c>
      <c r="H39" s="56">
        <v>2.0</v>
      </c>
      <c r="I39" s="14" t="s">
        <v>174</v>
      </c>
      <c r="J39" s="3"/>
      <c r="K39" s="17">
        <f t="shared" si="1"/>
        <v>0</v>
      </c>
      <c r="L39" s="18">
        <f t="shared" si="2"/>
        <v>3</v>
      </c>
      <c r="M39" s="3"/>
      <c r="N39" s="3"/>
      <c r="O39" s="3"/>
      <c r="P39" s="3"/>
      <c r="Q39" s="3"/>
      <c r="R39" s="3"/>
      <c r="S39" s="3"/>
      <c r="T39" s="3"/>
      <c r="U39" s="3"/>
      <c r="V39" s="3"/>
      <c r="AB39" s="4"/>
      <c r="AC39" s="2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</row>
    <row r="40" ht="15.75" customHeight="1">
      <c r="A40" s="29"/>
      <c r="B40" s="12">
        <v>45736.0</v>
      </c>
      <c r="C40" s="13" t="s">
        <v>36</v>
      </c>
      <c r="D40" s="13" t="s">
        <v>22</v>
      </c>
      <c r="E40" s="14" t="s">
        <v>117</v>
      </c>
      <c r="F40" s="56">
        <v>2.0</v>
      </c>
      <c r="G40" s="69" t="s">
        <v>173</v>
      </c>
      <c r="H40" s="56">
        <v>0.0</v>
      </c>
      <c r="I40" s="14" t="s">
        <v>37</v>
      </c>
      <c r="J40" s="3"/>
      <c r="K40" s="17">
        <f t="shared" si="1"/>
        <v>3</v>
      </c>
      <c r="L40" s="18">
        <f t="shared" si="2"/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AB40" s="4"/>
      <c r="AC40" s="2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</row>
    <row r="41" ht="15.75" customHeight="1">
      <c r="A41" s="29"/>
      <c r="B41" s="12">
        <v>45736.0</v>
      </c>
      <c r="C41" s="13" t="s">
        <v>36</v>
      </c>
      <c r="D41" s="49" t="s">
        <v>22</v>
      </c>
      <c r="E41" s="14" t="s">
        <v>25</v>
      </c>
      <c r="F41" s="56">
        <v>1.0</v>
      </c>
      <c r="G41" s="69" t="s">
        <v>173</v>
      </c>
      <c r="H41" s="56">
        <v>2.0</v>
      </c>
      <c r="I41" s="14" t="s">
        <v>112</v>
      </c>
      <c r="J41" s="3"/>
      <c r="K41" s="17">
        <f t="shared" si="1"/>
        <v>1</v>
      </c>
      <c r="L41" s="18">
        <f t="shared" si="2"/>
        <v>2</v>
      </c>
      <c r="M41" s="3"/>
      <c r="N41" s="3"/>
      <c r="O41" s="3"/>
      <c r="P41" s="3"/>
      <c r="Q41" s="3"/>
      <c r="R41" s="3"/>
      <c r="S41" s="3"/>
      <c r="T41" s="3"/>
      <c r="U41" s="3"/>
      <c r="V41" s="3"/>
      <c r="AB41" s="4"/>
      <c r="AC41" s="2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</row>
    <row r="42" ht="15.75" customHeight="1">
      <c r="A42" s="29"/>
      <c r="B42" s="12">
        <v>45736.0</v>
      </c>
      <c r="C42" s="13" t="s">
        <v>41</v>
      </c>
      <c r="D42" s="13" t="s">
        <v>22</v>
      </c>
      <c r="E42" s="14" t="s">
        <v>73</v>
      </c>
      <c r="F42" s="56">
        <v>0.0</v>
      </c>
      <c r="G42" s="69" t="s">
        <v>173</v>
      </c>
      <c r="H42" s="56">
        <v>2.0</v>
      </c>
      <c r="I42" s="14" t="s">
        <v>42</v>
      </c>
      <c r="J42" s="3"/>
      <c r="K42" s="17">
        <f t="shared" si="1"/>
        <v>0</v>
      </c>
      <c r="L42" s="18">
        <f t="shared" si="2"/>
        <v>3</v>
      </c>
      <c r="M42" s="3"/>
      <c r="N42" s="3"/>
      <c r="O42" s="3"/>
      <c r="P42" s="3"/>
      <c r="Q42" s="3"/>
      <c r="R42" s="3"/>
      <c r="S42" s="3"/>
      <c r="T42" s="3"/>
      <c r="U42" s="3"/>
      <c r="V42" s="3"/>
      <c r="AB42" s="4"/>
      <c r="AC42" s="2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</row>
    <row r="43" ht="15.75" customHeight="1">
      <c r="A43" s="29"/>
      <c r="B43" s="12">
        <v>45736.0</v>
      </c>
      <c r="C43" s="13" t="s">
        <v>41</v>
      </c>
      <c r="D43" s="13" t="s">
        <v>22</v>
      </c>
      <c r="E43" s="14" t="s">
        <v>69</v>
      </c>
      <c r="F43" s="56">
        <v>0.0</v>
      </c>
      <c r="G43" s="69" t="s">
        <v>173</v>
      </c>
      <c r="H43" s="56">
        <v>2.0</v>
      </c>
      <c r="I43" s="14" t="s">
        <v>64</v>
      </c>
      <c r="J43" s="3"/>
      <c r="K43" s="17">
        <f t="shared" si="1"/>
        <v>0</v>
      </c>
      <c r="L43" s="18">
        <f t="shared" si="2"/>
        <v>3</v>
      </c>
      <c r="M43" s="3"/>
      <c r="N43" s="3"/>
      <c r="O43" s="3"/>
      <c r="P43" s="3"/>
      <c r="Q43" s="3"/>
      <c r="R43" s="3"/>
      <c r="S43" s="3"/>
      <c r="T43" s="3"/>
      <c r="U43" s="3"/>
      <c r="V43" s="3"/>
      <c r="AB43" s="4"/>
      <c r="AC43" s="2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ht="15.75" customHeight="1">
      <c r="A44" s="37"/>
      <c r="B44" s="12">
        <v>45736.0</v>
      </c>
      <c r="C44" s="13" t="s">
        <v>41</v>
      </c>
      <c r="D44" s="13" t="s">
        <v>22</v>
      </c>
      <c r="E44" s="14" t="s">
        <v>140</v>
      </c>
      <c r="F44" s="56">
        <v>0.0</v>
      </c>
      <c r="G44" s="69" t="s">
        <v>173</v>
      </c>
      <c r="H44" s="56">
        <v>2.0</v>
      </c>
      <c r="I44" s="14" t="s">
        <v>31</v>
      </c>
      <c r="J44" s="3"/>
      <c r="K44" s="17">
        <f t="shared" si="1"/>
        <v>0</v>
      </c>
      <c r="L44" s="18">
        <f t="shared" si="2"/>
        <v>3</v>
      </c>
      <c r="M44" s="3"/>
      <c r="N44" s="3"/>
      <c r="O44" s="3"/>
      <c r="P44" s="3"/>
      <c r="Q44" s="3"/>
      <c r="R44" s="3"/>
      <c r="S44" s="3"/>
      <c r="T44" s="3"/>
      <c r="U44" s="3"/>
      <c r="V44" s="3"/>
      <c r="AB44" s="4"/>
      <c r="AC44" s="2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ht="15.75" customHeight="1">
      <c r="A45" s="106">
        <v>8.0</v>
      </c>
      <c r="B45" s="12">
        <v>45754.0</v>
      </c>
      <c r="C45" s="200" t="s">
        <v>21</v>
      </c>
      <c r="D45" s="13" t="s">
        <v>22</v>
      </c>
      <c r="E45" s="14" t="s">
        <v>174</v>
      </c>
      <c r="F45" s="49">
        <v>2.0</v>
      </c>
      <c r="G45" s="69" t="s">
        <v>173</v>
      </c>
      <c r="H45" s="56">
        <v>0.0</v>
      </c>
      <c r="I45" s="128" t="s">
        <v>140</v>
      </c>
      <c r="J45" s="3"/>
      <c r="K45" s="17">
        <f t="shared" si="1"/>
        <v>3</v>
      </c>
      <c r="L45" s="18">
        <f t="shared" si="2"/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AB45" s="4"/>
      <c r="AC45" s="2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ht="15.75" customHeight="1">
      <c r="A46" s="29"/>
      <c r="B46" s="12">
        <v>45754.0</v>
      </c>
      <c r="C46" s="200" t="s">
        <v>21</v>
      </c>
      <c r="D46" s="13" t="s">
        <v>22</v>
      </c>
      <c r="E46" s="14" t="s">
        <v>37</v>
      </c>
      <c r="F46" s="13">
        <v>0.0</v>
      </c>
      <c r="G46" s="69" t="s">
        <v>173</v>
      </c>
      <c r="H46" s="56">
        <v>2.0</v>
      </c>
      <c r="I46" s="14" t="s">
        <v>72</v>
      </c>
      <c r="J46" s="3"/>
      <c r="K46" s="17">
        <f t="shared" si="1"/>
        <v>0</v>
      </c>
      <c r="L46" s="18">
        <f t="shared" si="2"/>
        <v>3</v>
      </c>
      <c r="M46" s="3"/>
      <c r="N46" s="3"/>
      <c r="O46" s="3"/>
      <c r="P46" s="3"/>
      <c r="Q46" s="3"/>
      <c r="R46" s="3"/>
      <c r="S46" s="3"/>
      <c r="T46" s="3"/>
      <c r="U46" s="3"/>
      <c r="V46" s="3"/>
      <c r="AB46" s="4"/>
      <c r="AC46" s="2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ht="15.75" customHeight="1">
      <c r="A47" s="29"/>
      <c r="B47" s="12">
        <v>45754.0</v>
      </c>
      <c r="C47" s="200" t="s">
        <v>21</v>
      </c>
      <c r="D47" s="13" t="s">
        <v>22</v>
      </c>
      <c r="E47" s="14" t="s">
        <v>112</v>
      </c>
      <c r="F47" s="13">
        <v>0.0</v>
      </c>
      <c r="G47" s="69" t="s">
        <v>173</v>
      </c>
      <c r="H47" s="56">
        <v>2.0</v>
      </c>
      <c r="I47" s="14" t="s">
        <v>117</v>
      </c>
      <c r="J47" s="3"/>
      <c r="K47" s="17">
        <f t="shared" si="1"/>
        <v>0</v>
      </c>
      <c r="L47" s="18">
        <f t="shared" si="2"/>
        <v>3</v>
      </c>
      <c r="M47" s="3"/>
      <c r="N47" s="3"/>
      <c r="O47" s="3"/>
      <c r="P47" s="3"/>
      <c r="Q47" s="3"/>
      <c r="R47" s="3"/>
      <c r="S47" s="3"/>
      <c r="T47" s="3"/>
      <c r="U47" s="3"/>
      <c r="V47" s="3"/>
      <c r="AB47" s="4"/>
      <c r="AC47" s="2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ht="15.75" customHeight="1">
      <c r="A48" s="29"/>
      <c r="B48" s="12">
        <v>45754.0</v>
      </c>
      <c r="C48" s="200" t="s">
        <v>30</v>
      </c>
      <c r="D48" s="13" t="s">
        <v>22</v>
      </c>
      <c r="E48" s="14" t="s">
        <v>42</v>
      </c>
      <c r="F48" s="49">
        <v>0.0</v>
      </c>
      <c r="G48" s="69" t="s">
        <v>173</v>
      </c>
      <c r="H48" s="56">
        <v>2.0</v>
      </c>
      <c r="I48" s="14" t="s">
        <v>25</v>
      </c>
      <c r="K48" s="17">
        <f t="shared" si="1"/>
        <v>0</v>
      </c>
      <c r="L48" s="18">
        <f t="shared" si="2"/>
        <v>3</v>
      </c>
      <c r="AB48" s="4"/>
      <c r="AC48" s="2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</row>
    <row r="49" ht="15.75" customHeight="1">
      <c r="A49" s="29"/>
      <c r="B49" s="12">
        <v>45754.0</v>
      </c>
      <c r="C49" s="200" t="s">
        <v>30</v>
      </c>
      <c r="D49" s="13" t="s">
        <v>22</v>
      </c>
      <c r="E49" s="14" t="s">
        <v>64</v>
      </c>
      <c r="F49" s="49">
        <v>0.0</v>
      </c>
      <c r="G49" s="69" t="s">
        <v>173</v>
      </c>
      <c r="H49" s="56">
        <v>2.0</v>
      </c>
      <c r="I49" s="14" t="s">
        <v>73</v>
      </c>
      <c r="K49" s="17">
        <f t="shared" si="1"/>
        <v>0</v>
      </c>
      <c r="L49" s="18">
        <f t="shared" si="2"/>
        <v>3</v>
      </c>
      <c r="AB49" s="4"/>
      <c r="AC49" s="2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</row>
    <row r="50" ht="15.75" customHeight="1">
      <c r="A50" s="37"/>
      <c r="B50" s="12">
        <v>45754.0</v>
      </c>
      <c r="C50" s="200" t="s">
        <v>30</v>
      </c>
      <c r="D50" s="13" t="s">
        <v>22</v>
      </c>
      <c r="E50" s="14" t="s">
        <v>31</v>
      </c>
      <c r="F50" s="13">
        <v>2.0</v>
      </c>
      <c r="G50" s="69" t="s">
        <v>173</v>
      </c>
      <c r="H50" s="56">
        <v>0.0</v>
      </c>
      <c r="I50" s="14" t="s">
        <v>69</v>
      </c>
      <c r="K50" s="17">
        <f t="shared" si="1"/>
        <v>3</v>
      </c>
      <c r="L50" s="18">
        <f t="shared" si="2"/>
        <v>0</v>
      </c>
      <c r="AB50" s="4"/>
      <c r="AC50" s="2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</row>
    <row r="51" ht="15.75" customHeight="1">
      <c r="A51" s="106">
        <v>9.0</v>
      </c>
      <c r="B51" s="12">
        <v>45754.0</v>
      </c>
      <c r="C51" s="13" t="s">
        <v>36</v>
      </c>
      <c r="D51" s="13" t="s">
        <v>22</v>
      </c>
      <c r="E51" s="14" t="s">
        <v>174</v>
      </c>
      <c r="F51" s="13">
        <v>2.0</v>
      </c>
      <c r="G51" s="69" t="s">
        <v>173</v>
      </c>
      <c r="H51" s="56">
        <v>0.0</v>
      </c>
      <c r="I51" s="14" t="s">
        <v>37</v>
      </c>
      <c r="K51" s="17">
        <f t="shared" si="1"/>
        <v>3</v>
      </c>
      <c r="L51" s="18">
        <f t="shared" si="2"/>
        <v>0</v>
      </c>
      <c r="AB51" s="4"/>
      <c r="AC51" s="2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</row>
    <row r="52" ht="15.75" customHeight="1">
      <c r="A52" s="29"/>
      <c r="B52" s="12">
        <v>45754.0</v>
      </c>
      <c r="C52" s="13" t="s">
        <v>36</v>
      </c>
      <c r="D52" s="13" t="s">
        <v>22</v>
      </c>
      <c r="E52" s="14" t="s">
        <v>72</v>
      </c>
      <c r="F52" s="13">
        <v>0.0</v>
      </c>
      <c r="G52" s="69" t="s">
        <v>173</v>
      </c>
      <c r="H52" s="56">
        <v>2.0</v>
      </c>
      <c r="I52" s="14" t="s">
        <v>112</v>
      </c>
      <c r="K52" s="17">
        <f t="shared" si="1"/>
        <v>0</v>
      </c>
      <c r="L52" s="18">
        <f t="shared" si="2"/>
        <v>3</v>
      </c>
      <c r="AB52" s="4"/>
      <c r="AC52" s="2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</row>
    <row r="53" ht="15.75" customHeight="1">
      <c r="A53" s="29"/>
      <c r="B53" s="12">
        <v>45754.0</v>
      </c>
      <c r="C53" s="13" t="s">
        <v>36</v>
      </c>
      <c r="D53" s="13" t="s">
        <v>22</v>
      </c>
      <c r="E53" s="14" t="s">
        <v>117</v>
      </c>
      <c r="F53" s="13">
        <v>2.0</v>
      </c>
      <c r="G53" s="69" t="s">
        <v>173</v>
      </c>
      <c r="H53" s="56">
        <v>0.0</v>
      </c>
      <c r="I53" s="14" t="s">
        <v>42</v>
      </c>
      <c r="K53" s="17">
        <f t="shared" si="1"/>
        <v>3</v>
      </c>
      <c r="L53" s="18">
        <f t="shared" si="2"/>
        <v>0</v>
      </c>
      <c r="AB53" s="4"/>
      <c r="AC53" s="2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</row>
    <row r="54" ht="15.75" customHeight="1">
      <c r="A54" s="29"/>
      <c r="B54" s="12">
        <v>45754.0</v>
      </c>
      <c r="C54" s="13" t="s">
        <v>41</v>
      </c>
      <c r="D54" s="13" t="s">
        <v>22</v>
      </c>
      <c r="E54" s="14" t="s">
        <v>25</v>
      </c>
      <c r="F54" s="13">
        <v>2.0</v>
      </c>
      <c r="G54" s="69" t="s">
        <v>173</v>
      </c>
      <c r="H54" s="56">
        <v>0.0</v>
      </c>
      <c r="I54" s="14" t="s">
        <v>64</v>
      </c>
      <c r="K54" s="17">
        <f t="shared" si="1"/>
        <v>3</v>
      </c>
      <c r="L54" s="18">
        <f t="shared" si="2"/>
        <v>0</v>
      </c>
      <c r="AB54" s="4"/>
      <c r="AC54" s="2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ht="15.75" customHeight="1">
      <c r="A55" s="29"/>
      <c r="B55" s="12">
        <v>45754.0</v>
      </c>
      <c r="C55" s="13" t="s">
        <v>41</v>
      </c>
      <c r="D55" s="13" t="s">
        <v>22</v>
      </c>
      <c r="E55" s="14" t="s">
        <v>73</v>
      </c>
      <c r="F55" s="13">
        <v>0.0</v>
      </c>
      <c r="G55" s="69" t="s">
        <v>173</v>
      </c>
      <c r="H55" s="56">
        <v>2.0</v>
      </c>
      <c r="I55" s="14" t="s">
        <v>31</v>
      </c>
      <c r="K55" s="17">
        <f t="shared" si="1"/>
        <v>0</v>
      </c>
      <c r="L55" s="18">
        <f t="shared" si="2"/>
        <v>3</v>
      </c>
      <c r="AB55" s="4"/>
      <c r="AC55" s="2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  <row r="56" ht="15.75" customHeight="1">
      <c r="A56" s="37"/>
      <c r="B56" s="12">
        <v>45754.0</v>
      </c>
      <c r="C56" s="13" t="s">
        <v>41</v>
      </c>
      <c r="D56" s="13" t="s">
        <v>22</v>
      </c>
      <c r="E56" s="14" t="s">
        <v>140</v>
      </c>
      <c r="F56" s="13">
        <v>2.0</v>
      </c>
      <c r="G56" s="69" t="s">
        <v>173</v>
      </c>
      <c r="H56" s="56">
        <v>1.0</v>
      </c>
      <c r="I56" s="14" t="s">
        <v>69</v>
      </c>
      <c r="K56" s="17">
        <f t="shared" si="1"/>
        <v>2</v>
      </c>
      <c r="L56" s="18">
        <f t="shared" si="2"/>
        <v>1</v>
      </c>
      <c r="AB56" s="4"/>
      <c r="AC56" s="2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</row>
    <row r="57" ht="15.75" customHeight="1">
      <c r="A57" s="106">
        <v>10.0</v>
      </c>
      <c r="B57" s="12">
        <v>45789.0</v>
      </c>
      <c r="C57" s="13" t="s">
        <v>56</v>
      </c>
      <c r="D57" s="13" t="s">
        <v>22</v>
      </c>
      <c r="E57" s="14" t="s">
        <v>140</v>
      </c>
      <c r="F57" s="56">
        <v>2.0</v>
      </c>
      <c r="G57" s="69" t="s">
        <v>173</v>
      </c>
      <c r="H57" s="56">
        <v>1.0</v>
      </c>
      <c r="I57" s="14" t="s">
        <v>37</v>
      </c>
      <c r="K57" s="17">
        <f t="shared" si="1"/>
        <v>2</v>
      </c>
      <c r="L57" s="18">
        <f t="shared" si="2"/>
        <v>1</v>
      </c>
      <c r="AB57" s="4"/>
      <c r="AC57" s="2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</row>
    <row r="58" ht="15.75" customHeight="1">
      <c r="A58" s="29"/>
      <c r="B58" s="12">
        <v>45789.0</v>
      </c>
      <c r="C58" s="13" t="s">
        <v>56</v>
      </c>
      <c r="D58" s="13" t="s">
        <v>22</v>
      </c>
      <c r="E58" s="14" t="s">
        <v>112</v>
      </c>
      <c r="F58" s="56">
        <v>0.0</v>
      </c>
      <c r="G58" s="69" t="s">
        <v>173</v>
      </c>
      <c r="H58" s="56">
        <v>2.0</v>
      </c>
      <c r="I58" s="14" t="s">
        <v>174</v>
      </c>
      <c r="K58" s="17">
        <f t="shared" si="1"/>
        <v>0</v>
      </c>
      <c r="L58" s="18">
        <f t="shared" si="2"/>
        <v>3</v>
      </c>
      <c r="AB58" s="4"/>
      <c r="AC58" s="2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</row>
    <row r="59" ht="15.75" customHeight="1">
      <c r="A59" s="29"/>
      <c r="B59" s="12">
        <v>45789.0</v>
      </c>
      <c r="C59" s="13" t="s">
        <v>56</v>
      </c>
      <c r="D59" s="13" t="s">
        <v>22</v>
      </c>
      <c r="E59" s="14" t="s">
        <v>42</v>
      </c>
      <c r="F59" s="56">
        <v>2.0</v>
      </c>
      <c r="G59" s="69" t="s">
        <v>173</v>
      </c>
      <c r="H59" s="56">
        <v>0.0</v>
      </c>
      <c r="I59" s="14" t="s">
        <v>72</v>
      </c>
      <c r="K59" s="17">
        <f t="shared" si="1"/>
        <v>3</v>
      </c>
      <c r="L59" s="18">
        <f t="shared" si="2"/>
        <v>0</v>
      </c>
      <c r="AB59" s="4"/>
      <c r="AC59" s="2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</row>
    <row r="60" ht="15.75" customHeight="1">
      <c r="A60" s="29"/>
      <c r="B60" s="12">
        <v>45789.0</v>
      </c>
      <c r="C60" s="13" t="s">
        <v>57</v>
      </c>
      <c r="D60" s="13" t="s">
        <v>22</v>
      </c>
      <c r="E60" s="14" t="s">
        <v>64</v>
      </c>
      <c r="F60" s="56">
        <v>0.0</v>
      </c>
      <c r="G60" s="69" t="s">
        <v>173</v>
      </c>
      <c r="H60" s="56">
        <v>2.0</v>
      </c>
      <c r="I60" s="14" t="s">
        <v>117</v>
      </c>
      <c r="K60" s="17">
        <f t="shared" si="1"/>
        <v>0</v>
      </c>
      <c r="L60" s="18">
        <f t="shared" si="2"/>
        <v>3</v>
      </c>
      <c r="AB60" s="4"/>
      <c r="AC60" s="2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</row>
    <row r="61" ht="15.75" customHeight="1">
      <c r="A61" s="29"/>
      <c r="B61" s="12">
        <v>45789.0</v>
      </c>
      <c r="C61" s="13" t="s">
        <v>57</v>
      </c>
      <c r="D61" s="13" t="s">
        <v>22</v>
      </c>
      <c r="E61" s="14" t="s">
        <v>31</v>
      </c>
      <c r="F61" s="56">
        <v>2.0</v>
      </c>
      <c r="G61" s="69" t="s">
        <v>173</v>
      </c>
      <c r="H61" s="56">
        <v>1.0</v>
      </c>
      <c r="I61" s="14" t="s">
        <v>25</v>
      </c>
      <c r="K61" s="17">
        <f t="shared" si="1"/>
        <v>2</v>
      </c>
      <c r="L61" s="18">
        <f t="shared" si="2"/>
        <v>1</v>
      </c>
      <c r="AB61" s="4"/>
      <c r="AC61" s="2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</row>
    <row r="62" ht="15.75" customHeight="1">
      <c r="A62" s="37"/>
      <c r="B62" s="12">
        <v>45789.0</v>
      </c>
      <c r="C62" s="13" t="s">
        <v>57</v>
      </c>
      <c r="D62" s="13" t="s">
        <v>22</v>
      </c>
      <c r="E62" s="14" t="s">
        <v>69</v>
      </c>
      <c r="F62" s="56">
        <v>2.0</v>
      </c>
      <c r="G62" s="69" t="s">
        <v>173</v>
      </c>
      <c r="H62" s="56">
        <v>0.0</v>
      </c>
      <c r="I62" s="14" t="s">
        <v>73</v>
      </c>
      <c r="K62" s="17">
        <f t="shared" si="1"/>
        <v>3</v>
      </c>
      <c r="L62" s="18">
        <f t="shared" si="2"/>
        <v>0</v>
      </c>
      <c r="AB62" s="4"/>
      <c r="AC62" s="2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</row>
    <row r="63" ht="15.75" customHeight="1">
      <c r="A63" s="106">
        <v>11.0</v>
      </c>
      <c r="B63" s="12">
        <v>45798.0</v>
      </c>
      <c r="C63" s="13" t="s">
        <v>58</v>
      </c>
      <c r="D63" s="13" t="s">
        <v>22</v>
      </c>
      <c r="E63" s="14" t="s">
        <v>37</v>
      </c>
      <c r="F63" s="13">
        <v>2.0</v>
      </c>
      <c r="G63" s="69" t="s">
        <v>173</v>
      </c>
      <c r="H63" s="56">
        <v>1.0</v>
      </c>
      <c r="I63" s="14" t="s">
        <v>112</v>
      </c>
      <c r="K63" s="17">
        <f t="shared" si="1"/>
        <v>2</v>
      </c>
      <c r="L63" s="18">
        <f t="shared" si="2"/>
        <v>1</v>
      </c>
      <c r="AB63" s="4"/>
      <c r="AC63" s="2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</row>
    <row r="64" ht="15.75" customHeight="1">
      <c r="A64" s="29"/>
      <c r="B64" s="12">
        <v>45798.0</v>
      </c>
      <c r="C64" s="13" t="s">
        <v>58</v>
      </c>
      <c r="D64" s="13" t="s">
        <v>22</v>
      </c>
      <c r="E64" s="14" t="s">
        <v>174</v>
      </c>
      <c r="F64" s="13">
        <v>2.0</v>
      </c>
      <c r="G64" s="69" t="s">
        <v>173</v>
      </c>
      <c r="H64" s="56">
        <v>1.0</v>
      </c>
      <c r="I64" s="14" t="s">
        <v>42</v>
      </c>
      <c r="K64" s="17">
        <f t="shared" si="1"/>
        <v>2</v>
      </c>
      <c r="L64" s="18">
        <f t="shared" si="2"/>
        <v>1</v>
      </c>
      <c r="AB64" s="4"/>
      <c r="AC64" s="2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</row>
    <row r="65" ht="15.75" customHeight="1">
      <c r="A65" s="29"/>
      <c r="B65" s="12">
        <v>45798.0</v>
      </c>
      <c r="C65" s="13" t="s">
        <v>58</v>
      </c>
      <c r="D65" s="13" t="s">
        <v>22</v>
      </c>
      <c r="E65" s="14" t="s">
        <v>72</v>
      </c>
      <c r="F65" s="13">
        <v>0.0</v>
      </c>
      <c r="G65" s="69" t="s">
        <v>173</v>
      </c>
      <c r="H65" s="56">
        <v>2.0</v>
      </c>
      <c r="I65" s="14" t="s">
        <v>64</v>
      </c>
      <c r="K65" s="17">
        <f t="shared" si="1"/>
        <v>0</v>
      </c>
      <c r="L65" s="18">
        <f t="shared" si="2"/>
        <v>3</v>
      </c>
      <c r="AB65" s="4"/>
      <c r="AC65" s="2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</row>
    <row r="66" ht="15.75" customHeight="1">
      <c r="A66" s="29"/>
      <c r="B66" s="12">
        <v>45798.0</v>
      </c>
      <c r="C66" s="13" t="s">
        <v>59</v>
      </c>
      <c r="D66" s="13" t="s">
        <v>22</v>
      </c>
      <c r="E66" s="14" t="s">
        <v>117</v>
      </c>
      <c r="F66" s="13">
        <v>1.0</v>
      </c>
      <c r="G66" s="69" t="s">
        <v>173</v>
      </c>
      <c r="H66" s="56">
        <v>2.0</v>
      </c>
      <c r="I66" s="14" t="s">
        <v>31</v>
      </c>
      <c r="K66" s="17">
        <f t="shared" si="1"/>
        <v>1</v>
      </c>
      <c r="L66" s="18">
        <f t="shared" si="2"/>
        <v>2</v>
      </c>
      <c r="AB66" s="4"/>
      <c r="AC66" s="2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</row>
    <row r="67" ht="15.75" customHeight="1">
      <c r="A67" s="29"/>
      <c r="B67" s="12">
        <v>45798.0</v>
      </c>
      <c r="C67" s="13" t="s">
        <v>59</v>
      </c>
      <c r="D67" s="13" t="s">
        <v>22</v>
      </c>
      <c r="E67" s="14" t="s">
        <v>25</v>
      </c>
      <c r="F67" s="13">
        <v>2.0</v>
      </c>
      <c r="G67" s="69" t="s">
        <v>173</v>
      </c>
      <c r="H67" s="56">
        <v>0.0</v>
      </c>
      <c r="I67" s="14" t="s">
        <v>69</v>
      </c>
      <c r="K67" s="17">
        <f t="shared" si="1"/>
        <v>3</v>
      </c>
      <c r="L67" s="18">
        <f t="shared" si="2"/>
        <v>0</v>
      </c>
      <c r="R67" s="3"/>
      <c r="S67" s="3"/>
      <c r="T67" s="3"/>
      <c r="U67" s="3"/>
      <c r="V67" s="3"/>
      <c r="AB67" s="4"/>
      <c r="AC67" s="2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</row>
    <row r="68" ht="15.75" customHeight="1">
      <c r="A68" s="37"/>
      <c r="B68" s="12">
        <v>45798.0</v>
      </c>
      <c r="C68" s="13" t="s">
        <v>59</v>
      </c>
      <c r="D68" s="13" t="s">
        <v>22</v>
      </c>
      <c r="E68" s="14" t="s">
        <v>73</v>
      </c>
      <c r="F68" s="13">
        <v>2.0</v>
      </c>
      <c r="G68" s="69" t="s">
        <v>173</v>
      </c>
      <c r="H68" s="56">
        <v>1.0</v>
      </c>
      <c r="I68" s="14" t="s">
        <v>140</v>
      </c>
      <c r="K68" s="17">
        <f t="shared" si="1"/>
        <v>2</v>
      </c>
      <c r="L68" s="18">
        <f t="shared" si="2"/>
        <v>1</v>
      </c>
      <c r="R68" s="3"/>
      <c r="S68" s="3"/>
      <c r="T68" s="3"/>
      <c r="U68" s="3"/>
      <c r="V68" s="3"/>
      <c r="AB68" s="4"/>
      <c r="AC68" s="2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</row>
    <row r="69" ht="15.75" customHeight="1">
      <c r="A69" s="104"/>
      <c r="B69" s="1"/>
      <c r="C69" s="1"/>
      <c r="D69" s="1"/>
      <c r="E69" s="116"/>
      <c r="F69" s="1"/>
      <c r="G69" s="1"/>
      <c r="I69" s="2"/>
      <c r="AB69" s="4"/>
      <c r="AC69" s="2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</row>
    <row r="70" ht="15.75" customHeight="1">
      <c r="A70" s="104"/>
      <c r="B70" s="1"/>
      <c r="C70" s="1"/>
      <c r="D70" s="1"/>
      <c r="E70" s="116"/>
      <c r="F70" s="1"/>
      <c r="G70" s="1"/>
      <c r="I70" s="2"/>
      <c r="AB70" s="4"/>
      <c r="AC70" s="2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</row>
    <row r="71" ht="15.75" customHeight="1">
      <c r="A71" s="104"/>
      <c r="B71" s="1"/>
      <c r="C71" s="1"/>
      <c r="D71" s="1"/>
      <c r="E71" s="116"/>
      <c r="F71" s="1"/>
      <c r="G71" s="1"/>
      <c r="I71" s="2"/>
      <c r="AB71" s="4"/>
      <c r="AC71" s="2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</row>
    <row r="72" ht="15.75" customHeight="1">
      <c r="A72" s="104" t="s">
        <v>176</v>
      </c>
      <c r="I72" s="2"/>
      <c r="AB72" s="4"/>
      <c r="AC72" s="2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</row>
    <row r="73" ht="15.75" customHeight="1">
      <c r="A73" s="10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  <c r="G73" s="7"/>
      <c r="H73" s="8"/>
      <c r="I73" s="5" t="s">
        <v>7</v>
      </c>
      <c r="J73" s="9" t="s">
        <v>8</v>
      </c>
      <c r="K73" s="9" t="s">
        <v>9</v>
      </c>
      <c r="L73" s="9" t="s">
        <v>10</v>
      </c>
      <c r="M73" s="9"/>
      <c r="N73" s="9" t="s">
        <v>11</v>
      </c>
      <c r="O73" s="9" t="s">
        <v>12</v>
      </c>
      <c r="P73" s="9" t="s">
        <v>13</v>
      </c>
      <c r="Q73" s="9" t="s">
        <v>14</v>
      </c>
      <c r="R73" s="9"/>
      <c r="S73" s="9" t="s">
        <v>16</v>
      </c>
      <c r="T73" s="9" t="s">
        <v>161</v>
      </c>
      <c r="U73" s="9" t="s">
        <v>162</v>
      </c>
      <c r="V73" s="9" t="s">
        <v>163</v>
      </c>
      <c r="W73" s="4"/>
      <c r="X73" s="10" t="s">
        <v>47</v>
      </c>
      <c r="Y73" s="205"/>
      <c r="Z73" s="205"/>
      <c r="AA73" s="4"/>
      <c r="AB73" s="5" t="s">
        <v>11</v>
      </c>
      <c r="AC73" s="5" t="s">
        <v>12</v>
      </c>
      <c r="AD73" s="5" t="s">
        <v>13</v>
      </c>
      <c r="AE73" s="5" t="s">
        <v>14</v>
      </c>
      <c r="AF73" s="5" t="s">
        <v>15</v>
      </c>
      <c r="AG73" s="5" t="s">
        <v>16</v>
      </c>
      <c r="AH73" s="5" t="s">
        <v>161</v>
      </c>
      <c r="AI73" s="5" t="s">
        <v>162</v>
      </c>
      <c r="AJ73" s="5" t="s">
        <v>163</v>
      </c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ht="15.75" customHeight="1">
      <c r="A74" s="106">
        <v>1.0</v>
      </c>
      <c r="B74" s="54">
        <v>45586.0</v>
      </c>
      <c r="C74" s="13" t="s">
        <v>30</v>
      </c>
      <c r="D74" s="13" t="s">
        <v>22</v>
      </c>
      <c r="E74" s="14" t="s">
        <v>70</v>
      </c>
      <c r="F74" s="56">
        <v>2.0</v>
      </c>
      <c r="G74" s="69" t="s">
        <v>173</v>
      </c>
      <c r="H74" s="56">
        <v>1.0</v>
      </c>
      <c r="I74" s="14" t="s">
        <v>43</v>
      </c>
      <c r="J74" s="3"/>
      <c r="K74" s="17">
        <f t="shared" ref="K74:K139" si="9">IFS(F74=H74+2,3,F74=H74-2,0,F74=H74+1,2,F74=H74-1,1,F74="","")</f>
        <v>2</v>
      </c>
      <c r="L74" s="18">
        <f t="shared" ref="L74:L139" si="10">IFS(H74=F74+2,3,H74=F74-2,0,H74=F74+1,2,H74=F74-1,1,H74="","")</f>
        <v>1</v>
      </c>
      <c r="M74" s="3"/>
      <c r="N74" s="18">
        <v>1.0</v>
      </c>
      <c r="O74" s="173" t="s">
        <v>70</v>
      </c>
      <c r="P74" s="18">
        <f t="shared" ref="P74:P85" si="11">SUMIF(E$74:E$139,O74,K$74:K$139)+SUMIF(I$74:I$139,O74,L$74:L$139)</f>
        <v>24</v>
      </c>
      <c r="Q74" s="20">
        <f t="shared" ref="Q74:Q85" si="12">COUNTIFS(E$74:E$139,O74,K$74:K$139,2)+COUNTIFS(I$74:I$139,O74,L$74:L$139,2)+COUNTIFS(E$74:E$139,O74,K$74:K$139,3)+COUNTIFS(I$74:I$139,O74,L$74:L$139,3)</f>
        <v>9</v>
      </c>
      <c r="R74" s="22"/>
      <c r="S74" s="22">
        <f t="shared" ref="S74:S85" si="13">COUNTIFS(E$74:E$139,O74,K$74:K$139,1)+COUNTIFS(I$74:I$139,O74,L$74:L$139,1)+COUNTIFS(E$74:E$139,O74,K$74:K$139,0)+COUNTIFS(I$74:I$139,O74,L$74:L$139,0)</f>
        <v>1</v>
      </c>
      <c r="T74" s="18">
        <f t="shared" ref="T74:T85" si="14">SUMIF(E$74:E$139,O74,F$74:F$139)+SUMIF(I$74:I$139,O74,H$74:H$139)</f>
        <v>18</v>
      </c>
      <c r="U74" s="22">
        <f t="shared" ref="U74:U85" si="15">SUMIF(E$74:E$139,O74,H$74:H$139)+SUMIF(I$74:I$139,O74,F$74:F$139)</f>
        <v>5</v>
      </c>
      <c r="V74" s="18">
        <f t="shared" ref="V74:V85" si="16">T74-U74</f>
        <v>13</v>
      </c>
      <c r="X74" s="23" t="s">
        <v>26</v>
      </c>
      <c r="Y74" s="23" t="s">
        <v>13</v>
      </c>
      <c r="Z74" s="23" t="s">
        <v>163</v>
      </c>
      <c r="AB74" s="119" t="s">
        <v>29</v>
      </c>
      <c r="AC74" s="206" t="str">
        <f t="array" ref="AC74:AJ85">SORT(O74:V85,2,FALSE,8,FALSE)</f>
        <v>Ciências do Mar</v>
      </c>
      <c r="AD74" s="26">
        <v>24.0</v>
      </c>
      <c r="AE74" s="26">
        <v>9.0</v>
      </c>
      <c r="AF74" s="27"/>
      <c r="AG74" s="27">
        <v>1.0</v>
      </c>
      <c r="AH74" s="26">
        <v>18.0</v>
      </c>
      <c r="AI74" s="27">
        <v>5.0</v>
      </c>
      <c r="AJ74" s="26">
        <v>13.0</v>
      </c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</row>
    <row r="75" ht="15.75" customHeight="1">
      <c r="A75" s="29"/>
      <c r="B75" s="54">
        <v>45586.0</v>
      </c>
      <c r="C75" s="13" t="s">
        <v>36</v>
      </c>
      <c r="D75" s="13" t="s">
        <v>22</v>
      </c>
      <c r="E75" s="14" t="s">
        <v>177</v>
      </c>
      <c r="F75" s="56"/>
      <c r="G75" s="69" t="s">
        <v>173</v>
      </c>
      <c r="H75" s="56"/>
      <c r="I75" s="14" t="s">
        <v>39</v>
      </c>
      <c r="J75" s="3"/>
      <c r="K75" s="17" t="str">
        <f t="shared" si="9"/>
        <v/>
      </c>
      <c r="L75" s="18" t="str">
        <f t="shared" si="10"/>
        <v/>
      </c>
      <c r="M75" s="3"/>
      <c r="N75" s="18">
        <v>2.0</v>
      </c>
      <c r="O75" s="173" t="s">
        <v>94</v>
      </c>
      <c r="P75" s="18">
        <f t="shared" si="11"/>
        <v>24</v>
      </c>
      <c r="Q75" s="20">
        <f t="shared" si="12"/>
        <v>8</v>
      </c>
      <c r="R75" s="22"/>
      <c r="S75" s="22">
        <f t="shared" si="13"/>
        <v>2</v>
      </c>
      <c r="T75" s="18">
        <f t="shared" si="14"/>
        <v>17</v>
      </c>
      <c r="U75" s="22">
        <f t="shared" si="15"/>
        <v>5</v>
      </c>
      <c r="V75" s="18">
        <f t="shared" si="16"/>
        <v>12</v>
      </c>
      <c r="X75" s="207" t="s">
        <v>94</v>
      </c>
      <c r="Y75" s="208">
        <v>5.0</v>
      </c>
      <c r="Z75" s="208" t="s">
        <v>178</v>
      </c>
      <c r="AB75" s="119">
        <v>2.0</v>
      </c>
      <c r="AC75" s="206" t="s">
        <v>94</v>
      </c>
      <c r="AD75" s="26">
        <v>24.0</v>
      </c>
      <c r="AE75" s="26">
        <v>8.0</v>
      </c>
      <c r="AF75" s="27"/>
      <c r="AG75" s="27">
        <v>2.0</v>
      </c>
      <c r="AH75" s="26">
        <v>17.0</v>
      </c>
      <c r="AI75" s="27">
        <v>5.0</v>
      </c>
      <c r="AJ75" s="26">
        <v>12.0</v>
      </c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</row>
    <row r="76" ht="15.75" customHeight="1">
      <c r="A76" s="29"/>
      <c r="B76" s="54">
        <v>45586.0</v>
      </c>
      <c r="C76" s="13" t="s">
        <v>36</v>
      </c>
      <c r="D76" s="13" t="s">
        <v>22</v>
      </c>
      <c r="E76" s="14" t="s">
        <v>71</v>
      </c>
      <c r="F76" s="56">
        <v>2.0</v>
      </c>
      <c r="G76" s="69" t="s">
        <v>173</v>
      </c>
      <c r="H76" s="56">
        <v>1.0</v>
      </c>
      <c r="I76" s="14" t="s">
        <v>179</v>
      </c>
      <c r="J76" s="3"/>
      <c r="K76" s="17">
        <f t="shared" si="9"/>
        <v>2</v>
      </c>
      <c r="L76" s="18">
        <f t="shared" si="10"/>
        <v>1</v>
      </c>
      <c r="M76" s="3"/>
      <c r="N76" s="18">
        <v>3.0</v>
      </c>
      <c r="O76" s="173" t="s">
        <v>43</v>
      </c>
      <c r="P76" s="18">
        <f t="shared" si="11"/>
        <v>14</v>
      </c>
      <c r="Q76" s="20">
        <f t="shared" si="12"/>
        <v>5</v>
      </c>
      <c r="R76" s="22"/>
      <c r="S76" s="22">
        <f t="shared" si="13"/>
        <v>5</v>
      </c>
      <c r="T76" s="18">
        <f t="shared" si="14"/>
        <v>11</v>
      </c>
      <c r="U76" s="22">
        <f t="shared" si="15"/>
        <v>12</v>
      </c>
      <c r="V76" s="18">
        <f t="shared" si="16"/>
        <v>-1</v>
      </c>
      <c r="X76" s="209" t="s">
        <v>70</v>
      </c>
      <c r="Y76" s="210">
        <v>2.0</v>
      </c>
      <c r="Z76" s="210">
        <v>2.0</v>
      </c>
      <c r="AB76" s="24">
        <v>3.0</v>
      </c>
      <c r="AC76" s="206" t="s">
        <v>67</v>
      </c>
      <c r="AD76" s="26">
        <v>24.0</v>
      </c>
      <c r="AE76" s="26">
        <v>7.0</v>
      </c>
      <c r="AF76" s="27"/>
      <c r="AG76" s="27">
        <v>3.0</v>
      </c>
      <c r="AH76" s="26">
        <v>17.0</v>
      </c>
      <c r="AI76" s="27">
        <v>6.0</v>
      </c>
      <c r="AJ76" s="26">
        <v>11.0</v>
      </c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</row>
    <row r="77" ht="15.75" customHeight="1">
      <c r="A77" s="29"/>
      <c r="B77" s="54">
        <v>45586.0</v>
      </c>
      <c r="C77" s="13" t="s">
        <v>36</v>
      </c>
      <c r="D77" s="13" t="s">
        <v>22</v>
      </c>
      <c r="E77" s="14" t="s">
        <v>116</v>
      </c>
      <c r="F77" s="56">
        <v>2.0</v>
      </c>
      <c r="G77" s="69" t="s">
        <v>173</v>
      </c>
      <c r="H77" s="56">
        <v>0.0</v>
      </c>
      <c r="I77" s="14" t="s">
        <v>23</v>
      </c>
      <c r="J77" s="3"/>
      <c r="K77" s="17">
        <f t="shared" si="9"/>
        <v>3</v>
      </c>
      <c r="L77" s="18">
        <f t="shared" si="10"/>
        <v>0</v>
      </c>
      <c r="M77" s="3"/>
      <c r="N77" s="18">
        <v>4.0</v>
      </c>
      <c r="O77" s="173" t="s">
        <v>67</v>
      </c>
      <c r="P77" s="18">
        <f t="shared" si="11"/>
        <v>24</v>
      </c>
      <c r="Q77" s="20">
        <f t="shared" si="12"/>
        <v>7</v>
      </c>
      <c r="R77" s="22"/>
      <c r="S77" s="22">
        <f t="shared" si="13"/>
        <v>3</v>
      </c>
      <c r="T77" s="18">
        <f t="shared" si="14"/>
        <v>17</v>
      </c>
      <c r="U77" s="22">
        <f t="shared" si="15"/>
        <v>6</v>
      </c>
      <c r="V77" s="18">
        <f t="shared" si="16"/>
        <v>11</v>
      </c>
      <c r="X77" s="109" t="s">
        <v>67</v>
      </c>
      <c r="Y77" s="32">
        <v>2.0</v>
      </c>
      <c r="Z77" s="32">
        <v>1.0</v>
      </c>
      <c r="AB77" s="24">
        <v>4.0</v>
      </c>
      <c r="AC77" s="206" t="s">
        <v>86</v>
      </c>
      <c r="AD77" s="26">
        <v>18.0</v>
      </c>
      <c r="AE77" s="26">
        <v>7.0</v>
      </c>
      <c r="AF77" s="27"/>
      <c r="AG77" s="27">
        <v>3.0</v>
      </c>
      <c r="AH77" s="26">
        <v>14.0</v>
      </c>
      <c r="AI77" s="27">
        <v>9.0</v>
      </c>
      <c r="AJ77" s="26">
        <v>5.0</v>
      </c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</row>
    <row r="78" ht="15.75" customHeight="1">
      <c r="A78" s="29"/>
      <c r="B78" s="54">
        <v>45586.0</v>
      </c>
      <c r="C78" s="13" t="s">
        <v>41</v>
      </c>
      <c r="D78" s="13" t="s">
        <v>22</v>
      </c>
      <c r="E78" s="14" t="s">
        <v>67</v>
      </c>
      <c r="F78" s="56">
        <v>2.0</v>
      </c>
      <c r="G78" s="69" t="s">
        <v>173</v>
      </c>
      <c r="H78" s="56">
        <v>0.0</v>
      </c>
      <c r="I78" s="14" t="s">
        <v>62</v>
      </c>
      <c r="J78" s="3"/>
      <c r="K78" s="17">
        <f t="shared" si="9"/>
        <v>3</v>
      </c>
      <c r="L78" s="18">
        <f t="shared" si="10"/>
        <v>0</v>
      </c>
      <c r="M78" s="3"/>
      <c r="N78" s="18">
        <v>5.0</v>
      </c>
      <c r="O78" s="173" t="s">
        <v>39</v>
      </c>
      <c r="P78" s="18">
        <f t="shared" si="11"/>
        <v>7</v>
      </c>
      <c r="Q78" s="20">
        <f t="shared" si="12"/>
        <v>3</v>
      </c>
      <c r="R78" s="22"/>
      <c r="S78" s="22">
        <f t="shared" si="13"/>
        <v>7</v>
      </c>
      <c r="T78" s="18">
        <f t="shared" si="14"/>
        <v>6</v>
      </c>
      <c r="U78" s="22">
        <f t="shared" si="15"/>
        <v>16</v>
      </c>
      <c r="V78" s="18">
        <f t="shared" si="16"/>
        <v>-10</v>
      </c>
      <c r="AB78" s="24">
        <v>5.0</v>
      </c>
      <c r="AC78" s="206" t="s">
        <v>71</v>
      </c>
      <c r="AD78" s="26">
        <v>15.0</v>
      </c>
      <c r="AE78" s="26">
        <v>5.0</v>
      </c>
      <c r="AF78" s="27"/>
      <c r="AG78" s="27">
        <v>5.0</v>
      </c>
      <c r="AH78" s="26">
        <v>11.0</v>
      </c>
      <c r="AI78" s="27">
        <v>11.0</v>
      </c>
      <c r="AJ78" s="26">
        <v>0.0</v>
      </c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</row>
    <row r="79" ht="15.75" customHeight="1">
      <c r="A79" s="37"/>
      <c r="B79" s="54">
        <v>45586.0</v>
      </c>
      <c r="C79" s="13" t="s">
        <v>41</v>
      </c>
      <c r="D79" s="13" t="s">
        <v>22</v>
      </c>
      <c r="E79" s="14" t="s">
        <v>86</v>
      </c>
      <c r="F79" s="56">
        <v>2.0</v>
      </c>
      <c r="G79" s="69" t="s">
        <v>173</v>
      </c>
      <c r="H79" s="56">
        <v>1.0</v>
      </c>
      <c r="I79" s="14" t="s">
        <v>94</v>
      </c>
      <c r="J79" s="3"/>
      <c r="K79" s="17">
        <f t="shared" si="9"/>
        <v>2</v>
      </c>
      <c r="L79" s="18">
        <f t="shared" si="10"/>
        <v>1</v>
      </c>
      <c r="M79" s="3"/>
      <c r="N79" s="18">
        <v>6.0</v>
      </c>
      <c r="O79" s="173" t="s">
        <v>116</v>
      </c>
      <c r="P79" s="18">
        <f t="shared" si="11"/>
        <v>11</v>
      </c>
      <c r="Q79" s="20">
        <f t="shared" si="12"/>
        <v>4</v>
      </c>
      <c r="R79" s="22"/>
      <c r="S79" s="22">
        <f t="shared" si="13"/>
        <v>6</v>
      </c>
      <c r="T79" s="18">
        <f t="shared" si="14"/>
        <v>8</v>
      </c>
      <c r="U79" s="22">
        <f t="shared" si="15"/>
        <v>13</v>
      </c>
      <c r="V79" s="18">
        <f t="shared" si="16"/>
        <v>-5</v>
      </c>
      <c r="X79" s="10" t="s">
        <v>47</v>
      </c>
      <c r="Y79" s="205"/>
      <c r="AB79" s="24">
        <v>6.0</v>
      </c>
      <c r="AC79" s="206" t="s">
        <v>62</v>
      </c>
      <c r="AD79" s="26">
        <v>15.0</v>
      </c>
      <c r="AE79" s="26">
        <v>5.0</v>
      </c>
      <c r="AF79" s="27"/>
      <c r="AG79" s="27">
        <v>5.0</v>
      </c>
      <c r="AH79" s="26">
        <v>10.0</v>
      </c>
      <c r="AI79" s="27">
        <v>10.0</v>
      </c>
      <c r="AJ79" s="26">
        <v>0.0</v>
      </c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</row>
    <row r="80" ht="15.75" customHeight="1">
      <c r="A80" s="106">
        <v>2.0</v>
      </c>
      <c r="B80" s="54">
        <v>45601.0</v>
      </c>
      <c r="C80" s="200" t="s">
        <v>21</v>
      </c>
      <c r="D80" s="13" t="s">
        <v>22</v>
      </c>
      <c r="E80" s="14" t="s">
        <v>43</v>
      </c>
      <c r="F80" s="56">
        <v>2.0</v>
      </c>
      <c r="G80" s="69" t="s">
        <v>173</v>
      </c>
      <c r="H80" s="56">
        <v>0.0</v>
      </c>
      <c r="I80" s="14" t="s">
        <v>86</v>
      </c>
      <c r="J80" s="3"/>
      <c r="K80" s="17">
        <f t="shared" si="9"/>
        <v>3</v>
      </c>
      <c r="L80" s="18">
        <f t="shared" si="10"/>
        <v>0</v>
      </c>
      <c r="M80" s="3"/>
      <c r="N80" s="18">
        <v>7.0</v>
      </c>
      <c r="O80" s="173" t="s">
        <v>179</v>
      </c>
      <c r="P80" s="18">
        <f t="shared" si="11"/>
        <v>6</v>
      </c>
      <c r="Q80" s="20">
        <f t="shared" si="12"/>
        <v>1</v>
      </c>
      <c r="R80" s="22"/>
      <c r="S80" s="22">
        <f t="shared" si="13"/>
        <v>9</v>
      </c>
      <c r="T80" s="18">
        <f t="shared" si="14"/>
        <v>6</v>
      </c>
      <c r="U80" s="22">
        <f t="shared" si="15"/>
        <v>19</v>
      </c>
      <c r="V80" s="18">
        <f t="shared" si="16"/>
        <v>-13</v>
      </c>
      <c r="X80" s="23" t="s">
        <v>26</v>
      </c>
      <c r="Y80" s="23" t="s">
        <v>13</v>
      </c>
      <c r="AB80" s="24">
        <v>7.0</v>
      </c>
      <c r="AC80" s="206" t="s">
        <v>43</v>
      </c>
      <c r="AD80" s="26">
        <v>14.0</v>
      </c>
      <c r="AE80" s="26">
        <v>5.0</v>
      </c>
      <c r="AF80" s="27"/>
      <c r="AG80" s="27">
        <v>5.0</v>
      </c>
      <c r="AH80" s="26">
        <v>11.0</v>
      </c>
      <c r="AI80" s="27">
        <v>12.0</v>
      </c>
      <c r="AJ80" s="26">
        <v>-1.0</v>
      </c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</row>
    <row r="81" ht="15.75" customHeight="1">
      <c r="A81" s="29"/>
      <c r="B81" s="54">
        <v>45601.0</v>
      </c>
      <c r="C81" s="200" t="s">
        <v>30</v>
      </c>
      <c r="D81" s="13" t="s">
        <v>22</v>
      </c>
      <c r="E81" s="14" t="s">
        <v>39</v>
      </c>
      <c r="F81" s="56">
        <v>0.0</v>
      </c>
      <c r="G81" s="69" t="s">
        <v>173</v>
      </c>
      <c r="H81" s="56">
        <v>2.0</v>
      </c>
      <c r="I81" s="14" t="s">
        <v>70</v>
      </c>
      <c r="J81" s="3"/>
      <c r="K81" s="17">
        <f t="shared" si="9"/>
        <v>0</v>
      </c>
      <c r="L81" s="18">
        <f t="shared" si="10"/>
        <v>3</v>
      </c>
      <c r="M81" s="3"/>
      <c r="N81" s="18">
        <v>8.0</v>
      </c>
      <c r="O81" s="173" t="s">
        <v>71</v>
      </c>
      <c r="P81" s="18">
        <f t="shared" si="11"/>
        <v>15</v>
      </c>
      <c r="Q81" s="20">
        <f t="shared" si="12"/>
        <v>5</v>
      </c>
      <c r="R81" s="22"/>
      <c r="S81" s="22">
        <f t="shared" si="13"/>
        <v>5</v>
      </c>
      <c r="T81" s="18">
        <f t="shared" si="14"/>
        <v>11</v>
      </c>
      <c r="U81" s="22">
        <f t="shared" si="15"/>
        <v>11</v>
      </c>
      <c r="V81" s="18">
        <f t="shared" si="16"/>
        <v>0</v>
      </c>
      <c r="X81" s="207" t="s">
        <v>71</v>
      </c>
      <c r="Y81" s="208">
        <v>3.0</v>
      </c>
      <c r="AB81" s="24">
        <v>8.0</v>
      </c>
      <c r="AC81" s="206" t="s">
        <v>116</v>
      </c>
      <c r="AD81" s="26">
        <v>11.0</v>
      </c>
      <c r="AE81" s="26">
        <v>4.0</v>
      </c>
      <c r="AF81" s="27"/>
      <c r="AG81" s="27">
        <v>6.0</v>
      </c>
      <c r="AH81" s="26">
        <v>8.0</v>
      </c>
      <c r="AI81" s="27">
        <v>13.0</v>
      </c>
      <c r="AJ81" s="26">
        <v>-5.0</v>
      </c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</row>
    <row r="82" ht="15.75" customHeight="1">
      <c r="A82" s="29"/>
      <c r="B82" s="54">
        <v>45601.0</v>
      </c>
      <c r="C82" s="200" t="s">
        <v>36</v>
      </c>
      <c r="D82" s="13" t="s">
        <v>22</v>
      </c>
      <c r="E82" s="14" t="s">
        <v>179</v>
      </c>
      <c r="F82" s="56"/>
      <c r="G82" s="69" t="s">
        <v>173</v>
      </c>
      <c r="H82" s="56"/>
      <c r="I82" s="14" t="s">
        <v>177</v>
      </c>
      <c r="J82" s="3"/>
      <c r="K82" s="17" t="str">
        <f t="shared" si="9"/>
        <v/>
      </c>
      <c r="L82" s="18" t="str">
        <f t="shared" si="10"/>
        <v/>
      </c>
      <c r="M82" s="3"/>
      <c r="N82" s="18">
        <v>9.0</v>
      </c>
      <c r="O82" s="173" t="s">
        <v>23</v>
      </c>
      <c r="P82" s="18">
        <f t="shared" si="11"/>
        <v>7</v>
      </c>
      <c r="Q82" s="20">
        <f t="shared" si="12"/>
        <v>1</v>
      </c>
      <c r="R82" s="22"/>
      <c r="S82" s="22">
        <f t="shared" si="13"/>
        <v>9</v>
      </c>
      <c r="T82" s="18">
        <f t="shared" si="14"/>
        <v>7</v>
      </c>
      <c r="U82" s="22">
        <f t="shared" si="15"/>
        <v>19</v>
      </c>
      <c r="V82" s="18">
        <f t="shared" si="16"/>
        <v>-12</v>
      </c>
      <c r="X82" s="209" t="s">
        <v>135</v>
      </c>
      <c r="Y82" s="210">
        <v>0.0</v>
      </c>
      <c r="AB82" s="24">
        <v>9.0</v>
      </c>
      <c r="AC82" s="206" t="s">
        <v>39</v>
      </c>
      <c r="AD82" s="26">
        <v>7.0</v>
      </c>
      <c r="AE82" s="26">
        <v>3.0</v>
      </c>
      <c r="AF82" s="27"/>
      <c r="AG82" s="27">
        <v>7.0</v>
      </c>
      <c r="AH82" s="26">
        <v>6.0</v>
      </c>
      <c r="AI82" s="27">
        <v>16.0</v>
      </c>
      <c r="AJ82" s="26">
        <v>-10.0</v>
      </c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</row>
    <row r="83" ht="15.75" customHeight="1">
      <c r="A83" s="29"/>
      <c r="B83" s="54">
        <v>45601.0</v>
      </c>
      <c r="C83" s="200" t="s">
        <v>36</v>
      </c>
      <c r="D83" s="13" t="s">
        <v>22</v>
      </c>
      <c r="E83" s="14" t="s">
        <v>23</v>
      </c>
      <c r="F83" s="56">
        <v>0.0</v>
      </c>
      <c r="G83" s="69" t="s">
        <v>173</v>
      </c>
      <c r="H83" s="56">
        <v>2.0</v>
      </c>
      <c r="I83" s="14" t="s">
        <v>71</v>
      </c>
      <c r="J83" s="3"/>
      <c r="K83" s="17">
        <f t="shared" si="9"/>
        <v>0</v>
      </c>
      <c r="L83" s="18">
        <f t="shared" si="10"/>
        <v>3</v>
      </c>
      <c r="M83" s="3"/>
      <c r="N83" s="18">
        <v>10.0</v>
      </c>
      <c r="O83" s="173" t="s">
        <v>177</v>
      </c>
      <c r="P83" s="18">
        <f t="shared" si="11"/>
        <v>0</v>
      </c>
      <c r="Q83" s="20">
        <f t="shared" si="12"/>
        <v>0</v>
      </c>
      <c r="R83" s="22"/>
      <c r="S83" s="22">
        <f t="shared" si="13"/>
        <v>0</v>
      </c>
      <c r="T83" s="18">
        <f t="shared" si="14"/>
        <v>0</v>
      </c>
      <c r="U83" s="22">
        <f t="shared" si="15"/>
        <v>0</v>
      </c>
      <c r="V83" s="18">
        <f t="shared" si="16"/>
        <v>0</v>
      </c>
      <c r="AB83" s="24">
        <v>10.0</v>
      </c>
      <c r="AC83" s="206" t="s">
        <v>23</v>
      </c>
      <c r="AD83" s="26">
        <v>7.0</v>
      </c>
      <c r="AE83" s="26">
        <v>1.0</v>
      </c>
      <c r="AF83" s="27"/>
      <c r="AG83" s="27">
        <v>9.0</v>
      </c>
      <c r="AH83" s="26">
        <v>7.0</v>
      </c>
      <c r="AI83" s="27">
        <v>19.0</v>
      </c>
      <c r="AJ83" s="26">
        <v>-12.0</v>
      </c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</row>
    <row r="84" ht="15.75" customHeight="1">
      <c r="A84" s="29"/>
      <c r="B84" s="54">
        <v>45601.0</v>
      </c>
      <c r="C84" s="200" t="s">
        <v>41</v>
      </c>
      <c r="D84" s="13" t="s">
        <v>22</v>
      </c>
      <c r="E84" s="14" t="s">
        <v>62</v>
      </c>
      <c r="F84" s="56">
        <v>2.0</v>
      </c>
      <c r="G84" s="69" t="s">
        <v>173</v>
      </c>
      <c r="H84" s="56">
        <v>0.0</v>
      </c>
      <c r="I84" s="14" t="s">
        <v>116</v>
      </c>
      <c r="J84" s="3"/>
      <c r="K84" s="17">
        <f t="shared" si="9"/>
        <v>3</v>
      </c>
      <c r="L84" s="18">
        <f t="shared" si="10"/>
        <v>0</v>
      </c>
      <c r="M84" s="3"/>
      <c r="N84" s="18">
        <v>11.0</v>
      </c>
      <c r="O84" s="173" t="s">
        <v>62</v>
      </c>
      <c r="P84" s="18">
        <f t="shared" si="11"/>
        <v>15</v>
      </c>
      <c r="Q84" s="20">
        <f t="shared" si="12"/>
        <v>5</v>
      </c>
      <c r="R84" s="22"/>
      <c r="S84" s="22">
        <f t="shared" si="13"/>
        <v>5</v>
      </c>
      <c r="T84" s="18">
        <f t="shared" si="14"/>
        <v>10</v>
      </c>
      <c r="U84" s="22">
        <f t="shared" si="15"/>
        <v>10</v>
      </c>
      <c r="V84" s="18">
        <f t="shared" si="16"/>
        <v>0</v>
      </c>
      <c r="X84" s="10" t="s">
        <v>47</v>
      </c>
      <c r="Y84" s="205"/>
      <c r="AB84" s="24">
        <v>11.0</v>
      </c>
      <c r="AC84" s="206" t="s">
        <v>179</v>
      </c>
      <c r="AD84" s="26">
        <v>6.0</v>
      </c>
      <c r="AE84" s="26">
        <v>1.0</v>
      </c>
      <c r="AF84" s="27"/>
      <c r="AG84" s="27">
        <v>9.0</v>
      </c>
      <c r="AH84" s="26">
        <v>6.0</v>
      </c>
      <c r="AI84" s="27">
        <v>19.0</v>
      </c>
      <c r="AJ84" s="26">
        <v>-13.0</v>
      </c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</row>
    <row r="85" ht="15.75" customHeight="1">
      <c r="A85" s="37"/>
      <c r="B85" s="54">
        <v>45601.0</v>
      </c>
      <c r="C85" s="200" t="s">
        <v>41</v>
      </c>
      <c r="D85" s="13" t="s">
        <v>22</v>
      </c>
      <c r="E85" s="14" t="s">
        <v>94</v>
      </c>
      <c r="F85" s="56">
        <v>2.0</v>
      </c>
      <c r="G85" s="69" t="s">
        <v>173</v>
      </c>
      <c r="H85" s="56">
        <v>1.0</v>
      </c>
      <c r="I85" s="14" t="s">
        <v>67</v>
      </c>
      <c r="J85" s="3"/>
      <c r="K85" s="17">
        <f t="shared" si="9"/>
        <v>2</v>
      </c>
      <c r="L85" s="18">
        <f t="shared" si="10"/>
        <v>1</v>
      </c>
      <c r="M85" s="3"/>
      <c r="N85" s="36">
        <v>12.0</v>
      </c>
      <c r="O85" s="201" t="s">
        <v>86</v>
      </c>
      <c r="P85" s="18">
        <f t="shared" si="11"/>
        <v>18</v>
      </c>
      <c r="Q85" s="20">
        <f t="shared" si="12"/>
        <v>7</v>
      </c>
      <c r="S85" s="22">
        <f t="shared" si="13"/>
        <v>3</v>
      </c>
      <c r="T85" s="18">
        <f t="shared" si="14"/>
        <v>14</v>
      </c>
      <c r="U85" s="22">
        <f t="shared" si="15"/>
        <v>9</v>
      </c>
      <c r="V85" s="18">
        <f t="shared" si="16"/>
        <v>5</v>
      </c>
      <c r="X85" s="23" t="s">
        <v>26</v>
      </c>
      <c r="Y85" s="23" t="s">
        <v>13</v>
      </c>
      <c r="AB85" s="40">
        <v>12.0</v>
      </c>
      <c r="AC85" s="34" t="s">
        <v>177</v>
      </c>
      <c r="AD85" s="26">
        <v>0.0</v>
      </c>
      <c r="AE85" s="90">
        <v>0.0</v>
      </c>
      <c r="AF85" s="90"/>
      <c r="AG85" s="90">
        <v>0.0</v>
      </c>
      <c r="AH85" s="90">
        <v>0.0</v>
      </c>
      <c r="AI85" s="90">
        <v>0.0</v>
      </c>
      <c r="AJ85" s="90">
        <v>0.0</v>
      </c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ht="15.75" customHeight="1">
      <c r="A86" s="106">
        <v>3.0</v>
      </c>
      <c r="B86" s="54">
        <v>45616.0</v>
      </c>
      <c r="C86" s="13" t="s">
        <v>54</v>
      </c>
      <c r="D86" s="13" t="s">
        <v>22</v>
      </c>
      <c r="E86" s="14" t="s">
        <v>43</v>
      </c>
      <c r="F86" s="56">
        <v>2.0</v>
      </c>
      <c r="G86" s="69" t="s">
        <v>173</v>
      </c>
      <c r="H86" s="56">
        <v>0.0</v>
      </c>
      <c r="I86" s="14" t="s">
        <v>39</v>
      </c>
      <c r="J86" s="3"/>
      <c r="K86" s="17">
        <f t="shared" si="9"/>
        <v>3</v>
      </c>
      <c r="L86" s="18">
        <f t="shared" si="10"/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X86" s="207" t="s">
        <v>39</v>
      </c>
      <c r="Y86" s="208">
        <v>2.0</v>
      </c>
      <c r="AB86" s="85" t="s">
        <v>180</v>
      </c>
      <c r="AE86" s="47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ht="15.75" customHeight="1">
      <c r="A87" s="29"/>
      <c r="B87" s="54">
        <v>45616.0</v>
      </c>
      <c r="C87" s="13" t="s">
        <v>54</v>
      </c>
      <c r="D87" s="13" t="s">
        <v>22</v>
      </c>
      <c r="E87" s="107" t="s">
        <v>70</v>
      </c>
      <c r="F87" s="56">
        <v>2.0</v>
      </c>
      <c r="G87" s="69" t="s">
        <v>173</v>
      </c>
      <c r="H87" s="56">
        <v>0.0</v>
      </c>
      <c r="I87" s="107" t="s">
        <v>179</v>
      </c>
      <c r="J87" s="3"/>
      <c r="K87" s="17">
        <f t="shared" si="9"/>
        <v>3</v>
      </c>
      <c r="L87" s="18">
        <f t="shared" si="10"/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X87" s="209" t="s">
        <v>23</v>
      </c>
      <c r="Y87" s="210">
        <v>1.0</v>
      </c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ht="15.75" customHeight="1">
      <c r="A88" s="29"/>
      <c r="B88" s="54">
        <v>45616.0</v>
      </c>
      <c r="C88" s="13" t="s">
        <v>54</v>
      </c>
      <c r="D88" s="13" t="s">
        <v>22</v>
      </c>
      <c r="E88" s="14" t="s">
        <v>177</v>
      </c>
      <c r="F88" s="56"/>
      <c r="G88" s="69" t="s">
        <v>173</v>
      </c>
      <c r="H88" s="56"/>
      <c r="I88" s="14" t="s">
        <v>23</v>
      </c>
      <c r="J88" s="3"/>
      <c r="K88" s="17" t="str">
        <f t="shared" si="9"/>
        <v/>
      </c>
      <c r="L88" s="18" t="str">
        <f t="shared" si="10"/>
        <v/>
      </c>
      <c r="M88" s="3"/>
      <c r="N88" s="3"/>
      <c r="O88" s="3"/>
      <c r="P88" s="3"/>
      <c r="Q88" s="3"/>
      <c r="R88" s="3"/>
      <c r="S88" s="3"/>
      <c r="T88" s="3"/>
      <c r="U88" s="3"/>
      <c r="V88" s="3"/>
      <c r="AB88" s="48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ht="15.75" customHeight="1">
      <c r="A89" s="29"/>
      <c r="B89" s="54">
        <v>45616.0</v>
      </c>
      <c r="C89" s="13" t="s">
        <v>55</v>
      </c>
      <c r="D89" s="13" t="s">
        <v>22</v>
      </c>
      <c r="E89" s="14" t="s">
        <v>71</v>
      </c>
      <c r="F89" s="56">
        <v>0.0</v>
      </c>
      <c r="G89" s="69" t="s">
        <v>173</v>
      </c>
      <c r="H89" s="56">
        <v>2.0</v>
      </c>
      <c r="I89" s="14" t="s">
        <v>62</v>
      </c>
      <c r="J89" s="50"/>
      <c r="K89" s="17">
        <f t="shared" si="9"/>
        <v>0</v>
      </c>
      <c r="L89" s="18">
        <f t="shared" si="10"/>
        <v>3</v>
      </c>
      <c r="M89" s="3"/>
      <c r="N89" s="3"/>
      <c r="O89" s="3"/>
      <c r="P89" s="3"/>
      <c r="R89" s="3"/>
      <c r="S89" s="3"/>
      <c r="T89" s="3"/>
      <c r="U89" s="3"/>
      <c r="V89" s="3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</row>
    <row r="90" ht="15.75" customHeight="1">
      <c r="A90" s="29"/>
      <c r="B90" s="54">
        <v>45616.0</v>
      </c>
      <c r="C90" s="13" t="s">
        <v>55</v>
      </c>
      <c r="D90" s="13" t="s">
        <v>22</v>
      </c>
      <c r="E90" s="14" t="s">
        <v>116</v>
      </c>
      <c r="F90" s="56">
        <v>0.0</v>
      </c>
      <c r="G90" s="69" t="s">
        <v>173</v>
      </c>
      <c r="H90" s="56">
        <v>2.0</v>
      </c>
      <c r="I90" s="14" t="s">
        <v>94</v>
      </c>
      <c r="J90" s="3"/>
      <c r="K90" s="17">
        <f t="shared" si="9"/>
        <v>0</v>
      </c>
      <c r="L90" s="18">
        <f t="shared" si="10"/>
        <v>3</v>
      </c>
      <c r="M90" s="3"/>
      <c r="N90" s="3"/>
      <c r="O90" s="3"/>
      <c r="P90" s="3"/>
      <c r="Q90" s="3"/>
      <c r="R90" s="3"/>
      <c r="S90" s="3"/>
      <c r="T90" s="3"/>
      <c r="U90" s="3"/>
      <c r="V90" s="3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</row>
    <row r="91" ht="15.75" customHeight="1">
      <c r="A91" s="37"/>
      <c r="B91" s="54">
        <v>45616.0</v>
      </c>
      <c r="C91" s="13" t="s">
        <v>55</v>
      </c>
      <c r="D91" s="13" t="s">
        <v>22</v>
      </c>
      <c r="E91" s="14" t="s">
        <v>86</v>
      </c>
      <c r="F91" s="56">
        <v>0.0</v>
      </c>
      <c r="G91" s="69" t="s">
        <v>173</v>
      </c>
      <c r="H91" s="56">
        <v>2.0</v>
      </c>
      <c r="I91" s="14" t="s">
        <v>67</v>
      </c>
      <c r="J91" s="3"/>
      <c r="K91" s="17">
        <f t="shared" si="9"/>
        <v>0</v>
      </c>
      <c r="L91" s="18">
        <f t="shared" si="10"/>
        <v>3</v>
      </c>
      <c r="M91" s="3"/>
      <c r="N91" s="3"/>
      <c r="O91" s="3"/>
      <c r="P91" s="3"/>
      <c r="Q91" s="3"/>
      <c r="R91" s="3"/>
      <c r="S91" s="3"/>
      <c r="T91" s="3"/>
      <c r="U91" s="3"/>
      <c r="V91" s="3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</row>
    <row r="92" ht="15.75" customHeight="1">
      <c r="A92" s="106">
        <v>4.0</v>
      </c>
      <c r="B92" s="54">
        <v>45641.0</v>
      </c>
      <c r="C92" s="13" t="s">
        <v>54</v>
      </c>
      <c r="D92" s="13" t="s">
        <v>22</v>
      </c>
      <c r="E92" s="14" t="s">
        <v>39</v>
      </c>
      <c r="F92" s="13">
        <v>0.0</v>
      </c>
      <c r="G92" s="69" t="s">
        <v>173</v>
      </c>
      <c r="H92" s="56">
        <v>2.0</v>
      </c>
      <c r="I92" s="14" t="s">
        <v>86</v>
      </c>
      <c r="J92" s="3"/>
      <c r="K92" s="17">
        <f t="shared" si="9"/>
        <v>0</v>
      </c>
      <c r="L92" s="18">
        <f t="shared" si="10"/>
        <v>3</v>
      </c>
      <c r="M92" s="3"/>
      <c r="N92" s="3"/>
      <c r="O92" s="3"/>
      <c r="P92" s="3"/>
      <c r="Q92" s="3"/>
      <c r="R92" s="3"/>
      <c r="S92" s="3"/>
      <c r="T92" s="3"/>
      <c r="U92" s="3"/>
      <c r="V92" s="3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</row>
    <row r="93" ht="15.75" customHeight="1">
      <c r="A93" s="29"/>
      <c r="B93" s="54">
        <v>45641.0</v>
      </c>
      <c r="C93" s="13" t="s">
        <v>54</v>
      </c>
      <c r="D93" s="13" t="s">
        <v>22</v>
      </c>
      <c r="E93" s="14" t="s">
        <v>179</v>
      </c>
      <c r="F93" s="13">
        <v>1.0</v>
      </c>
      <c r="G93" s="69" t="s">
        <v>173</v>
      </c>
      <c r="H93" s="56">
        <v>2.0</v>
      </c>
      <c r="I93" s="14" t="s">
        <v>43</v>
      </c>
      <c r="J93" s="3"/>
      <c r="K93" s="17">
        <f t="shared" si="9"/>
        <v>1</v>
      </c>
      <c r="L93" s="18">
        <f t="shared" si="10"/>
        <v>2</v>
      </c>
      <c r="M93" s="3"/>
      <c r="N93" s="3"/>
      <c r="O93" s="3"/>
      <c r="P93" s="3"/>
      <c r="Q93" s="3"/>
      <c r="R93" s="3"/>
      <c r="S93" s="3"/>
      <c r="T93" s="3"/>
      <c r="U93" s="3"/>
      <c r="V93" s="3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</row>
    <row r="94" ht="15.75" customHeight="1">
      <c r="A94" s="29"/>
      <c r="B94" s="54">
        <v>45641.0</v>
      </c>
      <c r="C94" s="13" t="s">
        <v>54</v>
      </c>
      <c r="D94" s="13" t="s">
        <v>22</v>
      </c>
      <c r="E94" s="14" t="s">
        <v>23</v>
      </c>
      <c r="F94" s="13">
        <v>1.0</v>
      </c>
      <c r="G94" s="69" t="s">
        <v>173</v>
      </c>
      <c r="H94" s="56">
        <v>2.0</v>
      </c>
      <c r="I94" s="14" t="s">
        <v>70</v>
      </c>
      <c r="J94" s="3"/>
      <c r="K94" s="17">
        <f t="shared" si="9"/>
        <v>1</v>
      </c>
      <c r="L94" s="18">
        <f t="shared" si="10"/>
        <v>2</v>
      </c>
      <c r="M94" s="3"/>
      <c r="N94" s="3"/>
      <c r="O94" s="3"/>
      <c r="P94" s="3"/>
      <c r="Q94" s="3"/>
      <c r="R94" s="3"/>
      <c r="S94" s="3"/>
      <c r="T94" s="3"/>
      <c r="U94" s="3"/>
      <c r="V94" s="3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</row>
    <row r="95" ht="15.75" customHeight="1">
      <c r="A95" s="29"/>
      <c r="B95" s="54">
        <v>45714.0</v>
      </c>
      <c r="C95" s="13" t="s">
        <v>80</v>
      </c>
      <c r="D95" s="13" t="s">
        <v>22</v>
      </c>
      <c r="E95" s="14" t="s">
        <v>62</v>
      </c>
      <c r="F95" s="13"/>
      <c r="G95" s="69" t="s">
        <v>173</v>
      </c>
      <c r="H95" s="56"/>
      <c r="I95" s="14" t="s">
        <v>177</v>
      </c>
      <c r="J95" s="3"/>
      <c r="K95" s="17" t="str">
        <f t="shared" si="9"/>
        <v/>
      </c>
      <c r="L95" s="18" t="str">
        <f t="shared" si="10"/>
        <v/>
      </c>
      <c r="M95" s="3"/>
      <c r="N95" s="3"/>
      <c r="O95" s="3"/>
      <c r="P95" s="3"/>
      <c r="Q95" s="3"/>
      <c r="R95" s="3"/>
      <c r="S95" s="3"/>
      <c r="T95" s="3"/>
      <c r="U95" s="3"/>
      <c r="V95" s="3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</row>
    <row r="96" ht="15.75" customHeight="1">
      <c r="A96" s="29"/>
      <c r="B96" s="54">
        <v>45641.0</v>
      </c>
      <c r="C96" s="13" t="s">
        <v>55</v>
      </c>
      <c r="D96" s="13" t="s">
        <v>22</v>
      </c>
      <c r="E96" s="14" t="s">
        <v>94</v>
      </c>
      <c r="F96" s="13">
        <v>0.0</v>
      </c>
      <c r="G96" s="69" t="s">
        <v>173</v>
      </c>
      <c r="H96" s="56">
        <v>2.0</v>
      </c>
      <c r="I96" s="14" t="s">
        <v>71</v>
      </c>
      <c r="J96" s="3"/>
      <c r="K96" s="17">
        <f t="shared" si="9"/>
        <v>0</v>
      </c>
      <c r="L96" s="18">
        <f t="shared" si="10"/>
        <v>3</v>
      </c>
      <c r="M96" s="3"/>
      <c r="N96" s="3"/>
      <c r="O96" s="3"/>
      <c r="P96" s="3"/>
      <c r="Q96" s="3"/>
      <c r="R96" s="3"/>
      <c r="S96" s="3"/>
      <c r="T96" s="3"/>
      <c r="U96" s="3"/>
      <c r="V96" s="3"/>
      <c r="AB96" s="4"/>
      <c r="AC96" s="2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</row>
    <row r="97" ht="15.75" customHeight="1">
      <c r="A97" s="37"/>
      <c r="B97" s="54">
        <v>45641.0</v>
      </c>
      <c r="C97" s="13" t="s">
        <v>55</v>
      </c>
      <c r="D97" s="13" t="s">
        <v>22</v>
      </c>
      <c r="E97" s="14" t="s">
        <v>67</v>
      </c>
      <c r="F97" s="13">
        <v>2.0</v>
      </c>
      <c r="G97" s="69" t="s">
        <v>173</v>
      </c>
      <c r="H97" s="56">
        <v>0.0</v>
      </c>
      <c r="I97" s="14" t="s">
        <v>116</v>
      </c>
      <c r="J97" s="3"/>
      <c r="K97" s="17">
        <f t="shared" si="9"/>
        <v>3</v>
      </c>
      <c r="L97" s="18">
        <f t="shared" si="10"/>
        <v>0</v>
      </c>
      <c r="M97" s="3"/>
      <c r="N97" s="3"/>
      <c r="O97" s="3"/>
      <c r="P97" s="3"/>
      <c r="Q97" s="3"/>
      <c r="R97" s="3"/>
      <c r="S97" s="3"/>
      <c r="T97" s="3"/>
      <c r="U97" s="3"/>
      <c r="V97" s="3"/>
      <c r="AB97" s="4"/>
      <c r="AC97" s="2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</row>
    <row r="98" ht="15.75" customHeight="1">
      <c r="A98" s="106">
        <v>5.0</v>
      </c>
      <c r="B98" s="54">
        <v>45714.0</v>
      </c>
      <c r="C98" s="13" t="s">
        <v>128</v>
      </c>
      <c r="D98" s="13" t="s">
        <v>22</v>
      </c>
      <c r="E98" s="14" t="s">
        <v>39</v>
      </c>
      <c r="F98" s="56">
        <v>2.0</v>
      </c>
      <c r="G98" s="69" t="s">
        <v>173</v>
      </c>
      <c r="H98" s="56">
        <v>1.0</v>
      </c>
      <c r="I98" s="14" t="s">
        <v>179</v>
      </c>
      <c r="J98" s="3"/>
      <c r="K98" s="17">
        <f t="shared" si="9"/>
        <v>2</v>
      </c>
      <c r="L98" s="18">
        <f t="shared" si="10"/>
        <v>1</v>
      </c>
      <c r="M98" s="3"/>
      <c r="N98" s="3"/>
      <c r="O98" s="3"/>
      <c r="P98" s="3"/>
      <c r="Q98" s="3"/>
      <c r="R98" s="3"/>
      <c r="S98" s="3"/>
      <c r="T98" s="3"/>
      <c r="U98" s="3"/>
      <c r="V98" s="3"/>
      <c r="AB98" s="4"/>
      <c r="AC98" s="2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</row>
    <row r="99" ht="15.75" customHeight="1">
      <c r="A99" s="29"/>
      <c r="B99" s="54">
        <v>45714.0</v>
      </c>
      <c r="C99" s="13" t="s">
        <v>128</v>
      </c>
      <c r="D99" s="13" t="s">
        <v>22</v>
      </c>
      <c r="E99" s="14" t="s">
        <v>43</v>
      </c>
      <c r="F99" s="56">
        <v>2.0</v>
      </c>
      <c r="G99" s="69" t="s">
        <v>173</v>
      </c>
      <c r="H99" s="56">
        <v>1.0</v>
      </c>
      <c r="I99" s="14" t="s">
        <v>23</v>
      </c>
      <c r="J99" s="3"/>
      <c r="K99" s="17">
        <f t="shared" si="9"/>
        <v>2</v>
      </c>
      <c r="L99" s="18">
        <f t="shared" si="10"/>
        <v>1</v>
      </c>
      <c r="M99" s="3"/>
      <c r="N99" s="3"/>
      <c r="O99" s="3"/>
      <c r="P99" s="3"/>
      <c r="Q99" s="3"/>
      <c r="R99" s="3"/>
      <c r="S99" s="3"/>
      <c r="T99" s="3"/>
      <c r="U99" s="3"/>
      <c r="V99" s="3"/>
      <c r="AB99" s="4"/>
      <c r="AC99" s="2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</row>
    <row r="100" ht="15.75" customHeight="1">
      <c r="A100" s="29"/>
      <c r="B100" s="54">
        <v>45714.0</v>
      </c>
      <c r="C100" s="13" t="s">
        <v>128</v>
      </c>
      <c r="D100" s="13" t="s">
        <v>22</v>
      </c>
      <c r="E100" s="14" t="s">
        <v>70</v>
      </c>
      <c r="F100" s="56">
        <v>2.0</v>
      </c>
      <c r="G100" s="69" t="s">
        <v>173</v>
      </c>
      <c r="H100" s="56">
        <v>0.0</v>
      </c>
      <c r="I100" s="14" t="s">
        <v>62</v>
      </c>
      <c r="J100" s="3"/>
      <c r="K100" s="17">
        <f t="shared" si="9"/>
        <v>3</v>
      </c>
      <c r="L100" s="18">
        <f t="shared" si="10"/>
        <v>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AB100" s="4"/>
      <c r="AC100" s="2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</row>
    <row r="101" ht="15.75" customHeight="1">
      <c r="A101" s="29"/>
      <c r="B101" s="54">
        <v>45714.0</v>
      </c>
      <c r="C101" s="13" t="s">
        <v>129</v>
      </c>
      <c r="D101" s="13" t="s">
        <v>22</v>
      </c>
      <c r="E101" s="14" t="s">
        <v>177</v>
      </c>
      <c r="F101" s="56"/>
      <c r="G101" s="69" t="s">
        <v>173</v>
      </c>
      <c r="H101" s="56"/>
      <c r="I101" s="14" t="s">
        <v>94</v>
      </c>
      <c r="J101" s="3"/>
      <c r="K101" s="17" t="str">
        <f t="shared" si="9"/>
        <v/>
      </c>
      <c r="L101" s="18" t="str">
        <f t="shared" si="10"/>
        <v/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AB101" s="4"/>
      <c r="AC101" s="2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</row>
    <row r="102" ht="15.75" customHeight="1">
      <c r="A102" s="29"/>
      <c r="B102" s="54">
        <v>45714.0</v>
      </c>
      <c r="C102" s="13" t="s">
        <v>129</v>
      </c>
      <c r="D102" s="13" t="s">
        <v>22</v>
      </c>
      <c r="E102" s="14" t="s">
        <v>71</v>
      </c>
      <c r="F102" s="56">
        <v>0.0</v>
      </c>
      <c r="G102" s="69" t="s">
        <v>173</v>
      </c>
      <c r="H102" s="56">
        <v>2.0</v>
      </c>
      <c r="I102" s="14" t="s">
        <v>67</v>
      </c>
      <c r="J102" s="3"/>
      <c r="K102" s="17">
        <f t="shared" si="9"/>
        <v>0</v>
      </c>
      <c r="L102" s="18">
        <f t="shared" si="10"/>
        <v>3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AB102" s="4"/>
      <c r="AC102" s="2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</row>
    <row r="103" ht="15.75" customHeight="1">
      <c r="A103" s="37"/>
      <c r="B103" s="54">
        <v>45714.0</v>
      </c>
      <c r="C103" s="13" t="s">
        <v>129</v>
      </c>
      <c r="D103" s="13" t="s">
        <v>22</v>
      </c>
      <c r="E103" s="14" t="s">
        <v>86</v>
      </c>
      <c r="F103" s="56">
        <v>2.0</v>
      </c>
      <c r="G103" s="69" t="s">
        <v>173</v>
      </c>
      <c r="H103" s="56">
        <v>0.0</v>
      </c>
      <c r="I103" s="14" t="s">
        <v>116</v>
      </c>
      <c r="J103" s="3"/>
      <c r="K103" s="17">
        <f t="shared" si="9"/>
        <v>3</v>
      </c>
      <c r="L103" s="18">
        <f t="shared" si="10"/>
        <v>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AB103" s="4"/>
      <c r="AC103" s="2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</row>
    <row r="104" ht="15.75" customHeight="1">
      <c r="A104" s="106">
        <v>6.0</v>
      </c>
      <c r="B104" s="54">
        <v>45726.0</v>
      </c>
      <c r="C104" s="200" t="s">
        <v>21</v>
      </c>
      <c r="D104" s="13" t="s">
        <v>22</v>
      </c>
      <c r="E104" s="14" t="s">
        <v>179</v>
      </c>
      <c r="F104" s="56">
        <v>1.0</v>
      </c>
      <c r="G104" s="69" t="s">
        <v>173</v>
      </c>
      <c r="H104" s="56">
        <v>2.0</v>
      </c>
      <c r="I104" s="14" t="s">
        <v>86</v>
      </c>
      <c r="J104" s="3"/>
      <c r="K104" s="17">
        <f t="shared" si="9"/>
        <v>1</v>
      </c>
      <c r="L104" s="18">
        <f t="shared" si="10"/>
        <v>2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AB104" s="4"/>
      <c r="AC104" s="2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</row>
    <row r="105" ht="15.75" customHeight="1">
      <c r="A105" s="29"/>
      <c r="B105" s="54">
        <v>45726.0</v>
      </c>
      <c r="C105" s="200" t="s">
        <v>21</v>
      </c>
      <c r="D105" s="13" t="s">
        <v>22</v>
      </c>
      <c r="E105" s="14" t="s">
        <v>23</v>
      </c>
      <c r="F105" s="56">
        <v>1.0</v>
      </c>
      <c r="G105" s="69" t="s">
        <v>173</v>
      </c>
      <c r="H105" s="56">
        <v>2.0</v>
      </c>
      <c r="I105" s="14" t="s">
        <v>39</v>
      </c>
      <c r="J105" s="3"/>
      <c r="K105" s="17">
        <f t="shared" si="9"/>
        <v>1</v>
      </c>
      <c r="L105" s="18">
        <f t="shared" si="10"/>
        <v>2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AB105" s="4"/>
      <c r="AC105" s="2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</row>
    <row r="106" ht="15.75" customHeight="1">
      <c r="A106" s="29"/>
      <c r="B106" s="54">
        <v>45726.0</v>
      </c>
      <c r="C106" s="200" t="s">
        <v>21</v>
      </c>
      <c r="D106" s="13" t="s">
        <v>22</v>
      </c>
      <c r="E106" s="14" t="s">
        <v>62</v>
      </c>
      <c r="F106" s="56">
        <v>0.0</v>
      </c>
      <c r="G106" s="69" t="s">
        <v>173</v>
      </c>
      <c r="H106" s="56">
        <v>2.0</v>
      </c>
      <c r="I106" s="14" t="s">
        <v>43</v>
      </c>
      <c r="J106" s="3"/>
      <c r="K106" s="17">
        <f t="shared" si="9"/>
        <v>0</v>
      </c>
      <c r="L106" s="18">
        <f t="shared" si="10"/>
        <v>3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AB106" s="4"/>
      <c r="AC106" s="2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</row>
    <row r="107" ht="15.75" customHeight="1">
      <c r="A107" s="29"/>
      <c r="B107" s="54">
        <v>45726.0</v>
      </c>
      <c r="C107" s="200" t="s">
        <v>30</v>
      </c>
      <c r="D107" s="13" t="s">
        <v>22</v>
      </c>
      <c r="E107" s="14" t="s">
        <v>94</v>
      </c>
      <c r="F107" s="56">
        <v>2.0</v>
      </c>
      <c r="G107" s="69" t="s">
        <v>173</v>
      </c>
      <c r="H107" s="56">
        <v>0.0</v>
      </c>
      <c r="I107" s="14" t="s">
        <v>70</v>
      </c>
      <c r="J107" s="3"/>
      <c r="K107" s="17">
        <f t="shared" si="9"/>
        <v>3</v>
      </c>
      <c r="L107" s="18">
        <f t="shared" si="10"/>
        <v>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AB107" s="4"/>
      <c r="AC107" s="2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</row>
    <row r="108" ht="15.75" customHeight="1">
      <c r="A108" s="29"/>
      <c r="B108" s="54">
        <v>45726.0</v>
      </c>
      <c r="C108" s="200" t="s">
        <v>30</v>
      </c>
      <c r="D108" s="13" t="s">
        <v>22</v>
      </c>
      <c r="E108" s="14" t="s">
        <v>67</v>
      </c>
      <c r="F108" s="56"/>
      <c r="G108" s="69" t="s">
        <v>173</v>
      </c>
      <c r="H108" s="56"/>
      <c r="I108" s="128" t="s">
        <v>177</v>
      </c>
      <c r="J108" s="3"/>
      <c r="K108" s="17" t="str">
        <f t="shared" si="9"/>
        <v/>
      </c>
      <c r="L108" s="18" t="str">
        <f t="shared" si="10"/>
        <v/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AB108" s="4"/>
      <c r="AC108" s="2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</row>
    <row r="109" ht="15.75" customHeight="1">
      <c r="A109" s="37"/>
      <c r="B109" s="54">
        <v>45726.0</v>
      </c>
      <c r="C109" s="200" t="s">
        <v>30</v>
      </c>
      <c r="D109" s="13" t="s">
        <v>22</v>
      </c>
      <c r="E109" s="14" t="s">
        <v>116</v>
      </c>
      <c r="F109" s="56">
        <v>2.0</v>
      </c>
      <c r="G109" s="69" t="s">
        <v>173</v>
      </c>
      <c r="H109" s="56">
        <v>1.0</v>
      </c>
      <c r="I109" s="14" t="s">
        <v>71</v>
      </c>
      <c r="J109" s="3"/>
      <c r="K109" s="17">
        <f t="shared" si="9"/>
        <v>2</v>
      </c>
      <c r="L109" s="18">
        <f t="shared" si="10"/>
        <v>1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AB109" s="4"/>
      <c r="AC109" s="2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</row>
    <row r="110" ht="15.75" customHeight="1">
      <c r="A110" s="106">
        <v>7.0</v>
      </c>
      <c r="B110" s="54">
        <v>45736.0</v>
      </c>
      <c r="C110" s="200" t="s">
        <v>21</v>
      </c>
      <c r="D110" s="13" t="s">
        <v>22</v>
      </c>
      <c r="E110" s="14" t="s">
        <v>179</v>
      </c>
      <c r="F110" s="56">
        <v>2.0</v>
      </c>
      <c r="G110" s="69" t="s">
        <v>173</v>
      </c>
      <c r="H110" s="56">
        <v>1.0</v>
      </c>
      <c r="I110" s="14" t="s">
        <v>23</v>
      </c>
      <c r="J110" s="3"/>
      <c r="K110" s="17">
        <f t="shared" si="9"/>
        <v>2</v>
      </c>
      <c r="L110" s="18">
        <f t="shared" si="10"/>
        <v>1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AB110" s="4"/>
      <c r="AC110" s="2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</row>
    <row r="111" ht="15.75" customHeight="1">
      <c r="A111" s="29"/>
      <c r="B111" s="54">
        <v>45736.0</v>
      </c>
      <c r="C111" s="200" t="s">
        <v>21</v>
      </c>
      <c r="D111" s="13" t="s">
        <v>22</v>
      </c>
      <c r="E111" s="14" t="s">
        <v>39</v>
      </c>
      <c r="F111" s="56">
        <v>0.0</v>
      </c>
      <c r="G111" s="69" t="s">
        <v>173</v>
      </c>
      <c r="H111" s="56">
        <v>2.0</v>
      </c>
      <c r="I111" s="14" t="s">
        <v>62</v>
      </c>
      <c r="J111" s="3"/>
      <c r="K111" s="17">
        <f t="shared" si="9"/>
        <v>0</v>
      </c>
      <c r="L111" s="18">
        <f t="shared" si="10"/>
        <v>3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AB111" s="4"/>
      <c r="AC111" s="2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</row>
    <row r="112" ht="15.75" customHeight="1">
      <c r="A112" s="29"/>
      <c r="B112" s="54">
        <v>45736.0</v>
      </c>
      <c r="C112" s="200" t="s">
        <v>21</v>
      </c>
      <c r="D112" s="13" t="s">
        <v>22</v>
      </c>
      <c r="E112" s="14" t="s">
        <v>43</v>
      </c>
      <c r="F112" s="56">
        <v>0.0</v>
      </c>
      <c r="G112" s="69" t="s">
        <v>173</v>
      </c>
      <c r="H112" s="56">
        <v>2.0</v>
      </c>
      <c r="I112" s="14" t="s">
        <v>94</v>
      </c>
      <c r="J112" s="3"/>
      <c r="K112" s="17">
        <f t="shared" si="9"/>
        <v>0</v>
      </c>
      <c r="L112" s="18">
        <f t="shared" si="10"/>
        <v>3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AB112" s="4"/>
      <c r="AC112" s="2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</row>
    <row r="113" ht="15.75" customHeight="1">
      <c r="A113" s="29"/>
      <c r="B113" s="54">
        <v>45736.0</v>
      </c>
      <c r="C113" s="200" t="s">
        <v>30</v>
      </c>
      <c r="D113" s="13" t="s">
        <v>22</v>
      </c>
      <c r="E113" s="14" t="s">
        <v>70</v>
      </c>
      <c r="F113" s="56">
        <v>2.0</v>
      </c>
      <c r="G113" s="69" t="s">
        <v>173</v>
      </c>
      <c r="H113" s="56">
        <v>1.0</v>
      </c>
      <c r="I113" s="14" t="s">
        <v>67</v>
      </c>
      <c r="J113" s="3"/>
      <c r="K113" s="17">
        <f t="shared" si="9"/>
        <v>2</v>
      </c>
      <c r="L113" s="18">
        <f t="shared" si="10"/>
        <v>1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AB113" s="4"/>
      <c r="AC113" s="2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</row>
    <row r="114" ht="15.75" customHeight="1">
      <c r="A114" s="29"/>
      <c r="B114" s="54">
        <v>45783.0</v>
      </c>
      <c r="C114" s="200" t="s">
        <v>36</v>
      </c>
      <c r="D114" s="13" t="s">
        <v>22</v>
      </c>
      <c r="E114" s="14" t="s">
        <v>177</v>
      </c>
      <c r="F114" s="56"/>
      <c r="G114" s="69" t="s">
        <v>173</v>
      </c>
      <c r="H114" s="56"/>
      <c r="I114" s="14" t="s">
        <v>116</v>
      </c>
      <c r="J114" s="3"/>
      <c r="K114" s="17" t="str">
        <f t="shared" si="9"/>
        <v/>
      </c>
      <c r="L114" s="18" t="str">
        <f t="shared" si="10"/>
        <v/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AB114" s="4"/>
      <c r="AC114" s="2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</row>
    <row r="115" ht="15.75" customHeight="1">
      <c r="A115" s="37"/>
      <c r="B115" s="54">
        <v>45736.0</v>
      </c>
      <c r="C115" s="200" t="s">
        <v>30</v>
      </c>
      <c r="D115" s="13" t="s">
        <v>22</v>
      </c>
      <c r="E115" s="14" t="s">
        <v>86</v>
      </c>
      <c r="F115" s="56">
        <v>2.0</v>
      </c>
      <c r="G115" s="69" t="s">
        <v>173</v>
      </c>
      <c r="H115" s="56">
        <v>0.0</v>
      </c>
      <c r="I115" s="14" t="s">
        <v>71</v>
      </c>
      <c r="J115" s="3"/>
      <c r="K115" s="17">
        <f t="shared" si="9"/>
        <v>3</v>
      </c>
      <c r="L115" s="18">
        <f t="shared" si="10"/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AB115" s="4"/>
      <c r="AC115" s="2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</row>
    <row r="116" ht="15.75" customHeight="1">
      <c r="A116" s="106">
        <v>8.0</v>
      </c>
      <c r="B116" s="54">
        <v>45755.0</v>
      </c>
      <c r="C116" s="13" t="s">
        <v>36</v>
      </c>
      <c r="D116" s="13" t="s">
        <v>22</v>
      </c>
      <c r="E116" s="14" t="s">
        <v>23</v>
      </c>
      <c r="F116" s="13">
        <v>1.0</v>
      </c>
      <c r="G116" s="69" t="s">
        <v>173</v>
      </c>
      <c r="H116" s="56">
        <v>2.0</v>
      </c>
      <c r="I116" s="14" t="s">
        <v>86</v>
      </c>
      <c r="J116" s="3"/>
      <c r="K116" s="17">
        <f t="shared" si="9"/>
        <v>1</v>
      </c>
      <c r="L116" s="18">
        <f t="shared" si="10"/>
        <v>2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AB116" s="4"/>
      <c r="AC116" s="2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</row>
    <row r="117" ht="15.75" customHeight="1">
      <c r="A117" s="29"/>
      <c r="B117" s="54">
        <v>45755.0</v>
      </c>
      <c r="C117" s="13" t="s">
        <v>36</v>
      </c>
      <c r="D117" s="13" t="s">
        <v>22</v>
      </c>
      <c r="E117" s="14" t="s">
        <v>62</v>
      </c>
      <c r="F117" s="13">
        <v>2.0</v>
      </c>
      <c r="G117" s="69" t="s">
        <v>173</v>
      </c>
      <c r="H117" s="56">
        <v>0.0</v>
      </c>
      <c r="I117" s="14" t="s">
        <v>179</v>
      </c>
      <c r="J117" s="3"/>
      <c r="K117" s="17">
        <f t="shared" si="9"/>
        <v>3</v>
      </c>
      <c r="L117" s="18">
        <f t="shared" si="10"/>
        <v>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AB117" s="4"/>
      <c r="AC117" s="2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</row>
    <row r="118" ht="15.75" customHeight="1">
      <c r="A118" s="29"/>
      <c r="B118" s="54">
        <v>45755.0</v>
      </c>
      <c r="C118" s="13" t="s">
        <v>36</v>
      </c>
      <c r="D118" s="13" t="s">
        <v>22</v>
      </c>
      <c r="E118" s="14" t="s">
        <v>94</v>
      </c>
      <c r="F118" s="13">
        <v>2.0</v>
      </c>
      <c r="G118" s="69" t="s">
        <v>173</v>
      </c>
      <c r="H118" s="56">
        <v>0.0</v>
      </c>
      <c r="I118" s="14" t="s">
        <v>39</v>
      </c>
      <c r="J118" s="3"/>
      <c r="K118" s="17">
        <f t="shared" si="9"/>
        <v>3</v>
      </c>
      <c r="L118" s="18">
        <f t="shared" si="10"/>
        <v>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AB118" s="4"/>
      <c r="AC118" s="2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</row>
    <row r="119" ht="15.75" customHeight="1">
      <c r="A119" s="29"/>
      <c r="B119" s="54">
        <v>45755.0</v>
      </c>
      <c r="C119" s="13" t="s">
        <v>41</v>
      </c>
      <c r="D119" s="13" t="s">
        <v>22</v>
      </c>
      <c r="E119" s="14" t="s">
        <v>67</v>
      </c>
      <c r="F119" s="13">
        <v>2.0</v>
      </c>
      <c r="G119" s="69" t="s">
        <v>173</v>
      </c>
      <c r="H119" s="56">
        <v>0.0</v>
      </c>
      <c r="I119" s="14" t="s">
        <v>43</v>
      </c>
      <c r="K119" s="17">
        <f t="shared" si="9"/>
        <v>3</v>
      </c>
      <c r="L119" s="18">
        <f t="shared" si="10"/>
        <v>0</v>
      </c>
      <c r="AB119" s="4"/>
      <c r="AC119" s="2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</row>
    <row r="120" ht="15.75" customHeight="1">
      <c r="A120" s="29"/>
      <c r="B120" s="54">
        <v>45755.0</v>
      </c>
      <c r="C120" s="13" t="s">
        <v>41</v>
      </c>
      <c r="D120" s="13" t="s">
        <v>22</v>
      </c>
      <c r="E120" s="14" t="s">
        <v>116</v>
      </c>
      <c r="F120" s="13">
        <v>0.0</v>
      </c>
      <c r="G120" s="69" t="s">
        <v>173</v>
      </c>
      <c r="H120" s="56">
        <v>2.0</v>
      </c>
      <c r="I120" s="14" t="s">
        <v>70</v>
      </c>
      <c r="K120" s="17">
        <f t="shared" si="9"/>
        <v>0</v>
      </c>
      <c r="L120" s="18">
        <f t="shared" si="10"/>
        <v>3</v>
      </c>
      <c r="AB120" s="4"/>
      <c r="AC120" s="2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</row>
    <row r="121" ht="15.75" customHeight="1">
      <c r="A121" s="37"/>
      <c r="B121" s="54">
        <v>45783.0</v>
      </c>
      <c r="C121" s="200" t="s">
        <v>41</v>
      </c>
      <c r="D121" s="13" t="s">
        <v>22</v>
      </c>
      <c r="E121" s="14" t="s">
        <v>71</v>
      </c>
      <c r="F121" s="56"/>
      <c r="G121" s="69" t="s">
        <v>173</v>
      </c>
      <c r="H121" s="56"/>
      <c r="I121" s="14" t="s">
        <v>177</v>
      </c>
      <c r="K121" s="17" t="str">
        <f t="shared" si="9"/>
        <v/>
      </c>
      <c r="L121" s="18" t="str">
        <f t="shared" si="10"/>
        <v/>
      </c>
      <c r="AB121" s="4"/>
      <c r="AC121" s="2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</row>
    <row r="122" ht="15.75" customHeight="1">
      <c r="A122" s="106">
        <v>9.0</v>
      </c>
      <c r="B122" s="54">
        <v>45755.0</v>
      </c>
      <c r="C122" s="13" t="s">
        <v>41</v>
      </c>
      <c r="D122" s="13" t="s">
        <v>22</v>
      </c>
      <c r="E122" s="14" t="s">
        <v>23</v>
      </c>
      <c r="F122" s="56">
        <v>0.0</v>
      </c>
      <c r="G122" s="69" t="s">
        <v>173</v>
      </c>
      <c r="H122" s="56">
        <v>2.0</v>
      </c>
      <c r="I122" s="14" t="s">
        <v>62</v>
      </c>
      <c r="K122" s="17">
        <f t="shared" si="9"/>
        <v>0</v>
      </c>
      <c r="L122" s="18">
        <f t="shared" si="10"/>
        <v>3</v>
      </c>
      <c r="AB122" s="4"/>
      <c r="AC122" s="2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</row>
    <row r="123" ht="15.75" customHeight="1">
      <c r="A123" s="29"/>
      <c r="B123" s="54">
        <v>45792.0</v>
      </c>
      <c r="C123" s="13" t="s">
        <v>21</v>
      </c>
      <c r="D123" s="13" t="s">
        <v>22</v>
      </c>
      <c r="E123" s="14" t="s">
        <v>179</v>
      </c>
      <c r="F123" s="56">
        <v>0.0</v>
      </c>
      <c r="G123" s="69" t="s">
        <v>173</v>
      </c>
      <c r="H123" s="56">
        <v>2.0</v>
      </c>
      <c r="I123" s="14" t="s">
        <v>94</v>
      </c>
      <c r="K123" s="17">
        <f t="shared" si="9"/>
        <v>0</v>
      </c>
      <c r="L123" s="18">
        <f t="shared" si="10"/>
        <v>3</v>
      </c>
      <c r="AB123" s="4"/>
      <c r="AC123" s="2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</row>
    <row r="124" ht="15.75" customHeight="1">
      <c r="A124" s="29"/>
      <c r="B124" s="54">
        <v>45792.0</v>
      </c>
      <c r="C124" s="200" t="s">
        <v>30</v>
      </c>
      <c r="D124" s="13" t="s">
        <v>22</v>
      </c>
      <c r="E124" s="14" t="s">
        <v>39</v>
      </c>
      <c r="F124" s="56">
        <v>0.0</v>
      </c>
      <c r="G124" s="69" t="s">
        <v>173</v>
      </c>
      <c r="H124" s="56">
        <v>2.0</v>
      </c>
      <c r="I124" s="14" t="s">
        <v>67</v>
      </c>
      <c r="K124" s="17">
        <f t="shared" si="9"/>
        <v>0</v>
      </c>
      <c r="L124" s="18">
        <f t="shared" si="10"/>
        <v>3</v>
      </c>
      <c r="AB124" s="4"/>
      <c r="AC124" s="2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</row>
    <row r="125" ht="15.75" customHeight="1">
      <c r="A125" s="29"/>
      <c r="B125" s="54">
        <v>45792.0</v>
      </c>
      <c r="C125" s="200" t="s">
        <v>30</v>
      </c>
      <c r="D125" s="13" t="s">
        <v>22</v>
      </c>
      <c r="E125" s="14" t="s">
        <v>43</v>
      </c>
      <c r="F125" s="56">
        <v>0.0</v>
      </c>
      <c r="G125" s="69" t="s">
        <v>173</v>
      </c>
      <c r="H125" s="56">
        <v>2.0</v>
      </c>
      <c r="I125" s="14" t="s">
        <v>116</v>
      </c>
      <c r="K125" s="17">
        <f t="shared" si="9"/>
        <v>0</v>
      </c>
      <c r="L125" s="18">
        <f t="shared" si="10"/>
        <v>3</v>
      </c>
      <c r="AB125" s="4"/>
      <c r="AC125" s="2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</row>
    <row r="126" ht="15.75" customHeight="1">
      <c r="A126" s="29"/>
      <c r="B126" s="12">
        <v>45792.0</v>
      </c>
      <c r="C126" s="13" t="s">
        <v>36</v>
      </c>
      <c r="D126" s="13" t="s">
        <v>22</v>
      </c>
      <c r="E126" s="14" t="s">
        <v>70</v>
      </c>
      <c r="F126" s="56">
        <v>2.0</v>
      </c>
      <c r="G126" s="69" t="s">
        <v>173</v>
      </c>
      <c r="H126" s="56">
        <v>0.0</v>
      </c>
      <c r="I126" s="14" t="s">
        <v>71</v>
      </c>
      <c r="K126" s="17">
        <f t="shared" si="9"/>
        <v>3</v>
      </c>
      <c r="L126" s="18">
        <f t="shared" si="10"/>
        <v>0</v>
      </c>
      <c r="AB126" s="4"/>
      <c r="AC126" s="2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</row>
    <row r="127" ht="15.75" customHeight="1">
      <c r="A127" s="37"/>
      <c r="B127" s="54">
        <v>45792.0</v>
      </c>
      <c r="C127" s="13" t="s">
        <v>36</v>
      </c>
      <c r="D127" s="13" t="s">
        <v>22</v>
      </c>
      <c r="E127" s="14" t="s">
        <v>86</v>
      </c>
      <c r="F127" s="69"/>
      <c r="G127" s="69" t="s">
        <v>173</v>
      </c>
      <c r="H127" s="69"/>
      <c r="I127" s="14" t="s">
        <v>177</v>
      </c>
      <c r="K127" s="17" t="str">
        <f t="shared" si="9"/>
        <v/>
      </c>
      <c r="L127" s="18" t="str">
        <f t="shared" si="10"/>
        <v/>
      </c>
      <c r="AB127" s="4"/>
      <c r="AC127" s="2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</row>
    <row r="128" ht="15.75" customHeight="1">
      <c r="A128" s="106">
        <v>10.0</v>
      </c>
      <c r="B128" s="54">
        <v>45789.0</v>
      </c>
      <c r="C128" s="200" t="s">
        <v>55</v>
      </c>
      <c r="D128" s="13" t="s">
        <v>22</v>
      </c>
      <c r="E128" s="14" t="s">
        <v>86</v>
      </c>
      <c r="F128" s="56">
        <v>2.0</v>
      </c>
      <c r="G128" s="69" t="s">
        <v>173</v>
      </c>
      <c r="H128" s="56">
        <v>0.0</v>
      </c>
      <c r="I128" s="14" t="s">
        <v>62</v>
      </c>
      <c r="K128" s="17">
        <f t="shared" si="9"/>
        <v>3</v>
      </c>
      <c r="L128" s="18">
        <f t="shared" si="10"/>
        <v>0</v>
      </c>
      <c r="AB128" s="4"/>
      <c r="AC128" s="2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</row>
    <row r="129" ht="15.75" customHeight="1">
      <c r="A129" s="29"/>
      <c r="B129" s="54">
        <v>45789.0</v>
      </c>
      <c r="C129" s="200" t="s">
        <v>55</v>
      </c>
      <c r="D129" s="13" t="s">
        <v>22</v>
      </c>
      <c r="E129" s="14" t="s">
        <v>94</v>
      </c>
      <c r="F129" s="56">
        <v>2.0</v>
      </c>
      <c r="G129" s="69" t="s">
        <v>173</v>
      </c>
      <c r="H129" s="56">
        <v>0.0</v>
      </c>
      <c r="I129" s="14" t="s">
        <v>23</v>
      </c>
      <c r="K129" s="17">
        <f t="shared" si="9"/>
        <v>3</v>
      </c>
      <c r="L129" s="18">
        <f t="shared" si="10"/>
        <v>0</v>
      </c>
      <c r="AB129" s="4"/>
      <c r="AC129" s="2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</row>
    <row r="130" ht="15.75" customHeight="1">
      <c r="A130" s="29"/>
      <c r="B130" s="54">
        <v>45792.0</v>
      </c>
      <c r="C130" s="13" t="s">
        <v>36</v>
      </c>
      <c r="D130" s="13" t="s">
        <v>22</v>
      </c>
      <c r="E130" s="14" t="s">
        <v>67</v>
      </c>
      <c r="F130" s="56">
        <v>2.0</v>
      </c>
      <c r="G130" s="69" t="s">
        <v>173</v>
      </c>
      <c r="H130" s="56">
        <v>0.0</v>
      </c>
      <c r="I130" s="14" t="s">
        <v>179</v>
      </c>
      <c r="K130" s="17">
        <f t="shared" si="9"/>
        <v>3</v>
      </c>
      <c r="L130" s="18">
        <f t="shared" si="10"/>
        <v>0</v>
      </c>
      <c r="AB130" s="4"/>
      <c r="AC130" s="2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</row>
    <row r="131" ht="15.75" customHeight="1">
      <c r="A131" s="29"/>
      <c r="B131" s="54">
        <v>45789.0</v>
      </c>
      <c r="C131" s="13" t="s">
        <v>56</v>
      </c>
      <c r="D131" s="13" t="s">
        <v>22</v>
      </c>
      <c r="E131" s="128" t="s">
        <v>116</v>
      </c>
      <c r="F131" s="56">
        <v>0.0</v>
      </c>
      <c r="G131" s="69" t="s">
        <v>173</v>
      </c>
      <c r="H131" s="56">
        <v>2.0</v>
      </c>
      <c r="I131" s="14" t="s">
        <v>39</v>
      </c>
      <c r="K131" s="17">
        <f t="shared" si="9"/>
        <v>0</v>
      </c>
      <c r="L131" s="18">
        <f t="shared" si="10"/>
        <v>3</v>
      </c>
      <c r="AB131" s="4"/>
      <c r="AC131" s="2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</row>
    <row r="132" ht="15.75" customHeight="1">
      <c r="A132" s="29"/>
      <c r="B132" s="54">
        <v>45789.0</v>
      </c>
      <c r="C132" s="13" t="s">
        <v>56</v>
      </c>
      <c r="D132" s="13" t="s">
        <v>22</v>
      </c>
      <c r="E132" s="14" t="s">
        <v>71</v>
      </c>
      <c r="F132" s="56">
        <v>2.0</v>
      </c>
      <c r="G132" s="69" t="s">
        <v>173</v>
      </c>
      <c r="H132" s="56">
        <v>0.0</v>
      </c>
      <c r="I132" s="128" t="s">
        <v>43</v>
      </c>
      <c r="K132" s="17">
        <f t="shared" si="9"/>
        <v>3</v>
      </c>
      <c r="L132" s="18">
        <f t="shared" si="10"/>
        <v>0</v>
      </c>
      <c r="AB132" s="4"/>
      <c r="AC132" s="2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ht="15.75" customHeight="1">
      <c r="A133" s="37"/>
      <c r="B133" s="54">
        <v>45789.0</v>
      </c>
      <c r="C133" s="13" t="s">
        <v>56</v>
      </c>
      <c r="D133" s="13" t="s">
        <v>22</v>
      </c>
      <c r="E133" s="14" t="s">
        <v>177</v>
      </c>
      <c r="F133" s="56"/>
      <c r="G133" s="69" t="s">
        <v>173</v>
      </c>
      <c r="H133" s="56"/>
      <c r="I133" s="14" t="s">
        <v>70</v>
      </c>
      <c r="K133" s="17" t="str">
        <f t="shared" si="9"/>
        <v/>
      </c>
      <c r="L133" s="18" t="str">
        <f t="shared" si="10"/>
        <v/>
      </c>
      <c r="AB133" s="4"/>
      <c r="AC133" s="2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</row>
    <row r="134" ht="15.75" customHeight="1">
      <c r="A134" s="106">
        <v>11.0</v>
      </c>
      <c r="B134" s="54">
        <v>45792.0</v>
      </c>
      <c r="C134" s="13" t="s">
        <v>41</v>
      </c>
      <c r="D134" s="13" t="s">
        <v>22</v>
      </c>
      <c r="E134" s="14" t="s">
        <v>62</v>
      </c>
      <c r="F134" s="56">
        <v>0.0</v>
      </c>
      <c r="G134" s="69" t="s">
        <v>173</v>
      </c>
      <c r="H134" s="56">
        <v>2.0</v>
      </c>
      <c r="I134" s="14" t="s">
        <v>94</v>
      </c>
      <c r="K134" s="17">
        <f t="shared" si="9"/>
        <v>0</v>
      </c>
      <c r="L134" s="18">
        <f t="shared" si="10"/>
        <v>3</v>
      </c>
      <c r="AB134" s="4"/>
      <c r="AC134" s="2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</row>
    <row r="135" ht="15.75" customHeight="1">
      <c r="A135" s="29"/>
      <c r="B135" s="54">
        <v>45792.0</v>
      </c>
      <c r="C135" s="13" t="s">
        <v>41</v>
      </c>
      <c r="D135" s="13" t="s">
        <v>22</v>
      </c>
      <c r="E135" s="14" t="s">
        <v>23</v>
      </c>
      <c r="F135" s="56">
        <v>2.0</v>
      </c>
      <c r="G135" s="69" t="s">
        <v>173</v>
      </c>
      <c r="H135" s="56">
        <v>1.0</v>
      </c>
      <c r="I135" s="14" t="s">
        <v>67</v>
      </c>
      <c r="K135" s="17">
        <f t="shared" si="9"/>
        <v>2</v>
      </c>
      <c r="L135" s="18">
        <f t="shared" si="10"/>
        <v>1</v>
      </c>
      <c r="AB135" s="4"/>
      <c r="AC135" s="2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</row>
    <row r="136" ht="15.75" customHeight="1">
      <c r="A136" s="29"/>
      <c r="B136" s="54">
        <v>45798.0</v>
      </c>
      <c r="C136" s="13" t="s">
        <v>75</v>
      </c>
      <c r="D136" s="13" t="s">
        <v>22</v>
      </c>
      <c r="E136" s="14" t="s">
        <v>179</v>
      </c>
      <c r="F136" s="56">
        <v>0.0</v>
      </c>
      <c r="G136" s="69" t="s">
        <v>173</v>
      </c>
      <c r="H136" s="56">
        <v>2.0</v>
      </c>
      <c r="I136" s="14" t="s">
        <v>116</v>
      </c>
      <c r="K136" s="17">
        <f t="shared" si="9"/>
        <v>0</v>
      </c>
      <c r="L136" s="18">
        <f t="shared" si="10"/>
        <v>3</v>
      </c>
      <c r="AB136" s="4"/>
      <c r="AC136" s="2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</row>
    <row r="137" ht="15.75" customHeight="1">
      <c r="A137" s="29"/>
      <c r="B137" s="54">
        <v>45798.0</v>
      </c>
      <c r="C137" s="13" t="s">
        <v>75</v>
      </c>
      <c r="D137" s="13" t="s">
        <v>22</v>
      </c>
      <c r="E137" s="14" t="s">
        <v>39</v>
      </c>
      <c r="F137" s="56">
        <v>0.0</v>
      </c>
      <c r="G137" s="69" t="s">
        <v>173</v>
      </c>
      <c r="H137" s="56">
        <v>2.0</v>
      </c>
      <c r="I137" s="14" t="s">
        <v>71</v>
      </c>
      <c r="K137" s="17">
        <f t="shared" si="9"/>
        <v>0</v>
      </c>
      <c r="L137" s="18">
        <f t="shared" si="10"/>
        <v>3</v>
      </c>
      <c r="AB137" s="4"/>
      <c r="AC137" s="2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</row>
    <row r="138" ht="15.75" customHeight="1">
      <c r="A138" s="29"/>
      <c r="B138" s="54">
        <v>45798.0</v>
      </c>
      <c r="C138" s="13" t="s">
        <v>75</v>
      </c>
      <c r="D138" s="13" t="s">
        <v>22</v>
      </c>
      <c r="E138" s="14" t="s">
        <v>43</v>
      </c>
      <c r="F138" s="56"/>
      <c r="G138" s="69" t="s">
        <v>173</v>
      </c>
      <c r="H138" s="56"/>
      <c r="I138" s="14" t="s">
        <v>177</v>
      </c>
      <c r="K138" s="17" t="str">
        <f t="shared" si="9"/>
        <v/>
      </c>
      <c r="L138" s="18" t="str">
        <f t="shared" si="10"/>
        <v/>
      </c>
      <c r="R138" s="3"/>
      <c r="S138" s="3"/>
      <c r="T138" s="3"/>
      <c r="U138" s="3"/>
      <c r="V138" s="3"/>
      <c r="AB138" s="4"/>
      <c r="AC138" s="2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</row>
    <row r="139" ht="15.75" customHeight="1">
      <c r="A139" s="37"/>
      <c r="B139" s="54">
        <v>45798.0</v>
      </c>
      <c r="C139" s="13" t="s">
        <v>76</v>
      </c>
      <c r="D139" s="13" t="s">
        <v>22</v>
      </c>
      <c r="E139" s="14" t="s">
        <v>70</v>
      </c>
      <c r="F139" s="56">
        <v>2.0</v>
      </c>
      <c r="G139" s="69" t="s">
        <v>173</v>
      </c>
      <c r="H139" s="56">
        <v>0.0</v>
      </c>
      <c r="I139" s="14" t="s">
        <v>86</v>
      </c>
      <c r="K139" s="17">
        <f t="shared" si="9"/>
        <v>3</v>
      </c>
      <c r="L139" s="18">
        <f t="shared" si="10"/>
        <v>0</v>
      </c>
      <c r="R139" s="3"/>
      <c r="S139" s="3"/>
      <c r="T139" s="3"/>
      <c r="U139" s="3"/>
      <c r="V139" s="3"/>
      <c r="AB139" s="4"/>
      <c r="AC139" s="2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</row>
    <row r="140" ht="15.75" customHeight="1">
      <c r="A140" s="104"/>
      <c r="B140" s="1"/>
      <c r="C140" s="1"/>
      <c r="D140" s="1"/>
      <c r="E140" s="116"/>
      <c r="F140" s="1"/>
      <c r="G140" s="1"/>
      <c r="I140" s="2"/>
      <c r="AB140" s="4"/>
      <c r="AC140" s="2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</row>
    <row r="141" ht="15.75" customHeight="1">
      <c r="A141" s="104"/>
      <c r="B141" s="1"/>
      <c r="C141" s="1"/>
      <c r="D141" s="1"/>
      <c r="E141" s="116"/>
      <c r="F141" s="1"/>
      <c r="G141" s="1"/>
      <c r="I141" s="2"/>
      <c r="AB141" s="4"/>
      <c r="AC141" s="2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</row>
    <row r="142" ht="15.75" customHeight="1">
      <c r="A142" s="104"/>
      <c r="B142" s="1"/>
      <c r="C142" s="1"/>
      <c r="D142" s="1"/>
      <c r="E142" s="116"/>
      <c r="F142" s="1"/>
      <c r="G142" s="1"/>
      <c r="I142" s="2"/>
      <c r="AB142" s="4"/>
      <c r="AC142" s="2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</row>
    <row r="143" ht="15.75" customHeight="1">
      <c r="A143" s="104" t="s">
        <v>181</v>
      </c>
      <c r="I143" s="2"/>
      <c r="AB143" s="4"/>
      <c r="AC143" s="2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</row>
    <row r="144" ht="15.75" customHeight="1">
      <c r="A144" s="105" t="s">
        <v>1</v>
      </c>
      <c r="B144" s="5" t="s">
        <v>2</v>
      </c>
      <c r="C144" s="5" t="s">
        <v>3</v>
      </c>
      <c r="D144" s="5" t="s">
        <v>4</v>
      </c>
      <c r="E144" s="5" t="s">
        <v>5</v>
      </c>
      <c r="F144" s="6" t="s">
        <v>6</v>
      </c>
      <c r="G144" s="7"/>
      <c r="H144" s="8"/>
      <c r="I144" s="5" t="s">
        <v>7</v>
      </c>
      <c r="J144" s="9" t="s">
        <v>8</v>
      </c>
      <c r="K144" s="9" t="s">
        <v>9</v>
      </c>
      <c r="L144" s="9" t="s">
        <v>10</v>
      </c>
      <c r="M144" s="9"/>
      <c r="N144" s="9" t="s">
        <v>11</v>
      </c>
      <c r="O144" s="9" t="s">
        <v>12</v>
      </c>
      <c r="P144" s="9" t="s">
        <v>13</v>
      </c>
      <c r="Q144" s="9" t="s">
        <v>14</v>
      </c>
      <c r="R144" s="9"/>
      <c r="S144" s="9" t="s">
        <v>16</v>
      </c>
      <c r="T144" s="9" t="s">
        <v>161</v>
      </c>
      <c r="U144" s="9" t="s">
        <v>162</v>
      </c>
      <c r="V144" s="9" t="s">
        <v>163</v>
      </c>
      <c r="W144" s="4"/>
      <c r="X144" s="10" t="s">
        <v>47</v>
      </c>
      <c r="Y144" s="205"/>
      <c r="Z144" s="4"/>
      <c r="AA144" s="4"/>
      <c r="AB144" s="5" t="s">
        <v>11</v>
      </c>
      <c r="AC144" s="5" t="s">
        <v>12</v>
      </c>
      <c r="AD144" s="5" t="s">
        <v>13</v>
      </c>
      <c r="AE144" s="5" t="s">
        <v>14</v>
      </c>
      <c r="AF144" s="5" t="s">
        <v>15</v>
      </c>
      <c r="AG144" s="5" t="s">
        <v>16</v>
      </c>
      <c r="AH144" s="5" t="s">
        <v>161</v>
      </c>
      <c r="AI144" s="5" t="s">
        <v>162</v>
      </c>
      <c r="AJ144" s="5" t="s">
        <v>163</v>
      </c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ht="15.75" customHeight="1">
      <c r="A145" s="106">
        <v>1.0</v>
      </c>
      <c r="B145" s="54">
        <v>45586.0</v>
      </c>
      <c r="C145" s="13" t="s">
        <v>41</v>
      </c>
      <c r="D145" s="13" t="s">
        <v>22</v>
      </c>
      <c r="E145" s="14" t="s">
        <v>96</v>
      </c>
      <c r="F145" s="56"/>
      <c r="G145" s="69" t="s">
        <v>173</v>
      </c>
      <c r="H145" s="56"/>
      <c r="I145" s="14" t="s">
        <v>155</v>
      </c>
      <c r="J145" s="3"/>
      <c r="K145" s="17" t="str">
        <f t="shared" ref="K145:K210" si="17">IFS(F145=H145+2,3,F145=H145-2,0,F145=H145+1,2,F145=H145-1,1,F145="","")</f>
        <v/>
      </c>
      <c r="L145" s="18" t="str">
        <f t="shared" ref="L145:L210" si="18">IFS(H145=F145+2,3,H145=F145-2,0,H145=F145+1,2,H145=F145-1,1,H145="","")</f>
        <v/>
      </c>
      <c r="M145" s="3"/>
      <c r="N145" s="18">
        <v>1.0</v>
      </c>
      <c r="O145" s="173" t="s">
        <v>96</v>
      </c>
      <c r="P145" s="18">
        <f t="shared" ref="P145:P156" si="19">SUMIF(E$145:E$210,O145,K$145:K$210)+SUMIF(I$145:I$210,O145,L$145:L$210)</f>
        <v>0</v>
      </c>
      <c r="Q145" s="20">
        <f t="shared" ref="Q145:Q156" si="20">COUNTIFS(E$145:E$210,O145,K$145:K$210,2)+COUNTIFS(I$145:I$210,O145,L$145:L$210,2)+COUNTIFS(E$145:E$210,O145,K$145:K$210,3)+COUNTIFS(I$145:I$210,O145,L$145:L$210,3)</f>
        <v>0</v>
      </c>
      <c r="R145" s="22"/>
      <c r="S145" s="22">
        <f t="shared" ref="S145:S156" si="21">COUNTIFS(E$145:E$210,O145,K$145:K$210,1)+COUNTIFS(I$145:I$210,O145,L$145:L$210,1)+COUNTIFS(E$145:E$210,O145,K$145:K$210,0)+COUNTIFS(I$145:I$210,O145,L$145:L$210,0)</f>
        <v>0</v>
      </c>
      <c r="T145" s="18">
        <f t="shared" ref="T145:T156" si="22">SUMIF(E$145:E$210,O145,F$145:F$210)+SUMIF(I$145:I$210,O145,H$145:H$210)</f>
        <v>0</v>
      </c>
      <c r="U145" s="22">
        <f t="shared" ref="U145:U156" si="23">SUMIF(E$145:E$210,O145,H$145:H$210)+SUMIF(I$145:I$210,O145,F$145:F$210)</f>
        <v>0</v>
      </c>
      <c r="V145" s="18">
        <f t="shared" ref="V145:V156" si="24">T145-U145</f>
        <v>0</v>
      </c>
      <c r="X145" s="23" t="s">
        <v>26</v>
      </c>
      <c r="Y145" s="23" t="s">
        <v>13</v>
      </c>
      <c r="AB145" s="58" t="s">
        <v>29</v>
      </c>
      <c r="AC145" s="108" t="str">
        <f t="array" ref="AC145:AK156">SORT(O145:W156,2,FALSE,9,FALSE,8,FALSE())</f>
        <v>Eng. Mecânica</v>
      </c>
      <c r="AD145" s="26">
        <v>30.0</v>
      </c>
      <c r="AE145" s="26">
        <v>10.0</v>
      </c>
      <c r="AF145" s="27"/>
      <c r="AG145" s="27">
        <v>0.0</v>
      </c>
      <c r="AH145" s="26">
        <v>20.0</v>
      </c>
      <c r="AI145" s="27">
        <v>0.0</v>
      </c>
      <c r="AJ145" s="26">
        <v>20.0</v>
      </c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</row>
    <row r="146" ht="15.75" customHeight="1">
      <c r="A146" s="29"/>
      <c r="B146" s="54">
        <v>45600.0</v>
      </c>
      <c r="C146" s="13" t="s">
        <v>21</v>
      </c>
      <c r="D146" s="13" t="s">
        <v>22</v>
      </c>
      <c r="E146" s="14" t="s">
        <v>66</v>
      </c>
      <c r="F146" s="56">
        <v>0.0</v>
      </c>
      <c r="G146" s="69" t="s">
        <v>173</v>
      </c>
      <c r="H146" s="56">
        <v>2.0</v>
      </c>
      <c r="I146" s="14" t="s">
        <v>34</v>
      </c>
      <c r="J146" s="3"/>
      <c r="K146" s="17">
        <f t="shared" si="17"/>
        <v>0</v>
      </c>
      <c r="L146" s="18">
        <f t="shared" si="18"/>
        <v>3</v>
      </c>
      <c r="M146" s="3"/>
      <c r="N146" s="18">
        <v>2.0</v>
      </c>
      <c r="O146" s="173" t="s">
        <v>141</v>
      </c>
      <c r="P146" s="18">
        <f t="shared" si="19"/>
        <v>7</v>
      </c>
      <c r="Q146" s="20">
        <f t="shared" si="20"/>
        <v>2</v>
      </c>
      <c r="R146" s="22"/>
      <c r="S146" s="22">
        <f t="shared" si="21"/>
        <v>6</v>
      </c>
      <c r="T146" s="18">
        <f t="shared" si="22"/>
        <v>5</v>
      </c>
      <c r="U146" s="22">
        <f t="shared" si="23"/>
        <v>12</v>
      </c>
      <c r="V146" s="18">
        <f t="shared" si="24"/>
        <v>-7</v>
      </c>
      <c r="X146" s="207" t="s">
        <v>66</v>
      </c>
      <c r="Y146" s="208">
        <v>3.0</v>
      </c>
      <c r="AB146" s="58">
        <v>2.0</v>
      </c>
      <c r="AC146" s="108" t="s">
        <v>155</v>
      </c>
      <c r="AD146" s="26">
        <v>20.0</v>
      </c>
      <c r="AE146" s="26">
        <v>7.0</v>
      </c>
      <c r="AF146" s="27"/>
      <c r="AG146" s="27">
        <v>3.0</v>
      </c>
      <c r="AH146" s="26">
        <v>14.0</v>
      </c>
      <c r="AI146" s="27">
        <v>7.0</v>
      </c>
      <c r="AJ146" s="26">
        <v>7.0</v>
      </c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</row>
    <row r="147" ht="15.75" customHeight="1">
      <c r="A147" s="29"/>
      <c r="B147" s="54">
        <v>45600.0</v>
      </c>
      <c r="C147" s="13" t="s">
        <v>21</v>
      </c>
      <c r="D147" s="13" t="s">
        <v>22</v>
      </c>
      <c r="E147" s="14" t="s">
        <v>147</v>
      </c>
      <c r="F147" s="56">
        <v>1.0</v>
      </c>
      <c r="G147" s="69" t="s">
        <v>173</v>
      </c>
      <c r="H147" s="56">
        <v>2.0</v>
      </c>
      <c r="I147" s="14" t="s">
        <v>68</v>
      </c>
      <c r="J147" s="3"/>
      <c r="K147" s="17">
        <f t="shared" si="17"/>
        <v>1</v>
      </c>
      <c r="L147" s="18">
        <f t="shared" si="18"/>
        <v>2</v>
      </c>
      <c r="M147" s="3"/>
      <c r="N147" s="18">
        <v>3.0</v>
      </c>
      <c r="O147" s="173" t="s">
        <v>155</v>
      </c>
      <c r="P147" s="18">
        <f t="shared" si="19"/>
        <v>20</v>
      </c>
      <c r="Q147" s="20">
        <f t="shared" si="20"/>
        <v>7</v>
      </c>
      <c r="R147" s="22"/>
      <c r="S147" s="22">
        <f t="shared" si="21"/>
        <v>3</v>
      </c>
      <c r="T147" s="18">
        <f t="shared" si="22"/>
        <v>14</v>
      </c>
      <c r="U147" s="22">
        <f t="shared" si="23"/>
        <v>7</v>
      </c>
      <c r="V147" s="18">
        <f t="shared" si="24"/>
        <v>7</v>
      </c>
      <c r="X147" s="209" t="s">
        <v>155</v>
      </c>
      <c r="Y147" s="210">
        <v>0.0</v>
      </c>
      <c r="AB147" s="24">
        <v>3.0</v>
      </c>
      <c r="AC147" s="108" t="s">
        <v>66</v>
      </c>
      <c r="AD147" s="26">
        <v>20.0</v>
      </c>
      <c r="AE147" s="26">
        <v>7.0</v>
      </c>
      <c r="AF147" s="27"/>
      <c r="AG147" s="27">
        <v>3.0</v>
      </c>
      <c r="AH147" s="26">
        <v>15.0</v>
      </c>
      <c r="AI147" s="27">
        <v>8.0</v>
      </c>
      <c r="AJ147" s="26">
        <v>7.0</v>
      </c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</row>
    <row r="148" ht="15.75" customHeight="1">
      <c r="A148" s="29"/>
      <c r="B148" s="54">
        <v>45600.0</v>
      </c>
      <c r="C148" s="13" t="s">
        <v>30</v>
      </c>
      <c r="D148" s="13" t="s">
        <v>22</v>
      </c>
      <c r="E148" s="14" t="s">
        <v>32</v>
      </c>
      <c r="F148" s="56">
        <v>2.0</v>
      </c>
      <c r="G148" s="69" t="s">
        <v>173</v>
      </c>
      <c r="H148" s="56">
        <v>0.0</v>
      </c>
      <c r="I148" s="14" t="s">
        <v>182</v>
      </c>
      <c r="J148" s="3"/>
      <c r="K148" s="17">
        <f t="shared" si="17"/>
        <v>3</v>
      </c>
      <c r="L148" s="18">
        <f t="shared" si="18"/>
        <v>0</v>
      </c>
      <c r="M148" s="3"/>
      <c r="N148" s="18">
        <v>4.0</v>
      </c>
      <c r="O148" s="173" t="s">
        <v>33</v>
      </c>
      <c r="P148" s="18">
        <f t="shared" si="19"/>
        <v>16</v>
      </c>
      <c r="Q148" s="20">
        <f t="shared" si="20"/>
        <v>6</v>
      </c>
      <c r="R148" s="22"/>
      <c r="S148" s="22">
        <f t="shared" si="21"/>
        <v>3</v>
      </c>
      <c r="T148" s="18">
        <f t="shared" si="22"/>
        <v>12</v>
      </c>
      <c r="U148" s="22">
        <f t="shared" si="23"/>
        <v>8</v>
      </c>
      <c r="V148" s="18">
        <f t="shared" si="24"/>
        <v>4</v>
      </c>
      <c r="AB148" s="24">
        <v>4.0</v>
      </c>
      <c r="AC148" s="108" t="s">
        <v>32</v>
      </c>
      <c r="AD148" s="26">
        <v>17.0</v>
      </c>
      <c r="AE148" s="26">
        <v>6.0</v>
      </c>
      <c r="AF148" s="27"/>
      <c r="AG148" s="27">
        <v>4.0</v>
      </c>
      <c r="AH148" s="26">
        <v>12.0</v>
      </c>
      <c r="AI148" s="27">
        <v>9.0</v>
      </c>
      <c r="AJ148" s="26">
        <v>3.0</v>
      </c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</row>
    <row r="149" ht="15.75" customHeight="1">
      <c r="A149" s="29"/>
      <c r="B149" s="54">
        <v>45600.0</v>
      </c>
      <c r="C149" s="13" t="s">
        <v>30</v>
      </c>
      <c r="D149" s="13" t="s">
        <v>22</v>
      </c>
      <c r="E149" s="14" t="s">
        <v>33</v>
      </c>
      <c r="F149" s="56">
        <v>2.0</v>
      </c>
      <c r="G149" s="69" t="s">
        <v>173</v>
      </c>
      <c r="H149" s="56">
        <v>1.0</v>
      </c>
      <c r="I149" s="14" t="s">
        <v>183</v>
      </c>
      <c r="J149" s="3"/>
      <c r="K149" s="17">
        <f t="shared" si="17"/>
        <v>2</v>
      </c>
      <c r="L149" s="18">
        <f t="shared" si="18"/>
        <v>1</v>
      </c>
      <c r="M149" s="3"/>
      <c r="N149" s="18">
        <v>5.0</v>
      </c>
      <c r="O149" s="173" t="s">
        <v>34</v>
      </c>
      <c r="P149" s="18">
        <f t="shared" si="19"/>
        <v>30</v>
      </c>
      <c r="Q149" s="20">
        <f t="shared" si="20"/>
        <v>10</v>
      </c>
      <c r="R149" s="22"/>
      <c r="S149" s="22">
        <f t="shared" si="21"/>
        <v>0</v>
      </c>
      <c r="T149" s="18">
        <f t="shared" si="22"/>
        <v>20</v>
      </c>
      <c r="U149" s="22">
        <f t="shared" si="23"/>
        <v>0</v>
      </c>
      <c r="V149" s="18">
        <f t="shared" si="24"/>
        <v>20</v>
      </c>
      <c r="AB149" s="24">
        <v>5.0</v>
      </c>
      <c r="AC149" s="108" t="s">
        <v>33</v>
      </c>
      <c r="AD149" s="26">
        <v>16.0</v>
      </c>
      <c r="AE149" s="26">
        <v>6.0</v>
      </c>
      <c r="AF149" s="27"/>
      <c r="AG149" s="27">
        <v>3.0</v>
      </c>
      <c r="AH149" s="26">
        <v>12.0</v>
      </c>
      <c r="AI149" s="27">
        <v>8.0</v>
      </c>
      <c r="AJ149" s="26">
        <v>4.0</v>
      </c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</row>
    <row r="150" ht="15.75" customHeight="1">
      <c r="A150" s="37"/>
      <c r="B150" s="54">
        <v>45600.0</v>
      </c>
      <c r="C150" s="13" t="s">
        <v>36</v>
      </c>
      <c r="D150" s="13" t="s">
        <v>22</v>
      </c>
      <c r="E150" s="14" t="s">
        <v>65</v>
      </c>
      <c r="F150" s="56">
        <v>0.0</v>
      </c>
      <c r="G150" s="69" t="s">
        <v>173</v>
      </c>
      <c r="H150" s="56">
        <v>2.0</v>
      </c>
      <c r="I150" s="14" t="s">
        <v>141</v>
      </c>
      <c r="J150" s="3"/>
      <c r="K150" s="17">
        <f t="shared" si="17"/>
        <v>0</v>
      </c>
      <c r="L150" s="18">
        <f t="shared" si="18"/>
        <v>3</v>
      </c>
      <c r="M150" s="3"/>
      <c r="N150" s="18">
        <v>6.0</v>
      </c>
      <c r="O150" s="173" t="s">
        <v>32</v>
      </c>
      <c r="P150" s="18">
        <f t="shared" si="19"/>
        <v>17</v>
      </c>
      <c r="Q150" s="20">
        <f t="shared" si="20"/>
        <v>6</v>
      </c>
      <c r="R150" s="22"/>
      <c r="S150" s="22">
        <f t="shared" si="21"/>
        <v>4</v>
      </c>
      <c r="T150" s="18">
        <f t="shared" si="22"/>
        <v>12</v>
      </c>
      <c r="U150" s="22">
        <f t="shared" si="23"/>
        <v>9</v>
      </c>
      <c r="V150" s="18">
        <f t="shared" si="24"/>
        <v>3</v>
      </c>
      <c r="AB150" s="24">
        <v>6.0</v>
      </c>
      <c r="AC150" s="108" t="s">
        <v>183</v>
      </c>
      <c r="AD150" s="26">
        <v>13.0</v>
      </c>
      <c r="AE150" s="26">
        <v>3.0</v>
      </c>
      <c r="AF150" s="27"/>
      <c r="AG150" s="27">
        <v>7.0</v>
      </c>
      <c r="AH150" s="26">
        <v>10.0</v>
      </c>
      <c r="AI150" s="27">
        <v>14.0</v>
      </c>
      <c r="AJ150" s="26">
        <v>-4.0</v>
      </c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</row>
    <row r="151" ht="15.75" customHeight="1">
      <c r="A151" s="106">
        <v>2.0</v>
      </c>
      <c r="B151" s="54">
        <v>45600.0</v>
      </c>
      <c r="C151" s="13" t="s">
        <v>41</v>
      </c>
      <c r="D151" s="13" t="s">
        <v>22</v>
      </c>
      <c r="E151" s="14" t="s">
        <v>155</v>
      </c>
      <c r="F151" s="56">
        <v>2.0</v>
      </c>
      <c r="G151" s="69" t="s">
        <v>173</v>
      </c>
      <c r="H151" s="56">
        <v>0.0</v>
      </c>
      <c r="I151" s="14" t="s">
        <v>65</v>
      </c>
      <c r="J151" s="3"/>
      <c r="K151" s="17">
        <f t="shared" si="17"/>
        <v>3</v>
      </c>
      <c r="L151" s="18">
        <f t="shared" si="18"/>
        <v>0</v>
      </c>
      <c r="M151" s="3"/>
      <c r="N151" s="18">
        <v>7.0</v>
      </c>
      <c r="O151" s="173" t="s">
        <v>68</v>
      </c>
      <c r="P151" s="18">
        <f t="shared" si="19"/>
        <v>11</v>
      </c>
      <c r="Q151" s="20">
        <f t="shared" si="20"/>
        <v>4</v>
      </c>
      <c r="R151" s="22"/>
      <c r="S151" s="22">
        <f t="shared" si="21"/>
        <v>5</v>
      </c>
      <c r="T151" s="18">
        <f t="shared" si="22"/>
        <v>9</v>
      </c>
      <c r="U151" s="22">
        <f t="shared" si="23"/>
        <v>12</v>
      </c>
      <c r="V151" s="18">
        <f t="shared" si="24"/>
        <v>-3</v>
      </c>
      <c r="AB151" s="24">
        <v>7.0</v>
      </c>
      <c r="AC151" s="108" t="s">
        <v>68</v>
      </c>
      <c r="AD151" s="26">
        <v>11.0</v>
      </c>
      <c r="AE151" s="26">
        <v>4.0</v>
      </c>
      <c r="AF151" s="27"/>
      <c r="AG151" s="27">
        <v>5.0</v>
      </c>
      <c r="AH151" s="26">
        <v>9.0</v>
      </c>
      <c r="AI151" s="27">
        <v>12.0</v>
      </c>
      <c r="AJ151" s="26">
        <v>-3.0</v>
      </c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</row>
    <row r="152" ht="15.75" customHeight="1">
      <c r="A152" s="29"/>
      <c r="B152" s="54">
        <v>45600.0</v>
      </c>
      <c r="C152" s="13" t="s">
        <v>36</v>
      </c>
      <c r="D152" s="13" t="s">
        <v>22</v>
      </c>
      <c r="E152" s="14" t="s">
        <v>34</v>
      </c>
      <c r="F152" s="56"/>
      <c r="G152" s="69" t="s">
        <v>173</v>
      </c>
      <c r="H152" s="56"/>
      <c r="I152" s="14" t="s">
        <v>96</v>
      </c>
      <c r="J152" s="3"/>
      <c r="K152" s="17" t="str">
        <f t="shared" si="17"/>
        <v/>
      </c>
      <c r="L152" s="18" t="str">
        <f t="shared" si="18"/>
        <v/>
      </c>
      <c r="M152" s="3"/>
      <c r="N152" s="18">
        <v>8.0</v>
      </c>
      <c r="O152" s="173" t="s">
        <v>147</v>
      </c>
      <c r="P152" s="18">
        <f t="shared" si="19"/>
        <v>9</v>
      </c>
      <c r="Q152" s="20">
        <f t="shared" si="20"/>
        <v>3</v>
      </c>
      <c r="R152" s="22"/>
      <c r="S152" s="22">
        <f t="shared" si="21"/>
        <v>7</v>
      </c>
      <c r="T152" s="18">
        <f t="shared" si="22"/>
        <v>8</v>
      </c>
      <c r="U152" s="22">
        <f t="shared" si="23"/>
        <v>16</v>
      </c>
      <c r="V152" s="18">
        <f t="shared" si="24"/>
        <v>-8</v>
      </c>
      <c r="AB152" s="24">
        <v>8.0</v>
      </c>
      <c r="AC152" s="108" t="s">
        <v>147</v>
      </c>
      <c r="AD152" s="26">
        <v>9.0</v>
      </c>
      <c r="AE152" s="26">
        <v>3.0</v>
      </c>
      <c r="AF152" s="27"/>
      <c r="AG152" s="27">
        <v>7.0</v>
      </c>
      <c r="AH152" s="26">
        <v>8.0</v>
      </c>
      <c r="AI152" s="27">
        <v>16.0</v>
      </c>
      <c r="AJ152" s="26">
        <v>-8.0</v>
      </c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</row>
    <row r="153" ht="15.75" customHeight="1">
      <c r="A153" s="29"/>
      <c r="B153" s="54">
        <v>45616.0</v>
      </c>
      <c r="C153" s="13" t="s">
        <v>57</v>
      </c>
      <c r="D153" s="13" t="s">
        <v>22</v>
      </c>
      <c r="E153" s="14" t="s">
        <v>68</v>
      </c>
      <c r="F153" s="56">
        <v>0.0</v>
      </c>
      <c r="G153" s="69" t="s">
        <v>173</v>
      </c>
      <c r="H153" s="56">
        <v>2.0</v>
      </c>
      <c r="I153" s="14" t="s">
        <v>66</v>
      </c>
      <c r="J153" s="3"/>
      <c r="K153" s="17">
        <f t="shared" si="17"/>
        <v>0</v>
      </c>
      <c r="L153" s="18">
        <f t="shared" si="18"/>
        <v>3</v>
      </c>
      <c r="M153" s="3"/>
      <c r="N153" s="18">
        <v>9.0</v>
      </c>
      <c r="O153" s="173" t="s">
        <v>182</v>
      </c>
      <c r="P153" s="18">
        <f t="shared" si="19"/>
        <v>9</v>
      </c>
      <c r="Q153" s="20">
        <f t="shared" si="20"/>
        <v>3</v>
      </c>
      <c r="R153" s="22"/>
      <c r="S153" s="22">
        <f t="shared" si="21"/>
        <v>7</v>
      </c>
      <c r="T153" s="18">
        <f t="shared" si="22"/>
        <v>8</v>
      </c>
      <c r="U153" s="22">
        <f t="shared" si="23"/>
        <v>16</v>
      </c>
      <c r="V153" s="18">
        <f t="shared" si="24"/>
        <v>-8</v>
      </c>
      <c r="AB153" s="24">
        <v>9.0</v>
      </c>
      <c r="AC153" s="108" t="s">
        <v>182</v>
      </c>
      <c r="AD153" s="26">
        <v>9.0</v>
      </c>
      <c r="AE153" s="26">
        <v>3.0</v>
      </c>
      <c r="AF153" s="27"/>
      <c r="AG153" s="27">
        <v>7.0</v>
      </c>
      <c r="AH153" s="26">
        <v>8.0</v>
      </c>
      <c r="AI153" s="27">
        <v>16.0</v>
      </c>
      <c r="AJ153" s="26">
        <v>-8.0</v>
      </c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</row>
    <row r="154" ht="15.75" customHeight="1">
      <c r="A154" s="29"/>
      <c r="B154" s="54">
        <v>45623.0</v>
      </c>
      <c r="C154" s="13" t="s">
        <v>56</v>
      </c>
      <c r="D154" s="13" t="s">
        <v>22</v>
      </c>
      <c r="E154" s="14" t="s">
        <v>182</v>
      </c>
      <c r="F154" s="56">
        <v>2.0</v>
      </c>
      <c r="G154" s="69" t="s">
        <v>173</v>
      </c>
      <c r="H154" s="56">
        <v>1.0</v>
      </c>
      <c r="I154" s="14" t="s">
        <v>147</v>
      </c>
      <c r="J154" s="3"/>
      <c r="K154" s="17">
        <f t="shared" si="17"/>
        <v>2</v>
      </c>
      <c r="L154" s="18">
        <f t="shared" si="18"/>
        <v>1</v>
      </c>
      <c r="M154" s="3"/>
      <c r="N154" s="18">
        <v>10.0</v>
      </c>
      <c r="O154" s="173" t="s">
        <v>66</v>
      </c>
      <c r="P154" s="18">
        <f t="shared" si="19"/>
        <v>20</v>
      </c>
      <c r="Q154" s="20">
        <f t="shared" si="20"/>
        <v>7</v>
      </c>
      <c r="R154" s="22"/>
      <c r="S154" s="22">
        <f t="shared" si="21"/>
        <v>3</v>
      </c>
      <c r="T154" s="18">
        <f t="shared" si="22"/>
        <v>15</v>
      </c>
      <c r="U154" s="22">
        <f t="shared" si="23"/>
        <v>8</v>
      </c>
      <c r="V154" s="18">
        <f t="shared" si="24"/>
        <v>7</v>
      </c>
      <c r="AB154" s="24">
        <v>10.0</v>
      </c>
      <c r="AC154" s="108" t="s">
        <v>141</v>
      </c>
      <c r="AD154" s="26">
        <v>7.0</v>
      </c>
      <c r="AE154" s="26">
        <v>2.0</v>
      </c>
      <c r="AF154" s="27"/>
      <c r="AG154" s="27">
        <v>6.0</v>
      </c>
      <c r="AH154" s="26">
        <v>5.0</v>
      </c>
      <c r="AI154" s="27">
        <v>12.0</v>
      </c>
      <c r="AJ154" s="26">
        <v>-7.0</v>
      </c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</row>
    <row r="155" ht="15.75" customHeight="1">
      <c r="A155" s="29"/>
      <c r="B155" s="54">
        <v>45600.0</v>
      </c>
      <c r="C155" s="13" t="s">
        <v>41</v>
      </c>
      <c r="D155" s="13" t="s">
        <v>22</v>
      </c>
      <c r="E155" s="14" t="s">
        <v>183</v>
      </c>
      <c r="F155" s="56">
        <v>0.0</v>
      </c>
      <c r="G155" s="69" t="s">
        <v>173</v>
      </c>
      <c r="H155" s="56">
        <v>2.0</v>
      </c>
      <c r="I155" s="14" t="s">
        <v>32</v>
      </c>
      <c r="J155" s="3"/>
      <c r="K155" s="17">
        <f t="shared" si="17"/>
        <v>0</v>
      </c>
      <c r="L155" s="18">
        <f t="shared" si="18"/>
        <v>3</v>
      </c>
      <c r="M155" s="3"/>
      <c r="N155" s="36">
        <v>11.0</v>
      </c>
      <c r="O155" s="201" t="s">
        <v>183</v>
      </c>
      <c r="P155" s="18">
        <f t="shared" si="19"/>
        <v>13</v>
      </c>
      <c r="Q155" s="20">
        <f t="shared" si="20"/>
        <v>3</v>
      </c>
      <c r="S155" s="22">
        <f t="shared" si="21"/>
        <v>7</v>
      </c>
      <c r="T155" s="18">
        <f t="shared" si="22"/>
        <v>10</v>
      </c>
      <c r="U155" s="22">
        <f t="shared" si="23"/>
        <v>14</v>
      </c>
      <c r="V155" s="18">
        <f t="shared" si="24"/>
        <v>-4</v>
      </c>
      <c r="AB155" s="40">
        <v>11.0</v>
      </c>
      <c r="AC155" s="34" t="s">
        <v>65</v>
      </c>
      <c r="AD155" s="26">
        <v>7.0</v>
      </c>
      <c r="AE155" s="90">
        <v>2.0</v>
      </c>
      <c r="AF155" s="90"/>
      <c r="AG155" s="90">
        <v>8.0</v>
      </c>
      <c r="AH155" s="90">
        <v>6.0</v>
      </c>
      <c r="AI155" s="90">
        <v>17.0</v>
      </c>
      <c r="AJ155" s="90">
        <v>-11.0</v>
      </c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</row>
    <row r="156" ht="15.75" customHeight="1">
      <c r="A156" s="37"/>
      <c r="B156" s="54"/>
      <c r="C156" s="13"/>
      <c r="D156" s="13"/>
      <c r="E156" s="128" t="s">
        <v>141</v>
      </c>
      <c r="F156" s="56"/>
      <c r="G156" s="69" t="s">
        <v>173</v>
      </c>
      <c r="H156" s="56"/>
      <c r="I156" s="128" t="s">
        <v>33</v>
      </c>
      <c r="J156" s="3"/>
      <c r="K156" s="17" t="str">
        <f t="shared" si="17"/>
        <v/>
      </c>
      <c r="L156" s="18" t="str">
        <f t="shared" si="18"/>
        <v/>
      </c>
      <c r="M156" s="3"/>
      <c r="N156" s="36">
        <v>12.0</v>
      </c>
      <c r="O156" s="36" t="s">
        <v>65</v>
      </c>
      <c r="P156" s="18">
        <f t="shared" si="19"/>
        <v>7</v>
      </c>
      <c r="Q156" s="20">
        <f t="shared" si="20"/>
        <v>2</v>
      </c>
      <c r="S156" s="22">
        <f t="shared" si="21"/>
        <v>8</v>
      </c>
      <c r="T156" s="18">
        <f t="shared" si="22"/>
        <v>6</v>
      </c>
      <c r="U156" s="22">
        <f t="shared" si="23"/>
        <v>17</v>
      </c>
      <c r="V156" s="18">
        <f t="shared" si="24"/>
        <v>-11</v>
      </c>
      <c r="AB156" s="40">
        <v>12.0</v>
      </c>
      <c r="AC156" s="34" t="s">
        <v>96</v>
      </c>
      <c r="AD156" s="26">
        <v>0.0</v>
      </c>
      <c r="AE156" s="26">
        <v>0.0</v>
      </c>
      <c r="AF156" s="26"/>
      <c r="AG156" s="26">
        <v>0.0</v>
      </c>
      <c r="AH156" s="26">
        <v>0.0</v>
      </c>
      <c r="AI156" s="26">
        <v>0.0</v>
      </c>
      <c r="AJ156" s="26">
        <v>0.0</v>
      </c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</row>
    <row r="157" ht="15.75" customHeight="1">
      <c r="A157" s="106">
        <v>3.0</v>
      </c>
      <c r="B157" s="54">
        <v>45616.0</v>
      </c>
      <c r="C157" s="13" t="s">
        <v>51</v>
      </c>
      <c r="D157" s="13" t="s">
        <v>22</v>
      </c>
      <c r="E157" s="14" t="s">
        <v>155</v>
      </c>
      <c r="F157" s="56">
        <v>0.0</v>
      </c>
      <c r="G157" s="69" t="s">
        <v>173</v>
      </c>
      <c r="H157" s="56">
        <v>2.0</v>
      </c>
      <c r="I157" s="14" t="s">
        <v>34</v>
      </c>
      <c r="J157" s="3"/>
      <c r="K157" s="17">
        <f t="shared" si="17"/>
        <v>0</v>
      </c>
      <c r="L157" s="18">
        <f t="shared" si="18"/>
        <v>3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AB157" s="85" t="s">
        <v>184</v>
      </c>
      <c r="AE157" s="47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</row>
    <row r="158" ht="15.75" customHeight="1">
      <c r="A158" s="29"/>
      <c r="B158" s="54">
        <v>45616.0</v>
      </c>
      <c r="C158" s="13" t="s">
        <v>51</v>
      </c>
      <c r="D158" s="13" t="s">
        <v>22</v>
      </c>
      <c r="E158" s="107" t="s">
        <v>96</v>
      </c>
      <c r="F158" s="56"/>
      <c r="G158" s="69" t="s">
        <v>173</v>
      </c>
      <c r="H158" s="56"/>
      <c r="I158" s="107" t="s">
        <v>68</v>
      </c>
      <c r="J158" s="3"/>
      <c r="K158" s="17" t="str">
        <f t="shared" si="17"/>
        <v/>
      </c>
      <c r="L158" s="18" t="str">
        <f t="shared" si="18"/>
        <v/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AB158" s="48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ht="15.75" customHeight="1">
      <c r="A159" s="29"/>
      <c r="B159" s="54">
        <v>45616.0</v>
      </c>
      <c r="C159" s="13" t="s">
        <v>51</v>
      </c>
      <c r="D159" s="13" t="s">
        <v>22</v>
      </c>
      <c r="E159" s="14" t="s">
        <v>66</v>
      </c>
      <c r="F159" s="56">
        <v>2.0</v>
      </c>
      <c r="G159" s="69" t="s">
        <v>173</v>
      </c>
      <c r="H159" s="56">
        <v>1.0</v>
      </c>
      <c r="I159" s="14" t="s">
        <v>182</v>
      </c>
      <c r="J159" s="3"/>
      <c r="K159" s="17">
        <f t="shared" si="17"/>
        <v>2</v>
      </c>
      <c r="L159" s="18">
        <f t="shared" si="18"/>
        <v>1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ht="15.75" customHeight="1">
      <c r="A160" s="29"/>
      <c r="B160" s="54">
        <v>45616.0</v>
      </c>
      <c r="C160" s="13" t="s">
        <v>53</v>
      </c>
      <c r="D160" s="13" t="s">
        <v>22</v>
      </c>
      <c r="E160" s="14" t="s">
        <v>147</v>
      </c>
      <c r="F160" s="56">
        <v>2.0</v>
      </c>
      <c r="G160" s="69" t="s">
        <v>173</v>
      </c>
      <c r="H160" s="56">
        <v>1.0</v>
      </c>
      <c r="I160" s="14" t="s">
        <v>183</v>
      </c>
      <c r="J160" s="50"/>
      <c r="K160" s="17">
        <f t="shared" si="17"/>
        <v>2</v>
      </c>
      <c r="L160" s="18">
        <f t="shared" si="18"/>
        <v>1</v>
      </c>
      <c r="M160" s="3"/>
      <c r="N160" s="3"/>
      <c r="O160" s="3"/>
      <c r="P160" s="3"/>
      <c r="R160" s="3"/>
      <c r="S160" s="3"/>
      <c r="T160" s="3"/>
      <c r="U160" s="3"/>
      <c r="V160" s="3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ht="15.75" customHeight="1">
      <c r="A161" s="29"/>
      <c r="B161" s="54">
        <v>45616.0</v>
      </c>
      <c r="C161" s="13" t="s">
        <v>53</v>
      </c>
      <c r="D161" s="13" t="s">
        <v>22</v>
      </c>
      <c r="E161" s="14" t="s">
        <v>32</v>
      </c>
      <c r="F161" s="56">
        <v>2.0</v>
      </c>
      <c r="G161" s="69" t="s">
        <v>173</v>
      </c>
      <c r="H161" s="56">
        <v>0.0</v>
      </c>
      <c r="I161" s="14" t="s">
        <v>141</v>
      </c>
      <c r="J161" s="3"/>
      <c r="K161" s="17">
        <f t="shared" si="17"/>
        <v>3</v>
      </c>
      <c r="L161" s="18">
        <f t="shared" si="18"/>
        <v>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</row>
    <row r="162" ht="15.75" customHeight="1">
      <c r="A162" s="37"/>
      <c r="B162" s="54">
        <v>45616.0</v>
      </c>
      <c r="C162" s="13" t="s">
        <v>53</v>
      </c>
      <c r="D162" s="13" t="s">
        <v>22</v>
      </c>
      <c r="E162" s="14" t="s">
        <v>65</v>
      </c>
      <c r="F162" s="56">
        <v>0.0</v>
      </c>
      <c r="G162" s="69" t="s">
        <v>173</v>
      </c>
      <c r="H162" s="56">
        <v>2.0</v>
      </c>
      <c r="I162" s="14" t="s">
        <v>33</v>
      </c>
      <c r="J162" s="3"/>
      <c r="K162" s="17">
        <f t="shared" si="17"/>
        <v>0</v>
      </c>
      <c r="L162" s="18">
        <f t="shared" si="18"/>
        <v>3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</row>
    <row r="163" ht="15.75" customHeight="1">
      <c r="A163" s="106">
        <v>4.0</v>
      </c>
      <c r="B163" s="54">
        <v>45641.0</v>
      </c>
      <c r="C163" s="13" t="s">
        <v>51</v>
      </c>
      <c r="D163" s="13" t="s">
        <v>22</v>
      </c>
      <c r="E163" s="14" t="s">
        <v>34</v>
      </c>
      <c r="F163" s="13">
        <v>2.0</v>
      </c>
      <c r="G163" s="69" t="s">
        <v>173</v>
      </c>
      <c r="H163" s="56">
        <v>0.0</v>
      </c>
      <c r="I163" s="14" t="s">
        <v>65</v>
      </c>
      <c r="J163" s="3"/>
      <c r="K163" s="17">
        <f t="shared" si="17"/>
        <v>3</v>
      </c>
      <c r="L163" s="18">
        <f t="shared" si="18"/>
        <v>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</row>
    <row r="164" ht="15.75" customHeight="1">
      <c r="A164" s="29"/>
      <c r="B164" s="54">
        <v>45641.0</v>
      </c>
      <c r="C164" s="13" t="s">
        <v>51</v>
      </c>
      <c r="D164" s="13" t="s">
        <v>22</v>
      </c>
      <c r="E164" s="14" t="s">
        <v>68</v>
      </c>
      <c r="F164" s="13">
        <v>0.0</v>
      </c>
      <c r="G164" s="69" t="s">
        <v>173</v>
      </c>
      <c r="H164" s="56">
        <v>2.0</v>
      </c>
      <c r="I164" s="14" t="s">
        <v>155</v>
      </c>
      <c r="J164" s="3"/>
      <c r="K164" s="17">
        <f t="shared" si="17"/>
        <v>0</v>
      </c>
      <c r="L164" s="18">
        <f t="shared" si="18"/>
        <v>3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</row>
    <row r="165" ht="15.75" customHeight="1">
      <c r="A165" s="29"/>
      <c r="B165" s="54">
        <v>45641.0</v>
      </c>
      <c r="C165" s="13" t="s">
        <v>51</v>
      </c>
      <c r="D165" s="13" t="s">
        <v>22</v>
      </c>
      <c r="E165" s="14" t="s">
        <v>182</v>
      </c>
      <c r="F165" s="13"/>
      <c r="G165" s="69" t="s">
        <v>173</v>
      </c>
      <c r="H165" s="56"/>
      <c r="I165" s="128" t="s">
        <v>96</v>
      </c>
      <c r="J165" s="3"/>
      <c r="K165" s="17" t="str">
        <f t="shared" si="17"/>
        <v/>
      </c>
      <c r="L165" s="18" t="str">
        <f t="shared" si="18"/>
        <v/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</row>
    <row r="166" ht="15.75" customHeight="1">
      <c r="A166" s="29"/>
      <c r="B166" s="54">
        <v>45641.0</v>
      </c>
      <c r="C166" s="13" t="s">
        <v>53</v>
      </c>
      <c r="D166" s="13" t="s">
        <v>22</v>
      </c>
      <c r="E166" s="14" t="s">
        <v>183</v>
      </c>
      <c r="F166" s="13">
        <v>1.0</v>
      </c>
      <c r="G166" s="69" t="s">
        <v>173</v>
      </c>
      <c r="H166" s="56">
        <v>2.0</v>
      </c>
      <c r="I166" s="14" t="s">
        <v>66</v>
      </c>
      <c r="J166" s="3"/>
      <c r="K166" s="17">
        <f t="shared" si="17"/>
        <v>1</v>
      </c>
      <c r="L166" s="18">
        <f t="shared" si="18"/>
        <v>2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AB166" s="4"/>
      <c r="AC166" s="2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</row>
    <row r="167" ht="15.75" customHeight="1">
      <c r="A167" s="29"/>
      <c r="B167" s="54">
        <v>45641.0</v>
      </c>
      <c r="C167" s="13" t="s">
        <v>53</v>
      </c>
      <c r="D167" s="13" t="s">
        <v>22</v>
      </c>
      <c r="E167" s="14" t="s">
        <v>141</v>
      </c>
      <c r="F167" s="13">
        <v>1.0</v>
      </c>
      <c r="G167" s="69" t="s">
        <v>173</v>
      </c>
      <c r="H167" s="56">
        <v>2.0</v>
      </c>
      <c r="I167" s="14" t="s">
        <v>147</v>
      </c>
      <c r="J167" s="3"/>
      <c r="K167" s="17">
        <f t="shared" si="17"/>
        <v>1</v>
      </c>
      <c r="L167" s="18">
        <f t="shared" si="18"/>
        <v>2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AB167" s="4"/>
      <c r="AC167" s="2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ht="15.75" customHeight="1">
      <c r="A168" s="37"/>
      <c r="B168" s="54">
        <v>45641.0</v>
      </c>
      <c r="C168" s="13" t="s">
        <v>53</v>
      </c>
      <c r="D168" s="13" t="s">
        <v>22</v>
      </c>
      <c r="E168" s="14" t="s">
        <v>33</v>
      </c>
      <c r="F168" s="13">
        <v>0.0</v>
      </c>
      <c r="G168" s="69" t="s">
        <v>173</v>
      </c>
      <c r="H168" s="56">
        <v>2.0</v>
      </c>
      <c r="I168" s="14" t="s">
        <v>32</v>
      </c>
      <c r="J168" s="3"/>
      <c r="K168" s="17">
        <f t="shared" si="17"/>
        <v>0</v>
      </c>
      <c r="L168" s="18">
        <f t="shared" si="18"/>
        <v>3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AB168" s="4"/>
      <c r="AC168" s="2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ht="15.75" customHeight="1">
      <c r="A169" s="106">
        <v>5.0</v>
      </c>
      <c r="B169" s="54">
        <v>45705.0</v>
      </c>
      <c r="C169" s="13" t="s">
        <v>30</v>
      </c>
      <c r="D169" s="13" t="s">
        <v>22</v>
      </c>
      <c r="E169" s="14" t="s">
        <v>34</v>
      </c>
      <c r="F169" s="56">
        <v>2.0</v>
      </c>
      <c r="G169" s="69" t="s">
        <v>173</v>
      </c>
      <c r="H169" s="56">
        <v>0.0</v>
      </c>
      <c r="I169" s="14" t="s">
        <v>68</v>
      </c>
      <c r="J169" s="3"/>
      <c r="K169" s="17">
        <f t="shared" si="17"/>
        <v>3</v>
      </c>
      <c r="L169" s="18">
        <f t="shared" si="18"/>
        <v>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AB169" s="4"/>
      <c r="AC169" s="2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ht="15.75" customHeight="1">
      <c r="A170" s="29"/>
      <c r="B170" s="54">
        <v>45705.0</v>
      </c>
      <c r="C170" s="13" t="s">
        <v>21</v>
      </c>
      <c r="D170" s="13" t="s">
        <v>22</v>
      </c>
      <c r="E170" s="14" t="s">
        <v>155</v>
      </c>
      <c r="F170" s="56">
        <v>2.0</v>
      </c>
      <c r="G170" s="69" t="s">
        <v>173</v>
      </c>
      <c r="H170" s="56">
        <v>0.0</v>
      </c>
      <c r="I170" s="14" t="s">
        <v>182</v>
      </c>
      <c r="J170" s="3"/>
      <c r="K170" s="17">
        <f t="shared" si="17"/>
        <v>3</v>
      </c>
      <c r="L170" s="18">
        <f t="shared" si="18"/>
        <v>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AB170" s="4"/>
      <c r="AC170" s="2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ht="15.75" customHeight="1">
      <c r="A171" s="29"/>
      <c r="B171" s="54">
        <v>45705.0</v>
      </c>
      <c r="C171" s="13" t="s">
        <v>36</v>
      </c>
      <c r="D171" s="13" t="s">
        <v>22</v>
      </c>
      <c r="E171" s="14" t="s">
        <v>96</v>
      </c>
      <c r="F171" s="56"/>
      <c r="G171" s="69" t="s">
        <v>173</v>
      </c>
      <c r="H171" s="56"/>
      <c r="I171" s="14" t="s">
        <v>183</v>
      </c>
      <c r="J171" s="3"/>
      <c r="K171" s="17" t="str">
        <f t="shared" si="17"/>
        <v/>
      </c>
      <c r="L171" s="18" t="str">
        <f t="shared" si="18"/>
        <v/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AB171" s="4"/>
      <c r="AC171" s="2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ht="15.75" customHeight="1">
      <c r="A172" s="29"/>
      <c r="B172" s="54">
        <v>46079.0</v>
      </c>
      <c r="C172" s="13"/>
      <c r="D172" s="13" t="s">
        <v>22</v>
      </c>
      <c r="E172" s="14" t="s">
        <v>66</v>
      </c>
      <c r="F172" s="56">
        <v>2.0</v>
      </c>
      <c r="G172" s="69" t="s">
        <v>173</v>
      </c>
      <c r="H172" s="56">
        <v>0.0</v>
      </c>
      <c r="I172" s="14" t="s">
        <v>141</v>
      </c>
      <c r="J172" s="3"/>
      <c r="K172" s="17">
        <f t="shared" si="17"/>
        <v>3</v>
      </c>
      <c r="L172" s="18">
        <f t="shared" si="18"/>
        <v>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AB172" s="4"/>
      <c r="AC172" s="2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</row>
    <row r="173" ht="15.75" customHeight="1">
      <c r="A173" s="29"/>
      <c r="B173" s="54">
        <v>46079.0</v>
      </c>
      <c r="C173" s="13" t="s">
        <v>80</v>
      </c>
      <c r="D173" s="13" t="s">
        <v>22</v>
      </c>
      <c r="E173" s="14" t="s">
        <v>147</v>
      </c>
      <c r="F173" s="56">
        <v>0.0</v>
      </c>
      <c r="G173" s="69" t="s">
        <v>173</v>
      </c>
      <c r="H173" s="56">
        <v>2.0</v>
      </c>
      <c r="I173" s="14" t="s">
        <v>33</v>
      </c>
      <c r="J173" s="3"/>
      <c r="K173" s="17">
        <f t="shared" si="17"/>
        <v>0</v>
      </c>
      <c r="L173" s="18">
        <f t="shared" si="18"/>
        <v>3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AB173" s="4"/>
      <c r="AC173" s="2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</row>
    <row r="174" ht="15.75" customHeight="1">
      <c r="A174" s="37"/>
      <c r="B174" s="54">
        <v>45714.0</v>
      </c>
      <c r="C174" s="13" t="s">
        <v>80</v>
      </c>
      <c r="D174" s="13" t="s">
        <v>22</v>
      </c>
      <c r="E174" s="14" t="s">
        <v>65</v>
      </c>
      <c r="F174" s="56">
        <v>1.0</v>
      </c>
      <c r="G174" s="69" t="s">
        <v>173</v>
      </c>
      <c r="H174" s="56">
        <v>2.0</v>
      </c>
      <c r="I174" s="14" t="s">
        <v>32</v>
      </c>
      <c r="J174" s="3"/>
      <c r="K174" s="17">
        <f t="shared" si="17"/>
        <v>1</v>
      </c>
      <c r="L174" s="18">
        <f t="shared" si="18"/>
        <v>2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AB174" s="4"/>
      <c r="AC174" s="2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</row>
    <row r="175" ht="15.75" customHeight="1">
      <c r="A175" s="106">
        <v>6.0</v>
      </c>
      <c r="B175" s="54">
        <v>45714.0</v>
      </c>
      <c r="C175" s="13" t="s">
        <v>51</v>
      </c>
      <c r="D175" s="13" t="s">
        <v>22</v>
      </c>
      <c r="E175" s="14" t="s">
        <v>68</v>
      </c>
      <c r="F175" s="56">
        <v>2.0</v>
      </c>
      <c r="G175" s="69" t="s">
        <v>173</v>
      </c>
      <c r="H175" s="56">
        <v>1.0</v>
      </c>
      <c r="I175" s="14" t="s">
        <v>65</v>
      </c>
      <c r="J175" s="3"/>
      <c r="K175" s="17">
        <f t="shared" si="17"/>
        <v>2</v>
      </c>
      <c r="L175" s="18">
        <f t="shared" si="18"/>
        <v>1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AB175" s="4"/>
      <c r="AC175" s="2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</row>
    <row r="176" ht="15.75" customHeight="1">
      <c r="A176" s="29"/>
      <c r="B176" s="54">
        <v>45714.0</v>
      </c>
      <c r="C176" s="13" t="s">
        <v>51</v>
      </c>
      <c r="D176" s="13" t="s">
        <v>22</v>
      </c>
      <c r="E176" s="14" t="s">
        <v>182</v>
      </c>
      <c r="F176" s="56">
        <v>0.0</v>
      </c>
      <c r="G176" s="69" t="s">
        <v>173</v>
      </c>
      <c r="H176" s="56">
        <v>2.0</v>
      </c>
      <c r="I176" s="14" t="s">
        <v>34</v>
      </c>
      <c r="J176" s="3"/>
      <c r="K176" s="17">
        <f t="shared" si="17"/>
        <v>0</v>
      </c>
      <c r="L176" s="18">
        <f t="shared" si="18"/>
        <v>3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AB176" s="4"/>
      <c r="AC176" s="2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</row>
    <row r="177" ht="15.75" customHeight="1">
      <c r="A177" s="29"/>
      <c r="B177" s="54">
        <v>45714.0</v>
      </c>
      <c r="C177" s="13" t="s">
        <v>51</v>
      </c>
      <c r="D177" s="13" t="s">
        <v>22</v>
      </c>
      <c r="E177" s="14" t="s">
        <v>183</v>
      </c>
      <c r="F177" s="56">
        <v>1.0</v>
      </c>
      <c r="G177" s="69" t="s">
        <v>173</v>
      </c>
      <c r="H177" s="56">
        <v>2.0</v>
      </c>
      <c r="I177" s="14" t="s">
        <v>155</v>
      </c>
      <c r="J177" s="3"/>
      <c r="K177" s="17">
        <f t="shared" si="17"/>
        <v>1</v>
      </c>
      <c r="L177" s="18">
        <f t="shared" si="18"/>
        <v>2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AB177" s="4"/>
      <c r="AC177" s="2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</row>
    <row r="178" ht="15.75" customHeight="1">
      <c r="A178" s="29"/>
      <c r="B178" s="54">
        <v>45714.0</v>
      </c>
      <c r="C178" s="13" t="s">
        <v>53</v>
      </c>
      <c r="D178" s="13" t="s">
        <v>22</v>
      </c>
      <c r="E178" s="14" t="s">
        <v>141</v>
      </c>
      <c r="F178" s="56"/>
      <c r="G178" s="69" t="s">
        <v>173</v>
      </c>
      <c r="H178" s="56"/>
      <c r="I178" s="128" t="s">
        <v>96</v>
      </c>
      <c r="J178" s="3"/>
      <c r="K178" s="17" t="str">
        <f t="shared" si="17"/>
        <v/>
      </c>
      <c r="L178" s="18" t="str">
        <f t="shared" si="18"/>
        <v/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AB178" s="4"/>
      <c r="AC178" s="2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</row>
    <row r="179" ht="15.75" customHeight="1">
      <c r="A179" s="29"/>
      <c r="B179" s="54">
        <v>45714.0</v>
      </c>
      <c r="C179" s="13" t="s">
        <v>53</v>
      </c>
      <c r="D179" s="13" t="s">
        <v>22</v>
      </c>
      <c r="E179" s="14" t="s">
        <v>33</v>
      </c>
      <c r="F179" s="56">
        <v>2.0</v>
      </c>
      <c r="G179" s="69" t="s">
        <v>173</v>
      </c>
      <c r="H179" s="56">
        <v>1.0</v>
      </c>
      <c r="I179" s="14" t="s">
        <v>66</v>
      </c>
      <c r="J179" s="3"/>
      <c r="K179" s="17">
        <f t="shared" si="17"/>
        <v>2</v>
      </c>
      <c r="L179" s="18">
        <f t="shared" si="18"/>
        <v>1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AB179" s="4"/>
      <c r="AC179" s="2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</row>
    <row r="180" ht="15.75" customHeight="1">
      <c r="A180" s="37"/>
      <c r="B180" s="54">
        <v>45714.0</v>
      </c>
      <c r="C180" s="13" t="s">
        <v>53</v>
      </c>
      <c r="D180" s="13" t="s">
        <v>22</v>
      </c>
      <c r="E180" s="14" t="s">
        <v>32</v>
      </c>
      <c r="F180" s="56">
        <v>0.0</v>
      </c>
      <c r="G180" s="69" t="s">
        <v>173</v>
      </c>
      <c r="H180" s="56">
        <v>2.0</v>
      </c>
      <c r="I180" s="14" t="s">
        <v>147</v>
      </c>
      <c r="J180" s="3"/>
      <c r="K180" s="17">
        <f t="shared" si="17"/>
        <v>0</v>
      </c>
      <c r="L180" s="18">
        <f t="shared" si="18"/>
        <v>3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AB180" s="4"/>
      <c r="AC180" s="2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</row>
    <row r="181" ht="15.75" customHeight="1">
      <c r="A181" s="106">
        <v>7.0</v>
      </c>
      <c r="B181" s="54">
        <v>45727.0</v>
      </c>
      <c r="C181" s="200" t="s">
        <v>21</v>
      </c>
      <c r="D181" s="13" t="s">
        <v>22</v>
      </c>
      <c r="E181" s="14" t="s">
        <v>68</v>
      </c>
      <c r="F181" s="56">
        <v>1.0</v>
      </c>
      <c r="G181" s="69" t="s">
        <v>173</v>
      </c>
      <c r="H181" s="56">
        <v>2.0</v>
      </c>
      <c r="I181" s="14" t="s">
        <v>182</v>
      </c>
      <c r="J181" s="3"/>
      <c r="K181" s="17">
        <f t="shared" si="17"/>
        <v>1</v>
      </c>
      <c r="L181" s="18">
        <f t="shared" si="18"/>
        <v>2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AB181" s="4"/>
      <c r="AC181" s="2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</row>
    <row r="182" ht="15.75" customHeight="1">
      <c r="A182" s="29"/>
      <c r="B182" s="54">
        <v>45727.0</v>
      </c>
      <c r="C182" s="200" t="s">
        <v>21</v>
      </c>
      <c r="D182" s="13" t="s">
        <v>22</v>
      </c>
      <c r="E182" s="14" t="s">
        <v>34</v>
      </c>
      <c r="F182" s="56">
        <v>2.0</v>
      </c>
      <c r="G182" s="69" t="s">
        <v>173</v>
      </c>
      <c r="H182" s="56">
        <v>0.0</v>
      </c>
      <c r="I182" s="14" t="s">
        <v>183</v>
      </c>
      <c r="J182" s="3"/>
      <c r="K182" s="17">
        <f t="shared" si="17"/>
        <v>3</v>
      </c>
      <c r="L182" s="18">
        <f t="shared" si="18"/>
        <v>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AB182" s="4"/>
      <c r="AC182" s="2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</row>
    <row r="183" ht="15.75" customHeight="1">
      <c r="A183" s="29"/>
      <c r="B183" s="54">
        <v>45727.0</v>
      </c>
      <c r="C183" s="200" t="s">
        <v>21</v>
      </c>
      <c r="D183" s="13" t="s">
        <v>22</v>
      </c>
      <c r="E183" s="14" t="s">
        <v>155</v>
      </c>
      <c r="F183" s="56">
        <v>2.0</v>
      </c>
      <c r="G183" s="69" t="s">
        <v>173</v>
      </c>
      <c r="H183" s="56">
        <v>0.0</v>
      </c>
      <c r="I183" s="14" t="s">
        <v>141</v>
      </c>
      <c r="J183" s="3"/>
      <c r="K183" s="17">
        <f t="shared" si="17"/>
        <v>3</v>
      </c>
      <c r="L183" s="18">
        <f t="shared" si="18"/>
        <v>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AB183" s="4"/>
      <c r="AC183" s="2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</row>
    <row r="184" ht="15.75" customHeight="1">
      <c r="A184" s="29"/>
      <c r="B184" s="211"/>
      <c r="C184" s="212"/>
      <c r="D184" s="213"/>
      <c r="E184" s="14" t="s">
        <v>96</v>
      </c>
      <c r="F184" s="56"/>
      <c r="G184" s="69" t="s">
        <v>173</v>
      </c>
      <c r="H184" s="56"/>
      <c r="I184" s="14" t="s">
        <v>33</v>
      </c>
      <c r="J184" s="3"/>
      <c r="K184" s="17" t="str">
        <f t="shared" si="17"/>
        <v/>
      </c>
      <c r="L184" s="18" t="str">
        <f t="shared" si="18"/>
        <v/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AB184" s="4"/>
      <c r="AC184" s="2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</row>
    <row r="185" ht="15.75" customHeight="1">
      <c r="A185" s="29"/>
      <c r="B185" s="54">
        <v>45727.0</v>
      </c>
      <c r="C185" s="200" t="s">
        <v>30</v>
      </c>
      <c r="D185" s="13" t="s">
        <v>22</v>
      </c>
      <c r="E185" s="14" t="s">
        <v>66</v>
      </c>
      <c r="F185" s="56">
        <v>0.0</v>
      </c>
      <c r="G185" s="69" t="s">
        <v>173</v>
      </c>
      <c r="H185" s="56">
        <v>2.0</v>
      </c>
      <c r="I185" s="14" t="s">
        <v>32</v>
      </c>
      <c r="J185" s="3"/>
      <c r="K185" s="17">
        <f t="shared" si="17"/>
        <v>0</v>
      </c>
      <c r="L185" s="18">
        <f t="shared" si="18"/>
        <v>3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AB185" s="4"/>
      <c r="AC185" s="2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</row>
    <row r="186" ht="15.75" customHeight="1">
      <c r="A186" s="37"/>
      <c r="B186" s="54">
        <v>45727.0</v>
      </c>
      <c r="C186" s="200" t="s">
        <v>30</v>
      </c>
      <c r="D186" s="13" t="s">
        <v>22</v>
      </c>
      <c r="E186" s="14" t="s">
        <v>65</v>
      </c>
      <c r="F186" s="56">
        <v>2.0</v>
      </c>
      <c r="G186" s="69" t="s">
        <v>173</v>
      </c>
      <c r="H186" s="56">
        <v>0.0</v>
      </c>
      <c r="I186" s="14" t="s">
        <v>147</v>
      </c>
      <c r="J186" s="3"/>
      <c r="K186" s="17">
        <f t="shared" si="17"/>
        <v>3</v>
      </c>
      <c r="L186" s="18">
        <f t="shared" si="18"/>
        <v>0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AB186" s="4"/>
      <c r="AC186" s="2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</row>
    <row r="187" ht="15.75" customHeight="1">
      <c r="A187" s="106">
        <v>8.0</v>
      </c>
      <c r="B187" s="54">
        <v>45755.0</v>
      </c>
      <c r="C187" s="200" t="s">
        <v>21</v>
      </c>
      <c r="D187" s="13" t="s">
        <v>22</v>
      </c>
      <c r="E187" s="14" t="s">
        <v>182</v>
      </c>
      <c r="F187" s="13">
        <v>1.0</v>
      </c>
      <c r="G187" s="69" t="s">
        <v>173</v>
      </c>
      <c r="H187" s="56">
        <v>2.0</v>
      </c>
      <c r="I187" s="14" t="s">
        <v>65</v>
      </c>
      <c r="J187" s="3"/>
      <c r="K187" s="17">
        <f t="shared" si="17"/>
        <v>1</v>
      </c>
      <c r="L187" s="18">
        <f t="shared" si="18"/>
        <v>2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AB187" s="4"/>
      <c r="AC187" s="2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</row>
    <row r="188" ht="15.75" customHeight="1">
      <c r="A188" s="29"/>
      <c r="B188" s="54">
        <v>45755.0</v>
      </c>
      <c r="C188" s="200" t="s">
        <v>21</v>
      </c>
      <c r="D188" s="13" t="s">
        <v>22</v>
      </c>
      <c r="E188" s="14" t="s">
        <v>183</v>
      </c>
      <c r="F188" s="13">
        <v>0.0</v>
      </c>
      <c r="G188" s="69" t="s">
        <v>173</v>
      </c>
      <c r="H188" s="56">
        <v>2.0</v>
      </c>
      <c r="I188" s="14" t="s">
        <v>68</v>
      </c>
      <c r="J188" s="3"/>
      <c r="K188" s="17">
        <f t="shared" si="17"/>
        <v>0</v>
      </c>
      <c r="L188" s="18">
        <f t="shared" si="18"/>
        <v>3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AB188" s="4"/>
      <c r="AC188" s="2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</row>
    <row r="189" ht="15.75" customHeight="1">
      <c r="A189" s="29"/>
      <c r="B189" s="54">
        <v>45755.0</v>
      </c>
      <c r="C189" s="200" t="s">
        <v>21</v>
      </c>
      <c r="D189" s="13" t="s">
        <v>22</v>
      </c>
      <c r="E189" s="14" t="s">
        <v>141</v>
      </c>
      <c r="F189" s="13">
        <v>0.0</v>
      </c>
      <c r="G189" s="69" t="s">
        <v>173</v>
      </c>
      <c r="H189" s="56">
        <v>2.0</v>
      </c>
      <c r="I189" s="14" t="s">
        <v>34</v>
      </c>
      <c r="J189" s="3"/>
      <c r="K189" s="17">
        <f t="shared" si="17"/>
        <v>0</v>
      </c>
      <c r="L189" s="18">
        <f t="shared" si="18"/>
        <v>3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AB189" s="4"/>
      <c r="AC189" s="2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</row>
    <row r="190" ht="15.75" customHeight="1">
      <c r="A190" s="29"/>
      <c r="B190" s="54">
        <v>45755.0</v>
      </c>
      <c r="C190" s="200" t="s">
        <v>30</v>
      </c>
      <c r="D190" s="13" t="s">
        <v>22</v>
      </c>
      <c r="E190" s="14" t="s">
        <v>33</v>
      </c>
      <c r="F190" s="13">
        <v>2.0</v>
      </c>
      <c r="G190" s="69" t="s">
        <v>173</v>
      </c>
      <c r="H190" s="56">
        <v>0.0</v>
      </c>
      <c r="I190" s="14" t="s">
        <v>155</v>
      </c>
      <c r="K190" s="17">
        <f t="shared" si="17"/>
        <v>3</v>
      </c>
      <c r="L190" s="18">
        <f t="shared" si="18"/>
        <v>0</v>
      </c>
      <c r="AB190" s="4"/>
      <c r="AC190" s="2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</row>
    <row r="191" ht="15.75" customHeight="1">
      <c r="A191" s="29"/>
      <c r="B191" s="211"/>
      <c r="C191" s="213"/>
      <c r="D191" s="213"/>
      <c r="E191" s="14" t="s">
        <v>32</v>
      </c>
      <c r="F191" s="213"/>
      <c r="G191" s="69" t="s">
        <v>173</v>
      </c>
      <c r="H191" s="56"/>
      <c r="I191" s="14" t="s">
        <v>96</v>
      </c>
      <c r="K191" s="17" t="str">
        <f t="shared" si="17"/>
        <v/>
      </c>
      <c r="L191" s="18" t="str">
        <f t="shared" si="18"/>
        <v/>
      </c>
      <c r="AB191" s="4"/>
      <c r="AC191" s="2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</row>
    <row r="192" ht="15.75" customHeight="1">
      <c r="A192" s="37"/>
      <c r="B192" s="54">
        <v>45755.0</v>
      </c>
      <c r="C192" s="200" t="s">
        <v>30</v>
      </c>
      <c r="D192" s="13" t="s">
        <v>22</v>
      </c>
      <c r="E192" s="14" t="s">
        <v>147</v>
      </c>
      <c r="F192" s="13">
        <v>0.0</v>
      </c>
      <c r="G192" s="69" t="s">
        <v>173</v>
      </c>
      <c r="H192" s="56">
        <v>2.0</v>
      </c>
      <c r="I192" s="14" t="s">
        <v>66</v>
      </c>
      <c r="K192" s="17">
        <f t="shared" si="17"/>
        <v>0</v>
      </c>
      <c r="L192" s="18">
        <f t="shared" si="18"/>
        <v>3</v>
      </c>
      <c r="AB192" s="4"/>
      <c r="AC192" s="2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</row>
    <row r="193" ht="15.75" customHeight="1">
      <c r="A193" s="106">
        <v>9.0</v>
      </c>
      <c r="B193" s="54">
        <v>45755.0</v>
      </c>
      <c r="C193" s="200" t="s">
        <v>30</v>
      </c>
      <c r="D193" s="13" t="s">
        <v>22</v>
      </c>
      <c r="E193" s="14" t="s">
        <v>182</v>
      </c>
      <c r="F193" s="56">
        <v>0.0</v>
      </c>
      <c r="G193" s="69" t="s">
        <v>173</v>
      </c>
      <c r="H193" s="56">
        <v>2.0</v>
      </c>
      <c r="I193" s="14" t="s">
        <v>183</v>
      </c>
      <c r="K193" s="17">
        <f t="shared" si="17"/>
        <v>0</v>
      </c>
      <c r="L193" s="18">
        <f t="shared" si="18"/>
        <v>3</v>
      </c>
      <c r="AB193" s="4"/>
      <c r="AC193" s="2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</row>
    <row r="194" ht="15.75" customHeight="1">
      <c r="A194" s="29"/>
      <c r="B194" s="54">
        <v>45789.0</v>
      </c>
      <c r="C194" s="13" t="s">
        <v>51</v>
      </c>
      <c r="D194" s="13" t="s">
        <v>22</v>
      </c>
      <c r="E194" s="14" t="s">
        <v>68</v>
      </c>
      <c r="F194" s="56"/>
      <c r="G194" s="69" t="s">
        <v>173</v>
      </c>
      <c r="H194" s="56"/>
      <c r="I194" s="14" t="s">
        <v>141</v>
      </c>
      <c r="K194" s="17" t="str">
        <f t="shared" si="17"/>
        <v/>
      </c>
      <c r="L194" s="18" t="str">
        <f t="shared" si="18"/>
        <v/>
      </c>
      <c r="AB194" s="4"/>
      <c r="AC194" s="2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</row>
    <row r="195" ht="15.75" customHeight="1">
      <c r="A195" s="29"/>
      <c r="B195" s="54">
        <v>45727.0</v>
      </c>
      <c r="C195" s="13" t="s">
        <v>30</v>
      </c>
      <c r="D195" s="13" t="s">
        <v>22</v>
      </c>
      <c r="E195" s="14" t="s">
        <v>34</v>
      </c>
      <c r="F195" s="56">
        <v>2.0</v>
      </c>
      <c r="G195" s="69" t="s">
        <v>173</v>
      </c>
      <c r="H195" s="56">
        <v>0.0</v>
      </c>
      <c r="I195" s="14" t="s">
        <v>33</v>
      </c>
      <c r="K195" s="17">
        <f t="shared" si="17"/>
        <v>3</v>
      </c>
      <c r="L195" s="18">
        <f t="shared" si="18"/>
        <v>0</v>
      </c>
      <c r="AB195" s="4"/>
      <c r="AC195" s="2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</row>
    <row r="196" ht="15.75" customHeight="1">
      <c r="A196" s="29"/>
      <c r="B196" s="54">
        <v>45782.0</v>
      </c>
      <c r="C196" s="13" t="s">
        <v>21</v>
      </c>
      <c r="D196" s="13" t="s">
        <v>22</v>
      </c>
      <c r="E196" s="14" t="s">
        <v>155</v>
      </c>
      <c r="F196" s="56">
        <v>2.0</v>
      </c>
      <c r="G196" s="69" t="s">
        <v>173</v>
      </c>
      <c r="H196" s="56">
        <v>0.0</v>
      </c>
      <c r="I196" s="14" t="s">
        <v>32</v>
      </c>
      <c r="K196" s="17">
        <f t="shared" si="17"/>
        <v>3</v>
      </c>
      <c r="L196" s="18">
        <f t="shared" si="18"/>
        <v>0</v>
      </c>
      <c r="AB196" s="4"/>
      <c r="AC196" s="2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</row>
    <row r="197" ht="15.75" customHeight="1">
      <c r="A197" s="29"/>
      <c r="B197" s="203"/>
      <c r="C197" s="92"/>
      <c r="D197" s="92"/>
      <c r="E197" s="14" t="s">
        <v>96</v>
      </c>
      <c r="F197" s="56"/>
      <c r="G197" s="69" t="s">
        <v>173</v>
      </c>
      <c r="H197" s="56"/>
      <c r="I197" s="14" t="s">
        <v>147</v>
      </c>
      <c r="K197" s="17" t="str">
        <f t="shared" si="17"/>
        <v/>
      </c>
      <c r="L197" s="18" t="str">
        <f t="shared" si="18"/>
        <v/>
      </c>
      <c r="AB197" s="4"/>
      <c r="AC197" s="2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</row>
    <row r="198" ht="15.75" customHeight="1">
      <c r="A198" s="37"/>
      <c r="B198" s="54">
        <v>45782.0</v>
      </c>
      <c r="C198" s="13" t="s">
        <v>30</v>
      </c>
      <c r="D198" s="13" t="s">
        <v>22</v>
      </c>
      <c r="E198" s="14" t="s">
        <v>65</v>
      </c>
      <c r="F198" s="56">
        <v>0.0</v>
      </c>
      <c r="G198" s="69" t="s">
        <v>173</v>
      </c>
      <c r="H198" s="56">
        <v>2.0</v>
      </c>
      <c r="I198" s="14" t="s">
        <v>66</v>
      </c>
      <c r="K198" s="17">
        <f t="shared" si="17"/>
        <v>0</v>
      </c>
      <c r="L198" s="18">
        <f t="shared" si="18"/>
        <v>3</v>
      </c>
      <c r="AB198" s="4"/>
      <c r="AC198" s="2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</row>
    <row r="199" ht="15.75" customHeight="1">
      <c r="A199" s="106">
        <v>10.0</v>
      </c>
      <c r="B199" s="54">
        <v>45789.0</v>
      </c>
      <c r="C199" s="13" t="s">
        <v>51</v>
      </c>
      <c r="D199" s="13" t="s">
        <v>22</v>
      </c>
      <c r="E199" s="14" t="s">
        <v>65</v>
      </c>
      <c r="F199" s="56">
        <v>0.0</v>
      </c>
      <c r="G199" s="69" t="s">
        <v>173</v>
      </c>
      <c r="H199" s="56">
        <v>2.0</v>
      </c>
      <c r="I199" s="14" t="s">
        <v>183</v>
      </c>
      <c r="K199" s="17">
        <f t="shared" si="17"/>
        <v>0</v>
      </c>
      <c r="L199" s="18">
        <f t="shared" si="18"/>
        <v>3</v>
      </c>
      <c r="AB199" s="4"/>
      <c r="AC199" s="2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</row>
    <row r="200" ht="15.75" customHeight="1">
      <c r="A200" s="29"/>
      <c r="B200" s="54">
        <v>45789.0</v>
      </c>
      <c r="C200" s="13" t="s">
        <v>51</v>
      </c>
      <c r="D200" s="13" t="s">
        <v>22</v>
      </c>
      <c r="E200" s="14" t="s">
        <v>141</v>
      </c>
      <c r="F200" s="56">
        <v>2.0</v>
      </c>
      <c r="G200" s="69" t="s">
        <v>173</v>
      </c>
      <c r="H200" s="56">
        <v>0.0</v>
      </c>
      <c r="I200" s="14" t="s">
        <v>182</v>
      </c>
      <c r="K200" s="17">
        <f t="shared" si="17"/>
        <v>3</v>
      </c>
      <c r="L200" s="18">
        <f t="shared" si="18"/>
        <v>0</v>
      </c>
      <c r="AB200" s="4"/>
      <c r="AC200" s="2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</row>
    <row r="201" ht="15.75" customHeight="1">
      <c r="A201" s="29"/>
      <c r="B201" s="54">
        <v>45789.0</v>
      </c>
      <c r="C201" s="13" t="s">
        <v>53</v>
      </c>
      <c r="D201" s="13" t="s">
        <v>22</v>
      </c>
      <c r="E201" s="14" t="s">
        <v>33</v>
      </c>
      <c r="F201" s="56">
        <v>2.0</v>
      </c>
      <c r="G201" s="69" t="s">
        <v>173</v>
      </c>
      <c r="H201" s="56">
        <v>0.0</v>
      </c>
      <c r="I201" s="14" t="s">
        <v>68</v>
      </c>
      <c r="K201" s="17">
        <f t="shared" si="17"/>
        <v>3</v>
      </c>
      <c r="L201" s="18">
        <f t="shared" si="18"/>
        <v>0</v>
      </c>
      <c r="AB201" s="4"/>
      <c r="AC201" s="2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</row>
    <row r="202" ht="15.75" customHeight="1">
      <c r="A202" s="29"/>
      <c r="B202" s="54">
        <v>45789.0</v>
      </c>
      <c r="C202" s="13" t="s">
        <v>53</v>
      </c>
      <c r="D202" s="13" t="s">
        <v>22</v>
      </c>
      <c r="E202" s="14" t="s">
        <v>32</v>
      </c>
      <c r="F202" s="56">
        <v>0.0</v>
      </c>
      <c r="G202" s="69" t="s">
        <v>173</v>
      </c>
      <c r="H202" s="56">
        <v>2.0</v>
      </c>
      <c r="I202" s="14" t="s">
        <v>34</v>
      </c>
      <c r="K202" s="17">
        <f t="shared" si="17"/>
        <v>0</v>
      </c>
      <c r="L202" s="18">
        <f t="shared" si="18"/>
        <v>3</v>
      </c>
      <c r="AB202" s="4"/>
      <c r="AC202" s="2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</row>
    <row r="203" ht="15.75" customHeight="1">
      <c r="A203" s="29"/>
      <c r="B203" s="54">
        <v>45789.0</v>
      </c>
      <c r="C203" s="13" t="s">
        <v>53</v>
      </c>
      <c r="D203" s="13" t="s">
        <v>22</v>
      </c>
      <c r="E203" s="14" t="s">
        <v>147</v>
      </c>
      <c r="F203" s="56">
        <v>0.0</v>
      </c>
      <c r="G203" s="69" t="s">
        <v>173</v>
      </c>
      <c r="H203" s="56">
        <v>2.0</v>
      </c>
      <c r="I203" s="14" t="s">
        <v>155</v>
      </c>
      <c r="K203" s="17">
        <f t="shared" si="17"/>
        <v>0</v>
      </c>
      <c r="L203" s="18">
        <f t="shared" si="18"/>
        <v>3</v>
      </c>
      <c r="AB203" s="4"/>
      <c r="AC203" s="2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</row>
    <row r="204" ht="15.75" customHeight="1">
      <c r="A204" s="37"/>
      <c r="B204" s="54"/>
      <c r="C204" s="13"/>
      <c r="D204" s="13"/>
      <c r="E204" s="14" t="s">
        <v>66</v>
      </c>
      <c r="F204" s="56"/>
      <c r="G204" s="69" t="s">
        <v>173</v>
      </c>
      <c r="H204" s="56"/>
      <c r="I204" s="14" t="s">
        <v>96</v>
      </c>
      <c r="K204" s="17" t="str">
        <f t="shared" si="17"/>
        <v/>
      </c>
      <c r="L204" s="18" t="str">
        <f t="shared" si="18"/>
        <v/>
      </c>
      <c r="AB204" s="4"/>
      <c r="AC204" s="2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</row>
    <row r="205" ht="15.75" customHeight="1">
      <c r="A205" s="106">
        <v>11.0</v>
      </c>
      <c r="B205" s="54">
        <v>45798.0</v>
      </c>
      <c r="C205" s="13" t="s">
        <v>76</v>
      </c>
      <c r="D205" s="13" t="s">
        <v>22</v>
      </c>
      <c r="E205" s="14" t="s">
        <v>183</v>
      </c>
      <c r="F205" s="13">
        <v>2.0</v>
      </c>
      <c r="G205" s="69" t="s">
        <v>173</v>
      </c>
      <c r="H205" s="56">
        <v>0.0</v>
      </c>
      <c r="I205" s="214" t="s">
        <v>141</v>
      </c>
      <c r="K205" s="17">
        <f t="shared" si="17"/>
        <v>3</v>
      </c>
      <c r="L205" s="18">
        <f t="shared" si="18"/>
        <v>0</v>
      </c>
      <c r="AB205" s="4"/>
      <c r="AC205" s="2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</row>
    <row r="206" ht="15.75" customHeight="1">
      <c r="A206" s="29"/>
      <c r="B206" s="54">
        <v>45798.0</v>
      </c>
      <c r="C206" s="13" t="s">
        <v>76</v>
      </c>
      <c r="D206" s="13" t="s">
        <v>22</v>
      </c>
      <c r="E206" s="14" t="s">
        <v>182</v>
      </c>
      <c r="F206" s="13">
        <v>2.0</v>
      </c>
      <c r="G206" s="69" t="s">
        <v>173</v>
      </c>
      <c r="H206" s="56">
        <v>0.0</v>
      </c>
      <c r="I206" s="128" t="s">
        <v>33</v>
      </c>
      <c r="K206" s="17">
        <f t="shared" si="17"/>
        <v>3</v>
      </c>
      <c r="L206" s="18">
        <f t="shared" si="18"/>
        <v>0</v>
      </c>
      <c r="AB206" s="4"/>
      <c r="AC206" s="2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</row>
    <row r="207" ht="15.75" customHeight="1">
      <c r="A207" s="29"/>
      <c r="B207" s="54">
        <v>45798.0</v>
      </c>
      <c r="C207" s="13" t="s">
        <v>77</v>
      </c>
      <c r="D207" s="13" t="s">
        <v>22</v>
      </c>
      <c r="E207" s="14" t="s">
        <v>68</v>
      </c>
      <c r="F207" s="13">
        <v>2.0</v>
      </c>
      <c r="G207" s="69" t="s">
        <v>173</v>
      </c>
      <c r="H207" s="56">
        <v>0.0</v>
      </c>
      <c r="I207" s="14" t="s">
        <v>32</v>
      </c>
      <c r="K207" s="17">
        <f t="shared" si="17"/>
        <v>3</v>
      </c>
      <c r="L207" s="18">
        <f t="shared" si="18"/>
        <v>0</v>
      </c>
      <c r="AB207" s="4"/>
      <c r="AC207" s="2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</row>
    <row r="208" ht="15.75" customHeight="1">
      <c r="A208" s="29"/>
      <c r="B208" s="54">
        <v>45798.0</v>
      </c>
      <c r="C208" s="13" t="s">
        <v>77</v>
      </c>
      <c r="D208" s="13" t="s">
        <v>22</v>
      </c>
      <c r="E208" s="14" t="s">
        <v>34</v>
      </c>
      <c r="F208" s="13">
        <v>2.0</v>
      </c>
      <c r="G208" s="69" t="s">
        <v>173</v>
      </c>
      <c r="H208" s="56">
        <v>0.0</v>
      </c>
      <c r="I208" s="14" t="s">
        <v>147</v>
      </c>
      <c r="K208" s="17">
        <f t="shared" si="17"/>
        <v>3</v>
      </c>
      <c r="L208" s="18">
        <f t="shared" si="18"/>
        <v>0</v>
      </c>
      <c r="AB208" s="4"/>
      <c r="AC208" s="2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</row>
    <row r="209" ht="15.75" customHeight="1">
      <c r="A209" s="29"/>
      <c r="B209" s="54">
        <v>45798.0</v>
      </c>
      <c r="C209" s="13" t="s">
        <v>77</v>
      </c>
      <c r="D209" s="13" t="s">
        <v>22</v>
      </c>
      <c r="E209" s="14" t="s">
        <v>155</v>
      </c>
      <c r="F209" s="13">
        <v>0.0</v>
      </c>
      <c r="G209" s="69" t="s">
        <v>173</v>
      </c>
      <c r="H209" s="56">
        <v>2.0</v>
      </c>
      <c r="I209" s="14" t="s">
        <v>66</v>
      </c>
      <c r="K209" s="17">
        <f t="shared" si="17"/>
        <v>0</v>
      </c>
      <c r="L209" s="18">
        <f t="shared" si="18"/>
        <v>3</v>
      </c>
      <c r="AB209" s="4"/>
      <c r="AC209" s="2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</row>
    <row r="210" ht="15.75" customHeight="1">
      <c r="A210" s="37"/>
      <c r="B210" s="215"/>
      <c r="C210" s="215"/>
      <c r="D210" s="215"/>
      <c r="E210" s="14" t="s">
        <v>96</v>
      </c>
      <c r="F210" s="69"/>
      <c r="G210" s="69" t="s">
        <v>173</v>
      </c>
      <c r="H210" s="69"/>
      <c r="I210" s="14" t="s">
        <v>65</v>
      </c>
      <c r="K210" s="17" t="str">
        <f t="shared" si="17"/>
        <v/>
      </c>
      <c r="L210" s="18" t="str">
        <f t="shared" si="18"/>
        <v/>
      </c>
      <c r="AB210" s="4"/>
      <c r="AC210" s="2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</row>
    <row r="211" ht="15.75" customHeight="1">
      <c r="A211" s="122"/>
      <c r="E211" s="2"/>
      <c r="I211" s="2"/>
      <c r="AB211" s="4"/>
      <c r="AC211" s="2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</row>
    <row r="212" ht="15.75" customHeight="1">
      <c r="A212" s="122"/>
      <c r="E212" s="2"/>
      <c r="I212" s="2"/>
      <c r="AB212" s="4"/>
      <c r="AC212" s="2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</row>
    <row r="213" ht="15.75" customHeight="1">
      <c r="A213" s="122"/>
      <c r="E213" s="2"/>
      <c r="I213" s="2"/>
      <c r="AB213" s="4"/>
      <c r="AC213" s="2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</row>
    <row r="214" ht="15.75" customHeight="1">
      <c r="A214" s="122"/>
      <c r="E214" s="2"/>
      <c r="I214" s="2"/>
      <c r="AB214" s="4"/>
      <c r="AC214" s="2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</row>
    <row r="215" ht="15.75" customHeight="1">
      <c r="A215" s="122"/>
      <c r="E215" s="2"/>
      <c r="I215" s="2"/>
      <c r="AB215" s="4"/>
      <c r="AC215" s="2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</row>
    <row r="216" ht="15.75" customHeight="1">
      <c r="A216" s="122"/>
      <c r="E216" s="2"/>
      <c r="I216" s="2"/>
      <c r="AB216" s="4"/>
      <c r="AC216" s="2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</row>
    <row r="217" ht="15.75" customHeight="1">
      <c r="A217" s="122"/>
      <c r="E217" s="2"/>
      <c r="I217" s="2"/>
      <c r="AB217" s="4"/>
      <c r="AC217" s="2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</row>
    <row r="218" ht="15.75" customHeight="1">
      <c r="A218" s="122"/>
      <c r="E218" s="2"/>
      <c r="I218" s="2"/>
      <c r="AB218" s="4"/>
      <c r="AC218" s="2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</row>
    <row r="219" ht="15.75" customHeight="1">
      <c r="A219" s="122"/>
      <c r="E219" s="2"/>
      <c r="I219" s="2"/>
      <c r="AB219" s="4"/>
      <c r="AC219" s="2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</row>
    <row r="220" ht="15.75" customHeight="1">
      <c r="A220" s="122"/>
      <c r="E220" s="2"/>
      <c r="I220" s="2"/>
      <c r="AB220" s="4"/>
      <c r="AC220" s="2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</row>
    <row r="221" ht="15.75" customHeight="1">
      <c r="A221" s="122"/>
      <c r="E221" s="2"/>
      <c r="I221" s="2"/>
      <c r="AB221" s="4"/>
      <c r="AC221" s="2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</row>
    <row r="222" ht="15.75" customHeight="1">
      <c r="A222" s="122"/>
      <c r="E222" s="2"/>
      <c r="I222" s="2"/>
      <c r="AB222" s="4"/>
      <c r="AC222" s="2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</row>
    <row r="223" ht="15.75" customHeight="1">
      <c r="A223" s="122"/>
      <c r="E223" s="2"/>
      <c r="I223" s="2"/>
      <c r="AB223" s="4"/>
      <c r="AC223" s="2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</row>
    <row r="224" ht="15.75" customHeight="1">
      <c r="A224" s="122"/>
      <c r="E224" s="2"/>
      <c r="I224" s="2"/>
      <c r="AB224" s="4"/>
      <c r="AC224" s="2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</row>
    <row r="225" ht="15.75" customHeight="1">
      <c r="A225" s="122"/>
      <c r="E225" s="2"/>
      <c r="I225" s="2"/>
      <c r="AB225" s="4"/>
      <c r="AC225" s="2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</row>
    <row r="226" ht="15.75" customHeight="1">
      <c r="A226" s="122"/>
      <c r="E226" s="2"/>
      <c r="I226" s="2"/>
      <c r="AB226" s="4"/>
      <c r="AC226" s="2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</row>
    <row r="227" ht="15.75" customHeight="1">
      <c r="A227" s="122"/>
      <c r="E227" s="2"/>
      <c r="I227" s="2"/>
      <c r="AB227" s="4"/>
      <c r="AC227" s="2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</row>
    <row r="228" ht="15.75" customHeight="1">
      <c r="A228" s="122"/>
      <c r="E228" s="2"/>
      <c r="I228" s="2"/>
      <c r="AB228" s="4"/>
      <c r="AC228" s="2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</row>
    <row r="229" ht="15.75" customHeight="1">
      <c r="A229" s="122"/>
      <c r="E229" s="2"/>
      <c r="I229" s="2"/>
      <c r="AB229" s="4"/>
      <c r="AC229" s="2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</row>
    <row r="230" ht="15.75" customHeight="1">
      <c r="A230" s="122"/>
      <c r="E230" s="2"/>
      <c r="I230" s="2"/>
      <c r="AB230" s="4"/>
      <c r="AC230" s="2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</row>
    <row r="231" ht="15.75" customHeight="1">
      <c r="A231" s="122"/>
      <c r="E231" s="2"/>
      <c r="I231" s="2"/>
      <c r="AB231" s="4"/>
      <c r="AC231" s="2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</row>
    <row r="232" ht="15.75" customHeight="1">
      <c r="A232" s="122"/>
      <c r="E232" s="2"/>
      <c r="I232" s="2"/>
      <c r="AB232" s="4"/>
      <c r="AC232" s="2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</row>
    <row r="233" ht="15.75" customHeight="1">
      <c r="A233" s="122"/>
      <c r="E233" s="2"/>
      <c r="I233" s="2"/>
      <c r="AB233" s="4"/>
      <c r="AC233" s="2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</row>
    <row r="234" ht="15.75" customHeight="1">
      <c r="A234" s="122"/>
      <c r="E234" s="2"/>
      <c r="I234" s="2"/>
      <c r="AB234" s="4"/>
      <c r="AC234" s="2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</row>
    <row r="235" ht="15.75" customHeight="1">
      <c r="A235" s="122"/>
      <c r="E235" s="2"/>
      <c r="I235" s="2"/>
      <c r="AB235" s="4"/>
      <c r="AC235" s="2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</row>
    <row r="236" ht="15.75" customHeight="1">
      <c r="A236" s="122"/>
      <c r="E236" s="2"/>
      <c r="I236" s="2"/>
      <c r="AB236" s="4"/>
      <c r="AC236" s="2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ht="15.75" customHeight="1">
      <c r="A237" s="122"/>
      <c r="E237" s="2"/>
      <c r="I237" s="2"/>
      <c r="AB237" s="4"/>
      <c r="AC237" s="2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ht="15.75" customHeight="1">
      <c r="A238" s="122"/>
      <c r="E238" s="2"/>
      <c r="I238" s="2"/>
      <c r="AB238" s="4"/>
      <c r="AC238" s="2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</row>
    <row r="239" ht="15.75" customHeight="1">
      <c r="A239" s="122"/>
      <c r="E239" s="2"/>
      <c r="I239" s="2"/>
      <c r="AB239" s="4"/>
      <c r="AC239" s="2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</row>
    <row r="240" ht="15.75" customHeight="1">
      <c r="A240" s="122"/>
      <c r="E240" s="2"/>
      <c r="I240" s="2"/>
      <c r="AB240" s="4"/>
      <c r="AC240" s="2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</row>
    <row r="241" ht="15.75" customHeight="1">
      <c r="A241" s="122"/>
      <c r="E241" s="2"/>
      <c r="I241" s="2"/>
      <c r="AB241" s="4"/>
      <c r="AC241" s="2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ht="15.75" customHeight="1">
      <c r="A242" s="122"/>
      <c r="E242" s="2"/>
      <c r="I242" s="2"/>
      <c r="AB242" s="4"/>
      <c r="AC242" s="2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ht="15.75" customHeight="1">
      <c r="A243" s="122"/>
      <c r="E243" s="2"/>
      <c r="I243" s="2"/>
      <c r="AB243" s="4"/>
      <c r="AC243" s="2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ht="15.75" customHeight="1">
      <c r="A244" s="122"/>
      <c r="E244" s="2"/>
      <c r="I244" s="2"/>
      <c r="AB244" s="4"/>
      <c r="AC244" s="2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ht="15.75" customHeight="1">
      <c r="A245" s="122"/>
      <c r="E245" s="2"/>
      <c r="I245" s="2"/>
      <c r="AB245" s="4"/>
      <c r="AC245" s="2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ht="15.75" customHeight="1">
      <c r="A246" s="122"/>
      <c r="E246" s="2"/>
      <c r="I246" s="2"/>
      <c r="AB246" s="4"/>
      <c r="AC246" s="2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ht="15.75" customHeight="1">
      <c r="A247" s="122"/>
      <c r="E247" s="2"/>
      <c r="I247" s="2"/>
      <c r="AB247" s="4"/>
      <c r="AC247" s="2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ht="15.75" customHeight="1">
      <c r="A248" s="122"/>
      <c r="E248" s="2"/>
      <c r="I248" s="2"/>
      <c r="AB248" s="4"/>
      <c r="AC248" s="2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ht="15.75" customHeight="1">
      <c r="A249" s="122"/>
      <c r="E249" s="2"/>
      <c r="I249" s="2"/>
      <c r="AB249" s="4"/>
      <c r="AC249" s="2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ht="15.75" customHeight="1">
      <c r="A250" s="122"/>
      <c r="E250" s="2"/>
      <c r="I250" s="2"/>
      <c r="AB250" s="4"/>
      <c r="AC250" s="2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ht="15.75" customHeight="1">
      <c r="A251" s="122"/>
      <c r="E251" s="2"/>
      <c r="I251" s="2"/>
      <c r="AB251" s="4"/>
      <c r="AC251" s="2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ht="15.75" customHeight="1">
      <c r="A252" s="122"/>
      <c r="E252" s="2"/>
      <c r="I252" s="2"/>
      <c r="AB252" s="4"/>
      <c r="AC252" s="2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ht="15.75" customHeight="1">
      <c r="A253" s="122"/>
      <c r="E253" s="2"/>
      <c r="I253" s="2"/>
      <c r="AB253" s="4"/>
      <c r="AC253" s="2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ht="15.75" customHeight="1">
      <c r="A254" s="122"/>
      <c r="E254" s="2"/>
      <c r="I254" s="2"/>
      <c r="AB254" s="4"/>
      <c r="AC254" s="2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ht="15.75" customHeight="1">
      <c r="A255" s="122"/>
      <c r="E255" s="2"/>
      <c r="I255" s="2"/>
      <c r="AB255" s="4"/>
      <c r="AC255" s="2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ht="15.75" customHeight="1">
      <c r="A256" s="122"/>
      <c r="E256" s="2"/>
      <c r="I256" s="2"/>
      <c r="AB256" s="4"/>
      <c r="AC256" s="2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ht="15.75" customHeight="1">
      <c r="A257" s="122"/>
      <c r="E257" s="2"/>
      <c r="I257" s="2"/>
      <c r="AB257" s="4"/>
      <c r="AC257" s="2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ht="15.75" customHeight="1">
      <c r="A258" s="122"/>
      <c r="E258" s="2"/>
      <c r="I258" s="2"/>
      <c r="AB258" s="4"/>
      <c r="AC258" s="2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ht="15.75" customHeight="1">
      <c r="A259" s="122"/>
      <c r="E259" s="2"/>
      <c r="I259" s="2"/>
      <c r="AB259" s="4"/>
      <c r="AC259" s="2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ht="15.75" customHeight="1">
      <c r="A260" s="122"/>
      <c r="E260" s="2"/>
      <c r="I260" s="2"/>
      <c r="AB260" s="4"/>
      <c r="AC260" s="2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ht="15.75" customHeight="1">
      <c r="A261" s="122"/>
      <c r="E261" s="2"/>
      <c r="I261" s="2"/>
      <c r="AB261" s="4"/>
      <c r="AC261" s="2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ht="15.75" customHeight="1">
      <c r="A262" s="122"/>
      <c r="E262" s="2"/>
      <c r="I262" s="2"/>
      <c r="AB262" s="4"/>
      <c r="AC262" s="2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ht="15.75" customHeight="1">
      <c r="A263" s="122"/>
      <c r="E263" s="2"/>
      <c r="I263" s="2"/>
      <c r="AB263" s="4"/>
      <c r="AC263" s="2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ht="15.75" customHeight="1">
      <c r="A264" s="122"/>
      <c r="E264" s="2"/>
      <c r="I264" s="2"/>
      <c r="AB264" s="4"/>
      <c r="AC264" s="2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ht="15.75" customHeight="1">
      <c r="A265" s="122"/>
      <c r="E265" s="2"/>
      <c r="I265" s="2"/>
      <c r="AB265" s="4"/>
      <c r="AC265" s="2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ht="15.75" customHeight="1">
      <c r="A266" s="122"/>
      <c r="E266" s="2"/>
      <c r="I266" s="2"/>
      <c r="AB266" s="4"/>
      <c r="AC266" s="2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ht="15.75" customHeight="1">
      <c r="A267" s="122"/>
      <c r="E267" s="2"/>
      <c r="I267" s="2"/>
      <c r="AB267" s="4"/>
      <c r="AC267" s="2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ht="15.75" customHeight="1">
      <c r="A268" s="122"/>
      <c r="E268" s="2"/>
      <c r="I268" s="2"/>
      <c r="AB268" s="4"/>
      <c r="AC268" s="2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ht="15.75" customHeight="1">
      <c r="A269" s="122"/>
      <c r="E269" s="2"/>
      <c r="I269" s="2"/>
      <c r="AB269" s="4"/>
      <c r="AC269" s="2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ht="15.75" customHeight="1">
      <c r="A270" s="122"/>
      <c r="E270" s="2"/>
      <c r="I270" s="2"/>
      <c r="AB270" s="4"/>
      <c r="AC270" s="2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ht="15.75" customHeight="1">
      <c r="A271" s="122"/>
      <c r="E271" s="2"/>
      <c r="I271" s="2"/>
      <c r="AB271" s="4"/>
      <c r="AC271" s="2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ht="15.75" customHeight="1">
      <c r="A272" s="122"/>
      <c r="E272" s="2"/>
      <c r="I272" s="2"/>
      <c r="AB272" s="4"/>
      <c r="AC272" s="2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ht="15.75" customHeight="1">
      <c r="A273" s="122"/>
      <c r="E273" s="2"/>
      <c r="I273" s="2"/>
      <c r="AB273" s="4"/>
      <c r="AC273" s="2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ht="15.75" customHeight="1">
      <c r="A274" s="122"/>
      <c r="E274" s="2"/>
      <c r="I274" s="2"/>
      <c r="AB274" s="4"/>
      <c r="AC274" s="2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ht="15.75" customHeight="1">
      <c r="A275" s="122"/>
      <c r="E275" s="2"/>
      <c r="I275" s="2"/>
      <c r="AB275" s="4"/>
      <c r="AC275" s="2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ht="15.75" customHeight="1">
      <c r="A276" s="122"/>
      <c r="E276" s="2"/>
      <c r="I276" s="2"/>
      <c r="AB276" s="4"/>
      <c r="AC276" s="2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ht="15.75" customHeight="1">
      <c r="A277" s="122"/>
      <c r="E277" s="2"/>
      <c r="I277" s="2"/>
      <c r="AB277" s="4"/>
      <c r="AC277" s="2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ht="15.75" customHeight="1">
      <c r="A278" s="122"/>
      <c r="E278" s="2"/>
      <c r="I278" s="2"/>
      <c r="AB278" s="4"/>
      <c r="AC278" s="2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ht="15.75" customHeight="1">
      <c r="A279" s="122"/>
      <c r="E279" s="2"/>
      <c r="I279" s="2"/>
      <c r="AB279" s="4"/>
      <c r="AC279" s="2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ht="15.75" customHeight="1">
      <c r="A280" s="122"/>
      <c r="E280" s="2"/>
      <c r="I280" s="2"/>
      <c r="AB280" s="4"/>
      <c r="AC280" s="2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ht="15.75" customHeight="1">
      <c r="A281" s="122"/>
      <c r="E281" s="2"/>
      <c r="I281" s="2"/>
      <c r="AB281" s="4"/>
      <c r="AC281" s="2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ht="15.75" customHeight="1">
      <c r="A282" s="122"/>
      <c r="E282" s="2"/>
      <c r="I282" s="2"/>
      <c r="AB282" s="4"/>
      <c r="AC282" s="2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ht="15.75" customHeight="1">
      <c r="A283" s="122"/>
      <c r="E283" s="2"/>
      <c r="I283" s="2"/>
      <c r="AB283" s="4"/>
      <c r="AC283" s="2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ht="15.75" customHeight="1">
      <c r="A284" s="122"/>
      <c r="E284" s="2"/>
      <c r="I284" s="2"/>
      <c r="AB284" s="4"/>
      <c r="AC284" s="2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ht="15.75" customHeight="1">
      <c r="A285" s="122"/>
      <c r="E285" s="2"/>
      <c r="I285" s="2"/>
      <c r="AB285" s="4"/>
      <c r="AC285" s="2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ht="15.75" customHeight="1">
      <c r="A286" s="122"/>
      <c r="E286" s="2"/>
      <c r="I286" s="2"/>
      <c r="AB286" s="4"/>
      <c r="AC286" s="2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ht="15.75" customHeight="1">
      <c r="A287" s="122"/>
      <c r="E287" s="2"/>
      <c r="I287" s="2"/>
      <c r="AB287" s="4"/>
      <c r="AC287" s="2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ht="15.75" customHeight="1">
      <c r="A288" s="122"/>
      <c r="E288" s="2"/>
      <c r="I288" s="2"/>
      <c r="AB288" s="4"/>
      <c r="AC288" s="2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ht="15.75" customHeight="1">
      <c r="A289" s="122"/>
      <c r="E289" s="2"/>
      <c r="I289" s="2"/>
      <c r="AB289" s="4"/>
      <c r="AC289" s="2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ht="15.75" customHeight="1">
      <c r="A290" s="122"/>
      <c r="E290" s="2"/>
      <c r="I290" s="2"/>
      <c r="AB290" s="4"/>
      <c r="AC290" s="2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ht="15.75" customHeight="1">
      <c r="A291" s="122"/>
      <c r="E291" s="2"/>
      <c r="I291" s="2"/>
      <c r="AB291" s="4"/>
      <c r="AC291" s="2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ht="15.75" customHeight="1">
      <c r="A292" s="122"/>
      <c r="E292" s="2"/>
      <c r="I292" s="2"/>
      <c r="AB292" s="4"/>
      <c r="AC292" s="2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ht="15.75" customHeight="1">
      <c r="A293" s="122"/>
      <c r="E293" s="2"/>
      <c r="I293" s="2"/>
      <c r="AB293" s="4"/>
      <c r="AC293" s="2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ht="15.75" customHeight="1">
      <c r="A294" s="122"/>
      <c r="E294" s="2"/>
      <c r="I294" s="2"/>
      <c r="AB294" s="4"/>
      <c r="AC294" s="2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ht="15.75" customHeight="1">
      <c r="A295" s="122"/>
      <c r="E295" s="2"/>
      <c r="I295" s="2"/>
      <c r="AB295" s="4"/>
      <c r="AC295" s="2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ht="15.75" customHeight="1">
      <c r="A296" s="122"/>
      <c r="E296" s="2"/>
      <c r="I296" s="2"/>
      <c r="AB296" s="4"/>
      <c r="AC296" s="2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ht="15.75" customHeight="1">
      <c r="A297" s="122"/>
      <c r="E297" s="2"/>
      <c r="I297" s="2"/>
      <c r="AB297" s="4"/>
      <c r="AC297" s="2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ht="15.75" customHeight="1">
      <c r="A298" s="122"/>
      <c r="E298" s="2"/>
      <c r="I298" s="2"/>
      <c r="AB298" s="4"/>
      <c r="AC298" s="2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ht="15.75" customHeight="1">
      <c r="A299" s="122"/>
      <c r="E299" s="2"/>
      <c r="I299" s="2"/>
      <c r="AB299" s="4"/>
      <c r="AC299" s="2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ht="15.75" customHeight="1">
      <c r="A300" s="122"/>
      <c r="E300" s="2"/>
      <c r="I300" s="2"/>
      <c r="AB300" s="4"/>
      <c r="AC300" s="2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ht="15.75" customHeight="1">
      <c r="A301" s="122"/>
      <c r="E301" s="2"/>
      <c r="I301" s="2"/>
      <c r="AB301" s="4"/>
      <c r="AC301" s="2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ht="15.75" customHeight="1">
      <c r="A302" s="122"/>
      <c r="E302" s="2"/>
      <c r="I302" s="2"/>
      <c r="AB302" s="4"/>
      <c r="AC302" s="2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ht="15.75" customHeight="1">
      <c r="A303" s="122"/>
      <c r="E303" s="2"/>
      <c r="I303" s="2"/>
      <c r="AB303" s="4"/>
      <c r="AC303" s="2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ht="15.75" customHeight="1">
      <c r="A304" s="122"/>
      <c r="E304" s="2"/>
      <c r="I304" s="2"/>
      <c r="AB304" s="4"/>
      <c r="AC304" s="2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ht="15.75" customHeight="1">
      <c r="A305" s="122"/>
      <c r="E305" s="2"/>
      <c r="I305" s="2"/>
      <c r="AB305" s="4"/>
      <c r="AC305" s="2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ht="15.75" customHeight="1">
      <c r="A306" s="122"/>
      <c r="E306" s="2"/>
      <c r="I306" s="2"/>
      <c r="AB306" s="4"/>
      <c r="AC306" s="2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ht="15.75" customHeight="1">
      <c r="A307" s="122"/>
      <c r="E307" s="2"/>
      <c r="I307" s="2"/>
      <c r="AB307" s="4"/>
      <c r="AC307" s="2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ht="15.75" customHeight="1">
      <c r="A308" s="122"/>
      <c r="E308" s="2"/>
      <c r="I308" s="2"/>
      <c r="AB308" s="4"/>
      <c r="AC308" s="2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ht="15.75" customHeight="1">
      <c r="A309" s="122"/>
      <c r="E309" s="2"/>
      <c r="I309" s="2"/>
      <c r="AB309" s="4"/>
      <c r="AC309" s="2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ht="15.75" customHeight="1">
      <c r="A310" s="122"/>
      <c r="E310" s="2"/>
      <c r="I310" s="2"/>
      <c r="AB310" s="4"/>
      <c r="AC310" s="2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ht="15.75" customHeight="1">
      <c r="A311" s="122"/>
      <c r="E311" s="2"/>
      <c r="I311" s="2"/>
      <c r="AB311" s="4"/>
      <c r="AC311" s="2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ht="15.75" customHeight="1">
      <c r="A312" s="122"/>
      <c r="E312" s="2"/>
      <c r="I312" s="2"/>
      <c r="AB312" s="4"/>
      <c r="AC312" s="2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ht="15.75" customHeight="1">
      <c r="A313" s="122"/>
      <c r="E313" s="2"/>
      <c r="I313" s="2"/>
      <c r="AB313" s="4"/>
      <c r="AC313" s="2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ht="15.75" customHeight="1">
      <c r="A314" s="122"/>
      <c r="E314" s="2"/>
      <c r="I314" s="2"/>
      <c r="AB314" s="4"/>
      <c r="AC314" s="2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ht="15.75" customHeight="1">
      <c r="A315" s="122"/>
      <c r="E315" s="2"/>
      <c r="I315" s="2"/>
      <c r="AB315" s="4"/>
      <c r="AC315" s="2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ht="15.75" customHeight="1">
      <c r="A316" s="122"/>
      <c r="E316" s="2"/>
      <c r="I316" s="2"/>
      <c r="AB316" s="4"/>
      <c r="AC316" s="2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ht="15.75" customHeight="1">
      <c r="A317" s="122"/>
      <c r="E317" s="2"/>
      <c r="I317" s="2"/>
      <c r="AB317" s="4"/>
      <c r="AC317" s="2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ht="15.75" customHeight="1">
      <c r="A318" s="122"/>
      <c r="E318" s="2"/>
      <c r="I318" s="2"/>
      <c r="AB318" s="4"/>
      <c r="AC318" s="2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ht="15.75" customHeight="1">
      <c r="A319" s="122"/>
      <c r="E319" s="2"/>
      <c r="I319" s="2"/>
      <c r="AB319" s="4"/>
      <c r="AC319" s="2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ht="15.75" customHeight="1">
      <c r="A320" s="122"/>
      <c r="E320" s="2"/>
      <c r="I320" s="2"/>
      <c r="AB320" s="4"/>
      <c r="AC320" s="2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  <row r="321" ht="15.75" customHeight="1">
      <c r="A321" s="122"/>
      <c r="E321" s="2"/>
      <c r="I321" s="2"/>
      <c r="AB321" s="4"/>
      <c r="AC321" s="2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</row>
    <row r="322" ht="15.75" customHeight="1">
      <c r="A322" s="122"/>
      <c r="E322" s="2"/>
      <c r="I322" s="2"/>
      <c r="AB322" s="4"/>
      <c r="AC322" s="2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</row>
    <row r="323" ht="15.75" customHeight="1">
      <c r="A323" s="122"/>
      <c r="E323" s="2"/>
      <c r="I323" s="2"/>
      <c r="AB323" s="4"/>
      <c r="AC323" s="2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</row>
    <row r="324" ht="15.75" customHeight="1">
      <c r="A324" s="122"/>
      <c r="E324" s="2"/>
      <c r="I324" s="2"/>
      <c r="AB324" s="4"/>
      <c r="AC324" s="2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</row>
    <row r="325" ht="15.75" customHeight="1">
      <c r="A325" s="122"/>
      <c r="E325" s="2"/>
      <c r="I325" s="2"/>
      <c r="AB325" s="4"/>
      <c r="AC325" s="2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</row>
    <row r="326" ht="15.75" customHeight="1">
      <c r="A326" s="122"/>
      <c r="E326" s="2"/>
      <c r="I326" s="2"/>
      <c r="AB326" s="4"/>
      <c r="AC326" s="2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</row>
    <row r="327" ht="15.75" customHeight="1">
      <c r="A327" s="122"/>
      <c r="E327" s="2"/>
      <c r="I327" s="2"/>
      <c r="AB327" s="4"/>
      <c r="AC327" s="2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</row>
    <row r="328" ht="15.75" customHeight="1">
      <c r="A328" s="122"/>
      <c r="E328" s="2"/>
      <c r="I328" s="2"/>
      <c r="AB328" s="4"/>
      <c r="AC328" s="2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</row>
    <row r="329" ht="15.75" customHeight="1">
      <c r="A329" s="122"/>
      <c r="E329" s="2"/>
      <c r="I329" s="2"/>
      <c r="AB329" s="4"/>
      <c r="AC329" s="2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</row>
    <row r="330" ht="15.75" customHeight="1">
      <c r="A330" s="122"/>
      <c r="E330" s="2"/>
      <c r="I330" s="2"/>
      <c r="AB330" s="4"/>
      <c r="AC330" s="2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</row>
    <row r="331" ht="15.75" customHeight="1">
      <c r="A331" s="122"/>
      <c r="E331" s="2"/>
      <c r="I331" s="2"/>
      <c r="AB331" s="4"/>
      <c r="AC331" s="2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</row>
    <row r="332" ht="15.75" customHeight="1">
      <c r="A332" s="122"/>
      <c r="E332" s="2"/>
      <c r="I332" s="2"/>
      <c r="AB332" s="4"/>
      <c r="AC332" s="2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</row>
    <row r="333" ht="15.75" customHeight="1">
      <c r="A333" s="122"/>
      <c r="E333" s="2"/>
      <c r="I333" s="2"/>
      <c r="AB333" s="4"/>
      <c r="AC333" s="2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</row>
    <row r="334" ht="15.75" customHeight="1">
      <c r="A334" s="122"/>
      <c r="E334" s="2"/>
      <c r="I334" s="2"/>
      <c r="AB334" s="4"/>
      <c r="AC334" s="2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</row>
    <row r="335" ht="15.75" customHeight="1">
      <c r="A335" s="122"/>
      <c r="E335" s="2"/>
      <c r="I335" s="2"/>
      <c r="AB335" s="4"/>
      <c r="AC335" s="2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</row>
    <row r="336" ht="15.75" customHeight="1">
      <c r="A336" s="122"/>
      <c r="E336" s="2"/>
      <c r="I336" s="2"/>
      <c r="AB336" s="4"/>
      <c r="AC336" s="2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</row>
    <row r="337" ht="15.75" customHeight="1">
      <c r="A337" s="122"/>
      <c r="E337" s="2"/>
      <c r="I337" s="2"/>
      <c r="AB337" s="4"/>
      <c r="AC337" s="2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</row>
    <row r="338" ht="15.75" customHeight="1">
      <c r="A338" s="122"/>
      <c r="E338" s="2"/>
      <c r="I338" s="2"/>
      <c r="AB338" s="4"/>
      <c r="AC338" s="2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</row>
    <row r="339" ht="15.75" customHeight="1">
      <c r="A339" s="122"/>
      <c r="E339" s="2"/>
      <c r="I339" s="2"/>
      <c r="AB339" s="4"/>
      <c r="AC339" s="2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</row>
    <row r="340" ht="15.75" customHeight="1">
      <c r="A340" s="122"/>
      <c r="E340" s="2"/>
      <c r="I340" s="2"/>
      <c r="AB340" s="4"/>
      <c r="AC340" s="2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</row>
    <row r="341" ht="15.75" customHeight="1">
      <c r="A341" s="122"/>
      <c r="E341" s="2"/>
      <c r="I341" s="2"/>
      <c r="AB341" s="4"/>
      <c r="AC341" s="2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</row>
    <row r="342" ht="15.75" customHeight="1">
      <c r="A342" s="122"/>
      <c r="E342" s="2"/>
      <c r="I342" s="2"/>
      <c r="AB342" s="4"/>
      <c r="AC342" s="2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</row>
    <row r="343" ht="15.75" customHeight="1">
      <c r="A343" s="122"/>
      <c r="E343" s="2"/>
      <c r="I343" s="2"/>
      <c r="AB343" s="4"/>
      <c r="AC343" s="2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</row>
    <row r="344" ht="15.75" customHeight="1">
      <c r="A344" s="122"/>
      <c r="E344" s="2"/>
      <c r="I344" s="2"/>
      <c r="AB344" s="4"/>
      <c r="AC344" s="2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</row>
    <row r="345" ht="15.75" customHeight="1">
      <c r="A345" s="122"/>
      <c r="E345" s="2"/>
      <c r="I345" s="2"/>
      <c r="AB345" s="4"/>
      <c r="AC345" s="2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</row>
    <row r="346" ht="15.75" customHeight="1">
      <c r="A346" s="122"/>
      <c r="E346" s="2"/>
      <c r="I346" s="2"/>
      <c r="AB346" s="4"/>
      <c r="AC346" s="2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</row>
    <row r="347" ht="15.75" customHeight="1">
      <c r="A347" s="122"/>
      <c r="E347" s="2"/>
      <c r="I347" s="2"/>
      <c r="AB347" s="4"/>
      <c r="AC347" s="2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</row>
    <row r="348" ht="15.75" customHeight="1">
      <c r="A348" s="122"/>
      <c r="E348" s="2"/>
      <c r="I348" s="2"/>
      <c r="AB348" s="4"/>
      <c r="AC348" s="2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</row>
    <row r="349" ht="15.75" customHeight="1">
      <c r="A349" s="122"/>
      <c r="E349" s="2"/>
      <c r="I349" s="2"/>
      <c r="AB349" s="4"/>
      <c r="AC349" s="2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</row>
    <row r="350" ht="15.75" customHeight="1">
      <c r="A350" s="122"/>
      <c r="E350" s="2"/>
      <c r="I350" s="2"/>
      <c r="AB350" s="4"/>
      <c r="AC350" s="2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</row>
    <row r="351" ht="15.75" customHeight="1">
      <c r="A351" s="122"/>
      <c r="E351" s="2"/>
      <c r="I351" s="2"/>
      <c r="AB351" s="4"/>
      <c r="AC351" s="2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</row>
    <row r="352" ht="15.75" customHeight="1">
      <c r="A352" s="122"/>
      <c r="E352" s="2"/>
      <c r="I352" s="2"/>
      <c r="AB352" s="4"/>
      <c r="AC352" s="2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</row>
    <row r="353" ht="15.75" customHeight="1">
      <c r="A353" s="122"/>
      <c r="E353" s="2"/>
      <c r="I353" s="2"/>
      <c r="AB353" s="4"/>
      <c r="AC353" s="2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</row>
    <row r="354" ht="15.75" customHeight="1">
      <c r="A354" s="122"/>
      <c r="E354" s="2"/>
      <c r="I354" s="2"/>
      <c r="AB354" s="4"/>
      <c r="AC354" s="2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</row>
    <row r="355" ht="15.75" customHeight="1">
      <c r="A355" s="122"/>
      <c r="E355" s="2"/>
      <c r="I355" s="2"/>
      <c r="AB355" s="4"/>
      <c r="AC355" s="2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</row>
    <row r="356" ht="15.75" customHeight="1">
      <c r="A356" s="122"/>
      <c r="E356" s="2"/>
      <c r="I356" s="2"/>
      <c r="AB356" s="4"/>
      <c r="AC356" s="2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</row>
    <row r="357" ht="15.75" customHeight="1">
      <c r="A357" s="122"/>
      <c r="E357" s="2"/>
      <c r="I357" s="2"/>
      <c r="AB357" s="4"/>
      <c r="AC357" s="2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</row>
    <row r="358" ht="15.75" customHeight="1">
      <c r="A358" s="122"/>
      <c r="E358" s="2"/>
      <c r="I358" s="2"/>
      <c r="AB358" s="4"/>
      <c r="AC358" s="2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</row>
    <row r="359" ht="15.75" customHeight="1">
      <c r="A359" s="122"/>
      <c r="E359" s="2"/>
      <c r="I359" s="2"/>
      <c r="AB359" s="4"/>
      <c r="AC359" s="2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</row>
    <row r="360" ht="15.75" customHeight="1">
      <c r="A360" s="122"/>
      <c r="E360" s="2"/>
      <c r="I360" s="2"/>
      <c r="AB360" s="4"/>
      <c r="AC360" s="2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</row>
    <row r="361" ht="15.75" customHeight="1">
      <c r="A361" s="122"/>
      <c r="E361" s="2"/>
      <c r="I361" s="2"/>
      <c r="AB361" s="4"/>
      <c r="AC361" s="2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</row>
    <row r="362" ht="15.75" customHeight="1">
      <c r="A362" s="122"/>
      <c r="E362" s="2"/>
      <c r="I362" s="2"/>
      <c r="AB362" s="4"/>
      <c r="AC362" s="2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</row>
    <row r="363" ht="15.75" customHeight="1">
      <c r="A363" s="122"/>
      <c r="E363" s="2"/>
      <c r="I363" s="2"/>
      <c r="AB363" s="4"/>
      <c r="AC363" s="2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</row>
    <row r="364" ht="15.75" customHeight="1">
      <c r="A364" s="122"/>
      <c r="E364" s="2"/>
      <c r="I364" s="2"/>
      <c r="AB364" s="4"/>
      <c r="AC364" s="2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</row>
    <row r="365" ht="15.75" customHeight="1">
      <c r="A365" s="122"/>
      <c r="E365" s="2"/>
      <c r="I365" s="2"/>
      <c r="AB365" s="4"/>
      <c r="AC365" s="2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</row>
    <row r="366" ht="15.75" customHeight="1">
      <c r="A366" s="122"/>
      <c r="E366" s="2"/>
      <c r="I366" s="2"/>
      <c r="AB366" s="4"/>
      <c r="AC366" s="2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</row>
    <row r="367" ht="15.75" customHeight="1">
      <c r="A367" s="122"/>
      <c r="E367" s="2"/>
      <c r="I367" s="2"/>
      <c r="AB367" s="4"/>
      <c r="AC367" s="2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</row>
    <row r="368" ht="15.75" customHeight="1">
      <c r="A368" s="122"/>
      <c r="E368" s="2"/>
      <c r="I368" s="2"/>
      <c r="AB368" s="4"/>
      <c r="AC368" s="2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</row>
    <row r="369" ht="15.75" customHeight="1">
      <c r="A369" s="122"/>
      <c r="E369" s="2"/>
      <c r="I369" s="2"/>
      <c r="AB369" s="4"/>
      <c r="AC369" s="2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</row>
    <row r="370" ht="15.75" customHeight="1">
      <c r="A370" s="122"/>
      <c r="E370" s="2"/>
      <c r="I370" s="2"/>
      <c r="AB370" s="4"/>
      <c r="AC370" s="2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</row>
    <row r="371" ht="15.75" customHeight="1">
      <c r="A371" s="122"/>
      <c r="E371" s="2"/>
      <c r="I371" s="2"/>
      <c r="AB371" s="4"/>
      <c r="AC371" s="2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</row>
    <row r="372" ht="15.75" customHeight="1">
      <c r="A372" s="122"/>
      <c r="E372" s="2"/>
      <c r="I372" s="2"/>
      <c r="AB372" s="4"/>
      <c r="AC372" s="2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</row>
    <row r="373" ht="15.75" customHeight="1">
      <c r="A373" s="122"/>
      <c r="E373" s="2"/>
      <c r="I373" s="2"/>
      <c r="AB373" s="4"/>
      <c r="AC373" s="2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</row>
    <row r="374" ht="15.75" customHeight="1">
      <c r="A374" s="122"/>
      <c r="E374" s="2"/>
      <c r="I374" s="2"/>
      <c r="AB374" s="4"/>
      <c r="AC374" s="2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</row>
    <row r="375" ht="15.75" customHeight="1">
      <c r="A375" s="122"/>
      <c r="E375" s="2"/>
      <c r="I375" s="2"/>
      <c r="AB375" s="4"/>
      <c r="AC375" s="2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</row>
    <row r="376" ht="15.75" customHeight="1">
      <c r="A376" s="122"/>
      <c r="E376" s="2"/>
      <c r="I376" s="2"/>
      <c r="AB376" s="4"/>
      <c r="AC376" s="2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</row>
    <row r="377" ht="15.75" customHeight="1">
      <c r="A377" s="122"/>
      <c r="E377" s="2"/>
      <c r="I377" s="2"/>
      <c r="AB377" s="4"/>
      <c r="AC377" s="2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</row>
    <row r="378" ht="15.75" customHeight="1">
      <c r="A378" s="122"/>
      <c r="E378" s="2"/>
      <c r="I378" s="2"/>
      <c r="AB378" s="4"/>
      <c r="AC378" s="2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</row>
    <row r="379" ht="15.75" customHeight="1">
      <c r="A379" s="122"/>
      <c r="E379" s="2"/>
      <c r="I379" s="2"/>
      <c r="AB379" s="4"/>
      <c r="AC379" s="2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</row>
    <row r="380" ht="15.75" customHeight="1">
      <c r="A380" s="122"/>
      <c r="E380" s="2"/>
      <c r="I380" s="2"/>
      <c r="AB380" s="4"/>
      <c r="AC380" s="2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</row>
    <row r="381" ht="15.75" customHeight="1">
      <c r="A381" s="122"/>
      <c r="E381" s="2"/>
      <c r="I381" s="2"/>
      <c r="AB381" s="4"/>
      <c r="AC381" s="2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</row>
    <row r="382" ht="15.75" customHeight="1">
      <c r="A382" s="122"/>
      <c r="E382" s="2"/>
      <c r="I382" s="2"/>
      <c r="AB382" s="4"/>
      <c r="AC382" s="2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</row>
    <row r="383" ht="15.75" customHeight="1">
      <c r="A383" s="122"/>
      <c r="E383" s="2"/>
      <c r="I383" s="2"/>
      <c r="AB383" s="4"/>
      <c r="AC383" s="2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</row>
    <row r="384" ht="15.75" customHeight="1">
      <c r="A384" s="122"/>
      <c r="E384" s="2"/>
      <c r="I384" s="2"/>
      <c r="AB384" s="4"/>
      <c r="AC384" s="2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</row>
    <row r="385" ht="15.75" customHeight="1">
      <c r="A385" s="122"/>
      <c r="E385" s="2"/>
      <c r="I385" s="2"/>
      <c r="AB385" s="4"/>
      <c r="AC385" s="2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</row>
    <row r="386" ht="15.75" customHeight="1">
      <c r="A386" s="122"/>
      <c r="E386" s="2"/>
      <c r="I386" s="2"/>
      <c r="AB386" s="4"/>
      <c r="AC386" s="2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</row>
    <row r="387" ht="15.75" customHeight="1">
      <c r="A387" s="122"/>
      <c r="E387" s="2"/>
      <c r="I387" s="2"/>
      <c r="AB387" s="4"/>
      <c r="AC387" s="2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</row>
    <row r="388" ht="15.75" customHeight="1">
      <c r="A388" s="122"/>
      <c r="E388" s="2"/>
      <c r="I388" s="2"/>
      <c r="AB388" s="4"/>
      <c r="AC388" s="2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</row>
    <row r="389" ht="15.75" customHeight="1">
      <c r="A389" s="122"/>
      <c r="E389" s="2"/>
      <c r="I389" s="2"/>
      <c r="AB389" s="4"/>
      <c r="AC389" s="2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1:G1"/>
    <mergeCell ref="F2:H2"/>
    <mergeCell ref="A3:A8"/>
    <mergeCell ref="A9:A14"/>
    <mergeCell ref="AB15:AD15"/>
    <mergeCell ref="AB16:AD23"/>
    <mergeCell ref="AE16:AF23"/>
    <mergeCell ref="AB24:AD24"/>
    <mergeCell ref="A57:A62"/>
    <mergeCell ref="A63:A68"/>
    <mergeCell ref="A72:G72"/>
    <mergeCell ref="F73:H73"/>
    <mergeCell ref="A74:A79"/>
    <mergeCell ref="A80:A85"/>
    <mergeCell ref="A86:A91"/>
    <mergeCell ref="AB86:AD86"/>
    <mergeCell ref="AE86:AF93"/>
    <mergeCell ref="AB88:AD95"/>
    <mergeCell ref="A15:A20"/>
    <mergeCell ref="A21:A26"/>
    <mergeCell ref="A27:A32"/>
    <mergeCell ref="A33:A38"/>
    <mergeCell ref="A39:A44"/>
    <mergeCell ref="A45:A50"/>
    <mergeCell ref="A51:A56"/>
    <mergeCell ref="A134:A139"/>
    <mergeCell ref="A143:G143"/>
    <mergeCell ref="F144:H144"/>
    <mergeCell ref="A145:A150"/>
    <mergeCell ref="A151:A156"/>
    <mergeCell ref="A157:A162"/>
    <mergeCell ref="AB157:AD157"/>
    <mergeCell ref="AE157:AG164"/>
    <mergeCell ref="AB158:AD165"/>
    <mergeCell ref="A163:A168"/>
    <mergeCell ref="A169:A174"/>
    <mergeCell ref="A175:A180"/>
    <mergeCell ref="A181:A186"/>
    <mergeCell ref="A187:A192"/>
    <mergeCell ref="A193:A198"/>
    <mergeCell ref="A199:A204"/>
    <mergeCell ref="A205:A210"/>
    <mergeCell ref="A92:A97"/>
    <mergeCell ref="A98:A103"/>
    <mergeCell ref="A104:A109"/>
    <mergeCell ref="A110:A115"/>
    <mergeCell ref="A116:A121"/>
    <mergeCell ref="A122:A127"/>
    <mergeCell ref="A128:A13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8.63"/>
    <col customWidth="1" min="3" max="3" width="14.0"/>
    <col customWidth="1" min="4" max="4" width="12.75"/>
    <col customWidth="1" min="5" max="5" width="18.75"/>
    <col customWidth="1" min="6" max="6" width="37.0"/>
    <col customWidth="1" min="7" max="7" width="13.38"/>
    <col customWidth="1" min="8" max="8" width="48.13"/>
  </cols>
  <sheetData>
    <row r="1" ht="15.75" customHeight="1">
      <c r="A1" s="216" t="s">
        <v>185</v>
      </c>
      <c r="B1" s="217" t="s">
        <v>186</v>
      </c>
      <c r="C1" s="217" t="s">
        <v>187</v>
      </c>
      <c r="D1" s="217" t="s">
        <v>188</v>
      </c>
      <c r="E1" s="217" t="s">
        <v>189</v>
      </c>
      <c r="F1" s="217" t="s">
        <v>190</v>
      </c>
      <c r="G1" s="217" t="s">
        <v>191</v>
      </c>
      <c r="H1" s="217" t="s">
        <v>192</v>
      </c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ht="15.75" customHeight="1">
      <c r="A2" s="218" t="s">
        <v>193</v>
      </c>
      <c r="B2" s="219" t="s">
        <v>194</v>
      </c>
      <c r="C2" s="220" t="s">
        <v>50</v>
      </c>
      <c r="D2" s="220" t="s">
        <v>195</v>
      </c>
      <c r="E2" s="221">
        <v>108125.0</v>
      </c>
      <c r="F2" s="222" t="s">
        <v>196</v>
      </c>
      <c r="G2" s="219" t="s">
        <v>197</v>
      </c>
      <c r="H2" s="220" t="s">
        <v>198</v>
      </c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ht="15.75" customHeight="1">
      <c r="A3" s="218" t="s">
        <v>193</v>
      </c>
      <c r="B3" s="219" t="s">
        <v>199</v>
      </c>
      <c r="C3" s="219" t="s">
        <v>33</v>
      </c>
      <c r="D3" s="219" t="s">
        <v>200</v>
      </c>
      <c r="E3" s="223">
        <v>89159.0</v>
      </c>
      <c r="F3" s="224" t="s">
        <v>201</v>
      </c>
      <c r="G3" s="219" t="s">
        <v>197</v>
      </c>
      <c r="H3" s="219" t="s">
        <v>202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ht="15.75" customHeight="1">
      <c r="A4" s="218" t="s">
        <v>193</v>
      </c>
      <c r="B4" s="219" t="s">
        <v>203</v>
      </c>
      <c r="C4" s="219" t="s">
        <v>65</v>
      </c>
      <c r="D4" s="219" t="s">
        <v>204</v>
      </c>
      <c r="E4" s="223">
        <v>100096.0</v>
      </c>
      <c r="F4" s="224" t="s">
        <v>205</v>
      </c>
      <c r="G4" s="219" t="s">
        <v>197</v>
      </c>
      <c r="H4" s="219" t="s">
        <v>206</v>
      </c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ht="15.75" customHeight="1">
      <c r="A5" s="218" t="s">
        <v>193</v>
      </c>
      <c r="B5" s="219" t="s">
        <v>207</v>
      </c>
      <c r="C5" s="219" t="s">
        <v>111</v>
      </c>
      <c r="D5" s="219" t="s">
        <v>208</v>
      </c>
      <c r="E5" s="223">
        <v>108498.0</v>
      </c>
      <c r="F5" s="224" t="s">
        <v>209</v>
      </c>
      <c r="G5" s="219" t="s">
        <v>197</v>
      </c>
      <c r="H5" s="219" t="s">
        <v>210</v>
      </c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ht="15.75" customHeight="1">
      <c r="A6" s="218" t="s">
        <v>193</v>
      </c>
      <c r="B6" s="219" t="s">
        <v>211</v>
      </c>
      <c r="C6" s="219" t="s">
        <v>70</v>
      </c>
      <c r="D6" s="219" t="s">
        <v>212</v>
      </c>
      <c r="E6" s="223">
        <v>110713.0</v>
      </c>
      <c r="F6" s="224" t="s">
        <v>205</v>
      </c>
      <c r="G6" s="219" t="s">
        <v>197</v>
      </c>
      <c r="H6" s="219" t="s">
        <v>213</v>
      </c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15.75" customHeight="1">
      <c r="A7" s="218" t="s">
        <v>193</v>
      </c>
      <c r="B7" s="219" t="s">
        <v>214</v>
      </c>
      <c r="C7" s="219" t="s">
        <v>32</v>
      </c>
      <c r="D7" s="219" t="s">
        <v>215</v>
      </c>
      <c r="E7" s="223">
        <v>108196.0</v>
      </c>
      <c r="F7" s="224" t="s">
        <v>209</v>
      </c>
      <c r="G7" s="219" t="s">
        <v>197</v>
      </c>
      <c r="H7" s="219" t="s">
        <v>210</v>
      </c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 ht="15.75" customHeight="1">
      <c r="A8" s="218" t="s">
        <v>216</v>
      </c>
      <c r="B8" s="219" t="s">
        <v>217</v>
      </c>
      <c r="C8" s="219" t="s">
        <v>72</v>
      </c>
      <c r="D8" s="219" t="s">
        <v>218</v>
      </c>
      <c r="E8" s="223">
        <v>103269.0</v>
      </c>
      <c r="F8" s="224" t="s">
        <v>209</v>
      </c>
      <c r="G8" s="219" t="s">
        <v>197</v>
      </c>
      <c r="H8" s="219" t="s">
        <v>210</v>
      </c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ht="15.75" customHeight="1">
      <c r="A9" s="218" t="s">
        <v>193</v>
      </c>
      <c r="B9" s="219" t="s">
        <v>219</v>
      </c>
      <c r="C9" s="219" t="s">
        <v>166</v>
      </c>
      <c r="D9" s="219" t="s">
        <v>220</v>
      </c>
      <c r="E9" s="223">
        <v>109271.0</v>
      </c>
      <c r="F9" s="224" t="s">
        <v>209</v>
      </c>
      <c r="G9" s="219" t="s">
        <v>221</v>
      </c>
      <c r="H9" s="219" t="s">
        <v>222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ht="15.75" customHeight="1">
      <c r="A10" s="218" t="s">
        <v>193</v>
      </c>
      <c r="B10" s="219" t="s">
        <v>223</v>
      </c>
      <c r="C10" s="219" t="s">
        <v>144</v>
      </c>
      <c r="D10" s="219" t="s">
        <v>224</v>
      </c>
      <c r="E10" s="223">
        <v>108249.0</v>
      </c>
      <c r="F10" s="224" t="s">
        <v>209</v>
      </c>
      <c r="G10" s="219" t="s">
        <v>221</v>
      </c>
      <c r="H10" s="219" t="s">
        <v>222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ht="15.75" customHeight="1">
      <c r="A11" s="218" t="s">
        <v>193</v>
      </c>
      <c r="B11" s="219" t="s">
        <v>225</v>
      </c>
      <c r="C11" s="219" t="s">
        <v>42</v>
      </c>
      <c r="D11" s="219" t="s">
        <v>226</v>
      </c>
      <c r="E11" s="223">
        <v>103583.0</v>
      </c>
      <c r="F11" s="224" t="s">
        <v>209</v>
      </c>
      <c r="G11" s="219" t="s">
        <v>221</v>
      </c>
      <c r="H11" s="219" t="s">
        <v>227</v>
      </c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ht="15.75" customHeight="1">
      <c r="A12" s="218" t="s">
        <v>193</v>
      </c>
      <c r="B12" s="219" t="s">
        <v>225</v>
      </c>
      <c r="C12" s="219" t="s">
        <v>42</v>
      </c>
      <c r="D12" s="219" t="s">
        <v>228</v>
      </c>
      <c r="E12" s="223">
        <v>93245.0</v>
      </c>
      <c r="F12" s="225" t="s">
        <v>229</v>
      </c>
      <c r="G12" s="226">
        <v>44870.0</v>
      </c>
      <c r="H12" s="227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