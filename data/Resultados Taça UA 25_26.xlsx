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<sst xmlns="http://schemas.openxmlformats.org/spreadsheetml/2006/main" count="7485" uniqueCount="268">
  <si>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</si>
  <si>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</si>
  <si>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</si>
  <si>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</si>
  <si>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</si>
  <si>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</si>
  <si>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</si>
  <si>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</si>
  <si>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</si>
  <si>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</si>
  <si>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</si>
  <si>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</si>
  <si>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</si>
  <si>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</si>
  <si>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</si>
  <si>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</si>
  <si>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</si>
  <si>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</si>
  <si>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</si>
  <si>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</si>
  <si>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</si>
  <si>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</si>
  <si>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</si>
  <si>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</si>
  <si>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</si>
  <si>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</si>
  <si>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</si>
  <si>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</si>
  <si>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</si>
  <si>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</si>
  <si>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</si>
  <si>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</si>
  <si>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</si>
  <si>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</si>
  <si>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</si>
  <si>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</si>
  <si>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</si>
  <si>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</si>
  <si>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</si>
  <si>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</si>
  <si>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</si>
  <si>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</si>
  <si>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</si>
  <si>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</si>
  <si>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</si>
  <si>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</si>
  <si>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</si>
  <si>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</si>
  <si>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</si>
  <si>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</si>
  <si>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</si>
  <si>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</si>
  <si>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</si>
  <si>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</si>
  <si>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</si>
  <si>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</si>
  <si>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</si>
  <si>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</si>
  <si>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</si>
  <si>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</si>
  <si>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</si>
  <si>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</si>
  <si>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</si>
  <si>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</si>
  <si>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</si>
  <si>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</si>
  <si>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</si>
  <si>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</si>
  <si>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</si>
  <si>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</si>
  <si>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</si>
  <si>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</si>
  <si>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</si>
  <si>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</si>
  <si>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</si>
  <si>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</si>
  <si>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</si>
  <si>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</si>
  <si>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</si>
  <si>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</si>
  <si>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</si>
  <si>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</si>
  <si>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</si>
  <si>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</si>
  <si>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</si>
  <si>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</si>
  <si>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</si>
  <si>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</si>
  <si>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</si>
  <si>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</si>
  <si>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</si>
  <si>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</si>
  <si>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</si>
  <si>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</si>
  <si>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</si>
  <si>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</si>
  <si>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</si>
  <si>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</si>
  <si>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</si>
  <si>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</si>
  <si>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</si>
  <si>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</si>
  <si>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</si>
  <si>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</si>
  <si>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</si>
  <si>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</si>
  <si>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</si>
  <si>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</si>
  <si>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</si>
  <si>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</si>
  <si>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</si>
  <si>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</si>
  <si>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</si>
  <si>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</si>
  <si>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</si>
  <si>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</si>
  <si>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</si>
  <si>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</si>
  <si>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</si>
  <si>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</si>
  <si>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</si>
  <si>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</si>
  <si>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</si>
  <si>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</si>
  <si>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</si>
  <si>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</si>
  <si>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</si>
  <si>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</si>
  <si>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</si>
  <si>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</si>
  <si>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</si>
  <si>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</si>
  <si>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Vencedor QF1</t>
  </si>
  <si>
    <t>Vencedor QF4</t>
  </si>
  <si>
    <t>Vencedor QF2</t>
  </si>
  <si>
    <t>Vencedor QF3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</si>
  <si>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</si>
  <si>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</si>
  <si>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</si>
  <si>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</si>
  <si>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</si>
  <si>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</si>
  <si>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</si>
  <si>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</si>
  <si>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</si>
  <si>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</si>
  <si>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</si>
  <si>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</si>
  <si>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</si>
  <si>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</si>
  <si>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</si>
  <si>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</si>
  <si>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</si>
  <si>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</si>
  <si>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</si>
  <si>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</si>
  <si>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</si>
  <si>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</si>
  <si>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</si>
  <si>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</si>
  <si>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</si>
  <si>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</si>
  <si>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</si>
  <si>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</si>
  <si>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</si>
  <si>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</si>
  <si>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</si>
  <si>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</si>
  <si>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</si>
  <si>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</si>
  <si>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</si>
  <si>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</si>
  <si>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</si>
  <si>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</si>
  <si>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</si>
  <si>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</si>
  <si>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</si>
  <si>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</si>
  <si>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FUTSAL MASCULINO | PLAYOFFS</t>
  </si>
  <si>
    <t>3 (6)</t>
  </si>
  <si>
    <t>3 (5)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</si>
  <si>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</si>
  <si>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</si>
  <si>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</si>
  <si>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</si>
  <si>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</si>
  <si>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</si>
  <si>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</si>
  <si>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</si>
  <si>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</si>
  <si>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</si>
  <si>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</si>
  <si>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</si>
  <si>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</si>
  <si>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16h00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</si>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</sst>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13">
        <v>22.0</v>
      </c>
      <c r="G150" s="16" t="s">
        <v>23</v>
      </c>
      <c r="H150" s="13">
        <v>18.0</v>
      </c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13">
        <v>28.0</v>
      </c>
      <c r="G151" s="16" t="s">
        <v>23</v>
      </c>
      <c r="H151" s="13">
        <v>24.0</v>
      </c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13">
        <v>22.0</v>
      </c>
      <c r="G152" s="16" t="s">
        <v>23</v>
      </c>
      <c r="H152" s="13">
        <v>23.0</v>
      </c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13">
        <v>25.0</v>
      </c>
      <c r="G153" s="16" t="s">
        <v>23</v>
      </c>
      <c r="H153" s="13">
        <v>19.0</v>
      </c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39</v>
      </c>
      <c r="F154" s="31"/>
      <c r="G154" s="16" t="s">
        <v>23</v>
      </c>
      <c r="H154" s="31"/>
      <c r="I154" s="44" t="s">
        <v>41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74</v>
      </c>
      <c r="D155" s="12" t="s">
        <v>21</v>
      </c>
      <c r="E155" s="51" t="s">
        <v>32</v>
      </c>
      <c r="F155" s="13"/>
      <c r="G155" s="16" t="s">
        <v>23</v>
      </c>
      <c r="H155" s="13"/>
      <c r="I155" s="44" t="s">
        <v>24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75</v>
      </c>
      <c r="B156" s="11">
        <v>46176.0</v>
      </c>
      <c r="C156" s="12" t="s">
        <v>76</v>
      </c>
      <c r="D156" s="12" t="s">
        <v>77</v>
      </c>
      <c r="E156" s="44" t="s">
        <v>78</v>
      </c>
      <c r="F156" s="31"/>
      <c r="G156" s="16" t="s">
        <v>23</v>
      </c>
      <c r="H156" s="31"/>
      <c r="I156" s="62" t="s">
        <v>79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80</v>
      </c>
      <c r="B157" s="11">
        <v>46176.0</v>
      </c>
      <c r="C157" s="12" t="s">
        <v>54</v>
      </c>
      <c r="D157" s="12" t="s">
        <v>77</v>
      </c>
      <c r="E157" s="44" t="s">
        <v>81</v>
      </c>
      <c r="F157" s="31"/>
      <c r="G157" s="16" t="s">
        <v>23</v>
      </c>
      <c r="H157" s="31"/>
      <c r="I157" s="44" t="s">
        <v>82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83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84</v>
      </c>
      <c r="AK2" s="5" t="s">
        <v>85</v>
      </c>
      <c r="AL2" s="5" t="s">
        <v>86</v>
      </c>
      <c r="AM2" s="64"/>
    </row>
    <row r="3" ht="15.75" customHeight="1">
      <c r="A3" s="66">
        <v>1.0</v>
      </c>
      <c r="B3" s="43">
        <v>46099.0</v>
      </c>
      <c r="C3" s="67" t="s">
        <v>87</v>
      </c>
      <c r="D3" s="12" t="s">
        <v>77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88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89</v>
      </c>
      <c r="D4" s="12" t="s">
        <v>77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90</v>
      </c>
      <c r="D5" s="72" t="s">
        <v>77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77</v>
      </c>
      <c r="E6" s="44" t="s">
        <v>91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87</v>
      </c>
      <c r="D7" s="72" t="s">
        <v>77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89</v>
      </c>
      <c r="D8" s="72" t="s">
        <v>77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91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77</v>
      </c>
      <c r="E9" s="44" t="s">
        <v>88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84</v>
      </c>
      <c r="AA9" s="70" t="s">
        <v>85</v>
      </c>
      <c r="AB9" s="70" t="s">
        <v>86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92</v>
      </c>
      <c r="D10" s="72" t="s">
        <v>77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88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93</v>
      </c>
      <c r="D11" s="72" t="s">
        <v>77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94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77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91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95</v>
      </c>
      <c r="D13" s="72" t="s">
        <v>77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91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96</v>
      </c>
      <c r="D14" s="72" t="s">
        <v>77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97</v>
      </c>
      <c r="D15" s="72" t="s">
        <v>77</v>
      </c>
      <c r="E15" s="44" t="s">
        <v>88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98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77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99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100</v>
      </c>
      <c r="D17" s="72" t="s">
        <v>77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90</v>
      </c>
      <c r="D18" s="72" t="s">
        <v>77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77</v>
      </c>
      <c r="E19" s="44" t="s">
        <v>91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101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87</v>
      </c>
      <c r="D20" s="72" t="s">
        <v>77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89</v>
      </c>
      <c r="D21" s="72" t="s">
        <v>77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84</v>
      </c>
      <c r="AK21" s="5" t="s">
        <v>85</v>
      </c>
      <c r="AL21" s="5" t="s">
        <v>86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77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88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92</v>
      </c>
      <c r="D23" s="72" t="s">
        <v>77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93</v>
      </c>
      <c r="D24" s="72" t="s">
        <v>77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77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95</v>
      </c>
      <c r="D26" s="72" t="s">
        <v>77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91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77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100</v>
      </c>
      <c r="D28" s="12" t="s">
        <v>77</v>
      </c>
      <c r="E28" s="44" t="s">
        <v>88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90</v>
      </c>
      <c r="D29" s="12" t="s">
        <v>77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77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94</v>
      </c>
      <c r="AE30" s="71" t="s">
        <v>88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87</v>
      </c>
      <c r="D31" s="12" t="s">
        <v>77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89</v>
      </c>
      <c r="D32" s="12" t="s">
        <v>77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91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91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77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92</v>
      </c>
      <c r="D34" s="12" t="s">
        <v>77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102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93</v>
      </c>
      <c r="D35" s="12" t="s">
        <v>77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88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99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77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95</v>
      </c>
      <c r="D37" s="12" t="s">
        <v>77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96</v>
      </c>
      <c r="D38" s="12" t="s">
        <v>77</v>
      </c>
      <c r="E38" s="44" t="s">
        <v>91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90</v>
      </c>
      <c r="D41" s="39" t="s">
        <v>21</v>
      </c>
      <c r="E41" s="44" t="s">
        <v>88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87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91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95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100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92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93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88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89</v>
      </c>
      <c r="D49" s="12" t="s">
        <v>21</v>
      </c>
      <c r="E49" s="44" t="s">
        <v>91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96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77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92</v>
      </c>
      <c r="D52" s="12" t="s">
        <v>77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93</v>
      </c>
      <c r="D53" s="12" t="s">
        <v>77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77</v>
      </c>
      <c r="E54" s="44" t="s">
        <v>88</v>
      </c>
      <c r="F54" s="44">
        <v>8.0</v>
      </c>
      <c r="G54" s="68" t="s">
        <v>23</v>
      </c>
      <c r="H54" s="44">
        <v>10.0</v>
      </c>
      <c r="I54" s="44" t="s">
        <v>91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95</v>
      </c>
      <c r="D55" s="12" t="s">
        <v>77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96</v>
      </c>
      <c r="D56" s="12" t="s">
        <v>77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100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90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91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87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88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89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92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93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91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95</v>
      </c>
      <c r="D67" s="12" t="s">
        <v>21</v>
      </c>
      <c r="E67" s="44" t="s">
        <v>88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96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103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84</v>
      </c>
      <c r="U73" s="9" t="s">
        <v>85</v>
      </c>
      <c r="V73" s="9" t="s">
        <v>86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84</v>
      </c>
      <c r="AK73" s="5" t="s">
        <v>85</v>
      </c>
      <c r="AL73" s="5" t="s">
        <v>86</v>
      </c>
      <c r="AM73" s="64"/>
    </row>
    <row r="74" ht="15.75" customHeight="1">
      <c r="A74" s="10">
        <v>1.0</v>
      </c>
      <c r="B74" s="90">
        <v>46155.0</v>
      </c>
      <c r="C74" s="39" t="s">
        <v>104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105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105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106</v>
      </c>
      <c r="D75" s="72" t="s">
        <v>77</v>
      </c>
      <c r="E75" s="17" t="s">
        <v>107</v>
      </c>
      <c r="F75" s="17">
        <v>0.0</v>
      </c>
      <c r="G75" s="68" t="s">
        <v>23</v>
      </c>
      <c r="H75" s="17">
        <v>9.0</v>
      </c>
      <c r="I75" s="91" t="s">
        <v>108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109</v>
      </c>
      <c r="AE75" s="71" t="s">
        <v>105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96</v>
      </c>
      <c r="D76" s="12" t="s">
        <v>77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110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107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111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97</v>
      </c>
      <c r="D77" s="72" t="s">
        <v>77</v>
      </c>
      <c r="E77" s="17" t="s">
        <v>112</v>
      </c>
      <c r="F77" s="17">
        <v>7.0</v>
      </c>
      <c r="G77" s="68" t="s">
        <v>23</v>
      </c>
      <c r="H77" s="17">
        <v>10.0</v>
      </c>
      <c r="I77" s="91" t="s">
        <v>111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110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112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112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77</v>
      </c>
      <c r="E79" s="17" t="s">
        <v>105</v>
      </c>
      <c r="F79" s="17">
        <v>7.0</v>
      </c>
      <c r="G79" s="68" t="s">
        <v>23</v>
      </c>
      <c r="H79" s="17">
        <v>2.0</v>
      </c>
      <c r="I79" s="91" t="s">
        <v>107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108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111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100</v>
      </c>
      <c r="D81" s="72" t="s">
        <v>77</v>
      </c>
      <c r="E81" s="91" t="s">
        <v>108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110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90</v>
      </c>
      <c r="D82" s="72" t="s">
        <v>77</v>
      </c>
      <c r="E82" s="17" t="s">
        <v>110</v>
      </c>
      <c r="F82" s="17">
        <v>16.0</v>
      </c>
      <c r="G82" s="68" t="s">
        <v>23</v>
      </c>
      <c r="H82" s="17">
        <v>14.0</v>
      </c>
      <c r="I82" s="91" t="s">
        <v>112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108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107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77</v>
      </c>
      <c r="E83" s="17" t="s">
        <v>111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113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77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105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99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92</v>
      </c>
      <c r="D85" s="72" t="s">
        <v>77</v>
      </c>
      <c r="E85" s="17" t="s">
        <v>107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77</v>
      </c>
      <c r="E86" s="17" t="s">
        <v>112</v>
      </c>
      <c r="F86" s="17">
        <v>9.0</v>
      </c>
      <c r="G86" s="68" t="s">
        <v>23</v>
      </c>
      <c r="H86" s="17">
        <v>7.0</v>
      </c>
      <c r="I86" s="91" t="s">
        <v>108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93</v>
      </c>
      <c r="D87" s="72" t="s">
        <v>77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110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111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87</v>
      </c>
      <c r="D89" s="12" t="s">
        <v>77</v>
      </c>
      <c r="E89" s="17" t="s">
        <v>105</v>
      </c>
      <c r="F89" s="17">
        <v>21.0</v>
      </c>
      <c r="G89" s="68" t="s">
        <v>23</v>
      </c>
      <c r="H89" s="17">
        <v>0.0</v>
      </c>
      <c r="I89" s="91" t="s">
        <v>112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89</v>
      </c>
      <c r="D90" s="12" t="s">
        <v>77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107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77</v>
      </c>
      <c r="E92" s="91" t="s">
        <v>108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92</v>
      </c>
      <c r="D93" s="12" t="s">
        <v>77</v>
      </c>
      <c r="E93" s="17" t="s">
        <v>110</v>
      </c>
      <c r="F93" s="17">
        <v>8.0</v>
      </c>
      <c r="G93" s="68" t="s">
        <v>23</v>
      </c>
      <c r="H93" s="17">
        <v>12.0</v>
      </c>
      <c r="I93" s="91" t="s">
        <v>111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93</v>
      </c>
      <c r="D94" s="12" t="s">
        <v>77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105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77</v>
      </c>
      <c r="E95" s="17" t="s">
        <v>112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95</v>
      </c>
      <c r="D96" s="12" t="s">
        <v>77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107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96</v>
      </c>
      <c r="D97" s="12" t="s">
        <v>77</v>
      </c>
      <c r="E97" s="17" t="s">
        <v>111</v>
      </c>
      <c r="F97" s="17">
        <v>15.0</v>
      </c>
      <c r="G97" s="68" t="s">
        <v>23</v>
      </c>
      <c r="H97" s="17">
        <v>9.0</v>
      </c>
      <c r="I97" s="91" t="s">
        <v>108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110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95</v>
      </c>
      <c r="D99" s="12" t="s">
        <v>77</v>
      </c>
      <c r="E99" s="17" t="s">
        <v>105</v>
      </c>
      <c r="F99" s="17">
        <v>6.0</v>
      </c>
      <c r="G99" s="68" t="s">
        <v>23</v>
      </c>
      <c r="H99" s="17">
        <v>10.0</v>
      </c>
      <c r="I99" s="91" t="s">
        <v>111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100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90</v>
      </c>
      <c r="D101" s="39" t="s">
        <v>21</v>
      </c>
      <c r="E101" s="17" t="s">
        <v>107</v>
      </c>
      <c r="F101" s="17">
        <v>5.0</v>
      </c>
      <c r="G101" s="68" t="s">
        <v>23</v>
      </c>
      <c r="H101" s="17">
        <v>16.0</v>
      </c>
      <c r="I101" s="91" t="s">
        <v>112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108</v>
      </c>
      <c r="F103" s="17">
        <v>12.0</v>
      </c>
      <c r="G103" s="68" t="s">
        <v>23</v>
      </c>
      <c r="H103" s="17">
        <v>10.0</v>
      </c>
      <c r="I103" s="91" t="s">
        <v>110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92</v>
      </c>
      <c r="D104" s="12" t="s">
        <v>77</v>
      </c>
      <c r="E104" s="39" t="s">
        <v>110</v>
      </c>
      <c r="F104" s="17">
        <v>9.0</v>
      </c>
      <c r="G104" s="68" t="s">
        <v>23</v>
      </c>
      <c r="H104" s="17">
        <v>10.0</v>
      </c>
      <c r="I104" s="91" t="s">
        <v>105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93</v>
      </c>
      <c r="D105" s="12" t="s">
        <v>77</v>
      </c>
      <c r="E105" s="39" t="s">
        <v>111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77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107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112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108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114</v>
      </c>
      <c r="D109" s="67" t="s">
        <v>21</v>
      </c>
      <c r="E109" s="17" t="s">
        <v>105</v>
      </c>
      <c r="F109" s="17">
        <v>13.0</v>
      </c>
      <c r="G109" s="68" t="s">
        <v>23</v>
      </c>
      <c r="H109" s="17">
        <v>6.0</v>
      </c>
      <c r="I109" s="91" t="s">
        <v>108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115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110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116</v>
      </c>
      <c r="D111" s="67" t="s">
        <v>21</v>
      </c>
      <c r="E111" s="17" t="s">
        <v>107</v>
      </c>
      <c r="F111" s="17">
        <v>0.0</v>
      </c>
      <c r="G111" s="68" t="s">
        <v>23</v>
      </c>
      <c r="H111" s="17">
        <v>21.0</v>
      </c>
      <c r="I111" s="91" t="s">
        <v>111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117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112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105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118</v>
      </c>
      <c r="D115" s="67" t="s">
        <v>21</v>
      </c>
      <c r="E115" s="17" t="s">
        <v>108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119</v>
      </c>
      <c r="D116" s="67" t="s">
        <v>21</v>
      </c>
      <c r="E116" s="17" t="s">
        <v>110</v>
      </c>
      <c r="F116" s="17">
        <v>21.0</v>
      </c>
      <c r="G116" s="68" t="s">
        <v>23</v>
      </c>
      <c r="H116" s="17">
        <v>0.0</v>
      </c>
      <c r="I116" s="91" t="s">
        <v>107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120</v>
      </c>
      <c r="D117" s="67" t="s">
        <v>21</v>
      </c>
      <c r="E117" s="17" t="s">
        <v>111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121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112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122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84</v>
      </c>
      <c r="U125" s="9" t="s">
        <v>85</v>
      </c>
      <c r="V125" s="9" t="s">
        <v>86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84</v>
      </c>
      <c r="AK125" s="5" t="s">
        <v>85</v>
      </c>
      <c r="AL125" s="5" t="s">
        <v>86</v>
      </c>
      <c r="AM125" s="64"/>
    </row>
    <row r="126" ht="15.75" customHeight="1">
      <c r="A126" s="10">
        <v>1.0</v>
      </c>
      <c r="B126" s="43">
        <v>45952.0</v>
      </c>
      <c r="C126" s="12" t="s">
        <v>87</v>
      </c>
      <c r="D126" s="72" t="s">
        <v>77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123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123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89</v>
      </c>
      <c r="D127" s="72" t="s">
        <v>77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124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109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77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111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125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92</v>
      </c>
      <c r="D129" s="72" t="s">
        <v>77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125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92</v>
      </c>
      <c r="D131" s="72" t="s">
        <v>77</v>
      </c>
      <c r="E131" s="17" t="s">
        <v>123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125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92</v>
      </c>
      <c r="D133" s="72" t="s">
        <v>77</v>
      </c>
      <c r="E133" s="17" t="s">
        <v>124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124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77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124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123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77</v>
      </c>
      <c r="E135" s="17" t="s">
        <v>125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126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90</v>
      </c>
      <c r="D136" s="72" t="s">
        <v>77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123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99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77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87</v>
      </c>
      <c r="D138" s="72" t="s">
        <v>77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124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89</v>
      </c>
      <c r="D139" s="72" t="s">
        <v>77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125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87</v>
      </c>
      <c r="D141" s="12" t="s">
        <v>77</v>
      </c>
      <c r="E141" s="17" t="s">
        <v>123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101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89</v>
      </c>
      <c r="D142" s="12" t="s">
        <v>77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84</v>
      </c>
      <c r="AK143" s="5" t="s">
        <v>85</v>
      </c>
      <c r="AL143" s="5" t="s">
        <v>86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77</v>
      </c>
      <c r="E144" s="17" t="s">
        <v>124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92</v>
      </c>
      <c r="D145" s="12" t="s">
        <v>77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125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109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93</v>
      </c>
      <c r="D146" s="12" t="s">
        <v>77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123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125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77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95</v>
      </c>
      <c r="D148" s="12" t="s">
        <v>77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96</v>
      </c>
      <c r="D149" s="12" t="s">
        <v>77</v>
      </c>
      <c r="E149" s="17" t="s">
        <v>125</v>
      </c>
      <c r="F149" s="17">
        <v>20.0</v>
      </c>
      <c r="G149" s="68" t="s">
        <v>23</v>
      </c>
      <c r="H149" s="17">
        <v>18.0</v>
      </c>
      <c r="I149" s="17" t="s">
        <v>124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123</v>
      </c>
      <c r="F151" s="17">
        <v>6.0</v>
      </c>
      <c r="G151" s="68" t="s">
        <v>23</v>
      </c>
      <c r="H151" s="17">
        <v>10.0</v>
      </c>
      <c r="I151" s="17" t="s">
        <v>125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124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92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123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93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127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99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87</v>
      </c>
      <c r="D155" s="39" t="s">
        <v>21</v>
      </c>
      <c r="E155" s="17" t="s">
        <v>124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89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123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125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95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96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124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104</v>
      </c>
      <c r="D161" s="67" t="s">
        <v>21</v>
      </c>
      <c r="E161" s="17" t="s">
        <v>123</v>
      </c>
      <c r="F161" s="17">
        <v>9.0</v>
      </c>
      <c r="G161" s="68" t="s">
        <v>23</v>
      </c>
      <c r="H161" s="17">
        <v>11.0</v>
      </c>
      <c r="I161" s="17" t="s">
        <v>124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114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115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125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116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123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117</v>
      </c>
      <c r="D167" s="67" t="s">
        <v>21</v>
      </c>
      <c r="E167" s="17" t="s">
        <v>124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118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119</v>
      </c>
      <c r="D169" s="67" t="s">
        <v>21</v>
      </c>
      <c r="E169" s="17" t="s">
        <v>125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120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128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84</v>
      </c>
      <c r="U176" s="9" t="s">
        <v>85</v>
      </c>
      <c r="V176" s="9" t="s">
        <v>86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84</v>
      </c>
      <c r="AK176" s="5" t="s">
        <v>85</v>
      </c>
      <c r="AL176" s="5" t="s">
        <v>86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77</v>
      </c>
      <c r="E177" s="44" t="s">
        <v>88</v>
      </c>
      <c r="F177" s="13"/>
      <c r="G177" s="16" t="s">
        <v>23</v>
      </c>
      <c r="H177" s="13"/>
      <c r="I177" s="44" t="s">
        <v>105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8" t="s">
        <v>88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Eng. Aeroespacial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77</v>
      </c>
      <c r="E178" s="44" t="s">
        <v>105</v>
      </c>
      <c r="F178" s="13"/>
      <c r="G178" s="16" t="s">
        <v>23</v>
      </c>
      <c r="H178" s="13"/>
      <c r="I178" s="44" t="s">
        <v>57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8" t="s">
        <v>105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105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77</v>
      </c>
      <c r="E179" s="44" t="s">
        <v>57</v>
      </c>
      <c r="F179" s="13"/>
      <c r="G179" s="16" t="s">
        <v>23</v>
      </c>
      <c r="H179" s="13"/>
      <c r="I179" s="44" t="s">
        <v>88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129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77</v>
      </c>
      <c r="E186" s="44" t="s">
        <v>31</v>
      </c>
      <c r="F186" s="31"/>
      <c r="G186" s="16" t="s">
        <v>23</v>
      </c>
      <c r="H186" s="31"/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74</v>
      </c>
      <c r="D187" s="12" t="s">
        <v>77</v>
      </c>
      <c r="E187" s="44" t="s">
        <v>32</v>
      </c>
      <c r="F187" s="31"/>
      <c r="G187" s="16" t="s">
        <v>23</v>
      </c>
      <c r="H187" s="31"/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77</v>
      </c>
      <c r="E188" s="44" t="s">
        <v>35</v>
      </c>
      <c r="F188" s="31"/>
      <c r="G188" s="16" t="s">
        <v>23</v>
      </c>
      <c r="H188" s="31"/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130</v>
      </c>
      <c r="D189" s="12" t="s">
        <v>77</v>
      </c>
      <c r="E189" s="44" t="s">
        <v>38</v>
      </c>
      <c r="F189" s="31"/>
      <c r="G189" s="16" t="s">
        <v>23</v>
      </c>
      <c r="H189" s="31"/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131</v>
      </c>
      <c r="D190" s="12" t="s">
        <v>77</v>
      </c>
      <c r="E190" s="44" t="s">
        <v>132</v>
      </c>
      <c r="F190" s="31"/>
      <c r="G190" s="16" t="s">
        <v>23</v>
      </c>
      <c r="H190" s="31"/>
      <c r="I190" s="44" t="s">
        <v>133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77</v>
      </c>
      <c r="E191" s="51" t="s">
        <v>134</v>
      </c>
      <c r="F191" s="13"/>
      <c r="G191" s="16" t="s">
        <v>23</v>
      </c>
      <c r="H191" s="13"/>
      <c r="I191" s="44" t="s">
        <v>135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75</v>
      </c>
      <c r="B192" s="11">
        <v>46170.0</v>
      </c>
      <c r="C192" s="12" t="s">
        <v>73</v>
      </c>
      <c r="D192" s="12" t="s">
        <v>77</v>
      </c>
      <c r="E192" s="44" t="s">
        <v>78</v>
      </c>
      <c r="F192" s="31"/>
      <c r="G192" s="16" t="s">
        <v>23</v>
      </c>
      <c r="H192" s="31"/>
      <c r="I192" s="62" t="s">
        <v>79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80</v>
      </c>
      <c r="B193" s="11">
        <v>46170.0</v>
      </c>
      <c r="C193" s="12" t="s">
        <v>74</v>
      </c>
      <c r="D193" s="12" t="s">
        <v>77</v>
      </c>
      <c r="E193" s="44" t="s">
        <v>81</v>
      </c>
      <c r="F193" s="31"/>
      <c r="G193" s="16" t="s">
        <v>23</v>
      </c>
      <c r="H193" s="31"/>
      <c r="I193" s="44" t="s">
        <v>82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136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84</v>
      </c>
      <c r="AH2" s="5" t="s">
        <v>85</v>
      </c>
      <c r="AI2" s="5" t="s">
        <v>86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87</v>
      </c>
      <c r="D3" s="72" t="s">
        <v>77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87</v>
      </c>
      <c r="D4" s="72" t="s">
        <v>77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137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89</v>
      </c>
      <c r="D5" s="72" t="s">
        <v>77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89</v>
      </c>
      <c r="D6" s="72" t="s">
        <v>77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77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77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110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137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92</v>
      </c>
      <c r="D9" s="72" t="s">
        <v>77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92</v>
      </c>
      <c r="D10" s="72" t="s">
        <v>77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138</v>
      </c>
      <c r="AB10" s="71" t="s">
        <v>110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93</v>
      </c>
      <c r="D11" s="72" t="s">
        <v>77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137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93</v>
      </c>
      <c r="D12" s="72" t="s">
        <v>77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137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77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77</v>
      </c>
      <c r="E14" s="14" t="s">
        <v>139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110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95</v>
      </c>
      <c r="D15" s="72" t="s">
        <v>77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95</v>
      </c>
      <c r="D16" s="72" t="s">
        <v>77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110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77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140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77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106</v>
      </c>
      <c r="D19" s="72" t="s">
        <v>77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139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106</v>
      </c>
      <c r="D20" s="72" t="s">
        <v>77</v>
      </c>
      <c r="E20" s="44" t="s">
        <v>137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101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97</v>
      </c>
      <c r="D21" s="72" t="s">
        <v>77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77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84</v>
      </c>
      <c r="AH22" s="5" t="s">
        <v>85</v>
      </c>
      <c r="AI22" s="5" t="s">
        <v>86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100</v>
      </c>
      <c r="D23" s="72" t="s">
        <v>77</v>
      </c>
      <c r="E23" s="44" t="s">
        <v>110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77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100</v>
      </c>
      <c r="D25" s="12" t="s">
        <v>77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90</v>
      </c>
      <c r="D26" s="12" t="s">
        <v>77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77</v>
      </c>
      <c r="E27" s="44" t="s">
        <v>137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87</v>
      </c>
      <c r="D28" s="12" t="s">
        <v>77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89</v>
      </c>
      <c r="D29" s="12" t="s">
        <v>77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110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77</v>
      </c>
      <c r="E30" s="110" t="s">
        <v>139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138</v>
      </c>
      <c r="AB30" s="71" t="s">
        <v>110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92</v>
      </c>
      <c r="D31" s="12" t="s">
        <v>77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137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93</v>
      </c>
      <c r="D32" s="12" t="s">
        <v>77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77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139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95</v>
      </c>
      <c r="D34" s="12" t="s">
        <v>77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96</v>
      </c>
      <c r="D35" s="12" t="s">
        <v>77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87</v>
      </c>
      <c r="D36" s="12" t="s">
        <v>77</v>
      </c>
      <c r="E36" s="44" t="s">
        <v>137</v>
      </c>
      <c r="F36" s="17">
        <v>10.0</v>
      </c>
      <c r="G36" s="93" t="s">
        <v>23</v>
      </c>
      <c r="H36" s="17">
        <v>11.0</v>
      </c>
      <c r="I36" s="44" t="s">
        <v>110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77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141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89</v>
      </c>
      <c r="D38" s="12" t="s">
        <v>77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77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110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92</v>
      </c>
      <c r="D40" s="12" t="s">
        <v>77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93</v>
      </c>
      <c r="D41" s="12" t="s">
        <v>77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77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137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95</v>
      </c>
      <c r="D43" s="12" t="s">
        <v>77</v>
      </c>
      <c r="E43" s="14" t="s">
        <v>139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96</v>
      </c>
      <c r="D44" s="12" t="s">
        <v>77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77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110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100</v>
      </c>
      <c r="D46" s="12" t="s">
        <v>77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90</v>
      </c>
      <c r="D47" s="12" t="s">
        <v>77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139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77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87</v>
      </c>
      <c r="D50" s="12" t="s">
        <v>77</v>
      </c>
      <c r="E50" s="44" t="s">
        <v>137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89</v>
      </c>
      <c r="D51" s="12" t="s">
        <v>77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142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77</v>
      </c>
      <c r="E58" s="44" t="s">
        <v>22</v>
      </c>
      <c r="F58" s="31"/>
      <c r="G58" s="16" t="s">
        <v>23</v>
      </c>
      <c r="H58" s="31"/>
      <c r="I58" s="44" t="s">
        <v>110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131</v>
      </c>
      <c r="D59" s="12" t="s">
        <v>77</v>
      </c>
      <c r="E59" s="44" t="s">
        <v>32</v>
      </c>
      <c r="F59" s="31"/>
      <c r="G59" s="16" t="s">
        <v>23</v>
      </c>
      <c r="H59" s="31"/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77</v>
      </c>
      <c r="E60" s="44" t="s">
        <v>63</v>
      </c>
      <c r="F60" s="31"/>
      <c r="G60" s="16" t="s">
        <v>23</v>
      </c>
      <c r="H60" s="31"/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77</v>
      </c>
      <c r="E61" s="44" t="s">
        <v>24</v>
      </c>
      <c r="F61" s="31"/>
      <c r="G61" s="16" t="s">
        <v>23</v>
      </c>
      <c r="H61" s="31"/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131</v>
      </c>
      <c r="D62" s="12" t="s">
        <v>77</v>
      </c>
      <c r="E62" s="44" t="s">
        <v>132</v>
      </c>
      <c r="F62" s="31"/>
      <c r="G62" s="16" t="s">
        <v>23</v>
      </c>
      <c r="H62" s="31"/>
      <c r="I62" s="44" t="s">
        <v>133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77</v>
      </c>
      <c r="E63" s="51" t="s">
        <v>134</v>
      </c>
      <c r="F63" s="13"/>
      <c r="G63" s="16" t="s">
        <v>23</v>
      </c>
      <c r="H63" s="13"/>
      <c r="I63" s="44" t="s">
        <v>135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75</v>
      </c>
      <c r="B64" s="11">
        <v>46169.0</v>
      </c>
      <c r="C64" s="12" t="s">
        <v>73</v>
      </c>
      <c r="D64" s="12" t="s">
        <v>77</v>
      </c>
      <c r="E64" s="44" t="s">
        <v>78</v>
      </c>
      <c r="F64" s="31"/>
      <c r="G64" s="16" t="s">
        <v>23</v>
      </c>
      <c r="H64" s="31"/>
      <c r="I64" s="62" t="s">
        <v>79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80</v>
      </c>
      <c r="B65" s="11">
        <v>46169.0</v>
      </c>
      <c r="C65" s="12" t="s">
        <v>74</v>
      </c>
      <c r="D65" s="12" t="s">
        <v>77</v>
      </c>
      <c r="E65" s="44" t="s">
        <v>81</v>
      </c>
      <c r="F65" s="31"/>
      <c r="G65" s="16" t="s">
        <v>23</v>
      </c>
      <c r="H65" s="31"/>
      <c r="I65" s="44" t="s">
        <v>82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143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84</v>
      </c>
      <c r="U2" s="9" t="s">
        <v>85</v>
      </c>
      <c r="V2" s="9" t="s">
        <v>86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84</v>
      </c>
      <c r="AF2" s="5" t="s">
        <v>85</v>
      </c>
      <c r="AG2" s="5" t="s">
        <v>86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144</v>
      </c>
      <c r="D3" s="12" t="s">
        <v>77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77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77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77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145</v>
      </c>
      <c r="D7" s="12" t="s">
        <v>77</v>
      </c>
      <c r="E7" s="44" t="s">
        <v>107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130</v>
      </c>
      <c r="D8" s="12" t="s">
        <v>77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77</v>
      </c>
      <c r="E9" s="44" t="s">
        <v>105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146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138</v>
      </c>
      <c r="Z10" s="71" t="s">
        <v>105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105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107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4"/>
      <c r="X11" s="64"/>
      <c r="Y11" s="22">
        <v>9.0</v>
      </c>
      <c r="Z11" s="71" t="s">
        <v>146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107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74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4</v>
      </c>
      <c r="U13" s="20">
        <f t="shared" si="8"/>
        <v>46</v>
      </c>
      <c r="V13" s="18">
        <f t="shared" si="9"/>
        <v>-42</v>
      </c>
      <c r="W13" s="64"/>
      <c r="X13" s="64"/>
      <c r="Y13" s="22">
        <v>11.0</v>
      </c>
      <c r="Z13" s="71" t="s">
        <v>60</v>
      </c>
      <c r="AA13" s="23">
        <v>3.0</v>
      </c>
      <c r="AB13" s="23">
        <v>1.0</v>
      </c>
      <c r="AC13" s="23">
        <v>0.0</v>
      </c>
      <c r="AD13" s="24">
        <v>6.0</v>
      </c>
      <c r="AE13" s="23">
        <v>4.0</v>
      </c>
      <c r="AF13" s="24">
        <v>46.0</v>
      </c>
      <c r="AG13" s="23">
        <v>-42.0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147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76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105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146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107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119</v>
      </c>
      <c r="D18" s="12" t="s">
        <v>21</v>
      </c>
      <c r="E18" s="44" t="s">
        <v>146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148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149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107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150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105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145</v>
      </c>
      <c r="D24" s="12" t="s">
        <v>77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74</v>
      </c>
      <c r="D25" s="12" t="s">
        <v>77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146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77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105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77</v>
      </c>
      <c r="E28" s="44" t="s">
        <v>107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145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107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74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105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150</v>
      </c>
      <c r="D34" s="12" t="s">
        <v>77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146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77</v>
      </c>
      <c r="E36" s="44" t="s">
        <v>105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77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145</v>
      </c>
      <c r="D40" s="12" t="s">
        <v>77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74</v>
      </c>
      <c r="D41" s="12" t="s">
        <v>77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77</v>
      </c>
      <c r="E42" s="44" t="s">
        <v>146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77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145</v>
      </c>
      <c r="D44" s="12" t="s">
        <v>77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145</v>
      </c>
      <c r="D45" s="12" t="s">
        <v>77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74</v>
      </c>
      <c r="D46" s="12" t="s">
        <v>77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74</v>
      </c>
      <c r="D47" s="12" t="s">
        <v>77</v>
      </c>
      <c r="E47" s="44" t="s">
        <v>107</v>
      </c>
      <c r="F47" s="17">
        <v>1.0</v>
      </c>
      <c r="G47" s="93" t="s">
        <v>23</v>
      </c>
      <c r="H47" s="17">
        <v>2.0</v>
      </c>
      <c r="I47" s="44" t="s">
        <v>146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77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145</v>
      </c>
      <c r="D50" s="12" t="s">
        <v>77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145</v>
      </c>
      <c r="D51" s="12" t="s">
        <v>77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74</v>
      </c>
      <c r="D52" s="12" t="s">
        <v>77</v>
      </c>
      <c r="E52" s="44" t="s">
        <v>146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77</v>
      </c>
      <c r="E53" s="44" t="s">
        <v>105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77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77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3"/>
      <c r="D56" s="93"/>
      <c r="E56" s="44" t="s">
        <v>60</v>
      </c>
      <c r="F56" s="106"/>
      <c r="G56" s="93" t="s">
        <v>23</v>
      </c>
      <c r="H56" s="106"/>
      <c r="I56" s="44" t="s">
        <v>107</v>
      </c>
      <c r="J56" s="64"/>
      <c r="K56" s="4" t="str">
        <f t="shared" si="1"/>
        <v/>
      </c>
      <c r="L56" s="18" t="str">
        <f t="shared" si="2"/>
        <v/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74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145</v>
      </c>
      <c r="D59" s="12" t="s">
        <v>21</v>
      </c>
      <c r="E59" s="44" t="s">
        <v>146</v>
      </c>
      <c r="F59" s="17">
        <v>1.0</v>
      </c>
      <c r="G59" s="93" t="s">
        <v>23</v>
      </c>
      <c r="H59" s="17">
        <v>1.0</v>
      </c>
      <c r="I59" s="44" t="s">
        <v>105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107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77</v>
      </c>
      <c r="E63" s="44" t="s">
        <v>107</v>
      </c>
      <c r="F63" s="17">
        <v>1.0</v>
      </c>
      <c r="G63" s="93" t="s">
        <v>23</v>
      </c>
      <c r="H63" s="17">
        <v>10.0</v>
      </c>
      <c r="I63" s="44" t="s">
        <v>105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145</v>
      </c>
      <c r="D64" s="12" t="s">
        <v>77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74</v>
      </c>
      <c r="D65" s="12" t="s">
        <v>77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146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145</v>
      </c>
      <c r="D68" s="12" t="s">
        <v>21</v>
      </c>
      <c r="E68" s="44" t="s">
        <v>105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74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77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151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105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31"/>
      <c r="G79" s="16" t="s">
        <v>23</v>
      </c>
      <c r="H79" s="31"/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/>
      <c r="G80" s="16" t="s">
        <v>23</v>
      </c>
      <c r="H80" s="13"/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75</v>
      </c>
      <c r="B81" s="11">
        <v>46168.0</v>
      </c>
      <c r="C81" s="12" t="s">
        <v>131</v>
      </c>
      <c r="D81" s="12" t="s">
        <v>21</v>
      </c>
      <c r="E81" s="44" t="s">
        <v>78</v>
      </c>
      <c r="F81" s="31"/>
      <c r="G81" s="16" t="s">
        <v>23</v>
      </c>
      <c r="H81" s="31"/>
      <c r="I81" s="62" t="s">
        <v>79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80</v>
      </c>
      <c r="B82" s="11">
        <v>46175.0</v>
      </c>
      <c r="C82" s="12" t="s">
        <v>131</v>
      </c>
      <c r="D82" s="12" t="s">
        <v>77</v>
      </c>
      <c r="E82" s="44" t="s">
        <v>81</v>
      </c>
      <c r="F82" s="31"/>
      <c r="G82" s="16" t="s">
        <v>23</v>
      </c>
      <c r="H82" s="31"/>
      <c r="I82" s="44" t="s">
        <v>82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152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153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154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108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155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155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156</v>
      </c>
      <c r="F5" s="17">
        <v>1.0</v>
      </c>
      <c r="G5" s="93" t="s">
        <v>23</v>
      </c>
      <c r="H5" s="17">
        <v>1.0</v>
      </c>
      <c r="I5" s="17" t="s">
        <v>157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108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105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108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105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158</v>
      </c>
      <c r="F8" s="17">
        <v>2.0</v>
      </c>
      <c r="G8" s="93" t="s">
        <v>23</v>
      </c>
      <c r="H8" s="17">
        <v>3.0</v>
      </c>
      <c r="I8" s="44" t="s">
        <v>155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157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131</v>
      </c>
      <c r="D9" s="12" t="s">
        <v>77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158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157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77</v>
      </c>
      <c r="E10" s="17" t="s">
        <v>108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156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74</v>
      </c>
      <c r="D11" s="12" t="s">
        <v>77</v>
      </c>
      <c r="E11" s="17" t="s">
        <v>157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94</v>
      </c>
      <c r="AF11" s="23" t="s">
        <v>156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156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159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158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105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105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155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158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108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160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157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77</v>
      </c>
      <c r="E18" s="17" t="s">
        <v>156</v>
      </c>
      <c r="F18" s="17">
        <v>2.0</v>
      </c>
      <c r="G18" s="93" t="s">
        <v>23</v>
      </c>
      <c r="H18" s="17">
        <v>2.0</v>
      </c>
      <c r="I18" s="17" t="s">
        <v>105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155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77</v>
      </c>
      <c r="E20" s="17" t="s">
        <v>158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108</v>
      </c>
      <c r="F21" s="17">
        <v>3.0</v>
      </c>
      <c r="G21" s="93" t="s">
        <v>23</v>
      </c>
      <c r="H21" s="17">
        <v>0.0</v>
      </c>
      <c r="I21" s="17" t="s">
        <v>158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157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105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155</v>
      </c>
      <c r="F25" s="17">
        <v>5.0</v>
      </c>
      <c r="G25" s="93" t="s">
        <v>23</v>
      </c>
      <c r="H25" s="17">
        <v>1.0</v>
      </c>
      <c r="I25" s="44" t="s">
        <v>156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108</v>
      </c>
      <c r="F27" s="17">
        <v>6.0</v>
      </c>
      <c r="G27" s="93" t="s">
        <v>23</v>
      </c>
      <c r="H27" s="17">
        <v>2.0</v>
      </c>
      <c r="I27" s="17" t="s">
        <v>157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77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155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77</v>
      </c>
      <c r="E31" s="17" t="s">
        <v>156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158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119</v>
      </c>
      <c r="D33" s="12" t="s">
        <v>77</v>
      </c>
      <c r="E33" s="17" t="s">
        <v>157</v>
      </c>
      <c r="F33" s="17">
        <v>2.0</v>
      </c>
      <c r="G33" s="93" t="s">
        <v>23</v>
      </c>
      <c r="H33" s="17">
        <v>0.0</v>
      </c>
      <c r="I33" s="17" t="s">
        <v>158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76</v>
      </c>
      <c r="D34" s="12" t="s">
        <v>77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108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131</v>
      </c>
      <c r="D35" s="12" t="s">
        <v>77</v>
      </c>
      <c r="E35" s="17" t="s">
        <v>105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77</v>
      </c>
      <c r="E36" s="44" t="s">
        <v>155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74</v>
      </c>
      <c r="D37" s="12" t="s">
        <v>77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130</v>
      </c>
      <c r="D38" s="12" t="s">
        <v>77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156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77</v>
      </c>
      <c r="E39" s="17" t="s">
        <v>157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77</v>
      </c>
      <c r="E40" s="17" t="s">
        <v>108</v>
      </c>
      <c r="F40" s="17">
        <v>3.0</v>
      </c>
      <c r="G40" s="93" t="s">
        <v>23</v>
      </c>
      <c r="H40" s="17">
        <v>0.0</v>
      </c>
      <c r="I40" s="14" t="s">
        <v>105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77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155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77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77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77</v>
      </c>
      <c r="E44" s="17" t="s">
        <v>158</v>
      </c>
      <c r="F44" s="17">
        <v>2.0</v>
      </c>
      <c r="G44" s="93" t="s">
        <v>23</v>
      </c>
      <c r="H44" s="17">
        <v>4.0</v>
      </c>
      <c r="I44" s="17" t="s">
        <v>156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77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158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77</v>
      </c>
      <c r="E46" s="17" t="s">
        <v>105</v>
      </c>
      <c r="F46" s="17">
        <v>3.0</v>
      </c>
      <c r="G46" s="93" t="s">
        <v>23</v>
      </c>
      <c r="H46" s="17">
        <v>3.0</v>
      </c>
      <c r="I46" s="17" t="s">
        <v>157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77</v>
      </c>
      <c r="E47" s="44" t="s">
        <v>155</v>
      </c>
      <c r="F47" s="17">
        <v>3.0</v>
      </c>
      <c r="G47" s="93" t="s">
        <v>23</v>
      </c>
      <c r="H47" s="17">
        <v>0.0</v>
      </c>
      <c r="I47" s="17" t="s">
        <v>108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77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77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77</v>
      </c>
      <c r="E50" s="17" t="s">
        <v>156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77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105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77</v>
      </c>
      <c r="E52" s="44" t="s">
        <v>157</v>
      </c>
      <c r="F52" s="17">
        <v>3.0</v>
      </c>
      <c r="G52" s="93" t="s">
        <v>23</v>
      </c>
      <c r="H52" s="17">
        <v>7.0</v>
      </c>
      <c r="I52" s="44" t="s">
        <v>155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77</v>
      </c>
      <c r="E53" s="17" t="s">
        <v>108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77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131</v>
      </c>
      <c r="D55" s="12" t="s">
        <v>77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156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77</v>
      </c>
      <c r="E56" s="17" t="s">
        <v>158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77</v>
      </c>
      <c r="E57" s="17" t="s">
        <v>158</v>
      </c>
      <c r="F57" s="17">
        <v>3.0</v>
      </c>
      <c r="G57" s="93" t="s">
        <v>23</v>
      </c>
      <c r="H57" s="17">
        <v>1.0</v>
      </c>
      <c r="I57" s="17" t="s">
        <v>105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77</v>
      </c>
      <c r="E58" s="44" t="s">
        <v>155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154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157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77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108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156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77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105</v>
      </c>
      <c r="F63" s="17">
        <v>10.0</v>
      </c>
      <c r="G63" s="93" t="s">
        <v>23</v>
      </c>
      <c r="H63" s="17">
        <v>6.0</v>
      </c>
      <c r="I63" s="44" t="s">
        <v>155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77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77</v>
      </c>
      <c r="E65" s="44" t="s">
        <v>157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154</v>
      </c>
      <c r="D66" s="12" t="s">
        <v>21</v>
      </c>
      <c r="E66" s="17" t="s">
        <v>108</v>
      </c>
      <c r="F66" s="17">
        <v>7.0</v>
      </c>
      <c r="G66" s="93" t="s">
        <v>23</v>
      </c>
      <c r="H66" s="17">
        <v>5.0</v>
      </c>
      <c r="I66" s="44" t="s">
        <v>156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77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77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158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161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77</v>
      </c>
      <c r="E75" s="44" t="s">
        <v>107</v>
      </c>
      <c r="F75" s="44">
        <v>3.0</v>
      </c>
      <c r="G75" s="93" t="s">
        <v>23</v>
      </c>
      <c r="H75" s="44">
        <v>1.0</v>
      </c>
      <c r="I75" s="44" t="s">
        <v>110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110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77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107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109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77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77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162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107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77</v>
      </c>
      <c r="E80" s="44" t="s">
        <v>110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107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162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77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162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77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110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77</v>
      </c>
      <c r="E84" s="44" t="s">
        <v>162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163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110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164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107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154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101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162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110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107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109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107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162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77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110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77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107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77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77</v>
      </c>
      <c r="E98" s="44" t="s">
        <v>162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162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110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77</v>
      </c>
      <c r="E100" s="44" t="s">
        <v>110</v>
      </c>
      <c r="F100" s="44">
        <v>1.0</v>
      </c>
      <c r="G100" s="93" t="s">
        <v>23</v>
      </c>
      <c r="H100" s="44">
        <v>2.0</v>
      </c>
      <c r="I100" s="44" t="s">
        <v>162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165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77</v>
      </c>
      <c r="E101" s="44" t="s">
        <v>107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164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77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77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77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110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77</v>
      </c>
      <c r="E106" s="14" t="s">
        <v>162</v>
      </c>
      <c r="F106" s="44">
        <v>0.0</v>
      </c>
      <c r="G106" s="93" t="s">
        <v>23</v>
      </c>
      <c r="H106" s="44">
        <v>3.0</v>
      </c>
      <c r="I106" s="44" t="s">
        <v>107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77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77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77</v>
      </c>
      <c r="E110" s="44" t="s">
        <v>110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77</v>
      </c>
      <c r="E111" s="44" t="s">
        <v>107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77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162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77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110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77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107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74</v>
      </c>
      <c r="D117" s="39" t="s">
        <v>77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77</v>
      </c>
      <c r="E118" s="44" t="s">
        <v>162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77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166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77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167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167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77</v>
      </c>
      <c r="E127" s="44" t="s">
        <v>111</v>
      </c>
      <c r="F127" s="44">
        <v>3.0</v>
      </c>
      <c r="G127" s="93" t="s">
        <v>23</v>
      </c>
      <c r="H127" s="44">
        <v>6.0</v>
      </c>
      <c r="I127" s="44" t="s">
        <v>125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109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77</v>
      </c>
      <c r="E128" s="44" t="s">
        <v>137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111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125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77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168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137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169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111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167</v>
      </c>
      <c r="F131" s="44">
        <v>0.0</v>
      </c>
      <c r="G131" s="93" t="s">
        <v>23</v>
      </c>
      <c r="H131" s="44">
        <v>3.0</v>
      </c>
      <c r="I131" s="44" t="s">
        <v>111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169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169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168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167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125</v>
      </c>
      <c r="F133" s="44">
        <v>6.0</v>
      </c>
      <c r="G133" s="93" t="s">
        <v>23</v>
      </c>
      <c r="H133" s="44">
        <v>1.0</v>
      </c>
      <c r="I133" s="44" t="s">
        <v>137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77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125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137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77</v>
      </c>
      <c r="E135" s="44" t="s">
        <v>168</v>
      </c>
      <c r="F135" s="44">
        <v>5.0</v>
      </c>
      <c r="G135" s="93" t="s">
        <v>23</v>
      </c>
      <c r="H135" s="44">
        <v>2.0</v>
      </c>
      <c r="I135" s="44" t="s">
        <v>169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170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137</v>
      </c>
      <c r="F136" s="44">
        <v>2.0</v>
      </c>
      <c r="G136" s="93" t="s">
        <v>23</v>
      </c>
      <c r="H136" s="44">
        <v>2.0</v>
      </c>
      <c r="I136" s="44" t="s">
        <v>167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164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111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125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101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169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168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167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168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137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125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111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109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125</v>
      </c>
      <c r="F144" s="12">
        <v>6.0</v>
      </c>
      <c r="G144" s="93" t="s">
        <v>23</v>
      </c>
      <c r="H144" s="44">
        <v>3.0</v>
      </c>
      <c r="I144" s="44" t="s">
        <v>169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168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111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77</v>
      </c>
      <c r="E146" s="44" t="s">
        <v>169</v>
      </c>
      <c r="F146" s="44">
        <v>8.0</v>
      </c>
      <c r="G146" s="93" t="s">
        <v>23</v>
      </c>
      <c r="H146" s="44">
        <v>4.0</v>
      </c>
      <c r="I146" s="44" t="s">
        <v>167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169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77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167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77</v>
      </c>
      <c r="E148" s="44" t="s">
        <v>137</v>
      </c>
      <c r="F148" s="44">
        <v>1.0</v>
      </c>
      <c r="G148" s="93" t="s">
        <v>23</v>
      </c>
      <c r="H148" s="44">
        <v>5.0</v>
      </c>
      <c r="I148" s="44" t="s">
        <v>111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77</v>
      </c>
      <c r="E149" s="44" t="s">
        <v>168</v>
      </c>
      <c r="F149" s="44">
        <v>3.0</v>
      </c>
      <c r="G149" s="93" t="s">
        <v>23</v>
      </c>
      <c r="H149" s="44">
        <v>1.0</v>
      </c>
      <c r="I149" s="44" t="s">
        <v>125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137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171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77</v>
      </c>
      <c r="E151" s="44" t="s">
        <v>167</v>
      </c>
      <c r="F151" s="44">
        <v>3.0</v>
      </c>
      <c r="G151" s="93" t="s">
        <v>23</v>
      </c>
      <c r="H151" s="44">
        <v>11.0</v>
      </c>
      <c r="I151" s="44" t="s">
        <v>168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164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77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169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77</v>
      </c>
      <c r="E153" s="44" t="s">
        <v>111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137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77</v>
      </c>
      <c r="E155" s="44" t="s">
        <v>125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77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167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77</v>
      </c>
      <c r="E157" s="44" t="s">
        <v>168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77</v>
      </c>
      <c r="E158" s="44" t="s">
        <v>169</v>
      </c>
      <c r="F158" s="44">
        <v>1.0</v>
      </c>
      <c r="G158" s="93" t="s">
        <v>23</v>
      </c>
      <c r="H158" s="44">
        <v>3.0</v>
      </c>
      <c r="I158" s="44" t="s">
        <v>111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77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137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125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77</v>
      </c>
      <c r="E161" s="44" t="s">
        <v>167</v>
      </c>
      <c r="F161" s="44">
        <v>0.0</v>
      </c>
      <c r="G161" s="93" t="s">
        <v>23</v>
      </c>
      <c r="H161" s="44">
        <v>11.0</v>
      </c>
      <c r="I161" s="44" t="s">
        <v>125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77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77</v>
      </c>
      <c r="E163" s="44" t="s">
        <v>111</v>
      </c>
      <c r="F163" s="44">
        <v>3.0</v>
      </c>
      <c r="G163" s="93" t="s">
        <v>23</v>
      </c>
      <c r="H163" s="44">
        <v>6.0</v>
      </c>
      <c r="I163" s="44" t="s">
        <v>168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21</v>
      </c>
      <c r="E164" s="44" t="s">
        <v>137</v>
      </c>
      <c r="F164" s="44">
        <v>1.0</v>
      </c>
      <c r="G164" s="93" t="s">
        <v>23</v>
      </c>
      <c r="H164" s="44">
        <v>9.0</v>
      </c>
      <c r="I164" s="44" t="s">
        <v>169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167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77</v>
      </c>
      <c r="E167" s="44" t="s">
        <v>125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111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168</v>
      </c>
      <c r="F169" s="44">
        <v>7.0</v>
      </c>
      <c r="G169" s="93" t="s">
        <v>23</v>
      </c>
      <c r="H169" s="44">
        <v>1.0</v>
      </c>
      <c r="I169" s="17" t="s">
        <v>137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169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173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77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77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109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77</v>
      </c>
      <c r="E179" s="44" t="s">
        <v>123</v>
      </c>
      <c r="F179" s="44">
        <v>1.0</v>
      </c>
      <c r="G179" s="93" t="s">
        <v>23</v>
      </c>
      <c r="H179" s="44">
        <v>1.0</v>
      </c>
      <c r="I179" s="44" t="s">
        <v>146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131</v>
      </c>
      <c r="D180" s="12" t="s">
        <v>77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123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77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88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146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123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88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123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146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146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174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123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164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76</v>
      </c>
      <c r="D189" s="12" t="s">
        <v>77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77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146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131</v>
      </c>
      <c r="D191" s="12" t="s">
        <v>77</v>
      </c>
      <c r="E191" s="44" t="s">
        <v>88</v>
      </c>
      <c r="F191" s="44">
        <v>1.0</v>
      </c>
      <c r="G191" s="93" t="s">
        <v>23</v>
      </c>
      <c r="H191" s="44">
        <v>2.0</v>
      </c>
      <c r="I191" s="44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101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77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123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77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88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77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109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77</v>
      </c>
      <c r="E196" s="44" t="s">
        <v>146</v>
      </c>
      <c r="F196" s="44">
        <v>5.0</v>
      </c>
      <c r="G196" s="93" t="s">
        <v>23</v>
      </c>
      <c r="H196" s="44">
        <v>2.0</v>
      </c>
      <c r="I196" s="44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146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77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88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77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174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77</v>
      </c>
      <c r="E199" s="44" t="s">
        <v>123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123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77</v>
      </c>
      <c r="E200" s="44" t="s">
        <v>174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77</v>
      </c>
      <c r="E201" s="44" t="s">
        <v>88</v>
      </c>
      <c r="F201" s="44">
        <v>2.0</v>
      </c>
      <c r="G201" s="93" t="s">
        <v>23</v>
      </c>
      <c r="H201" s="44">
        <v>0.0</v>
      </c>
      <c r="I201" s="44" t="s">
        <v>146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77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77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77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176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116</v>
      </c>
      <c r="D205" s="39" t="s">
        <v>21</v>
      </c>
      <c r="E205" s="44" t="s">
        <v>123</v>
      </c>
      <c r="F205" s="44">
        <v>2.0</v>
      </c>
      <c r="G205" s="93" t="s">
        <v>23</v>
      </c>
      <c r="H205" s="44">
        <v>4.0</v>
      </c>
      <c r="I205" s="44" t="s">
        <v>88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164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119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146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146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174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77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77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123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77</v>
      </c>
      <c r="E211" s="44" t="s">
        <v>88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146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77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77</v>
      </c>
      <c r="E215" s="44" t="s">
        <v>123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77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88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77</v>
      </c>
      <c r="E217" s="44" t="s">
        <v>88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77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77</v>
      </c>
      <c r="E219" s="44" t="s">
        <v>146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77</v>
      </c>
      <c r="E220" s="44" t="s">
        <v>174</v>
      </c>
      <c r="F220" s="44">
        <v>2.0</v>
      </c>
      <c r="G220" s="93" t="s">
        <v>23</v>
      </c>
      <c r="H220" s="44">
        <v>4.0</v>
      </c>
      <c r="I220" s="17" t="s">
        <v>123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77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177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156</v>
      </c>
      <c r="F228" s="13"/>
      <c r="G228" s="16" t="s">
        <v>23</v>
      </c>
      <c r="H228" s="13"/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/>
      <c r="G229" s="16" t="s">
        <v>23</v>
      </c>
      <c r="H229" s="13"/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80</v>
      </c>
      <c r="B230" s="60">
        <v>46167.0</v>
      </c>
      <c r="C230" s="12" t="s">
        <v>48</v>
      </c>
      <c r="D230" s="12" t="s">
        <v>21</v>
      </c>
      <c r="E230" s="44" t="s">
        <v>81</v>
      </c>
      <c r="F230" s="13"/>
      <c r="G230" s="16" t="s">
        <v>23</v>
      </c>
      <c r="H230" s="13"/>
      <c r="I230" s="44" t="s">
        <v>82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178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155</v>
      </c>
      <c r="F238" s="13">
        <v>8.0</v>
      </c>
      <c r="G238" s="16" t="s">
        <v>23</v>
      </c>
      <c r="H238" s="13">
        <v>2.0</v>
      </c>
      <c r="I238" s="44" t="s">
        <v>125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108</v>
      </c>
      <c r="F240" s="13" t="s">
        <v>179</v>
      </c>
      <c r="G240" s="16" t="s">
        <v>23</v>
      </c>
      <c r="H240" s="13" t="s">
        <v>180</v>
      </c>
      <c r="I240" s="44" t="s">
        <v>105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31"/>
      <c r="G241" s="16" t="s">
        <v>23</v>
      </c>
      <c r="H241" s="31"/>
      <c r="I241" s="44" t="s">
        <v>108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155</v>
      </c>
      <c r="F242" s="13"/>
      <c r="G242" s="16" t="s">
        <v>23</v>
      </c>
      <c r="H242" s="13"/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75</v>
      </c>
      <c r="B243" s="11">
        <v>46169.0</v>
      </c>
      <c r="C243" s="12" t="s">
        <v>131</v>
      </c>
      <c r="D243" s="12" t="s">
        <v>21</v>
      </c>
      <c r="E243" s="44" t="s">
        <v>78</v>
      </c>
      <c r="F243" s="31"/>
      <c r="G243" s="16" t="s">
        <v>23</v>
      </c>
      <c r="H243" s="31"/>
      <c r="I243" s="62" t="s">
        <v>79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80</v>
      </c>
      <c r="B244" s="11">
        <v>46175.0</v>
      </c>
      <c r="C244" s="12" t="s">
        <v>51</v>
      </c>
      <c r="D244" s="12" t="s">
        <v>77</v>
      </c>
      <c r="E244" s="44" t="s">
        <v>81</v>
      </c>
      <c r="F244" s="31"/>
      <c r="G244" s="16" t="s">
        <v>23</v>
      </c>
      <c r="H244" s="31"/>
      <c r="I244" s="44" t="s">
        <v>82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181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153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182</v>
      </c>
      <c r="E3" s="44" t="s">
        <v>108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108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182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182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155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182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108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182</v>
      </c>
      <c r="E7" s="44" t="s">
        <v>65</v>
      </c>
      <c r="F7" s="17"/>
      <c r="G7" s="93" t="s">
        <v>23</v>
      </c>
      <c r="H7" s="133"/>
      <c r="I7" s="14" t="s">
        <v>155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182</v>
      </c>
      <c r="E8" s="44" t="s">
        <v>105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182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182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108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183</v>
      </c>
      <c r="D11" s="12" t="s">
        <v>182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94</v>
      </c>
      <c r="AB11" s="28" t="s">
        <v>105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184</v>
      </c>
      <c r="D12" s="12" t="s">
        <v>182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185</v>
      </c>
      <c r="D13" s="12" t="s">
        <v>182</v>
      </c>
      <c r="E13" s="14" t="s">
        <v>155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155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74</v>
      </c>
      <c r="D14" s="12" t="s">
        <v>182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105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155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182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186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182</v>
      </c>
      <c r="E16" s="44" t="s">
        <v>108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182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183</v>
      </c>
      <c r="D18" s="12" t="s">
        <v>182</v>
      </c>
      <c r="E18" s="44" t="s">
        <v>22</v>
      </c>
      <c r="F18" s="14"/>
      <c r="G18" s="93" t="s">
        <v>23</v>
      </c>
      <c r="H18" s="133"/>
      <c r="I18" s="14" t="s">
        <v>155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184</v>
      </c>
      <c r="D19" s="12" t="s">
        <v>182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185</v>
      </c>
      <c r="D20" s="12" t="s">
        <v>182</v>
      </c>
      <c r="E20" s="44" t="s">
        <v>105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182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105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131</v>
      </c>
      <c r="D22" s="12" t="s">
        <v>182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182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108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182</v>
      </c>
      <c r="E24" s="14" t="s">
        <v>155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74</v>
      </c>
      <c r="D25" s="12" t="s">
        <v>182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182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182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182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182</v>
      </c>
      <c r="E29" s="44" t="s">
        <v>108</v>
      </c>
      <c r="F29" s="17"/>
      <c r="G29" s="93" t="s">
        <v>23</v>
      </c>
      <c r="H29" s="133"/>
      <c r="I29" s="14" t="s">
        <v>155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182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182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182</v>
      </c>
      <c r="E32" s="55" t="s">
        <v>105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182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105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182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182</v>
      </c>
      <c r="E35" s="14" t="s">
        <v>155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182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108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182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182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182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182</v>
      </c>
      <c r="E40" s="44" t="s">
        <v>62</v>
      </c>
      <c r="F40" s="93"/>
      <c r="G40" s="93" t="s">
        <v>23</v>
      </c>
      <c r="H40" s="138"/>
      <c r="I40" s="14" t="s">
        <v>155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182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182</v>
      </c>
      <c r="E42" s="44" t="s">
        <v>108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182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182</v>
      </c>
      <c r="E44" s="44" t="s">
        <v>105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182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105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182</v>
      </c>
      <c r="E46" s="14" t="s">
        <v>155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182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182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182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108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182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155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182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182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182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182</v>
      </c>
      <c r="E55" s="44" t="s">
        <v>108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182</v>
      </c>
      <c r="E56" s="14" t="s">
        <v>105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105</v>
      </c>
      <c r="F57" s="31"/>
      <c r="G57" s="93" t="s">
        <v>23</v>
      </c>
      <c r="H57" s="138"/>
      <c r="I57" s="14" t="s">
        <v>155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182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182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182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182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182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108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155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182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182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182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182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182</v>
      </c>
      <c r="E68" s="44" t="s">
        <v>108</v>
      </c>
      <c r="F68" s="17">
        <v>2.0</v>
      </c>
      <c r="G68" s="93" t="s">
        <v>23</v>
      </c>
      <c r="H68" s="133">
        <v>1.0</v>
      </c>
      <c r="I68" s="44" t="s">
        <v>105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187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182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188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188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182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109</v>
      </c>
      <c r="AB76" s="23" t="s">
        <v>91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182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91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125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123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182</v>
      </c>
      <c r="E78" s="17" t="s">
        <v>123</v>
      </c>
      <c r="F78" s="91">
        <v>7.0</v>
      </c>
      <c r="G78" s="93"/>
      <c r="H78" s="91">
        <v>2.0</v>
      </c>
      <c r="I78" s="44" t="s">
        <v>125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125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182</v>
      </c>
      <c r="E79" s="17" t="s">
        <v>188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188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182</v>
      </c>
      <c r="E80" s="44" t="s">
        <v>125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123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182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91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182</v>
      </c>
      <c r="E82" s="17" t="s">
        <v>91</v>
      </c>
      <c r="F82" s="15">
        <v>1.0</v>
      </c>
      <c r="G82" s="93" t="s">
        <v>23</v>
      </c>
      <c r="H82" s="91">
        <v>1.0</v>
      </c>
      <c r="I82" s="17" t="s">
        <v>123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182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188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189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182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131</v>
      </c>
      <c r="D85" s="39" t="s">
        <v>182</v>
      </c>
      <c r="E85" s="17" t="s">
        <v>123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131</v>
      </c>
      <c r="D86" s="39" t="s">
        <v>182</v>
      </c>
      <c r="E86" s="44" t="s">
        <v>125</v>
      </c>
      <c r="F86" s="91">
        <v>1.0</v>
      </c>
      <c r="G86" s="93" t="s">
        <v>23</v>
      </c>
      <c r="H86" s="91">
        <v>5.0</v>
      </c>
      <c r="I86" s="17" t="s">
        <v>91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182</v>
      </c>
      <c r="E87" s="17" t="s">
        <v>188</v>
      </c>
      <c r="F87" s="91">
        <v>3.0</v>
      </c>
      <c r="G87" s="93" t="s">
        <v>23</v>
      </c>
      <c r="H87" s="91">
        <v>3.0</v>
      </c>
      <c r="I87" s="17" t="s">
        <v>123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182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182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125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91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182</v>
      </c>
      <c r="E91" s="17" t="s">
        <v>91</v>
      </c>
      <c r="F91" s="91">
        <v>3.0</v>
      </c>
      <c r="G91" s="93" t="s">
        <v>23</v>
      </c>
      <c r="H91" s="91">
        <v>4.0</v>
      </c>
      <c r="I91" s="17" t="s">
        <v>188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182</v>
      </c>
      <c r="E92" s="17" t="s">
        <v>123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182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125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188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74</v>
      </c>
      <c r="D96" s="39" t="s">
        <v>182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91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130</v>
      </c>
      <c r="D97" s="39" t="s">
        <v>182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123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182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125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182</v>
      </c>
      <c r="E99" s="44" t="s">
        <v>125</v>
      </c>
      <c r="F99" s="91">
        <v>4.0</v>
      </c>
      <c r="G99" s="93" t="s">
        <v>23</v>
      </c>
      <c r="H99" s="91">
        <v>1.0</v>
      </c>
      <c r="I99" s="44" t="s">
        <v>188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182</v>
      </c>
      <c r="E101" s="17" t="s">
        <v>91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182</v>
      </c>
      <c r="E102" s="17" t="s">
        <v>123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190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182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182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107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109</v>
      </c>
      <c r="AB112" s="23" t="s">
        <v>146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182</v>
      </c>
      <c r="E113" s="17" t="s">
        <v>156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182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146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156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156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182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146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182</v>
      </c>
      <c r="E118" s="17" t="s">
        <v>107</v>
      </c>
      <c r="F118" s="15">
        <v>1.0</v>
      </c>
      <c r="G118" s="93" t="s">
        <v>23</v>
      </c>
      <c r="H118" s="91">
        <v>4.0</v>
      </c>
      <c r="I118" s="17" t="s">
        <v>156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107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182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107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182</v>
      </c>
      <c r="E120" s="17" t="s">
        <v>146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191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182</v>
      </c>
      <c r="E121" s="17" t="s">
        <v>156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182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182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107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182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146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182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182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156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182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154</v>
      </c>
      <c r="D129" s="39" t="s">
        <v>182</v>
      </c>
      <c r="E129" s="17" t="s">
        <v>107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182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146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182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182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182</v>
      </c>
      <c r="E133" s="17" t="s">
        <v>156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182</v>
      </c>
      <c r="E134" s="44" t="s">
        <v>146</v>
      </c>
      <c r="F134" s="91">
        <v>6.0</v>
      </c>
      <c r="G134" s="93" t="s">
        <v>23</v>
      </c>
      <c r="H134" s="91">
        <v>3.0</v>
      </c>
      <c r="I134" s="44" t="s">
        <v>107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182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146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182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182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156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182</v>
      </c>
      <c r="E140" s="17" t="s">
        <v>107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182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182</v>
      </c>
      <c r="E142" s="17" t="s">
        <v>146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182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182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156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107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131</v>
      </c>
      <c r="D146" s="39" t="s">
        <v>182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107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182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182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146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182</v>
      </c>
      <c r="E149" s="17" t="s">
        <v>156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182</v>
      </c>
      <c r="E152" s="17" t="s">
        <v>107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182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182</v>
      </c>
      <c r="E154" s="17" t="s">
        <v>146</v>
      </c>
      <c r="F154" s="91">
        <v>2.0</v>
      </c>
      <c r="G154" s="93" t="s">
        <v>23</v>
      </c>
      <c r="H154" s="91">
        <v>1.0</v>
      </c>
      <c r="I154" s="17" t="s">
        <v>156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182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192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84</v>
      </c>
      <c r="U161" s="9" t="s">
        <v>85</v>
      </c>
      <c r="V161" s="9" t="s">
        <v>86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84</v>
      </c>
      <c r="AK161" s="5" t="s">
        <v>85</v>
      </c>
      <c r="AL161" s="5" t="s">
        <v>86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182</v>
      </c>
      <c r="E162" s="28" t="s">
        <v>105</v>
      </c>
      <c r="F162" s="13">
        <v>3.0</v>
      </c>
      <c r="G162" s="16" t="s">
        <v>23</v>
      </c>
      <c r="H162" s="13">
        <v>1.0</v>
      </c>
      <c r="I162" s="44" t="s">
        <v>91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105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1</v>
      </c>
      <c r="T162" s="18">
        <f t="shared" ref="T162:T164" si="34">SUMIF(E$162:E$164,O162,F$162:F$164)+SUMIF(I$162:I$164,O162,H$162:H$164)</f>
        <v>5</v>
      </c>
      <c r="U162" s="20">
        <f t="shared" ref="U162:U164" si="35">SUMIF(E$162:E$164,O162,H$162:H$164)+SUMIF(I$162:I$164,O162,F$162:F$164)</f>
        <v>4</v>
      </c>
      <c r="V162" s="18">
        <f t="shared" ref="V162:V164" si="36">T162-U162</f>
        <v>1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CBM</v>
      </c>
      <c r="AC162" s="23">
        <v>6.0</v>
      </c>
      <c r="AD162" s="23">
        <v>0.0</v>
      </c>
      <c r="AE162" s="24">
        <v>0.0</v>
      </c>
      <c r="AF162" s="24">
        <v>0.0</v>
      </c>
      <c r="AG162" s="23">
        <v>6.0</v>
      </c>
      <c r="AH162" s="24">
        <v>4.0</v>
      </c>
      <c r="AI162" s="23">
        <v>2.0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182</v>
      </c>
      <c r="E163" s="44" t="s">
        <v>91</v>
      </c>
      <c r="F163" s="13">
        <v>2.0</v>
      </c>
      <c r="G163" s="16" t="s">
        <v>23</v>
      </c>
      <c r="H163" s="13">
        <v>3.0</v>
      </c>
      <c r="I163" s="44" t="s">
        <v>146</v>
      </c>
      <c r="J163" s="4"/>
      <c r="K163" s="4">
        <f t="shared" si="28"/>
        <v>0</v>
      </c>
      <c r="L163" s="18">
        <f t="shared" si="29"/>
        <v>3</v>
      </c>
      <c r="M163" s="4"/>
      <c r="N163" s="18">
        <v>2.0</v>
      </c>
      <c r="O163" s="146" t="s">
        <v>91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2</v>
      </c>
      <c r="T163" s="18">
        <f t="shared" si="34"/>
        <v>3</v>
      </c>
      <c r="U163" s="20">
        <f t="shared" si="35"/>
        <v>6</v>
      </c>
      <c r="V163" s="18">
        <f t="shared" si="36"/>
        <v>-3</v>
      </c>
      <c r="W163" s="64"/>
      <c r="X163" s="64"/>
      <c r="Y163" s="64"/>
      <c r="Z163" s="64"/>
      <c r="AA163" s="104">
        <v>2.0</v>
      </c>
      <c r="AB163" s="71" t="s">
        <v>105</v>
      </c>
      <c r="AC163" s="23">
        <v>3.0</v>
      </c>
      <c r="AD163" s="23">
        <v>0.0</v>
      </c>
      <c r="AE163" s="24">
        <v>0.0</v>
      </c>
      <c r="AF163" s="24">
        <v>1.0</v>
      </c>
      <c r="AG163" s="23">
        <v>5.0</v>
      </c>
      <c r="AH163" s="24">
        <v>4.0</v>
      </c>
      <c r="AI163" s="23">
        <v>1.0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182</v>
      </c>
      <c r="E164" s="44" t="s">
        <v>146</v>
      </c>
      <c r="F164" s="13">
        <v>3.0</v>
      </c>
      <c r="G164" s="16" t="s">
        <v>23</v>
      </c>
      <c r="H164" s="13">
        <v>2.0</v>
      </c>
      <c r="I164" s="28" t="s">
        <v>105</v>
      </c>
      <c r="J164" s="4"/>
      <c r="K164" s="4">
        <f t="shared" si="28"/>
        <v>3</v>
      </c>
      <c r="L164" s="18">
        <f t="shared" si="29"/>
        <v>0</v>
      </c>
      <c r="M164" s="4"/>
      <c r="N164" s="18">
        <v>3.0</v>
      </c>
      <c r="O164" s="78" t="s">
        <v>146</v>
      </c>
      <c r="P164" s="18">
        <f t="shared" si="30"/>
        <v>6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6</v>
      </c>
      <c r="U164" s="20">
        <f t="shared" si="35"/>
        <v>4</v>
      </c>
      <c r="V164" s="18">
        <f t="shared" si="36"/>
        <v>2</v>
      </c>
      <c r="W164" s="64"/>
      <c r="X164" s="64"/>
      <c r="Y164" s="64"/>
      <c r="Z164" s="64"/>
      <c r="AA164" s="22">
        <v>3.0</v>
      </c>
      <c r="AB164" s="71" t="s">
        <v>91</v>
      </c>
      <c r="AC164" s="23">
        <v>0.0</v>
      </c>
      <c r="AD164" s="23">
        <v>0.0</v>
      </c>
      <c r="AE164" s="24">
        <v>0.0</v>
      </c>
      <c r="AF164" s="24">
        <v>2.0</v>
      </c>
      <c r="AG164" s="23">
        <v>3.0</v>
      </c>
      <c r="AH164" s="24">
        <v>6.0</v>
      </c>
      <c r="AI164" s="23">
        <v>-3.0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193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182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182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182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182</v>
      </c>
      <c r="E174" s="28" t="s">
        <v>108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182</v>
      </c>
      <c r="E175" s="44" t="s">
        <v>22</v>
      </c>
      <c r="F175" s="13">
        <v>2.0</v>
      </c>
      <c r="G175" s="16" t="s">
        <v>23</v>
      </c>
      <c r="H175" s="13">
        <v>1.0</v>
      </c>
      <c r="I175" s="28" t="s">
        <v>108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182</v>
      </c>
      <c r="E176" s="28" t="s">
        <v>24</v>
      </c>
      <c r="F176" s="13">
        <v>0.0</v>
      </c>
      <c r="G176" s="16" t="s">
        <v>23</v>
      </c>
      <c r="H176" s="13">
        <v>4.0</v>
      </c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75</v>
      </c>
      <c r="B177" s="11">
        <v>46170.0</v>
      </c>
      <c r="C177" s="12" t="s">
        <v>51</v>
      </c>
      <c r="D177" s="12" t="s">
        <v>182</v>
      </c>
      <c r="E177" s="44" t="s">
        <v>108</v>
      </c>
      <c r="F177" s="31"/>
      <c r="G177" s="16" t="s">
        <v>23</v>
      </c>
      <c r="H177" s="31"/>
      <c r="I177" s="62" t="s">
        <v>24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80</v>
      </c>
      <c r="B178" s="11">
        <v>46176.0</v>
      </c>
      <c r="C178" s="12" t="s">
        <v>194</v>
      </c>
      <c r="D178" s="12" t="s">
        <v>182</v>
      </c>
      <c r="E178" s="44" t="s">
        <v>22</v>
      </c>
      <c r="F178" s="31"/>
      <c r="G178" s="16" t="s">
        <v>23</v>
      </c>
      <c r="H178" s="31"/>
      <c r="I178" s="44" t="s">
        <v>32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195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110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146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188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108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108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110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146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146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188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110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110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108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188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94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188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146</v>
      </c>
      <c r="F14" s="13">
        <v>2.0</v>
      </c>
      <c r="G14" s="31" t="s">
        <v>23</v>
      </c>
      <c r="H14" s="13">
        <v>0.0</v>
      </c>
      <c r="I14" s="17" t="s">
        <v>108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110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199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188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154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146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108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110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188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146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108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110</v>
      </c>
      <c r="F27" s="13">
        <v>1.0</v>
      </c>
      <c r="G27" s="31" t="s">
        <v>23</v>
      </c>
      <c r="H27" s="13">
        <v>2.0</v>
      </c>
      <c r="I27" s="17" t="s">
        <v>188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146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108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188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110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146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108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74</v>
      </c>
      <c r="D39" s="12" t="s">
        <v>21</v>
      </c>
      <c r="E39" s="17" t="s">
        <v>188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74</v>
      </c>
      <c r="D40" s="12" t="s">
        <v>21</v>
      </c>
      <c r="E40" s="17" t="s">
        <v>110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74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146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130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108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130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130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188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146</v>
      </c>
      <c r="F47" s="13">
        <v>2.0</v>
      </c>
      <c r="G47" s="31" t="s">
        <v>23</v>
      </c>
      <c r="H47" s="13">
        <v>0.0</v>
      </c>
      <c r="I47" s="17" t="s">
        <v>110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108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119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119</v>
      </c>
      <c r="D52" s="12" t="s">
        <v>21</v>
      </c>
      <c r="E52" s="17" t="s">
        <v>188</v>
      </c>
      <c r="F52" s="160">
        <v>0.0</v>
      </c>
      <c r="G52" s="31" t="s">
        <v>23</v>
      </c>
      <c r="H52" s="13">
        <v>2.0</v>
      </c>
      <c r="I52" s="17" t="s">
        <v>146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110</v>
      </c>
      <c r="F53" s="160">
        <v>2.0</v>
      </c>
      <c r="G53" s="31" t="s">
        <v>23</v>
      </c>
      <c r="H53" s="13">
        <v>0.0</v>
      </c>
      <c r="I53" s="17" t="s">
        <v>108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119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76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76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131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131</v>
      </c>
      <c r="D58" s="12" t="s">
        <v>21</v>
      </c>
      <c r="E58" s="17" t="s">
        <v>146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131</v>
      </c>
      <c r="D59" s="12" t="s">
        <v>21</v>
      </c>
      <c r="E59" s="17" t="s">
        <v>108</v>
      </c>
      <c r="F59" s="13">
        <v>2.0</v>
      </c>
      <c r="G59" s="31" t="s">
        <v>23</v>
      </c>
      <c r="H59" s="13">
        <v>1.0</v>
      </c>
      <c r="I59" s="17" t="s">
        <v>188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110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146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108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188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110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200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</row>
    <row r="74" ht="15.75" customHeight="1">
      <c r="A74" s="66">
        <v>1.0</v>
      </c>
      <c r="B74" s="11">
        <v>45944.0</v>
      </c>
      <c r="C74" s="12" t="s">
        <v>131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157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74</v>
      </c>
      <c r="D75" s="12" t="s">
        <v>21</v>
      </c>
      <c r="E75" s="17" t="s">
        <v>169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109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131</v>
      </c>
      <c r="D76" s="12" t="s">
        <v>21</v>
      </c>
      <c r="E76" s="17" t="s">
        <v>201</v>
      </c>
      <c r="F76" s="13">
        <v>2.0</v>
      </c>
      <c r="G76" s="31" t="s">
        <v>23</v>
      </c>
      <c r="H76" s="13">
        <v>0.0</v>
      </c>
      <c r="I76" s="17" t="s">
        <v>137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157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105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111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201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111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111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137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105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201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137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137</v>
      </c>
      <c r="F82" s="13">
        <v>0.0</v>
      </c>
      <c r="G82" s="31" t="s">
        <v>23</v>
      </c>
      <c r="H82" s="13">
        <v>2.0</v>
      </c>
      <c r="I82" s="17" t="s">
        <v>169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105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105</v>
      </c>
      <c r="F83" s="13">
        <v>2.0</v>
      </c>
      <c r="G83" s="31" t="s">
        <v>23</v>
      </c>
      <c r="H83" s="13">
        <v>1.0</v>
      </c>
      <c r="I83" s="17" t="s">
        <v>201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169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111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202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157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137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169</v>
      </c>
      <c r="F88" s="13">
        <v>2.0</v>
      </c>
      <c r="G88" s="31" t="s">
        <v>23</v>
      </c>
      <c r="H88" s="13">
        <v>0.0</v>
      </c>
      <c r="I88" s="17" t="s">
        <v>105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201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111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137</v>
      </c>
      <c r="F93" s="13">
        <v>2.0</v>
      </c>
      <c r="G93" s="31" t="s">
        <v>23</v>
      </c>
      <c r="H93" s="13">
        <v>1.0</v>
      </c>
      <c r="I93" s="17" t="s">
        <v>157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105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169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201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111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147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137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203</v>
      </c>
      <c r="D99" s="12" t="s">
        <v>21</v>
      </c>
      <c r="E99" s="17" t="s">
        <v>157</v>
      </c>
      <c r="F99" s="160">
        <v>2.0</v>
      </c>
      <c r="G99" s="31" t="s">
        <v>23</v>
      </c>
      <c r="H99" s="13">
        <v>0.0</v>
      </c>
      <c r="I99" s="17" t="s">
        <v>105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149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149</v>
      </c>
      <c r="D101" s="12" t="s">
        <v>21</v>
      </c>
      <c r="E101" s="17" t="s">
        <v>169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149</v>
      </c>
      <c r="D102" s="12" t="s">
        <v>21</v>
      </c>
      <c r="E102" s="17" t="s">
        <v>201</v>
      </c>
      <c r="F102" s="160">
        <v>1.0</v>
      </c>
      <c r="G102" s="31" t="s">
        <v>23</v>
      </c>
      <c r="H102" s="13">
        <v>2.0</v>
      </c>
      <c r="I102" s="17" t="s">
        <v>111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137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147</v>
      </c>
      <c r="D105" s="12" t="s">
        <v>21</v>
      </c>
      <c r="E105" s="17" t="s">
        <v>105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147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157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147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149</v>
      </c>
      <c r="D108" s="12" t="s">
        <v>21</v>
      </c>
      <c r="E108" s="17" t="s">
        <v>111</v>
      </c>
      <c r="F108" s="13">
        <v>1.0</v>
      </c>
      <c r="G108" s="31" t="s">
        <v>23</v>
      </c>
      <c r="H108" s="13">
        <v>2.0</v>
      </c>
      <c r="I108" s="17" t="s">
        <v>169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149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201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149</v>
      </c>
      <c r="D110" s="12" t="s">
        <v>21</v>
      </c>
      <c r="E110" s="17" t="s">
        <v>137</v>
      </c>
      <c r="F110" s="13">
        <v>1.0</v>
      </c>
      <c r="G110" s="31" t="s">
        <v>23</v>
      </c>
      <c r="H110" s="13">
        <v>2.0</v>
      </c>
      <c r="I110" s="17" t="s">
        <v>105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119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119</v>
      </c>
      <c r="D112" s="39" t="s">
        <v>21</v>
      </c>
      <c r="E112" s="17" t="s">
        <v>157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119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111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169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201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105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76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137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76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111</v>
      </c>
      <c r="F119" s="13">
        <v>0.0</v>
      </c>
      <c r="G119" s="31" t="s">
        <v>23</v>
      </c>
      <c r="H119" s="13">
        <v>2.0</v>
      </c>
      <c r="I119" s="17" t="s">
        <v>157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201</v>
      </c>
      <c r="F121" s="13">
        <v>0.0</v>
      </c>
      <c r="G121" s="31" t="s">
        <v>23</v>
      </c>
      <c r="H121" s="13">
        <v>2.0</v>
      </c>
      <c r="I121" s="17" t="s">
        <v>169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105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137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111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157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201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169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105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111</v>
      </c>
      <c r="F130" s="13">
        <v>2.0</v>
      </c>
      <c r="G130" s="31" t="s">
        <v>23</v>
      </c>
      <c r="H130" s="13">
        <v>0.0</v>
      </c>
      <c r="I130" s="17" t="s">
        <v>137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201</v>
      </c>
      <c r="F132" s="13">
        <v>1.0</v>
      </c>
      <c r="G132" s="31" t="s">
        <v>23</v>
      </c>
      <c r="H132" s="13">
        <v>2.0</v>
      </c>
      <c r="I132" s="17" t="s">
        <v>157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169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105</v>
      </c>
      <c r="F135" s="13">
        <v>2.0</v>
      </c>
      <c r="G135" s="31" t="s">
        <v>23</v>
      </c>
      <c r="H135" s="13">
        <v>0.0</v>
      </c>
      <c r="I135" s="17" t="s">
        <v>111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137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201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157</v>
      </c>
      <c r="F138" s="13">
        <v>0.0</v>
      </c>
      <c r="G138" s="31" t="s">
        <v>23</v>
      </c>
      <c r="H138" s="13">
        <v>2.0</v>
      </c>
      <c r="I138" s="17" t="s">
        <v>169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204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66">
        <v>1.0</v>
      </c>
      <c r="B146" s="11">
        <v>45944.0</v>
      </c>
      <c r="C146" s="12" t="s">
        <v>74</v>
      </c>
      <c r="D146" s="12" t="s">
        <v>21</v>
      </c>
      <c r="E146" s="17" t="s">
        <v>124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124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74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156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109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131</v>
      </c>
      <c r="D148" s="12" t="s">
        <v>21</v>
      </c>
      <c r="E148" s="17" t="s">
        <v>205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124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130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107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156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130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156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107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130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124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205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205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107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107</v>
      </c>
      <c r="F155" s="13">
        <v>2.0</v>
      </c>
      <c r="G155" s="31" t="s">
        <v>23</v>
      </c>
      <c r="H155" s="13">
        <v>1.0</v>
      </c>
      <c r="I155" s="17" t="s">
        <v>205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156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206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124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107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205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156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101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196</v>
      </c>
      <c r="AH165" s="5" t="s">
        <v>197</v>
      </c>
      <c r="AI165" s="5" t="s">
        <v>198</v>
      </c>
    </row>
    <row r="166" ht="15.75" customHeight="1">
      <c r="A166" s="25"/>
      <c r="B166" s="11">
        <v>45980.0</v>
      </c>
      <c r="C166" s="12" t="s">
        <v>119</v>
      </c>
      <c r="D166" s="12" t="s">
        <v>21</v>
      </c>
      <c r="E166" s="17" t="s">
        <v>107</v>
      </c>
      <c r="F166" s="13">
        <v>2.0</v>
      </c>
      <c r="G166" s="31" t="s">
        <v>23</v>
      </c>
      <c r="H166" s="13">
        <v>1.0</v>
      </c>
      <c r="I166" s="17" t="s">
        <v>124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119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109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76</v>
      </c>
      <c r="D168" s="12" t="s">
        <v>21</v>
      </c>
      <c r="E168" s="17" t="s">
        <v>156</v>
      </c>
      <c r="F168" s="13">
        <v>2.0</v>
      </c>
      <c r="G168" s="31" t="s">
        <v>23</v>
      </c>
      <c r="H168" s="13">
        <v>1.0</v>
      </c>
      <c r="I168" s="17" t="s">
        <v>205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124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131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156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107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124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107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156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205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205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107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207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99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156</v>
      </c>
      <c r="F179" s="13">
        <v>0.0</v>
      </c>
      <c r="G179" s="31" t="s">
        <v>23</v>
      </c>
      <c r="H179" s="13">
        <v>2.0</v>
      </c>
      <c r="I179" s="17" t="s">
        <v>124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205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107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131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131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156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131</v>
      </c>
      <c r="D185" s="12" t="s">
        <v>21</v>
      </c>
      <c r="E185" s="17" t="s">
        <v>124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205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107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156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124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104</v>
      </c>
      <c r="D193" s="67" t="s">
        <v>21</v>
      </c>
      <c r="E193" s="17" t="s">
        <v>205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107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156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124</v>
      </c>
      <c r="F198" s="13">
        <v>0.0</v>
      </c>
      <c r="G198" s="31" t="s">
        <v>23</v>
      </c>
      <c r="H198" s="13">
        <v>2.0</v>
      </c>
      <c r="I198" s="17" t="s">
        <v>205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156</v>
      </c>
      <c r="F201" s="13">
        <v>2.0</v>
      </c>
      <c r="G201" s="31" t="s">
        <v>23</v>
      </c>
      <c r="H201" s="13">
        <v>1.0</v>
      </c>
      <c r="I201" s="17" t="s">
        <v>107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205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124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104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156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104</v>
      </c>
      <c r="D207" s="12" t="s">
        <v>21</v>
      </c>
      <c r="E207" s="17" t="s">
        <v>107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104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116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205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116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124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208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</row>
    <row r="218" ht="15.75" customHeight="1">
      <c r="A218" s="103">
        <v>1.0</v>
      </c>
      <c r="B218" s="43">
        <v>46162.0</v>
      </c>
      <c r="C218" s="12" t="s">
        <v>119</v>
      </c>
      <c r="D218" s="12" t="s">
        <v>21</v>
      </c>
      <c r="E218" s="44" t="s">
        <v>30</v>
      </c>
      <c r="F218" s="13">
        <v>0.0</v>
      </c>
      <c r="G218" s="16" t="s">
        <v>23</v>
      </c>
      <c r="H218" s="13">
        <v>2.0</v>
      </c>
      <c r="I218" s="44" t="s">
        <v>67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Psicologia</v>
      </c>
      <c r="AC218" s="23">
        <v>4.0</v>
      </c>
      <c r="AD218" s="23">
        <v>1.0</v>
      </c>
      <c r="AE218" s="24"/>
      <c r="AF218" s="24">
        <v>1.0</v>
      </c>
      <c r="AG218" s="23">
        <v>3.0</v>
      </c>
      <c r="AH218" s="24">
        <v>2.0</v>
      </c>
      <c r="AI218" s="23">
        <v>1.0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>
        <v>1.0</v>
      </c>
      <c r="G219" s="16" t="s">
        <v>23</v>
      </c>
      <c r="H219" s="13">
        <v>2.0</v>
      </c>
      <c r="I219" s="44" t="s">
        <v>44</v>
      </c>
      <c r="J219" s="4"/>
      <c r="K219" s="150">
        <f t="shared" si="25"/>
        <v>1</v>
      </c>
      <c r="L219" s="151">
        <f t="shared" si="26"/>
        <v>2</v>
      </c>
      <c r="M219" s="4"/>
      <c r="N219" s="18">
        <v>2.0</v>
      </c>
      <c r="O219" s="78" t="s">
        <v>67</v>
      </c>
      <c r="P219" s="18">
        <f t="shared" si="27"/>
        <v>4</v>
      </c>
      <c r="Q219" s="18">
        <f t="shared" si="28"/>
        <v>1</v>
      </c>
      <c r="S219" s="20">
        <f t="shared" si="29"/>
        <v>1</v>
      </c>
      <c r="T219" s="18">
        <f t="shared" si="30"/>
        <v>3</v>
      </c>
      <c r="U219" s="20">
        <f t="shared" si="31"/>
        <v>2</v>
      </c>
      <c r="V219" s="18">
        <f t="shared" si="32"/>
        <v>1</v>
      </c>
      <c r="W219" s="64"/>
      <c r="X219" s="64"/>
      <c r="Y219" s="64"/>
      <c r="Z219" s="64"/>
      <c r="AA219" s="104">
        <v>2.0</v>
      </c>
      <c r="AB219" s="71" t="s">
        <v>44</v>
      </c>
      <c r="AC219" s="23">
        <v>2.0</v>
      </c>
      <c r="AD219" s="23">
        <v>1.0</v>
      </c>
      <c r="AE219" s="24"/>
      <c r="AF219" s="24">
        <v>0.0</v>
      </c>
      <c r="AG219" s="23">
        <v>2.0</v>
      </c>
      <c r="AH219" s="24">
        <v>5.0</v>
      </c>
      <c r="AI219" s="23">
        <v>-3.0</v>
      </c>
    </row>
    <row r="220" ht="15.75" customHeight="1">
      <c r="A220" s="103">
        <v>3.0</v>
      </c>
      <c r="B220" s="43">
        <v>46170.0</v>
      </c>
      <c r="C220" s="12" t="s">
        <v>131</v>
      </c>
      <c r="D220" s="12" t="s">
        <v>21</v>
      </c>
      <c r="E220" s="44" t="s">
        <v>44</v>
      </c>
      <c r="F220" s="13"/>
      <c r="G220" s="16" t="s">
        <v>23</v>
      </c>
      <c r="H220" s="13"/>
      <c r="I220" s="44" t="s">
        <v>30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44</v>
      </c>
      <c r="P220" s="18">
        <f t="shared" si="27"/>
        <v>2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5</v>
      </c>
      <c r="V220" s="18">
        <f t="shared" si="32"/>
        <v>-3</v>
      </c>
      <c r="W220" s="64"/>
      <c r="X220" s="64"/>
      <c r="Y220" s="64"/>
      <c r="Z220" s="64"/>
      <c r="AA220" s="22">
        <v>3.0</v>
      </c>
      <c r="AB220" s="71" t="s">
        <v>30</v>
      </c>
      <c r="AC220" s="23">
        <v>0.0</v>
      </c>
      <c r="AD220" s="23">
        <v>0.0</v>
      </c>
      <c r="AE220" s="24"/>
      <c r="AF220" s="24">
        <v>1.0</v>
      </c>
      <c r="AG220" s="23">
        <v>0.0</v>
      </c>
      <c r="AH220" s="24">
        <v>2.0</v>
      </c>
      <c r="AI220" s="23">
        <v>-2.0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209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146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13">
        <v>2.0</v>
      </c>
      <c r="G231" s="16" t="s">
        <v>23</v>
      </c>
      <c r="H231" s="13">
        <v>0.0</v>
      </c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>
        <v>0.0</v>
      </c>
      <c r="G232" s="16" t="s">
        <v>23</v>
      </c>
      <c r="H232" s="13">
        <v>2.0</v>
      </c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60</v>
      </c>
      <c r="F233" s="13"/>
      <c r="G233" s="16" t="s">
        <v>23</v>
      </c>
      <c r="H233" s="13"/>
      <c r="I233" s="62" t="s">
        <v>22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80</v>
      </c>
      <c r="B234" s="11">
        <v>46174.0</v>
      </c>
      <c r="C234" s="12" t="s">
        <v>131</v>
      </c>
      <c r="D234" s="12" t="s">
        <v>21</v>
      </c>
      <c r="E234" s="44" t="s">
        <v>24</v>
      </c>
      <c r="F234" s="31"/>
      <c r="G234" s="16" t="s">
        <v>23</v>
      </c>
      <c r="H234" s="31"/>
      <c r="I234" s="44" t="s">
        <v>35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210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196</v>
      </c>
      <c r="U2" s="9" t="s">
        <v>197</v>
      </c>
      <c r="V2" s="9" t="s">
        <v>198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91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108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91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111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111</v>
      </c>
      <c r="F7" s="13">
        <v>2.0</v>
      </c>
      <c r="G7" s="31" t="s">
        <v>23</v>
      </c>
      <c r="H7" s="13">
        <v>0.0</v>
      </c>
      <c r="I7" s="17" t="s">
        <v>107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110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110</v>
      </c>
      <c r="F8" s="13">
        <v>2.0</v>
      </c>
      <c r="G8" s="31" t="s">
        <v>23</v>
      </c>
      <c r="H8" s="13">
        <v>1.0</v>
      </c>
      <c r="I8" s="17" t="s">
        <v>108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91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91</v>
      </c>
      <c r="F9" s="13">
        <v>1.0</v>
      </c>
      <c r="G9" s="31" t="s">
        <v>23</v>
      </c>
      <c r="H9" s="13">
        <v>2.0</v>
      </c>
      <c r="I9" s="17" t="s">
        <v>110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94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111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107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107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107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108</v>
      </c>
      <c r="F14" s="13">
        <v>0.0</v>
      </c>
      <c r="G14" s="31" t="s">
        <v>23</v>
      </c>
      <c r="H14" s="13">
        <v>2.0</v>
      </c>
      <c r="I14" s="17" t="s">
        <v>111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110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108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91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211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99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107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101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108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154</v>
      </c>
      <c r="D20" s="12" t="s">
        <v>21</v>
      </c>
      <c r="E20" s="17" t="s">
        <v>110</v>
      </c>
      <c r="F20" s="13">
        <v>2.0</v>
      </c>
      <c r="G20" s="31" t="s">
        <v>23</v>
      </c>
      <c r="H20" s="13">
        <v>0.0</v>
      </c>
      <c r="I20" s="17" t="s">
        <v>111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196</v>
      </c>
      <c r="AH20" s="5" t="s">
        <v>197</v>
      </c>
      <c r="AI20" s="5" t="s">
        <v>198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110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91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147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107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110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108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111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91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91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107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94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108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111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111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107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110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108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74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110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212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74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99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74</v>
      </c>
      <c r="D35" s="12" t="s">
        <v>21</v>
      </c>
      <c r="E35" s="17" t="s">
        <v>107</v>
      </c>
      <c r="F35" s="13">
        <v>0.0</v>
      </c>
      <c r="G35" s="31" t="s">
        <v>23</v>
      </c>
      <c r="H35" s="13">
        <v>2.0</v>
      </c>
      <c r="I35" s="17" t="s">
        <v>91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130</v>
      </c>
      <c r="D36" s="12" t="s">
        <v>21</v>
      </c>
      <c r="E36" s="17" t="s">
        <v>108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130</v>
      </c>
      <c r="D37" s="12" t="s">
        <v>21</v>
      </c>
      <c r="E37" s="17" t="s">
        <v>111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130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107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91</v>
      </c>
      <c r="F41" s="13">
        <v>2.0</v>
      </c>
      <c r="G41" s="31" t="s">
        <v>23</v>
      </c>
      <c r="H41" s="13">
        <v>0.0</v>
      </c>
      <c r="I41" s="44" t="s">
        <v>108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111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110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110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107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108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111</v>
      </c>
      <c r="F48" s="13">
        <v>0.0</v>
      </c>
      <c r="G48" s="31" t="s">
        <v>23</v>
      </c>
      <c r="H48" s="13">
        <v>2.0</v>
      </c>
      <c r="I48" s="44" t="s">
        <v>91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107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108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111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91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110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110</v>
      </c>
      <c r="F57" s="13">
        <v>2.0</v>
      </c>
      <c r="G57" s="31" t="s">
        <v>23</v>
      </c>
      <c r="H57" s="13">
        <v>0.0</v>
      </c>
      <c r="I57" s="17" t="s">
        <v>107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108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111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91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107</v>
      </c>
      <c r="F63" s="13">
        <v>2.0</v>
      </c>
      <c r="G63" s="31" t="s">
        <v>23</v>
      </c>
      <c r="H63" s="13">
        <v>1.0</v>
      </c>
      <c r="I63" s="17" t="s">
        <v>108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111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91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110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213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196</v>
      </c>
      <c r="U73" s="9" t="s">
        <v>197</v>
      </c>
      <c r="V73" s="9" t="s">
        <v>198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146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146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188</v>
      </c>
      <c r="F75" s="13">
        <v>0.0</v>
      </c>
      <c r="G75" s="31" t="s">
        <v>23</v>
      </c>
      <c r="H75" s="13">
        <v>2.0</v>
      </c>
      <c r="I75" s="17" t="s">
        <v>157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109</v>
      </c>
      <c r="AB75" s="71" t="s">
        <v>146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157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169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169</v>
      </c>
      <c r="F78" s="13">
        <v>2.0</v>
      </c>
      <c r="G78" s="31" t="s">
        <v>23</v>
      </c>
      <c r="H78" s="13">
        <v>0.0</v>
      </c>
      <c r="I78" s="17" t="s">
        <v>214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157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169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157</v>
      </c>
      <c r="F81" s="13">
        <v>0.0</v>
      </c>
      <c r="G81" s="31" t="s">
        <v>23</v>
      </c>
      <c r="H81" s="13">
        <v>2.0</v>
      </c>
      <c r="I81" s="17" t="s">
        <v>146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188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188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188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214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214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169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157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146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21</v>
      </c>
      <c r="E88" s="17" t="s">
        <v>188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214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169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157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146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214</v>
      </c>
      <c r="F95" s="13">
        <v>2.0</v>
      </c>
      <c r="G95" s="31" t="s">
        <v>23</v>
      </c>
      <c r="H95" s="13">
        <v>0.0</v>
      </c>
      <c r="I95" s="17" t="s">
        <v>188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169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157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146</v>
      </c>
      <c r="F100" s="160">
        <v>2.0</v>
      </c>
      <c r="G100" s="31" t="s">
        <v>23</v>
      </c>
      <c r="H100" s="13">
        <v>1.0</v>
      </c>
      <c r="I100" s="17" t="s">
        <v>214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188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169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119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157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119</v>
      </c>
      <c r="D106" s="12" t="s">
        <v>21</v>
      </c>
      <c r="E106" s="17" t="s">
        <v>214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119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146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76</v>
      </c>
      <c r="D108" s="12" t="s">
        <v>21</v>
      </c>
      <c r="E108" s="17" t="s">
        <v>169</v>
      </c>
      <c r="F108" s="13">
        <v>2.0</v>
      </c>
      <c r="G108" s="31" t="s">
        <v>23</v>
      </c>
      <c r="H108" s="13">
        <v>0.0</v>
      </c>
      <c r="I108" s="17" t="s">
        <v>188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76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76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157</v>
      </c>
      <c r="F111" s="13">
        <v>2.0</v>
      </c>
      <c r="G111" s="31" t="s">
        <v>23</v>
      </c>
      <c r="H111" s="13">
        <v>0.0</v>
      </c>
      <c r="I111" s="17" t="s">
        <v>214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146</v>
      </c>
      <c r="F113" s="13">
        <v>1.0</v>
      </c>
      <c r="G113" s="31" t="s">
        <v>23</v>
      </c>
      <c r="H113" s="13">
        <v>2.0</v>
      </c>
      <c r="I113" s="17" t="s">
        <v>169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147</v>
      </c>
      <c r="D114" s="12" t="s">
        <v>21</v>
      </c>
      <c r="E114" s="17" t="s">
        <v>188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214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157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147</v>
      </c>
      <c r="D119" s="12" t="s">
        <v>21</v>
      </c>
      <c r="E119" s="17" t="s">
        <v>169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146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149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188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149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214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147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149</v>
      </c>
      <c r="D124" s="12" t="s">
        <v>21</v>
      </c>
      <c r="E124" s="17" t="s">
        <v>157</v>
      </c>
      <c r="F124" s="13">
        <v>2.0</v>
      </c>
      <c r="G124" s="31" t="s">
        <v>23</v>
      </c>
      <c r="H124" s="13">
        <v>0.0</v>
      </c>
      <c r="I124" s="17" t="s">
        <v>169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146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188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214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169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157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188</v>
      </c>
      <c r="F133" s="13">
        <v>0.0</v>
      </c>
      <c r="G133" s="31" t="s">
        <v>23</v>
      </c>
      <c r="H133" s="13">
        <v>2.0</v>
      </c>
      <c r="I133" s="17" t="s">
        <v>146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214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169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157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188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146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216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196</v>
      </c>
      <c r="U145" s="9" t="s">
        <v>197</v>
      </c>
      <c r="V145" s="9" t="s">
        <v>198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217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112</v>
      </c>
      <c r="F147" s="13">
        <v>2.0</v>
      </c>
      <c r="G147" s="31" t="s">
        <v>23</v>
      </c>
      <c r="H147" s="13">
        <v>0.0</v>
      </c>
      <c r="I147" s="17" t="s">
        <v>218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109</v>
      </c>
      <c r="AB147" s="71" t="s">
        <v>112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105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217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125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218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125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217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105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218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125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105</v>
      </c>
      <c r="F154" s="13">
        <v>2.0</v>
      </c>
      <c r="G154" s="31" t="s">
        <v>23</v>
      </c>
      <c r="H154" s="13">
        <v>1.0</v>
      </c>
      <c r="I154" s="17" t="s">
        <v>112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112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125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217</v>
      </c>
      <c r="F158" s="13">
        <v>2.0</v>
      </c>
      <c r="G158" s="31" t="s">
        <v>23</v>
      </c>
      <c r="H158" s="13">
        <v>1.0</v>
      </c>
      <c r="I158" s="17" t="s">
        <v>218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105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21</v>
      </c>
      <c r="E160" s="17" t="s">
        <v>112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154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125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218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105</v>
      </c>
      <c r="F165" s="13">
        <v>2.0</v>
      </c>
      <c r="G165" s="31" t="s">
        <v>23</v>
      </c>
      <c r="H165" s="13">
        <v>1.0</v>
      </c>
      <c r="I165" s="17" t="s">
        <v>217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119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76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112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131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125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218</v>
      </c>
      <c r="F170" s="13">
        <v>0.0</v>
      </c>
      <c r="G170" s="31" t="s">
        <v>23</v>
      </c>
      <c r="H170" s="13">
        <v>2.0</v>
      </c>
      <c r="I170" s="17" t="s">
        <v>105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203</v>
      </c>
      <c r="D171" s="12" t="s">
        <v>21</v>
      </c>
      <c r="E171" s="17" t="s">
        <v>217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203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147</v>
      </c>
      <c r="D173" s="12" t="s">
        <v>21</v>
      </c>
      <c r="E173" s="17" t="s">
        <v>112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125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105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131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218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131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217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112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131</v>
      </c>
      <c r="D181" s="12" t="s">
        <v>21</v>
      </c>
      <c r="E181" s="17" t="s">
        <v>125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105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147</v>
      </c>
      <c r="D183" s="12" t="s">
        <v>21</v>
      </c>
      <c r="E183" s="17" t="s">
        <v>218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147</v>
      </c>
      <c r="D184" s="12" t="s">
        <v>21</v>
      </c>
      <c r="E184" s="17" t="s">
        <v>217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147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149</v>
      </c>
      <c r="D186" s="12" t="s">
        <v>21</v>
      </c>
      <c r="E186" s="17" t="s">
        <v>112</v>
      </c>
      <c r="F186" s="13">
        <v>2.0</v>
      </c>
      <c r="G186" s="31" t="s">
        <v>23</v>
      </c>
      <c r="H186" s="13">
        <v>0.0</v>
      </c>
      <c r="I186" s="17" t="s">
        <v>125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149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105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149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218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217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125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112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105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218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217</v>
      </c>
      <c r="F197" s="13">
        <v>2.0</v>
      </c>
      <c r="G197" s="31" t="s">
        <v>23</v>
      </c>
      <c r="H197" s="13">
        <v>0.0</v>
      </c>
      <c r="I197" s="17" t="s">
        <v>125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112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105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125</v>
      </c>
      <c r="F203" s="13">
        <v>2.0</v>
      </c>
      <c r="G203" s="31" t="s">
        <v>23</v>
      </c>
      <c r="H203" s="13">
        <v>0.0</v>
      </c>
      <c r="I203" s="17" t="s">
        <v>218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217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112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105</v>
      </c>
      <c r="F208" s="13">
        <v>2.0</v>
      </c>
      <c r="G208" s="31" t="s">
        <v>23</v>
      </c>
      <c r="H208" s="13">
        <v>0.0</v>
      </c>
      <c r="I208" s="17" t="s">
        <v>125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218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217</v>
      </c>
      <c r="F210" s="13">
        <v>1.0</v>
      </c>
      <c r="G210" s="31" t="s">
        <v>23</v>
      </c>
      <c r="H210" s="13">
        <v>2.0</v>
      </c>
      <c r="I210" s="17" t="s">
        <v>112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220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196</v>
      </c>
      <c r="U217" s="174" t="s">
        <v>197</v>
      </c>
      <c r="V217" s="174" t="s">
        <v>198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196</v>
      </c>
      <c r="AH217" s="120" t="s">
        <v>197</v>
      </c>
      <c r="AI217" s="120" t="s">
        <v>198</v>
      </c>
      <c r="AJ217" s="3"/>
    </row>
    <row r="218" ht="15.75" customHeight="1">
      <c r="A218" s="103">
        <v>1.0</v>
      </c>
      <c r="B218" s="43">
        <v>46162.0</v>
      </c>
      <c r="C218" s="12" t="s">
        <v>119</v>
      </c>
      <c r="D218" s="12" t="s">
        <v>21</v>
      </c>
      <c r="E218" s="44" t="s">
        <v>38</v>
      </c>
      <c r="F218" s="13">
        <v>0.0</v>
      </c>
      <c r="G218" s="16" t="s">
        <v>23</v>
      </c>
      <c r="H218" s="13">
        <v>2.0</v>
      </c>
      <c r="I218" s="44" t="s">
        <v>146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1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2</v>
      </c>
      <c r="V218" s="18">
        <f t="shared" ref="V218:V220" si="32">T218-U218</f>
        <v>-2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Física</v>
      </c>
      <c r="AC218" s="23">
        <v>3.0</v>
      </c>
      <c r="AD218" s="23">
        <v>1.0</v>
      </c>
      <c r="AE218" s="24"/>
      <c r="AF218" s="24">
        <v>0.0</v>
      </c>
      <c r="AG218" s="23">
        <v>2.0</v>
      </c>
      <c r="AH218" s="24">
        <v>0.0</v>
      </c>
      <c r="AI218" s="23">
        <v>2.0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146</v>
      </c>
      <c r="F219" s="13">
        <v>0.0</v>
      </c>
      <c r="G219" s="16" t="s">
        <v>23</v>
      </c>
      <c r="H219" s="13">
        <v>2.0</v>
      </c>
      <c r="I219" s="44" t="s">
        <v>112</v>
      </c>
      <c r="J219" s="4"/>
      <c r="K219" s="150">
        <f t="shared" si="25"/>
        <v>0</v>
      </c>
      <c r="L219" s="151">
        <f t="shared" si="26"/>
        <v>3</v>
      </c>
      <c r="M219" s="4"/>
      <c r="N219" s="18">
        <v>2.0</v>
      </c>
      <c r="O219" s="78" t="s">
        <v>157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2</v>
      </c>
      <c r="V219" s="18">
        <f t="shared" si="32"/>
        <v>-2</v>
      </c>
      <c r="W219" s="64"/>
      <c r="X219" s="64"/>
      <c r="Y219" s="64"/>
      <c r="Z219" s="64"/>
      <c r="AA219" s="104">
        <v>2.0</v>
      </c>
      <c r="AB219" s="71" t="s">
        <v>38</v>
      </c>
      <c r="AC219" s="23">
        <v>0.0</v>
      </c>
      <c r="AD219" s="23">
        <v>0.0</v>
      </c>
      <c r="AE219" s="24"/>
      <c r="AF219" s="24">
        <v>1.0</v>
      </c>
      <c r="AG219" s="23">
        <v>0.0</v>
      </c>
      <c r="AH219" s="24">
        <v>2.0</v>
      </c>
      <c r="AI219" s="23">
        <v>-2.0</v>
      </c>
      <c r="AJ219" s="3"/>
    </row>
    <row r="220" ht="15.75" customHeight="1">
      <c r="A220" s="103">
        <v>3.0</v>
      </c>
      <c r="B220" s="43">
        <v>46170.0</v>
      </c>
      <c r="C220" s="12" t="s">
        <v>131</v>
      </c>
      <c r="D220" s="12" t="s">
        <v>21</v>
      </c>
      <c r="E220" s="44" t="s">
        <v>112</v>
      </c>
      <c r="F220" s="13"/>
      <c r="G220" s="16" t="s">
        <v>23</v>
      </c>
      <c r="H220" s="13"/>
      <c r="I220" s="44" t="s">
        <v>38</v>
      </c>
      <c r="J220" s="4"/>
      <c r="K220" s="150" t="str">
        <f t="shared" si="25"/>
        <v/>
      </c>
      <c r="L220" s="151" t="str">
        <f t="shared" si="26"/>
        <v/>
      </c>
      <c r="M220" s="4"/>
      <c r="N220" s="18">
        <v>3.0</v>
      </c>
      <c r="O220" s="78" t="s">
        <v>112</v>
      </c>
      <c r="P220" s="18">
        <f t="shared" si="27"/>
        <v>3</v>
      </c>
      <c r="Q220" s="18">
        <f t="shared" si="28"/>
        <v>1</v>
      </c>
      <c r="S220" s="20">
        <f t="shared" si="29"/>
        <v>0</v>
      </c>
      <c r="T220" s="18">
        <f t="shared" si="30"/>
        <v>2</v>
      </c>
      <c r="U220" s="20">
        <f t="shared" si="31"/>
        <v>0</v>
      </c>
      <c r="V220" s="18">
        <f t="shared" si="32"/>
        <v>2</v>
      </c>
      <c r="W220" s="64"/>
      <c r="X220" s="64"/>
      <c r="Y220" s="64"/>
      <c r="Z220" s="64"/>
      <c r="AA220" s="22">
        <v>3.0</v>
      </c>
      <c r="AB220" s="71" t="s">
        <v>157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2.0</v>
      </c>
      <c r="AI220" s="23">
        <v>-2.0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221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105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222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91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110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13">
        <v>2.0</v>
      </c>
      <c r="G231" s="16" t="s">
        <v>23</v>
      </c>
      <c r="H231" s="13">
        <v>0.0</v>
      </c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>
        <v>1.0</v>
      </c>
      <c r="G232" s="16" t="s">
        <v>23</v>
      </c>
      <c r="H232" s="13">
        <v>2.0</v>
      </c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24</v>
      </c>
      <c r="F233" s="31"/>
      <c r="G233" s="16" t="s">
        <v>23</v>
      </c>
      <c r="H233" s="31"/>
      <c r="I233" s="62" t="s">
        <v>42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80</v>
      </c>
      <c r="B234" s="11">
        <v>46175.0</v>
      </c>
      <c r="C234" s="12" t="s">
        <v>51</v>
      </c>
      <c r="D234" s="12" t="s">
        <v>21</v>
      </c>
      <c r="E234" s="44" t="s">
        <v>35</v>
      </c>
      <c r="F234" s="31"/>
      <c r="G234" s="16" t="s">
        <v>23</v>
      </c>
      <c r="H234" s="31"/>
      <c r="I234" s="44" t="s">
        <v>32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223</v>
      </c>
      <c r="B1" s="176" t="s">
        <v>224</v>
      </c>
      <c r="C1" s="176" t="s">
        <v>225</v>
      </c>
      <c r="D1" s="176" t="s">
        <v>226</v>
      </c>
      <c r="E1" s="176" t="s">
        <v>227</v>
      </c>
      <c r="F1" s="176" t="s">
        <v>228</v>
      </c>
      <c r="G1" s="176" t="s">
        <v>229</v>
      </c>
      <c r="H1" s="176" t="s">
        <v>230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231</v>
      </c>
      <c r="B2" s="179" t="s">
        <v>232</v>
      </c>
      <c r="C2" s="180" t="s">
        <v>30</v>
      </c>
      <c r="D2" s="180" t="s">
        <v>233</v>
      </c>
      <c r="E2" s="181">
        <v>108125.0</v>
      </c>
      <c r="F2" s="182" t="s">
        <v>234</v>
      </c>
      <c r="G2" s="179" t="s">
        <v>235</v>
      </c>
      <c r="H2" s="180" t="s">
        <v>236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231</v>
      </c>
      <c r="B3" s="179" t="s">
        <v>237</v>
      </c>
      <c r="C3" s="179" t="s">
        <v>31</v>
      </c>
      <c r="D3" s="179" t="s">
        <v>238</v>
      </c>
      <c r="E3" s="183">
        <v>89159.0</v>
      </c>
      <c r="F3" s="184" t="s">
        <v>239</v>
      </c>
      <c r="G3" s="179" t="s">
        <v>235</v>
      </c>
      <c r="H3" s="179" t="s">
        <v>240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231</v>
      </c>
      <c r="B4" s="179" t="s">
        <v>241</v>
      </c>
      <c r="C4" s="179" t="s">
        <v>105</v>
      </c>
      <c r="D4" s="179" t="s">
        <v>242</v>
      </c>
      <c r="E4" s="183">
        <v>100096.0</v>
      </c>
      <c r="F4" s="184" t="s">
        <v>243</v>
      </c>
      <c r="G4" s="179" t="s">
        <v>235</v>
      </c>
      <c r="H4" s="179" t="s">
        <v>244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231</v>
      </c>
      <c r="B5" s="179" t="s">
        <v>245</v>
      </c>
      <c r="C5" s="179" t="s">
        <v>58</v>
      </c>
      <c r="D5" s="179" t="s">
        <v>246</v>
      </c>
      <c r="E5" s="183">
        <v>108498.0</v>
      </c>
      <c r="F5" s="184" t="s">
        <v>247</v>
      </c>
      <c r="G5" s="179" t="s">
        <v>235</v>
      </c>
      <c r="H5" s="179" t="s">
        <v>248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231</v>
      </c>
      <c r="B6" s="179" t="s">
        <v>249</v>
      </c>
      <c r="C6" s="179" t="s">
        <v>66</v>
      </c>
      <c r="D6" s="179" t="s">
        <v>250</v>
      </c>
      <c r="E6" s="183">
        <v>110713.0</v>
      </c>
      <c r="F6" s="184" t="s">
        <v>243</v>
      </c>
      <c r="G6" s="179" t="s">
        <v>235</v>
      </c>
      <c r="H6" s="179" t="s">
        <v>251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231</v>
      </c>
      <c r="B7" s="179" t="s">
        <v>252</v>
      </c>
      <c r="C7" s="179" t="s">
        <v>62</v>
      </c>
      <c r="D7" s="179" t="s">
        <v>253</v>
      </c>
      <c r="E7" s="183">
        <v>108196.0</v>
      </c>
      <c r="F7" s="184" t="s">
        <v>247</v>
      </c>
      <c r="G7" s="179" t="s">
        <v>235</v>
      </c>
      <c r="H7" s="179" t="s">
        <v>248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254</v>
      </c>
      <c r="B8" s="179" t="s">
        <v>255</v>
      </c>
      <c r="C8" s="179" t="s">
        <v>156</v>
      </c>
      <c r="D8" s="179" t="s">
        <v>256</v>
      </c>
      <c r="E8" s="183">
        <v>103269.0</v>
      </c>
      <c r="F8" s="184" t="s">
        <v>247</v>
      </c>
      <c r="G8" s="179" t="s">
        <v>235</v>
      </c>
      <c r="H8" s="179" t="s">
        <v>248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231</v>
      </c>
      <c r="B9" s="179" t="s">
        <v>257</v>
      </c>
      <c r="C9" s="179" t="s">
        <v>39</v>
      </c>
      <c r="D9" s="179" t="s">
        <v>258</v>
      </c>
      <c r="E9" s="183">
        <v>109271.0</v>
      </c>
      <c r="F9" s="184" t="s">
        <v>247</v>
      </c>
      <c r="G9" s="179" t="s">
        <v>259</v>
      </c>
      <c r="H9" s="179" t="s">
        <v>260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231</v>
      </c>
      <c r="B10" s="179" t="s">
        <v>261</v>
      </c>
      <c r="C10" s="179" t="s">
        <v>123</v>
      </c>
      <c r="D10" s="179" t="s">
        <v>262</v>
      </c>
      <c r="E10" s="183">
        <v>108249.0</v>
      </c>
      <c r="F10" s="184" t="s">
        <v>247</v>
      </c>
      <c r="G10" s="179" t="s">
        <v>259</v>
      </c>
      <c r="H10" s="179" t="s">
        <v>260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231</v>
      </c>
      <c r="B11" s="179" t="s">
        <v>263</v>
      </c>
      <c r="C11" s="179" t="s">
        <v>38</v>
      </c>
      <c r="D11" s="179" t="s">
        <v>264</v>
      </c>
      <c r="E11" s="183">
        <v>103583.0</v>
      </c>
      <c r="F11" s="184" t="s">
        <v>247</v>
      </c>
      <c r="G11" s="179" t="s">
        <v>259</v>
      </c>
      <c r="H11" s="179" t="s">
        <v>265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231</v>
      </c>
      <c r="B12" s="179" t="s">
        <v>263</v>
      </c>
      <c r="C12" s="179" t="s">
        <v>38</v>
      </c>
      <c r="D12" s="179" t="s">
        <v>266</v>
      </c>
      <c r="E12" s="183">
        <v>93245.0</v>
      </c>
      <c r="F12" s="185" t="s">
        <v>267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