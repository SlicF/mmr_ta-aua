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<sst xmlns="http://schemas.openxmlformats.org/spreadsheetml/2006/main" count="7493" uniqueCount="265">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</sst>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13">
        <v>27.0</v>
      </c>
      <c r="G156" s="16" t="s">
        <v>23</v>
      </c>
      <c r="H156" s="13">
        <v>26.0</v>
      </c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13">
        <v>20.0</v>
      </c>
      <c r="G157" s="16" t="s">
        <v>23</v>
      </c>
      <c r="H157" s="13">
        <v>22.0</v>
      </c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13">
        <v>14.0</v>
      </c>
      <c r="G190" s="16" t="s">
        <v>23</v>
      </c>
      <c r="H190" s="13">
        <v>9.0</v>
      </c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>
        <v>19.0</v>
      </c>
      <c r="G191" s="16" t="s">
        <v>23</v>
      </c>
      <c r="H191" s="13">
        <v>13.0</v>
      </c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24</v>
      </c>
      <c r="F192" s="13">
        <v>7.0</v>
      </c>
      <c r="G192" s="16" t="s">
        <v>23</v>
      </c>
      <c r="H192" s="13">
        <v>11.0</v>
      </c>
      <c r="I192" s="62" t="s">
        <v>35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31</v>
      </c>
      <c r="F193" s="13">
        <v>13.0</v>
      </c>
      <c r="G193" s="16" t="s">
        <v>23</v>
      </c>
      <c r="H193" s="13">
        <v>20.0</v>
      </c>
      <c r="I193" s="44" t="s">
        <v>32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129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129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130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129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129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131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129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129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131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130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129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129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129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131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129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136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137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138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130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8</v>
      </c>
      <c r="T11" s="18">
        <f t="shared" si="7"/>
        <v>5</v>
      </c>
      <c r="U11" s="20">
        <f t="shared" si="8"/>
        <v>77</v>
      </c>
      <c r="V11" s="18">
        <f t="shared" si="9"/>
        <v>-72</v>
      </c>
      <c r="W11" s="64"/>
      <c r="X11" s="64"/>
      <c r="Y11" s="22">
        <v>9.0</v>
      </c>
      <c r="Z11" s="71" t="s">
        <v>138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6</v>
      </c>
      <c r="Q13" s="18">
        <f t="shared" si="4"/>
        <v>2</v>
      </c>
      <c r="R13" s="18">
        <f t="shared" si="5"/>
        <v>0</v>
      </c>
      <c r="S13" s="20">
        <f t="shared" si="6"/>
        <v>6</v>
      </c>
      <c r="T13" s="18">
        <f t="shared" si="7"/>
        <v>10</v>
      </c>
      <c r="U13" s="20">
        <f t="shared" si="8"/>
        <v>47</v>
      </c>
      <c r="V13" s="18">
        <f t="shared" si="9"/>
        <v>-37</v>
      </c>
      <c r="W13" s="64"/>
      <c r="X13" s="64"/>
      <c r="Y13" s="22">
        <v>11.0</v>
      </c>
      <c r="Z13" s="71" t="s">
        <v>60</v>
      </c>
      <c r="AA13" s="23">
        <v>6.0</v>
      </c>
      <c r="AB13" s="23">
        <v>2.0</v>
      </c>
      <c r="AC13" s="23">
        <v>0.0</v>
      </c>
      <c r="AD13" s="24">
        <v>6.0</v>
      </c>
      <c r="AE13" s="23">
        <v>10.0</v>
      </c>
      <c r="AF13" s="24">
        <v>47.0</v>
      </c>
      <c r="AG13" s="23">
        <v>-37.0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139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8.0</v>
      </c>
      <c r="AE17" s="23">
        <v>5.0</v>
      </c>
      <c r="AF17" s="24">
        <v>77.0</v>
      </c>
      <c r="AG17" s="23">
        <v>-72.0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138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141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142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137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138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137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142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138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137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138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137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137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138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137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137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138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43">
        <v>46169.0</v>
      </c>
      <c r="C56" s="12" t="s">
        <v>76</v>
      </c>
      <c r="D56" s="12" t="s">
        <v>21</v>
      </c>
      <c r="E56" s="44" t="s">
        <v>60</v>
      </c>
      <c r="F56" s="106">
        <v>6.0</v>
      </c>
      <c r="G56" s="93" t="s">
        <v>23</v>
      </c>
      <c r="H56" s="106">
        <v>1.0</v>
      </c>
      <c r="I56" s="44" t="s">
        <v>103</v>
      </c>
      <c r="J56" s="64"/>
      <c r="K56" s="4">
        <f t="shared" si="1"/>
        <v>3</v>
      </c>
      <c r="L56" s="18">
        <f t="shared" si="2"/>
        <v>0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137</v>
      </c>
      <c r="D59" s="12" t="s">
        <v>21</v>
      </c>
      <c r="E59" s="44" t="s">
        <v>138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137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138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137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144</v>
      </c>
      <c r="G79" s="16" t="s">
        <v>23</v>
      </c>
      <c r="H79" s="13" t="s">
        <v>145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13">
        <v>4.0</v>
      </c>
      <c r="G82" s="16" t="s">
        <v>23</v>
      </c>
      <c r="H82" s="13">
        <v>0.0</v>
      </c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147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148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149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149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150</v>
      </c>
      <c r="F5" s="17">
        <v>1.0</v>
      </c>
      <c r="G5" s="93" t="s">
        <v>23</v>
      </c>
      <c r="H5" s="17">
        <v>1.0</v>
      </c>
      <c r="I5" s="17" t="s">
        <v>151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152</v>
      </c>
      <c r="F8" s="17">
        <v>2.0</v>
      </c>
      <c r="G8" s="93" t="s">
        <v>23</v>
      </c>
      <c r="H8" s="17">
        <v>3.0</v>
      </c>
      <c r="I8" s="44" t="s">
        <v>149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151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152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151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150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151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150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150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152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149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152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151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150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149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152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151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149</v>
      </c>
      <c r="F25" s="17">
        <v>5.0</v>
      </c>
      <c r="G25" s="93" t="s">
        <v>23</v>
      </c>
      <c r="H25" s="17">
        <v>1.0</v>
      </c>
      <c r="I25" s="44" t="s">
        <v>150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151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149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150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152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151</v>
      </c>
      <c r="F33" s="17">
        <v>2.0</v>
      </c>
      <c r="G33" s="93" t="s">
        <v>23</v>
      </c>
      <c r="H33" s="17">
        <v>0.0</v>
      </c>
      <c r="I33" s="17" t="s">
        <v>152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149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150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151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149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152</v>
      </c>
      <c r="F44" s="17">
        <v>2.0</v>
      </c>
      <c r="G44" s="93" t="s">
        <v>23</v>
      </c>
      <c r="H44" s="17">
        <v>4.0</v>
      </c>
      <c r="I44" s="17" t="s">
        <v>150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151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149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150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151</v>
      </c>
      <c r="F52" s="17">
        <v>3.0</v>
      </c>
      <c r="G52" s="93" t="s">
        <v>23</v>
      </c>
      <c r="H52" s="17">
        <v>7.0</v>
      </c>
      <c r="I52" s="44" t="s">
        <v>149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150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152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152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149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148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151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150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149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151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148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150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155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156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156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157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148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156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156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156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156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159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156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156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156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160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129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129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163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161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163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162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129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129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162</v>
      </c>
      <c r="F135" s="44">
        <v>5.0</v>
      </c>
      <c r="G135" s="93" t="s">
        <v>23</v>
      </c>
      <c r="H135" s="44">
        <v>2.0</v>
      </c>
      <c r="I135" s="44" t="s">
        <v>163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129</v>
      </c>
      <c r="F136" s="44">
        <v>2.0</v>
      </c>
      <c r="G136" s="93" t="s">
        <v>23</v>
      </c>
      <c r="H136" s="44">
        <v>2.0</v>
      </c>
      <c r="I136" s="44" t="s">
        <v>161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163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161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162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129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163</v>
      </c>
      <c r="F146" s="44">
        <v>8.0</v>
      </c>
      <c r="G146" s="93" t="s">
        <v>23</v>
      </c>
      <c r="H146" s="44">
        <v>4.0</v>
      </c>
      <c r="I146" s="44" t="s">
        <v>161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163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161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129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162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129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165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161</v>
      </c>
      <c r="F151" s="44">
        <v>3.0</v>
      </c>
      <c r="G151" s="93" t="s">
        <v>23</v>
      </c>
      <c r="H151" s="44">
        <v>11.0</v>
      </c>
      <c r="I151" s="44" t="s">
        <v>162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158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129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162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163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129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161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166</v>
      </c>
      <c r="D164" s="12" t="s">
        <v>21</v>
      </c>
      <c r="E164" s="44" t="s">
        <v>129</v>
      </c>
      <c r="F164" s="44">
        <v>1.0</v>
      </c>
      <c r="G164" s="93" t="s">
        <v>23</v>
      </c>
      <c r="H164" s="44">
        <v>9.0</v>
      </c>
      <c r="I164" s="44" t="s">
        <v>163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161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162</v>
      </c>
      <c r="F169" s="44">
        <v>7.0</v>
      </c>
      <c r="G169" s="93" t="s">
        <v>23</v>
      </c>
      <c r="H169" s="44">
        <v>1.0</v>
      </c>
      <c r="I169" s="17" t="s">
        <v>129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163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167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138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168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168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168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138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168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169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138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168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138</v>
      </c>
      <c r="F196" s="44">
        <v>5.0</v>
      </c>
      <c r="G196" s="93" t="s">
        <v>23</v>
      </c>
      <c r="H196" s="44">
        <v>2.0</v>
      </c>
      <c r="I196" s="44" t="s">
        <v>168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168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168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138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168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170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138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138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168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138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168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138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168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171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150</v>
      </c>
      <c r="F228" s="13" t="s">
        <v>172</v>
      </c>
      <c r="G228" s="16" t="s">
        <v>23</v>
      </c>
      <c r="H228" s="13" t="s">
        <v>173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150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174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149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175</v>
      </c>
      <c r="G240" s="16" t="s">
        <v>23</v>
      </c>
      <c r="H240" s="13" t="s">
        <v>176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149</v>
      </c>
      <c r="F242" s="13" t="s">
        <v>177</v>
      </c>
      <c r="G242" s="16" t="s">
        <v>23</v>
      </c>
      <c r="H242" s="13" t="s">
        <v>178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13">
        <v>1.0</v>
      </c>
      <c r="G243" s="16" t="s">
        <v>23</v>
      </c>
      <c r="H243" s="13">
        <v>2.0</v>
      </c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13">
        <v>6.0</v>
      </c>
      <c r="G244" s="16" t="s">
        <v>23</v>
      </c>
      <c r="H244" s="13">
        <v>7.0</v>
      </c>
      <c r="I244" s="44" t="s">
        <v>149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147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149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149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149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149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149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149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149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104</v>
      </c>
      <c r="F29" s="17"/>
      <c r="G29" s="93" t="s">
        <v>23</v>
      </c>
      <c r="H29" s="133"/>
      <c r="I29" s="14" t="s">
        <v>149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149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149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149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149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149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149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180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180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138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150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138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150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150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138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150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138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150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138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166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150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148</v>
      </c>
      <c r="D129" s="39" t="s">
        <v>180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138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150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138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138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150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138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150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138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150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138</v>
      </c>
      <c r="F154" s="91">
        <v>2.0</v>
      </c>
      <c r="G154" s="93" t="s">
        <v>23</v>
      </c>
      <c r="H154" s="91">
        <v>1.0</v>
      </c>
      <c r="I154" s="17" t="s">
        <v>150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4</v>
      </c>
      <c r="U162" s="20">
        <f t="shared" ref="U162:U164" si="35">SUMIF(E$162:E$164,O162,H$162:H$164)+SUMIF(I$162:I$164,O162,F$162:F$164)</f>
        <v>7</v>
      </c>
      <c r="V162" s="18">
        <f t="shared" ref="V162:V164" si="36">T162-U162</f>
        <v>-3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9.0</v>
      </c>
      <c r="AH162" s="24">
        <v>3.0</v>
      </c>
      <c r="AI162" s="23">
        <v>6.0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138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101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4.0</v>
      </c>
      <c r="AH163" s="24">
        <v>7.0</v>
      </c>
      <c r="AI163" s="23">
        <v>-3.0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138</v>
      </c>
      <c r="F164" s="13">
        <v>6.0</v>
      </c>
      <c r="G164" s="16" t="s">
        <v>23</v>
      </c>
      <c r="H164" s="13">
        <v>1.0</v>
      </c>
      <c r="I164" s="28" t="s">
        <v>101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138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9</v>
      </c>
      <c r="U164" s="20">
        <f t="shared" si="35"/>
        <v>3</v>
      </c>
      <c r="V164" s="18">
        <f t="shared" si="36"/>
        <v>6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180</v>
      </c>
      <c r="E177" s="44" t="s">
        <v>104</v>
      </c>
      <c r="F177" s="13">
        <v>3.0</v>
      </c>
      <c r="G177" s="16" t="s">
        <v>23</v>
      </c>
      <c r="H177" s="13">
        <v>0.0</v>
      </c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180</v>
      </c>
      <c r="E178" s="44" t="s">
        <v>22</v>
      </c>
      <c r="F178" s="13">
        <v>2.0</v>
      </c>
      <c r="G178" s="16" t="s">
        <v>23</v>
      </c>
      <c r="H178" s="13">
        <v>4.0</v>
      </c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192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138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138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138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138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196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166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148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138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138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138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138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138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138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138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138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138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151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163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198</v>
      </c>
      <c r="F76" s="13">
        <v>2.0</v>
      </c>
      <c r="G76" s="31" t="s">
        <v>23</v>
      </c>
      <c r="H76" s="13">
        <v>0.0</v>
      </c>
      <c r="I76" s="17" t="s">
        <v>129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151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198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151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129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198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129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129</v>
      </c>
      <c r="F82" s="13">
        <v>0.0</v>
      </c>
      <c r="G82" s="31" t="s">
        <v>23</v>
      </c>
      <c r="H82" s="13">
        <v>2.0</v>
      </c>
      <c r="I82" s="17" t="s">
        <v>163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198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163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199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151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129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163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198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129</v>
      </c>
      <c r="F93" s="13">
        <v>2.0</v>
      </c>
      <c r="G93" s="31" t="s">
        <v>23</v>
      </c>
      <c r="H93" s="13">
        <v>1.0</v>
      </c>
      <c r="I93" s="17" t="s">
        <v>151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163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198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139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129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200</v>
      </c>
      <c r="D99" s="12" t="s">
        <v>21</v>
      </c>
      <c r="E99" s="17" t="s">
        <v>151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141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141</v>
      </c>
      <c r="D101" s="12" t="s">
        <v>21</v>
      </c>
      <c r="E101" s="17" t="s">
        <v>163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141</v>
      </c>
      <c r="D102" s="12" t="s">
        <v>21</v>
      </c>
      <c r="E102" s="17" t="s">
        <v>198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129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139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139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151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139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141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163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141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198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141</v>
      </c>
      <c r="D110" s="12" t="s">
        <v>21</v>
      </c>
      <c r="E110" s="17" t="s">
        <v>129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151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163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198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129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151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198</v>
      </c>
      <c r="F121" s="13">
        <v>0.0</v>
      </c>
      <c r="G121" s="31" t="s">
        <v>23</v>
      </c>
      <c r="H121" s="13">
        <v>2.0</v>
      </c>
      <c r="I121" s="17" t="s">
        <v>163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129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151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198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163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129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198</v>
      </c>
      <c r="F132" s="13">
        <v>1.0</v>
      </c>
      <c r="G132" s="31" t="s">
        <v>23</v>
      </c>
      <c r="H132" s="13">
        <v>2.0</v>
      </c>
      <c r="I132" s="17" t="s">
        <v>151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163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129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198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151</v>
      </c>
      <c r="F138" s="13">
        <v>0.0</v>
      </c>
      <c r="G138" s="31" t="s">
        <v>23</v>
      </c>
      <c r="H138" s="13">
        <v>2.0</v>
      </c>
      <c r="I138" s="17" t="s">
        <v>163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201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150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202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150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202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202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202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150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203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202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193</v>
      </c>
      <c r="AH165" s="5" t="s">
        <v>194</v>
      </c>
      <c r="AI165" s="5" t="s">
        <v>195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150</v>
      </c>
      <c r="F168" s="13">
        <v>2.0</v>
      </c>
      <c r="G168" s="31" t="s">
        <v>23</v>
      </c>
      <c r="H168" s="13">
        <v>1.0</v>
      </c>
      <c r="I168" s="17" t="s">
        <v>202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150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150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202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202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204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150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202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150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202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150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202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150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202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150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202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150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202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205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4</v>
      </c>
      <c r="V218" s="18">
        <f t="shared" ref="V218:V220" si="32">T218-U218</f>
        <v>-4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5.0</v>
      </c>
      <c r="AI218" s="23">
        <v>-1.0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4.0</v>
      </c>
      <c r="AD219" s="23">
        <v>1.0</v>
      </c>
      <c r="AE219" s="24"/>
      <c r="AF219" s="24">
        <v>1.0</v>
      </c>
      <c r="AG219" s="23">
        <v>3.0</v>
      </c>
      <c r="AH219" s="24">
        <v>2.0</v>
      </c>
      <c r="AI219" s="23">
        <v>1.0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>
        <v>2.0</v>
      </c>
      <c r="G220" s="16" t="s">
        <v>23</v>
      </c>
      <c r="H220" s="13">
        <v>0.0</v>
      </c>
      <c r="I220" s="44" t="s">
        <v>30</v>
      </c>
      <c r="J220" s="4"/>
      <c r="K220" s="150">
        <f t="shared" si="25"/>
        <v>3</v>
      </c>
      <c r="L220" s="151">
        <f t="shared" si="26"/>
        <v>0</v>
      </c>
      <c r="M220" s="4"/>
      <c r="N220" s="18">
        <v>3.0</v>
      </c>
      <c r="O220" s="78" t="s">
        <v>44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5</v>
      </c>
      <c r="V220" s="18">
        <f t="shared" si="32"/>
        <v>-1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2.0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206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138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>
        <v>0.0</v>
      </c>
      <c r="G233" s="16" t="s">
        <v>23</v>
      </c>
      <c r="H233" s="13">
        <v>2.0</v>
      </c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13">
        <v>2.0</v>
      </c>
      <c r="G234" s="16" t="s">
        <v>23</v>
      </c>
      <c r="H234" s="13">
        <v>0.0</v>
      </c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207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208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148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193</v>
      </c>
      <c r="AH20" s="5" t="s">
        <v>194</v>
      </c>
      <c r="AI20" s="5" t="s">
        <v>195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139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209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138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138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151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138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163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163</v>
      </c>
      <c r="F78" s="13">
        <v>2.0</v>
      </c>
      <c r="G78" s="31" t="s">
        <v>23</v>
      </c>
      <c r="H78" s="13">
        <v>0.0</v>
      </c>
      <c r="I78" s="17" t="s">
        <v>211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151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211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151</v>
      </c>
      <c r="F81" s="13">
        <v>0.0</v>
      </c>
      <c r="G81" s="31" t="s">
        <v>23</v>
      </c>
      <c r="H81" s="13">
        <v>2.0</v>
      </c>
      <c r="I81" s="17" t="s">
        <v>138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211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211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163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212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151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138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166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211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163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151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138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211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163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151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138</v>
      </c>
      <c r="F100" s="160">
        <v>2.0</v>
      </c>
      <c r="G100" s="31" t="s">
        <v>23</v>
      </c>
      <c r="H100" s="13">
        <v>1.0</v>
      </c>
      <c r="I100" s="17" t="s">
        <v>211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163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151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211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138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163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151</v>
      </c>
      <c r="F111" s="13">
        <v>2.0</v>
      </c>
      <c r="G111" s="31" t="s">
        <v>23</v>
      </c>
      <c r="H111" s="13">
        <v>0.0</v>
      </c>
      <c r="I111" s="17" t="s">
        <v>211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138</v>
      </c>
      <c r="F113" s="13">
        <v>1.0</v>
      </c>
      <c r="G113" s="31" t="s">
        <v>23</v>
      </c>
      <c r="H113" s="13">
        <v>2.0</v>
      </c>
      <c r="I113" s="17" t="s">
        <v>163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139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211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151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139</v>
      </c>
      <c r="D119" s="12" t="s">
        <v>21</v>
      </c>
      <c r="E119" s="17" t="s">
        <v>163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141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141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211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139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141</v>
      </c>
      <c r="D124" s="12" t="s">
        <v>21</v>
      </c>
      <c r="E124" s="17" t="s">
        <v>151</v>
      </c>
      <c r="F124" s="13">
        <v>2.0</v>
      </c>
      <c r="G124" s="31" t="s">
        <v>23</v>
      </c>
      <c r="H124" s="13">
        <v>0.0</v>
      </c>
      <c r="I124" s="17" t="s">
        <v>163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138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211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163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151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138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211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163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151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214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215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214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214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215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214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215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215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216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214</v>
      </c>
      <c r="F158" s="13">
        <v>2.0</v>
      </c>
      <c r="G158" s="31" t="s">
        <v>23</v>
      </c>
      <c r="H158" s="13">
        <v>1.0</v>
      </c>
      <c r="I158" s="17" t="s">
        <v>215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166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148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215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214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215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200</v>
      </c>
      <c r="D171" s="12" t="s">
        <v>21</v>
      </c>
      <c r="E171" s="17" t="s">
        <v>214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200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139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215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214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139</v>
      </c>
      <c r="D183" s="12" t="s">
        <v>21</v>
      </c>
      <c r="E183" s="17" t="s">
        <v>215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139</v>
      </c>
      <c r="D184" s="12" t="s">
        <v>21</v>
      </c>
      <c r="E184" s="17" t="s">
        <v>214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139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141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141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141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215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214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215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214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215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214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215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214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138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1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1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-1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1.0</v>
      </c>
      <c r="AI218" s="23">
        <v>3.0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138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138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6</v>
      </c>
      <c r="V219" s="18">
        <f t="shared" si="32"/>
        <v>-4</v>
      </c>
      <c r="W219" s="64"/>
      <c r="X219" s="64"/>
      <c r="Y219" s="64"/>
      <c r="Z219" s="64"/>
      <c r="AA219" s="104">
        <v>2.0</v>
      </c>
      <c r="AB219" s="71" t="s">
        <v>138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6.0</v>
      </c>
      <c r="AI219" s="23">
        <v>-4.0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>
        <v>2.0</v>
      </c>
      <c r="G220" s="16" t="s">
        <v>23</v>
      </c>
      <c r="H220" s="13">
        <v>1.0</v>
      </c>
      <c r="I220" s="44" t="s">
        <v>38</v>
      </c>
      <c r="J220" s="4"/>
      <c r="K220" s="150">
        <f t="shared" si="25"/>
        <v>2</v>
      </c>
      <c r="L220" s="151">
        <f t="shared" si="26"/>
        <v>1</v>
      </c>
      <c r="M220" s="4"/>
      <c r="N220" s="18">
        <v>3.0</v>
      </c>
      <c r="O220" s="78" t="s">
        <v>108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1</v>
      </c>
      <c r="V220" s="18">
        <f t="shared" si="32"/>
        <v>3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1.0</v>
      </c>
      <c r="AD220" s="23">
        <v>0.0</v>
      </c>
      <c r="AE220" s="24"/>
      <c r="AF220" s="24">
        <v>2.0</v>
      </c>
      <c r="AG220" s="23">
        <v>1.0</v>
      </c>
      <c r="AH220" s="24">
        <v>2.0</v>
      </c>
      <c r="AI220" s="23">
        <v>-1.0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218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219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13">
        <v>2.0</v>
      </c>
      <c r="G233" s="16" t="s">
        <v>23</v>
      </c>
      <c r="H233" s="13">
        <v>1.0</v>
      </c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13">
        <v>2.0</v>
      </c>
      <c r="G234" s="16" t="s">
        <v>23</v>
      </c>
      <c r="H234" s="13">
        <v>0.0</v>
      </c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220</v>
      </c>
      <c r="B1" s="176" t="s">
        <v>221</v>
      </c>
      <c r="C1" s="176" t="s">
        <v>222</v>
      </c>
      <c r="D1" s="176" t="s">
        <v>223</v>
      </c>
      <c r="E1" s="176" t="s">
        <v>224</v>
      </c>
      <c r="F1" s="176" t="s">
        <v>225</v>
      </c>
      <c r="G1" s="176" t="s">
        <v>226</v>
      </c>
      <c r="H1" s="176" t="s">
        <v>227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228</v>
      </c>
      <c r="B2" s="179" t="s">
        <v>229</v>
      </c>
      <c r="C2" s="180" t="s">
        <v>30</v>
      </c>
      <c r="D2" s="180" t="s">
        <v>230</v>
      </c>
      <c r="E2" s="181">
        <v>108125.0</v>
      </c>
      <c r="F2" s="182" t="s">
        <v>231</v>
      </c>
      <c r="G2" s="179" t="s">
        <v>232</v>
      </c>
      <c r="H2" s="180" t="s">
        <v>233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228</v>
      </c>
      <c r="B3" s="179" t="s">
        <v>234</v>
      </c>
      <c r="C3" s="179" t="s">
        <v>31</v>
      </c>
      <c r="D3" s="179" t="s">
        <v>235</v>
      </c>
      <c r="E3" s="183">
        <v>89159.0</v>
      </c>
      <c r="F3" s="184" t="s">
        <v>236</v>
      </c>
      <c r="G3" s="179" t="s">
        <v>232</v>
      </c>
      <c r="H3" s="179" t="s">
        <v>237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228</v>
      </c>
      <c r="B4" s="179" t="s">
        <v>238</v>
      </c>
      <c r="C4" s="179" t="s">
        <v>101</v>
      </c>
      <c r="D4" s="179" t="s">
        <v>239</v>
      </c>
      <c r="E4" s="183">
        <v>100096.0</v>
      </c>
      <c r="F4" s="184" t="s">
        <v>240</v>
      </c>
      <c r="G4" s="179" t="s">
        <v>232</v>
      </c>
      <c r="H4" s="179" t="s">
        <v>241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228</v>
      </c>
      <c r="B5" s="179" t="s">
        <v>242</v>
      </c>
      <c r="C5" s="179" t="s">
        <v>58</v>
      </c>
      <c r="D5" s="179" t="s">
        <v>243</v>
      </c>
      <c r="E5" s="183">
        <v>108498.0</v>
      </c>
      <c r="F5" s="184" t="s">
        <v>244</v>
      </c>
      <c r="G5" s="179" t="s">
        <v>232</v>
      </c>
      <c r="H5" s="179" t="s">
        <v>245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228</v>
      </c>
      <c r="B6" s="179" t="s">
        <v>246</v>
      </c>
      <c r="C6" s="179" t="s">
        <v>66</v>
      </c>
      <c r="D6" s="179" t="s">
        <v>247</v>
      </c>
      <c r="E6" s="183">
        <v>110713.0</v>
      </c>
      <c r="F6" s="184" t="s">
        <v>240</v>
      </c>
      <c r="G6" s="179" t="s">
        <v>232</v>
      </c>
      <c r="H6" s="179" t="s">
        <v>248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228</v>
      </c>
      <c r="B7" s="179" t="s">
        <v>249</v>
      </c>
      <c r="C7" s="179" t="s">
        <v>62</v>
      </c>
      <c r="D7" s="179" t="s">
        <v>250</v>
      </c>
      <c r="E7" s="183">
        <v>108196.0</v>
      </c>
      <c r="F7" s="184" t="s">
        <v>244</v>
      </c>
      <c r="G7" s="179" t="s">
        <v>232</v>
      </c>
      <c r="H7" s="179" t="s">
        <v>245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251</v>
      </c>
      <c r="B8" s="179" t="s">
        <v>252</v>
      </c>
      <c r="C8" s="179" t="s">
        <v>150</v>
      </c>
      <c r="D8" s="179" t="s">
        <v>253</v>
      </c>
      <c r="E8" s="183">
        <v>103269.0</v>
      </c>
      <c r="F8" s="184" t="s">
        <v>244</v>
      </c>
      <c r="G8" s="179" t="s">
        <v>232</v>
      </c>
      <c r="H8" s="179" t="s">
        <v>245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228</v>
      </c>
      <c r="B9" s="179" t="s">
        <v>254</v>
      </c>
      <c r="C9" s="179" t="s">
        <v>39</v>
      </c>
      <c r="D9" s="179" t="s">
        <v>255</v>
      </c>
      <c r="E9" s="183">
        <v>109271.0</v>
      </c>
      <c r="F9" s="184" t="s">
        <v>244</v>
      </c>
      <c r="G9" s="179" t="s">
        <v>256</v>
      </c>
      <c r="H9" s="179" t="s">
        <v>257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228</v>
      </c>
      <c r="B10" s="179" t="s">
        <v>258</v>
      </c>
      <c r="C10" s="179" t="s">
        <v>119</v>
      </c>
      <c r="D10" s="179" t="s">
        <v>259</v>
      </c>
      <c r="E10" s="183">
        <v>108249.0</v>
      </c>
      <c r="F10" s="184" t="s">
        <v>244</v>
      </c>
      <c r="G10" s="179" t="s">
        <v>256</v>
      </c>
      <c r="H10" s="179" t="s">
        <v>257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228</v>
      </c>
      <c r="B11" s="179" t="s">
        <v>260</v>
      </c>
      <c r="C11" s="179" t="s">
        <v>38</v>
      </c>
      <c r="D11" s="179" t="s">
        <v>261</v>
      </c>
      <c r="E11" s="183">
        <v>103583.0</v>
      </c>
      <c r="F11" s="184" t="s">
        <v>244</v>
      </c>
      <c r="G11" s="179" t="s">
        <v>256</v>
      </c>
      <c r="H11" s="179" t="s">
        <v>262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228</v>
      </c>
      <c r="B12" s="179" t="s">
        <v>260</v>
      </c>
      <c r="C12" s="179" t="s">
        <v>38</v>
      </c>
      <c r="D12" s="179" t="s">
        <v>263</v>
      </c>
      <c r="E12" s="183">
        <v>93245.0</v>
      </c>
      <c r="F12" s="185" t="s">
        <v>264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