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<sst xmlns="http://schemas.openxmlformats.org/spreadsheetml/2006/main" count="7337" uniqueCount="277">
  <si>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</si>
  <si>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</si>
  <si>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</si>
  <si>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</si>
  <si>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</si>
  <si>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</si>
  <si>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</si>
  <si>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</si>
  <si>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</si>
  <si>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</si>
  <si>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</si>
  <si>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</si>
  <si>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</si>
  <si>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</si>
  <si>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</si>
  <si>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</si>
  <si>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</si>
  <si>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</si>
  <si>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</si>
  <si>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</si>
  <si>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</si>
  <si>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</si>
  <si>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</si>
  <si>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</si>
  <si>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</si>
  <si>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</si>
  <si>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</si>
  <si>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</si>
  <si>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</si>
  <si>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</si>
  <si>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</si>
  <si>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</si>
  <si>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</si>
  <si>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</si>
  <si>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</si>
  <si>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23h15</t>
  </si>
  <si>
    <t>EET</t>
  </si>
  <si>
    <t>Biotecnologia</t>
  </si>
  <si>
    <t>3*</t>
  </si>
  <si>
    <t>ECT</t>
  </si>
  <si>
    <t>Gestão Comercial</t>
  </si>
  <si>
    <t>4*</t>
  </si>
  <si>
    <t>Marketing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</si>
  <si>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</si>
  <si>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</si>
  <si>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</si>
  <si>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</si>
  <si>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</si>
  <si>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</si>
  <si>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</si>
  <si>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</si>
  <si>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</si>
  <si>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</si>
  <si>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23h00</t>
  </si>
  <si>
    <t>19h00</t>
  </si>
  <si>
    <t>21h00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</si>
  <si>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</si>
  <si>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</si>
  <si>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</si>
  <si>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</si>
  <si>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</si>
  <si>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</si>
  <si>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</si>
  <si>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</si>
  <si>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</si>
  <si>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</si>
  <si>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</si>
  <si>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</si>
  <si>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</si>
  <si>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</si>
  <si>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</si>
  <si>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</si>
  <si>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</si>
  <si>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</si>
  <si>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</si>
  <si>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</si>
  <si>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</si>
  <si>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</si>
  <si>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</si>
  <si>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</si>
  <si>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</si>
  <si>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</si>
  <si>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</si>
  <si>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</si>
  <si>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</si>
  <si>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</si>
  <si>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</si>
  <si>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</si>
  <si>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</si>
  <si>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Caixa UA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</si>
  <si>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</si>
  <si>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</si>
  <si>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</si>
  <si>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</si>
  <si>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</si>
  <si>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</si>
  <si>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</si>
  <si>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</si>
  <si>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</si>
  <si>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</si>
  <si>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</si>
  <si>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</si>
  <si>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</si>
  <si>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Classificação após critérios de desempate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</si>
  <si>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</si>
  <si>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A</t>
  </si>
  <si>
    <t>16h30</t>
  </si>
  <si>
    <t>Contabilidade</t>
  </si>
  <si>
    <t>19h20</t>
  </si>
  <si>
    <t>Música</t>
  </si>
  <si>
    <t>GPT</t>
  </si>
  <si>
    <t>2"</t>
  </si>
  <si>
    <t>Design</t>
  </si>
  <si>
    <t>LRE</t>
  </si>
  <si>
    <t>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</si>
  <si>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</si>
  <si>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16h50</t>
  </si>
  <si>
    <t>17h10</t>
  </si>
  <si>
    <t>17h30</t>
  </si>
  <si>
    <t>17h50</t>
  </si>
  <si>
    <t>18h10</t>
  </si>
  <si>
    <t>18h30</t>
  </si>
  <si>
    <t>18h50</t>
  </si>
  <si>
    <t>19h10</t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</si>
  <si>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</si>
  <si>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</si>
  <si>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</si>
  <si>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</si>
  <si>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</si>
  <si>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</si>
  <si>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</si>
  <si>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</si>
  <si>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</si>
  <si>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</si>
  <si>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1ª Div.</t>
  </si>
  <si>
    <t>1º Class. 2ª Div. Gr. B</t>
  </si>
  <si>
    <t>2º Class. 1ª Div.</t>
  </si>
  <si>
    <t>1º Class. 2ª Div. Gr. A</t>
  </si>
  <si>
    <t>3º Class. 1ª Div.</t>
  </si>
  <si>
    <t>6º Class. 1ª Div.</t>
  </si>
  <si>
    <t>4º Class. 1ª Div.</t>
  </si>
  <si>
    <t>5º Class. 1ª Div.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</si>
  <si>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</si>
  <si>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</si>
  <si>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</si>
  <si>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</si>
  <si>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</si>
  <si>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</si>
  <si>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</si>
  <si>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</si>
  <si>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</si>
  <si>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</si>
  <si>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</si>
  <si>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</si>
  <si>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</si>
  <si>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</si>
  <si>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</si>
  <si>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</si>
  <si>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</si>
  <si>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</si>
  <si>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</si>
  <si>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</si>
  <si>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</si>
  <si>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 xml:space="preserve">CLASSIFICAÇÃO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</si>
  <si>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</si>
  <si>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</si>
  <si>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</si>
  <si>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</si>
  <si>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</si>
  <si>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</si>
  <si>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</si>
  <si>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</si>
  <si>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</si>
  <si>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</si>
  <si>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</si>
  <si>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</si>
  <si>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</si>
  <si>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</si>
  <si>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</si>
  <si>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</si>
  <si>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</si>
  <si>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</si>
  <si>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</si>
  <si>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</si>
  <si>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</si>
  <si>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</si>
  <si>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</si>
  <si>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</si>
  <si>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</si>
  <si>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FUTSAL MASCULINO | PLAYOFFS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</si>
  <si>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</si>
  <si>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</si>
  <si>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</si>
  <si>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</si>
  <si>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</si>
  <si>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</si>
  <si>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</si>
  <si>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</si>
  <si>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</si>
  <si>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</si>
  <si>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</si>
  <si>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</si>
  <si>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</si>
  <si>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</si>
  <si>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</si>
  <si>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</si>
  <si>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</si>
  <si>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</si>
  <si>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</si>
  <si>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</si>
  <si>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</si>
  <si>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</si>
  <si>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</si>
  <si>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</si>
  <si>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</si>
  <si>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</si>
  <si>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</si>
  <si>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</si>
  <si>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</si>
  <si>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</si>
  <si>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</si>
  <si>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</si>
  <si>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</si>
  <si>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</si>
  <si>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</si>
  <si>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</si>
  <si>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</si>
  <si>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</si>
  <si>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</si>
  <si>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Bioqúimica</t>
  </si>
  <si>
    <t>VOLEIBOL MASCULINO | PLAYOFFS</t>
  </si>
  <si>
    <t>Administação Pública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</si>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</sst>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mm"/>
    <numFmt numFmtId="165" formatCode="dd/mmm"/>
    <numFmt numFmtId="166" formatCode="d/mmmm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2.0"/>
      <color theme="1"/>
      <name val="Arial"/>
    </font>
    <font>
      <sz val="11.0"/>
      <color theme="1"/>
      <name val="Arial"/>
      <scheme val="minor"/>
    </font>
    <font>
      <sz val="11.0"/>
      <color rgb="FFCC0000"/>
      <name val="Arial"/>
    </font>
    <font>
      <color theme="1"/>
      <name val="Arial"/>
      <scheme val="minor"/>
    </font>
    <font>
      <sz val="12.0"/>
      <color theme="1"/>
      <name val="Arial"/>
      <scheme val="minor"/>
    </font>
    <font>
      <sz val="11.0"/>
      <color theme="1"/>
      <name val="Calibri"/>
    </font>
    <font>
      <sz val="11.0"/>
      <color rgb="FF000000"/>
      <name val="Calibri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8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0" fillId="0" fontId="6" numFmtId="164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6" numFmtId="166" xfId="0" applyAlignment="1" applyBorder="1" applyFont="1" applyNumberFormat="1">
      <alignment horizontal="center" readingOrder="0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4" numFmtId="0" xfId="0" applyAlignment="1" applyBorder="1" applyFont="1">
      <alignment horizontal="center" readingOrder="0" shrinkToFit="0" vertical="center" wrapText="1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14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5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8" fillId="9" fontId="16" numFmtId="0" xfId="0" applyAlignment="1" applyBorder="1" applyFill="1" applyFont="1">
      <alignment horizontal="center" readingOrder="0" vertical="center"/>
    </xf>
    <xf borderId="9" fillId="0" fontId="4" numFmtId="0" xfId="0" applyBorder="1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13" fillId="0" fontId="4" numFmtId="0" xfId="0" applyBorder="1" applyFont="1"/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center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0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right" readingOrder="0" shrinkToFit="0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8" fillId="9" fontId="17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center" readingOrder="0" shrinkToFit="0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4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 shrinkToFit="0" wrapText="0"/>
    </xf>
    <xf borderId="1" fillId="3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/>
    </xf>
    <xf borderId="1" fillId="2" fontId="3" numFmtId="0" xfId="0" applyAlignment="1" applyBorder="1" applyFont="1">
      <alignment horizontal="center" readingOrder="0" shrinkToFit="0" vertical="bottom" wrapText="0"/>
    </xf>
    <xf borderId="0" fillId="0" fontId="10" numFmtId="0" xfId="0" applyAlignment="1" applyFont="1">
      <alignment horizontal="center" readingOrder="0" vertical="bottom"/>
    </xf>
    <xf borderId="0" fillId="5" fontId="15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9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10" fontId="19" numFmtId="0" xfId="0" applyBorder="1" applyFill="1" applyFont="1"/>
    <xf borderId="0" fillId="0" fontId="15" numFmtId="0" xfId="0" applyAlignment="1" applyFont="1">
      <alignment horizontal="left" readingOrder="0"/>
    </xf>
    <xf borderId="8" fillId="9" fontId="20" numFmtId="0" xfId="0" applyAlignment="1" applyBorder="1" applyFont="1">
      <alignment horizontal="center" readingOrder="0" vertical="center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21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22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0" fillId="0" fontId="19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22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1" fillId="0" fontId="6" numFmtId="164" xfId="0" applyAlignment="1" applyBorder="1" applyFont="1" applyNumberFormat="1">
      <alignment horizontal="center" readingOrder="0" shrinkToFit="0" wrapText="0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9" fontId="23" numFmtId="0" xfId="0" applyAlignment="1" applyBorder="1" applyFont="1">
      <alignment horizontal="center" vertical="center"/>
    </xf>
    <xf borderId="4" fillId="9" fontId="23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13" fillId="0" fontId="12" numFmtId="0" xfId="0" applyAlignment="1" applyBorder="1" applyFont="1">
      <alignment vertical="center"/>
    </xf>
    <xf borderId="13" fillId="0" fontId="24" numFmtId="0" xfId="0" applyAlignment="1" applyBorder="1" applyFont="1">
      <alignment vertical="center"/>
    </xf>
    <xf borderId="13" fillId="0" fontId="24" numFmtId="0" xfId="0" applyAlignment="1" applyBorder="1" applyFont="1">
      <alignment horizontal="center" vertical="center"/>
    </xf>
    <xf borderId="13" fillId="0" fontId="25" numFmtId="0" xfId="0" applyAlignment="1" applyBorder="1" applyFont="1">
      <alignment vertical="center"/>
    </xf>
    <xf borderId="13" fillId="0" fontId="12" numFmtId="0" xfId="0" applyAlignment="1" applyBorder="1" applyFont="1">
      <alignment horizontal="center" vertical="center"/>
    </xf>
    <xf borderId="13" fillId="0" fontId="26" numFmtId="0" xfId="0" applyAlignment="1" applyBorder="1" applyFont="1">
      <alignment vertical="center"/>
    </xf>
    <xf borderId="13" fillId="0" fontId="26" numFmtId="0" xfId="0" applyAlignment="1" applyBorder="1" applyFont="1">
      <alignment shrinkToFit="0" vertical="center" wrapText="1"/>
    </xf>
    <xf borderId="13" fillId="0" fontId="12" numFmtId="167" xfId="0" applyAlignment="1" applyBorder="1" applyFont="1" applyNumberFormat="1">
      <alignment horizontal="left" vertical="center"/>
    </xf>
    <xf borderId="13" fillId="0" fontId="21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105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151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205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206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181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182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7" t="s">
        <v>25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23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26</v>
      </c>
      <c r="Y3" s="21" t="s">
        <v>13</v>
      </c>
      <c r="Z3" s="21" t="s">
        <v>27</v>
      </c>
      <c r="AA3" s="21" t="s">
        <v>28</v>
      </c>
      <c r="AB3" s="21" t="s">
        <v>19</v>
      </c>
      <c r="AC3" s="2"/>
      <c r="AD3" s="2"/>
      <c r="AE3" s="22" t="s">
        <v>29</v>
      </c>
      <c r="AF3" s="23" t="str">
        <f t="array" ref="AF3:AM13">SORT(O3:V13,2,FALSE,8,FALSE)</f>
        <v>Gestão Comercial</v>
      </c>
      <c r="AG3" s="23">
        <v>25.0</v>
      </c>
      <c r="AH3" s="23">
        <v>8.0</v>
      </c>
      <c r="AI3" s="24">
        <v>0.0</v>
      </c>
      <c r="AJ3" s="23">
        <v>1.0</v>
      </c>
      <c r="AK3" s="23">
        <v>215.0</v>
      </c>
      <c r="AL3" s="24">
        <v>155.0</v>
      </c>
      <c r="AM3" s="23">
        <v>60.0</v>
      </c>
      <c r="AN3" s="18"/>
    </row>
    <row r="4" ht="15.75" customHeight="1">
      <c r="A4" s="25"/>
      <c r="B4" s="11">
        <v>45951.0</v>
      </c>
      <c r="C4" s="12" t="s">
        <v>30</v>
      </c>
      <c r="D4" s="13" t="s">
        <v>22</v>
      </c>
      <c r="E4" s="17" t="s">
        <v>31</v>
      </c>
      <c r="F4" s="15">
        <v>26.0</v>
      </c>
      <c r="G4" s="16" t="s">
        <v>24</v>
      </c>
      <c r="H4" s="15">
        <v>17.0</v>
      </c>
      <c r="I4" s="17" t="s">
        <v>32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25</v>
      </c>
      <c r="P4" s="18">
        <f t="shared" si="3"/>
        <v>18</v>
      </c>
      <c r="Q4" s="18">
        <f t="shared" si="4"/>
        <v>4</v>
      </c>
      <c r="R4" s="20">
        <f t="shared" si="5"/>
        <v>1</v>
      </c>
      <c r="S4" s="20">
        <f t="shared" si="6"/>
        <v>4</v>
      </c>
      <c r="T4" s="18">
        <f t="shared" si="7"/>
        <v>195</v>
      </c>
      <c r="U4" s="20">
        <f t="shared" si="8"/>
        <v>194</v>
      </c>
      <c r="V4" s="18">
        <f t="shared" si="9"/>
        <v>1</v>
      </c>
      <c r="W4" s="2"/>
      <c r="X4" s="26" t="s">
        <v>33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34</v>
      </c>
      <c r="AF4" s="28" t="s">
        <v>33</v>
      </c>
      <c r="AG4" s="23">
        <v>23.0</v>
      </c>
      <c r="AH4" s="23">
        <v>6.0</v>
      </c>
      <c r="AI4" s="24">
        <v>2.0</v>
      </c>
      <c r="AJ4" s="23">
        <v>1.0</v>
      </c>
      <c r="AK4" s="23">
        <v>185.0</v>
      </c>
      <c r="AL4" s="24">
        <v>133.0</v>
      </c>
      <c r="AM4" s="23">
        <v>52.0</v>
      </c>
      <c r="AN4" s="18"/>
    </row>
    <row r="5" ht="15.75" customHeight="1">
      <c r="A5" s="25"/>
      <c r="B5" s="11">
        <v>45951.0</v>
      </c>
      <c r="C5" s="12" t="s">
        <v>35</v>
      </c>
      <c r="D5" s="13" t="s">
        <v>22</v>
      </c>
      <c r="E5" s="17" t="s">
        <v>36</v>
      </c>
      <c r="F5" s="15">
        <v>13.0</v>
      </c>
      <c r="G5" s="16" t="s">
        <v>24</v>
      </c>
      <c r="H5" s="15">
        <v>13.0</v>
      </c>
      <c r="I5" s="17" t="s">
        <v>33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31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37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38</v>
      </c>
      <c r="AF5" s="27" t="s">
        <v>36</v>
      </c>
      <c r="AG5" s="23">
        <v>22.0</v>
      </c>
      <c r="AH5" s="23">
        <v>6.0</v>
      </c>
      <c r="AI5" s="24">
        <v>1.0</v>
      </c>
      <c r="AJ5" s="23">
        <v>2.0</v>
      </c>
      <c r="AK5" s="23">
        <v>210.0</v>
      </c>
      <c r="AL5" s="24">
        <v>185.0</v>
      </c>
      <c r="AM5" s="23">
        <v>25.0</v>
      </c>
      <c r="AN5" s="18"/>
    </row>
    <row r="6" ht="15.75" customHeight="1">
      <c r="A6" s="25"/>
      <c r="B6" s="11">
        <v>45953.0</v>
      </c>
      <c r="C6" s="12" t="s">
        <v>30</v>
      </c>
      <c r="D6" s="13" t="s">
        <v>22</v>
      </c>
      <c r="E6" s="17" t="s">
        <v>39</v>
      </c>
      <c r="F6" s="15">
        <v>16.0</v>
      </c>
      <c r="G6" s="16" t="s">
        <v>24</v>
      </c>
      <c r="H6" s="15">
        <v>25.0</v>
      </c>
      <c r="I6" s="17" t="s">
        <v>40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32</v>
      </c>
      <c r="P6" s="18">
        <f t="shared" si="3"/>
        <v>13</v>
      </c>
      <c r="Q6" s="18">
        <f t="shared" si="4"/>
        <v>2</v>
      </c>
      <c r="R6" s="20">
        <f t="shared" si="5"/>
        <v>0</v>
      </c>
      <c r="S6" s="20">
        <f t="shared" si="6"/>
        <v>7</v>
      </c>
      <c r="T6" s="18">
        <f t="shared" si="7"/>
        <v>170</v>
      </c>
      <c r="U6" s="20">
        <f t="shared" si="8"/>
        <v>214</v>
      </c>
      <c r="V6" s="18">
        <f t="shared" si="9"/>
        <v>-44</v>
      </c>
      <c r="W6" s="2"/>
      <c r="X6" s="3"/>
      <c r="Y6" s="3"/>
      <c r="Z6" s="2"/>
      <c r="AA6" s="2"/>
      <c r="AB6" s="2"/>
      <c r="AC6" s="2"/>
      <c r="AD6" s="2"/>
      <c r="AE6" s="22" t="s">
        <v>41</v>
      </c>
      <c r="AF6" s="23" t="s">
        <v>42</v>
      </c>
      <c r="AG6" s="23">
        <v>20.0</v>
      </c>
      <c r="AH6" s="23">
        <v>5.0</v>
      </c>
      <c r="AI6" s="24">
        <v>1.0</v>
      </c>
      <c r="AJ6" s="23">
        <v>3.0</v>
      </c>
      <c r="AK6" s="23">
        <v>217.0</v>
      </c>
      <c r="AL6" s="24">
        <v>204.0</v>
      </c>
      <c r="AM6" s="23">
        <v>13.0</v>
      </c>
      <c r="AN6" s="18"/>
    </row>
    <row r="7" ht="15.75" customHeight="1">
      <c r="A7" s="25"/>
      <c r="B7" s="11">
        <v>45953.0</v>
      </c>
      <c r="C7" s="12" t="s">
        <v>35</v>
      </c>
      <c r="D7" s="13" t="s">
        <v>22</v>
      </c>
      <c r="E7" s="17" t="s">
        <v>43</v>
      </c>
      <c r="F7" s="15">
        <v>17.0</v>
      </c>
      <c r="G7" s="16" t="s">
        <v>24</v>
      </c>
      <c r="H7" s="15">
        <v>26.0</v>
      </c>
      <c r="I7" s="17" t="s">
        <v>42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36</v>
      </c>
      <c r="P7" s="18">
        <f t="shared" si="3"/>
        <v>22</v>
      </c>
      <c r="Q7" s="18">
        <f t="shared" si="4"/>
        <v>6</v>
      </c>
      <c r="R7" s="20">
        <f t="shared" si="5"/>
        <v>1</v>
      </c>
      <c r="S7" s="20">
        <f t="shared" si="6"/>
        <v>2</v>
      </c>
      <c r="T7" s="18">
        <f t="shared" si="7"/>
        <v>210</v>
      </c>
      <c r="U7" s="20">
        <f t="shared" si="8"/>
        <v>185</v>
      </c>
      <c r="V7" s="18">
        <f t="shared" si="9"/>
        <v>25</v>
      </c>
      <c r="W7" s="2"/>
      <c r="X7" s="3"/>
      <c r="Y7" s="2"/>
      <c r="Z7" s="2"/>
      <c r="AA7" s="2"/>
      <c r="AB7" s="2"/>
      <c r="AC7" s="2"/>
      <c r="AD7" s="2"/>
      <c r="AE7" s="22" t="s">
        <v>44</v>
      </c>
      <c r="AF7" s="23" t="s">
        <v>43</v>
      </c>
      <c r="AG7" s="23">
        <v>20.0</v>
      </c>
      <c r="AH7" s="23">
        <v>5.0</v>
      </c>
      <c r="AI7" s="24">
        <v>1.0</v>
      </c>
      <c r="AJ7" s="23">
        <v>3.0</v>
      </c>
      <c r="AK7" s="23">
        <v>173.0</v>
      </c>
      <c r="AL7" s="24">
        <v>182.0</v>
      </c>
      <c r="AM7" s="23">
        <v>-9.0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24</v>
      </c>
      <c r="H8" s="16"/>
      <c r="I8" s="17" t="s">
        <v>45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33</v>
      </c>
      <c r="P8" s="18">
        <f t="shared" si="3"/>
        <v>23</v>
      </c>
      <c r="Q8" s="18">
        <f t="shared" si="4"/>
        <v>6</v>
      </c>
      <c r="R8" s="20">
        <f t="shared" si="5"/>
        <v>2</v>
      </c>
      <c r="S8" s="20">
        <f t="shared" si="6"/>
        <v>1</v>
      </c>
      <c r="T8" s="18">
        <f t="shared" si="7"/>
        <v>185</v>
      </c>
      <c r="U8" s="20">
        <f t="shared" si="8"/>
        <v>133</v>
      </c>
      <c r="V8" s="18">
        <f t="shared" si="9"/>
        <v>52</v>
      </c>
      <c r="W8" s="2"/>
      <c r="X8" s="6" t="s">
        <v>46</v>
      </c>
      <c r="Y8" s="8"/>
      <c r="Z8" s="32"/>
      <c r="AA8" s="32"/>
      <c r="AB8" s="32"/>
      <c r="AC8" s="2"/>
      <c r="AD8" s="2"/>
      <c r="AE8" s="22" t="s">
        <v>47</v>
      </c>
      <c r="AF8" s="23" t="s">
        <v>25</v>
      </c>
      <c r="AG8" s="23">
        <v>18.0</v>
      </c>
      <c r="AH8" s="23">
        <v>4.0</v>
      </c>
      <c r="AI8" s="24">
        <v>1.0</v>
      </c>
      <c r="AJ8" s="23">
        <v>4.0</v>
      </c>
      <c r="AK8" s="23">
        <v>195.0</v>
      </c>
      <c r="AL8" s="24">
        <v>194.0</v>
      </c>
      <c r="AM8" s="23">
        <v>1.0</v>
      </c>
      <c r="AN8" s="18"/>
    </row>
    <row r="9" ht="15.75" customHeight="1">
      <c r="A9" s="10">
        <v>2.0</v>
      </c>
      <c r="B9" s="11"/>
      <c r="C9" s="12"/>
      <c r="D9" s="12"/>
      <c r="E9" s="17" t="s">
        <v>25</v>
      </c>
      <c r="F9" s="15"/>
      <c r="G9" s="16" t="s">
        <v>24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39</v>
      </c>
      <c r="P9" s="18">
        <f t="shared" si="3"/>
        <v>13</v>
      </c>
      <c r="Q9" s="18">
        <f t="shared" si="4"/>
        <v>2</v>
      </c>
      <c r="R9" s="20">
        <f t="shared" si="5"/>
        <v>0</v>
      </c>
      <c r="S9" s="20">
        <f t="shared" si="6"/>
        <v>7</v>
      </c>
      <c r="T9" s="18">
        <f t="shared" si="7"/>
        <v>190</v>
      </c>
      <c r="U9" s="20">
        <f t="shared" si="8"/>
        <v>216</v>
      </c>
      <c r="V9" s="18">
        <f t="shared" si="9"/>
        <v>-26</v>
      </c>
      <c r="W9" s="2"/>
      <c r="X9" s="21" t="s">
        <v>26</v>
      </c>
      <c r="Y9" s="21" t="s">
        <v>13</v>
      </c>
      <c r="Z9" s="33"/>
      <c r="AC9" s="2"/>
      <c r="AD9" s="2"/>
      <c r="AE9" s="22" t="s">
        <v>48</v>
      </c>
      <c r="AF9" s="23" t="s">
        <v>31</v>
      </c>
      <c r="AG9" s="23">
        <v>17.0</v>
      </c>
      <c r="AH9" s="23">
        <v>3.0</v>
      </c>
      <c r="AI9" s="24">
        <v>2.0</v>
      </c>
      <c r="AJ9" s="23">
        <v>4.0</v>
      </c>
      <c r="AK9" s="23">
        <v>171.0</v>
      </c>
      <c r="AL9" s="24">
        <v>173.0</v>
      </c>
      <c r="AM9" s="23">
        <v>-2.0</v>
      </c>
      <c r="AN9" s="18"/>
    </row>
    <row r="10" ht="15.75" customHeight="1">
      <c r="A10" s="25"/>
      <c r="B10" s="11">
        <v>45972.0</v>
      </c>
      <c r="C10" s="12" t="s">
        <v>35</v>
      </c>
      <c r="D10" s="12" t="s">
        <v>22</v>
      </c>
      <c r="E10" s="17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40</v>
      </c>
      <c r="P10" s="18">
        <f t="shared" si="3"/>
        <v>25</v>
      </c>
      <c r="Q10" s="18">
        <f t="shared" si="4"/>
        <v>8</v>
      </c>
      <c r="R10" s="20">
        <f t="shared" si="5"/>
        <v>0</v>
      </c>
      <c r="S10" s="20">
        <f t="shared" si="6"/>
        <v>1</v>
      </c>
      <c r="T10" s="18">
        <f t="shared" si="7"/>
        <v>215</v>
      </c>
      <c r="U10" s="20">
        <f t="shared" si="8"/>
        <v>155</v>
      </c>
      <c r="V10" s="18">
        <f t="shared" si="9"/>
        <v>60</v>
      </c>
      <c r="W10" s="2"/>
      <c r="X10" s="27" t="s">
        <v>43</v>
      </c>
      <c r="Y10" s="27">
        <v>5.0</v>
      </c>
      <c r="AC10" s="2"/>
      <c r="AD10" s="2"/>
      <c r="AE10" s="22">
        <v>8.0</v>
      </c>
      <c r="AF10" s="23" t="s">
        <v>39</v>
      </c>
      <c r="AG10" s="23">
        <v>13.0</v>
      </c>
      <c r="AH10" s="23">
        <v>2.0</v>
      </c>
      <c r="AI10" s="24">
        <v>0.0</v>
      </c>
      <c r="AJ10" s="23">
        <v>7.0</v>
      </c>
      <c r="AK10" s="23">
        <v>190.0</v>
      </c>
      <c r="AL10" s="24">
        <v>216.0</v>
      </c>
      <c r="AM10" s="23">
        <v>-26.0</v>
      </c>
      <c r="AN10" s="18"/>
    </row>
    <row r="11" ht="15.75" customHeight="1">
      <c r="A11" s="25"/>
      <c r="B11" s="11">
        <v>45971.0</v>
      </c>
      <c r="C11" s="12" t="s">
        <v>49</v>
      </c>
      <c r="D11" s="12" t="s">
        <v>22</v>
      </c>
      <c r="E11" s="17" t="s">
        <v>33</v>
      </c>
      <c r="F11" s="15">
        <v>18.0</v>
      </c>
      <c r="G11" s="16" t="s">
        <v>24</v>
      </c>
      <c r="H11" s="15">
        <v>16.0</v>
      </c>
      <c r="I11" s="17" t="s">
        <v>31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43</v>
      </c>
      <c r="P11" s="18">
        <f t="shared" si="3"/>
        <v>20</v>
      </c>
      <c r="Q11" s="18">
        <f t="shared" si="4"/>
        <v>5</v>
      </c>
      <c r="R11" s="20">
        <f t="shared" si="5"/>
        <v>1</v>
      </c>
      <c r="S11" s="20">
        <f t="shared" si="6"/>
        <v>3</v>
      </c>
      <c r="T11" s="18">
        <f t="shared" si="7"/>
        <v>173</v>
      </c>
      <c r="U11" s="20">
        <f t="shared" si="8"/>
        <v>182</v>
      </c>
      <c r="V11" s="18">
        <f t="shared" si="9"/>
        <v>-9</v>
      </c>
      <c r="W11" s="2"/>
      <c r="X11" s="27" t="s">
        <v>39</v>
      </c>
      <c r="Y11" s="27">
        <v>4.0</v>
      </c>
      <c r="AC11" s="2"/>
      <c r="AD11" s="2"/>
      <c r="AE11" s="22">
        <v>9.0</v>
      </c>
      <c r="AF11" s="23" t="s">
        <v>32</v>
      </c>
      <c r="AG11" s="23">
        <v>13.0</v>
      </c>
      <c r="AH11" s="23">
        <v>2.0</v>
      </c>
      <c r="AI11" s="24">
        <v>0.0</v>
      </c>
      <c r="AJ11" s="23">
        <v>7.0</v>
      </c>
      <c r="AK11" s="23">
        <v>170.0</v>
      </c>
      <c r="AL11" s="24">
        <v>214.0</v>
      </c>
      <c r="AM11" s="23">
        <v>-44.0</v>
      </c>
      <c r="AN11" s="18"/>
    </row>
    <row r="12" ht="15.75" customHeight="1">
      <c r="A12" s="25"/>
      <c r="B12" s="11">
        <v>45971.0</v>
      </c>
      <c r="C12" s="12" t="s">
        <v>21</v>
      </c>
      <c r="D12" s="12" t="s">
        <v>22</v>
      </c>
      <c r="E12" s="17" t="s">
        <v>40</v>
      </c>
      <c r="F12" s="15">
        <v>22.0</v>
      </c>
      <c r="G12" s="16" t="s">
        <v>24</v>
      </c>
      <c r="H12" s="15">
        <v>14.0</v>
      </c>
      <c r="I12" s="17" t="s">
        <v>36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42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31</v>
      </c>
      <c r="Y12" s="27">
        <v>3.0</v>
      </c>
      <c r="AC12" s="2"/>
      <c r="AD12" s="2"/>
      <c r="AE12" s="34">
        <v>10.0</v>
      </c>
      <c r="AF12" s="23" t="s">
        <v>45</v>
      </c>
      <c r="AG12" s="23">
        <v>9.0</v>
      </c>
      <c r="AH12" s="23">
        <v>0.0</v>
      </c>
      <c r="AI12" s="24">
        <v>0.0</v>
      </c>
      <c r="AJ12" s="23">
        <v>9.0</v>
      </c>
      <c r="AK12" s="23">
        <v>137.0</v>
      </c>
      <c r="AL12" s="24">
        <v>207.0</v>
      </c>
      <c r="AM12" s="23">
        <v>-70.0</v>
      </c>
      <c r="AN12" s="18"/>
    </row>
    <row r="13" ht="15.75" customHeight="1">
      <c r="A13" s="25"/>
      <c r="B13" s="11">
        <v>45971.0</v>
      </c>
      <c r="C13" s="12" t="s">
        <v>30</v>
      </c>
      <c r="D13" s="12" t="s">
        <v>22</v>
      </c>
      <c r="E13" s="17" t="s">
        <v>42</v>
      </c>
      <c r="F13" s="15">
        <v>23.0</v>
      </c>
      <c r="G13" s="16" t="s">
        <v>24</v>
      </c>
      <c r="H13" s="15">
        <v>22.0</v>
      </c>
      <c r="I13" s="17" t="s">
        <v>39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45</v>
      </c>
      <c r="P13" s="18">
        <f t="shared" si="3"/>
        <v>9</v>
      </c>
      <c r="Q13" s="18">
        <f t="shared" si="4"/>
        <v>0</v>
      </c>
      <c r="R13" s="20">
        <f t="shared" si="5"/>
        <v>0</v>
      </c>
      <c r="S13" s="20">
        <f t="shared" si="6"/>
        <v>9</v>
      </c>
      <c r="T13" s="18">
        <f t="shared" si="7"/>
        <v>137</v>
      </c>
      <c r="U13" s="20">
        <f t="shared" si="8"/>
        <v>207</v>
      </c>
      <c r="V13" s="18">
        <f t="shared" si="9"/>
        <v>-70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23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35</v>
      </c>
      <c r="D14" s="12" t="s">
        <v>22</v>
      </c>
      <c r="E14" s="17" t="s">
        <v>45</v>
      </c>
      <c r="F14" s="15">
        <v>20.0</v>
      </c>
      <c r="G14" s="16" t="s">
        <v>24</v>
      </c>
      <c r="H14" s="15">
        <v>25.0</v>
      </c>
      <c r="I14" s="17" t="s">
        <v>43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50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7" t="s">
        <v>25</v>
      </c>
      <c r="F15" s="15">
        <v>26.0</v>
      </c>
      <c r="G15" s="16" t="s">
        <v>24</v>
      </c>
      <c r="H15" s="15">
        <v>22.0</v>
      </c>
      <c r="I15" s="17" t="s">
        <v>32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7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51</v>
      </c>
      <c r="D17" s="12" t="s">
        <v>22</v>
      </c>
      <c r="E17" s="17" t="s">
        <v>31</v>
      </c>
      <c r="F17" s="15">
        <v>12.0</v>
      </c>
      <c r="G17" s="16" t="s">
        <v>24</v>
      </c>
      <c r="H17" s="15">
        <v>18.0</v>
      </c>
      <c r="I17" s="17" t="s">
        <v>40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30</v>
      </c>
      <c r="D18" s="12" t="s">
        <v>22</v>
      </c>
      <c r="E18" s="17" t="s">
        <v>36</v>
      </c>
      <c r="F18" s="15">
        <v>32.0</v>
      </c>
      <c r="G18" s="16" t="s">
        <v>24</v>
      </c>
      <c r="H18" s="15">
        <v>27.0</v>
      </c>
      <c r="I18" s="17" t="s">
        <v>42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35</v>
      </c>
      <c r="D19" s="12" t="s">
        <v>22</v>
      </c>
      <c r="E19" s="17" t="s">
        <v>39</v>
      </c>
      <c r="F19" s="15">
        <v>30.0</v>
      </c>
      <c r="G19" s="16" t="s">
        <v>24</v>
      </c>
      <c r="H19" s="15">
        <v>22.0</v>
      </c>
      <c r="I19" s="17" t="s">
        <v>45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24</v>
      </c>
      <c r="H20" s="16"/>
      <c r="I20" s="17" t="s">
        <v>43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32</v>
      </c>
      <c r="F21" s="16"/>
      <c r="G21" s="16" t="s">
        <v>24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>
        <v>46149.0</v>
      </c>
      <c r="C22" s="12" t="s">
        <v>35</v>
      </c>
      <c r="D22" s="12" t="s">
        <v>22</v>
      </c>
      <c r="E22" s="17" t="s">
        <v>33</v>
      </c>
      <c r="F22" s="15">
        <v>22.0</v>
      </c>
      <c r="G22" s="16" t="s">
        <v>24</v>
      </c>
      <c r="H22" s="15">
        <v>19.0</v>
      </c>
      <c r="I22" s="17" t="s">
        <v>25</v>
      </c>
      <c r="J22" s="4"/>
      <c r="K22" s="4">
        <f t="shared" si="1"/>
        <v>3</v>
      </c>
      <c r="L22" s="18">
        <f t="shared" si="2"/>
        <v>1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49</v>
      </c>
      <c r="D23" s="12" t="s">
        <v>22</v>
      </c>
      <c r="E23" s="17" t="s">
        <v>40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21</v>
      </c>
      <c r="D24" s="12" t="s">
        <v>22</v>
      </c>
      <c r="E24" s="17" t="s">
        <v>42</v>
      </c>
      <c r="F24" s="15">
        <v>30.0</v>
      </c>
      <c r="G24" s="16" t="s">
        <v>24</v>
      </c>
      <c r="H24" s="15">
        <v>25.0</v>
      </c>
      <c r="I24" s="17" t="s">
        <v>31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30</v>
      </c>
      <c r="D25" s="12" t="s">
        <v>22</v>
      </c>
      <c r="E25" s="17" t="s">
        <v>45</v>
      </c>
      <c r="F25" s="15">
        <v>16.0</v>
      </c>
      <c r="G25" s="16" t="s">
        <v>24</v>
      </c>
      <c r="H25" s="15">
        <v>19.0</v>
      </c>
      <c r="I25" s="17" t="s">
        <v>36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35</v>
      </c>
      <c r="D26" s="12" t="s">
        <v>22</v>
      </c>
      <c r="E26" s="17" t="s">
        <v>43</v>
      </c>
      <c r="F26" s="15">
        <v>19.0</v>
      </c>
      <c r="G26" s="16" t="s">
        <v>24</v>
      </c>
      <c r="H26" s="15">
        <v>18.0</v>
      </c>
      <c r="I26" s="17" t="s">
        <v>39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7" t="s">
        <v>32</v>
      </c>
      <c r="F27" s="15">
        <v>16.0</v>
      </c>
      <c r="G27" s="16" t="s">
        <v>24</v>
      </c>
      <c r="H27" s="15">
        <v>31.0</v>
      </c>
      <c r="I27" s="17" t="s">
        <v>33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21</v>
      </c>
      <c r="D28" s="12" t="s">
        <v>22</v>
      </c>
      <c r="E28" s="17" t="s">
        <v>25</v>
      </c>
      <c r="F28" s="15">
        <v>22.0</v>
      </c>
      <c r="G28" s="16" t="s">
        <v>24</v>
      </c>
      <c r="H28" s="15">
        <v>27.0</v>
      </c>
      <c r="I28" s="17" t="s">
        <v>40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23</v>
      </c>
      <c r="F29" s="16"/>
      <c r="G29" s="16" t="s">
        <v>24</v>
      </c>
      <c r="H29" s="16"/>
      <c r="I29" s="17" t="s">
        <v>42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35</v>
      </c>
      <c r="D30" s="12" t="s">
        <v>22</v>
      </c>
      <c r="E30" s="17" t="s">
        <v>31</v>
      </c>
      <c r="F30" s="15">
        <v>21.0</v>
      </c>
      <c r="G30" s="16" t="s">
        <v>24</v>
      </c>
      <c r="H30" s="15">
        <v>13.0</v>
      </c>
      <c r="I30" s="17" t="s">
        <v>45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49</v>
      </c>
      <c r="D31" s="12" t="s">
        <v>22</v>
      </c>
      <c r="E31" s="17" t="s">
        <v>36</v>
      </c>
      <c r="F31" s="15">
        <v>23.0</v>
      </c>
      <c r="G31" s="16" t="s">
        <v>24</v>
      </c>
      <c r="H31" s="15">
        <v>26.0</v>
      </c>
      <c r="I31" s="17" t="s">
        <v>43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24</v>
      </c>
      <c r="H32" s="16"/>
      <c r="I32" s="17" t="s">
        <v>39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33</v>
      </c>
      <c r="F33" s="16"/>
      <c r="G33" s="16" t="s">
        <v>24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35</v>
      </c>
      <c r="D34" s="12" t="s">
        <v>22</v>
      </c>
      <c r="E34" s="17" t="s">
        <v>40</v>
      </c>
      <c r="F34" s="15">
        <v>26.0</v>
      </c>
      <c r="G34" s="16" t="s">
        <v>24</v>
      </c>
      <c r="H34" s="15">
        <v>24.0</v>
      </c>
      <c r="I34" s="17" t="s">
        <v>32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35</v>
      </c>
      <c r="D35" s="12" t="s">
        <v>22</v>
      </c>
      <c r="E35" s="17" t="s">
        <v>42</v>
      </c>
      <c r="F35" s="15">
        <v>24.0</v>
      </c>
      <c r="G35" s="16" t="s">
        <v>24</v>
      </c>
      <c r="H35" s="15">
        <v>23.0</v>
      </c>
      <c r="I35" s="17" t="s">
        <v>25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30</v>
      </c>
      <c r="D37" s="12" t="s">
        <v>22</v>
      </c>
      <c r="E37" s="17" t="s">
        <v>43</v>
      </c>
      <c r="F37" s="15">
        <v>16.0</v>
      </c>
      <c r="G37" s="16" t="s">
        <v>24</v>
      </c>
      <c r="H37" s="15">
        <v>16.0</v>
      </c>
      <c r="I37" s="17" t="s">
        <v>31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35</v>
      </c>
      <c r="D38" s="12" t="s">
        <v>22</v>
      </c>
      <c r="E38" s="17" t="s">
        <v>39</v>
      </c>
      <c r="F38" s="15">
        <v>27.0</v>
      </c>
      <c r="G38" s="16" t="s">
        <v>24</v>
      </c>
      <c r="H38" s="15">
        <v>36.0</v>
      </c>
      <c r="I38" s="17" t="s">
        <v>36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30</v>
      </c>
      <c r="D39" s="12" t="s">
        <v>22</v>
      </c>
      <c r="E39" s="17" t="s">
        <v>33</v>
      </c>
      <c r="F39" s="15">
        <v>18.0</v>
      </c>
      <c r="G39" s="16" t="s">
        <v>24</v>
      </c>
      <c r="H39" s="15">
        <v>16.0</v>
      </c>
      <c r="I39" s="17" t="s">
        <v>40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35</v>
      </c>
      <c r="D40" s="12" t="s">
        <v>22</v>
      </c>
      <c r="E40" s="17" t="s">
        <v>32</v>
      </c>
      <c r="F40" s="15">
        <v>23.0</v>
      </c>
      <c r="G40" s="16" t="s">
        <v>24</v>
      </c>
      <c r="H40" s="15">
        <v>22.0</v>
      </c>
      <c r="I40" s="17" t="s">
        <v>42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35</v>
      </c>
      <c r="D41" s="39" t="s">
        <v>22</v>
      </c>
      <c r="E41" s="17" t="s">
        <v>25</v>
      </c>
      <c r="F41" s="15">
        <v>24.0</v>
      </c>
      <c r="G41" s="16" t="s">
        <v>24</v>
      </c>
      <c r="H41" s="15">
        <v>18.0</v>
      </c>
      <c r="I41" s="17" t="s">
        <v>45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23</v>
      </c>
      <c r="F42" s="16"/>
      <c r="G42" s="16" t="s">
        <v>24</v>
      </c>
      <c r="H42" s="16"/>
      <c r="I42" s="17" t="s">
        <v>43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35</v>
      </c>
      <c r="D43" s="12" t="s">
        <v>22</v>
      </c>
      <c r="E43" s="17" t="s">
        <v>31</v>
      </c>
      <c r="F43" s="15">
        <v>24.0</v>
      </c>
      <c r="G43" s="16" t="s">
        <v>24</v>
      </c>
      <c r="H43" s="15">
        <v>21.0</v>
      </c>
      <c r="I43" s="17" t="s">
        <v>39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24</v>
      </c>
      <c r="H44" s="16"/>
      <c r="I44" s="17" t="s">
        <v>36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40</v>
      </c>
      <c r="F45" s="16"/>
      <c r="G45" s="16" t="s">
        <v>24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49</v>
      </c>
      <c r="D46" s="12" t="s">
        <v>22</v>
      </c>
      <c r="E46" s="17" t="s">
        <v>42</v>
      </c>
      <c r="F46" s="15">
        <v>22.0</v>
      </c>
      <c r="G46" s="16" t="s">
        <v>24</v>
      </c>
      <c r="H46" s="15">
        <v>22.0</v>
      </c>
      <c r="I46" s="17" t="s">
        <v>33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21</v>
      </c>
      <c r="D47" s="12" t="s">
        <v>22</v>
      </c>
      <c r="E47" s="17" t="s">
        <v>45</v>
      </c>
      <c r="F47" s="15">
        <v>22.0</v>
      </c>
      <c r="G47" s="16" t="s">
        <v>24</v>
      </c>
      <c r="H47" s="15">
        <v>26.0</v>
      </c>
      <c r="I47" s="17" t="s">
        <v>32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30</v>
      </c>
      <c r="D48" s="12" t="s">
        <v>22</v>
      </c>
      <c r="E48" s="17" t="s">
        <v>43</v>
      </c>
      <c r="F48" s="15">
        <v>18.0</v>
      </c>
      <c r="G48" s="16" t="s">
        <v>24</v>
      </c>
      <c r="H48" s="15">
        <v>20.0</v>
      </c>
      <c r="I48" s="17" t="s">
        <v>25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11"/>
      <c r="C49" s="12"/>
      <c r="D49" s="12"/>
      <c r="E49" s="17" t="s">
        <v>39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35</v>
      </c>
      <c r="D50" s="12" t="s">
        <v>22</v>
      </c>
      <c r="E50" s="17" t="s">
        <v>36</v>
      </c>
      <c r="F50" s="15">
        <v>25.0</v>
      </c>
      <c r="G50" s="16" t="s">
        <v>24</v>
      </c>
      <c r="H50" s="15">
        <v>16.0</v>
      </c>
      <c r="I50" s="17" t="s">
        <v>31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52</v>
      </c>
      <c r="D51" s="12" t="s">
        <v>22</v>
      </c>
      <c r="E51" s="17" t="s">
        <v>40</v>
      </c>
      <c r="F51" s="15">
        <v>27.0</v>
      </c>
      <c r="G51" s="16" t="s">
        <v>24</v>
      </c>
      <c r="H51" s="15">
        <v>20.0</v>
      </c>
      <c r="I51" s="17" t="s">
        <v>42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40">
        <v>46146.0</v>
      </c>
      <c r="C52" s="12" t="s">
        <v>49</v>
      </c>
      <c r="D52" s="12" t="s">
        <v>22</v>
      </c>
      <c r="E52" s="17" t="s">
        <v>33</v>
      </c>
      <c r="F52" s="15">
        <v>15.0</v>
      </c>
      <c r="G52" s="16" t="s">
        <v>24</v>
      </c>
      <c r="H52" s="15">
        <v>0.0</v>
      </c>
      <c r="I52" s="17" t="s">
        <v>45</v>
      </c>
      <c r="J52" s="4"/>
      <c r="K52" s="4">
        <f t="shared" si="1"/>
        <v>3</v>
      </c>
      <c r="L52" s="18">
        <f t="shared" si="2"/>
        <v>1</v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41" t="s">
        <v>53</v>
      </c>
      <c r="D53" s="12" t="s">
        <v>22</v>
      </c>
      <c r="E53" s="17" t="s">
        <v>32</v>
      </c>
      <c r="F53" s="15">
        <v>19.0</v>
      </c>
      <c r="G53" s="16" t="s">
        <v>24</v>
      </c>
      <c r="H53" s="15">
        <v>22.0</v>
      </c>
      <c r="I53" s="17" t="s">
        <v>43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11">
        <v>46146.0</v>
      </c>
      <c r="C54" s="12" t="s">
        <v>21</v>
      </c>
      <c r="D54" s="12" t="s">
        <v>22</v>
      </c>
      <c r="E54" s="17" t="s">
        <v>25</v>
      </c>
      <c r="F54" s="15">
        <v>31.0</v>
      </c>
      <c r="G54" s="16" t="s">
        <v>24</v>
      </c>
      <c r="H54" s="15">
        <v>24.0</v>
      </c>
      <c r="I54" s="17" t="s">
        <v>39</v>
      </c>
      <c r="J54" s="4"/>
      <c r="K54" s="4">
        <f t="shared" si="1"/>
        <v>3</v>
      </c>
      <c r="L54" s="18">
        <f t="shared" si="2"/>
        <v>1</v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23</v>
      </c>
      <c r="F55" s="16"/>
      <c r="G55" s="16" t="s">
        <v>24</v>
      </c>
      <c r="H55" s="16"/>
      <c r="I55" s="17" t="s">
        <v>36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24</v>
      </c>
      <c r="H56" s="16"/>
      <c r="I56" s="17" t="s">
        <v>31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24</v>
      </c>
      <c r="H57" s="16"/>
      <c r="I57" s="17" t="s">
        <v>42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11">
        <v>46148.0</v>
      </c>
      <c r="C58" s="12" t="s">
        <v>53</v>
      </c>
      <c r="D58" s="12" t="s">
        <v>22</v>
      </c>
      <c r="E58" s="17" t="s">
        <v>45</v>
      </c>
      <c r="F58" s="15">
        <v>13.0</v>
      </c>
      <c r="G58" s="16" t="s">
        <v>24</v>
      </c>
      <c r="H58" s="15">
        <v>24.0</v>
      </c>
      <c r="I58" s="17" t="s">
        <v>40</v>
      </c>
      <c r="J58" s="4"/>
      <c r="K58" s="4">
        <f t="shared" si="1"/>
        <v>1</v>
      </c>
      <c r="L58" s="18">
        <f t="shared" si="2"/>
        <v>3</v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11">
        <v>46154.0</v>
      </c>
      <c r="C59" s="12" t="s">
        <v>52</v>
      </c>
      <c r="D59" s="12" t="s">
        <v>22</v>
      </c>
      <c r="E59" s="17" t="s">
        <v>43</v>
      </c>
      <c r="F59" s="15">
        <v>14.0</v>
      </c>
      <c r="G59" s="16" t="s">
        <v>24</v>
      </c>
      <c r="H59" s="15">
        <v>10.0</v>
      </c>
      <c r="I59" s="17" t="s">
        <v>33</v>
      </c>
      <c r="J59" s="4"/>
      <c r="K59" s="4">
        <f t="shared" si="1"/>
        <v>3</v>
      </c>
      <c r="L59" s="18">
        <f t="shared" si="2"/>
        <v>1</v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11">
        <v>46149.0</v>
      </c>
      <c r="C60" s="12" t="s">
        <v>30</v>
      </c>
      <c r="D60" s="12" t="s">
        <v>22</v>
      </c>
      <c r="E60" s="17" t="s">
        <v>39</v>
      </c>
      <c r="F60" s="15">
        <v>15.0</v>
      </c>
      <c r="G60" s="16" t="s">
        <v>24</v>
      </c>
      <c r="H60" s="15">
        <v>0.0</v>
      </c>
      <c r="I60" s="17" t="s">
        <v>32</v>
      </c>
      <c r="J60" s="4"/>
      <c r="K60" s="4">
        <f t="shared" si="1"/>
        <v>3</v>
      </c>
      <c r="L60" s="18">
        <f t="shared" si="2"/>
        <v>1</v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11">
        <v>46154.0</v>
      </c>
      <c r="C61" s="12" t="s">
        <v>53</v>
      </c>
      <c r="D61" s="12" t="s">
        <v>22</v>
      </c>
      <c r="E61" s="17" t="s">
        <v>36</v>
      </c>
      <c r="F61" s="15">
        <v>24.0</v>
      </c>
      <c r="G61" s="16" t="s">
        <v>24</v>
      </c>
      <c r="H61" s="15">
        <v>15.0</v>
      </c>
      <c r="I61" s="17" t="s">
        <v>25</v>
      </c>
      <c r="J61" s="4"/>
      <c r="K61" s="4">
        <f t="shared" si="1"/>
        <v>3</v>
      </c>
      <c r="L61" s="18">
        <f t="shared" si="2"/>
        <v>1</v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54</v>
      </c>
      <c r="D63" s="12" t="s">
        <v>22</v>
      </c>
      <c r="E63" s="17" t="s">
        <v>42</v>
      </c>
      <c r="F63" s="15">
        <v>23.0</v>
      </c>
      <c r="G63" s="16" t="s">
        <v>24</v>
      </c>
      <c r="H63" s="15">
        <v>13.0</v>
      </c>
      <c r="I63" s="17" t="s">
        <v>45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51</v>
      </c>
      <c r="D64" s="12" t="s">
        <v>22</v>
      </c>
      <c r="E64" s="17" t="s">
        <v>40</v>
      </c>
      <c r="F64" s="15">
        <v>30.0</v>
      </c>
      <c r="G64" s="16" t="s">
        <v>24</v>
      </c>
      <c r="H64" s="15">
        <v>16.0</v>
      </c>
      <c r="I64" s="17" t="s">
        <v>43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55</v>
      </c>
      <c r="D65" s="12" t="s">
        <v>22</v>
      </c>
      <c r="E65" s="17" t="s">
        <v>33</v>
      </c>
      <c r="F65" s="15">
        <v>36.0</v>
      </c>
      <c r="G65" s="16" t="s">
        <v>24</v>
      </c>
      <c r="H65" s="15">
        <v>17.0</v>
      </c>
      <c r="I65" s="17" t="s">
        <v>39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52</v>
      </c>
      <c r="D66" s="12" t="s">
        <v>22</v>
      </c>
      <c r="E66" s="17" t="s">
        <v>32</v>
      </c>
      <c r="F66" s="15">
        <v>23.0</v>
      </c>
      <c r="G66" s="16" t="s">
        <v>24</v>
      </c>
      <c r="H66" s="15">
        <v>24.0</v>
      </c>
      <c r="I66" s="17" t="s">
        <v>36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53</v>
      </c>
      <c r="D67" s="12" t="s">
        <v>22</v>
      </c>
      <c r="E67" s="17" t="s">
        <v>25</v>
      </c>
      <c r="F67" s="15">
        <v>15.0</v>
      </c>
      <c r="G67" s="16" t="s">
        <v>24</v>
      </c>
      <c r="H67" s="15">
        <v>15.0</v>
      </c>
      <c r="I67" s="17" t="s">
        <v>31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23</v>
      </c>
      <c r="F68" s="16"/>
      <c r="G68" s="16" t="s">
        <v>24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2"/>
      <c r="C69" s="42"/>
      <c r="D69" s="42"/>
      <c r="E69" s="42"/>
      <c r="F69" s="42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2"/>
      <c r="C70" s="42"/>
      <c r="D70" s="42"/>
      <c r="E70" s="42"/>
      <c r="F70" s="42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2"/>
      <c r="C71" s="42"/>
      <c r="D71" s="42"/>
      <c r="E71" s="42"/>
      <c r="F71" s="42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2"/>
      <c r="C72" s="42"/>
      <c r="D72" s="42"/>
      <c r="E72" s="42"/>
      <c r="F72" s="42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2"/>
      <c r="C73" s="42"/>
      <c r="D73" s="42"/>
      <c r="E73" s="42"/>
      <c r="F73" s="42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2"/>
      <c r="C74" s="42"/>
      <c r="D74" s="42"/>
      <c r="E74" s="42"/>
      <c r="F74" s="42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2"/>
      <c r="C75" s="42"/>
      <c r="D75" s="42"/>
      <c r="E75" s="42"/>
      <c r="F75" s="42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56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57</v>
      </c>
    </row>
    <row r="78" ht="15.75" customHeight="1">
      <c r="A78" s="10">
        <v>1.0</v>
      </c>
      <c r="B78" s="43">
        <v>45950.0</v>
      </c>
      <c r="C78" s="12" t="s">
        <v>49</v>
      </c>
      <c r="D78" s="12" t="s">
        <v>22</v>
      </c>
      <c r="E78" s="44" t="s">
        <v>58</v>
      </c>
      <c r="F78" s="13">
        <v>11.0</v>
      </c>
      <c r="G78" s="16" t="s">
        <v>24</v>
      </c>
      <c r="H78" s="13">
        <v>18.0</v>
      </c>
      <c r="I78" s="44" t="s">
        <v>59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58</v>
      </c>
      <c r="P78" s="18">
        <f t="shared" ref="P78:P89" si="13">SUMIF(E$78:E$143,O78,K$78:K$143)+SUMIF(I$78:I$143,O78,L$78:L$143)</f>
        <v>23</v>
      </c>
      <c r="Q78" s="18">
        <f t="shared" ref="Q78:Q89" si="14">COUNTIFS(E$78:E$143,O78,K$78:K$143,3)+COUNTIFS(I$78:I$143,O78,L$78:L$143,3)</f>
        <v>6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3</v>
      </c>
      <c r="T78" s="18">
        <f t="shared" ref="T78:T89" si="17">SUMIF(E$78:E$143,O78,F$78:F$143)+SUMIF(I$78:I$143,O78,H$78:H$143)</f>
        <v>198</v>
      </c>
      <c r="U78" s="20">
        <f t="shared" ref="U78:U89" si="18">SUMIF(E$78:E$143,O78,H$78:H$143)+SUMIF(I$78:I$143,O78,F$78:F$143)</f>
        <v>172</v>
      </c>
      <c r="V78" s="18">
        <f t="shared" ref="V78:V89" si="19">T78-U78</f>
        <v>26</v>
      </c>
      <c r="W78" s="2"/>
      <c r="X78" s="2"/>
      <c r="Y78" s="2"/>
      <c r="Z78" s="2"/>
      <c r="AA78" s="2"/>
      <c r="AB78" s="2"/>
      <c r="AC78" s="2"/>
      <c r="AD78" s="2"/>
      <c r="AE78" s="45" t="s">
        <v>29</v>
      </c>
      <c r="AF78" s="23" t="str">
        <f t="array" ref="AF78:AM89">SORT(O78:V89,2,FALSE,9,FALSE,8,FALSE())</f>
        <v>Biologia e Geologia</v>
      </c>
      <c r="AG78" s="23">
        <v>29.0</v>
      </c>
      <c r="AH78" s="23">
        <v>9.0</v>
      </c>
      <c r="AI78" s="24">
        <v>1.0</v>
      </c>
      <c r="AJ78" s="24">
        <v>0.0</v>
      </c>
      <c r="AK78" s="23">
        <v>253.0</v>
      </c>
      <c r="AL78" s="24">
        <v>172.0</v>
      </c>
      <c r="AM78" s="23">
        <v>81.0</v>
      </c>
      <c r="AN78" s="18"/>
    </row>
    <row r="79" ht="15.75" customHeight="1">
      <c r="A79" s="25"/>
      <c r="B79" s="43">
        <v>45950.0</v>
      </c>
      <c r="C79" s="12" t="s">
        <v>21</v>
      </c>
      <c r="D79" s="12" t="s">
        <v>22</v>
      </c>
      <c r="E79" s="44" t="s">
        <v>60</v>
      </c>
      <c r="F79" s="13">
        <v>23.0</v>
      </c>
      <c r="G79" s="16" t="s">
        <v>24</v>
      </c>
      <c r="H79" s="13">
        <v>16.0</v>
      </c>
      <c r="I79" s="44" t="s">
        <v>61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62</v>
      </c>
      <c r="P79" s="18">
        <f t="shared" si="13"/>
        <v>18</v>
      </c>
      <c r="Q79" s="18">
        <f t="shared" si="14"/>
        <v>4</v>
      </c>
      <c r="R79" s="20">
        <f t="shared" si="15"/>
        <v>0</v>
      </c>
      <c r="S79" s="20">
        <f t="shared" si="16"/>
        <v>6</v>
      </c>
      <c r="T79" s="18">
        <f t="shared" si="17"/>
        <v>216</v>
      </c>
      <c r="U79" s="20">
        <f t="shared" si="18"/>
        <v>214</v>
      </c>
      <c r="V79" s="18">
        <f t="shared" si="19"/>
        <v>2</v>
      </c>
      <c r="W79" s="2"/>
      <c r="X79" s="2"/>
      <c r="Y79" s="2"/>
      <c r="Z79" s="2"/>
      <c r="AA79" s="2"/>
      <c r="AB79" s="2"/>
      <c r="AC79" s="2"/>
      <c r="AD79" s="2"/>
      <c r="AE79" s="45">
        <v>2.0</v>
      </c>
      <c r="AF79" s="23" t="s">
        <v>63</v>
      </c>
      <c r="AG79" s="23">
        <v>29.0</v>
      </c>
      <c r="AH79" s="23">
        <v>9.0</v>
      </c>
      <c r="AI79" s="24">
        <v>1.0</v>
      </c>
      <c r="AJ79" s="24">
        <v>0.0</v>
      </c>
      <c r="AK79" s="23">
        <v>237.0</v>
      </c>
      <c r="AL79" s="24">
        <v>174.0</v>
      </c>
      <c r="AM79" s="23">
        <v>63.0</v>
      </c>
      <c r="AN79" s="18"/>
    </row>
    <row r="80" ht="15.75" customHeight="1">
      <c r="A80" s="25"/>
      <c r="B80" s="43">
        <v>45950.0</v>
      </c>
      <c r="C80" s="12" t="s">
        <v>30</v>
      </c>
      <c r="D80" s="12" t="s">
        <v>22</v>
      </c>
      <c r="E80" s="44" t="s">
        <v>63</v>
      </c>
      <c r="F80" s="13">
        <v>22.0</v>
      </c>
      <c r="G80" s="16" t="s">
        <v>24</v>
      </c>
      <c r="H80" s="13">
        <v>19.0</v>
      </c>
      <c r="I80" s="44" t="s">
        <v>64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59</v>
      </c>
      <c r="P80" s="18">
        <f t="shared" si="13"/>
        <v>29</v>
      </c>
      <c r="Q80" s="18">
        <f t="shared" si="14"/>
        <v>9</v>
      </c>
      <c r="R80" s="20">
        <f t="shared" si="15"/>
        <v>1</v>
      </c>
      <c r="S80" s="20">
        <f t="shared" si="16"/>
        <v>0</v>
      </c>
      <c r="T80" s="18">
        <f t="shared" si="17"/>
        <v>253</v>
      </c>
      <c r="U80" s="20">
        <f t="shared" si="18"/>
        <v>172</v>
      </c>
      <c r="V80" s="18">
        <f t="shared" si="19"/>
        <v>81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65</v>
      </c>
      <c r="AG80" s="23">
        <v>23.0</v>
      </c>
      <c r="AH80" s="23">
        <v>6.0</v>
      </c>
      <c r="AI80" s="24">
        <v>1.0</v>
      </c>
      <c r="AJ80" s="24">
        <v>3.0</v>
      </c>
      <c r="AK80" s="23">
        <v>215.0</v>
      </c>
      <c r="AL80" s="24">
        <v>169.0</v>
      </c>
      <c r="AM80" s="23">
        <v>46.0</v>
      </c>
      <c r="AN80" s="18"/>
    </row>
    <row r="81" ht="15.75" customHeight="1">
      <c r="A81" s="25"/>
      <c r="B81" s="43">
        <v>45950.0</v>
      </c>
      <c r="C81" s="12" t="s">
        <v>35</v>
      </c>
      <c r="D81" s="12" t="s">
        <v>22</v>
      </c>
      <c r="E81" s="44" t="s">
        <v>66</v>
      </c>
      <c r="F81" s="13">
        <v>24.0</v>
      </c>
      <c r="G81" s="16" t="s">
        <v>24</v>
      </c>
      <c r="H81" s="13">
        <v>18.0</v>
      </c>
      <c r="I81" s="44" t="s">
        <v>65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67</v>
      </c>
      <c r="P81" s="18">
        <f t="shared" si="13"/>
        <v>16</v>
      </c>
      <c r="Q81" s="18">
        <f t="shared" si="14"/>
        <v>3</v>
      </c>
      <c r="R81" s="20">
        <f t="shared" si="15"/>
        <v>0</v>
      </c>
      <c r="S81" s="20">
        <f t="shared" si="16"/>
        <v>7</v>
      </c>
      <c r="T81" s="18">
        <f t="shared" si="17"/>
        <v>171</v>
      </c>
      <c r="U81" s="20">
        <f t="shared" si="18"/>
        <v>195</v>
      </c>
      <c r="V81" s="18">
        <f t="shared" si="19"/>
        <v>-24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58</v>
      </c>
      <c r="AG81" s="23">
        <v>23.0</v>
      </c>
      <c r="AH81" s="23">
        <v>6.0</v>
      </c>
      <c r="AI81" s="24">
        <v>1.0</v>
      </c>
      <c r="AJ81" s="24">
        <v>3.0</v>
      </c>
      <c r="AK81" s="23">
        <v>198.0</v>
      </c>
      <c r="AL81" s="24">
        <v>172.0</v>
      </c>
      <c r="AM81" s="23">
        <v>26.0</v>
      </c>
      <c r="AN81" s="18"/>
    </row>
    <row r="82" ht="15.75" customHeight="1">
      <c r="A82" s="25"/>
      <c r="B82" s="43">
        <v>45951.0</v>
      </c>
      <c r="C82" s="12" t="s">
        <v>49</v>
      </c>
      <c r="D82" s="12" t="s">
        <v>22</v>
      </c>
      <c r="E82" s="44" t="s">
        <v>67</v>
      </c>
      <c r="F82" s="13">
        <v>17.0</v>
      </c>
      <c r="G82" s="16" t="s">
        <v>24</v>
      </c>
      <c r="H82" s="13">
        <v>9.0</v>
      </c>
      <c r="I82" s="44" t="s">
        <v>68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61</v>
      </c>
      <c r="P82" s="18">
        <f t="shared" si="13"/>
        <v>14</v>
      </c>
      <c r="Q82" s="18">
        <f t="shared" si="14"/>
        <v>2</v>
      </c>
      <c r="R82" s="20">
        <f t="shared" si="15"/>
        <v>0</v>
      </c>
      <c r="S82" s="20">
        <f t="shared" si="16"/>
        <v>8</v>
      </c>
      <c r="T82" s="18">
        <f t="shared" si="17"/>
        <v>124</v>
      </c>
      <c r="U82" s="20">
        <f t="shared" si="18"/>
        <v>185</v>
      </c>
      <c r="V82" s="18">
        <f t="shared" si="19"/>
        <v>-61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66</v>
      </c>
      <c r="AG82" s="23">
        <v>22.0</v>
      </c>
      <c r="AH82" s="23">
        <v>6.0</v>
      </c>
      <c r="AI82" s="24">
        <v>0.0</v>
      </c>
      <c r="AJ82" s="24">
        <v>4.0</v>
      </c>
      <c r="AK82" s="23">
        <v>170.0</v>
      </c>
      <c r="AL82" s="24">
        <v>168.0</v>
      </c>
      <c r="AM82" s="23">
        <v>2.0</v>
      </c>
      <c r="AN82" s="18"/>
    </row>
    <row r="83" ht="15.75" customHeight="1">
      <c r="A83" s="25"/>
      <c r="B83" s="43">
        <v>45972.0</v>
      </c>
      <c r="C83" s="12" t="s">
        <v>30</v>
      </c>
      <c r="D83" s="12" t="s">
        <v>22</v>
      </c>
      <c r="E83" s="46" t="s">
        <v>69</v>
      </c>
      <c r="F83" s="13"/>
      <c r="G83" s="16" t="s">
        <v>24</v>
      </c>
      <c r="H83" s="13"/>
      <c r="I83" s="44" t="s">
        <v>62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66</v>
      </c>
      <c r="P83" s="18">
        <f t="shared" si="13"/>
        <v>22</v>
      </c>
      <c r="Q83" s="18">
        <f t="shared" si="14"/>
        <v>6</v>
      </c>
      <c r="R83" s="20">
        <f t="shared" si="15"/>
        <v>0</v>
      </c>
      <c r="S83" s="20">
        <f t="shared" si="16"/>
        <v>4</v>
      </c>
      <c r="T83" s="18">
        <f t="shared" si="17"/>
        <v>170</v>
      </c>
      <c r="U83" s="20">
        <f t="shared" si="18"/>
        <v>168</v>
      </c>
      <c r="V83" s="18">
        <f t="shared" si="19"/>
        <v>2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62</v>
      </c>
      <c r="AG83" s="23">
        <v>18.0</v>
      </c>
      <c r="AH83" s="23">
        <v>4.0</v>
      </c>
      <c r="AI83" s="24">
        <v>0.0</v>
      </c>
      <c r="AJ83" s="24">
        <v>6.0</v>
      </c>
      <c r="AK83" s="23">
        <v>216.0</v>
      </c>
      <c r="AL83" s="24">
        <v>214.0</v>
      </c>
      <c r="AM83" s="23">
        <v>2.0</v>
      </c>
      <c r="AN83" s="18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4" t="s">
        <v>59</v>
      </c>
      <c r="F84" s="13"/>
      <c r="G84" s="16" t="s">
        <v>24</v>
      </c>
      <c r="H84" s="13"/>
      <c r="I84" s="47" t="s">
        <v>69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64</v>
      </c>
      <c r="P84" s="18">
        <f t="shared" si="13"/>
        <v>18</v>
      </c>
      <c r="Q84" s="18">
        <f t="shared" si="14"/>
        <v>4</v>
      </c>
      <c r="R84" s="20">
        <f t="shared" si="15"/>
        <v>0</v>
      </c>
      <c r="S84" s="20">
        <f t="shared" si="16"/>
        <v>6</v>
      </c>
      <c r="T84" s="18">
        <f t="shared" si="17"/>
        <v>175</v>
      </c>
      <c r="U84" s="20">
        <f t="shared" si="18"/>
        <v>185</v>
      </c>
      <c r="V84" s="18">
        <f t="shared" si="19"/>
        <v>-10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64</v>
      </c>
      <c r="AG84" s="23">
        <v>18.0</v>
      </c>
      <c r="AH84" s="23">
        <v>4.0</v>
      </c>
      <c r="AI84" s="24">
        <v>0.0</v>
      </c>
      <c r="AJ84" s="24">
        <v>6.0</v>
      </c>
      <c r="AK84" s="23">
        <v>175.0</v>
      </c>
      <c r="AL84" s="24">
        <v>185.0</v>
      </c>
      <c r="AM84" s="23">
        <v>-10.0</v>
      </c>
      <c r="AN84" s="18"/>
    </row>
    <row r="85" ht="15.75" customHeight="1">
      <c r="A85" s="25"/>
      <c r="B85" s="11">
        <v>45964.0</v>
      </c>
      <c r="C85" s="12" t="s">
        <v>21</v>
      </c>
      <c r="D85" s="12" t="s">
        <v>22</v>
      </c>
      <c r="E85" s="44" t="s">
        <v>61</v>
      </c>
      <c r="F85" s="13">
        <v>15.0</v>
      </c>
      <c r="G85" s="16" t="s">
        <v>24</v>
      </c>
      <c r="H85" s="13">
        <v>17.0</v>
      </c>
      <c r="I85" s="44" t="s">
        <v>58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63</v>
      </c>
      <c r="P85" s="18">
        <f t="shared" si="13"/>
        <v>29</v>
      </c>
      <c r="Q85" s="18">
        <f t="shared" si="14"/>
        <v>9</v>
      </c>
      <c r="R85" s="20">
        <f t="shared" si="15"/>
        <v>1</v>
      </c>
      <c r="S85" s="20">
        <f t="shared" si="16"/>
        <v>0</v>
      </c>
      <c r="T85" s="18">
        <f t="shared" si="17"/>
        <v>237</v>
      </c>
      <c r="U85" s="20">
        <f t="shared" si="18"/>
        <v>174</v>
      </c>
      <c r="V85" s="18">
        <f t="shared" si="19"/>
        <v>63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60</v>
      </c>
      <c r="AG85" s="23">
        <v>18.0</v>
      </c>
      <c r="AH85" s="23">
        <v>4.0</v>
      </c>
      <c r="AI85" s="24">
        <v>0.0</v>
      </c>
      <c r="AJ85" s="24">
        <v>6.0</v>
      </c>
      <c r="AK85" s="23">
        <v>198.0</v>
      </c>
      <c r="AL85" s="24">
        <v>225.0</v>
      </c>
      <c r="AM85" s="23">
        <v>-27.0</v>
      </c>
      <c r="AN85" s="18"/>
    </row>
    <row r="86" ht="15.75" customHeight="1">
      <c r="A86" s="25"/>
      <c r="B86" s="11">
        <v>45964.0</v>
      </c>
      <c r="C86" s="12" t="s">
        <v>30</v>
      </c>
      <c r="D86" s="12" t="s">
        <v>22</v>
      </c>
      <c r="E86" s="44" t="s">
        <v>64</v>
      </c>
      <c r="F86" s="13">
        <v>19.0</v>
      </c>
      <c r="G86" s="16" t="s">
        <v>24</v>
      </c>
      <c r="H86" s="13">
        <v>24.0</v>
      </c>
      <c r="I86" s="44" t="s">
        <v>60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65</v>
      </c>
      <c r="P86" s="18">
        <f t="shared" si="13"/>
        <v>23</v>
      </c>
      <c r="Q86" s="18">
        <f t="shared" si="14"/>
        <v>6</v>
      </c>
      <c r="R86" s="20">
        <f t="shared" si="15"/>
        <v>1</v>
      </c>
      <c r="S86" s="20">
        <f t="shared" si="16"/>
        <v>3</v>
      </c>
      <c r="T86" s="18">
        <f t="shared" si="17"/>
        <v>215</v>
      </c>
      <c r="U86" s="20">
        <f t="shared" si="18"/>
        <v>169</v>
      </c>
      <c r="V86" s="18">
        <f t="shared" si="19"/>
        <v>46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67</v>
      </c>
      <c r="AG86" s="23">
        <v>16.0</v>
      </c>
      <c r="AH86" s="23">
        <v>3.0</v>
      </c>
      <c r="AI86" s="24">
        <v>0.0</v>
      </c>
      <c r="AJ86" s="24">
        <v>7.0</v>
      </c>
      <c r="AK86" s="23">
        <v>171.0</v>
      </c>
      <c r="AL86" s="24">
        <v>195.0</v>
      </c>
      <c r="AM86" s="23">
        <v>-24.0</v>
      </c>
      <c r="AN86" s="18"/>
    </row>
    <row r="87" ht="15.75" customHeight="1">
      <c r="A87" s="25"/>
      <c r="B87" s="11">
        <v>45964.0</v>
      </c>
      <c r="C87" s="12" t="s">
        <v>35</v>
      </c>
      <c r="D87" s="12" t="s">
        <v>22</v>
      </c>
      <c r="E87" s="44" t="s">
        <v>65</v>
      </c>
      <c r="F87" s="13">
        <v>18.0</v>
      </c>
      <c r="G87" s="16" t="s">
        <v>24</v>
      </c>
      <c r="H87" s="13">
        <v>19.0</v>
      </c>
      <c r="I87" s="44" t="s">
        <v>63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60</v>
      </c>
      <c r="P87" s="18">
        <f t="shared" si="13"/>
        <v>18</v>
      </c>
      <c r="Q87" s="18">
        <f t="shared" si="14"/>
        <v>4</v>
      </c>
      <c r="R87" s="20">
        <f t="shared" si="15"/>
        <v>0</v>
      </c>
      <c r="S87" s="20">
        <f t="shared" si="16"/>
        <v>6</v>
      </c>
      <c r="T87" s="18">
        <f t="shared" si="17"/>
        <v>198</v>
      </c>
      <c r="U87" s="20">
        <f t="shared" si="18"/>
        <v>225</v>
      </c>
      <c r="V87" s="18">
        <f t="shared" si="19"/>
        <v>-27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61</v>
      </c>
      <c r="AG87" s="23">
        <v>14.0</v>
      </c>
      <c r="AH87" s="48">
        <v>2.0</v>
      </c>
      <c r="AI87" s="49">
        <v>0.0</v>
      </c>
      <c r="AJ87" s="49">
        <v>8.0</v>
      </c>
      <c r="AK87" s="48">
        <v>124.0</v>
      </c>
      <c r="AL87" s="49">
        <v>185.0</v>
      </c>
      <c r="AM87" s="48">
        <v>-61.0</v>
      </c>
      <c r="AN87" s="18"/>
    </row>
    <row r="88" ht="15.75" customHeight="1">
      <c r="A88" s="25"/>
      <c r="B88" s="11">
        <v>45965.0</v>
      </c>
      <c r="C88" s="12" t="s">
        <v>30</v>
      </c>
      <c r="D88" s="12" t="s">
        <v>22</v>
      </c>
      <c r="E88" s="44" t="s">
        <v>68</v>
      </c>
      <c r="F88" s="13">
        <v>11.0</v>
      </c>
      <c r="G88" s="16" t="s">
        <v>24</v>
      </c>
      <c r="H88" s="13">
        <v>20.0</v>
      </c>
      <c r="I88" s="44" t="s">
        <v>66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68</v>
      </c>
      <c r="P88" s="18">
        <f t="shared" si="13"/>
        <v>10</v>
      </c>
      <c r="Q88" s="18">
        <f t="shared" si="14"/>
        <v>0</v>
      </c>
      <c r="R88" s="20">
        <f t="shared" si="15"/>
        <v>0</v>
      </c>
      <c r="S88" s="20">
        <f t="shared" si="16"/>
        <v>10</v>
      </c>
      <c r="T88" s="18">
        <f t="shared" si="17"/>
        <v>141</v>
      </c>
      <c r="U88" s="20">
        <f t="shared" si="18"/>
        <v>239</v>
      </c>
      <c r="V88" s="18">
        <f t="shared" si="19"/>
        <v>-98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68</v>
      </c>
      <c r="AG88" s="23">
        <v>10.0</v>
      </c>
      <c r="AH88" s="23">
        <v>0.0</v>
      </c>
      <c r="AI88" s="24">
        <v>0.0</v>
      </c>
      <c r="AJ88" s="24">
        <v>10.0</v>
      </c>
      <c r="AK88" s="23">
        <v>141.0</v>
      </c>
      <c r="AL88" s="24">
        <v>239.0</v>
      </c>
      <c r="AM88" s="23">
        <v>-98.0</v>
      </c>
      <c r="AN88" s="18"/>
    </row>
    <row r="89" ht="15.75" customHeight="1">
      <c r="A89" s="29"/>
      <c r="B89" s="11">
        <v>45965.0</v>
      </c>
      <c r="C89" s="12" t="s">
        <v>35</v>
      </c>
      <c r="D89" s="12" t="s">
        <v>22</v>
      </c>
      <c r="E89" s="44" t="s">
        <v>62</v>
      </c>
      <c r="F89" s="13">
        <v>25.0</v>
      </c>
      <c r="G89" s="16" t="s">
        <v>24</v>
      </c>
      <c r="H89" s="13">
        <v>16.0</v>
      </c>
      <c r="I89" s="44" t="s">
        <v>67</v>
      </c>
      <c r="J89" s="4"/>
      <c r="K89" s="4">
        <f t="shared" si="11"/>
        <v>3</v>
      </c>
      <c r="L89" s="18">
        <f t="shared" si="12"/>
        <v>1</v>
      </c>
      <c r="M89" s="4"/>
      <c r="N89" s="50">
        <v>12.0</v>
      </c>
      <c r="O89" s="51" t="s">
        <v>69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2">
        <v>12.0</v>
      </c>
      <c r="AF89" s="23" t="s">
        <v>69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4" t="s">
        <v>59</v>
      </c>
      <c r="F90" s="13">
        <v>18.0</v>
      </c>
      <c r="G90" s="16" t="s">
        <v>24</v>
      </c>
      <c r="H90" s="13">
        <v>8.0</v>
      </c>
      <c r="I90" s="44" t="s">
        <v>61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70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21</v>
      </c>
      <c r="D91" s="12" t="s">
        <v>22</v>
      </c>
      <c r="E91" s="44" t="s">
        <v>58</v>
      </c>
      <c r="F91" s="13">
        <v>13.0</v>
      </c>
      <c r="G91" s="16" t="s">
        <v>24</v>
      </c>
      <c r="H91" s="13">
        <v>10.0</v>
      </c>
      <c r="I91" s="44" t="s">
        <v>64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30</v>
      </c>
      <c r="D92" s="12" t="s">
        <v>22</v>
      </c>
      <c r="E92" s="44" t="s">
        <v>60</v>
      </c>
      <c r="F92" s="13">
        <v>15.0</v>
      </c>
      <c r="G92" s="16" t="s">
        <v>24</v>
      </c>
      <c r="H92" s="13">
        <v>21.0</v>
      </c>
      <c r="I92" s="44" t="s">
        <v>65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35</v>
      </c>
      <c r="D93" s="12" t="s">
        <v>22</v>
      </c>
      <c r="E93" s="44" t="s">
        <v>63</v>
      </c>
      <c r="F93" s="13">
        <v>26.0</v>
      </c>
      <c r="G93" s="16" t="s">
        <v>24</v>
      </c>
      <c r="H93" s="13">
        <v>22.0</v>
      </c>
      <c r="I93" s="44" t="s">
        <v>68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30</v>
      </c>
      <c r="D94" s="12" t="s">
        <v>22</v>
      </c>
      <c r="E94" s="44" t="s">
        <v>66</v>
      </c>
      <c r="F94" s="13">
        <v>25.0</v>
      </c>
      <c r="G94" s="16" t="s">
        <v>24</v>
      </c>
      <c r="H94" s="13">
        <v>16.0</v>
      </c>
      <c r="I94" s="44" t="s">
        <v>62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35</v>
      </c>
      <c r="D95" s="12" t="s">
        <v>22</v>
      </c>
      <c r="E95" s="46" t="s">
        <v>69</v>
      </c>
      <c r="F95" s="13"/>
      <c r="G95" s="16" t="s">
        <v>24</v>
      </c>
      <c r="H95" s="13"/>
      <c r="I95" s="44" t="s">
        <v>67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3">
        <v>4.0</v>
      </c>
      <c r="B96" s="43">
        <v>46000.0</v>
      </c>
      <c r="C96" s="12" t="s">
        <v>49</v>
      </c>
      <c r="D96" s="12" t="s">
        <v>22</v>
      </c>
      <c r="E96" s="44" t="s">
        <v>61</v>
      </c>
      <c r="F96" s="13"/>
      <c r="G96" s="16" t="s">
        <v>24</v>
      </c>
      <c r="H96" s="13"/>
      <c r="I96" s="14" t="s">
        <v>69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3">
        <v>46000.0</v>
      </c>
      <c r="C97" s="12" t="s">
        <v>21</v>
      </c>
      <c r="D97" s="12" t="s">
        <v>22</v>
      </c>
      <c r="E97" s="44" t="s">
        <v>64</v>
      </c>
      <c r="F97" s="13">
        <v>23.0</v>
      </c>
      <c r="G97" s="16" t="s">
        <v>24</v>
      </c>
      <c r="H97" s="13">
        <v>31.0</v>
      </c>
      <c r="I97" s="44" t="s">
        <v>59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3">
        <v>46000.0</v>
      </c>
      <c r="C98" s="12" t="s">
        <v>30</v>
      </c>
      <c r="D98" s="12" t="s">
        <v>22</v>
      </c>
      <c r="E98" s="44" t="s">
        <v>65</v>
      </c>
      <c r="F98" s="13">
        <v>21.0</v>
      </c>
      <c r="G98" s="16" t="s">
        <v>24</v>
      </c>
      <c r="H98" s="13">
        <v>21.0</v>
      </c>
      <c r="I98" s="44" t="s">
        <v>58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3">
        <v>46000.0</v>
      </c>
      <c r="C99" s="12" t="s">
        <v>35</v>
      </c>
      <c r="D99" s="12" t="s">
        <v>22</v>
      </c>
      <c r="E99" s="44" t="s">
        <v>68</v>
      </c>
      <c r="F99" s="13">
        <v>23.0</v>
      </c>
      <c r="G99" s="16" t="s">
        <v>24</v>
      </c>
      <c r="H99" s="13">
        <v>26.0</v>
      </c>
      <c r="I99" s="44" t="s">
        <v>60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3">
        <v>46072.0</v>
      </c>
      <c r="C100" s="12" t="s">
        <v>30</v>
      </c>
      <c r="D100" s="12" t="s">
        <v>22</v>
      </c>
      <c r="E100" s="44" t="s">
        <v>62</v>
      </c>
      <c r="F100" s="13">
        <v>21.0</v>
      </c>
      <c r="G100" s="16" t="s">
        <v>24</v>
      </c>
      <c r="H100" s="13">
        <v>25.0</v>
      </c>
      <c r="I100" s="44" t="s">
        <v>63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3">
        <v>46090.0</v>
      </c>
      <c r="C101" s="12" t="s">
        <v>30</v>
      </c>
      <c r="D101" s="12" t="s">
        <v>22</v>
      </c>
      <c r="E101" s="44" t="s">
        <v>67</v>
      </c>
      <c r="F101" s="13">
        <v>14.0</v>
      </c>
      <c r="G101" s="16" t="s">
        <v>24</v>
      </c>
      <c r="H101" s="13">
        <v>24.0</v>
      </c>
      <c r="I101" s="44" t="s">
        <v>66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3">
        <v>46106.0</v>
      </c>
      <c r="C102" s="12" t="s">
        <v>51</v>
      </c>
      <c r="D102" s="12" t="s">
        <v>22</v>
      </c>
      <c r="E102" s="14" t="s">
        <v>61</v>
      </c>
      <c r="F102" s="13">
        <v>0.0</v>
      </c>
      <c r="G102" s="16" t="s">
        <v>24</v>
      </c>
      <c r="H102" s="13">
        <v>15.0</v>
      </c>
      <c r="I102" s="44" t="s">
        <v>64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3">
        <v>46065.0</v>
      </c>
      <c r="C103" s="12" t="s">
        <v>21</v>
      </c>
      <c r="D103" s="12" t="s">
        <v>22</v>
      </c>
      <c r="E103" s="44" t="s">
        <v>59</v>
      </c>
      <c r="F103" s="13">
        <v>25.0</v>
      </c>
      <c r="G103" s="16" t="s">
        <v>24</v>
      </c>
      <c r="H103" s="13">
        <v>22.0</v>
      </c>
      <c r="I103" s="44" t="s">
        <v>65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43">
        <v>46146.0</v>
      </c>
      <c r="C104" s="12" t="s">
        <v>30</v>
      </c>
      <c r="D104" s="12" t="s">
        <v>22</v>
      </c>
      <c r="E104" s="44" t="s">
        <v>58</v>
      </c>
      <c r="F104" s="13">
        <v>22.0</v>
      </c>
      <c r="G104" s="16" t="s">
        <v>24</v>
      </c>
      <c r="H104" s="13">
        <v>15.0</v>
      </c>
      <c r="I104" s="44" t="s">
        <v>68</v>
      </c>
      <c r="J104" s="4"/>
      <c r="K104" s="4">
        <f t="shared" si="11"/>
        <v>3</v>
      </c>
      <c r="L104" s="18">
        <f t="shared" si="12"/>
        <v>1</v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3">
        <v>46086.0</v>
      </c>
      <c r="C105" s="12" t="s">
        <v>21</v>
      </c>
      <c r="D105" s="12" t="s">
        <v>22</v>
      </c>
      <c r="E105" s="44" t="s">
        <v>60</v>
      </c>
      <c r="F105" s="13">
        <v>18.0</v>
      </c>
      <c r="G105" s="16" t="s">
        <v>24</v>
      </c>
      <c r="H105" s="13">
        <v>25.0</v>
      </c>
      <c r="I105" s="44" t="s">
        <v>62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3">
        <v>46065.0</v>
      </c>
      <c r="C106" s="12" t="s">
        <v>30</v>
      </c>
      <c r="D106" s="12" t="s">
        <v>22</v>
      </c>
      <c r="E106" s="44" t="s">
        <v>63</v>
      </c>
      <c r="F106" s="13">
        <v>28.0</v>
      </c>
      <c r="G106" s="16" t="s">
        <v>24</v>
      </c>
      <c r="H106" s="13">
        <v>19.0</v>
      </c>
      <c r="I106" s="44" t="s">
        <v>67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3">
        <v>46065.0</v>
      </c>
      <c r="C107" s="12" t="s">
        <v>35</v>
      </c>
      <c r="D107" s="12" t="s">
        <v>22</v>
      </c>
      <c r="E107" s="14" t="s">
        <v>69</v>
      </c>
      <c r="F107" s="13"/>
      <c r="G107" s="16" t="s">
        <v>24</v>
      </c>
      <c r="H107" s="13"/>
      <c r="I107" s="44" t="s">
        <v>66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3">
        <v>46076.0</v>
      </c>
      <c r="C108" s="12" t="s">
        <v>49</v>
      </c>
      <c r="D108" s="12" t="s">
        <v>22</v>
      </c>
      <c r="E108" s="44" t="s">
        <v>64</v>
      </c>
      <c r="F108" s="13"/>
      <c r="G108" s="16" t="s">
        <v>24</v>
      </c>
      <c r="H108" s="13"/>
      <c r="I108" s="14" t="s">
        <v>69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3">
        <v>46076.0</v>
      </c>
      <c r="C109" s="12" t="s">
        <v>21</v>
      </c>
      <c r="D109" s="12" t="s">
        <v>22</v>
      </c>
      <c r="E109" s="44" t="s">
        <v>65</v>
      </c>
      <c r="F109" s="13">
        <v>26.0</v>
      </c>
      <c r="G109" s="16" t="s">
        <v>24</v>
      </c>
      <c r="H109" s="13">
        <v>13.0</v>
      </c>
      <c r="I109" s="44" t="s">
        <v>61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3">
        <v>46079.0</v>
      </c>
      <c r="C110" s="12" t="s">
        <v>30</v>
      </c>
      <c r="D110" s="12" t="s">
        <v>22</v>
      </c>
      <c r="E110" s="44" t="s">
        <v>68</v>
      </c>
      <c r="F110" s="13">
        <v>13.0</v>
      </c>
      <c r="G110" s="16" t="s">
        <v>24</v>
      </c>
      <c r="H110" s="13">
        <v>31.0</v>
      </c>
      <c r="I110" s="44" t="s">
        <v>59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3">
        <v>46076.0</v>
      </c>
      <c r="C111" s="12" t="s">
        <v>30</v>
      </c>
      <c r="D111" s="12" t="s">
        <v>22</v>
      </c>
      <c r="E111" s="44" t="s">
        <v>62</v>
      </c>
      <c r="F111" s="13">
        <v>19.0</v>
      </c>
      <c r="G111" s="16" t="s">
        <v>24</v>
      </c>
      <c r="H111" s="13">
        <v>29.0</v>
      </c>
      <c r="I111" s="44" t="s">
        <v>58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3">
        <v>46079.0</v>
      </c>
      <c r="C112" s="12" t="s">
        <v>49</v>
      </c>
      <c r="D112" s="12" t="s">
        <v>22</v>
      </c>
      <c r="E112" s="44" t="s">
        <v>67</v>
      </c>
      <c r="F112" s="13">
        <v>24.0</v>
      </c>
      <c r="G112" s="16" t="s">
        <v>24</v>
      </c>
      <c r="H112" s="13">
        <v>18.0</v>
      </c>
      <c r="I112" s="44" t="s">
        <v>60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3">
        <v>46079.0</v>
      </c>
      <c r="C113" s="12" t="s">
        <v>21</v>
      </c>
      <c r="D113" s="12" t="s">
        <v>22</v>
      </c>
      <c r="E113" s="44" t="s">
        <v>66</v>
      </c>
      <c r="F113" s="13">
        <v>0.0</v>
      </c>
      <c r="G113" s="16" t="s">
        <v>24</v>
      </c>
      <c r="H113" s="13">
        <v>15.0</v>
      </c>
      <c r="I113" s="44" t="s">
        <v>63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3">
        <v>46086.0</v>
      </c>
      <c r="C114" s="12" t="s">
        <v>49</v>
      </c>
      <c r="D114" s="12" t="s">
        <v>22</v>
      </c>
      <c r="E114" s="44" t="s">
        <v>64</v>
      </c>
      <c r="F114" s="13">
        <v>12.0</v>
      </c>
      <c r="G114" s="16" t="s">
        <v>24</v>
      </c>
      <c r="H114" s="13">
        <v>20.0</v>
      </c>
      <c r="I114" s="44" t="s">
        <v>65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3">
        <v>46090.0</v>
      </c>
      <c r="C115" s="12" t="s">
        <v>35</v>
      </c>
      <c r="D115" s="12" t="s">
        <v>22</v>
      </c>
      <c r="E115" s="44" t="s">
        <v>61</v>
      </c>
      <c r="F115" s="13">
        <v>22.0</v>
      </c>
      <c r="G115" s="16" t="s">
        <v>24</v>
      </c>
      <c r="H115" s="13">
        <v>13.0</v>
      </c>
      <c r="I115" s="44" t="s">
        <v>68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4">
        <v>46154.0</v>
      </c>
      <c r="C116" s="12" t="s">
        <v>54</v>
      </c>
      <c r="D116" s="12" t="s">
        <v>22</v>
      </c>
      <c r="E116" s="17" t="s">
        <v>59</v>
      </c>
      <c r="F116" s="13">
        <v>29.0</v>
      </c>
      <c r="G116" s="16" t="s">
        <v>24</v>
      </c>
      <c r="H116" s="13">
        <v>24.0</v>
      </c>
      <c r="I116" s="44" t="s">
        <v>62</v>
      </c>
      <c r="J116" s="4"/>
      <c r="K116" s="4">
        <f t="shared" si="11"/>
        <v>3</v>
      </c>
      <c r="L116" s="18">
        <f t="shared" si="12"/>
        <v>1</v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3">
        <v>46105.0</v>
      </c>
      <c r="C117" s="12" t="s">
        <v>21</v>
      </c>
      <c r="D117" s="12" t="s">
        <v>22</v>
      </c>
      <c r="E117" s="44" t="s">
        <v>58</v>
      </c>
      <c r="F117" s="13">
        <v>22.0</v>
      </c>
      <c r="G117" s="16" t="s">
        <v>24</v>
      </c>
      <c r="H117" s="13">
        <v>17.0</v>
      </c>
      <c r="I117" s="44" t="s">
        <v>67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3">
        <v>46146.0</v>
      </c>
      <c r="C118" s="12" t="s">
        <v>35</v>
      </c>
      <c r="D118" s="12" t="s">
        <v>22</v>
      </c>
      <c r="E118" s="44" t="s">
        <v>60</v>
      </c>
      <c r="F118" s="13">
        <v>13.0</v>
      </c>
      <c r="G118" s="16" t="s">
        <v>24</v>
      </c>
      <c r="H118" s="13">
        <v>20.0</v>
      </c>
      <c r="I118" s="44" t="s">
        <v>66</v>
      </c>
      <c r="J118" s="4"/>
      <c r="K118" s="4">
        <f t="shared" si="11"/>
        <v>1</v>
      </c>
      <c r="L118" s="18">
        <f t="shared" si="12"/>
        <v>3</v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3">
        <v>46086.0</v>
      </c>
      <c r="C119" s="12" t="s">
        <v>30</v>
      </c>
      <c r="D119" s="12" t="s">
        <v>22</v>
      </c>
      <c r="E119" s="55" t="s">
        <v>69</v>
      </c>
      <c r="F119" s="13"/>
      <c r="G119" s="31" t="s">
        <v>24</v>
      </c>
      <c r="H119" s="13"/>
      <c r="I119" s="44" t="s">
        <v>63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3">
        <v>46091.0</v>
      </c>
      <c r="C120" s="12" t="s">
        <v>49</v>
      </c>
      <c r="D120" s="12" t="s">
        <v>22</v>
      </c>
      <c r="E120" s="44" t="s">
        <v>65</v>
      </c>
      <c r="F120" s="13"/>
      <c r="G120" s="31" t="s">
        <v>24</v>
      </c>
      <c r="H120" s="13"/>
      <c r="I120" s="14" t="s">
        <v>69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3">
        <v>46091.0</v>
      </c>
      <c r="C121" s="12" t="s">
        <v>21</v>
      </c>
      <c r="D121" s="12" t="s">
        <v>22</v>
      </c>
      <c r="E121" s="44" t="s">
        <v>68</v>
      </c>
      <c r="F121" s="13">
        <v>10.0</v>
      </c>
      <c r="G121" s="16" t="s">
        <v>24</v>
      </c>
      <c r="H121" s="13">
        <v>20.0</v>
      </c>
      <c r="I121" s="44" t="s">
        <v>64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3">
        <v>46091.0</v>
      </c>
      <c r="C122" s="12" t="s">
        <v>30</v>
      </c>
      <c r="D122" s="12" t="s">
        <v>22</v>
      </c>
      <c r="E122" s="44" t="s">
        <v>62</v>
      </c>
      <c r="F122" s="13">
        <v>23.0</v>
      </c>
      <c r="G122" s="16" t="s">
        <v>24</v>
      </c>
      <c r="H122" s="13">
        <v>15.0</v>
      </c>
      <c r="I122" s="44" t="s">
        <v>61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3">
        <v>46093.0</v>
      </c>
      <c r="C123" s="12" t="s">
        <v>49</v>
      </c>
      <c r="D123" s="12" t="s">
        <v>22</v>
      </c>
      <c r="E123" s="44" t="s">
        <v>67</v>
      </c>
      <c r="F123" s="13">
        <v>19.0</v>
      </c>
      <c r="G123" s="16" t="s">
        <v>24</v>
      </c>
      <c r="H123" s="13">
        <v>24.0</v>
      </c>
      <c r="I123" s="44" t="s">
        <v>59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3">
        <v>46093.0</v>
      </c>
      <c r="C124" s="12" t="s">
        <v>21</v>
      </c>
      <c r="D124" s="12" t="s">
        <v>22</v>
      </c>
      <c r="E124" s="44" t="s">
        <v>66</v>
      </c>
      <c r="F124" s="13">
        <v>13.0</v>
      </c>
      <c r="G124" s="16" t="s">
        <v>24</v>
      </c>
      <c r="H124" s="13">
        <v>22.0</v>
      </c>
      <c r="I124" s="44" t="s">
        <v>58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3">
        <v>46091.0</v>
      </c>
      <c r="C125" s="12" t="s">
        <v>35</v>
      </c>
      <c r="D125" s="12" t="s">
        <v>22</v>
      </c>
      <c r="E125" s="44" t="s">
        <v>63</v>
      </c>
      <c r="F125" s="13">
        <v>26.0</v>
      </c>
      <c r="G125" s="16" t="s">
        <v>24</v>
      </c>
      <c r="H125" s="13">
        <v>24.0</v>
      </c>
      <c r="I125" s="44" t="s">
        <v>60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0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3">
        <v>46104.0</v>
      </c>
      <c r="C126" s="12" t="s">
        <v>52</v>
      </c>
      <c r="D126" s="12" t="s">
        <v>22</v>
      </c>
      <c r="E126" s="44" t="s">
        <v>65</v>
      </c>
      <c r="F126" s="13">
        <v>31.0</v>
      </c>
      <c r="G126" s="31" t="s">
        <v>24</v>
      </c>
      <c r="H126" s="13">
        <v>10.0</v>
      </c>
      <c r="I126" s="44" t="s">
        <v>68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3">
        <v>46098.0</v>
      </c>
      <c r="C127" s="12" t="s">
        <v>49</v>
      </c>
      <c r="D127" s="12" t="s">
        <v>22</v>
      </c>
      <c r="E127" s="44" t="s">
        <v>64</v>
      </c>
      <c r="F127" s="13">
        <v>26.0</v>
      </c>
      <c r="G127" s="16" t="s">
        <v>24</v>
      </c>
      <c r="H127" s="13">
        <v>25.0</v>
      </c>
      <c r="I127" s="44" t="s">
        <v>62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3">
        <v>46098.0</v>
      </c>
      <c r="C128" s="12" t="s">
        <v>21</v>
      </c>
      <c r="D128" s="12" t="s">
        <v>22</v>
      </c>
      <c r="E128" s="44" t="s">
        <v>61</v>
      </c>
      <c r="F128" s="13">
        <v>9.0</v>
      </c>
      <c r="G128" s="16" t="s">
        <v>24</v>
      </c>
      <c r="H128" s="13">
        <v>16.0</v>
      </c>
      <c r="I128" s="44" t="s">
        <v>67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3">
        <v>46098.0</v>
      </c>
      <c r="C129" s="12" t="s">
        <v>30</v>
      </c>
      <c r="D129" s="12" t="s">
        <v>22</v>
      </c>
      <c r="E129" s="44" t="s">
        <v>59</v>
      </c>
      <c r="F129" s="13">
        <v>27.0</v>
      </c>
      <c r="G129" s="16" t="s">
        <v>24</v>
      </c>
      <c r="H129" s="13">
        <v>17.0</v>
      </c>
      <c r="I129" s="44" t="s">
        <v>66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3">
        <v>46104.0</v>
      </c>
      <c r="C130" s="12" t="s">
        <v>35</v>
      </c>
      <c r="D130" s="12" t="s">
        <v>22</v>
      </c>
      <c r="E130" s="44" t="s">
        <v>58</v>
      </c>
      <c r="F130" s="13">
        <v>21.0</v>
      </c>
      <c r="G130" s="16" t="s">
        <v>24</v>
      </c>
      <c r="H130" s="13">
        <v>23.0</v>
      </c>
      <c r="I130" s="44" t="s">
        <v>63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3">
        <v>46107.0</v>
      </c>
      <c r="C131" s="12" t="s">
        <v>30</v>
      </c>
      <c r="D131" s="12" t="s">
        <v>22</v>
      </c>
      <c r="E131" s="14" t="s">
        <v>69</v>
      </c>
      <c r="F131" s="13"/>
      <c r="G131" s="16" t="s">
        <v>24</v>
      </c>
      <c r="H131" s="13"/>
      <c r="I131" s="44" t="s">
        <v>60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3">
        <v>46093.0</v>
      </c>
      <c r="C132" s="12" t="s">
        <v>30</v>
      </c>
      <c r="D132" s="12" t="s">
        <v>22</v>
      </c>
      <c r="E132" s="55" t="s">
        <v>69</v>
      </c>
      <c r="F132" s="13"/>
      <c r="G132" s="31" t="s">
        <v>24</v>
      </c>
      <c r="H132" s="13"/>
      <c r="I132" s="44" t="s">
        <v>68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3">
        <v>46107.0</v>
      </c>
      <c r="C133" s="12" t="s">
        <v>35</v>
      </c>
      <c r="D133" s="12" t="s">
        <v>22</v>
      </c>
      <c r="E133" s="44" t="s">
        <v>62</v>
      </c>
      <c r="F133" s="13">
        <v>14.0</v>
      </c>
      <c r="G133" s="16" t="s">
        <v>24</v>
      </c>
      <c r="H133" s="13">
        <v>16.0</v>
      </c>
      <c r="I133" s="44" t="s">
        <v>65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3">
        <v>46111.0</v>
      </c>
      <c r="C134" s="12" t="s">
        <v>30</v>
      </c>
      <c r="D134" s="12" t="s">
        <v>22</v>
      </c>
      <c r="E134" s="44" t="s">
        <v>67</v>
      </c>
      <c r="F134" s="13">
        <v>13.0</v>
      </c>
      <c r="G134" s="16" t="s">
        <v>24</v>
      </c>
      <c r="H134" s="13">
        <v>14.0</v>
      </c>
      <c r="I134" s="44" t="s">
        <v>64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3">
        <v>46111.0</v>
      </c>
      <c r="C135" s="12" t="s">
        <v>35</v>
      </c>
      <c r="D135" s="12" t="s">
        <v>22</v>
      </c>
      <c r="E135" s="44" t="s">
        <v>66</v>
      </c>
      <c r="F135" s="13">
        <v>0.0</v>
      </c>
      <c r="G135" s="16" t="s">
        <v>24</v>
      </c>
      <c r="H135" s="13">
        <v>15.0</v>
      </c>
      <c r="I135" s="44" t="s">
        <v>61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43">
        <v>46149.0</v>
      </c>
      <c r="C136" s="12" t="s">
        <v>49</v>
      </c>
      <c r="D136" s="12" t="s">
        <v>22</v>
      </c>
      <c r="E136" s="44" t="s">
        <v>63</v>
      </c>
      <c r="F136" s="13">
        <v>19.0</v>
      </c>
      <c r="G136" s="16" t="s">
        <v>24</v>
      </c>
      <c r="H136" s="13">
        <v>19.0</v>
      </c>
      <c r="I136" s="44" t="s">
        <v>59</v>
      </c>
      <c r="J136" s="2"/>
      <c r="K136" s="4">
        <f t="shared" si="11"/>
        <v>2</v>
      </c>
      <c r="L136" s="18">
        <f t="shared" si="12"/>
        <v>2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43">
        <v>46149.0</v>
      </c>
      <c r="C137" s="12" t="s">
        <v>21</v>
      </c>
      <c r="D137" s="12" t="s">
        <v>22</v>
      </c>
      <c r="E137" s="44" t="s">
        <v>60</v>
      </c>
      <c r="F137" s="13">
        <v>21.0</v>
      </c>
      <c r="G137" s="16" t="s">
        <v>24</v>
      </c>
      <c r="H137" s="13">
        <v>20.0</v>
      </c>
      <c r="I137" s="44" t="s">
        <v>58</v>
      </c>
      <c r="J137" s="2"/>
      <c r="K137" s="4">
        <f t="shared" si="11"/>
        <v>3</v>
      </c>
      <c r="L137" s="18">
        <f t="shared" si="12"/>
        <v>1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3">
        <v>46148.0</v>
      </c>
      <c r="C138" s="12" t="s">
        <v>55</v>
      </c>
      <c r="D138" s="12" t="s">
        <v>22</v>
      </c>
      <c r="E138" s="44" t="s">
        <v>68</v>
      </c>
      <c r="F138" s="13">
        <v>15.0</v>
      </c>
      <c r="G138" s="31" t="s">
        <v>24</v>
      </c>
      <c r="H138" s="13">
        <v>24.0</v>
      </c>
      <c r="I138" s="44" t="s">
        <v>62</v>
      </c>
      <c r="J138" s="2"/>
      <c r="K138" s="4">
        <f t="shared" si="11"/>
        <v>1</v>
      </c>
      <c r="L138" s="18">
        <f t="shared" si="12"/>
        <v>3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43">
        <v>46148.0</v>
      </c>
      <c r="C139" s="12" t="s">
        <v>52</v>
      </c>
      <c r="D139" s="12" t="s">
        <v>22</v>
      </c>
      <c r="E139" s="44" t="s">
        <v>65</v>
      </c>
      <c r="F139" s="13">
        <v>22.0</v>
      </c>
      <c r="G139" s="16" t="s">
        <v>24</v>
      </c>
      <c r="H139" s="13">
        <v>16.0</v>
      </c>
      <c r="I139" s="44" t="s">
        <v>67</v>
      </c>
      <c r="J139" s="2"/>
      <c r="K139" s="4">
        <f t="shared" si="11"/>
        <v>3</v>
      </c>
      <c r="L139" s="18">
        <f t="shared" si="12"/>
        <v>1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4">
        <v>46154.0</v>
      </c>
      <c r="C140" s="12" t="s">
        <v>51</v>
      </c>
      <c r="D140" s="12" t="s">
        <v>22</v>
      </c>
      <c r="E140" s="44" t="s">
        <v>64</v>
      </c>
      <c r="F140" s="13">
        <v>17.0</v>
      </c>
      <c r="G140" s="16" t="s">
        <v>24</v>
      </c>
      <c r="H140" s="13">
        <v>27.0</v>
      </c>
      <c r="I140" s="44" t="s">
        <v>66</v>
      </c>
      <c r="J140" s="2"/>
      <c r="K140" s="4">
        <f t="shared" si="11"/>
        <v>1</v>
      </c>
      <c r="L140" s="18">
        <f t="shared" si="12"/>
        <v>3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4">
        <v>46154.0</v>
      </c>
      <c r="C141" s="12" t="s">
        <v>55</v>
      </c>
      <c r="D141" s="12" t="s">
        <v>22</v>
      </c>
      <c r="E141" s="44" t="s">
        <v>61</v>
      </c>
      <c r="F141" s="13">
        <v>11.0</v>
      </c>
      <c r="G141" s="16" t="s">
        <v>24</v>
      </c>
      <c r="H141" s="13">
        <v>34.0</v>
      </c>
      <c r="I141" s="17" t="s">
        <v>63</v>
      </c>
      <c r="J141" s="2"/>
      <c r="K141" s="4">
        <f t="shared" si="11"/>
        <v>1</v>
      </c>
      <c r="L141" s="18">
        <f t="shared" si="12"/>
        <v>3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3">
        <v>46106.0</v>
      </c>
      <c r="C142" s="12" t="s">
        <v>55</v>
      </c>
      <c r="D142" s="12" t="s">
        <v>22</v>
      </c>
      <c r="E142" s="44" t="s">
        <v>59</v>
      </c>
      <c r="F142" s="13">
        <v>31.0</v>
      </c>
      <c r="G142" s="16" t="s">
        <v>24</v>
      </c>
      <c r="H142" s="13">
        <v>16.0</v>
      </c>
      <c r="I142" s="17" t="s">
        <v>60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6"/>
      <c r="C143" s="31"/>
      <c r="D143" s="31"/>
      <c r="E143" s="44" t="s">
        <v>58</v>
      </c>
      <c r="F143" s="31"/>
      <c r="G143" s="16" t="s">
        <v>24</v>
      </c>
      <c r="H143" s="31"/>
      <c r="I143" s="14" t="s">
        <v>69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7" t="s">
        <v>71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8" t="s">
        <v>72</v>
      </c>
      <c r="B150" s="43"/>
      <c r="C150" s="12"/>
      <c r="D150" s="12"/>
      <c r="E150" s="44" t="s">
        <v>40</v>
      </c>
      <c r="F150" s="31"/>
      <c r="G150" s="16" t="s">
        <v>24</v>
      </c>
      <c r="H150" s="31"/>
      <c r="I150" s="44" t="s">
        <v>59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3"/>
      <c r="C151" s="12"/>
      <c r="D151" s="12"/>
      <c r="E151" s="44" t="s">
        <v>33</v>
      </c>
      <c r="F151" s="31"/>
      <c r="G151" s="16" t="s">
        <v>24</v>
      </c>
      <c r="H151" s="31"/>
      <c r="I151" s="44" t="s">
        <v>31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3"/>
      <c r="C152" s="12"/>
      <c r="D152" s="12"/>
      <c r="E152" s="44" t="s">
        <v>36</v>
      </c>
      <c r="F152" s="31"/>
      <c r="G152" s="16" t="s">
        <v>24</v>
      </c>
      <c r="H152" s="31"/>
      <c r="I152" s="44" t="s">
        <v>25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3"/>
      <c r="C153" s="12"/>
      <c r="D153" s="12"/>
      <c r="E153" s="44" t="s">
        <v>42</v>
      </c>
      <c r="F153" s="31"/>
      <c r="G153" s="16" t="s">
        <v>24</v>
      </c>
      <c r="H153" s="31"/>
      <c r="I153" s="44" t="s">
        <v>43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9" t="s">
        <v>73</v>
      </c>
      <c r="B154" s="43"/>
      <c r="C154" s="12"/>
      <c r="D154" s="12"/>
      <c r="E154" s="44" t="s">
        <v>74</v>
      </c>
      <c r="F154" s="31"/>
      <c r="G154" s="16" t="s">
        <v>24</v>
      </c>
      <c r="H154" s="31"/>
      <c r="I154" s="44" t="s">
        <v>75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56"/>
      <c r="C155" s="31"/>
      <c r="D155" s="12"/>
      <c r="E155" s="51" t="s">
        <v>76</v>
      </c>
      <c r="F155" s="13"/>
      <c r="G155" s="16" t="s">
        <v>24</v>
      </c>
      <c r="H155" s="13"/>
      <c r="I155" s="44" t="s">
        <v>77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60" t="s">
        <v>78</v>
      </c>
      <c r="B156" s="30"/>
      <c r="C156" s="31"/>
      <c r="D156" s="12"/>
      <c r="E156" s="44" t="s">
        <v>79</v>
      </c>
      <c r="F156" s="31"/>
      <c r="G156" s="16" t="s">
        <v>24</v>
      </c>
      <c r="H156" s="31"/>
      <c r="I156" s="61" t="s">
        <v>80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60" t="s">
        <v>81</v>
      </c>
      <c r="B157" s="30"/>
      <c r="C157" s="31"/>
      <c r="D157" s="12"/>
      <c r="E157" s="44" t="s">
        <v>82</v>
      </c>
      <c r="F157" s="31"/>
      <c r="G157" s="16" t="s">
        <v>24</v>
      </c>
      <c r="H157" s="31"/>
      <c r="I157" s="44" t="s">
        <v>83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2" t="s">
        <v>84</v>
      </c>
      <c r="H1" s="63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37"/>
      <c r="AE1" s="37"/>
      <c r="AF1" s="37"/>
      <c r="AG1" s="37"/>
      <c r="AH1" s="37"/>
      <c r="AI1" s="37"/>
      <c r="AJ1" s="37"/>
      <c r="AK1" s="37"/>
      <c r="AL1" s="37"/>
      <c r="AM1" s="6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85</v>
      </c>
      <c r="U2" s="9" t="s">
        <v>86</v>
      </c>
      <c r="V2" s="9" t="s">
        <v>87</v>
      </c>
      <c r="W2" s="32"/>
      <c r="X2" s="6" t="s">
        <v>20</v>
      </c>
      <c r="Y2" s="8"/>
      <c r="Z2" s="37"/>
      <c r="AA2" s="37"/>
      <c r="AB2" s="37"/>
      <c r="AC2" s="37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85</v>
      </c>
      <c r="AK2" s="5" t="s">
        <v>86</v>
      </c>
      <c r="AL2" s="5" t="s">
        <v>87</v>
      </c>
      <c r="AM2" s="63"/>
    </row>
    <row r="3" ht="15.75" customHeight="1">
      <c r="A3" s="65">
        <v>1.0</v>
      </c>
      <c r="B3" s="43">
        <v>46099.0</v>
      </c>
      <c r="C3" s="66" t="s">
        <v>88</v>
      </c>
      <c r="D3" s="12" t="s">
        <v>89</v>
      </c>
      <c r="E3" s="44" t="s">
        <v>39</v>
      </c>
      <c r="F3" s="44">
        <v>8.0</v>
      </c>
      <c r="G3" s="67" t="s">
        <v>24</v>
      </c>
      <c r="H3" s="44">
        <v>10.0</v>
      </c>
      <c r="I3" s="44" t="s">
        <v>90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8" t="s">
        <v>39</v>
      </c>
      <c r="P3" s="18">
        <f t="shared" ref="P3:P14" si="3">SUMIF(E$3:E$68,O3,K$3:K$68)+SUMIF(I$3:I$68,O3,L$3:L$68)</f>
        <v>14</v>
      </c>
      <c r="Q3" s="18">
        <f t="shared" ref="Q3:Q14" si="4">COUNTIFS(E$3:E$68,O3,K$3:K$68,2)+COUNTIFS(I$3:I$68,O3,L$3:L$68,2)</f>
        <v>7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4</v>
      </c>
      <c r="T3" s="18">
        <f t="shared" ref="T3:T14" si="7">SUMIF(E$3:E$68,O3,F$3:F$68)+SUMIF(I$3:I$68,O3,H$3:H$68)</f>
        <v>110</v>
      </c>
      <c r="U3" s="20">
        <f t="shared" ref="U3:U14" si="8">SUMIF(E$3:E$68,O3,H$3:H$68)+SUMIF(I$3:I$68,O3,F$3:F$68)</f>
        <v>79</v>
      </c>
      <c r="V3" s="18">
        <f t="shared" ref="V3:V14" si="9">T3-U3</f>
        <v>31</v>
      </c>
      <c r="W3" s="37"/>
      <c r="X3" s="69" t="s">
        <v>26</v>
      </c>
      <c r="Y3" s="69" t="s">
        <v>13</v>
      </c>
      <c r="Z3" s="63"/>
      <c r="AA3" s="63"/>
      <c r="AB3" s="63"/>
      <c r="AC3" s="63"/>
      <c r="AD3" s="22" t="s">
        <v>29</v>
      </c>
      <c r="AE3" s="70" t="str">
        <f t="array" ref="AE3:AL14">SORT(O3:V14,2,FALSE,9,FALSE,8,FALSE())</f>
        <v>Eng. Mecânica</v>
      </c>
      <c r="AF3" s="23">
        <v>20.0</v>
      </c>
      <c r="AG3" s="23">
        <v>10.0</v>
      </c>
      <c r="AH3" s="23">
        <v>0.0</v>
      </c>
      <c r="AI3" s="24">
        <v>1.0</v>
      </c>
      <c r="AJ3" s="23">
        <v>130.0</v>
      </c>
      <c r="AK3" s="24">
        <v>78.0</v>
      </c>
      <c r="AL3" s="23">
        <v>52.0</v>
      </c>
      <c r="AM3" s="63"/>
    </row>
    <row r="4" ht="15.75" customHeight="1">
      <c r="A4" s="25"/>
      <c r="B4" s="43">
        <v>46099.0</v>
      </c>
      <c r="C4" s="66" t="s">
        <v>91</v>
      </c>
      <c r="D4" s="12" t="s">
        <v>89</v>
      </c>
      <c r="E4" s="44" t="s">
        <v>32</v>
      </c>
      <c r="F4" s="44">
        <v>13.0</v>
      </c>
      <c r="G4" s="67" t="s">
        <v>24</v>
      </c>
      <c r="H4" s="44">
        <v>17.0</v>
      </c>
      <c r="I4" s="44" t="s">
        <v>43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8" t="s">
        <v>37</v>
      </c>
      <c r="P4" s="18">
        <f t="shared" si="3"/>
        <v>6</v>
      </c>
      <c r="Q4" s="18">
        <f t="shared" si="4"/>
        <v>3</v>
      </c>
      <c r="R4" s="18">
        <f t="shared" si="5"/>
        <v>0</v>
      </c>
      <c r="S4" s="20">
        <f t="shared" si="6"/>
        <v>8</v>
      </c>
      <c r="T4" s="18">
        <f t="shared" si="7"/>
        <v>93</v>
      </c>
      <c r="U4" s="20">
        <f t="shared" si="8"/>
        <v>118</v>
      </c>
      <c r="V4" s="18">
        <f t="shared" si="9"/>
        <v>-25</v>
      </c>
      <c r="W4" s="37"/>
      <c r="X4" s="28" t="s">
        <v>33</v>
      </c>
      <c r="Y4" s="28">
        <v>6.0</v>
      </c>
      <c r="Z4" s="63"/>
      <c r="AA4" s="63"/>
      <c r="AB4" s="63"/>
      <c r="AC4" s="63"/>
      <c r="AD4" s="22" t="s">
        <v>34</v>
      </c>
      <c r="AE4" s="70" t="s">
        <v>32</v>
      </c>
      <c r="AF4" s="23">
        <v>20.0</v>
      </c>
      <c r="AG4" s="23">
        <v>10.0</v>
      </c>
      <c r="AH4" s="23">
        <v>0.0</v>
      </c>
      <c r="AI4" s="24">
        <v>1.0</v>
      </c>
      <c r="AJ4" s="23">
        <v>139.0</v>
      </c>
      <c r="AK4" s="24">
        <v>101.0</v>
      </c>
      <c r="AL4" s="23">
        <v>38.0</v>
      </c>
      <c r="AM4" s="63"/>
    </row>
    <row r="5" ht="15.75" customHeight="1">
      <c r="A5" s="25"/>
      <c r="B5" s="43">
        <v>45952.0</v>
      </c>
      <c r="C5" s="39" t="s">
        <v>92</v>
      </c>
      <c r="D5" s="71" t="s">
        <v>89</v>
      </c>
      <c r="E5" s="44" t="s">
        <v>64</v>
      </c>
      <c r="F5" s="44">
        <v>6.0</v>
      </c>
      <c r="G5" s="67" t="s">
        <v>24</v>
      </c>
      <c r="H5" s="44">
        <v>11.0</v>
      </c>
      <c r="I5" s="44" t="s">
        <v>33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8" t="s">
        <v>90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8</v>
      </c>
      <c r="T5" s="18">
        <f t="shared" si="7"/>
        <v>94</v>
      </c>
      <c r="U5" s="20">
        <f t="shared" si="8"/>
        <v>118</v>
      </c>
      <c r="V5" s="18">
        <f t="shared" si="9"/>
        <v>-24</v>
      </c>
      <c r="W5" s="37"/>
      <c r="X5" s="28" t="s">
        <v>32</v>
      </c>
      <c r="Y5" s="28">
        <v>3.0</v>
      </c>
      <c r="Z5" s="63"/>
      <c r="AA5" s="63"/>
      <c r="AB5" s="63"/>
      <c r="AC5" s="63"/>
      <c r="AD5" s="22" t="s">
        <v>38</v>
      </c>
      <c r="AE5" s="70" t="s">
        <v>36</v>
      </c>
      <c r="AF5" s="23">
        <v>16.0</v>
      </c>
      <c r="AG5" s="23">
        <v>8.0</v>
      </c>
      <c r="AH5" s="23">
        <v>0.0</v>
      </c>
      <c r="AI5" s="24">
        <v>3.0</v>
      </c>
      <c r="AJ5" s="23">
        <v>117.0</v>
      </c>
      <c r="AK5" s="24">
        <v>87.0</v>
      </c>
      <c r="AL5" s="23">
        <v>30.0</v>
      </c>
      <c r="AM5" s="63"/>
    </row>
    <row r="6" ht="15.75" customHeight="1">
      <c r="A6" s="25"/>
      <c r="B6" s="43">
        <v>45952.0</v>
      </c>
      <c r="C6" s="12" t="s">
        <v>55</v>
      </c>
      <c r="D6" s="71" t="s">
        <v>89</v>
      </c>
      <c r="E6" s="44" t="s">
        <v>93</v>
      </c>
      <c r="F6" s="44">
        <v>4.0</v>
      </c>
      <c r="G6" s="67" t="s">
        <v>24</v>
      </c>
      <c r="H6" s="44">
        <v>7.0</v>
      </c>
      <c r="I6" s="44" t="s">
        <v>65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8" t="s">
        <v>61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7</v>
      </c>
      <c r="T6" s="18">
        <f t="shared" si="7"/>
        <v>85</v>
      </c>
      <c r="U6" s="20">
        <f t="shared" si="8"/>
        <v>124</v>
      </c>
      <c r="V6" s="18">
        <f t="shared" si="9"/>
        <v>-39</v>
      </c>
      <c r="W6" s="63"/>
      <c r="X6" s="28" t="s">
        <v>36</v>
      </c>
      <c r="Y6" s="28">
        <v>0.0</v>
      </c>
      <c r="Z6" s="63"/>
      <c r="AA6" s="63"/>
      <c r="AB6" s="63"/>
      <c r="AC6" s="63"/>
      <c r="AD6" s="22" t="s">
        <v>41</v>
      </c>
      <c r="AE6" s="70" t="s">
        <v>39</v>
      </c>
      <c r="AF6" s="23">
        <v>14.0</v>
      </c>
      <c r="AG6" s="23">
        <v>7.0</v>
      </c>
      <c r="AH6" s="23">
        <v>0.0</v>
      </c>
      <c r="AI6" s="24">
        <v>4.0</v>
      </c>
      <c r="AJ6" s="23">
        <v>110.0</v>
      </c>
      <c r="AK6" s="24">
        <v>79.0</v>
      </c>
      <c r="AL6" s="23">
        <v>31.0</v>
      </c>
      <c r="AM6" s="63"/>
    </row>
    <row r="7" ht="15.75" customHeight="1">
      <c r="A7" s="25"/>
      <c r="B7" s="43">
        <v>45952.0</v>
      </c>
      <c r="C7" s="66" t="s">
        <v>88</v>
      </c>
      <c r="D7" s="71" t="s">
        <v>89</v>
      </c>
      <c r="E7" s="44" t="s">
        <v>61</v>
      </c>
      <c r="F7" s="44">
        <v>3.0</v>
      </c>
      <c r="G7" s="67" t="s">
        <v>24</v>
      </c>
      <c r="H7" s="44">
        <v>8.0</v>
      </c>
      <c r="I7" s="44" t="s">
        <v>36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8" t="s">
        <v>43</v>
      </c>
      <c r="P7" s="18">
        <f t="shared" si="3"/>
        <v>12</v>
      </c>
      <c r="Q7" s="18">
        <f t="shared" si="4"/>
        <v>6</v>
      </c>
      <c r="R7" s="18">
        <f t="shared" si="5"/>
        <v>0</v>
      </c>
      <c r="S7" s="20">
        <f t="shared" si="6"/>
        <v>5</v>
      </c>
      <c r="T7" s="18">
        <f t="shared" si="7"/>
        <v>128</v>
      </c>
      <c r="U7" s="20">
        <f t="shared" si="8"/>
        <v>106</v>
      </c>
      <c r="V7" s="18">
        <f t="shared" si="9"/>
        <v>22</v>
      </c>
      <c r="W7" s="63"/>
      <c r="X7" s="37"/>
      <c r="Y7" s="63"/>
      <c r="Z7" s="63"/>
      <c r="AA7" s="63"/>
      <c r="AB7" s="63"/>
      <c r="AC7" s="63"/>
      <c r="AD7" s="22" t="s">
        <v>44</v>
      </c>
      <c r="AE7" s="70" t="s">
        <v>25</v>
      </c>
      <c r="AF7" s="23">
        <v>14.0</v>
      </c>
      <c r="AG7" s="23">
        <v>7.0</v>
      </c>
      <c r="AH7" s="23">
        <v>0.0</v>
      </c>
      <c r="AI7" s="24">
        <v>4.0</v>
      </c>
      <c r="AJ7" s="23">
        <v>95.0</v>
      </c>
      <c r="AK7" s="24">
        <v>83.0</v>
      </c>
      <c r="AL7" s="23">
        <v>12.0</v>
      </c>
      <c r="AM7" s="63"/>
    </row>
    <row r="8" ht="15.75" customHeight="1">
      <c r="A8" s="29"/>
      <c r="B8" s="43">
        <v>45952.0</v>
      </c>
      <c r="C8" s="12" t="s">
        <v>91</v>
      </c>
      <c r="D8" s="71" t="s">
        <v>89</v>
      </c>
      <c r="E8" s="44" t="s">
        <v>25</v>
      </c>
      <c r="F8" s="44">
        <v>5.0</v>
      </c>
      <c r="G8" s="67" t="s">
        <v>24</v>
      </c>
      <c r="H8" s="44">
        <v>3.0</v>
      </c>
      <c r="I8" s="44" t="s">
        <v>37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8" t="s">
        <v>93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8</v>
      </c>
      <c r="T8" s="18">
        <f t="shared" si="7"/>
        <v>83</v>
      </c>
      <c r="U8" s="20">
        <f t="shared" si="8"/>
        <v>116</v>
      </c>
      <c r="V8" s="18">
        <f t="shared" si="9"/>
        <v>-33</v>
      </c>
      <c r="W8" s="63"/>
      <c r="X8" s="6" t="s">
        <v>46</v>
      </c>
      <c r="Y8" s="7"/>
      <c r="Z8" s="7"/>
      <c r="AA8" s="7"/>
      <c r="AB8" s="8"/>
      <c r="AC8" s="63"/>
      <c r="AD8" s="22" t="s">
        <v>47</v>
      </c>
      <c r="AE8" s="70" t="s">
        <v>43</v>
      </c>
      <c r="AF8" s="23">
        <v>12.0</v>
      </c>
      <c r="AG8" s="23">
        <v>6.0</v>
      </c>
      <c r="AH8" s="23">
        <v>0.0</v>
      </c>
      <c r="AI8" s="24">
        <v>5.0</v>
      </c>
      <c r="AJ8" s="23">
        <v>128.0</v>
      </c>
      <c r="AK8" s="24">
        <v>106.0</v>
      </c>
      <c r="AL8" s="23">
        <v>22.0</v>
      </c>
      <c r="AM8" s="63"/>
    </row>
    <row r="9" ht="15.75" customHeight="1">
      <c r="A9" s="65">
        <v>2.0</v>
      </c>
      <c r="B9" s="43">
        <v>45952.0</v>
      </c>
      <c r="C9" s="12" t="s">
        <v>52</v>
      </c>
      <c r="D9" s="71" t="s">
        <v>89</v>
      </c>
      <c r="E9" s="44" t="s">
        <v>90</v>
      </c>
      <c r="F9" s="44">
        <v>4.0</v>
      </c>
      <c r="G9" s="67" t="s">
        <v>24</v>
      </c>
      <c r="H9" s="44">
        <v>9.0</v>
      </c>
      <c r="I9" s="44" t="s">
        <v>25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8" t="s">
        <v>33</v>
      </c>
      <c r="P9" s="18">
        <f t="shared" si="3"/>
        <v>20</v>
      </c>
      <c r="Q9" s="18">
        <f t="shared" si="4"/>
        <v>10</v>
      </c>
      <c r="R9" s="18">
        <f t="shared" si="5"/>
        <v>0</v>
      </c>
      <c r="S9" s="20">
        <f t="shared" si="6"/>
        <v>1</v>
      </c>
      <c r="T9" s="18">
        <f t="shared" si="7"/>
        <v>130</v>
      </c>
      <c r="U9" s="20">
        <f t="shared" si="8"/>
        <v>78</v>
      </c>
      <c r="V9" s="18">
        <f t="shared" si="9"/>
        <v>52</v>
      </c>
      <c r="W9" s="63"/>
      <c r="X9" s="69" t="s">
        <v>26</v>
      </c>
      <c r="Y9" s="69" t="s">
        <v>13</v>
      </c>
      <c r="Z9" s="69" t="s">
        <v>85</v>
      </c>
      <c r="AA9" s="69" t="s">
        <v>86</v>
      </c>
      <c r="AB9" s="69" t="s">
        <v>87</v>
      </c>
      <c r="AC9" s="63"/>
      <c r="AD9" s="52">
        <v>7.0</v>
      </c>
      <c r="AE9" s="70" t="s">
        <v>61</v>
      </c>
      <c r="AF9" s="23">
        <v>8.0</v>
      </c>
      <c r="AG9" s="23">
        <v>4.0</v>
      </c>
      <c r="AH9" s="23">
        <v>0.0</v>
      </c>
      <c r="AI9" s="24">
        <v>7.0</v>
      </c>
      <c r="AJ9" s="23">
        <v>85.0</v>
      </c>
      <c r="AK9" s="24">
        <v>124.0</v>
      </c>
      <c r="AL9" s="23">
        <v>-39.0</v>
      </c>
      <c r="AM9" s="63"/>
    </row>
    <row r="10" ht="15.75" customHeight="1">
      <c r="A10" s="25"/>
      <c r="B10" s="43">
        <v>45952.0</v>
      </c>
      <c r="C10" s="66" t="s">
        <v>94</v>
      </c>
      <c r="D10" s="71" t="s">
        <v>89</v>
      </c>
      <c r="E10" s="44" t="s">
        <v>43</v>
      </c>
      <c r="F10" s="44">
        <v>5.0</v>
      </c>
      <c r="G10" s="67" t="s">
        <v>24</v>
      </c>
      <c r="H10" s="44">
        <v>8.0</v>
      </c>
      <c r="I10" s="44" t="s">
        <v>39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8" t="s">
        <v>64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9</v>
      </c>
      <c r="T10" s="18">
        <f t="shared" si="7"/>
        <v>98</v>
      </c>
      <c r="U10" s="20">
        <f t="shared" si="8"/>
        <v>120</v>
      </c>
      <c r="V10" s="18">
        <f t="shared" si="9"/>
        <v>-22</v>
      </c>
      <c r="W10" s="63"/>
      <c r="X10" s="72" t="s">
        <v>61</v>
      </c>
      <c r="Y10" s="72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3"/>
      <c r="AD10" s="52">
        <v>8.0</v>
      </c>
      <c r="AE10" s="70" t="s">
        <v>90</v>
      </c>
      <c r="AF10" s="23">
        <v>6.0</v>
      </c>
      <c r="AG10" s="23">
        <v>3.0</v>
      </c>
      <c r="AH10" s="23">
        <v>0.0</v>
      </c>
      <c r="AI10" s="24">
        <v>8.0</v>
      </c>
      <c r="AJ10" s="23">
        <v>94.0</v>
      </c>
      <c r="AK10" s="24">
        <v>118.0</v>
      </c>
      <c r="AL10" s="23">
        <v>-24.0</v>
      </c>
      <c r="AM10" s="63"/>
    </row>
    <row r="11" ht="15.75" customHeight="1">
      <c r="A11" s="25"/>
      <c r="B11" s="43">
        <v>45952.0</v>
      </c>
      <c r="C11" s="66" t="s">
        <v>95</v>
      </c>
      <c r="D11" s="71" t="s">
        <v>89</v>
      </c>
      <c r="E11" s="44" t="s">
        <v>33</v>
      </c>
      <c r="F11" s="44">
        <v>13.0</v>
      </c>
      <c r="G11" s="67" t="s">
        <v>24</v>
      </c>
      <c r="H11" s="44">
        <v>15.0</v>
      </c>
      <c r="I11" s="44" t="s">
        <v>32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8" t="s">
        <v>65</v>
      </c>
      <c r="P11" s="18">
        <f t="shared" si="3"/>
        <v>6</v>
      </c>
      <c r="Q11" s="18">
        <f t="shared" si="4"/>
        <v>3</v>
      </c>
      <c r="R11" s="18">
        <f t="shared" si="5"/>
        <v>0</v>
      </c>
      <c r="S11" s="20">
        <f t="shared" si="6"/>
        <v>8</v>
      </c>
      <c r="T11" s="18">
        <f t="shared" si="7"/>
        <v>84</v>
      </c>
      <c r="U11" s="20">
        <f t="shared" si="8"/>
        <v>126</v>
      </c>
      <c r="V11" s="18">
        <f t="shared" si="9"/>
        <v>-42</v>
      </c>
      <c r="W11" s="63"/>
      <c r="X11" s="28" t="s">
        <v>25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3"/>
      <c r="AD11" s="73" t="s">
        <v>96</v>
      </c>
      <c r="AE11" s="74" t="s">
        <v>37</v>
      </c>
      <c r="AF11" s="48">
        <v>6.0</v>
      </c>
      <c r="AG11" s="48">
        <v>3.0</v>
      </c>
      <c r="AH11" s="48">
        <v>0.0</v>
      </c>
      <c r="AI11" s="49">
        <v>8.0</v>
      </c>
      <c r="AJ11" s="48">
        <v>93.0</v>
      </c>
      <c r="AK11" s="49">
        <v>118.0</v>
      </c>
      <c r="AL11" s="48">
        <v>-25.0</v>
      </c>
      <c r="AM11" s="63"/>
    </row>
    <row r="12" ht="15.75" customHeight="1">
      <c r="A12" s="25"/>
      <c r="B12" s="43">
        <v>45952.0</v>
      </c>
      <c r="C12" s="66" t="s">
        <v>53</v>
      </c>
      <c r="D12" s="71" t="s">
        <v>89</v>
      </c>
      <c r="E12" s="44" t="s">
        <v>65</v>
      </c>
      <c r="F12" s="44">
        <v>7.0</v>
      </c>
      <c r="G12" s="67" t="s">
        <v>24</v>
      </c>
      <c r="H12" s="44">
        <v>5.0</v>
      </c>
      <c r="I12" s="44" t="s">
        <v>64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5" t="s">
        <v>32</v>
      </c>
      <c r="P12" s="18">
        <f t="shared" si="3"/>
        <v>20</v>
      </c>
      <c r="Q12" s="18">
        <f t="shared" si="4"/>
        <v>10</v>
      </c>
      <c r="R12" s="18">
        <f t="shared" si="5"/>
        <v>0</v>
      </c>
      <c r="S12" s="20">
        <f t="shared" si="6"/>
        <v>1</v>
      </c>
      <c r="T12" s="18">
        <f t="shared" si="7"/>
        <v>139</v>
      </c>
      <c r="U12" s="20">
        <f t="shared" si="8"/>
        <v>101</v>
      </c>
      <c r="V12" s="18">
        <f t="shared" si="9"/>
        <v>38</v>
      </c>
      <c r="W12" s="63"/>
      <c r="X12" s="28" t="s">
        <v>90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3"/>
      <c r="AD12" s="76">
        <v>10.0</v>
      </c>
      <c r="AE12" s="70" t="s">
        <v>93</v>
      </c>
      <c r="AF12" s="23">
        <v>6.0</v>
      </c>
      <c r="AG12" s="23">
        <v>3.0</v>
      </c>
      <c r="AH12" s="23">
        <v>0.0</v>
      </c>
      <c r="AI12" s="24">
        <v>8.0</v>
      </c>
      <c r="AJ12" s="23">
        <v>83.0</v>
      </c>
      <c r="AK12" s="24">
        <v>116.0</v>
      </c>
      <c r="AL12" s="23">
        <v>-33.0</v>
      </c>
      <c r="AM12" s="63"/>
    </row>
    <row r="13" ht="15.75" customHeight="1">
      <c r="A13" s="25"/>
      <c r="B13" s="11">
        <v>45952.0</v>
      </c>
      <c r="C13" s="66" t="s">
        <v>97</v>
      </c>
      <c r="D13" s="71" t="s">
        <v>89</v>
      </c>
      <c r="E13" s="44" t="s">
        <v>36</v>
      </c>
      <c r="F13" s="44">
        <v>4.0</v>
      </c>
      <c r="G13" s="67" t="s">
        <v>24</v>
      </c>
      <c r="H13" s="44">
        <v>13.0</v>
      </c>
      <c r="I13" s="44" t="s">
        <v>93</v>
      </c>
      <c r="J13" s="4"/>
      <c r="K13" s="4">
        <f t="shared" si="1"/>
        <v>0</v>
      </c>
      <c r="L13" s="18">
        <f t="shared" si="2"/>
        <v>2</v>
      </c>
      <c r="M13" s="4"/>
      <c r="N13" s="77">
        <v>11.0</v>
      </c>
      <c r="O13" s="77" t="s">
        <v>36</v>
      </c>
      <c r="P13" s="18">
        <f t="shared" si="3"/>
        <v>16</v>
      </c>
      <c r="Q13" s="18">
        <f t="shared" si="4"/>
        <v>8</v>
      </c>
      <c r="R13" s="18">
        <f t="shared" si="5"/>
        <v>0</v>
      </c>
      <c r="S13" s="20">
        <f t="shared" si="6"/>
        <v>3</v>
      </c>
      <c r="T13" s="18">
        <f t="shared" si="7"/>
        <v>117</v>
      </c>
      <c r="U13" s="20">
        <f t="shared" si="8"/>
        <v>87</v>
      </c>
      <c r="V13" s="18">
        <f t="shared" si="9"/>
        <v>30</v>
      </c>
      <c r="W13" s="63"/>
      <c r="X13" s="63"/>
      <c r="Y13" s="63"/>
      <c r="Z13" s="63"/>
      <c r="AA13" s="63"/>
      <c r="AB13" s="63"/>
      <c r="AC13" s="63"/>
      <c r="AD13" s="34">
        <v>11.0</v>
      </c>
      <c r="AE13" s="78" t="s">
        <v>65</v>
      </c>
      <c r="AF13" s="23">
        <v>6.0</v>
      </c>
      <c r="AG13" s="23">
        <v>3.0</v>
      </c>
      <c r="AH13" s="23">
        <v>0.0</v>
      </c>
      <c r="AI13" s="23">
        <v>8.0</v>
      </c>
      <c r="AJ13" s="23">
        <v>84.0</v>
      </c>
      <c r="AK13" s="23">
        <v>126.0</v>
      </c>
      <c r="AL13" s="23">
        <v>-42.0</v>
      </c>
      <c r="AM13" s="63"/>
    </row>
    <row r="14" ht="15.75" customHeight="1">
      <c r="A14" s="29"/>
      <c r="B14" s="11">
        <v>45952.0</v>
      </c>
      <c r="C14" s="66" t="s">
        <v>98</v>
      </c>
      <c r="D14" s="71" t="s">
        <v>89</v>
      </c>
      <c r="E14" s="44" t="s">
        <v>37</v>
      </c>
      <c r="F14" s="44">
        <v>9.0</v>
      </c>
      <c r="G14" s="67" t="s">
        <v>24</v>
      </c>
      <c r="H14" s="44">
        <v>10.0</v>
      </c>
      <c r="I14" s="44" t="s">
        <v>61</v>
      </c>
      <c r="J14" s="4"/>
      <c r="K14" s="4">
        <f t="shared" si="1"/>
        <v>0</v>
      </c>
      <c r="L14" s="18">
        <f t="shared" si="2"/>
        <v>2</v>
      </c>
      <c r="M14" s="4"/>
      <c r="N14" s="77">
        <v>12.0</v>
      </c>
      <c r="O14" s="77" t="s">
        <v>25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4</v>
      </c>
      <c r="T14" s="18">
        <f t="shared" si="7"/>
        <v>95</v>
      </c>
      <c r="U14" s="20">
        <f t="shared" si="8"/>
        <v>83</v>
      </c>
      <c r="V14" s="18">
        <f t="shared" si="9"/>
        <v>12</v>
      </c>
      <c r="W14" s="63"/>
      <c r="X14" s="63"/>
      <c r="Y14" s="63"/>
      <c r="Z14" s="63"/>
      <c r="AA14" s="63"/>
      <c r="AB14" s="63"/>
      <c r="AC14" s="63"/>
      <c r="AD14" s="34">
        <v>12.0</v>
      </c>
      <c r="AE14" s="78" t="s">
        <v>64</v>
      </c>
      <c r="AF14" s="23">
        <v>4.0</v>
      </c>
      <c r="AG14" s="23">
        <v>2.0</v>
      </c>
      <c r="AH14" s="23">
        <v>0.0</v>
      </c>
      <c r="AI14" s="23">
        <v>9.0</v>
      </c>
      <c r="AJ14" s="23">
        <v>98.0</v>
      </c>
      <c r="AK14" s="23">
        <v>120.0</v>
      </c>
      <c r="AL14" s="23">
        <v>-22.0</v>
      </c>
      <c r="AM14" s="63"/>
    </row>
    <row r="15" ht="15.75" customHeight="1">
      <c r="A15" s="65">
        <v>3.0</v>
      </c>
      <c r="B15" s="11">
        <v>46008.0</v>
      </c>
      <c r="C15" s="12" t="s">
        <v>99</v>
      </c>
      <c r="D15" s="71" t="s">
        <v>89</v>
      </c>
      <c r="E15" s="44" t="s">
        <v>90</v>
      </c>
      <c r="F15" s="44">
        <v>13.0</v>
      </c>
      <c r="G15" s="67" t="s">
        <v>24</v>
      </c>
      <c r="H15" s="44">
        <v>3.0</v>
      </c>
      <c r="I15" s="44" t="s">
        <v>43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3"/>
      <c r="X15" s="63"/>
      <c r="Y15" s="63"/>
      <c r="Z15" s="63"/>
      <c r="AA15" s="63"/>
      <c r="AB15" s="63"/>
      <c r="AC15" s="63"/>
      <c r="AD15" s="35" t="s">
        <v>100</v>
      </c>
      <c r="AG15" s="63"/>
      <c r="AH15" s="63"/>
      <c r="AI15" s="37"/>
      <c r="AJ15" s="37"/>
      <c r="AK15" s="37"/>
      <c r="AL15" s="37"/>
      <c r="AM15" s="63"/>
    </row>
    <row r="16" ht="15.75" customHeight="1">
      <c r="A16" s="25"/>
      <c r="B16" s="11">
        <v>46008.0</v>
      </c>
      <c r="C16" s="39" t="s">
        <v>51</v>
      </c>
      <c r="D16" s="71" t="s">
        <v>89</v>
      </c>
      <c r="E16" s="44" t="s">
        <v>39</v>
      </c>
      <c r="F16" s="44">
        <v>8.0</v>
      </c>
      <c r="G16" s="67" t="s">
        <v>24</v>
      </c>
      <c r="H16" s="44">
        <v>10.0</v>
      </c>
      <c r="I16" s="44" t="s">
        <v>33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3"/>
      <c r="X16" s="63"/>
      <c r="Y16" s="63"/>
      <c r="Z16" s="63"/>
      <c r="AA16" s="63"/>
      <c r="AB16" s="63"/>
      <c r="AC16" s="63"/>
      <c r="AD16" s="79" t="s">
        <v>101</v>
      </c>
      <c r="AG16" s="63"/>
      <c r="AH16" s="63"/>
      <c r="AI16" s="37"/>
      <c r="AJ16" s="37"/>
      <c r="AK16" s="37"/>
      <c r="AL16" s="37"/>
      <c r="AM16" s="63"/>
    </row>
    <row r="17" ht="15.75" customHeight="1">
      <c r="A17" s="25"/>
      <c r="B17" s="11">
        <v>46008.0</v>
      </c>
      <c r="C17" s="39" t="s">
        <v>102</v>
      </c>
      <c r="D17" s="71" t="s">
        <v>89</v>
      </c>
      <c r="E17" s="44" t="s">
        <v>32</v>
      </c>
      <c r="F17" s="44">
        <v>12.0</v>
      </c>
      <c r="G17" s="67" t="s">
        <v>24</v>
      </c>
      <c r="H17" s="44">
        <v>8.0</v>
      </c>
      <c r="I17" s="44" t="s">
        <v>65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63"/>
      <c r="AB17" s="63"/>
      <c r="AC17" s="63"/>
      <c r="AI17" s="37"/>
      <c r="AJ17" s="37"/>
      <c r="AK17" s="37"/>
      <c r="AL17" s="37"/>
      <c r="AM17" s="63"/>
    </row>
    <row r="18" ht="15.75" customHeight="1">
      <c r="A18" s="25"/>
      <c r="B18" s="11">
        <v>46008.0</v>
      </c>
      <c r="C18" s="39" t="s">
        <v>92</v>
      </c>
      <c r="D18" s="71" t="s">
        <v>89</v>
      </c>
      <c r="E18" s="44" t="s">
        <v>64</v>
      </c>
      <c r="F18" s="44">
        <v>10.0</v>
      </c>
      <c r="G18" s="67" t="s">
        <v>24</v>
      </c>
      <c r="H18" s="44">
        <v>12.0</v>
      </c>
      <c r="I18" s="44" t="s">
        <v>36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63"/>
      <c r="AB18" s="63"/>
      <c r="AC18" s="63"/>
      <c r="AI18" s="37"/>
      <c r="AJ18" s="37"/>
      <c r="AK18" s="37"/>
      <c r="AL18" s="37"/>
      <c r="AM18" s="63"/>
    </row>
    <row r="19" ht="15.75" customHeight="1">
      <c r="A19" s="25"/>
      <c r="B19" s="11">
        <v>46008.0</v>
      </c>
      <c r="C19" s="12" t="s">
        <v>55</v>
      </c>
      <c r="D19" s="71" t="s">
        <v>89</v>
      </c>
      <c r="E19" s="44" t="s">
        <v>93</v>
      </c>
      <c r="F19" s="44">
        <v>8.0</v>
      </c>
      <c r="G19" s="67" t="s">
        <v>24</v>
      </c>
      <c r="H19" s="44">
        <v>10.0</v>
      </c>
      <c r="I19" s="44" t="s">
        <v>37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80"/>
      <c r="Q19" s="4"/>
      <c r="R19" s="4"/>
      <c r="S19" s="4"/>
      <c r="T19" s="4"/>
      <c r="U19" s="4"/>
      <c r="V19" s="4"/>
      <c r="W19" s="63"/>
      <c r="X19" s="63"/>
      <c r="Y19" s="63"/>
      <c r="Z19" s="63"/>
      <c r="AA19" s="63"/>
      <c r="AB19" s="63"/>
      <c r="AC19" s="63"/>
      <c r="AD19" s="81" t="s">
        <v>103</v>
      </c>
      <c r="AE19" s="82"/>
      <c r="AF19" s="82"/>
      <c r="AG19" s="82"/>
      <c r="AH19" s="82"/>
      <c r="AI19" s="82"/>
      <c r="AJ19" s="82"/>
      <c r="AK19" s="82"/>
      <c r="AL19" s="83"/>
      <c r="AM19" s="63"/>
    </row>
    <row r="20" ht="15.75" customHeight="1">
      <c r="A20" s="29"/>
      <c r="B20" s="11">
        <v>46008.0</v>
      </c>
      <c r="C20" s="66" t="s">
        <v>88</v>
      </c>
      <c r="D20" s="71" t="s">
        <v>89</v>
      </c>
      <c r="E20" s="44" t="s">
        <v>25</v>
      </c>
      <c r="F20" s="44">
        <v>7.0</v>
      </c>
      <c r="G20" s="67" t="s">
        <v>24</v>
      </c>
      <c r="H20" s="44">
        <v>6.0</v>
      </c>
      <c r="I20" s="44" t="s">
        <v>61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80"/>
      <c r="Q20" s="4"/>
      <c r="R20" s="4"/>
      <c r="S20" s="4"/>
      <c r="T20" s="4"/>
      <c r="U20" s="4"/>
      <c r="V20" s="4"/>
      <c r="W20" s="63"/>
      <c r="X20" s="63"/>
      <c r="Y20" s="63"/>
      <c r="Z20" s="63"/>
      <c r="AA20" s="63"/>
      <c r="AB20" s="63"/>
      <c r="AC20" s="63"/>
      <c r="AD20" s="84"/>
      <c r="AE20" s="85"/>
      <c r="AF20" s="85"/>
      <c r="AG20" s="85"/>
      <c r="AH20" s="85"/>
      <c r="AI20" s="85"/>
      <c r="AJ20" s="85"/>
      <c r="AK20" s="85"/>
      <c r="AL20" s="86"/>
      <c r="AM20" s="63"/>
    </row>
    <row r="21" ht="15.75" customHeight="1">
      <c r="A21" s="65">
        <v>4.0</v>
      </c>
      <c r="B21" s="11">
        <v>46008.0</v>
      </c>
      <c r="C21" s="12" t="s">
        <v>91</v>
      </c>
      <c r="D21" s="71" t="s">
        <v>89</v>
      </c>
      <c r="E21" s="44" t="s">
        <v>43</v>
      </c>
      <c r="F21" s="44">
        <v>12.0</v>
      </c>
      <c r="G21" s="67" t="s">
        <v>24</v>
      </c>
      <c r="H21" s="44">
        <v>13.0</v>
      </c>
      <c r="I21" s="44" t="s">
        <v>25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80"/>
      <c r="Q21" s="4"/>
      <c r="R21" s="4"/>
      <c r="S21" s="4"/>
      <c r="T21" s="4"/>
      <c r="U21" s="4"/>
      <c r="V21" s="4"/>
      <c r="W21" s="63"/>
      <c r="X21" s="63"/>
      <c r="Y21" s="63"/>
      <c r="Z21" s="63"/>
      <c r="AA21" s="63"/>
      <c r="AB21" s="63"/>
      <c r="AC21" s="63"/>
      <c r="AD21" s="5" t="s">
        <v>11</v>
      </c>
      <c r="AE21" s="5" t="s">
        <v>12</v>
      </c>
      <c r="AF21" s="5" t="s">
        <v>13</v>
      </c>
      <c r="AG21" s="5" t="s">
        <v>14</v>
      </c>
      <c r="AH21" s="5" t="s">
        <v>15</v>
      </c>
      <c r="AI21" s="5" t="s">
        <v>16</v>
      </c>
      <c r="AJ21" s="5" t="s">
        <v>85</v>
      </c>
      <c r="AK21" s="5" t="s">
        <v>86</v>
      </c>
      <c r="AL21" s="5" t="s">
        <v>87</v>
      </c>
      <c r="AM21" s="63"/>
    </row>
    <row r="22" ht="15.75" customHeight="1">
      <c r="A22" s="25"/>
      <c r="B22" s="11">
        <v>46008.0</v>
      </c>
      <c r="C22" s="12" t="s">
        <v>52</v>
      </c>
      <c r="D22" s="71" t="s">
        <v>89</v>
      </c>
      <c r="E22" s="44" t="s">
        <v>33</v>
      </c>
      <c r="F22" s="44">
        <v>11.0</v>
      </c>
      <c r="G22" s="67" t="s">
        <v>24</v>
      </c>
      <c r="H22" s="44">
        <v>10.0</v>
      </c>
      <c r="I22" s="44" t="s">
        <v>90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63"/>
      <c r="AB22" s="63"/>
      <c r="AC22" s="63"/>
      <c r="AD22" s="22" t="s">
        <v>29</v>
      </c>
      <c r="AE22" s="70" t="s">
        <v>32</v>
      </c>
      <c r="AF22" s="23">
        <v>20.0</v>
      </c>
      <c r="AG22" s="23">
        <v>10.0</v>
      </c>
      <c r="AH22" s="23">
        <v>0.0</v>
      </c>
      <c r="AI22" s="24">
        <v>1.0</v>
      </c>
      <c r="AJ22" s="23">
        <v>139.0</v>
      </c>
      <c r="AK22" s="24">
        <v>101.0</v>
      </c>
      <c r="AL22" s="23">
        <v>38.0</v>
      </c>
      <c r="AM22" s="63"/>
    </row>
    <row r="23" ht="15.75" customHeight="1">
      <c r="A23" s="25"/>
      <c r="B23" s="11">
        <v>46008.0</v>
      </c>
      <c r="C23" s="66" t="s">
        <v>94</v>
      </c>
      <c r="D23" s="71" t="s">
        <v>89</v>
      </c>
      <c r="E23" s="44" t="s">
        <v>65</v>
      </c>
      <c r="F23" s="44">
        <v>8.0</v>
      </c>
      <c r="G23" s="67" t="s">
        <v>24</v>
      </c>
      <c r="H23" s="44">
        <v>13.0</v>
      </c>
      <c r="I23" s="44" t="s">
        <v>39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63"/>
      <c r="AB23" s="63"/>
      <c r="AC23" s="63"/>
      <c r="AD23" s="22" t="s">
        <v>34</v>
      </c>
      <c r="AE23" s="70" t="s">
        <v>33</v>
      </c>
      <c r="AF23" s="23">
        <v>20.0</v>
      </c>
      <c r="AG23" s="23">
        <v>10.0</v>
      </c>
      <c r="AH23" s="23">
        <v>0.0</v>
      </c>
      <c r="AI23" s="24">
        <v>1.0</v>
      </c>
      <c r="AJ23" s="23">
        <v>130.0</v>
      </c>
      <c r="AK23" s="24">
        <v>78.0</v>
      </c>
      <c r="AL23" s="23">
        <v>52.0</v>
      </c>
      <c r="AM23" s="63"/>
    </row>
    <row r="24" ht="15.75" customHeight="1">
      <c r="A24" s="25"/>
      <c r="B24" s="11">
        <v>46008.0</v>
      </c>
      <c r="C24" s="66" t="s">
        <v>95</v>
      </c>
      <c r="D24" s="71" t="s">
        <v>89</v>
      </c>
      <c r="E24" s="44" t="s">
        <v>36</v>
      </c>
      <c r="F24" s="44">
        <v>10.0</v>
      </c>
      <c r="G24" s="67" t="s">
        <v>24</v>
      </c>
      <c r="H24" s="44">
        <v>12.0</v>
      </c>
      <c r="I24" s="44" t="s">
        <v>32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63"/>
      <c r="AB24" s="63"/>
      <c r="AC24" s="63"/>
      <c r="AD24" s="22" t="s">
        <v>38</v>
      </c>
      <c r="AE24" s="70" t="s">
        <v>36</v>
      </c>
      <c r="AF24" s="23">
        <v>16.0</v>
      </c>
      <c r="AG24" s="23">
        <v>8.0</v>
      </c>
      <c r="AH24" s="23">
        <v>0.0</v>
      </c>
      <c r="AI24" s="24">
        <v>3.0</v>
      </c>
      <c r="AJ24" s="23">
        <v>117.0</v>
      </c>
      <c r="AK24" s="24">
        <v>87.0</v>
      </c>
      <c r="AL24" s="23">
        <v>30.0</v>
      </c>
      <c r="AM24" s="63"/>
    </row>
    <row r="25" ht="15.75" customHeight="1">
      <c r="A25" s="25"/>
      <c r="B25" s="11">
        <v>46008.0</v>
      </c>
      <c r="C25" s="66" t="s">
        <v>53</v>
      </c>
      <c r="D25" s="71" t="s">
        <v>89</v>
      </c>
      <c r="E25" s="44" t="s">
        <v>37</v>
      </c>
      <c r="F25" s="44">
        <v>8.0</v>
      </c>
      <c r="G25" s="67" t="s">
        <v>24</v>
      </c>
      <c r="H25" s="44">
        <v>17.0</v>
      </c>
      <c r="I25" s="44" t="s">
        <v>64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63"/>
      <c r="AB25" s="63"/>
      <c r="AC25" s="63"/>
      <c r="AD25" s="22" t="s">
        <v>41</v>
      </c>
      <c r="AE25" s="70" t="s">
        <v>39</v>
      </c>
      <c r="AF25" s="23">
        <v>14.0</v>
      </c>
      <c r="AG25" s="23">
        <v>7.0</v>
      </c>
      <c r="AH25" s="23">
        <v>0.0</v>
      </c>
      <c r="AI25" s="24">
        <v>4.0</v>
      </c>
      <c r="AJ25" s="23">
        <v>110.0</v>
      </c>
      <c r="AK25" s="24">
        <v>79.0</v>
      </c>
      <c r="AL25" s="23">
        <v>31.0</v>
      </c>
      <c r="AM25" s="63"/>
    </row>
    <row r="26" ht="15.75" customHeight="1">
      <c r="A26" s="29"/>
      <c r="B26" s="11">
        <v>46008.0</v>
      </c>
      <c r="C26" s="66" t="s">
        <v>97</v>
      </c>
      <c r="D26" s="71" t="s">
        <v>89</v>
      </c>
      <c r="E26" s="44" t="s">
        <v>61</v>
      </c>
      <c r="F26" s="44">
        <v>11.0</v>
      </c>
      <c r="G26" s="67" t="s">
        <v>24</v>
      </c>
      <c r="H26" s="44">
        <v>10.0</v>
      </c>
      <c r="I26" s="44" t="s">
        <v>93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63"/>
      <c r="AB26" s="63"/>
      <c r="AC26" s="63"/>
      <c r="AD26" s="22" t="s">
        <v>44</v>
      </c>
      <c r="AE26" s="70" t="s">
        <v>25</v>
      </c>
      <c r="AF26" s="23">
        <v>14.0</v>
      </c>
      <c r="AG26" s="23">
        <v>7.0</v>
      </c>
      <c r="AH26" s="23">
        <v>0.0</v>
      </c>
      <c r="AI26" s="24">
        <v>4.0</v>
      </c>
      <c r="AJ26" s="23">
        <v>95.0</v>
      </c>
      <c r="AK26" s="24">
        <v>83.0</v>
      </c>
      <c r="AL26" s="23">
        <v>12.0</v>
      </c>
      <c r="AM26" s="63"/>
    </row>
    <row r="27" ht="15.75" customHeight="1">
      <c r="A27" s="65">
        <v>5.0</v>
      </c>
      <c r="B27" s="11">
        <v>46072.0</v>
      </c>
      <c r="C27" s="39" t="s">
        <v>51</v>
      </c>
      <c r="D27" s="12" t="s">
        <v>89</v>
      </c>
      <c r="E27" s="44" t="s">
        <v>43</v>
      </c>
      <c r="F27" s="44">
        <v>8.0</v>
      </c>
      <c r="G27" s="67" t="s">
        <v>24</v>
      </c>
      <c r="H27" s="44">
        <v>10.0</v>
      </c>
      <c r="I27" s="44" t="s">
        <v>33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63"/>
      <c r="AB27" s="63"/>
      <c r="AC27" s="63"/>
      <c r="AD27" s="22" t="s">
        <v>47</v>
      </c>
      <c r="AE27" s="70" t="s">
        <v>43</v>
      </c>
      <c r="AF27" s="23">
        <v>10.0</v>
      </c>
      <c r="AG27" s="23">
        <v>5.0</v>
      </c>
      <c r="AH27" s="23">
        <v>0.0</v>
      </c>
      <c r="AI27" s="24">
        <v>6.0</v>
      </c>
      <c r="AJ27" s="23">
        <v>115.0</v>
      </c>
      <c r="AK27" s="24">
        <v>119.0</v>
      </c>
      <c r="AL27" s="23">
        <v>-4.0</v>
      </c>
      <c r="AM27" s="63"/>
    </row>
    <row r="28" ht="15.75" customHeight="1">
      <c r="A28" s="25"/>
      <c r="B28" s="11">
        <v>46072.0</v>
      </c>
      <c r="C28" s="39" t="s">
        <v>102</v>
      </c>
      <c r="D28" s="12" t="s">
        <v>89</v>
      </c>
      <c r="E28" s="44" t="s">
        <v>90</v>
      </c>
      <c r="F28" s="44">
        <v>8.0</v>
      </c>
      <c r="G28" s="67" t="s">
        <v>24</v>
      </c>
      <c r="H28" s="44">
        <v>5.0</v>
      </c>
      <c r="I28" s="44" t="s">
        <v>65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63"/>
      <c r="AB28" s="63"/>
      <c r="AC28" s="63"/>
      <c r="AD28" s="52">
        <v>7.0</v>
      </c>
      <c r="AE28" s="70" t="s">
        <v>61</v>
      </c>
      <c r="AF28" s="23">
        <v>8.0</v>
      </c>
      <c r="AG28" s="23">
        <v>4.0</v>
      </c>
      <c r="AH28" s="23">
        <v>0.0</v>
      </c>
      <c r="AI28" s="24">
        <v>7.0</v>
      </c>
      <c r="AJ28" s="23">
        <v>85.0</v>
      </c>
      <c r="AK28" s="24">
        <v>124.0</v>
      </c>
      <c r="AL28" s="23">
        <v>-39.0</v>
      </c>
      <c r="AM28" s="63"/>
    </row>
    <row r="29" ht="15.75" customHeight="1">
      <c r="A29" s="25"/>
      <c r="B29" s="11">
        <v>46072.0</v>
      </c>
      <c r="C29" s="39" t="s">
        <v>92</v>
      </c>
      <c r="D29" s="12" t="s">
        <v>89</v>
      </c>
      <c r="E29" s="44" t="s">
        <v>39</v>
      </c>
      <c r="F29" s="44">
        <v>8.0</v>
      </c>
      <c r="G29" s="67" t="s">
        <v>24</v>
      </c>
      <c r="H29" s="44">
        <v>12.0</v>
      </c>
      <c r="I29" s="44" t="s">
        <v>36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63"/>
      <c r="AB29" s="63"/>
      <c r="AC29" s="63"/>
      <c r="AD29" s="52">
        <v>8.0</v>
      </c>
      <c r="AE29" s="70" t="s">
        <v>93</v>
      </c>
      <c r="AF29" s="23">
        <v>8.0</v>
      </c>
      <c r="AG29" s="23">
        <v>4.0</v>
      </c>
      <c r="AH29" s="23">
        <v>0.0</v>
      </c>
      <c r="AI29" s="24">
        <v>7.0</v>
      </c>
      <c r="AJ29" s="23">
        <v>96.0</v>
      </c>
      <c r="AK29" s="24">
        <v>103.0</v>
      </c>
      <c r="AL29" s="23">
        <v>-7.0</v>
      </c>
      <c r="AM29" s="63"/>
    </row>
    <row r="30" ht="15.75" customHeight="1">
      <c r="A30" s="25"/>
      <c r="B30" s="11">
        <v>46072.0</v>
      </c>
      <c r="C30" s="12" t="s">
        <v>55</v>
      </c>
      <c r="D30" s="12" t="s">
        <v>89</v>
      </c>
      <c r="E30" s="44" t="s">
        <v>32</v>
      </c>
      <c r="F30" s="44">
        <v>10.0</v>
      </c>
      <c r="G30" s="67" t="s">
        <v>24</v>
      </c>
      <c r="H30" s="44">
        <v>9.0</v>
      </c>
      <c r="I30" s="44" t="s">
        <v>37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63"/>
      <c r="AB30" s="63"/>
      <c r="AC30" s="63"/>
      <c r="AD30" s="73" t="s">
        <v>96</v>
      </c>
      <c r="AE30" s="74" t="s">
        <v>37</v>
      </c>
      <c r="AF30" s="48">
        <v>6.0</v>
      </c>
      <c r="AG30" s="48">
        <v>3.0</v>
      </c>
      <c r="AH30" s="48">
        <v>0.0</v>
      </c>
      <c r="AI30" s="49">
        <v>8.0</v>
      </c>
      <c r="AJ30" s="48">
        <v>93.0</v>
      </c>
      <c r="AK30" s="49">
        <v>118.0</v>
      </c>
      <c r="AL30" s="48">
        <v>-25.0</v>
      </c>
      <c r="AM30" s="63"/>
    </row>
    <row r="31" ht="15.75" customHeight="1">
      <c r="A31" s="25"/>
      <c r="B31" s="11">
        <v>46072.0</v>
      </c>
      <c r="C31" s="66" t="s">
        <v>88</v>
      </c>
      <c r="D31" s="12" t="s">
        <v>89</v>
      </c>
      <c r="E31" s="44" t="s">
        <v>64</v>
      </c>
      <c r="F31" s="44">
        <v>3.0</v>
      </c>
      <c r="G31" s="67" t="s">
        <v>24</v>
      </c>
      <c r="H31" s="44">
        <v>9.0</v>
      </c>
      <c r="I31" s="44" t="s">
        <v>61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3"/>
      <c r="X31" s="63"/>
      <c r="Y31" s="63"/>
      <c r="Z31" s="63"/>
      <c r="AA31" s="63"/>
      <c r="AB31" s="63"/>
      <c r="AC31" s="63"/>
      <c r="AD31" s="76">
        <v>10.0</v>
      </c>
      <c r="AE31" s="70" t="s">
        <v>90</v>
      </c>
      <c r="AF31" s="23">
        <v>6.0</v>
      </c>
      <c r="AG31" s="23">
        <v>3.0</v>
      </c>
      <c r="AH31" s="23">
        <v>0.0</v>
      </c>
      <c r="AI31" s="24">
        <v>8.0</v>
      </c>
      <c r="AJ31" s="23">
        <v>94.0</v>
      </c>
      <c r="AK31" s="24">
        <v>118.0</v>
      </c>
      <c r="AL31" s="23">
        <v>-24.0</v>
      </c>
      <c r="AM31" s="63"/>
    </row>
    <row r="32" ht="15.75" customHeight="1">
      <c r="A32" s="29"/>
      <c r="B32" s="11">
        <v>46072.0</v>
      </c>
      <c r="C32" s="12" t="s">
        <v>91</v>
      </c>
      <c r="D32" s="12" t="s">
        <v>89</v>
      </c>
      <c r="E32" s="44" t="s">
        <v>25</v>
      </c>
      <c r="F32" s="44">
        <v>9.0</v>
      </c>
      <c r="G32" s="67" t="s">
        <v>24</v>
      </c>
      <c r="H32" s="44">
        <v>8.0</v>
      </c>
      <c r="I32" s="44" t="s">
        <v>93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3"/>
      <c r="X32" s="63"/>
      <c r="Y32" s="63"/>
      <c r="Z32" s="63"/>
      <c r="AA32" s="63"/>
      <c r="AB32" s="63"/>
      <c r="AC32" s="63"/>
      <c r="AD32" s="34">
        <v>11.0</v>
      </c>
      <c r="AE32" s="78" t="s">
        <v>65</v>
      </c>
      <c r="AF32" s="23">
        <v>6.0</v>
      </c>
      <c r="AG32" s="23">
        <v>3.0</v>
      </c>
      <c r="AH32" s="23">
        <v>0.0</v>
      </c>
      <c r="AI32" s="23">
        <v>8.0</v>
      </c>
      <c r="AJ32" s="23">
        <v>84.0</v>
      </c>
      <c r="AK32" s="23">
        <v>126.0</v>
      </c>
      <c r="AL32" s="23">
        <v>-42.0</v>
      </c>
      <c r="AM32" s="63"/>
    </row>
    <row r="33" ht="15.75" customHeight="1">
      <c r="A33" s="65">
        <v>6.0</v>
      </c>
      <c r="B33" s="11">
        <v>46072.0</v>
      </c>
      <c r="C33" s="12" t="s">
        <v>52</v>
      </c>
      <c r="D33" s="12" t="s">
        <v>89</v>
      </c>
      <c r="E33" s="44" t="s">
        <v>33</v>
      </c>
      <c r="F33" s="44">
        <v>4.0</v>
      </c>
      <c r="G33" s="67" t="s">
        <v>24</v>
      </c>
      <c r="H33" s="44">
        <v>2.0</v>
      </c>
      <c r="I33" s="44" t="s">
        <v>25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3"/>
      <c r="X33" s="63"/>
      <c r="Y33" s="63"/>
      <c r="Z33" s="63"/>
      <c r="AA33" s="63"/>
      <c r="AB33" s="63"/>
      <c r="AC33" s="63"/>
      <c r="AD33" s="34">
        <v>12.0</v>
      </c>
      <c r="AE33" s="78" t="s">
        <v>64</v>
      </c>
      <c r="AF33" s="23">
        <v>4.0</v>
      </c>
      <c r="AG33" s="23">
        <v>2.0</v>
      </c>
      <c r="AH33" s="23">
        <v>0.0</v>
      </c>
      <c r="AI33" s="23">
        <v>9.0</v>
      </c>
      <c r="AJ33" s="23">
        <v>98.0</v>
      </c>
      <c r="AK33" s="23">
        <v>120.0</v>
      </c>
      <c r="AL33" s="23">
        <v>-22.0</v>
      </c>
      <c r="AM33" s="63"/>
    </row>
    <row r="34" ht="15.75" customHeight="1">
      <c r="A34" s="25"/>
      <c r="B34" s="11">
        <v>46072.0</v>
      </c>
      <c r="C34" s="66" t="s">
        <v>94</v>
      </c>
      <c r="D34" s="12" t="s">
        <v>89</v>
      </c>
      <c r="E34" s="44" t="s">
        <v>65</v>
      </c>
      <c r="F34" s="44">
        <v>6.0</v>
      </c>
      <c r="G34" s="67" t="s">
        <v>24</v>
      </c>
      <c r="H34" s="44">
        <v>16.0</v>
      </c>
      <c r="I34" s="44" t="s">
        <v>43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3"/>
      <c r="X34" s="63"/>
      <c r="Y34" s="63"/>
      <c r="Z34" s="63"/>
      <c r="AA34" s="63"/>
      <c r="AB34" s="63"/>
      <c r="AC34" s="63"/>
      <c r="AD34" s="35" t="s">
        <v>104</v>
      </c>
      <c r="AG34" s="63"/>
      <c r="AH34" s="63"/>
      <c r="AI34" s="37"/>
      <c r="AJ34" s="37"/>
      <c r="AK34" s="37"/>
      <c r="AL34" s="37"/>
      <c r="AM34" s="63"/>
    </row>
    <row r="35" ht="15.75" customHeight="1">
      <c r="A35" s="25"/>
      <c r="B35" s="11">
        <v>46072.0</v>
      </c>
      <c r="C35" s="66" t="s">
        <v>95</v>
      </c>
      <c r="D35" s="12" t="s">
        <v>89</v>
      </c>
      <c r="E35" s="44" t="s">
        <v>36</v>
      </c>
      <c r="F35" s="44">
        <v>11.0</v>
      </c>
      <c r="G35" s="67" t="s">
        <v>24</v>
      </c>
      <c r="H35" s="44">
        <v>8.0</v>
      </c>
      <c r="I35" s="44" t="s">
        <v>90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3"/>
      <c r="X35" s="63"/>
      <c r="Y35" s="63"/>
      <c r="Z35" s="63"/>
      <c r="AA35" s="63"/>
      <c r="AB35" s="63"/>
      <c r="AC35" s="63"/>
      <c r="AD35" s="79" t="s">
        <v>101</v>
      </c>
      <c r="AG35" s="63"/>
      <c r="AH35" s="63"/>
      <c r="AI35" s="37"/>
      <c r="AJ35" s="37"/>
      <c r="AK35" s="37"/>
      <c r="AL35" s="37"/>
      <c r="AM35" s="63"/>
    </row>
    <row r="36" ht="15.75" customHeight="1">
      <c r="A36" s="25"/>
      <c r="B36" s="11">
        <v>46072.0</v>
      </c>
      <c r="C36" s="66" t="s">
        <v>53</v>
      </c>
      <c r="D36" s="12" t="s">
        <v>89</v>
      </c>
      <c r="E36" s="44" t="s">
        <v>37</v>
      </c>
      <c r="F36" s="44">
        <v>2.0</v>
      </c>
      <c r="G36" s="67" t="s">
        <v>24</v>
      </c>
      <c r="H36" s="44">
        <v>9.0</v>
      </c>
      <c r="I36" s="44" t="s">
        <v>39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3"/>
      <c r="X36" s="63"/>
      <c r="Y36" s="63"/>
      <c r="Z36" s="63"/>
      <c r="AA36" s="63"/>
      <c r="AB36" s="63"/>
      <c r="AC36" s="63"/>
      <c r="AD36" s="37"/>
      <c r="AE36" s="37"/>
      <c r="AF36" s="37"/>
      <c r="AG36" s="37"/>
      <c r="AH36" s="37"/>
      <c r="AI36" s="37"/>
      <c r="AJ36" s="37"/>
      <c r="AK36" s="37"/>
      <c r="AL36" s="37"/>
      <c r="AM36" s="63"/>
    </row>
    <row r="37" ht="15.75" customHeight="1">
      <c r="A37" s="25"/>
      <c r="B37" s="11">
        <v>46072.0</v>
      </c>
      <c r="C37" s="66" t="s">
        <v>97</v>
      </c>
      <c r="D37" s="12" t="s">
        <v>89</v>
      </c>
      <c r="E37" s="44" t="s">
        <v>61</v>
      </c>
      <c r="F37" s="44">
        <v>8.0</v>
      </c>
      <c r="G37" s="67" t="s">
        <v>24</v>
      </c>
      <c r="H37" s="44">
        <v>14.0</v>
      </c>
      <c r="I37" s="44" t="s">
        <v>32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3"/>
      <c r="X37" s="63"/>
      <c r="Y37" s="63"/>
      <c r="Z37" s="63"/>
      <c r="AA37" s="63"/>
      <c r="AB37" s="63"/>
      <c r="AC37" s="63"/>
      <c r="AD37" s="37"/>
      <c r="AE37" s="37"/>
      <c r="AF37" s="37"/>
      <c r="AG37" s="37"/>
      <c r="AH37" s="37"/>
      <c r="AI37" s="37"/>
      <c r="AJ37" s="37"/>
      <c r="AK37" s="37"/>
      <c r="AL37" s="37"/>
      <c r="AM37" s="63"/>
    </row>
    <row r="38" ht="15.75" customHeight="1">
      <c r="A38" s="29"/>
      <c r="B38" s="11">
        <v>46072.0</v>
      </c>
      <c r="C38" s="12" t="s">
        <v>98</v>
      </c>
      <c r="D38" s="12" t="s">
        <v>89</v>
      </c>
      <c r="E38" s="44" t="s">
        <v>93</v>
      </c>
      <c r="F38" s="44">
        <v>10.0</v>
      </c>
      <c r="G38" s="67" t="s">
        <v>24</v>
      </c>
      <c r="H38" s="44">
        <v>8.0</v>
      </c>
      <c r="I38" s="44" t="s">
        <v>64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3"/>
      <c r="X38" s="63"/>
      <c r="Y38" s="63"/>
      <c r="Z38" s="63"/>
      <c r="AA38" s="63"/>
      <c r="AB38" s="63"/>
      <c r="AC38" s="63"/>
      <c r="AD38" s="4"/>
      <c r="AG38" s="37"/>
      <c r="AI38" s="37"/>
      <c r="AJ38" s="37"/>
      <c r="AK38" s="37"/>
      <c r="AL38" s="37"/>
      <c r="AM38" s="63"/>
    </row>
    <row r="39" ht="15.75" customHeight="1">
      <c r="A39" s="65">
        <v>7.0</v>
      </c>
      <c r="B39" s="11">
        <v>46085.0</v>
      </c>
      <c r="C39" s="12" t="s">
        <v>51</v>
      </c>
      <c r="D39" s="12" t="s">
        <v>22</v>
      </c>
      <c r="E39" s="44" t="s">
        <v>33</v>
      </c>
      <c r="F39" s="44">
        <v>14.0</v>
      </c>
      <c r="G39" s="67" t="s">
        <v>24</v>
      </c>
      <c r="H39" s="44">
        <v>7.0</v>
      </c>
      <c r="I39" s="44" t="s">
        <v>65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3"/>
      <c r="X39" s="63"/>
      <c r="Y39" s="63"/>
      <c r="Z39" s="63"/>
      <c r="AA39" s="63"/>
      <c r="AB39" s="63"/>
      <c r="AC39" s="63"/>
      <c r="AI39" s="37"/>
      <c r="AJ39" s="37"/>
      <c r="AK39" s="37"/>
      <c r="AL39" s="37"/>
      <c r="AM39" s="63"/>
    </row>
    <row r="40" ht="15.75" customHeight="1">
      <c r="A40" s="25"/>
      <c r="B40" s="11">
        <v>46085.0</v>
      </c>
      <c r="C40" s="66" t="s">
        <v>52</v>
      </c>
      <c r="D40" s="12" t="s">
        <v>22</v>
      </c>
      <c r="E40" s="44" t="s">
        <v>43</v>
      </c>
      <c r="F40" s="44">
        <v>6.0</v>
      </c>
      <c r="G40" s="67" t="s">
        <v>24</v>
      </c>
      <c r="H40" s="44">
        <v>12.0</v>
      </c>
      <c r="I40" s="44" t="s">
        <v>36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3"/>
      <c r="X40" s="63"/>
      <c r="Y40" s="63"/>
      <c r="Z40" s="63"/>
      <c r="AA40" s="63"/>
      <c r="AB40" s="63"/>
      <c r="AC40" s="63"/>
      <c r="AI40" s="37"/>
      <c r="AJ40" s="37"/>
      <c r="AK40" s="37"/>
      <c r="AL40" s="37"/>
      <c r="AM40" s="63"/>
    </row>
    <row r="41" ht="15.75" customHeight="1">
      <c r="A41" s="25"/>
      <c r="B41" s="11">
        <v>46085.0</v>
      </c>
      <c r="C41" s="12" t="s">
        <v>92</v>
      </c>
      <c r="D41" s="39" t="s">
        <v>22</v>
      </c>
      <c r="E41" s="44" t="s">
        <v>90</v>
      </c>
      <c r="F41" s="44">
        <v>7.0</v>
      </c>
      <c r="G41" s="67" t="s">
        <v>24</v>
      </c>
      <c r="H41" s="44">
        <v>14.0</v>
      </c>
      <c r="I41" s="44" t="s">
        <v>37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3"/>
      <c r="X41" s="63"/>
      <c r="Y41" s="63"/>
      <c r="Z41" s="63"/>
      <c r="AA41" s="63"/>
      <c r="AB41" s="63"/>
      <c r="AC41" s="63"/>
      <c r="AI41" s="37"/>
      <c r="AJ41" s="37"/>
      <c r="AK41" s="37"/>
      <c r="AL41" s="37"/>
      <c r="AM41" s="63"/>
    </row>
    <row r="42" ht="15.75" customHeight="1">
      <c r="A42" s="25"/>
      <c r="B42" s="11">
        <v>46085.0</v>
      </c>
      <c r="C42" s="66" t="s">
        <v>55</v>
      </c>
      <c r="D42" s="12" t="s">
        <v>22</v>
      </c>
      <c r="E42" s="44" t="s">
        <v>39</v>
      </c>
      <c r="F42" s="44">
        <v>14.0</v>
      </c>
      <c r="G42" s="67" t="s">
        <v>24</v>
      </c>
      <c r="H42" s="44">
        <v>8.0</v>
      </c>
      <c r="I42" s="44" t="s">
        <v>61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3"/>
      <c r="X42" s="63"/>
      <c r="Y42" s="63"/>
      <c r="Z42" s="63"/>
      <c r="AA42" s="63"/>
      <c r="AB42" s="63"/>
      <c r="AC42" s="63"/>
      <c r="AI42" s="37"/>
      <c r="AJ42" s="37"/>
      <c r="AK42" s="37"/>
      <c r="AL42" s="37"/>
      <c r="AM42" s="63"/>
    </row>
    <row r="43" ht="15.75" customHeight="1">
      <c r="A43" s="25"/>
      <c r="B43" s="11">
        <v>46085.0</v>
      </c>
      <c r="C43" s="66" t="s">
        <v>88</v>
      </c>
      <c r="D43" s="12" t="s">
        <v>22</v>
      </c>
      <c r="E43" s="44" t="s">
        <v>32</v>
      </c>
      <c r="F43" s="44">
        <v>10.0</v>
      </c>
      <c r="G43" s="67" t="s">
        <v>24</v>
      </c>
      <c r="H43" s="44">
        <v>4.0</v>
      </c>
      <c r="I43" s="44" t="s">
        <v>93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3"/>
      <c r="X43" s="63"/>
      <c r="Y43" s="63"/>
      <c r="Z43" s="63"/>
      <c r="AA43" s="63"/>
      <c r="AB43" s="63"/>
      <c r="AC43" s="63"/>
      <c r="AI43" s="37"/>
      <c r="AJ43" s="37"/>
      <c r="AK43" s="37"/>
      <c r="AL43" s="37"/>
      <c r="AM43" s="63"/>
    </row>
    <row r="44" ht="15.75" customHeight="1">
      <c r="A44" s="29"/>
      <c r="B44" s="11">
        <v>46085.0</v>
      </c>
      <c r="C44" s="66" t="s">
        <v>97</v>
      </c>
      <c r="D44" s="12" t="s">
        <v>22</v>
      </c>
      <c r="E44" s="44" t="s">
        <v>25</v>
      </c>
      <c r="F44" s="44">
        <v>18.0</v>
      </c>
      <c r="G44" s="67" t="s">
        <v>24</v>
      </c>
      <c r="H44" s="44">
        <v>12.0</v>
      </c>
      <c r="I44" s="44" t="s">
        <v>64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3"/>
      <c r="X44" s="63"/>
      <c r="Y44" s="63"/>
      <c r="Z44" s="63"/>
      <c r="AA44" s="63"/>
      <c r="AB44" s="63"/>
      <c r="AC44" s="63"/>
      <c r="AI44" s="37"/>
      <c r="AJ44" s="37"/>
      <c r="AK44" s="37"/>
      <c r="AL44" s="37"/>
      <c r="AM44" s="63"/>
    </row>
    <row r="45" ht="15.75" customHeight="1">
      <c r="A45" s="65">
        <v>8.0</v>
      </c>
      <c r="B45" s="11">
        <v>46085.0</v>
      </c>
      <c r="C45" s="12" t="s">
        <v>102</v>
      </c>
      <c r="D45" s="12" t="s">
        <v>22</v>
      </c>
      <c r="E45" s="44" t="s">
        <v>65</v>
      </c>
      <c r="F45" s="44">
        <v>5.0</v>
      </c>
      <c r="G45" s="67" t="s">
        <v>24</v>
      </c>
      <c r="H45" s="44">
        <v>14.0</v>
      </c>
      <c r="I45" s="44" t="s">
        <v>25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3"/>
      <c r="X45" s="63"/>
      <c r="Y45" s="63"/>
      <c r="Z45" s="63"/>
      <c r="AA45" s="63"/>
      <c r="AB45" s="63"/>
      <c r="AC45" s="63"/>
      <c r="AI45" s="37"/>
      <c r="AJ45" s="37"/>
      <c r="AK45" s="37"/>
      <c r="AL45" s="37"/>
      <c r="AM45" s="63"/>
    </row>
    <row r="46" ht="15.75" customHeight="1">
      <c r="A46" s="25"/>
      <c r="B46" s="11">
        <v>46085.0</v>
      </c>
      <c r="C46" s="66" t="s">
        <v>94</v>
      </c>
      <c r="D46" s="12" t="s">
        <v>22</v>
      </c>
      <c r="E46" s="44" t="s">
        <v>36</v>
      </c>
      <c r="F46" s="44">
        <v>6.0</v>
      </c>
      <c r="G46" s="67" t="s">
        <v>24</v>
      </c>
      <c r="H46" s="44">
        <v>9.0</v>
      </c>
      <c r="I46" s="44" t="s">
        <v>33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3"/>
      <c r="X46" s="63"/>
      <c r="Y46" s="63"/>
      <c r="Z46" s="63"/>
      <c r="AA46" s="63"/>
      <c r="AB46" s="63"/>
      <c r="AC46" s="63"/>
      <c r="AD46" s="37"/>
      <c r="AE46" s="37"/>
      <c r="AF46" s="37"/>
      <c r="AG46" s="37"/>
      <c r="AH46" s="37"/>
      <c r="AI46" s="37"/>
      <c r="AJ46" s="37"/>
      <c r="AK46" s="37"/>
      <c r="AL46" s="37"/>
      <c r="AM46" s="63"/>
    </row>
    <row r="47" ht="15.75" customHeight="1">
      <c r="A47" s="25"/>
      <c r="B47" s="11">
        <v>46085.0</v>
      </c>
      <c r="C47" s="66" t="s">
        <v>95</v>
      </c>
      <c r="D47" s="12" t="s">
        <v>22</v>
      </c>
      <c r="E47" s="44" t="s">
        <v>37</v>
      </c>
      <c r="F47" s="44">
        <v>11.0</v>
      </c>
      <c r="G47" s="67" t="s">
        <v>24</v>
      </c>
      <c r="H47" s="44">
        <v>17.0</v>
      </c>
      <c r="I47" s="44" t="s">
        <v>43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3"/>
      <c r="X47" s="63"/>
      <c r="Y47" s="63"/>
      <c r="Z47" s="63"/>
      <c r="AA47" s="63"/>
      <c r="AB47" s="63"/>
      <c r="AC47" s="63"/>
      <c r="AD47" s="37"/>
      <c r="AE47" s="37"/>
      <c r="AF47" s="37"/>
      <c r="AG47" s="37"/>
      <c r="AH47" s="37"/>
      <c r="AI47" s="37"/>
      <c r="AJ47" s="37"/>
      <c r="AK47" s="37"/>
      <c r="AL47" s="37"/>
      <c r="AM47" s="63"/>
    </row>
    <row r="48" ht="15.75" customHeight="1">
      <c r="A48" s="25"/>
      <c r="B48" s="11">
        <v>46085.0</v>
      </c>
      <c r="C48" s="66" t="s">
        <v>53</v>
      </c>
      <c r="D48" s="12" t="s">
        <v>22</v>
      </c>
      <c r="E48" s="44" t="s">
        <v>61</v>
      </c>
      <c r="F48" s="44">
        <v>14.0</v>
      </c>
      <c r="G48" s="67" t="s">
        <v>24</v>
      </c>
      <c r="H48" s="44">
        <v>8.0</v>
      </c>
      <c r="I48" s="44" t="s">
        <v>90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3"/>
      <c r="X48" s="63"/>
      <c r="Y48" s="63"/>
      <c r="Z48" s="63"/>
      <c r="AA48" s="63"/>
      <c r="AB48" s="63"/>
      <c r="AC48" s="63"/>
      <c r="AD48" s="37"/>
      <c r="AE48" s="37"/>
      <c r="AF48" s="37"/>
      <c r="AG48" s="37"/>
      <c r="AH48" s="37"/>
      <c r="AI48" s="37"/>
      <c r="AJ48" s="37"/>
      <c r="AK48" s="37"/>
      <c r="AL48" s="37"/>
      <c r="AM48" s="63"/>
    </row>
    <row r="49" ht="15.75" customHeight="1">
      <c r="A49" s="25"/>
      <c r="B49" s="11">
        <v>46085.0</v>
      </c>
      <c r="C49" s="66" t="s">
        <v>91</v>
      </c>
      <c r="D49" s="12" t="s">
        <v>22</v>
      </c>
      <c r="E49" s="44" t="s">
        <v>93</v>
      </c>
      <c r="F49" s="44">
        <v>4.0</v>
      </c>
      <c r="G49" s="67" t="s">
        <v>24</v>
      </c>
      <c r="H49" s="44">
        <v>15.0</v>
      </c>
      <c r="I49" s="44" t="s">
        <v>39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3"/>
      <c r="X49" s="63"/>
      <c r="Y49" s="63"/>
      <c r="Z49" s="63"/>
      <c r="AA49" s="63"/>
      <c r="AB49" s="63"/>
      <c r="AC49" s="63"/>
      <c r="AD49" s="37"/>
      <c r="AE49" s="37"/>
      <c r="AF49" s="37"/>
      <c r="AG49" s="37"/>
      <c r="AH49" s="37"/>
      <c r="AI49" s="37"/>
      <c r="AJ49" s="37"/>
      <c r="AK49" s="37"/>
      <c r="AL49" s="37"/>
      <c r="AM49" s="63"/>
    </row>
    <row r="50" ht="15.75" customHeight="1">
      <c r="A50" s="29"/>
      <c r="B50" s="11">
        <v>46085.0</v>
      </c>
      <c r="C50" s="66" t="s">
        <v>98</v>
      </c>
      <c r="D50" s="12" t="s">
        <v>22</v>
      </c>
      <c r="E50" s="44" t="s">
        <v>64</v>
      </c>
      <c r="F50" s="44">
        <v>11.0</v>
      </c>
      <c r="G50" s="67" t="s">
        <v>24</v>
      </c>
      <c r="H50" s="44">
        <v>13.0</v>
      </c>
      <c r="I50" s="44" t="s">
        <v>32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3"/>
      <c r="X50" s="63"/>
      <c r="Y50" s="63"/>
      <c r="Z50" s="63"/>
      <c r="AA50" s="63"/>
      <c r="AB50" s="63"/>
      <c r="AC50" s="63"/>
      <c r="AD50" s="37"/>
      <c r="AE50" s="37"/>
      <c r="AF50" s="37"/>
      <c r="AG50" s="37"/>
      <c r="AH50" s="37"/>
      <c r="AI50" s="37"/>
      <c r="AJ50" s="37"/>
      <c r="AK50" s="37"/>
      <c r="AL50" s="37"/>
      <c r="AM50" s="63"/>
    </row>
    <row r="51" ht="15.75" customHeight="1">
      <c r="A51" s="65">
        <v>9.0</v>
      </c>
      <c r="B51" s="11">
        <v>46099.0</v>
      </c>
      <c r="C51" s="66" t="s">
        <v>52</v>
      </c>
      <c r="D51" s="12" t="s">
        <v>89</v>
      </c>
      <c r="E51" s="44" t="s">
        <v>65</v>
      </c>
      <c r="F51" s="44">
        <v>6.0</v>
      </c>
      <c r="G51" s="67" t="s">
        <v>24</v>
      </c>
      <c r="H51" s="44">
        <v>17.0</v>
      </c>
      <c r="I51" s="44" t="s">
        <v>36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3"/>
      <c r="X51" s="63"/>
      <c r="Y51" s="63"/>
      <c r="Z51" s="63"/>
      <c r="AA51" s="63"/>
      <c r="AB51" s="63"/>
      <c r="AC51" s="63"/>
      <c r="AD51" s="37"/>
      <c r="AE51" s="37"/>
      <c r="AF51" s="37"/>
      <c r="AG51" s="37"/>
      <c r="AH51" s="37"/>
      <c r="AI51" s="37"/>
      <c r="AJ51" s="37"/>
      <c r="AK51" s="37"/>
      <c r="AL51" s="37"/>
      <c r="AM51" s="63"/>
    </row>
    <row r="52" ht="15.75" customHeight="1">
      <c r="A52" s="25"/>
      <c r="B52" s="11">
        <v>46099.0</v>
      </c>
      <c r="C52" s="66" t="s">
        <v>94</v>
      </c>
      <c r="D52" s="12" t="s">
        <v>89</v>
      </c>
      <c r="E52" s="44" t="s">
        <v>33</v>
      </c>
      <c r="F52" s="44">
        <v>11.0</v>
      </c>
      <c r="G52" s="67" t="s">
        <v>24</v>
      </c>
      <c r="H52" s="44">
        <v>7.0</v>
      </c>
      <c r="I52" s="44" t="s">
        <v>37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3"/>
      <c r="X52" s="63"/>
      <c r="Y52" s="63"/>
      <c r="Z52" s="63"/>
      <c r="AA52" s="63"/>
      <c r="AB52" s="63"/>
      <c r="AC52" s="63"/>
      <c r="AD52" s="37"/>
      <c r="AE52" s="37"/>
      <c r="AF52" s="37"/>
      <c r="AG52" s="37"/>
      <c r="AH52" s="37"/>
      <c r="AI52" s="37"/>
      <c r="AJ52" s="37"/>
      <c r="AK52" s="37"/>
      <c r="AL52" s="37"/>
      <c r="AM52" s="63"/>
    </row>
    <row r="53" ht="15.75" customHeight="1">
      <c r="A53" s="25"/>
      <c r="B53" s="11">
        <v>46099.0</v>
      </c>
      <c r="C53" s="66" t="s">
        <v>95</v>
      </c>
      <c r="D53" s="12" t="s">
        <v>89</v>
      </c>
      <c r="E53" s="44" t="s">
        <v>43</v>
      </c>
      <c r="F53" s="44">
        <v>14.0</v>
      </c>
      <c r="G53" s="67" t="s">
        <v>24</v>
      </c>
      <c r="H53" s="44">
        <v>6.0</v>
      </c>
      <c r="I53" s="44" t="s">
        <v>61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3"/>
      <c r="X53" s="63"/>
      <c r="Y53" s="63"/>
      <c r="Z53" s="63"/>
      <c r="AA53" s="63"/>
      <c r="AB53" s="63"/>
      <c r="AC53" s="63"/>
      <c r="AD53" s="37"/>
      <c r="AE53" s="37"/>
      <c r="AF53" s="37"/>
      <c r="AG53" s="37"/>
      <c r="AH53" s="37"/>
      <c r="AI53" s="37"/>
      <c r="AJ53" s="37"/>
      <c r="AK53" s="37"/>
      <c r="AL53" s="37"/>
      <c r="AM53" s="63"/>
    </row>
    <row r="54" ht="15.75" customHeight="1">
      <c r="A54" s="25"/>
      <c r="B54" s="11">
        <v>46099.0</v>
      </c>
      <c r="C54" s="66" t="s">
        <v>53</v>
      </c>
      <c r="D54" s="12" t="s">
        <v>89</v>
      </c>
      <c r="E54" s="44" t="s">
        <v>90</v>
      </c>
      <c r="F54" s="44">
        <v>8.0</v>
      </c>
      <c r="G54" s="67" t="s">
        <v>24</v>
      </c>
      <c r="H54" s="44">
        <v>10.0</v>
      </c>
      <c r="I54" s="44" t="s">
        <v>93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3"/>
      <c r="X54" s="63"/>
      <c r="Y54" s="63"/>
      <c r="Z54" s="63"/>
      <c r="AA54" s="63"/>
      <c r="AB54" s="63"/>
      <c r="AC54" s="63"/>
      <c r="AD54" s="37"/>
      <c r="AE54" s="37"/>
      <c r="AF54" s="37"/>
      <c r="AG54" s="37"/>
      <c r="AH54" s="37"/>
      <c r="AI54" s="37"/>
      <c r="AJ54" s="37"/>
      <c r="AK54" s="37"/>
      <c r="AL54" s="37"/>
      <c r="AM54" s="63"/>
    </row>
    <row r="55" ht="15.75" customHeight="1">
      <c r="A55" s="25"/>
      <c r="B55" s="11">
        <v>46099.0</v>
      </c>
      <c r="C55" s="66" t="s">
        <v>97</v>
      </c>
      <c r="D55" s="12" t="s">
        <v>89</v>
      </c>
      <c r="E55" s="44" t="s">
        <v>39</v>
      </c>
      <c r="F55" s="44">
        <v>10.0</v>
      </c>
      <c r="G55" s="67" t="s">
        <v>24</v>
      </c>
      <c r="H55" s="44">
        <v>4.0</v>
      </c>
      <c r="I55" s="44" t="s">
        <v>64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3"/>
      <c r="X55" s="63"/>
      <c r="Y55" s="63"/>
      <c r="Z55" s="63"/>
      <c r="AA55" s="63"/>
      <c r="AB55" s="63"/>
      <c r="AC55" s="63"/>
      <c r="AD55" s="37"/>
      <c r="AE55" s="37"/>
      <c r="AF55" s="37"/>
      <c r="AG55" s="37"/>
      <c r="AH55" s="37"/>
      <c r="AI55" s="37"/>
      <c r="AJ55" s="37"/>
      <c r="AK55" s="37"/>
      <c r="AL55" s="37"/>
      <c r="AM55" s="63"/>
    </row>
    <row r="56" ht="15.75" customHeight="1">
      <c r="A56" s="29"/>
      <c r="B56" s="11">
        <v>46099.0</v>
      </c>
      <c r="C56" s="66" t="s">
        <v>98</v>
      </c>
      <c r="D56" s="12" t="s">
        <v>89</v>
      </c>
      <c r="E56" s="44" t="s">
        <v>25</v>
      </c>
      <c r="F56" s="44">
        <v>5.0</v>
      </c>
      <c r="G56" s="67" t="s">
        <v>24</v>
      </c>
      <c r="H56" s="44">
        <v>10.0</v>
      </c>
      <c r="I56" s="44" t="s">
        <v>32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3"/>
      <c r="X56" s="63"/>
      <c r="Y56" s="63"/>
      <c r="Z56" s="63"/>
      <c r="AA56" s="63"/>
      <c r="AB56" s="63"/>
      <c r="AC56" s="63"/>
      <c r="AD56" s="37"/>
      <c r="AE56" s="37"/>
      <c r="AF56" s="37"/>
      <c r="AG56" s="37"/>
      <c r="AH56" s="37"/>
      <c r="AI56" s="37"/>
      <c r="AJ56" s="37"/>
      <c r="AK56" s="37"/>
      <c r="AL56" s="37"/>
      <c r="AM56" s="63"/>
    </row>
    <row r="57" ht="15.75" customHeight="1">
      <c r="A57" s="65">
        <v>10.0</v>
      </c>
      <c r="B57" s="11">
        <v>46148.0</v>
      </c>
      <c r="C57" s="12" t="s">
        <v>51</v>
      </c>
      <c r="D57" s="12" t="s">
        <v>22</v>
      </c>
      <c r="E57" s="44" t="s">
        <v>25</v>
      </c>
      <c r="F57" s="44">
        <v>6.0</v>
      </c>
      <c r="G57" s="67" t="s">
        <v>24</v>
      </c>
      <c r="H57" s="44">
        <v>9.0</v>
      </c>
      <c r="I57" s="44" t="s">
        <v>36</v>
      </c>
      <c r="J57" s="4"/>
      <c r="K57" s="4">
        <f t="shared" si="1"/>
        <v>0</v>
      </c>
      <c r="L57" s="18">
        <f t="shared" si="2"/>
        <v>2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3"/>
      <c r="X57" s="63"/>
      <c r="Y57" s="63"/>
      <c r="Z57" s="63"/>
      <c r="AA57" s="63"/>
      <c r="AB57" s="63"/>
      <c r="AC57" s="63"/>
      <c r="AD57" s="37"/>
      <c r="AE57" s="37"/>
      <c r="AF57" s="37"/>
      <c r="AG57" s="37"/>
      <c r="AH57" s="37"/>
      <c r="AI57" s="37"/>
      <c r="AJ57" s="37"/>
      <c r="AK57" s="37"/>
      <c r="AL57" s="37"/>
      <c r="AM57" s="63"/>
    </row>
    <row r="58" ht="15.75" customHeight="1">
      <c r="A58" s="25"/>
      <c r="B58" s="11">
        <v>46148.0</v>
      </c>
      <c r="C58" s="12" t="s">
        <v>102</v>
      </c>
      <c r="D58" s="12" t="s">
        <v>22</v>
      </c>
      <c r="E58" s="44" t="s">
        <v>37</v>
      </c>
      <c r="F58" s="44">
        <v>14.0</v>
      </c>
      <c r="G58" s="67" t="s">
        <v>24</v>
      </c>
      <c r="H58" s="44">
        <v>8.0</v>
      </c>
      <c r="I58" s="44" t="s">
        <v>65</v>
      </c>
      <c r="J58" s="4"/>
      <c r="K58" s="4">
        <f t="shared" si="1"/>
        <v>2</v>
      </c>
      <c r="L58" s="18">
        <f t="shared" si="2"/>
        <v>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3"/>
      <c r="X58" s="63"/>
      <c r="Y58" s="63"/>
      <c r="Z58" s="63"/>
      <c r="AA58" s="63"/>
      <c r="AB58" s="63"/>
      <c r="AC58" s="63"/>
      <c r="AD58" s="37"/>
      <c r="AE58" s="37"/>
      <c r="AF58" s="37"/>
      <c r="AG58" s="37"/>
      <c r="AH58" s="37"/>
      <c r="AI58" s="37"/>
      <c r="AJ58" s="37"/>
      <c r="AK58" s="37"/>
      <c r="AL58" s="37"/>
      <c r="AM58" s="63"/>
    </row>
    <row r="59" ht="15.75" customHeight="1">
      <c r="A59" s="25"/>
      <c r="B59" s="11">
        <v>46148.0</v>
      </c>
      <c r="C59" s="12" t="s">
        <v>92</v>
      </c>
      <c r="D59" s="12" t="s">
        <v>22</v>
      </c>
      <c r="E59" s="44" t="s">
        <v>61</v>
      </c>
      <c r="F59" s="44">
        <v>1.0</v>
      </c>
      <c r="G59" s="67" t="s">
        <v>24</v>
      </c>
      <c r="H59" s="44">
        <v>20.0</v>
      </c>
      <c r="I59" s="44" t="s">
        <v>33</v>
      </c>
      <c r="J59" s="4"/>
      <c r="K59" s="4">
        <f t="shared" si="1"/>
        <v>0</v>
      </c>
      <c r="L59" s="18">
        <f t="shared" si="2"/>
        <v>2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3"/>
      <c r="X59" s="63"/>
      <c r="Y59" s="63"/>
      <c r="Z59" s="63"/>
      <c r="AA59" s="63"/>
      <c r="AB59" s="63"/>
      <c r="AC59" s="63"/>
      <c r="AD59" s="37"/>
      <c r="AE59" s="37"/>
      <c r="AF59" s="37"/>
      <c r="AG59" s="37"/>
      <c r="AH59" s="37"/>
      <c r="AI59" s="37"/>
      <c r="AJ59" s="37"/>
      <c r="AK59" s="37"/>
      <c r="AL59" s="37"/>
      <c r="AM59" s="63"/>
    </row>
    <row r="60" ht="15.75" customHeight="1">
      <c r="A60" s="25"/>
      <c r="B60" s="11">
        <v>46148.0</v>
      </c>
      <c r="C60" s="66" t="s">
        <v>55</v>
      </c>
      <c r="D60" s="12" t="s">
        <v>22</v>
      </c>
      <c r="E60" s="44" t="s">
        <v>93</v>
      </c>
      <c r="F60" s="44">
        <v>4.0</v>
      </c>
      <c r="G60" s="67" t="s">
        <v>24</v>
      </c>
      <c r="H60" s="44">
        <v>17.0</v>
      </c>
      <c r="I60" s="44" t="s">
        <v>43</v>
      </c>
      <c r="J60" s="4"/>
      <c r="K60" s="4">
        <f t="shared" si="1"/>
        <v>0</v>
      </c>
      <c r="L60" s="18">
        <f t="shared" si="2"/>
        <v>2</v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3"/>
      <c r="X60" s="63"/>
      <c r="Y60" s="63"/>
      <c r="Z60" s="63"/>
      <c r="AA60" s="63"/>
      <c r="AB60" s="63"/>
      <c r="AC60" s="63"/>
      <c r="AD60" s="37"/>
      <c r="AE60" s="37"/>
      <c r="AF60" s="37"/>
      <c r="AG60" s="37"/>
      <c r="AH60" s="37"/>
      <c r="AI60" s="37"/>
      <c r="AJ60" s="37"/>
      <c r="AK60" s="37"/>
      <c r="AL60" s="37"/>
      <c r="AM60" s="63"/>
    </row>
    <row r="61" ht="15.75" customHeight="1">
      <c r="A61" s="25"/>
      <c r="B61" s="11">
        <v>46148.0</v>
      </c>
      <c r="C61" s="66" t="s">
        <v>88</v>
      </c>
      <c r="D61" s="12" t="s">
        <v>22</v>
      </c>
      <c r="E61" s="44" t="s">
        <v>64</v>
      </c>
      <c r="F61" s="44">
        <v>12.0</v>
      </c>
      <c r="G61" s="67" t="s">
        <v>24</v>
      </c>
      <c r="H61" s="44">
        <v>9.0</v>
      </c>
      <c r="I61" s="44" t="s">
        <v>90</v>
      </c>
      <c r="J61" s="4"/>
      <c r="K61" s="4">
        <f t="shared" si="1"/>
        <v>2</v>
      </c>
      <c r="L61" s="18">
        <f t="shared" si="2"/>
        <v>0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3"/>
      <c r="X61" s="63"/>
      <c r="Y61" s="63"/>
      <c r="Z61" s="63"/>
      <c r="AA61" s="63"/>
      <c r="AB61" s="63"/>
      <c r="AC61" s="63"/>
      <c r="AD61" s="37"/>
      <c r="AE61" s="37"/>
      <c r="AF61" s="37"/>
      <c r="AG61" s="37"/>
      <c r="AH61" s="37"/>
      <c r="AI61" s="37"/>
      <c r="AJ61" s="37"/>
      <c r="AK61" s="37"/>
      <c r="AL61" s="37"/>
      <c r="AM61" s="63"/>
    </row>
    <row r="62" ht="15.75" customHeight="1">
      <c r="A62" s="29"/>
      <c r="B62" s="11">
        <v>46148.0</v>
      </c>
      <c r="C62" s="66" t="s">
        <v>91</v>
      </c>
      <c r="D62" s="12" t="s">
        <v>22</v>
      </c>
      <c r="E62" s="44" t="s">
        <v>32</v>
      </c>
      <c r="F62" s="44">
        <v>9.0</v>
      </c>
      <c r="G62" s="67" t="s">
        <v>24</v>
      </c>
      <c r="H62" s="44">
        <v>7.0</v>
      </c>
      <c r="I62" s="44" t="s">
        <v>39</v>
      </c>
      <c r="J62" s="4"/>
      <c r="K62" s="4">
        <f t="shared" si="1"/>
        <v>2</v>
      </c>
      <c r="L62" s="18">
        <f t="shared" si="2"/>
        <v>0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3"/>
      <c r="X62" s="63"/>
      <c r="Y62" s="63"/>
      <c r="Z62" s="63"/>
      <c r="AA62" s="63"/>
      <c r="AB62" s="63"/>
      <c r="AC62" s="63"/>
      <c r="AD62" s="37"/>
      <c r="AE62" s="37"/>
      <c r="AF62" s="37"/>
      <c r="AG62" s="37"/>
      <c r="AH62" s="37"/>
      <c r="AI62" s="37"/>
      <c r="AJ62" s="37"/>
      <c r="AK62" s="37"/>
      <c r="AL62" s="37"/>
      <c r="AM62" s="63"/>
    </row>
    <row r="63" ht="15.75" customHeight="1">
      <c r="A63" s="65">
        <v>11.0</v>
      </c>
      <c r="B63" s="11">
        <v>46148.0</v>
      </c>
      <c r="C63" s="66" t="s">
        <v>52</v>
      </c>
      <c r="D63" s="12" t="s">
        <v>22</v>
      </c>
      <c r="E63" s="44" t="s">
        <v>36</v>
      </c>
      <c r="F63" s="44">
        <v>16.0</v>
      </c>
      <c r="G63" s="67" t="s">
        <v>24</v>
      </c>
      <c r="H63" s="44">
        <v>6.0</v>
      </c>
      <c r="I63" s="44" t="s">
        <v>37</v>
      </c>
      <c r="J63" s="4"/>
      <c r="K63" s="4">
        <f t="shared" si="1"/>
        <v>2</v>
      </c>
      <c r="L63" s="18">
        <f t="shared" si="2"/>
        <v>0</v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3"/>
      <c r="X63" s="63"/>
      <c r="Y63" s="63"/>
      <c r="Z63" s="63"/>
      <c r="AA63" s="63"/>
      <c r="AB63" s="63"/>
      <c r="AC63" s="63"/>
      <c r="AD63" s="37"/>
      <c r="AE63" s="37"/>
      <c r="AF63" s="37"/>
      <c r="AG63" s="37"/>
      <c r="AH63" s="37"/>
      <c r="AI63" s="37"/>
      <c r="AJ63" s="37"/>
      <c r="AK63" s="37"/>
      <c r="AL63" s="37"/>
      <c r="AM63" s="63"/>
    </row>
    <row r="64" ht="15.75" customHeight="1">
      <c r="A64" s="25"/>
      <c r="B64" s="11">
        <v>46148.0</v>
      </c>
      <c r="C64" s="66" t="s">
        <v>94</v>
      </c>
      <c r="D64" s="12" t="s">
        <v>22</v>
      </c>
      <c r="E64" s="44" t="s">
        <v>65</v>
      </c>
      <c r="F64" s="44">
        <v>17.0</v>
      </c>
      <c r="G64" s="67" t="s">
        <v>24</v>
      </c>
      <c r="H64" s="44">
        <v>9.0</v>
      </c>
      <c r="I64" s="44" t="s">
        <v>61</v>
      </c>
      <c r="J64" s="4"/>
      <c r="K64" s="4">
        <f t="shared" si="1"/>
        <v>2</v>
      </c>
      <c r="L64" s="18">
        <f t="shared" si="2"/>
        <v>0</v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3"/>
      <c r="X64" s="63"/>
      <c r="Y64" s="63"/>
      <c r="Z64" s="63"/>
      <c r="AA64" s="63"/>
      <c r="AB64" s="63"/>
      <c r="AC64" s="63"/>
      <c r="AD64" s="37"/>
      <c r="AE64" s="37"/>
      <c r="AF64" s="37"/>
      <c r="AG64" s="37"/>
      <c r="AH64" s="37"/>
      <c r="AI64" s="37"/>
      <c r="AJ64" s="37"/>
      <c r="AK64" s="37"/>
      <c r="AL64" s="37"/>
      <c r="AM64" s="63"/>
    </row>
    <row r="65" ht="15.75" customHeight="1">
      <c r="A65" s="25"/>
      <c r="B65" s="11">
        <v>46148.0</v>
      </c>
      <c r="C65" s="66" t="s">
        <v>95</v>
      </c>
      <c r="D65" s="12" t="s">
        <v>22</v>
      </c>
      <c r="E65" s="44" t="s">
        <v>33</v>
      </c>
      <c r="F65" s="44">
        <v>17.0</v>
      </c>
      <c r="G65" s="67" t="s">
        <v>24</v>
      </c>
      <c r="H65" s="44">
        <v>8.0</v>
      </c>
      <c r="I65" s="44" t="s">
        <v>93</v>
      </c>
      <c r="J65" s="4"/>
      <c r="K65" s="4">
        <f t="shared" si="1"/>
        <v>2</v>
      </c>
      <c r="L65" s="18">
        <f t="shared" si="2"/>
        <v>0</v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3"/>
      <c r="X65" s="63"/>
      <c r="Y65" s="63"/>
      <c r="Z65" s="63"/>
      <c r="AA65" s="63"/>
      <c r="AB65" s="63"/>
      <c r="AC65" s="63"/>
      <c r="AD65" s="37"/>
      <c r="AE65" s="37"/>
      <c r="AF65" s="37"/>
      <c r="AG65" s="37"/>
      <c r="AH65" s="37"/>
      <c r="AI65" s="37"/>
      <c r="AJ65" s="37"/>
      <c r="AK65" s="37"/>
      <c r="AL65" s="37"/>
      <c r="AM65" s="63"/>
    </row>
    <row r="66" ht="15.75" customHeight="1">
      <c r="A66" s="25"/>
      <c r="B66" s="11">
        <v>46148.0</v>
      </c>
      <c r="C66" s="66" t="s">
        <v>53</v>
      </c>
      <c r="D66" s="12" t="s">
        <v>22</v>
      </c>
      <c r="E66" s="44" t="s">
        <v>43</v>
      </c>
      <c r="F66" s="44">
        <v>13.0</v>
      </c>
      <c r="G66" s="67" t="s">
        <v>24</v>
      </c>
      <c r="H66" s="44">
        <v>10.0</v>
      </c>
      <c r="I66" s="44" t="s">
        <v>64</v>
      </c>
      <c r="J66" s="4"/>
      <c r="K66" s="4">
        <f t="shared" si="1"/>
        <v>2</v>
      </c>
      <c r="L66" s="18">
        <f t="shared" si="2"/>
        <v>0</v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3"/>
      <c r="X66" s="63"/>
      <c r="Y66" s="63"/>
      <c r="Z66" s="63"/>
      <c r="AA66" s="63"/>
      <c r="AB66" s="63"/>
      <c r="AC66" s="63"/>
      <c r="AD66" s="37"/>
      <c r="AE66" s="37"/>
      <c r="AF66" s="37"/>
      <c r="AG66" s="37"/>
      <c r="AH66" s="37"/>
      <c r="AI66" s="37"/>
      <c r="AJ66" s="37"/>
      <c r="AK66" s="37"/>
      <c r="AL66" s="37"/>
      <c r="AM66" s="63"/>
    </row>
    <row r="67" ht="15.75" customHeight="1">
      <c r="A67" s="25"/>
      <c r="B67" s="11">
        <v>46148.0</v>
      </c>
      <c r="C67" s="66" t="s">
        <v>97</v>
      </c>
      <c r="D67" s="12" t="s">
        <v>22</v>
      </c>
      <c r="E67" s="44" t="s">
        <v>90</v>
      </c>
      <c r="F67" s="44">
        <v>9.0</v>
      </c>
      <c r="G67" s="67" t="s">
        <v>24</v>
      </c>
      <c r="H67" s="44">
        <v>21.0</v>
      </c>
      <c r="I67" s="44" t="s">
        <v>32</v>
      </c>
      <c r="J67" s="4"/>
      <c r="K67" s="4">
        <f t="shared" si="1"/>
        <v>0</v>
      </c>
      <c r="L67" s="18">
        <f t="shared" si="2"/>
        <v>2</v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3"/>
      <c r="X67" s="63"/>
      <c r="Y67" s="63"/>
      <c r="Z67" s="63"/>
      <c r="AA67" s="63"/>
      <c r="AB67" s="63"/>
      <c r="AC67" s="63"/>
      <c r="AD67" s="37"/>
      <c r="AE67" s="37"/>
      <c r="AF67" s="37"/>
      <c r="AG67" s="37"/>
      <c r="AH67" s="37"/>
      <c r="AI67" s="37"/>
      <c r="AJ67" s="37"/>
      <c r="AK67" s="37"/>
      <c r="AL67" s="37"/>
      <c r="AM67" s="63"/>
    </row>
    <row r="68" ht="15.75" customHeight="1">
      <c r="A68" s="29"/>
      <c r="B68" s="11">
        <v>46148.0</v>
      </c>
      <c r="C68" s="66" t="s">
        <v>98</v>
      </c>
      <c r="D68" s="12" t="s">
        <v>22</v>
      </c>
      <c r="E68" s="44" t="s">
        <v>39</v>
      </c>
      <c r="F68" s="44">
        <v>10.0</v>
      </c>
      <c r="G68" s="67" t="s">
        <v>24</v>
      </c>
      <c r="H68" s="44">
        <v>7.0</v>
      </c>
      <c r="I68" s="44" t="s">
        <v>25</v>
      </c>
      <c r="J68" s="4"/>
      <c r="K68" s="4">
        <f t="shared" si="1"/>
        <v>2</v>
      </c>
      <c r="L68" s="18">
        <f t="shared" si="2"/>
        <v>0</v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3"/>
      <c r="X68" s="63"/>
      <c r="Y68" s="63"/>
      <c r="Z68" s="63"/>
      <c r="AA68" s="63"/>
      <c r="AB68" s="63"/>
      <c r="AC68" s="63"/>
      <c r="AD68" s="37"/>
      <c r="AE68" s="37"/>
      <c r="AF68" s="37"/>
      <c r="AG68" s="37"/>
      <c r="AH68" s="37"/>
      <c r="AI68" s="37"/>
      <c r="AJ68" s="37"/>
      <c r="AK68" s="37"/>
      <c r="AL68" s="37"/>
      <c r="AM68" s="63"/>
    </row>
    <row r="69" ht="15.75" customHeight="1">
      <c r="A69" s="87"/>
      <c r="B69" s="88"/>
      <c r="C69" s="88"/>
      <c r="D69" s="88"/>
      <c r="E69" s="88"/>
      <c r="F69" s="88"/>
      <c r="G69" s="88"/>
      <c r="H69" s="63"/>
      <c r="I69" s="37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  <c r="AB69" s="63"/>
      <c r="AC69" s="63"/>
      <c r="AD69" s="37"/>
      <c r="AE69" s="37"/>
      <c r="AF69" s="37"/>
      <c r="AG69" s="37"/>
      <c r="AH69" s="37"/>
      <c r="AI69" s="37"/>
      <c r="AJ69" s="37"/>
      <c r="AK69" s="37"/>
      <c r="AL69" s="37"/>
      <c r="AM69" s="63"/>
    </row>
    <row r="70" ht="15.75" customHeight="1">
      <c r="A70" s="87"/>
      <c r="B70" s="88"/>
      <c r="C70" s="88"/>
      <c r="D70" s="88"/>
      <c r="E70" s="88"/>
      <c r="F70" s="88"/>
      <c r="G70" s="88"/>
      <c r="H70" s="63"/>
      <c r="I70" s="37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63"/>
      <c r="AB70" s="63"/>
      <c r="AC70" s="63"/>
      <c r="AD70" s="37"/>
      <c r="AE70" s="37"/>
      <c r="AF70" s="37"/>
      <c r="AG70" s="37"/>
      <c r="AH70" s="37"/>
      <c r="AI70" s="37"/>
      <c r="AJ70" s="37"/>
      <c r="AK70" s="37"/>
      <c r="AL70" s="37"/>
      <c r="AM70" s="63"/>
    </row>
    <row r="71" ht="15.75" customHeight="1">
      <c r="A71" s="87"/>
      <c r="B71" s="88"/>
      <c r="C71" s="88"/>
      <c r="D71" s="88"/>
      <c r="E71" s="88"/>
      <c r="F71" s="88"/>
      <c r="G71" s="88"/>
      <c r="H71" s="63"/>
      <c r="I71" s="37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  <c r="AC71" s="63"/>
      <c r="AD71" s="37"/>
      <c r="AE71" s="37"/>
      <c r="AF71" s="37"/>
      <c r="AG71" s="37"/>
      <c r="AH71" s="37"/>
      <c r="AI71" s="37"/>
      <c r="AJ71" s="37"/>
      <c r="AK71" s="37"/>
      <c r="AL71" s="37"/>
      <c r="AM71" s="63"/>
    </row>
    <row r="72" ht="15.75" customHeight="1">
      <c r="A72" s="62" t="s">
        <v>105</v>
      </c>
      <c r="H72" s="63"/>
      <c r="I72" s="37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63"/>
      <c r="AB72" s="63"/>
      <c r="AC72" s="63"/>
      <c r="AD72" s="37"/>
      <c r="AE72" s="37"/>
      <c r="AF72" s="37"/>
      <c r="AG72" s="37"/>
      <c r="AH72" s="37"/>
      <c r="AI72" s="37"/>
      <c r="AJ72" s="37"/>
      <c r="AK72" s="37"/>
      <c r="AL72" s="37"/>
      <c r="AM72" s="6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85</v>
      </c>
      <c r="U73" s="9" t="s">
        <v>86</v>
      </c>
      <c r="V73" s="9" t="s">
        <v>87</v>
      </c>
      <c r="W73" s="37"/>
      <c r="X73" s="37"/>
      <c r="Y73" s="37"/>
      <c r="Z73" s="37"/>
      <c r="AA73" s="37"/>
      <c r="AB73" s="37"/>
      <c r="AC73" s="37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85</v>
      </c>
      <c r="AK73" s="5" t="s">
        <v>86</v>
      </c>
      <c r="AL73" s="5" t="s">
        <v>87</v>
      </c>
      <c r="AM73" s="63"/>
    </row>
    <row r="74" ht="15.75" customHeight="1">
      <c r="A74" s="10">
        <v>1.0</v>
      </c>
      <c r="B74" s="89">
        <v>46155.0</v>
      </c>
      <c r="C74" s="39" t="s">
        <v>106</v>
      </c>
      <c r="D74" s="12" t="s">
        <v>22</v>
      </c>
      <c r="E74" s="17" t="s">
        <v>31</v>
      </c>
      <c r="F74" s="17">
        <v>6.0</v>
      </c>
      <c r="G74" s="67" t="s">
        <v>24</v>
      </c>
      <c r="H74" s="17">
        <v>5.0</v>
      </c>
      <c r="I74" s="90" t="s">
        <v>107</v>
      </c>
      <c r="J74" s="4"/>
      <c r="K74" s="4">
        <f t="shared" ref="K74:K118" si="11">IF(F74="","",IFS(F74&gt;H74,2,F74=H74,1,H74&gt;F74,0,F74="",0))</f>
        <v>2</v>
      </c>
      <c r="L74" s="18">
        <f t="shared" ref="L74:L118" si="12">IF(H74="","",IFS(F74&lt;H74,2,F74=H74,1,H74&lt;F74,0))</f>
        <v>0</v>
      </c>
      <c r="M74" s="4"/>
      <c r="N74" s="18">
        <v>1.0</v>
      </c>
      <c r="O74" s="77" t="s">
        <v>107</v>
      </c>
      <c r="P74" s="18">
        <f t="shared" ref="P74:P82" si="13">SUMIF(E$74:E$118,O74,K$74:K$118)+SUMIF(I$74:I$118,O74,L$74:L$118)</f>
        <v>12</v>
      </c>
      <c r="Q74" s="18">
        <f t="shared" ref="Q74:Q82" si="14">COUNTIFS(E$74:E$118,O74,K$74:K$118,2)+COUNTIFS(I$74:I$118,O74,L$74:L$118,2)</f>
        <v>6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2</v>
      </c>
      <c r="T74" s="18">
        <f t="shared" ref="T74:T82" si="17">SUMIF(E$74:E$118,O74,F$74:F$118)+SUMIF(I$74:I$118,O74,H$74:H$118)</f>
        <v>86</v>
      </c>
      <c r="U74" s="20">
        <f t="shared" ref="U74:U82" si="18">SUMIF(E$74:E$118,O74,H$74:H$118)+SUMIF(I$74:I$118,O74,F$74:F$118)</f>
        <v>44</v>
      </c>
      <c r="V74" s="18">
        <f t="shared" ref="V74:V82" si="19">T74-U74</f>
        <v>42</v>
      </c>
      <c r="W74" s="63"/>
      <c r="X74" s="63"/>
      <c r="Y74" s="63"/>
      <c r="Z74" s="63"/>
      <c r="AA74" s="63"/>
      <c r="AB74" s="63"/>
      <c r="AC74" s="63"/>
      <c r="AD74" s="45" t="s">
        <v>29</v>
      </c>
      <c r="AE74" s="70" t="str">
        <f t="array" ref="AE74:AM82">SORT(O74:X82,2,FALSE,9,FALSE,8,FALSE())</f>
        <v>Eng. Civil</v>
      </c>
      <c r="AF74" s="23">
        <v>14.0</v>
      </c>
      <c r="AG74" s="23">
        <v>7.0</v>
      </c>
      <c r="AH74" s="24">
        <v>0.0</v>
      </c>
      <c r="AI74" s="24">
        <v>0.0</v>
      </c>
      <c r="AJ74" s="23">
        <v>95.0</v>
      </c>
      <c r="AK74" s="24">
        <v>47.0</v>
      </c>
      <c r="AL74" s="23">
        <v>48.0</v>
      </c>
      <c r="AM74" s="63"/>
    </row>
    <row r="75" ht="15.75" customHeight="1">
      <c r="A75" s="25"/>
      <c r="B75" s="43">
        <v>45952.0</v>
      </c>
      <c r="C75" s="39" t="s">
        <v>108</v>
      </c>
      <c r="D75" s="71" t="s">
        <v>89</v>
      </c>
      <c r="E75" s="17" t="s">
        <v>109</v>
      </c>
      <c r="F75" s="17">
        <v>0.0</v>
      </c>
      <c r="G75" s="67" t="s">
        <v>24</v>
      </c>
      <c r="H75" s="17">
        <v>9.0</v>
      </c>
      <c r="I75" s="90" t="s">
        <v>110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7" t="s">
        <v>31</v>
      </c>
      <c r="P75" s="18">
        <f t="shared" si="13"/>
        <v>14</v>
      </c>
      <c r="Q75" s="18">
        <f t="shared" si="14"/>
        <v>7</v>
      </c>
      <c r="R75" s="20">
        <f t="shared" si="15"/>
        <v>0</v>
      </c>
      <c r="S75" s="20">
        <f t="shared" si="16"/>
        <v>0</v>
      </c>
      <c r="T75" s="18">
        <f t="shared" si="17"/>
        <v>95</v>
      </c>
      <c r="U75" s="20">
        <f t="shared" si="18"/>
        <v>47</v>
      </c>
      <c r="V75" s="18">
        <f t="shared" si="19"/>
        <v>48</v>
      </c>
      <c r="W75" s="63"/>
      <c r="X75" s="63"/>
      <c r="Y75" s="63"/>
      <c r="Z75" s="63"/>
      <c r="AA75" s="63"/>
      <c r="AB75" s="63"/>
      <c r="AC75" s="63"/>
      <c r="AD75" s="73" t="s">
        <v>111</v>
      </c>
      <c r="AE75" s="70" t="s">
        <v>107</v>
      </c>
      <c r="AF75" s="23">
        <v>12.0</v>
      </c>
      <c r="AG75" s="23">
        <v>6.0</v>
      </c>
      <c r="AH75" s="24">
        <v>0.0</v>
      </c>
      <c r="AI75" s="24">
        <v>2.0</v>
      </c>
      <c r="AJ75" s="23">
        <v>86.0</v>
      </c>
      <c r="AK75" s="24">
        <v>44.0</v>
      </c>
      <c r="AL75" s="23">
        <v>42.0</v>
      </c>
      <c r="AM75" s="63"/>
    </row>
    <row r="76" ht="15.75" customHeight="1">
      <c r="A76" s="25"/>
      <c r="B76" s="43">
        <v>46148.0</v>
      </c>
      <c r="C76" s="39" t="s">
        <v>98</v>
      </c>
      <c r="D76" s="12" t="s">
        <v>89</v>
      </c>
      <c r="E76" s="17" t="s">
        <v>63</v>
      </c>
      <c r="F76" s="17">
        <v>5.0</v>
      </c>
      <c r="G76" s="67" t="s">
        <v>24</v>
      </c>
      <c r="H76" s="17">
        <v>15.0</v>
      </c>
      <c r="I76" s="90" t="s">
        <v>112</v>
      </c>
      <c r="J76" s="4"/>
      <c r="K76" s="4">
        <f t="shared" si="11"/>
        <v>0</v>
      </c>
      <c r="L76" s="18">
        <f t="shared" si="12"/>
        <v>2</v>
      </c>
      <c r="M76" s="4"/>
      <c r="N76" s="18">
        <v>3.0</v>
      </c>
      <c r="O76" s="77" t="s">
        <v>109</v>
      </c>
      <c r="P76" s="18">
        <f t="shared" si="13"/>
        <v>2</v>
      </c>
      <c r="Q76" s="18">
        <f t="shared" si="14"/>
        <v>1</v>
      </c>
      <c r="R76" s="20">
        <f t="shared" si="15"/>
        <v>0</v>
      </c>
      <c r="S76" s="20">
        <f t="shared" si="16"/>
        <v>7</v>
      </c>
      <c r="T76" s="18">
        <f t="shared" si="17"/>
        <v>33</v>
      </c>
      <c r="U76" s="20">
        <f t="shared" si="18"/>
        <v>104</v>
      </c>
      <c r="V76" s="18">
        <f t="shared" si="19"/>
        <v>-71</v>
      </c>
      <c r="W76" s="63"/>
      <c r="X76" s="63"/>
      <c r="Y76" s="63"/>
      <c r="Z76" s="63"/>
      <c r="AA76" s="63"/>
      <c r="AB76" s="63"/>
      <c r="AC76" s="63"/>
      <c r="AD76" s="22">
        <v>3.0</v>
      </c>
      <c r="AE76" s="70" t="s">
        <v>113</v>
      </c>
      <c r="AF76" s="23">
        <v>10.0</v>
      </c>
      <c r="AG76" s="23">
        <v>5.0</v>
      </c>
      <c r="AH76" s="24">
        <v>0.0</v>
      </c>
      <c r="AI76" s="24">
        <v>2.0</v>
      </c>
      <c r="AJ76" s="23">
        <v>86.0</v>
      </c>
      <c r="AK76" s="24">
        <v>51.0</v>
      </c>
      <c r="AL76" s="23">
        <v>35.0</v>
      </c>
      <c r="AM76" s="63"/>
    </row>
    <row r="77" ht="15.75" customHeight="1">
      <c r="A77" s="25"/>
      <c r="B77" s="43">
        <v>45952.0</v>
      </c>
      <c r="C77" s="12" t="s">
        <v>99</v>
      </c>
      <c r="D77" s="71" t="s">
        <v>89</v>
      </c>
      <c r="E77" s="17" t="s">
        <v>114</v>
      </c>
      <c r="F77" s="17">
        <v>7.0</v>
      </c>
      <c r="G77" s="67" t="s">
        <v>24</v>
      </c>
      <c r="H77" s="17">
        <v>10.0</v>
      </c>
      <c r="I77" s="90" t="s">
        <v>113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7" t="s">
        <v>63</v>
      </c>
      <c r="P77" s="18">
        <f t="shared" si="13"/>
        <v>4</v>
      </c>
      <c r="Q77" s="18">
        <f t="shared" si="14"/>
        <v>2</v>
      </c>
      <c r="R77" s="20">
        <f t="shared" si="15"/>
        <v>0</v>
      </c>
      <c r="S77" s="20">
        <f t="shared" si="16"/>
        <v>5</v>
      </c>
      <c r="T77" s="18">
        <f t="shared" si="17"/>
        <v>44</v>
      </c>
      <c r="U77" s="20">
        <f t="shared" si="18"/>
        <v>86</v>
      </c>
      <c r="V77" s="18">
        <f t="shared" si="19"/>
        <v>-42</v>
      </c>
      <c r="W77" s="63"/>
      <c r="X77" s="63"/>
      <c r="Y77" s="63"/>
      <c r="Z77" s="63"/>
      <c r="AA77" s="63"/>
      <c r="AB77" s="63"/>
      <c r="AC77" s="63"/>
      <c r="AD77" s="22">
        <v>4.0</v>
      </c>
      <c r="AE77" s="70" t="s">
        <v>110</v>
      </c>
      <c r="AF77" s="23">
        <v>6.0</v>
      </c>
      <c r="AG77" s="23">
        <v>3.0</v>
      </c>
      <c r="AH77" s="24">
        <v>0.0</v>
      </c>
      <c r="AI77" s="24">
        <v>3.0</v>
      </c>
      <c r="AJ77" s="23">
        <v>59.0</v>
      </c>
      <c r="AK77" s="24">
        <v>52.0</v>
      </c>
      <c r="AL77" s="23">
        <v>7.0</v>
      </c>
      <c r="AM77" s="63"/>
    </row>
    <row r="78" ht="15.75" customHeight="1">
      <c r="A78" s="29"/>
      <c r="B78" s="91"/>
      <c r="C78" s="67"/>
      <c r="D78" s="67"/>
      <c r="E78" s="17" t="s">
        <v>59</v>
      </c>
      <c r="F78" s="92"/>
      <c r="G78" s="67" t="s">
        <v>24</v>
      </c>
      <c r="H78" s="92"/>
      <c r="I78" s="90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7" t="s">
        <v>114</v>
      </c>
      <c r="P78" s="18">
        <f t="shared" si="13"/>
        <v>6</v>
      </c>
      <c r="Q78" s="18">
        <f t="shared" si="14"/>
        <v>3</v>
      </c>
      <c r="R78" s="20">
        <f t="shared" si="15"/>
        <v>0</v>
      </c>
      <c r="S78" s="20">
        <f t="shared" si="16"/>
        <v>4</v>
      </c>
      <c r="T78" s="18">
        <f t="shared" si="17"/>
        <v>77</v>
      </c>
      <c r="U78" s="20">
        <f t="shared" si="18"/>
        <v>81</v>
      </c>
      <c r="V78" s="18">
        <f t="shared" si="19"/>
        <v>-4</v>
      </c>
      <c r="W78" s="63"/>
      <c r="X78" s="63"/>
      <c r="Y78" s="63"/>
      <c r="Z78" s="63"/>
      <c r="AA78" s="63"/>
      <c r="AB78" s="63"/>
      <c r="AC78" s="63"/>
      <c r="AD78" s="22">
        <v>5.0</v>
      </c>
      <c r="AE78" s="70" t="s">
        <v>112</v>
      </c>
      <c r="AF78" s="23">
        <v>6.0</v>
      </c>
      <c r="AG78" s="23">
        <v>3.0</v>
      </c>
      <c r="AH78" s="24">
        <v>0.0</v>
      </c>
      <c r="AI78" s="24">
        <v>4.0</v>
      </c>
      <c r="AJ78" s="23">
        <v>78.0</v>
      </c>
      <c r="AK78" s="24">
        <v>73.0</v>
      </c>
      <c r="AL78" s="23">
        <v>5.0</v>
      </c>
      <c r="AM78" s="63"/>
    </row>
    <row r="79" ht="15.75" customHeight="1">
      <c r="A79" s="10">
        <v>2.0</v>
      </c>
      <c r="B79" s="43">
        <v>45952.0</v>
      </c>
      <c r="C79" s="39" t="s">
        <v>51</v>
      </c>
      <c r="D79" s="71" t="s">
        <v>89</v>
      </c>
      <c r="E79" s="17" t="s">
        <v>107</v>
      </c>
      <c r="F79" s="17">
        <v>7.0</v>
      </c>
      <c r="G79" s="67" t="s">
        <v>24</v>
      </c>
      <c r="H79" s="17">
        <v>2.0</v>
      </c>
      <c r="I79" s="90" t="s">
        <v>109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7" t="s">
        <v>59</v>
      </c>
      <c r="P79" s="18">
        <f t="shared" si="13"/>
        <v>2</v>
      </c>
      <c r="Q79" s="18">
        <f t="shared" si="14"/>
        <v>1</v>
      </c>
      <c r="R79" s="20">
        <f t="shared" si="15"/>
        <v>0</v>
      </c>
      <c r="S79" s="20">
        <f t="shared" si="16"/>
        <v>5</v>
      </c>
      <c r="T79" s="18">
        <f t="shared" si="17"/>
        <v>39</v>
      </c>
      <c r="U79" s="20">
        <f t="shared" si="18"/>
        <v>60</v>
      </c>
      <c r="V79" s="18">
        <f t="shared" si="19"/>
        <v>-21</v>
      </c>
      <c r="W79" s="63"/>
      <c r="X79" s="63"/>
      <c r="Y79" s="63"/>
      <c r="Z79" s="63"/>
      <c r="AA79" s="63"/>
      <c r="AB79" s="63"/>
      <c r="AC79" s="63"/>
      <c r="AD79" s="22">
        <v>6.0</v>
      </c>
      <c r="AE79" s="70" t="s">
        <v>114</v>
      </c>
      <c r="AF79" s="23">
        <v>6.0</v>
      </c>
      <c r="AG79" s="23">
        <v>3.0</v>
      </c>
      <c r="AH79" s="24">
        <v>0.0</v>
      </c>
      <c r="AI79" s="24">
        <v>4.0</v>
      </c>
      <c r="AJ79" s="23">
        <v>77.0</v>
      </c>
      <c r="AK79" s="24">
        <v>81.0</v>
      </c>
      <c r="AL79" s="23">
        <v>-4.0</v>
      </c>
      <c r="AM79" s="63"/>
    </row>
    <row r="80" ht="15.75" customHeight="1">
      <c r="A80" s="25"/>
      <c r="B80" s="93"/>
      <c r="C80" s="94"/>
      <c r="D80" s="94"/>
      <c r="E80" s="17">
        <v>0.0</v>
      </c>
      <c r="F80" s="92"/>
      <c r="G80" s="67" t="s">
        <v>24</v>
      </c>
      <c r="H80" s="92"/>
      <c r="I80" s="90" t="s">
        <v>31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7" t="s">
        <v>113</v>
      </c>
      <c r="P80" s="18">
        <f t="shared" si="13"/>
        <v>10</v>
      </c>
      <c r="Q80" s="18">
        <f t="shared" si="14"/>
        <v>5</v>
      </c>
      <c r="R80" s="20">
        <f t="shared" si="15"/>
        <v>0</v>
      </c>
      <c r="S80" s="20">
        <f t="shared" si="16"/>
        <v>2</v>
      </c>
      <c r="T80" s="18">
        <f t="shared" si="17"/>
        <v>86</v>
      </c>
      <c r="U80" s="20">
        <f t="shared" si="18"/>
        <v>51</v>
      </c>
      <c r="V80" s="18">
        <f t="shared" si="19"/>
        <v>35</v>
      </c>
      <c r="W80" s="63"/>
      <c r="X80" s="63"/>
      <c r="Y80" s="63"/>
      <c r="Z80" s="63"/>
      <c r="AA80" s="63"/>
      <c r="AB80" s="63"/>
      <c r="AC80" s="63"/>
      <c r="AD80" s="22">
        <v>7.0</v>
      </c>
      <c r="AE80" s="70" t="s">
        <v>63</v>
      </c>
      <c r="AF80" s="23">
        <v>4.0</v>
      </c>
      <c r="AG80" s="23">
        <v>2.0</v>
      </c>
      <c r="AH80" s="24">
        <v>0.0</v>
      </c>
      <c r="AI80" s="24">
        <v>5.0</v>
      </c>
      <c r="AJ80" s="23">
        <v>44.0</v>
      </c>
      <c r="AK80" s="24">
        <v>86.0</v>
      </c>
      <c r="AL80" s="23">
        <v>-42.0</v>
      </c>
      <c r="AM80" s="63"/>
    </row>
    <row r="81" ht="15.75" customHeight="1">
      <c r="A81" s="25"/>
      <c r="B81" s="43">
        <v>45952.0</v>
      </c>
      <c r="C81" s="39" t="s">
        <v>102</v>
      </c>
      <c r="D81" s="71" t="s">
        <v>89</v>
      </c>
      <c r="E81" s="90" t="s">
        <v>110</v>
      </c>
      <c r="F81" s="17">
        <v>16.0</v>
      </c>
      <c r="G81" s="67" t="s">
        <v>24</v>
      </c>
      <c r="H81" s="17">
        <v>5.0</v>
      </c>
      <c r="I81" s="90" t="s">
        <v>63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7" t="s">
        <v>112</v>
      </c>
      <c r="P81" s="18">
        <f t="shared" si="13"/>
        <v>6</v>
      </c>
      <c r="Q81" s="18">
        <f t="shared" si="14"/>
        <v>3</v>
      </c>
      <c r="R81" s="20">
        <f t="shared" si="15"/>
        <v>0</v>
      </c>
      <c r="S81" s="20">
        <f t="shared" si="16"/>
        <v>4</v>
      </c>
      <c r="T81" s="18">
        <f t="shared" si="17"/>
        <v>78</v>
      </c>
      <c r="U81" s="20">
        <f t="shared" si="18"/>
        <v>73</v>
      </c>
      <c r="V81" s="18">
        <f t="shared" si="19"/>
        <v>5</v>
      </c>
      <c r="W81" s="63"/>
      <c r="X81" s="63"/>
      <c r="Y81" s="63"/>
      <c r="Z81" s="63"/>
      <c r="AA81" s="63"/>
      <c r="AB81" s="63"/>
      <c r="AC81" s="63"/>
      <c r="AD81" s="22">
        <v>8.0</v>
      </c>
      <c r="AE81" s="70" t="s">
        <v>59</v>
      </c>
      <c r="AF81" s="23">
        <v>2.0</v>
      </c>
      <c r="AG81" s="23">
        <v>1.0</v>
      </c>
      <c r="AH81" s="24">
        <v>0.0</v>
      </c>
      <c r="AI81" s="24">
        <v>5.0</v>
      </c>
      <c r="AJ81" s="23">
        <v>39.0</v>
      </c>
      <c r="AK81" s="24">
        <v>60.0</v>
      </c>
      <c r="AL81" s="23">
        <v>-21.0</v>
      </c>
      <c r="AM81" s="63"/>
    </row>
    <row r="82" ht="15.75" customHeight="1">
      <c r="A82" s="25"/>
      <c r="B82" s="11">
        <v>45952.0</v>
      </c>
      <c r="C82" s="39" t="s">
        <v>92</v>
      </c>
      <c r="D82" s="71" t="s">
        <v>89</v>
      </c>
      <c r="E82" s="17" t="s">
        <v>112</v>
      </c>
      <c r="F82" s="17">
        <v>16.0</v>
      </c>
      <c r="G82" s="67" t="s">
        <v>24</v>
      </c>
      <c r="H82" s="17">
        <v>14.0</v>
      </c>
      <c r="I82" s="90" t="s">
        <v>114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7" t="s">
        <v>110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3</v>
      </c>
      <c r="T82" s="18">
        <f t="shared" si="17"/>
        <v>59</v>
      </c>
      <c r="U82" s="20">
        <f t="shared" si="18"/>
        <v>52</v>
      </c>
      <c r="V82" s="18">
        <f t="shared" si="19"/>
        <v>7</v>
      </c>
      <c r="W82" s="63"/>
      <c r="X82" s="63"/>
      <c r="Y82" s="63"/>
      <c r="Z82" s="63"/>
      <c r="AA82" s="63"/>
      <c r="AB82" s="63"/>
      <c r="AC82" s="63"/>
      <c r="AD82" s="22">
        <v>9.0</v>
      </c>
      <c r="AE82" s="28" t="s">
        <v>109</v>
      </c>
      <c r="AF82" s="23">
        <v>2.0</v>
      </c>
      <c r="AG82" s="23">
        <v>1.0</v>
      </c>
      <c r="AH82" s="23">
        <v>0.0</v>
      </c>
      <c r="AI82" s="23">
        <v>7.0</v>
      </c>
      <c r="AJ82" s="23">
        <v>33.0</v>
      </c>
      <c r="AK82" s="23">
        <v>104.0</v>
      </c>
      <c r="AL82" s="23">
        <v>-71.0</v>
      </c>
      <c r="AM82" s="63"/>
    </row>
    <row r="83" ht="15.75" customHeight="1">
      <c r="A83" s="29"/>
      <c r="B83" s="11">
        <v>45952.0</v>
      </c>
      <c r="C83" s="12" t="s">
        <v>55</v>
      </c>
      <c r="D83" s="71" t="s">
        <v>89</v>
      </c>
      <c r="E83" s="17" t="s">
        <v>113</v>
      </c>
      <c r="F83" s="17">
        <v>6.0</v>
      </c>
      <c r="G83" s="67" t="s">
        <v>24</v>
      </c>
      <c r="H83" s="17">
        <v>8.0</v>
      </c>
      <c r="I83" s="90" t="s">
        <v>59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3"/>
      <c r="X83" s="63"/>
      <c r="Y83" s="63"/>
      <c r="Z83" s="63"/>
      <c r="AA83" s="63"/>
      <c r="AB83" s="63"/>
      <c r="AC83" s="63"/>
      <c r="AD83" s="35" t="s">
        <v>115</v>
      </c>
      <c r="AG83" s="95"/>
      <c r="AH83" s="95"/>
      <c r="AI83" s="95"/>
      <c r="AJ83" s="95"/>
      <c r="AK83" s="95"/>
      <c r="AL83" s="95"/>
      <c r="AM83" s="63"/>
    </row>
    <row r="84" ht="15.75" customHeight="1">
      <c r="A84" s="10">
        <v>3.0</v>
      </c>
      <c r="B84" s="11">
        <v>46008.0</v>
      </c>
      <c r="C84" s="39" t="s">
        <v>52</v>
      </c>
      <c r="D84" s="71" t="s">
        <v>89</v>
      </c>
      <c r="E84" s="17" t="s">
        <v>63</v>
      </c>
      <c r="F84" s="17">
        <v>4.0</v>
      </c>
      <c r="G84" s="67" t="s">
        <v>24</v>
      </c>
      <c r="H84" s="17">
        <v>15.0</v>
      </c>
      <c r="I84" s="90" t="s">
        <v>107</v>
      </c>
      <c r="J84" s="4"/>
      <c r="K84" s="4">
        <f t="shared" si="11"/>
        <v>0</v>
      </c>
      <c r="L84" s="18">
        <f t="shared" si="12"/>
        <v>2</v>
      </c>
      <c r="M84" s="4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  <c r="AB84" s="63"/>
      <c r="AC84" s="63"/>
      <c r="AD84" s="79" t="s">
        <v>101</v>
      </c>
      <c r="AG84" s="63"/>
      <c r="AH84" s="63"/>
      <c r="AI84" s="37"/>
      <c r="AJ84" s="37"/>
      <c r="AK84" s="37"/>
      <c r="AL84" s="37"/>
      <c r="AM84" s="63"/>
    </row>
    <row r="85" ht="15.75" customHeight="1">
      <c r="A85" s="25"/>
      <c r="B85" s="11">
        <v>46008.0</v>
      </c>
      <c r="C85" s="39" t="s">
        <v>94</v>
      </c>
      <c r="D85" s="71" t="s">
        <v>89</v>
      </c>
      <c r="E85" s="17" t="s">
        <v>109</v>
      </c>
      <c r="F85" s="17">
        <v>2.0</v>
      </c>
      <c r="G85" s="67" t="s">
        <v>24</v>
      </c>
      <c r="H85" s="17">
        <v>21.0</v>
      </c>
      <c r="I85" s="90" t="s">
        <v>31</v>
      </c>
      <c r="J85" s="4"/>
      <c r="K85" s="4">
        <f t="shared" si="11"/>
        <v>0</v>
      </c>
      <c r="L85" s="18">
        <f t="shared" si="12"/>
        <v>2</v>
      </c>
      <c r="M85" s="4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37"/>
      <c r="AJ85" s="37"/>
      <c r="AK85" s="37"/>
      <c r="AL85" s="37"/>
      <c r="AM85" s="63"/>
    </row>
    <row r="86" ht="15.75" customHeight="1">
      <c r="A86" s="25"/>
      <c r="B86" s="11">
        <v>46008.0</v>
      </c>
      <c r="C86" s="39" t="s">
        <v>53</v>
      </c>
      <c r="D86" s="71" t="s">
        <v>89</v>
      </c>
      <c r="E86" s="17" t="s">
        <v>114</v>
      </c>
      <c r="F86" s="17">
        <v>9.0</v>
      </c>
      <c r="G86" s="67" t="s">
        <v>24</v>
      </c>
      <c r="H86" s="17">
        <v>7.0</v>
      </c>
      <c r="I86" s="90" t="s">
        <v>110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3"/>
      <c r="X86" s="63"/>
      <c r="Y86" s="63"/>
      <c r="Z86" s="63"/>
      <c r="AA86" s="63"/>
      <c r="AB86" s="63"/>
      <c r="AC86" s="63"/>
      <c r="AD86" s="4"/>
      <c r="AG86" s="37"/>
      <c r="AI86" s="37"/>
      <c r="AJ86" s="37"/>
      <c r="AK86" s="37"/>
      <c r="AL86" s="37"/>
      <c r="AM86" s="63"/>
    </row>
    <row r="87" ht="15.75" customHeight="1">
      <c r="A87" s="25"/>
      <c r="B87" s="11">
        <v>46008.0</v>
      </c>
      <c r="C87" s="39" t="s">
        <v>95</v>
      </c>
      <c r="D87" s="71" t="s">
        <v>89</v>
      </c>
      <c r="E87" s="17" t="s">
        <v>59</v>
      </c>
      <c r="F87" s="17">
        <v>7.0</v>
      </c>
      <c r="G87" s="67" t="s">
        <v>24</v>
      </c>
      <c r="H87" s="17">
        <v>8.0</v>
      </c>
      <c r="I87" s="90" t="s">
        <v>112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3"/>
      <c r="X87" s="63"/>
      <c r="Y87" s="63"/>
      <c r="Z87" s="63"/>
      <c r="AA87" s="63"/>
      <c r="AB87" s="63"/>
      <c r="AC87" s="63"/>
      <c r="AI87" s="37"/>
      <c r="AJ87" s="37"/>
      <c r="AK87" s="37"/>
      <c r="AL87" s="37"/>
      <c r="AM87" s="63"/>
    </row>
    <row r="88" ht="15.75" customHeight="1">
      <c r="A88" s="29"/>
      <c r="B88" s="96"/>
      <c r="C88" s="67"/>
      <c r="D88" s="67"/>
      <c r="E88" s="17">
        <v>0.0</v>
      </c>
      <c r="F88" s="92"/>
      <c r="G88" s="67" t="s">
        <v>24</v>
      </c>
      <c r="H88" s="92"/>
      <c r="I88" s="90" t="s">
        <v>113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3"/>
      <c r="X88" s="63"/>
      <c r="Y88" s="63"/>
      <c r="Z88" s="63"/>
      <c r="AA88" s="63"/>
      <c r="AB88" s="63"/>
      <c r="AC88" s="63"/>
      <c r="AI88" s="37"/>
      <c r="AJ88" s="37"/>
      <c r="AK88" s="37"/>
      <c r="AL88" s="37"/>
      <c r="AM88" s="63"/>
    </row>
    <row r="89" ht="15.75" customHeight="1">
      <c r="A89" s="10">
        <v>4.0</v>
      </c>
      <c r="B89" s="11">
        <v>46071.0</v>
      </c>
      <c r="C89" s="66" t="s">
        <v>88</v>
      </c>
      <c r="D89" s="12" t="s">
        <v>89</v>
      </c>
      <c r="E89" s="17" t="s">
        <v>107</v>
      </c>
      <c r="F89" s="17">
        <v>21.0</v>
      </c>
      <c r="G89" s="67" t="s">
        <v>24</v>
      </c>
      <c r="H89" s="17">
        <v>0.0</v>
      </c>
      <c r="I89" s="90" t="s">
        <v>114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3"/>
      <c r="R89" s="4"/>
      <c r="S89" s="4"/>
      <c r="T89" s="4"/>
      <c r="U89" s="4"/>
      <c r="V89" s="4"/>
      <c r="W89" s="63"/>
      <c r="X89" s="63"/>
      <c r="Y89" s="63"/>
      <c r="Z89" s="63"/>
      <c r="AA89" s="63"/>
      <c r="AB89" s="63"/>
      <c r="AC89" s="63"/>
      <c r="AI89" s="37"/>
      <c r="AJ89" s="37"/>
      <c r="AK89" s="37"/>
      <c r="AL89" s="37"/>
      <c r="AM89" s="63"/>
    </row>
    <row r="90" ht="15.75" customHeight="1">
      <c r="A90" s="25"/>
      <c r="B90" s="11">
        <v>46071.0</v>
      </c>
      <c r="C90" s="39" t="s">
        <v>91</v>
      </c>
      <c r="D90" s="12" t="s">
        <v>89</v>
      </c>
      <c r="E90" s="17" t="s">
        <v>31</v>
      </c>
      <c r="F90" s="17">
        <v>10.0</v>
      </c>
      <c r="G90" s="67" t="s">
        <v>24</v>
      </c>
      <c r="H90" s="17">
        <v>0.0</v>
      </c>
      <c r="I90" s="90" t="s">
        <v>63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3"/>
      <c r="X90" s="63"/>
      <c r="Y90" s="63"/>
      <c r="Z90" s="63"/>
      <c r="AA90" s="63"/>
      <c r="AB90" s="63"/>
      <c r="AC90" s="63"/>
      <c r="AI90" s="37"/>
      <c r="AJ90" s="37"/>
      <c r="AK90" s="37"/>
      <c r="AL90" s="37"/>
      <c r="AM90" s="63"/>
    </row>
    <row r="91" ht="15.75" customHeight="1">
      <c r="A91" s="25"/>
      <c r="B91" s="97"/>
      <c r="C91" s="94"/>
      <c r="D91" s="94"/>
      <c r="E91" s="17" t="s">
        <v>109</v>
      </c>
      <c r="F91" s="17">
        <v>12.0</v>
      </c>
      <c r="G91" s="67" t="s">
        <v>24</v>
      </c>
      <c r="H91" s="17">
        <v>13.0</v>
      </c>
      <c r="I91" s="90">
        <v>0.0</v>
      </c>
      <c r="J91" s="4"/>
      <c r="K91" s="4">
        <f t="shared" si="11"/>
        <v>0</v>
      </c>
      <c r="L91" s="18">
        <f t="shared" si="12"/>
        <v>2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3"/>
      <c r="X91" s="63"/>
      <c r="Y91" s="63"/>
      <c r="Z91" s="63"/>
      <c r="AA91" s="63"/>
      <c r="AB91" s="63"/>
      <c r="AC91" s="63"/>
      <c r="AI91" s="37"/>
      <c r="AJ91" s="37"/>
      <c r="AK91" s="37"/>
      <c r="AL91" s="37"/>
      <c r="AM91" s="63"/>
    </row>
    <row r="92" ht="15.75" customHeight="1">
      <c r="A92" s="25"/>
      <c r="B92" s="11">
        <v>46071.0</v>
      </c>
      <c r="C92" s="39" t="s">
        <v>52</v>
      </c>
      <c r="D92" s="12" t="s">
        <v>89</v>
      </c>
      <c r="E92" s="90" t="s">
        <v>110</v>
      </c>
      <c r="F92" s="92"/>
      <c r="G92" s="67" t="s">
        <v>24</v>
      </c>
      <c r="H92" s="92"/>
      <c r="I92" s="90" t="s">
        <v>59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3"/>
      <c r="X92" s="63"/>
      <c r="Y92" s="63"/>
      <c r="Z92" s="63"/>
      <c r="AA92" s="63"/>
      <c r="AB92" s="63"/>
      <c r="AC92" s="63"/>
      <c r="AI92" s="37"/>
      <c r="AJ92" s="37"/>
      <c r="AK92" s="37"/>
      <c r="AL92" s="37"/>
      <c r="AM92" s="63"/>
    </row>
    <row r="93" ht="15.75" customHeight="1">
      <c r="A93" s="29"/>
      <c r="B93" s="11">
        <v>46071.0</v>
      </c>
      <c r="C93" s="39" t="s">
        <v>94</v>
      </c>
      <c r="D93" s="12" t="s">
        <v>89</v>
      </c>
      <c r="E93" s="17" t="s">
        <v>112</v>
      </c>
      <c r="F93" s="17">
        <v>8.0</v>
      </c>
      <c r="G93" s="67" t="s">
        <v>24</v>
      </c>
      <c r="H93" s="17">
        <v>12.0</v>
      </c>
      <c r="I93" s="90" t="s">
        <v>113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3"/>
      <c r="X93" s="63"/>
      <c r="Y93" s="63"/>
      <c r="Z93" s="63"/>
      <c r="AA93" s="63"/>
      <c r="AB93" s="63"/>
      <c r="AC93" s="63"/>
      <c r="AI93" s="37"/>
      <c r="AJ93" s="37"/>
      <c r="AK93" s="37"/>
      <c r="AL93" s="37"/>
      <c r="AM93" s="63"/>
    </row>
    <row r="94" ht="15.75" customHeight="1">
      <c r="A94" s="10">
        <v>5.0</v>
      </c>
      <c r="B94" s="11">
        <v>46071.0</v>
      </c>
      <c r="C94" s="39" t="s">
        <v>95</v>
      </c>
      <c r="D94" s="12" t="s">
        <v>89</v>
      </c>
      <c r="E94" s="17" t="s">
        <v>59</v>
      </c>
      <c r="F94" s="17">
        <v>7.0</v>
      </c>
      <c r="G94" s="67" t="s">
        <v>24</v>
      </c>
      <c r="H94" s="17">
        <v>9.0</v>
      </c>
      <c r="I94" s="90" t="s">
        <v>107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3"/>
      <c r="X94" s="63"/>
      <c r="Y94" s="63"/>
      <c r="Z94" s="63"/>
      <c r="AA94" s="63"/>
      <c r="AB94" s="63"/>
      <c r="AC94" s="63"/>
      <c r="AD94" s="37"/>
      <c r="AE94" s="37"/>
      <c r="AF94" s="37"/>
      <c r="AG94" s="37"/>
      <c r="AH94" s="37"/>
      <c r="AI94" s="37"/>
      <c r="AJ94" s="37"/>
      <c r="AK94" s="37"/>
      <c r="AL94" s="37"/>
      <c r="AM94" s="63"/>
    </row>
    <row r="95" ht="15.75" customHeight="1">
      <c r="A95" s="25"/>
      <c r="B95" s="11">
        <v>46071.0</v>
      </c>
      <c r="C95" s="39" t="s">
        <v>53</v>
      </c>
      <c r="D95" s="12" t="s">
        <v>89</v>
      </c>
      <c r="E95" s="17" t="s">
        <v>114</v>
      </c>
      <c r="F95" s="17">
        <v>11.0</v>
      </c>
      <c r="G95" s="67" t="s">
        <v>24</v>
      </c>
      <c r="H95" s="17">
        <v>16.0</v>
      </c>
      <c r="I95" s="90" t="s">
        <v>31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3"/>
      <c r="X95" s="63"/>
      <c r="Y95" s="63"/>
      <c r="Z95" s="63"/>
      <c r="AA95" s="63"/>
      <c r="AB95" s="63"/>
      <c r="AC95" s="63"/>
      <c r="AD95" s="37"/>
      <c r="AE95" s="37"/>
      <c r="AF95" s="37"/>
      <c r="AG95" s="37"/>
      <c r="AH95" s="37"/>
      <c r="AI95" s="37"/>
      <c r="AJ95" s="37"/>
      <c r="AK95" s="37"/>
      <c r="AL95" s="37"/>
      <c r="AM95" s="63"/>
    </row>
    <row r="96" ht="15.75" customHeight="1">
      <c r="A96" s="25"/>
      <c r="B96" s="11">
        <v>46071.0</v>
      </c>
      <c r="C96" s="39" t="s">
        <v>97</v>
      </c>
      <c r="D96" s="12" t="s">
        <v>89</v>
      </c>
      <c r="E96" s="17" t="s">
        <v>63</v>
      </c>
      <c r="F96" s="17">
        <v>11.0</v>
      </c>
      <c r="G96" s="67" t="s">
        <v>24</v>
      </c>
      <c r="H96" s="17">
        <v>4.0</v>
      </c>
      <c r="I96" s="90" t="s">
        <v>109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3"/>
      <c r="X96" s="63"/>
      <c r="Y96" s="63"/>
      <c r="Z96" s="63"/>
      <c r="AA96" s="63"/>
      <c r="AB96" s="63"/>
      <c r="AC96" s="63"/>
      <c r="AD96" s="37"/>
      <c r="AE96" s="37"/>
      <c r="AF96" s="37"/>
      <c r="AG96" s="37"/>
      <c r="AH96" s="37"/>
      <c r="AI96" s="37"/>
      <c r="AJ96" s="37"/>
      <c r="AK96" s="37"/>
      <c r="AL96" s="37"/>
      <c r="AM96" s="63"/>
    </row>
    <row r="97" ht="15.75" customHeight="1">
      <c r="A97" s="25"/>
      <c r="B97" s="11">
        <v>46071.0</v>
      </c>
      <c r="C97" s="39" t="s">
        <v>98</v>
      </c>
      <c r="D97" s="12" t="s">
        <v>89</v>
      </c>
      <c r="E97" s="17" t="s">
        <v>113</v>
      </c>
      <c r="F97" s="17">
        <v>15.0</v>
      </c>
      <c r="G97" s="67" t="s">
        <v>24</v>
      </c>
      <c r="H97" s="17">
        <v>9.0</v>
      </c>
      <c r="I97" s="90" t="s">
        <v>110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3"/>
      <c r="X97" s="63"/>
      <c r="Y97" s="63"/>
      <c r="Z97" s="63"/>
      <c r="AA97" s="63"/>
      <c r="AB97" s="63"/>
      <c r="AC97" s="63"/>
      <c r="AD97" s="37"/>
      <c r="AE97" s="37"/>
      <c r="AF97" s="37"/>
      <c r="AG97" s="37"/>
      <c r="AH97" s="37"/>
      <c r="AI97" s="37"/>
      <c r="AJ97" s="37"/>
      <c r="AK97" s="37"/>
      <c r="AL97" s="37"/>
      <c r="AM97" s="63"/>
    </row>
    <row r="98" ht="15.75" customHeight="1">
      <c r="A98" s="29"/>
      <c r="B98" s="96"/>
      <c r="C98" s="67"/>
      <c r="D98" s="92"/>
      <c r="E98" s="17">
        <v>0.0</v>
      </c>
      <c r="F98" s="92"/>
      <c r="G98" s="67" t="s">
        <v>24</v>
      </c>
      <c r="H98" s="92"/>
      <c r="I98" s="90" t="s">
        <v>112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3"/>
      <c r="X98" s="63"/>
      <c r="Y98" s="63"/>
      <c r="Z98" s="63"/>
      <c r="AA98" s="63"/>
      <c r="AB98" s="63"/>
      <c r="AC98" s="63"/>
      <c r="AD98" s="37"/>
      <c r="AE98" s="37"/>
      <c r="AF98" s="37"/>
      <c r="AG98" s="37"/>
      <c r="AH98" s="37"/>
      <c r="AI98" s="37"/>
      <c r="AJ98" s="37"/>
      <c r="AK98" s="37"/>
      <c r="AL98" s="37"/>
      <c r="AM98" s="63"/>
    </row>
    <row r="99" ht="15.75" customHeight="1">
      <c r="A99" s="10">
        <v>6.0</v>
      </c>
      <c r="B99" s="11">
        <v>46148.0</v>
      </c>
      <c r="C99" s="39" t="s">
        <v>97</v>
      </c>
      <c r="D99" s="12" t="s">
        <v>89</v>
      </c>
      <c r="E99" s="17" t="s">
        <v>107</v>
      </c>
      <c r="F99" s="17">
        <v>6.0</v>
      </c>
      <c r="G99" s="67" t="s">
        <v>24</v>
      </c>
      <c r="H99" s="17">
        <v>10.0</v>
      </c>
      <c r="I99" s="90" t="s">
        <v>113</v>
      </c>
      <c r="J99" s="4"/>
      <c r="K99" s="4">
        <f t="shared" si="11"/>
        <v>0</v>
      </c>
      <c r="L99" s="18">
        <f t="shared" si="12"/>
        <v>2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3"/>
      <c r="X99" s="63"/>
      <c r="Y99" s="63"/>
      <c r="Z99" s="63"/>
      <c r="AA99" s="63"/>
      <c r="AB99" s="63"/>
      <c r="AC99" s="63"/>
      <c r="AD99" s="37"/>
      <c r="AE99" s="37"/>
      <c r="AF99" s="37"/>
      <c r="AG99" s="37"/>
      <c r="AH99" s="37"/>
      <c r="AI99" s="37"/>
      <c r="AJ99" s="37"/>
      <c r="AK99" s="37"/>
      <c r="AL99" s="37"/>
      <c r="AM99" s="63"/>
    </row>
    <row r="100" ht="15.75" customHeight="1">
      <c r="A100" s="25"/>
      <c r="B100" s="11">
        <v>46085.0</v>
      </c>
      <c r="C100" s="39" t="s">
        <v>102</v>
      </c>
      <c r="D100" s="39" t="s">
        <v>22</v>
      </c>
      <c r="E100" s="17" t="s">
        <v>31</v>
      </c>
      <c r="F100" s="17">
        <v>16.0</v>
      </c>
      <c r="G100" s="67" t="s">
        <v>24</v>
      </c>
      <c r="H100" s="17">
        <v>5.0</v>
      </c>
      <c r="I100" s="90" t="s">
        <v>59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3"/>
      <c r="X100" s="63"/>
      <c r="Y100" s="63"/>
      <c r="Z100" s="63"/>
      <c r="AA100" s="63"/>
      <c r="AB100" s="63"/>
      <c r="AC100" s="63"/>
      <c r="AD100" s="37"/>
      <c r="AE100" s="37"/>
      <c r="AF100" s="37"/>
      <c r="AG100" s="37"/>
      <c r="AH100" s="37"/>
      <c r="AI100" s="37"/>
      <c r="AJ100" s="37"/>
      <c r="AK100" s="37"/>
      <c r="AL100" s="37"/>
      <c r="AM100" s="63"/>
    </row>
    <row r="101" ht="15.75" customHeight="1">
      <c r="A101" s="25"/>
      <c r="B101" s="11">
        <v>46085.0</v>
      </c>
      <c r="C101" s="66" t="s">
        <v>92</v>
      </c>
      <c r="D101" s="39" t="s">
        <v>22</v>
      </c>
      <c r="E101" s="17" t="s">
        <v>109</v>
      </c>
      <c r="F101" s="17">
        <v>5.0</v>
      </c>
      <c r="G101" s="67" t="s">
        <v>24</v>
      </c>
      <c r="H101" s="17">
        <v>16.0</v>
      </c>
      <c r="I101" s="90" t="s">
        <v>114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3"/>
      <c r="X101" s="63"/>
      <c r="Y101" s="63"/>
      <c r="Z101" s="63"/>
      <c r="AA101" s="63"/>
      <c r="AB101" s="63"/>
      <c r="AC101" s="63"/>
      <c r="AD101" s="37"/>
      <c r="AE101" s="37"/>
      <c r="AF101" s="37"/>
      <c r="AG101" s="37"/>
      <c r="AH101" s="37"/>
      <c r="AI101" s="37"/>
      <c r="AJ101" s="37"/>
      <c r="AK101" s="37"/>
      <c r="AL101" s="37"/>
      <c r="AM101" s="63"/>
    </row>
    <row r="102" ht="15.75" customHeight="1">
      <c r="A102" s="25"/>
      <c r="B102" s="97"/>
      <c r="C102" s="94"/>
      <c r="D102" s="98"/>
      <c r="E102" s="17" t="s">
        <v>63</v>
      </c>
      <c r="F102" s="92"/>
      <c r="G102" s="67" t="s">
        <v>24</v>
      </c>
      <c r="H102" s="92"/>
      <c r="I102" s="90">
        <v>0.0</v>
      </c>
      <c r="J102" s="63"/>
      <c r="K102" s="4" t="str">
        <f t="shared" si="11"/>
        <v/>
      </c>
      <c r="L102" s="18" t="str">
        <f t="shared" si="12"/>
        <v/>
      </c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37"/>
      <c r="AE102" s="37"/>
      <c r="AF102" s="37"/>
      <c r="AG102" s="37"/>
      <c r="AH102" s="37"/>
      <c r="AI102" s="37"/>
      <c r="AJ102" s="37"/>
      <c r="AK102" s="37"/>
      <c r="AL102" s="37"/>
      <c r="AM102" s="63"/>
    </row>
    <row r="103" ht="15.75" customHeight="1">
      <c r="A103" s="29"/>
      <c r="B103" s="11">
        <v>46085.0</v>
      </c>
      <c r="C103" s="39" t="s">
        <v>55</v>
      </c>
      <c r="D103" s="39" t="s">
        <v>22</v>
      </c>
      <c r="E103" s="90" t="s">
        <v>110</v>
      </c>
      <c r="F103" s="17">
        <v>12.0</v>
      </c>
      <c r="G103" s="67" t="s">
        <v>24</v>
      </c>
      <c r="H103" s="17">
        <v>10.0</v>
      </c>
      <c r="I103" s="90" t="s">
        <v>112</v>
      </c>
      <c r="J103" s="63"/>
      <c r="K103" s="4">
        <f t="shared" si="11"/>
        <v>2</v>
      </c>
      <c r="L103" s="18">
        <f t="shared" si="12"/>
        <v>0</v>
      </c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37"/>
      <c r="AE103" s="37"/>
      <c r="AF103" s="37"/>
      <c r="AG103" s="37"/>
      <c r="AH103" s="37"/>
      <c r="AI103" s="37"/>
      <c r="AJ103" s="37"/>
      <c r="AK103" s="37"/>
      <c r="AL103" s="37"/>
      <c r="AM103" s="63"/>
    </row>
    <row r="104" ht="15.75" customHeight="1">
      <c r="A104" s="10">
        <v>7.0</v>
      </c>
      <c r="B104" s="11">
        <v>46148.0</v>
      </c>
      <c r="C104" s="39" t="s">
        <v>94</v>
      </c>
      <c r="D104" s="12" t="s">
        <v>89</v>
      </c>
      <c r="E104" s="39" t="s">
        <v>112</v>
      </c>
      <c r="F104" s="17">
        <v>9.0</v>
      </c>
      <c r="G104" s="67" t="s">
        <v>24</v>
      </c>
      <c r="H104" s="17">
        <v>10.0</v>
      </c>
      <c r="I104" s="90" t="s">
        <v>107</v>
      </c>
      <c r="J104" s="63"/>
      <c r="K104" s="4">
        <f t="shared" si="11"/>
        <v>0</v>
      </c>
      <c r="L104" s="18">
        <f t="shared" si="12"/>
        <v>2</v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63"/>
      <c r="AF104" s="63"/>
      <c r="AG104" s="63"/>
      <c r="AH104" s="63"/>
      <c r="AI104" s="63"/>
      <c r="AJ104" s="63"/>
      <c r="AK104" s="63"/>
      <c r="AL104" s="63"/>
      <c r="AM104" s="63"/>
    </row>
    <row r="105" ht="15.75" customHeight="1">
      <c r="A105" s="25"/>
      <c r="B105" s="11">
        <v>46148.0</v>
      </c>
      <c r="C105" s="39" t="s">
        <v>95</v>
      </c>
      <c r="D105" s="12" t="s">
        <v>89</v>
      </c>
      <c r="E105" s="39" t="s">
        <v>113</v>
      </c>
      <c r="F105" s="17">
        <v>12.0</v>
      </c>
      <c r="G105" s="67" t="s">
        <v>24</v>
      </c>
      <c r="H105" s="17">
        <v>13.0</v>
      </c>
      <c r="I105" s="90" t="s">
        <v>31</v>
      </c>
      <c r="J105" s="63"/>
      <c r="K105" s="4">
        <f t="shared" si="11"/>
        <v>0</v>
      </c>
      <c r="L105" s="18">
        <f t="shared" si="12"/>
        <v>2</v>
      </c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63"/>
      <c r="AF105" s="63"/>
      <c r="AG105" s="63"/>
      <c r="AH105" s="63"/>
      <c r="AI105" s="63"/>
      <c r="AJ105" s="63"/>
      <c r="AK105" s="63"/>
      <c r="AL105" s="63"/>
      <c r="AM105" s="63"/>
    </row>
    <row r="106" ht="15.75" customHeight="1">
      <c r="A106" s="25"/>
      <c r="B106" s="11">
        <v>46148.0</v>
      </c>
      <c r="C106" s="39" t="s">
        <v>53</v>
      </c>
      <c r="D106" s="12" t="s">
        <v>89</v>
      </c>
      <c r="E106" s="39" t="s">
        <v>59</v>
      </c>
      <c r="F106" s="17">
        <v>6.0</v>
      </c>
      <c r="G106" s="67" t="s">
        <v>24</v>
      </c>
      <c r="H106" s="17">
        <v>8.0</v>
      </c>
      <c r="I106" s="90" t="s">
        <v>109</v>
      </c>
      <c r="J106" s="63"/>
      <c r="K106" s="4">
        <f t="shared" si="11"/>
        <v>0</v>
      </c>
      <c r="L106" s="18">
        <f t="shared" si="12"/>
        <v>2</v>
      </c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  <c r="AK106" s="63"/>
      <c r="AL106" s="63"/>
      <c r="AM106" s="63"/>
    </row>
    <row r="107" ht="15.75" customHeight="1">
      <c r="A107" s="25"/>
      <c r="B107" s="11">
        <v>46085.0</v>
      </c>
      <c r="C107" s="66" t="s">
        <v>51</v>
      </c>
      <c r="D107" s="39" t="s">
        <v>22</v>
      </c>
      <c r="E107" s="17" t="s">
        <v>114</v>
      </c>
      <c r="F107" s="17">
        <v>20.0</v>
      </c>
      <c r="G107" s="67" t="s">
        <v>24</v>
      </c>
      <c r="H107" s="17">
        <v>6.0</v>
      </c>
      <c r="I107" s="90" t="s">
        <v>63</v>
      </c>
      <c r="J107" s="63"/>
      <c r="K107" s="4">
        <f t="shared" si="11"/>
        <v>2</v>
      </c>
      <c r="L107" s="18">
        <f t="shared" si="12"/>
        <v>0</v>
      </c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63"/>
      <c r="AF107" s="63"/>
      <c r="AG107" s="63"/>
      <c r="AH107" s="63"/>
      <c r="AI107" s="63"/>
      <c r="AJ107" s="63"/>
      <c r="AK107" s="63"/>
      <c r="AL107" s="63"/>
      <c r="AM107" s="63"/>
    </row>
    <row r="108" ht="15.75" customHeight="1">
      <c r="A108" s="29"/>
      <c r="B108" s="96"/>
      <c r="C108" s="67"/>
      <c r="D108" s="67"/>
      <c r="E108" s="17">
        <v>0.0</v>
      </c>
      <c r="F108" s="92"/>
      <c r="G108" s="67" t="s">
        <v>24</v>
      </c>
      <c r="H108" s="92"/>
      <c r="I108" s="90" t="s">
        <v>110</v>
      </c>
      <c r="J108" s="63"/>
      <c r="K108" s="4" t="str">
        <f t="shared" si="11"/>
        <v/>
      </c>
      <c r="L108" s="18" t="str">
        <f t="shared" si="12"/>
        <v/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63"/>
      <c r="AF108" s="63"/>
      <c r="AG108" s="63"/>
      <c r="AH108" s="63"/>
      <c r="AI108" s="63"/>
      <c r="AJ108" s="63"/>
      <c r="AK108" s="63"/>
      <c r="AL108" s="63"/>
      <c r="AM108" s="63"/>
    </row>
    <row r="109" ht="15.75" customHeight="1">
      <c r="A109" s="10">
        <v>8.0</v>
      </c>
      <c r="B109" s="99">
        <v>46155.0</v>
      </c>
      <c r="C109" s="66" t="s">
        <v>116</v>
      </c>
      <c r="D109" s="66" t="s">
        <v>22</v>
      </c>
      <c r="E109" s="17" t="s">
        <v>107</v>
      </c>
      <c r="F109" s="17">
        <v>13.0</v>
      </c>
      <c r="G109" s="67" t="s">
        <v>24</v>
      </c>
      <c r="H109" s="17">
        <v>6.0</v>
      </c>
      <c r="I109" s="90" t="s">
        <v>110</v>
      </c>
      <c r="J109" s="63"/>
      <c r="K109" s="4">
        <f t="shared" si="11"/>
        <v>2</v>
      </c>
      <c r="L109" s="18">
        <f t="shared" si="12"/>
        <v>0</v>
      </c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AL109" s="63"/>
      <c r="AM109" s="63"/>
    </row>
    <row r="110" ht="15.75" customHeight="1">
      <c r="A110" s="25"/>
      <c r="B110" s="99">
        <v>46155.0</v>
      </c>
      <c r="C110" s="66" t="s">
        <v>117</v>
      </c>
      <c r="D110" s="66" t="s">
        <v>22</v>
      </c>
      <c r="E110" s="17" t="s">
        <v>31</v>
      </c>
      <c r="F110" s="17">
        <v>13.0</v>
      </c>
      <c r="G110" s="67" t="s">
        <v>24</v>
      </c>
      <c r="H110" s="17">
        <v>12.0</v>
      </c>
      <c r="I110" s="90" t="s">
        <v>112</v>
      </c>
      <c r="J110" s="63"/>
      <c r="K110" s="4">
        <f t="shared" si="11"/>
        <v>2</v>
      </c>
      <c r="L110" s="18">
        <f t="shared" si="12"/>
        <v>0</v>
      </c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63"/>
      <c r="AB110" s="63"/>
      <c r="AC110" s="63"/>
      <c r="AD110" s="63"/>
      <c r="AE110" s="63"/>
      <c r="AF110" s="63"/>
      <c r="AG110" s="63"/>
      <c r="AH110" s="63"/>
      <c r="AI110" s="63"/>
      <c r="AJ110" s="63"/>
      <c r="AK110" s="63"/>
      <c r="AL110" s="63"/>
      <c r="AM110" s="63"/>
    </row>
    <row r="111" ht="15.75" customHeight="1">
      <c r="A111" s="25"/>
      <c r="B111" s="99">
        <v>46155.0</v>
      </c>
      <c r="C111" s="66" t="s">
        <v>118</v>
      </c>
      <c r="D111" s="66" t="s">
        <v>22</v>
      </c>
      <c r="E111" s="17" t="s">
        <v>109</v>
      </c>
      <c r="F111" s="17">
        <v>0.0</v>
      </c>
      <c r="G111" s="67" t="s">
        <v>24</v>
      </c>
      <c r="H111" s="17">
        <v>21.0</v>
      </c>
      <c r="I111" s="90" t="s">
        <v>113</v>
      </c>
      <c r="J111" s="63"/>
      <c r="K111" s="4">
        <f t="shared" si="11"/>
        <v>0</v>
      </c>
      <c r="L111" s="18">
        <f t="shared" si="12"/>
        <v>2</v>
      </c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63"/>
      <c r="AB111" s="63"/>
      <c r="AC111" s="63"/>
      <c r="AD111" s="63"/>
      <c r="AE111" s="63"/>
      <c r="AF111" s="63"/>
      <c r="AG111" s="63"/>
      <c r="AH111" s="63"/>
      <c r="AI111" s="63"/>
      <c r="AJ111" s="63"/>
      <c r="AK111" s="63"/>
      <c r="AL111" s="63"/>
      <c r="AM111" s="63"/>
    </row>
    <row r="112" ht="15.75" customHeight="1">
      <c r="A112" s="25"/>
      <c r="B112" s="99">
        <v>46155.0</v>
      </c>
      <c r="C112" s="66" t="s">
        <v>119</v>
      </c>
      <c r="D112" s="66" t="s">
        <v>22</v>
      </c>
      <c r="E112" s="17" t="s">
        <v>63</v>
      </c>
      <c r="F112" s="17">
        <v>13.0</v>
      </c>
      <c r="G112" s="67" t="s">
        <v>24</v>
      </c>
      <c r="H112" s="17">
        <v>6.0</v>
      </c>
      <c r="I112" s="90" t="s">
        <v>59</v>
      </c>
      <c r="J112" s="63"/>
      <c r="K112" s="4">
        <f t="shared" si="11"/>
        <v>2</v>
      </c>
      <c r="L112" s="18">
        <f t="shared" si="12"/>
        <v>0</v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63"/>
      <c r="AB112" s="63"/>
      <c r="AC112" s="63"/>
      <c r="AD112" s="63"/>
      <c r="AE112" s="63"/>
      <c r="AF112" s="63"/>
      <c r="AG112" s="63"/>
      <c r="AH112" s="63"/>
      <c r="AI112" s="63"/>
      <c r="AJ112" s="63"/>
      <c r="AK112" s="63"/>
      <c r="AL112" s="63"/>
      <c r="AM112" s="63"/>
    </row>
    <row r="113" ht="15.75" customHeight="1">
      <c r="A113" s="29"/>
      <c r="B113" s="96"/>
      <c r="C113" s="67"/>
      <c r="D113" s="67"/>
      <c r="E113" s="17" t="s">
        <v>114</v>
      </c>
      <c r="F113" s="92"/>
      <c r="G113" s="67" t="s">
        <v>24</v>
      </c>
      <c r="H113" s="92"/>
      <c r="I113" s="90">
        <v>0.0</v>
      </c>
      <c r="J113" s="63"/>
      <c r="K113" s="4" t="str">
        <f t="shared" si="11"/>
        <v/>
      </c>
      <c r="L113" s="18" t="str">
        <f t="shared" si="12"/>
        <v/>
      </c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63"/>
      <c r="AB113" s="63"/>
      <c r="AC113" s="63"/>
      <c r="AD113" s="63"/>
      <c r="AE113" s="63"/>
      <c r="AF113" s="63"/>
      <c r="AG113" s="63"/>
      <c r="AH113" s="63"/>
      <c r="AI113" s="63"/>
      <c r="AJ113" s="63"/>
      <c r="AK113" s="63"/>
      <c r="AL113" s="63"/>
      <c r="AM113" s="63"/>
    </row>
    <row r="114" ht="15.75" customHeight="1">
      <c r="A114" s="10">
        <v>9.0</v>
      </c>
      <c r="B114" s="96"/>
      <c r="C114" s="67"/>
      <c r="D114" s="67"/>
      <c r="E114" s="17">
        <v>0.0</v>
      </c>
      <c r="F114" s="92"/>
      <c r="G114" s="67" t="s">
        <v>24</v>
      </c>
      <c r="H114" s="92"/>
      <c r="I114" s="90" t="s">
        <v>107</v>
      </c>
      <c r="J114" s="63"/>
      <c r="K114" s="4" t="str">
        <f t="shared" si="11"/>
        <v/>
      </c>
      <c r="L114" s="18" t="str">
        <f t="shared" si="12"/>
        <v/>
      </c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63"/>
      <c r="AB114" s="63"/>
      <c r="AC114" s="63"/>
      <c r="AD114" s="63"/>
      <c r="AE114" s="63"/>
      <c r="AF114" s="63"/>
      <c r="AG114" s="63"/>
      <c r="AH114" s="63"/>
      <c r="AI114" s="63"/>
      <c r="AJ114" s="63"/>
      <c r="AK114" s="63"/>
      <c r="AL114" s="63"/>
      <c r="AM114" s="63"/>
    </row>
    <row r="115" ht="15.75" customHeight="1">
      <c r="A115" s="25"/>
      <c r="B115" s="99">
        <v>46155.0</v>
      </c>
      <c r="C115" s="66" t="s">
        <v>120</v>
      </c>
      <c r="D115" s="66" t="s">
        <v>22</v>
      </c>
      <c r="E115" s="17" t="s">
        <v>110</v>
      </c>
      <c r="F115" s="92"/>
      <c r="G115" s="67" t="s">
        <v>24</v>
      </c>
      <c r="H115" s="92"/>
      <c r="I115" s="90" t="s">
        <v>31</v>
      </c>
      <c r="J115" s="63"/>
      <c r="K115" s="4" t="str">
        <f t="shared" si="11"/>
        <v/>
      </c>
      <c r="L115" s="18" t="str">
        <f t="shared" si="12"/>
        <v/>
      </c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63"/>
      <c r="AB115" s="63"/>
      <c r="AC115" s="63"/>
      <c r="AD115" s="63"/>
      <c r="AE115" s="63"/>
      <c r="AF115" s="63"/>
      <c r="AG115" s="63"/>
      <c r="AH115" s="63"/>
      <c r="AI115" s="63"/>
      <c r="AJ115" s="63"/>
      <c r="AK115" s="63"/>
      <c r="AL115" s="63"/>
      <c r="AM115" s="63"/>
    </row>
    <row r="116" ht="15.75" customHeight="1">
      <c r="A116" s="25"/>
      <c r="B116" s="99">
        <v>46155.0</v>
      </c>
      <c r="C116" s="66" t="s">
        <v>121</v>
      </c>
      <c r="D116" s="66" t="s">
        <v>22</v>
      </c>
      <c r="E116" s="17" t="s">
        <v>112</v>
      </c>
      <c r="F116" s="92"/>
      <c r="G116" s="67" t="s">
        <v>24</v>
      </c>
      <c r="H116" s="92"/>
      <c r="I116" s="90" t="s">
        <v>109</v>
      </c>
      <c r="J116" s="63"/>
      <c r="K116" s="4" t="str">
        <f t="shared" si="11"/>
        <v/>
      </c>
      <c r="L116" s="18" t="str">
        <f t="shared" si="12"/>
        <v/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63"/>
      <c r="AB116" s="63"/>
      <c r="AC116" s="63"/>
      <c r="AD116" s="63"/>
      <c r="AE116" s="63"/>
      <c r="AF116" s="63"/>
      <c r="AG116" s="63"/>
      <c r="AH116" s="63"/>
      <c r="AI116" s="63"/>
      <c r="AJ116" s="63"/>
      <c r="AK116" s="63"/>
      <c r="AL116" s="63"/>
      <c r="AM116" s="63"/>
    </row>
    <row r="117" ht="15.75" customHeight="1">
      <c r="A117" s="25"/>
      <c r="B117" s="99">
        <v>46155.0</v>
      </c>
      <c r="C117" s="66" t="s">
        <v>122</v>
      </c>
      <c r="D117" s="66" t="s">
        <v>22</v>
      </c>
      <c r="E117" s="17" t="s">
        <v>113</v>
      </c>
      <c r="F117" s="92"/>
      <c r="G117" s="67" t="s">
        <v>24</v>
      </c>
      <c r="H117" s="92"/>
      <c r="I117" s="90" t="s">
        <v>63</v>
      </c>
      <c r="J117" s="63"/>
      <c r="K117" s="4" t="str">
        <f t="shared" si="11"/>
        <v/>
      </c>
      <c r="L117" s="18" t="str">
        <f t="shared" si="12"/>
        <v/>
      </c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63"/>
      <c r="AB117" s="63"/>
      <c r="AC117" s="63"/>
      <c r="AD117" s="63"/>
      <c r="AE117" s="63"/>
      <c r="AF117" s="63"/>
      <c r="AG117" s="63"/>
      <c r="AH117" s="63"/>
      <c r="AI117" s="63"/>
      <c r="AJ117" s="63"/>
      <c r="AK117" s="63"/>
      <c r="AL117" s="63"/>
      <c r="AM117" s="63"/>
    </row>
    <row r="118" ht="15.75" customHeight="1">
      <c r="A118" s="29"/>
      <c r="B118" s="99">
        <v>46155.0</v>
      </c>
      <c r="C118" s="66" t="s">
        <v>123</v>
      </c>
      <c r="D118" s="66" t="s">
        <v>22</v>
      </c>
      <c r="E118" s="17" t="s">
        <v>59</v>
      </c>
      <c r="F118" s="92"/>
      <c r="G118" s="67" t="s">
        <v>24</v>
      </c>
      <c r="H118" s="92"/>
      <c r="I118" s="90" t="s">
        <v>114</v>
      </c>
      <c r="J118" s="63"/>
      <c r="K118" s="4" t="str">
        <f t="shared" si="11"/>
        <v/>
      </c>
      <c r="L118" s="18" t="str">
        <f t="shared" si="12"/>
        <v/>
      </c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</row>
    <row r="119" ht="15.75" customHeight="1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</row>
    <row r="120" ht="15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  <c r="AM120" s="63"/>
    </row>
    <row r="121" ht="15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</row>
    <row r="122" ht="15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  <c r="AM122" s="63"/>
    </row>
    <row r="123" ht="15.75" customHeight="1">
      <c r="A123" s="87"/>
      <c r="B123" s="88"/>
      <c r="C123" s="88"/>
      <c r="D123" s="88"/>
      <c r="E123" s="88"/>
      <c r="F123" s="88"/>
      <c r="G123" s="88"/>
      <c r="H123" s="63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63"/>
      <c r="AB123" s="63"/>
      <c r="AC123" s="63"/>
      <c r="AD123" s="37"/>
      <c r="AE123" s="37"/>
      <c r="AF123" s="37"/>
      <c r="AG123" s="37"/>
      <c r="AH123" s="37"/>
      <c r="AI123" s="37"/>
      <c r="AJ123" s="37"/>
      <c r="AK123" s="37"/>
      <c r="AL123" s="37"/>
      <c r="AM123" s="63"/>
    </row>
    <row r="124" ht="15.75" customHeight="1">
      <c r="A124" s="87" t="s">
        <v>124</v>
      </c>
      <c r="H124" s="63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63"/>
      <c r="AB124" s="63"/>
      <c r="AC124" s="63"/>
      <c r="AD124" s="37"/>
      <c r="AE124" s="37"/>
      <c r="AF124" s="37"/>
      <c r="AG124" s="37"/>
      <c r="AH124" s="37"/>
      <c r="AI124" s="37"/>
      <c r="AJ124" s="37"/>
      <c r="AK124" s="37"/>
      <c r="AL124" s="37"/>
      <c r="AM124" s="63"/>
    </row>
    <row r="125" ht="15.75" customHeight="1">
      <c r="A125" s="64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85</v>
      </c>
      <c r="U125" s="9" t="s">
        <v>86</v>
      </c>
      <c r="V125" s="9" t="s">
        <v>87</v>
      </c>
      <c r="W125" s="37"/>
      <c r="X125" s="6" t="s">
        <v>20</v>
      </c>
      <c r="Y125" s="8"/>
      <c r="Z125" s="37"/>
      <c r="AA125" s="37"/>
      <c r="AB125" s="37"/>
      <c r="AC125" s="37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85</v>
      </c>
      <c r="AK125" s="5" t="s">
        <v>86</v>
      </c>
      <c r="AL125" s="5" t="s">
        <v>87</v>
      </c>
      <c r="AM125" s="63"/>
    </row>
    <row r="126" ht="15.75" customHeight="1">
      <c r="A126" s="10">
        <v>1.0</v>
      </c>
      <c r="B126" s="43">
        <v>45952.0</v>
      </c>
      <c r="C126" s="12" t="s">
        <v>88</v>
      </c>
      <c r="D126" s="71" t="s">
        <v>89</v>
      </c>
      <c r="E126" s="17" t="s">
        <v>68</v>
      </c>
      <c r="F126" s="17">
        <v>11.0</v>
      </c>
      <c r="G126" s="67" t="s">
        <v>24</v>
      </c>
      <c r="H126" s="17">
        <v>2.0</v>
      </c>
      <c r="I126" s="17" t="s">
        <v>125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7" t="s">
        <v>125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7</v>
      </c>
      <c r="T126" s="18">
        <f t="shared" ref="T126:T134" si="26">SUMIF(E$126:E$170,O126,F$126:F$170)+SUMIF(I$126:I$170,O126,H$126:H$170)</f>
        <v>54</v>
      </c>
      <c r="U126" s="20">
        <f t="shared" ref="U126:U134" si="27">SUMIF(E$126:E$170,O126,H$126:H$170)+SUMIF(I$126:I$170,O126,F$126:F$170)</f>
        <v>87</v>
      </c>
      <c r="V126" s="18">
        <f t="shared" ref="V126:V134" si="28">T126-U126</f>
        <v>-33</v>
      </c>
      <c r="W126" s="63"/>
      <c r="X126" s="69" t="s">
        <v>26</v>
      </c>
      <c r="Y126" s="69" t="s">
        <v>13</v>
      </c>
      <c r="Z126" s="63"/>
      <c r="AA126" s="63"/>
      <c r="AB126" s="63"/>
      <c r="AC126" s="63"/>
      <c r="AD126" s="45" t="s">
        <v>29</v>
      </c>
      <c r="AE126" s="70" t="str">
        <f t="array" ref="AE126:AM134">SORT(O126:X134,2,FALSE,9,FALSE,8,FALSE())</f>
        <v>Eng. Biomédica</v>
      </c>
      <c r="AF126" s="23">
        <v>14.0</v>
      </c>
      <c r="AG126" s="23">
        <v>7.0</v>
      </c>
      <c r="AH126" s="24">
        <v>0.0</v>
      </c>
      <c r="AI126" s="24">
        <v>1.0</v>
      </c>
      <c r="AJ126" s="23">
        <v>120.0</v>
      </c>
      <c r="AK126" s="24">
        <v>69.0</v>
      </c>
      <c r="AL126" s="23">
        <v>51.0</v>
      </c>
      <c r="AM126" s="63"/>
    </row>
    <row r="127" ht="15.75" customHeight="1">
      <c r="A127" s="25"/>
      <c r="B127" s="43">
        <v>45952.0</v>
      </c>
      <c r="C127" s="12" t="s">
        <v>91</v>
      </c>
      <c r="D127" s="71" t="s">
        <v>89</v>
      </c>
      <c r="E127" s="17" t="s">
        <v>45</v>
      </c>
      <c r="F127" s="17">
        <v>11.0</v>
      </c>
      <c r="G127" s="67" t="s">
        <v>24</v>
      </c>
      <c r="H127" s="17">
        <v>9.0</v>
      </c>
      <c r="I127" s="17" t="s">
        <v>126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7" t="s">
        <v>68</v>
      </c>
      <c r="P127" s="18">
        <f t="shared" si="22"/>
        <v>6</v>
      </c>
      <c r="Q127" s="18">
        <f t="shared" si="23"/>
        <v>3</v>
      </c>
      <c r="R127" s="20">
        <f t="shared" si="24"/>
        <v>0</v>
      </c>
      <c r="S127" s="20">
        <f t="shared" si="25"/>
        <v>5</v>
      </c>
      <c r="T127" s="18">
        <f t="shared" si="26"/>
        <v>90</v>
      </c>
      <c r="U127" s="20">
        <f t="shared" si="27"/>
        <v>80</v>
      </c>
      <c r="V127" s="18">
        <f t="shared" si="28"/>
        <v>10</v>
      </c>
      <c r="W127" s="63"/>
      <c r="X127" s="28" t="s">
        <v>37</v>
      </c>
      <c r="Y127" s="28">
        <v>3.0</v>
      </c>
      <c r="Z127" s="63"/>
      <c r="AA127" s="63"/>
      <c r="AB127" s="63"/>
      <c r="AC127" s="63"/>
      <c r="AD127" s="73" t="s">
        <v>111</v>
      </c>
      <c r="AE127" s="70" t="s">
        <v>58</v>
      </c>
      <c r="AF127" s="23">
        <v>14.0</v>
      </c>
      <c r="AG127" s="23">
        <v>7.0</v>
      </c>
      <c r="AH127" s="24">
        <v>0.0</v>
      </c>
      <c r="AI127" s="24">
        <v>1.0</v>
      </c>
      <c r="AJ127" s="23">
        <v>103.0</v>
      </c>
      <c r="AK127" s="24">
        <v>76.0</v>
      </c>
      <c r="AL127" s="23">
        <v>27.0</v>
      </c>
      <c r="AM127" s="63"/>
    </row>
    <row r="128" ht="15.75" customHeight="1">
      <c r="A128" s="25"/>
      <c r="B128" s="43">
        <v>45952.0</v>
      </c>
      <c r="C128" s="12" t="s">
        <v>52</v>
      </c>
      <c r="D128" s="71" t="s">
        <v>89</v>
      </c>
      <c r="E128" s="17" t="s">
        <v>60</v>
      </c>
      <c r="F128" s="17">
        <v>8.0</v>
      </c>
      <c r="G128" s="67" t="s">
        <v>24</v>
      </c>
      <c r="H128" s="17">
        <v>14.0</v>
      </c>
      <c r="I128" s="17" t="s">
        <v>66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7" t="s">
        <v>45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5</v>
      </c>
      <c r="T128" s="18">
        <f t="shared" si="26"/>
        <v>47</v>
      </c>
      <c r="U128" s="20">
        <f t="shared" si="27"/>
        <v>89</v>
      </c>
      <c r="V128" s="18">
        <f t="shared" si="28"/>
        <v>-42</v>
      </c>
      <c r="W128" s="63"/>
      <c r="X128" s="28" t="s">
        <v>113</v>
      </c>
      <c r="Y128" s="28">
        <v>0.0</v>
      </c>
      <c r="Z128" s="63"/>
      <c r="AA128" s="63"/>
      <c r="AB128" s="63"/>
      <c r="AC128" s="63"/>
      <c r="AD128" s="22">
        <v>3.0</v>
      </c>
      <c r="AE128" s="70" t="s">
        <v>127</v>
      </c>
      <c r="AF128" s="23">
        <v>12.0</v>
      </c>
      <c r="AG128" s="23">
        <v>6.0</v>
      </c>
      <c r="AH128" s="24">
        <v>0.0</v>
      </c>
      <c r="AI128" s="24">
        <v>2.0</v>
      </c>
      <c r="AJ128" s="23">
        <v>106.0</v>
      </c>
      <c r="AK128" s="24">
        <v>89.0</v>
      </c>
      <c r="AL128" s="23">
        <v>17.0</v>
      </c>
      <c r="AM128" s="63"/>
    </row>
    <row r="129" ht="15.75" customHeight="1">
      <c r="A129" s="25"/>
      <c r="B129" s="43">
        <v>45952.0</v>
      </c>
      <c r="C129" s="66" t="s">
        <v>94</v>
      </c>
      <c r="D129" s="71" t="s">
        <v>89</v>
      </c>
      <c r="E129" s="17" t="s">
        <v>58</v>
      </c>
      <c r="F129" s="17">
        <v>17.0</v>
      </c>
      <c r="G129" s="67" t="s">
        <v>24</v>
      </c>
      <c r="H129" s="17">
        <v>12.0</v>
      </c>
      <c r="I129" s="17" t="s">
        <v>127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7" t="s">
        <v>60</v>
      </c>
      <c r="P129" s="18">
        <f t="shared" si="22"/>
        <v>8</v>
      </c>
      <c r="Q129" s="18">
        <f t="shared" si="23"/>
        <v>4</v>
      </c>
      <c r="R129" s="20">
        <f t="shared" si="24"/>
        <v>0</v>
      </c>
      <c r="S129" s="20">
        <f t="shared" si="25"/>
        <v>4</v>
      </c>
      <c r="T129" s="18">
        <f t="shared" si="26"/>
        <v>76</v>
      </c>
      <c r="U129" s="20">
        <f t="shared" si="27"/>
        <v>74</v>
      </c>
      <c r="V129" s="18">
        <f t="shared" si="28"/>
        <v>2</v>
      </c>
      <c r="W129" s="63"/>
      <c r="X129" s="63"/>
      <c r="Y129" s="63"/>
      <c r="Z129" s="63"/>
      <c r="AA129" s="63"/>
      <c r="AB129" s="63"/>
      <c r="AC129" s="63"/>
      <c r="AD129" s="22">
        <v>4.0</v>
      </c>
      <c r="AE129" s="70" t="s">
        <v>60</v>
      </c>
      <c r="AF129" s="23">
        <v>8.0</v>
      </c>
      <c r="AG129" s="23">
        <v>4.0</v>
      </c>
      <c r="AH129" s="24">
        <v>0.0</v>
      </c>
      <c r="AI129" s="24">
        <v>4.0</v>
      </c>
      <c r="AJ129" s="23">
        <v>76.0</v>
      </c>
      <c r="AK129" s="24">
        <v>74.0</v>
      </c>
      <c r="AL129" s="23">
        <v>2.0</v>
      </c>
      <c r="AM129" s="63"/>
    </row>
    <row r="130" ht="15.75" customHeight="1">
      <c r="A130" s="29"/>
      <c r="B130" s="91"/>
      <c r="C130" s="67"/>
      <c r="D130" s="67"/>
      <c r="E130" s="17" t="s">
        <v>67</v>
      </c>
      <c r="F130" s="92"/>
      <c r="G130" s="67" t="s">
        <v>24</v>
      </c>
      <c r="H130" s="92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7" t="s">
        <v>58</v>
      </c>
      <c r="P130" s="18">
        <f t="shared" si="22"/>
        <v>14</v>
      </c>
      <c r="Q130" s="18">
        <f t="shared" si="23"/>
        <v>7</v>
      </c>
      <c r="R130" s="20">
        <f t="shared" si="24"/>
        <v>0</v>
      </c>
      <c r="S130" s="20">
        <f t="shared" si="25"/>
        <v>1</v>
      </c>
      <c r="T130" s="18">
        <f t="shared" si="26"/>
        <v>103</v>
      </c>
      <c r="U130" s="20">
        <f t="shared" si="27"/>
        <v>76</v>
      </c>
      <c r="V130" s="18">
        <f t="shared" si="28"/>
        <v>27</v>
      </c>
      <c r="W130" s="63"/>
      <c r="X130" s="63"/>
      <c r="Y130" s="63"/>
      <c r="Z130" s="63"/>
      <c r="AA130" s="63"/>
      <c r="AB130" s="63"/>
      <c r="AC130" s="63"/>
      <c r="AD130" s="22">
        <v>5.0</v>
      </c>
      <c r="AE130" s="70" t="s">
        <v>68</v>
      </c>
      <c r="AF130" s="23">
        <v>6.0</v>
      </c>
      <c r="AG130" s="23">
        <v>3.0</v>
      </c>
      <c r="AH130" s="24">
        <v>0.0</v>
      </c>
      <c r="AI130" s="24">
        <v>5.0</v>
      </c>
      <c r="AJ130" s="23">
        <v>90.0</v>
      </c>
      <c r="AK130" s="24">
        <v>80.0</v>
      </c>
      <c r="AL130" s="23">
        <v>10.0</v>
      </c>
      <c r="AM130" s="63"/>
    </row>
    <row r="131" ht="15.75" customHeight="1">
      <c r="A131" s="10">
        <v>2.0</v>
      </c>
      <c r="B131" s="43">
        <v>45952.0</v>
      </c>
      <c r="C131" s="39" t="s">
        <v>94</v>
      </c>
      <c r="D131" s="71" t="s">
        <v>89</v>
      </c>
      <c r="E131" s="17" t="s">
        <v>125</v>
      </c>
      <c r="F131" s="17">
        <v>6.0</v>
      </c>
      <c r="G131" s="67" t="s">
        <v>24</v>
      </c>
      <c r="H131" s="17">
        <v>5.0</v>
      </c>
      <c r="I131" s="17" t="s">
        <v>45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7" t="s">
        <v>67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5</v>
      </c>
      <c r="T131" s="18">
        <f t="shared" si="26"/>
        <v>74</v>
      </c>
      <c r="U131" s="20">
        <f t="shared" si="27"/>
        <v>77</v>
      </c>
      <c r="V131" s="18">
        <f t="shared" si="28"/>
        <v>-3</v>
      </c>
      <c r="W131" s="63"/>
      <c r="X131" s="63"/>
      <c r="Y131" s="63"/>
      <c r="Z131" s="63"/>
      <c r="AA131" s="63"/>
      <c r="AB131" s="63"/>
      <c r="AC131" s="63"/>
      <c r="AD131" s="22">
        <v>6.0</v>
      </c>
      <c r="AE131" s="70" t="s">
        <v>67</v>
      </c>
      <c r="AF131" s="23">
        <v>6.0</v>
      </c>
      <c r="AG131" s="23">
        <v>3.0</v>
      </c>
      <c r="AH131" s="24">
        <v>0.0</v>
      </c>
      <c r="AI131" s="24">
        <v>5.0</v>
      </c>
      <c r="AJ131" s="23">
        <v>74.0</v>
      </c>
      <c r="AK131" s="24">
        <v>77.0</v>
      </c>
      <c r="AL131" s="23">
        <v>-3.0</v>
      </c>
      <c r="AM131" s="63"/>
    </row>
    <row r="132" ht="15.75" customHeight="1">
      <c r="A132" s="25"/>
      <c r="B132" s="93"/>
      <c r="C132" s="94"/>
      <c r="D132" s="94"/>
      <c r="E132" s="17">
        <v>0.0</v>
      </c>
      <c r="F132" s="92"/>
      <c r="G132" s="67" t="s">
        <v>24</v>
      </c>
      <c r="H132" s="92"/>
      <c r="I132" s="17" t="s">
        <v>68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7" t="s">
        <v>127</v>
      </c>
      <c r="P132" s="18">
        <f t="shared" si="22"/>
        <v>12</v>
      </c>
      <c r="Q132" s="18">
        <f t="shared" si="23"/>
        <v>6</v>
      </c>
      <c r="R132" s="20">
        <f t="shared" si="24"/>
        <v>0</v>
      </c>
      <c r="S132" s="20">
        <f t="shared" si="25"/>
        <v>2</v>
      </c>
      <c r="T132" s="18">
        <f t="shared" si="26"/>
        <v>106</v>
      </c>
      <c r="U132" s="20">
        <f t="shared" si="27"/>
        <v>89</v>
      </c>
      <c r="V132" s="18">
        <f t="shared" si="28"/>
        <v>17</v>
      </c>
      <c r="W132" s="63"/>
      <c r="X132" s="63"/>
      <c r="Y132" s="63"/>
      <c r="Z132" s="63"/>
      <c r="AA132" s="63"/>
      <c r="AB132" s="63"/>
      <c r="AC132" s="63"/>
      <c r="AD132" s="22">
        <v>7.0</v>
      </c>
      <c r="AE132" s="70" t="s">
        <v>45</v>
      </c>
      <c r="AF132" s="23">
        <v>6.0</v>
      </c>
      <c r="AG132" s="23">
        <v>3.0</v>
      </c>
      <c r="AH132" s="24">
        <v>0.0</v>
      </c>
      <c r="AI132" s="24">
        <v>5.0</v>
      </c>
      <c r="AJ132" s="23">
        <v>47.0</v>
      </c>
      <c r="AK132" s="24">
        <v>89.0</v>
      </c>
      <c r="AL132" s="23">
        <v>-42.0</v>
      </c>
      <c r="AM132" s="63"/>
    </row>
    <row r="133" ht="15.75" customHeight="1">
      <c r="A133" s="25"/>
      <c r="B133" s="43">
        <v>45952.0</v>
      </c>
      <c r="C133" s="39" t="s">
        <v>94</v>
      </c>
      <c r="D133" s="71" t="s">
        <v>89</v>
      </c>
      <c r="E133" s="17" t="s">
        <v>126</v>
      </c>
      <c r="F133" s="17">
        <v>6.0</v>
      </c>
      <c r="G133" s="67" t="s">
        <v>24</v>
      </c>
      <c r="H133" s="17">
        <v>10.0</v>
      </c>
      <c r="I133" s="17" t="s">
        <v>60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7" t="s">
        <v>66</v>
      </c>
      <c r="P133" s="18">
        <f t="shared" si="22"/>
        <v>14</v>
      </c>
      <c r="Q133" s="18">
        <f t="shared" si="23"/>
        <v>7</v>
      </c>
      <c r="R133" s="20">
        <f t="shared" si="24"/>
        <v>0</v>
      </c>
      <c r="S133" s="20">
        <f t="shared" si="25"/>
        <v>1</v>
      </c>
      <c r="T133" s="18">
        <f t="shared" si="26"/>
        <v>120</v>
      </c>
      <c r="U133" s="20">
        <f t="shared" si="27"/>
        <v>69</v>
      </c>
      <c r="V133" s="18">
        <f t="shared" si="28"/>
        <v>51</v>
      </c>
      <c r="W133" s="63"/>
      <c r="X133" s="63"/>
      <c r="Y133" s="63"/>
      <c r="Z133" s="63"/>
      <c r="AA133" s="63"/>
      <c r="AB133" s="63"/>
      <c r="AC133" s="63"/>
      <c r="AD133" s="22">
        <v>8.0</v>
      </c>
      <c r="AE133" s="70" t="s">
        <v>126</v>
      </c>
      <c r="AF133" s="23">
        <v>4.0</v>
      </c>
      <c r="AG133" s="23">
        <v>2.0</v>
      </c>
      <c r="AH133" s="23">
        <v>0.0</v>
      </c>
      <c r="AI133" s="23">
        <v>6.0</v>
      </c>
      <c r="AJ133" s="23">
        <v>72.0</v>
      </c>
      <c r="AK133" s="23">
        <v>101.0</v>
      </c>
      <c r="AL133" s="23">
        <v>-29.0</v>
      </c>
      <c r="AM133" s="63"/>
    </row>
    <row r="134" ht="15.75" customHeight="1">
      <c r="A134" s="25"/>
      <c r="B134" s="11">
        <v>45952.0</v>
      </c>
      <c r="C134" s="39" t="s">
        <v>53</v>
      </c>
      <c r="D134" s="71" t="s">
        <v>89</v>
      </c>
      <c r="E134" s="17" t="s">
        <v>66</v>
      </c>
      <c r="F134" s="17">
        <v>13.0</v>
      </c>
      <c r="G134" s="67" t="s">
        <v>24</v>
      </c>
      <c r="H134" s="17">
        <v>9.0</v>
      </c>
      <c r="I134" s="17" t="s">
        <v>58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7" t="s">
        <v>126</v>
      </c>
      <c r="P134" s="18">
        <f t="shared" si="22"/>
        <v>4</v>
      </c>
      <c r="Q134" s="18">
        <f t="shared" si="23"/>
        <v>2</v>
      </c>
      <c r="R134" s="20">
        <f t="shared" si="24"/>
        <v>0</v>
      </c>
      <c r="S134" s="20">
        <f t="shared" si="25"/>
        <v>6</v>
      </c>
      <c r="T134" s="18">
        <f t="shared" si="26"/>
        <v>72</v>
      </c>
      <c r="U134" s="20">
        <f t="shared" si="27"/>
        <v>101</v>
      </c>
      <c r="V134" s="18">
        <f t="shared" si="28"/>
        <v>-29</v>
      </c>
      <c r="W134" s="63"/>
      <c r="X134" s="63"/>
      <c r="Y134" s="63"/>
      <c r="Z134" s="63"/>
      <c r="AA134" s="63"/>
      <c r="AB134" s="63"/>
      <c r="AC134" s="63"/>
      <c r="AD134" s="22">
        <v>9.0</v>
      </c>
      <c r="AE134" s="28" t="s">
        <v>125</v>
      </c>
      <c r="AF134" s="23">
        <v>2.0</v>
      </c>
      <c r="AG134" s="23">
        <v>1.0</v>
      </c>
      <c r="AH134" s="23">
        <v>0.0</v>
      </c>
      <c r="AI134" s="23">
        <v>7.0</v>
      </c>
      <c r="AJ134" s="23">
        <v>54.0</v>
      </c>
      <c r="AK134" s="23">
        <v>87.0</v>
      </c>
      <c r="AL134" s="23">
        <v>-33.0</v>
      </c>
      <c r="AM134" s="63"/>
    </row>
    <row r="135" ht="15.75" customHeight="1">
      <c r="A135" s="29"/>
      <c r="B135" s="11">
        <v>45952.0</v>
      </c>
      <c r="C135" s="39" t="s">
        <v>53</v>
      </c>
      <c r="D135" s="71" t="s">
        <v>89</v>
      </c>
      <c r="E135" s="17" t="s">
        <v>127</v>
      </c>
      <c r="F135" s="17">
        <v>5.0</v>
      </c>
      <c r="G135" s="67" t="s">
        <v>24</v>
      </c>
      <c r="H135" s="17">
        <v>11.0</v>
      </c>
      <c r="I135" s="17" t="s">
        <v>67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3"/>
      <c r="X135" s="63"/>
      <c r="Y135" s="63"/>
      <c r="Z135" s="63"/>
      <c r="AA135" s="63"/>
      <c r="AB135" s="63"/>
      <c r="AC135" s="63"/>
      <c r="AD135" s="35" t="s">
        <v>128</v>
      </c>
      <c r="AG135" s="95"/>
      <c r="AH135" s="95"/>
      <c r="AI135" s="95"/>
      <c r="AJ135" s="95"/>
      <c r="AK135" s="95"/>
      <c r="AL135" s="95"/>
      <c r="AM135" s="63"/>
    </row>
    <row r="136" ht="15.75" customHeight="1">
      <c r="A136" s="10">
        <v>3.0</v>
      </c>
      <c r="B136" s="11">
        <v>46008.0</v>
      </c>
      <c r="C136" s="39" t="s">
        <v>92</v>
      </c>
      <c r="D136" s="71" t="s">
        <v>89</v>
      </c>
      <c r="E136" s="17" t="s">
        <v>60</v>
      </c>
      <c r="F136" s="17">
        <v>10.0</v>
      </c>
      <c r="G136" s="67" t="s">
        <v>24</v>
      </c>
      <c r="H136" s="17">
        <v>7.0</v>
      </c>
      <c r="I136" s="17" t="s">
        <v>125</v>
      </c>
      <c r="J136" s="4"/>
      <c r="K136" s="4">
        <f t="shared" si="20"/>
        <v>2</v>
      </c>
      <c r="L136" s="18">
        <f t="shared" si="21"/>
        <v>0</v>
      </c>
      <c r="M136" s="4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63"/>
      <c r="AB136" s="63"/>
      <c r="AC136" s="63"/>
      <c r="AD136" s="79" t="s">
        <v>101</v>
      </c>
      <c r="AG136" s="63"/>
      <c r="AH136" s="63"/>
      <c r="AI136" s="37"/>
      <c r="AJ136" s="37"/>
      <c r="AK136" s="37"/>
      <c r="AL136" s="37"/>
      <c r="AM136" s="63"/>
    </row>
    <row r="137" ht="15.75" customHeight="1">
      <c r="A137" s="25"/>
      <c r="B137" s="11">
        <v>46008.0</v>
      </c>
      <c r="C137" s="12" t="s">
        <v>55</v>
      </c>
      <c r="D137" s="71" t="s">
        <v>89</v>
      </c>
      <c r="E137" s="17" t="s">
        <v>45</v>
      </c>
      <c r="F137" s="17">
        <v>9.0</v>
      </c>
      <c r="G137" s="67" t="s">
        <v>24</v>
      </c>
      <c r="H137" s="17">
        <v>7.0</v>
      </c>
      <c r="I137" s="17" t="s">
        <v>68</v>
      </c>
      <c r="J137" s="4"/>
      <c r="K137" s="4">
        <f t="shared" si="20"/>
        <v>2</v>
      </c>
      <c r="L137" s="18">
        <f t="shared" si="21"/>
        <v>0</v>
      </c>
      <c r="M137" s="4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63"/>
      <c r="AB137" s="63"/>
      <c r="AC137" s="63"/>
      <c r="AD137" s="63"/>
      <c r="AE137" s="63"/>
      <c r="AF137" s="63"/>
      <c r="AG137" s="63"/>
      <c r="AH137" s="63"/>
      <c r="AI137" s="37"/>
      <c r="AJ137" s="37"/>
      <c r="AK137" s="37"/>
      <c r="AL137" s="37"/>
      <c r="AM137" s="63"/>
    </row>
    <row r="138" ht="15.75" customHeight="1">
      <c r="A138" s="25"/>
      <c r="B138" s="11">
        <v>46008.0</v>
      </c>
      <c r="C138" s="66" t="s">
        <v>88</v>
      </c>
      <c r="D138" s="71" t="s">
        <v>89</v>
      </c>
      <c r="E138" s="17" t="s">
        <v>58</v>
      </c>
      <c r="F138" s="17">
        <v>14.0</v>
      </c>
      <c r="G138" s="67" t="s">
        <v>24</v>
      </c>
      <c r="H138" s="17">
        <v>4.0</v>
      </c>
      <c r="I138" s="17" t="s">
        <v>126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3"/>
      <c r="X138" s="63"/>
      <c r="Y138" s="63"/>
      <c r="Z138" s="63"/>
      <c r="AA138" s="63"/>
      <c r="AB138" s="63"/>
      <c r="AC138" s="63"/>
      <c r="AD138" s="4"/>
      <c r="AG138" s="37"/>
      <c r="AI138" s="37"/>
      <c r="AJ138" s="37"/>
      <c r="AK138" s="37"/>
      <c r="AL138" s="37"/>
      <c r="AM138" s="63"/>
    </row>
    <row r="139" ht="15.75" customHeight="1">
      <c r="A139" s="25"/>
      <c r="B139" s="11">
        <v>46008.0</v>
      </c>
      <c r="C139" s="39" t="s">
        <v>91</v>
      </c>
      <c r="D139" s="71" t="s">
        <v>89</v>
      </c>
      <c r="E139" s="17" t="s">
        <v>67</v>
      </c>
      <c r="F139" s="17">
        <v>9.0</v>
      </c>
      <c r="G139" s="67" t="s">
        <v>24</v>
      </c>
      <c r="H139" s="17">
        <v>14.0</v>
      </c>
      <c r="I139" s="17" t="s">
        <v>66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3"/>
      <c r="X139" s="63"/>
      <c r="Y139" s="63"/>
      <c r="Z139" s="63"/>
      <c r="AA139" s="63"/>
      <c r="AB139" s="63"/>
      <c r="AC139" s="63"/>
      <c r="AI139" s="37"/>
      <c r="AJ139" s="37"/>
      <c r="AK139" s="37"/>
      <c r="AL139" s="37"/>
      <c r="AM139" s="63"/>
    </row>
    <row r="140" ht="15.75" customHeight="1">
      <c r="A140" s="29"/>
      <c r="B140" s="96"/>
      <c r="C140" s="67"/>
      <c r="D140" s="67"/>
      <c r="E140" s="17">
        <v>0.0</v>
      </c>
      <c r="F140" s="92"/>
      <c r="G140" s="67" t="s">
        <v>24</v>
      </c>
      <c r="H140" s="92"/>
      <c r="I140" s="17" t="s">
        <v>127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3"/>
      <c r="X140" s="63"/>
      <c r="Y140" s="63"/>
      <c r="Z140" s="63"/>
      <c r="AA140" s="63"/>
      <c r="AB140" s="63"/>
      <c r="AC140" s="63"/>
      <c r="AI140" s="37"/>
      <c r="AJ140" s="37"/>
      <c r="AK140" s="37"/>
      <c r="AL140" s="37"/>
      <c r="AM140" s="63"/>
    </row>
    <row r="141" ht="15.75" customHeight="1">
      <c r="A141" s="10">
        <v>4.0</v>
      </c>
      <c r="B141" s="11">
        <v>46071.0</v>
      </c>
      <c r="C141" s="66" t="s">
        <v>88</v>
      </c>
      <c r="D141" s="12" t="s">
        <v>89</v>
      </c>
      <c r="E141" s="17" t="s">
        <v>125</v>
      </c>
      <c r="F141" s="17">
        <v>7.0</v>
      </c>
      <c r="G141" s="67" t="s">
        <v>24</v>
      </c>
      <c r="H141" s="17">
        <v>8.0</v>
      </c>
      <c r="I141" s="17" t="s">
        <v>58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3"/>
      <c r="R141" s="4"/>
      <c r="S141" s="4"/>
      <c r="T141" s="4"/>
      <c r="U141" s="4"/>
      <c r="V141" s="4"/>
      <c r="W141" s="63"/>
      <c r="X141" s="63"/>
      <c r="Y141" s="63"/>
      <c r="Z141" s="63"/>
      <c r="AA141" s="63"/>
      <c r="AB141" s="63"/>
      <c r="AC141" s="63"/>
      <c r="AI141" s="37"/>
      <c r="AJ141" s="37"/>
      <c r="AK141" s="37"/>
      <c r="AL141" s="37"/>
      <c r="AM141" s="63"/>
    </row>
    <row r="142" ht="15.75" customHeight="1">
      <c r="A142" s="25"/>
      <c r="B142" s="11">
        <v>46071.0</v>
      </c>
      <c r="C142" s="39" t="s">
        <v>91</v>
      </c>
      <c r="D142" s="12" t="s">
        <v>89</v>
      </c>
      <c r="E142" s="17" t="s">
        <v>68</v>
      </c>
      <c r="F142" s="17">
        <v>12.0</v>
      </c>
      <c r="G142" s="67" t="s">
        <v>24</v>
      </c>
      <c r="H142" s="17">
        <v>11.0</v>
      </c>
      <c r="I142" s="17" t="s">
        <v>60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3"/>
      <c r="X142" s="63"/>
      <c r="Y142" s="63"/>
      <c r="Z142" s="63"/>
      <c r="AA142" s="63"/>
      <c r="AB142" s="63"/>
      <c r="AC142" s="63"/>
      <c r="AI142" s="37"/>
      <c r="AJ142" s="37"/>
      <c r="AK142" s="37"/>
      <c r="AL142" s="37"/>
      <c r="AM142" s="63"/>
    </row>
    <row r="143" ht="15.75" customHeight="1">
      <c r="A143" s="25"/>
      <c r="B143" s="97"/>
      <c r="C143" s="94"/>
      <c r="D143" s="94"/>
      <c r="E143" s="17" t="s">
        <v>45</v>
      </c>
      <c r="F143" s="92"/>
      <c r="G143" s="67" t="s">
        <v>24</v>
      </c>
      <c r="H143" s="92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3"/>
      <c r="X143" s="63"/>
      <c r="Y143" s="63"/>
      <c r="Z143" s="63"/>
      <c r="AA143" s="63"/>
      <c r="AB143" s="63"/>
      <c r="AC143" s="63"/>
      <c r="AI143" s="37"/>
      <c r="AJ143" s="37"/>
      <c r="AK143" s="37"/>
      <c r="AL143" s="37"/>
      <c r="AM143" s="63"/>
    </row>
    <row r="144" ht="15.75" customHeight="1">
      <c r="A144" s="25"/>
      <c r="B144" s="11">
        <v>46071.0</v>
      </c>
      <c r="C144" s="39" t="s">
        <v>52</v>
      </c>
      <c r="D144" s="12" t="s">
        <v>89</v>
      </c>
      <c r="E144" s="17" t="s">
        <v>126</v>
      </c>
      <c r="F144" s="17">
        <v>13.0</v>
      </c>
      <c r="G144" s="67" t="s">
        <v>24</v>
      </c>
      <c r="H144" s="17">
        <v>4.0</v>
      </c>
      <c r="I144" s="17" t="s">
        <v>67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3"/>
      <c r="X144" s="63"/>
      <c r="Y144" s="63"/>
      <c r="Z144" s="63"/>
      <c r="AA144" s="63"/>
      <c r="AB144" s="63"/>
      <c r="AC144" s="63"/>
      <c r="AI144" s="37"/>
      <c r="AJ144" s="37"/>
      <c r="AK144" s="37"/>
      <c r="AL144" s="37"/>
      <c r="AM144" s="63"/>
    </row>
    <row r="145" ht="15.75" customHeight="1">
      <c r="A145" s="29"/>
      <c r="B145" s="11">
        <v>46071.0</v>
      </c>
      <c r="C145" s="39" t="s">
        <v>94</v>
      </c>
      <c r="D145" s="12" t="s">
        <v>89</v>
      </c>
      <c r="E145" s="17" t="s">
        <v>66</v>
      </c>
      <c r="F145" s="17">
        <v>12.0</v>
      </c>
      <c r="G145" s="67" t="s">
        <v>24</v>
      </c>
      <c r="H145" s="17">
        <v>16.0</v>
      </c>
      <c r="I145" s="17" t="s">
        <v>127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3"/>
      <c r="X145" s="63"/>
      <c r="Y145" s="63"/>
      <c r="Z145" s="63"/>
      <c r="AA145" s="63"/>
      <c r="AB145" s="63"/>
      <c r="AC145" s="63"/>
      <c r="AI145" s="37"/>
      <c r="AJ145" s="37"/>
      <c r="AK145" s="37"/>
      <c r="AL145" s="37"/>
      <c r="AM145" s="63"/>
    </row>
    <row r="146" ht="15.75" customHeight="1">
      <c r="A146" s="10">
        <v>5.0</v>
      </c>
      <c r="B146" s="11">
        <v>46071.0</v>
      </c>
      <c r="C146" s="39" t="s">
        <v>95</v>
      </c>
      <c r="D146" s="12" t="s">
        <v>89</v>
      </c>
      <c r="E146" s="17" t="s">
        <v>67</v>
      </c>
      <c r="F146" s="17">
        <v>17.0</v>
      </c>
      <c r="G146" s="67" t="s">
        <v>24</v>
      </c>
      <c r="H146" s="17">
        <v>8.0</v>
      </c>
      <c r="I146" s="17" t="s">
        <v>125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3"/>
      <c r="X146" s="63"/>
      <c r="Y146" s="63"/>
      <c r="Z146" s="63"/>
      <c r="AA146" s="63"/>
      <c r="AB146" s="63"/>
      <c r="AC146" s="63"/>
      <c r="AD146" s="37"/>
      <c r="AE146" s="37"/>
      <c r="AF146" s="37"/>
      <c r="AG146" s="37"/>
      <c r="AH146" s="37"/>
      <c r="AI146" s="37"/>
      <c r="AJ146" s="37"/>
      <c r="AK146" s="37"/>
      <c r="AL146" s="37"/>
      <c r="AM146" s="63"/>
    </row>
    <row r="147" ht="15.75" customHeight="1">
      <c r="A147" s="25"/>
      <c r="B147" s="11">
        <v>46071.0</v>
      </c>
      <c r="C147" s="39" t="s">
        <v>53</v>
      </c>
      <c r="D147" s="12" t="s">
        <v>89</v>
      </c>
      <c r="E147" s="17" t="s">
        <v>58</v>
      </c>
      <c r="F147" s="17">
        <v>15.0</v>
      </c>
      <c r="G147" s="67" t="s">
        <v>24</v>
      </c>
      <c r="H147" s="17">
        <v>14.0</v>
      </c>
      <c r="I147" s="17" t="s">
        <v>68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3"/>
      <c r="X147" s="63"/>
      <c r="Y147" s="63"/>
      <c r="Z147" s="63"/>
      <c r="AA147" s="63"/>
      <c r="AB147" s="63"/>
      <c r="AC147" s="63"/>
      <c r="AD147" s="37"/>
      <c r="AE147" s="37"/>
      <c r="AF147" s="37"/>
      <c r="AG147" s="37"/>
      <c r="AH147" s="37"/>
      <c r="AI147" s="37"/>
      <c r="AJ147" s="37"/>
      <c r="AK147" s="37"/>
      <c r="AL147" s="37"/>
      <c r="AM147" s="63"/>
    </row>
    <row r="148" ht="15.75" customHeight="1">
      <c r="A148" s="25"/>
      <c r="B148" s="11">
        <v>46071.0</v>
      </c>
      <c r="C148" s="39" t="s">
        <v>97</v>
      </c>
      <c r="D148" s="12" t="s">
        <v>89</v>
      </c>
      <c r="E148" s="17" t="s">
        <v>60</v>
      </c>
      <c r="F148" s="17">
        <v>12.0</v>
      </c>
      <c r="G148" s="67" t="s">
        <v>24</v>
      </c>
      <c r="H148" s="17">
        <v>3.0</v>
      </c>
      <c r="I148" s="17" t="s">
        <v>45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3"/>
      <c r="X148" s="63"/>
      <c r="Y148" s="63"/>
      <c r="Z148" s="63"/>
      <c r="AA148" s="63"/>
      <c r="AB148" s="63"/>
      <c r="AC148" s="63"/>
      <c r="AD148" s="37"/>
      <c r="AE148" s="37"/>
      <c r="AF148" s="37"/>
      <c r="AG148" s="37"/>
      <c r="AH148" s="37"/>
      <c r="AI148" s="37"/>
      <c r="AJ148" s="37"/>
      <c r="AK148" s="37"/>
      <c r="AL148" s="37"/>
      <c r="AM148" s="63"/>
    </row>
    <row r="149" ht="15.75" customHeight="1">
      <c r="A149" s="25"/>
      <c r="B149" s="11">
        <v>46071.0</v>
      </c>
      <c r="C149" s="39" t="s">
        <v>98</v>
      </c>
      <c r="D149" s="12" t="s">
        <v>89</v>
      </c>
      <c r="E149" s="17" t="s">
        <v>127</v>
      </c>
      <c r="F149" s="17">
        <v>20.0</v>
      </c>
      <c r="G149" s="67" t="s">
        <v>24</v>
      </c>
      <c r="H149" s="17">
        <v>18.0</v>
      </c>
      <c r="I149" s="17" t="s">
        <v>126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3"/>
      <c r="X149" s="63"/>
      <c r="Y149" s="63"/>
      <c r="Z149" s="63"/>
      <c r="AA149" s="63"/>
      <c r="AB149" s="63"/>
      <c r="AC149" s="63"/>
      <c r="AD149" s="37"/>
      <c r="AE149" s="37"/>
      <c r="AF149" s="37"/>
      <c r="AG149" s="37"/>
      <c r="AH149" s="37"/>
      <c r="AI149" s="37"/>
      <c r="AJ149" s="37"/>
      <c r="AK149" s="37"/>
      <c r="AL149" s="37"/>
      <c r="AM149" s="63"/>
    </row>
    <row r="150" ht="15.75" customHeight="1">
      <c r="A150" s="29"/>
      <c r="B150" s="96"/>
      <c r="C150" s="92"/>
      <c r="D150" s="92"/>
      <c r="E150" s="17">
        <v>0.0</v>
      </c>
      <c r="F150" s="92"/>
      <c r="G150" s="67" t="s">
        <v>24</v>
      </c>
      <c r="H150" s="92"/>
      <c r="I150" s="17" t="s">
        <v>66</v>
      </c>
      <c r="J150" s="63"/>
      <c r="K150" s="4" t="str">
        <f t="shared" si="20"/>
        <v/>
      </c>
      <c r="L150" s="18" t="str">
        <f t="shared" si="21"/>
        <v/>
      </c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37"/>
      <c r="AE150" s="37"/>
      <c r="AF150" s="37"/>
      <c r="AG150" s="37"/>
      <c r="AH150" s="37"/>
      <c r="AI150" s="37"/>
      <c r="AJ150" s="37"/>
      <c r="AK150" s="37"/>
      <c r="AL150" s="37"/>
      <c r="AM150" s="63"/>
    </row>
    <row r="151" ht="15.75" customHeight="1">
      <c r="A151" s="10">
        <v>6.0</v>
      </c>
      <c r="B151" s="11">
        <v>46085.0</v>
      </c>
      <c r="C151" s="66" t="s">
        <v>52</v>
      </c>
      <c r="D151" s="39" t="s">
        <v>22</v>
      </c>
      <c r="E151" s="17" t="s">
        <v>125</v>
      </c>
      <c r="F151" s="17">
        <v>6.0</v>
      </c>
      <c r="G151" s="67" t="s">
        <v>24</v>
      </c>
      <c r="H151" s="17">
        <v>10.0</v>
      </c>
      <c r="I151" s="17" t="s">
        <v>127</v>
      </c>
      <c r="J151" s="63"/>
      <c r="K151" s="4">
        <f t="shared" si="20"/>
        <v>0</v>
      </c>
      <c r="L151" s="18">
        <f t="shared" si="21"/>
        <v>2</v>
      </c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37"/>
      <c r="AE151" s="37"/>
      <c r="AF151" s="37"/>
      <c r="AG151" s="37"/>
      <c r="AH151" s="37"/>
      <c r="AI151" s="37"/>
      <c r="AJ151" s="37"/>
      <c r="AK151" s="37"/>
      <c r="AL151" s="37"/>
      <c r="AM151" s="63"/>
    </row>
    <row r="152" ht="15.75" customHeight="1">
      <c r="A152" s="25"/>
      <c r="B152" s="11">
        <v>46085.0</v>
      </c>
      <c r="C152" s="66" t="s">
        <v>94</v>
      </c>
      <c r="D152" s="39" t="s">
        <v>22</v>
      </c>
      <c r="E152" s="17" t="s">
        <v>68</v>
      </c>
      <c r="F152" s="17">
        <v>9.0</v>
      </c>
      <c r="G152" s="67" t="s">
        <v>24</v>
      </c>
      <c r="H152" s="17">
        <v>12.0</v>
      </c>
      <c r="I152" s="17" t="s">
        <v>67</v>
      </c>
      <c r="J152" s="63"/>
      <c r="K152" s="4">
        <f t="shared" si="20"/>
        <v>0</v>
      </c>
      <c r="L152" s="18">
        <f t="shared" si="21"/>
        <v>2</v>
      </c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37"/>
      <c r="AE152" s="37"/>
      <c r="AF152" s="37"/>
      <c r="AG152" s="37"/>
      <c r="AH152" s="37"/>
      <c r="AI152" s="37"/>
      <c r="AJ152" s="37"/>
      <c r="AK152" s="37"/>
      <c r="AL152" s="37"/>
      <c r="AM152" s="63"/>
    </row>
    <row r="153" ht="15.75" customHeight="1">
      <c r="A153" s="25"/>
      <c r="B153" s="11">
        <v>46085.0</v>
      </c>
      <c r="C153" s="66" t="s">
        <v>95</v>
      </c>
      <c r="D153" s="39" t="s">
        <v>22</v>
      </c>
      <c r="E153" s="17" t="s">
        <v>45</v>
      </c>
      <c r="F153" s="17">
        <v>6.0</v>
      </c>
      <c r="G153" s="67" t="s">
        <v>24</v>
      </c>
      <c r="H153" s="17">
        <v>15.0</v>
      </c>
      <c r="I153" s="17" t="s">
        <v>58</v>
      </c>
      <c r="J153" s="63"/>
      <c r="K153" s="4">
        <f t="shared" si="20"/>
        <v>0</v>
      </c>
      <c r="L153" s="18">
        <f t="shared" si="21"/>
        <v>2</v>
      </c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37"/>
      <c r="AE153" s="37"/>
      <c r="AF153" s="37"/>
      <c r="AG153" s="37"/>
      <c r="AH153" s="37"/>
      <c r="AI153" s="37"/>
      <c r="AJ153" s="37"/>
      <c r="AK153" s="37"/>
      <c r="AL153" s="37"/>
      <c r="AM153" s="63"/>
    </row>
    <row r="154" ht="15.75" customHeight="1">
      <c r="A154" s="25"/>
      <c r="B154" s="97"/>
      <c r="C154" s="100"/>
      <c r="D154" s="98"/>
      <c r="E154" s="17" t="s">
        <v>60</v>
      </c>
      <c r="F154" s="92"/>
      <c r="G154" s="67" t="s">
        <v>24</v>
      </c>
      <c r="H154" s="92"/>
      <c r="I154" s="17">
        <v>0.0</v>
      </c>
      <c r="J154" s="63"/>
      <c r="K154" s="4" t="str">
        <f t="shared" si="20"/>
        <v/>
      </c>
      <c r="L154" s="18" t="str">
        <f t="shared" si="21"/>
        <v/>
      </c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37"/>
      <c r="AE154" s="37"/>
      <c r="AF154" s="37"/>
      <c r="AG154" s="37"/>
      <c r="AH154" s="37"/>
      <c r="AI154" s="37"/>
      <c r="AJ154" s="37"/>
      <c r="AK154" s="37"/>
      <c r="AL154" s="37"/>
      <c r="AM154" s="63"/>
    </row>
    <row r="155" ht="15.75" customHeight="1">
      <c r="A155" s="29"/>
      <c r="B155" s="11">
        <v>46085.0</v>
      </c>
      <c r="C155" s="66" t="s">
        <v>88</v>
      </c>
      <c r="D155" s="39" t="s">
        <v>22</v>
      </c>
      <c r="E155" s="17" t="s">
        <v>126</v>
      </c>
      <c r="F155" s="17">
        <v>6.0</v>
      </c>
      <c r="G155" s="67" t="s">
        <v>24</v>
      </c>
      <c r="H155" s="17">
        <v>17.0</v>
      </c>
      <c r="I155" s="17" t="s">
        <v>66</v>
      </c>
      <c r="J155" s="63"/>
      <c r="K155" s="4">
        <f t="shared" si="20"/>
        <v>0</v>
      </c>
      <c r="L155" s="18">
        <f t="shared" si="21"/>
        <v>2</v>
      </c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37"/>
      <c r="AE155" s="37"/>
      <c r="AF155" s="37"/>
      <c r="AG155" s="37"/>
      <c r="AH155" s="37"/>
      <c r="AI155" s="37"/>
      <c r="AJ155" s="37"/>
      <c r="AK155" s="37"/>
      <c r="AL155" s="37"/>
      <c r="AM155" s="63"/>
    </row>
    <row r="156" ht="15.75" customHeight="1">
      <c r="A156" s="10">
        <v>7.0</v>
      </c>
      <c r="B156" s="11">
        <v>46085.0</v>
      </c>
      <c r="C156" s="66" t="s">
        <v>91</v>
      </c>
      <c r="D156" s="39" t="s">
        <v>22</v>
      </c>
      <c r="E156" s="17" t="s">
        <v>66</v>
      </c>
      <c r="F156" s="17">
        <v>15.0</v>
      </c>
      <c r="G156" s="67" t="s">
        <v>24</v>
      </c>
      <c r="H156" s="17">
        <v>9.0</v>
      </c>
      <c r="I156" s="17" t="s">
        <v>125</v>
      </c>
      <c r="J156" s="63"/>
      <c r="K156" s="4">
        <f t="shared" si="20"/>
        <v>2</v>
      </c>
      <c r="L156" s="18">
        <f t="shared" si="21"/>
        <v>0</v>
      </c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37"/>
      <c r="AE156" s="37"/>
      <c r="AF156" s="37"/>
      <c r="AG156" s="37"/>
      <c r="AH156" s="37"/>
      <c r="AI156" s="37"/>
      <c r="AJ156" s="37"/>
      <c r="AK156" s="37"/>
      <c r="AL156" s="37"/>
      <c r="AM156" s="63"/>
    </row>
    <row r="157" ht="15.75" customHeight="1">
      <c r="A157" s="25"/>
      <c r="B157" s="11">
        <v>46085.0</v>
      </c>
      <c r="C157" s="66" t="s">
        <v>53</v>
      </c>
      <c r="D157" s="39" t="s">
        <v>22</v>
      </c>
      <c r="E157" s="17" t="s">
        <v>127</v>
      </c>
      <c r="F157" s="17">
        <v>12.0</v>
      </c>
      <c r="G157" s="67" t="s">
        <v>24</v>
      </c>
      <c r="H157" s="17">
        <v>9.0</v>
      </c>
      <c r="I157" s="17" t="s">
        <v>68</v>
      </c>
      <c r="J157" s="63"/>
      <c r="K157" s="4">
        <f t="shared" si="20"/>
        <v>2</v>
      </c>
      <c r="L157" s="18">
        <f t="shared" si="21"/>
        <v>0</v>
      </c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37"/>
      <c r="AE157" s="37"/>
      <c r="AF157" s="37"/>
      <c r="AG157" s="37"/>
      <c r="AH157" s="37"/>
      <c r="AI157" s="37"/>
      <c r="AJ157" s="37"/>
      <c r="AK157" s="37"/>
      <c r="AL157" s="37"/>
      <c r="AM157" s="63"/>
    </row>
    <row r="158" ht="15.75" customHeight="1">
      <c r="A158" s="25"/>
      <c r="B158" s="11">
        <v>46085.0</v>
      </c>
      <c r="C158" s="66" t="s">
        <v>97</v>
      </c>
      <c r="D158" s="39" t="s">
        <v>22</v>
      </c>
      <c r="E158" s="17" t="s">
        <v>67</v>
      </c>
      <c r="F158" s="17">
        <v>4.0</v>
      </c>
      <c r="G158" s="67" t="s">
        <v>24</v>
      </c>
      <c r="H158" s="17">
        <v>6.0</v>
      </c>
      <c r="I158" s="17" t="s">
        <v>45</v>
      </c>
      <c r="J158" s="63"/>
      <c r="K158" s="4">
        <f t="shared" si="20"/>
        <v>0</v>
      </c>
      <c r="L158" s="18">
        <f t="shared" si="21"/>
        <v>2</v>
      </c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37"/>
      <c r="AE158" s="37"/>
      <c r="AF158" s="37"/>
      <c r="AG158" s="37"/>
      <c r="AH158" s="37"/>
      <c r="AI158" s="37"/>
      <c r="AJ158" s="37"/>
      <c r="AK158" s="37"/>
      <c r="AL158" s="37"/>
      <c r="AM158" s="63"/>
    </row>
    <row r="159" ht="15.75" customHeight="1">
      <c r="A159" s="25"/>
      <c r="B159" s="11">
        <v>46085.0</v>
      </c>
      <c r="C159" s="66" t="s">
        <v>98</v>
      </c>
      <c r="D159" s="39" t="s">
        <v>22</v>
      </c>
      <c r="E159" s="17" t="s">
        <v>58</v>
      </c>
      <c r="F159" s="17">
        <v>10.0</v>
      </c>
      <c r="G159" s="67" t="s">
        <v>24</v>
      </c>
      <c r="H159" s="17">
        <v>9.0</v>
      </c>
      <c r="I159" s="17" t="s">
        <v>60</v>
      </c>
      <c r="J159" s="63"/>
      <c r="K159" s="4">
        <f t="shared" si="20"/>
        <v>2</v>
      </c>
      <c r="L159" s="18">
        <f t="shared" si="21"/>
        <v>0</v>
      </c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37"/>
      <c r="AE159" s="37"/>
      <c r="AF159" s="37"/>
      <c r="AG159" s="37"/>
      <c r="AH159" s="37"/>
      <c r="AI159" s="37"/>
      <c r="AJ159" s="37"/>
      <c r="AK159" s="37"/>
      <c r="AL159" s="37"/>
      <c r="AM159" s="63"/>
    </row>
    <row r="160" ht="15.75" customHeight="1">
      <c r="A160" s="29"/>
      <c r="B160" s="96"/>
      <c r="C160" s="67"/>
      <c r="D160" s="67"/>
      <c r="E160" s="17">
        <v>0.0</v>
      </c>
      <c r="F160" s="92"/>
      <c r="G160" s="67" t="s">
        <v>24</v>
      </c>
      <c r="H160" s="92"/>
      <c r="I160" s="17" t="s">
        <v>126</v>
      </c>
      <c r="J160" s="63"/>
      <c r="K160" s="4" t="str">
        <f t="shared" si="20"/>
        <v/>
      </c>
      <c r="L160" s="18" t="str">
        <f t="shared" si="21"/>
        <v/>
      </c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37"/>
      <c r="AE160" s="37"/>
      <c r="AF160" s="37"/>
      <c r="AG160" s="37"/>
      <c r="AH160" s="37"/>
      <c r="AI160" s="37"/>
      <c r="AJ160" s="37"/>
      <c r="AK160" s="37"/>
      <c r="AL160" s="37"/>
      <c r="AM160" s="63"/>
    </row>
    <row r="161" ht="15.75" customHeight="1">
      <c r="A161" s="10">
        <v>8.0</v>
      </c>
      <c r="B161" s="99">
        <v>46155.0</v>
      </c>
      <c r="C161" s="66" t="s">
        <v>106</v>
      </c>
      <c r="D161" s="66" t="s">
        <v>22</v>
      </c>
      <c r="E161" s="17" t="s">
        <v>125</v>
      </c>
      <c r="F161" s="17">
        <v>9.0</v>
      </c>
      <c r="G161" s="67" t="s">
        <v>24</v>
      </c>
      <c r="H161" s="17">
        <v>11.0</v>
      </c>
      <c r="I161" s="17" t="s">
        <v>126</v>
      </c>
      <c r="J161" s="63"/>
      <c r="K161" s="4">
        <f t="shared" si="20"/>
        <v>0</v>
      </c>
      <c r="L161" s="18">
        <f t="shared" si="21"/>
        <v>2</v>
      </c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63"/>
      <c r="AB161" s="63"/>
      <c r="AC161" s="63"/>
      <c r="AD161" s="37"/>
      <c r="AE161" s="37"/>
      <c r="AF161" s="37"/>
      <c r="AG161" s="37"/>
      <c r="AH161" s="37"/>
      <c r="AI161" s="37"/>
      <c r="AJ161" s="37"/>
      <c r="AK161" s="37"/>
      <c r="AL161" s="37"/>
      <c r="AM161" s="63"/>
    </row>
    <row r="162" ht="15.75" customHeight="1">
      <c r="A162" s="25"/>
      <c r="B162" s="99">
        <v>46155.0</v>
      </c>
      <c r="C162" s="66" t="s">
        <v>116</v>
      </c>
      <c r="D162" s="66" t="s">
        <v>22</v>
      </c>
      <c r="E162" s="17" t="s">
        <v>68</v>
      </c>
      <c r="F162" s="17">
        <v>12.0</v>
      </c>
      <c r="G162" s="67" t="s">
        <v>24</v>
      </c>
      <c r="H162" s="17">
        <v>14.0</v>
      </c>
      <c r="I162" s="17" t="s">
        <v>66</v>
      </c>
      <c r="J162" s="63"/>
      <c r="K162" s="4">
        <f t="shared" si="20"/>
        <v>0</v>
      </c>
      <c r="L162" s="18">
        <f t="shared" si="21"/>
        <v>2</v>
      </c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63"/>
      <c r="AB162" s="63"/>
      <c r="AC162" s="63"/>
      <c r="AD162" s="37"/>
      <c r="AE162" s="37"/>
      <c r="AF162" s="37"/>
      <c r="AG162" s="37"/>
      <c r="AH162" s="37"/>
      <c r="AI162" s="37"/>
      <c r="AJ162" s="37"/>
      <c r="AK162" s="37"/>
      <c r="AL162" s="37"/>
      <c r="AM162" s="63"/>
    </row>
    <row r="163" ht="15.75" customHeight="1">
      <c r="A163" s="25"/>
      <c r="B163" s="99">
        <v>46155.0</v>
      </c>
      <c r="C163" s="66" t="s">
        <v>117</v>
      </c>
      <c r="D163" s="66" t="s">
        <v>22</v>
      </c>
      <c r="E163" s="17" t="s">
        <v>45</v>
      </c>
      <c r="F163" s="17">
        <v>7.0</v>
      </c>
      <c r="G163" s="67" t="s">
        <v>24</v>
      </c>
      <c r="H163" s="17">
        <v>15.0</v>
      </c>
      <c r="I163" s="17" t="s">
        <v>127</v>
      </c>
      <c r="J163" s="63"/>
      <c r="K163" s="4">
        <f t="shared" si="20"/>
        <v>0</v>
      </c>
      <c r="L163" s="18">
        <f t="shared" si="21"/>
        <v>2</v>
      </c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63"/>
      <c r="AB163" s="63"/>
      <c r="AC163" s="63"/>
      <c r="AD163" s="37"/>
      <c r="AE163" s="37"/>
      <c r="AF163" s="37"/>
      <c r="AG163" s="37"/>
      <c r="AH163" s="37"/>
      <c r="AI163" s="37"/>
      <c r="AJ163" s="37"/>
      <c r="AK163" s="37"/>
      <c r="AL163" s="37"/>
      <c r="AM163" s="63"/>
    </row>
    <row r="164" ht="15.75" customHeight="1">
      <c r="A164" s="25"/>
      <c r="B164" s="99">
        <v>46155.0</v>
      </c>
      <c r="C164" s="66" t="s">
        <v>118</v>
      </c>
      <c r="D164" s="66" t="s">
        <v>22</v>
      </c>
      <c r="E164" s="17" t="s">
        <v>60</v>
      </c>
      <c r="F164" s="17">
        <v>7.0</v>
      </c>
      <c r="G164" s="67" t="s">
        <v>24</v>
      </c>
      <c r="H164" s="17">
        <v>6.0</v>
      </c>
      <c r="I164" s="17" t="s">
        <v>67</v>
      </c>
      <c r="J164" s="63"/>
      <c r="K164" s="4">
        <f t="shared" si="20"/>
        <v>2</v>
      </c>
      <c r="L164" s="18">
        <f t="shared" si="21"/>
        <v>0</v>
      </c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63"/>
      <c r="AB164" s="63"/>
      <c r="AC164" s="63"/>
      <c r="AD164" s="37"/>
      <c r="AE164" s="37"/>
      <c r="AF164" s="37"/>
      <c r="AG164" s="37"/>
      <c r="AH164" s="37"/>
      <c r="AI164" s="37"/>
      <c r="AJ164" s="37"/>
      <c r="AK164" s="37"/>
      <c r="AL164" s="37"/>
      <c r="AM164" s="63"/>
    </row>
    <row r="165" ht="15.75" customHeight="1">
      <c r="A165" s="29"/>
      <c r="B165" s="96"/>
      <c r="C165" s="67"/>
      <c r="D165" s="67"/>
      <c r="E165" s="17" t="s">
        <v>58</v>
      </c>
      <c r="F165" s="92"/>
      <c r="G165" s="67" t="s">
        <v>24</v>
      </c>
      <c r="H165" s="92"/>
      <c r="I165" s="17">
        <v>0.0</v>
      </c>
      <c r="J165" s="63"/>
      <c r="K165" s="4" t="str">
        <f t="shared" si="20"/>
        <v/>
      </c>
      <c r="L165" s="18" t="str">
        <f t="shared" si="21"/>
        <v/>
      </c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63"/>
      <c r="AB165" s="63"/>
      <c r="AC165" s="63"/>
      <c r="AD165" s="37"/>
      <c r="AE165" s="37"/>
      <c r="AF165" s="37"/>
      <c r="AG165" s="37"/>
      <c r="AH165" s="37"/>
      <c r="AI165" s="37"/>
      <c r="AJ165" s="37"/>
      <c r="AK165" s="37"/>
      <c r="AL165" s="37"/>
      <c r="AM165" s="63"/>
    </row>
    <row r="166" ht="15.75" customHeight="1">
      <c r="A166" s="10">
        <v>9.0</v>
      </c>
      <c r="B166" s="96"/>
      <c r="C166" s="67"/>
      <c r="D166" s="67"/>
      <c r="E166" s="17">
        <v>0.0</v>
      </c>
      <c r="F166" s="92"/>
      <c r="G166" s="67" t="s">
        <v>24</v>
      </c>
      <c r="H166" s="92"/>
      <c r="I166" s="17" t="s">
        <v>125</v>
      </c>
      <c r="J166" s="63"/>
      <c r="K166" s="4" t="str">
        <f t="shared" si="20"/>
        <v/>
      </c>
      <c r="L166" s="18" t="str">
        <f t="shared" si="21"/>
        <v/>
      </c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63"/>
      <c r="AB166" s="63"/>
      <c r="AC166" s="63"/>
      <c r="AD166" s="37"/>
      <c r="AE166" s="37"/>
      <c r="AF166" s="37"/>
      <c r="AG166" s="37"/>
      <c r="AH166" s="37"/>
      <c r="AI166" s="37"/>
      <c r="AJ166" s="37"/>
      <c r="AK166" s="37"/>
      <c r="AL166" s="37"/>
      <c r="AM166" s="63"/>
    </row>
    <row r="167" ht="15.75" customHeight="1">
      <c r="A167" s="25"/>
      <c r="B167" s="99">
        <v>46155.0</v>
      </c>
      <c r="C167" s="66" t="s">
        <v>119</v>
      </c>
      <c r="D167" s="66" t="s">
        <v>22</v>
      </c>
      <c r="E167" s="17" t="s">
        <v>126</v>
      </c>
      <c r="F167" s="17">
        <v>5.0</v>
      </c>
      <c r="G167" s="67" t="s">
        <v>24</v>
      </c>
      <c r="H167" s="17">
        <v>16.0</v>
      </c>
      <c r="I167" s="17" t="s">
        <v>68</v>
      </c>
      <c r="J167" s="63"/>
      <c r="K167" s="4">
        <f t="shared" si="20"/>
        <v>0</v>
      </c>
      <c r="L167" s="18">
        <f t="shared" si="21"/>
        <v>2</v>
      </c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63"/>
      <c r="AB167" s="63"/>
      <c r="AC167" s="63"/>
      <c r="AD167" s="37"/>
      <c r="AE167" s="37"/>
      <c r="AF167" s="37"/>
      <c r="AG167" s="37"/>
      <c r="AH167" s="37"/>
      <c r="AI167" s="37"/>
      <c r="AJ167" s="37"/>
      <c r="AK167" s="37"/>
      <c r="AL167" s="37"/>
      <c r="AM167" s="63"/>
    </row>
    <row r="168" ht="15.75" customHeight="1">
      <c r="A168" s="25"/>
      <c r="B168" s="99">
        <v>46155.0</v>
      </c>
      <c r="C168" s="66" t="s">
        <v>120</v>
      </c>
      <c r="D168" s="66" t="s">
        <v>22</v>
      </c>
      <c r="E168" s="17" t="s">
        <v>66</v>
      </c>
      <c r="F168" s="17">
        <v>21.0</v>
      </c>
      <c r="G168" s="67" t="s">
        <v>24</v>
      </c>
      <c r="H168" s="17">
        <v>0.0</v>
      </c>
      <c r="I168" s="17" t="s">
        <v>45</v>
      </c>
      <c r="J168" s="63"/>
      <c r="K168" s="4">
        <f t="shared" si="20"/>
        <v>2</v>
      </c>
      <c r="L168" s="18">
        <f t="shared" si="21"/>
        <v>0</v>
      </c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63"/>
      <c r="AB168" s="63"/>
      <c r="AC168" s="63"/>
      <c r="AD168" s="37"/>
      <c r="AE168" s="37"/>
      <c r="AF168" s="37"/>
      <c r="AG168" s="37"/>
      <c r="AH168" s="37"/>
      <c r="AI168" s="37"/>
      <c r="AJ168" s="37"/>
      <c r="AK168" s="37"/>
      <c r="AL168" s="37"/>
      <c r="AM168" s="63"/>
    </row>
    <row r="169" ht="15.75" customHeight="1">
      <c r="A169" s="25"/>
      <c r="B169" s="99">
        <v>46155.0</v>
      </c>
      <c r="C169" s="66" t="s">
        <v>121</v>
      </c>
      <c r="D169" s="66" t="s">
        <v>22</v>
      </c>
      <c r="E169" s="17" t="s">
        <v>127</v>
      </c>
      <c r="F169" s="17">
        <v>16.0</v>
      </c>
      <c r="G169" s="67" t="s">
        <v>24</v>
      </c>
      <c r="H169" s="17">
        <v>9.0</v>
      </c>
      <c r="I169" s="17" t="s">
        <v>60</v>
      </c>
      <c r="J169" s="63"/>
      <c r="K169" s="4">
        <f t="shared" si="20"/>
        <v>2</v>
      </c>
      <c r="L169" s="18">
        <f t="shared" si="21"/>
        <v>0</v>
      </c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37"/>
      <c r="AE169" s="37"/>
      <c r="AF169" s="37"/>
      <c r="AG169" s="37"/>
      <c r="AH169" s="37"/>
      <c r="AI169" s="37"/>
      <c r="AJ169" s="37"/>
      <c r="AK169" s="37"/>
      <c r="AL169" s="37"/>
      <c r="AM169" s="63"/>
    </row>
    <row r="170" ht="15.75" customHeight="1">
      <c r="A170" s="29"/>
      <c r="B170" s="99">
        <v>46155.0</v>
      </c>
      <c r="C170" s="66" t="s">
        <v>122</v>
      </c>
      <c r="D170" s="66" t="s">
        <v>22</v>
      </c>
      <c r="E170" s="17" t="s">
        <v>67</v>
      </c>
      <c r="F170" s="17">
        <v>11.0</v>
      </c>
      <c r="G170" s="67" t="s">
        <v>24</v>
      </c>
      <c r="H170" s="17">
        <v>15.0</v>
      </c>
      <c r="I170" s="17" t="s">
        <v>58</v>
      </c>
      <c r="J170" s="63"/>
      <c r="K170" s="4">
        <f t="shared" si="20"/>
        <v>0</v>
      </c>
      <c r="L170" s="18">
        <f t="shared" si="21"/>
        <v>2</v>
      </c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37"/>
      <c r="AE170" s="37"/>
      <c r="AF170" s="37"/>
      <c r="AG170" s="37"/>
      <c r="AH170" s="37"/>
      <c r="AI170" s="37"/>
      <c r="AJ170" s="37"/>
      <c r="AK170" s="37"/>
      <c r="AL170" s="37"/>
      <c r="AM170" s="63"/>
    </row>
    <row r="171" ht="15.75" customHeight="1">
      <c r="A171" s="101"/>
      <c r="B171" s="63"/>
      <c r="C171" s="63"/>
      <c r="D171" s="63"/>
      <c r="E171" s="37"/>
      <c r="F171" s="63"/>
      <c r="G171" s="63"/>
      <c r="H171" s="63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37"/>
      <c r="AE171" s="37"/>
      <c r="AF171" s="37"/>
      <c r="AG171" s="37"/>
      <c r="AH171" s="37"/>
      <c r="AI171" s="37"/>
      <c r="AJ171" s="37"/>
      <c r="AK171" s="37"/>
      <c r="AL171" s="37"/>
      <c r="AM171" s="63"/>
    </row>
    <row r="172" ht="15.75" customHeight="1">
      <c r="A172" s="101"/>
      <c r="B172" s="63"/>
      <c r="C172" s="63"/>
      <c r="D172" s="63"/>
      <c r="E172" s="37"/>
      <c r="F172" s="63"/>
      <c r="G172" s="63"/>
      <c r="H172" s="63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37"/>
      <c r="AE172" s="37"/>
      <c r="AF172" s="37"/>
      <c r="AG172" s="37"/>
      <c r="AH172" s="37"/>
      <c r="AI172" s="37"/>
      <c r="AJ172" s="37"/>
      <c r="AK172" s="37"/>
      <c r="AL172" s="37"/>
      <c r="AM172" s="63"/>
    </row>
    <row r="173" ht="15.75" customHeight="1">
      <c r="A173" s="101"/>
      <c r="B173" s="63"/>
      <c r="C173" s="63"/>
      <c r="D173" s="63"/>
      <c r="E173" s="37"/>
      <c r="F173" s="63"/>
      <c r="G173" s="63"/>
      <c r="H173" s="63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37"/>
      <c r="AE173" s="37"/>
      <c r="AF173" s="37"/>
      <c r="AG173" s="37"/>
      <c r="AH173" s="37"/>
      <c r="AI173" s="37"/>
      <c r="AJ173" s="37"/>
      <c r="AK173" s="37"/>
      <c r="AL173" s="37"/>
      <c r="AM173" s="63"/>
    </row>
    <row r="174" ht="15.75" customHeight="1">
      <c r="A174" s="101"/>
      <c r="B174" s="63"/>
      <c r="C174" s="63"/>
      <c r="D174" s="63"/>
      <c r="E174" s="37"/>
      <c r="F174" s="63"/>
      <c r="G174" s="63"/>
      <c r="H174" s="63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37"/>
      <c r="AE174" s="37"/>
      <c r="AF174" s="37"/>
      <c r="AG174" s="37"/>
      <c r="AH174" s="37"/>
      <c r="AI174" s="37"/>
      <c r="AJ174" s="37"/>
      <c r="AK174" s="37"/>
      <c r="AL174" s="37"/>
      <c r="AM174" s="63"/>
    </row>
    <row r="175" ht="15.75" customHeight="1">
      <c r="A175" s="57" t="s">
        <v>129</v>
      </c>
      <c r="H175" s="2"/>
      <c r="I175" s="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37"/>
      <c r="AE175" s="37"/>
      <c r="AF175" s="37"/>
      <c r="AG175" s="37"/>
      <c r="AH175" s="37"/>
      <c r="AI175" s="37"/>
      <c r="AJ175" s="37"/>
      <c r="AK175" s="37"/>
      <c r="AL175" s="37"/>
      <c r="AM175" s="63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85</v>
      </c>
      <c r="U176" s="9" t="s">
        <v>86</v>
      </c>
      <c r="V176" s="9" t="s">
        <v>87</v>
      </c>
      <c r="W176" s="63"/>
      <c r="X176" s="63"/>
      <c r="Y176" s="63"/>
      <c r="Z176" s="63"/>
      <c r="AA176" s="63"/>
      <c r="AB176" s="63"/>
      <c r="AC176" s="63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85</v>
      </c>
      <c r="AK176" s="5" t="s">
        <v>86</v>
      </c>
      <c r="AL176" s="5" t="s">
        <v>87</v>
      </c>
      <c r="AM176" s="63"/>
    </row>
    <row r="177" ht="15.75" customHeight="1">
      <c r="A177" s="102">
        <v>1.0</v>
      </c>
      <c r="B177" s="43"/>
      <c r="C177" s="12"/>
      <c r="D177" s="12"/>
      <c r="E177" s="44" t="s">
        <v>130</v>
      </c>
      <c r="F177" s="13"/>
      <c r="G177" s="16" t="s">
        <v>24</v>
      </c>
      <c r="H177" s="13"/>
      <c r="I177" s="44" t="s">
        <v>131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7" t="s">
        <v>130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3"/>
      <c r="X177" s="63"/>
      <c r="Y177" s="63"/>
      <c r="Z177" s="63"/>
      <c r="AA177" s="63"/>
      <c r="AB177" s="63"/>
      <c r="AC177" s="63"/>
      <c r="AD177" s="103">
        <v>1.0</v>
      </c>
      <c r="AE177" s="70" t="str">
        <f t="array" ref="AE177:AM179">SORT(O177:X179,2,FALSE,9,FALSE,8,FALSE())</f>
        <v>9º Class. 1ª Div.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3"/>
    </row>
    <row r="178" ht="15.75" customHeight="1">
      <c r="A178" s="102">
        <v>2.0</v>
      </c>
      <c r="B178" s="43"/>
      <c r="C178" s="12"/>
      <c r="D178" s="12"/>
      <c r="E178" s="44" t="s">
        <v>131</v>
      </c>
      <c r="F178" s="13"/>
      <c r="G178" s="16" t="s">
        <v>24</v>
      </c>
      <c r="H178" s="13"/>
      <c r="I178" s="44" t="s">
        <v>132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7" t="s">
        <v>131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3"/>
      <c r="X178" s="63"/>
      <c r="Y178" s="63"/>
      <c r="Z178" s="63"/>
      <c r="AA178" s="63"/>
      <c r="AB178" s="63"/>
      <c r="AC178" s="63"/>
      <c r="AD178" s="103">
        <v>2.0</v>
      </c>
      <c r="AE178" s="70" t="s">
        <v>131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3"/>
    </row>
    <row r="179" ht="15.75" customHeight="1">
      <c r="A179" s="102">
        <v>3.0</v>
      </c>
      <c r="B179" s="43"/>
      <c r="C179" s="12"/>
      <c r="D179" s="12"/>
      <c r="E179" s="44" t="s">
        <v>132</v>
      </c>
      <c r="F179" s="13"/>
      <c r="G179" s="16" t="s">
        <v>24</v>
      </c>
      <c r="H179" s="13"/>
      <c r="I179" s="44" t="s">
        <v>130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7" t="s">
        <v>132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3"/>
      <c r="X179" s="63"/>
      <c r="Y179" s="63"/>
      <c r="Z179" s="63"/>
      <c r="AA179" s="63"/>
      <c r="AB179" s="63"/>
      <c r="AC179" s="63"/>
      <c r="AD179" s="22">
        <v>3.0</v>
      </c>
      <c r="AE179" s="70" t="s">
        <v>132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3"/>
    </row>
    <row r="180" ht="15.75" customHeight="1">
      <c r="A180" s="101"/>
      <c r="B180" s="63"/>
      <c r="C180" s="63"/>
      <c r="D180" s="63"/>
      <c r="E180" s="37"/>
      <c r="F180" s="63"/>
      <c r="G180" s="63"/>
      <c r="H180" s="63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4"/>
      <c r="AG180" s="37"/>
      <c r="AI180" s="37"/>
      <c r="AJ180" s="37"/>
      <c r="AK180" s="37"/>
      <c r="AL180" s="37"/>
      <c r="AM180" s="63"/>
    </row>
    <row r="181" ht="15.75" customHeight="1">
      <c r="A181" s="101"/>
      <c r="B181" s="63"/>
      <c r="C181" s="63"/>
      <c r="D181" s="63"/>
      <c r="E181" s="37"/>
      <c r="F181" s="63"/>
      <c r="G181" s="63"/>
      <c r="H181" s="63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I181" s="37"/>
      <c r="AJ181" s="37"/>
      <c r="AK181" s="37"/>
      <c r="AL181" s="37"/>
      <c r="AM181" s="63"/>
    </row>
    <row r="182" ht="15.75" customHeight="1">
      <c r="A182" s="101"/>
      <c r="B182" s="63"/>
      <c r="C182" s="63"/>
      <c r="D182" s="63"/>
      <c r="E182" s="37"/>
      <c r="F182" s="63"/>
      <c r="G182" s="63"/>
      <c r="H182" s="63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I182" s="37"/>
      <c r="AJ182" s="37"/>
      <c r="AK182" s="37"/>
      <c r="AL182" s="37"/>
      <c r="AM182" s="63"/>
    </row>
    <row r="183" ht="15.75" customHeight="1">
      <c r="A183" s="101"/>
      <c r="B183" s="63"/>
      <c r="C183" s="63"/>
      <c r="D183" s="63"/>
      <c r="E183" s="37"/>
      <c r="F183" s="63"/>
      <c r="G183" s="63"/>
      <c r="H183" s="63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I183" s="37"/>
      <c r="AJ183" s="37"/>
      <c r="AK183" s="37"/>
      <c r="AL183" s="37"/>
      <c r="AM183" s="63"/>
    </row>
    <row r="184" ht="15.75" customHeight="1">
      <c r="A184" s="57" t="s">
        <v>133</v>
      </c>
      <c r="H184" s="2"/>
      <c r="I184" s="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I184" s="37"/>
      <c r="AJ184" s="37"/>
      <c r="AK184" s="37"/>
      <c r="AL184" s="37"/>
      <c r="AM184" s="63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I185" s="37"/>
      <c r="AJ185" s="37"/>
      <c r="AK185" s="37"/>
      <c r="AL185" s="37"/>
      <c r="AM185" s="63"/>
    </row>
    <row r="186" ht="15.75" customHeight="1">
      <c r="A186" s="58" t="s">
        <v>72</v>
      </c>
      <c r="B186" s="43"/>
      <c r="C186" s="12"/>
      <c r="D186" s="12"/>
      <c r="E186" s="44" t="s">
        <v>134</v>
      </c>
      <c r="F186" s="31"/>
      <c r="G186" s="16" t="s">
        <v>24</v>
      </c>
      <c r="H186" s="31"/>
      <c r="I186" s="44" t="s">
        <v>135</v>
      </c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I186" s="37"/>
      <c r="AJ186" s="37"/>
      <c r="AK186" s="37"/>
      <c r="AL186" s="37"/>
      <c r="AM186" s="63"/>
    </row>
    <row r="187" ht="15.75" customHeight="1">
      <c r="A187" s="25"/>
      <c r="B187" s="43"/>
      <c r="C187" s="12"/>
      <c r="D187" s="12"/>
      <c r="E187" s="44" t="s">
        <v>136</v>
      </c>
      <c r="F187" s="31"/>
      <c r="G187" s="16" t="s">
        <v>24</v>
      </c>
      <c r="H187" s="31"/>
      <c r="I187" s="44" t="s">
        <v>137</v>
      </c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I187" s="37"/>
      <c r="AJ187" s="37"/>
      <c r="AK187" s="37"/>
      <c r="AL187" s="37"/>
      <c r="AM187" s="63"/>
    </row>
    <row r="188" ht="15.75" customHeight="1">
      <c r="A188" s="25"/>
      <c r="B188" s="43"/>
      <c r="C188" s="12"/>
      <c r="D188" s="12"/>
      <c r="E188" s="44" t="s">
        <v>138</v>
      </c>
      <c r="F188" s="31"/>
      <c r="G188" s="16" t="s">
        <v>24</v>
      </c>
      <c r="H188" s="31"/>
      <c r="I188" s="44" t="s">
        <v>139</v>
      </c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37"/>
      <c r="AE188" s="37"/>
      <c r="AF188" s="37"/>
      <c r="AG188" s="37"/>
      <c r="AH188" s="37"/>
      <c r="AI188" s="37"/>
      <c r="AJ188" s="37"/>
      <c r="AK188" s="37"/>
      <c r="AL188" s="37"/>
      <c r="AM188" s="63"/>
    </row>
    <row r="189" ht="15.75" customHeight="1">
      <c r="A189" s="29"/>
      <c r="B189" s="43"/>
      <c r="C189" s="12"/>
      <c r="D189" s="12"/>
      <c r="E189" s="44" t="s">
        <v>140</v>
      </c>
      <c r="F189" s="31"/>
      <c r="G189" s="16" t="s">
        <v>24</v>
      </c>
      <c r="H189" s="31"/>
      <c r="I189" s="44" t="s">
        <v>141</v>
      </c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37"/>
      <c r="AE189" s="37"/>
      <c r="AF189" s="37"/>
      <c r="AG189" s="37"/>
      <c r="AH189" s="37"/>
      <c r="AI189" s="37"/>
      <c r="AJ189" s="37"/>
      <c r="AK189" s="37"/>
      <c r="AL189" s="37"/>
      <c r="AM189" s="63"/>
    </row>
    <row r="190" ht="15.75" customHeight="1">
      <c r="A190" s="59" t="s">
        <v>73</v>
      </c>
      <c r="B190" s="43"/>
      <c r="C190" s="12"/>
      <c r="D190" s="12"/>
      <c r="E190" s="44" t="s">
        <v>74</v>
      </c>
      <c r="F190" s="31"/>
      <c r="G190" s="16" t="s">
        <v>24</v>
      </c>
      <c r="H190" s="31"/>
      <c r="I190" s="44" t="s">
        <v>75</v>
      </c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63"/>
      <c r="AB190" s="63"/>
      <c r="AC190" s="63"/>
      <c r="AD190" s="37"/>
      <c r="AE190" s="37"/>
      <c r="AF190" s="37"/>
      <c r="AG190" s="37"/>
      <c r="AH190" s="37"/>
      <c r="AI190" s="37"/>
      <c r="AJ190" s="37"/>
      <c r="AK190" s="37"/>
      <c r="AL190" s="37"/>
      <c r="AM190" s="63"/>
    </row>
    <row r="191" ht="15.75" customHeight="1">
      <c r="A191" s="25"/>
      <c r="B191" s="56"/>
      <c r="C191" s="31"/>
      <c r="D191" s="12"/>
      <c r="E191" s="51" t="s">
        <v>76</v>
      </c>
      <c r="F191" s="13"/>
      <c r="G191" s="16" t="s">
        <v>24</v>
      </c>
      <c r="H191" s="13"/>
      <c r="I191" s="44" t="s">
        <v>77</v>
      </c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63"/>
      <c r="AB191" s="63"/>
      <c r="AC191" s="63"/>
      <c r="AD191" s="37"/>
      <c r="AE191" s="37"/>
      <c r="AF191" s="37"/>
      <c r="AG191" s="37"/>
      <c r="AH191" s="37"/>
      <c r="AI191" s="37"/>
      <c r="AJ191" s="37"/>
      <c r="AK191" s="37"/>
      <c r="AL191" s="37"/>
      <c r="AM191" s="63"/>
    </row>
    <row r="192" ht="15.75" customHeight="1">
      <c r="A192" s="60" t="s">
        <v>78</v>
      </c>
      <c r="B192" s="30"/>
      <c r="C192" s="31"/>
      <c r="D192" s="12"/>
      <c r="E192" s="44" t="s">
        <v>79</v>
      </c>
      <c r="F192" s="31"/>
      <c r="G192" s="16" t="s">
        <v>24</v>
      </c>
      <c r="H192" s="31"/>
      <c r="I192" s="61" t="s">
        <v>80</v>
      </c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63"/>
      <c r="AB192" s="63"/>
      <c r="AC192" s="63"/>
      <c r="AD192" s="37"/>
      <c r="AE192" s="37"/>
      <c r="AF192" s="37"/>
      <c r="AG192" s="37"/>
      <c r="AH192" s="37"/>
      <c r="AI192" s="37"/>
      <c r="AJ192" s="37"/>
      <c r="AK192" s="37"/>
      <c r="AL192" s="37"/>
      <c r="AM192" s="63"/>
    </row>
    <row r="193" ht="15.75" customHeight="1">
      <c r="A193" s="60" t="s">
        <v>81</v>
      </c>
      <c r="B193" s="30"/>
      <c r="C193" s="31"/>
      <c r="D193" s="12"/>
      <c r="E193" s="44" t="s">
        <v>82</v>
      </c>
      <c r="F193" s="31"/>
      <c r="G193" s="16" t="s">
        <v>24</v>
      </c>
      <c r="H193" s="31"/>
      <c r="I193" s="44" t="s">
        <v>83</v>
      </c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63"/>
      <c r="AB193" s="63"/>
      <c r="AC193" s="63"/>
      <c r="AD193" s="37"/>
      <c r="AE193" s="37"/>
      <c r="AF193" s="37"/>
      <c r="AG193" s="37"/>
      <c r="AH193" s="37"/>
      <c r="AI193" s="37"/>
      <c r="AJ193" s="37"/>
      <c r="AK193" s="37"/>
      <c r="AL193" s="37"/>
      <c r="AM193" s="63"/>
    </row>
    <row r="194" ht="15.75" customHeight="1">
      <c r="A194" s="101"/>
      <c r="B194" s="63"/>
      <c r="C194" s="63"/>
      <c r="D194" s="63"/>
      <c r="E194" s="37"/>
      <c r="F194" s="63"/>
      <c r="G194" s="63"/>
      <c r="H194" s="63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63"/>
      <c r="AB194" s="63"/>
      <c r="AC194" s="63"/>
      <c r="AD194" s="37"/>
      <c r="AE194" s="37"/>
      <c r="AF194" s="37"/>
      <c r="AG194" s="37"/>
      <c r="AH194" s="37"/>
      <c r="AI194" s="37"/>
      <c r="AJ194" s="37"/>
      <c r="AK194" s="37"/>
      <c r="AL194" s="37"/>
      <c r="AM194" s="63"/>
    </row>
    <row r="195" ht="15.75" customHeight="1">
      <c r="A195" s="101"/>
      <c r="B195" s="63"/>
      <c r="C195" s="63"/>
      <c r="D195" s="63"/>
      <c r="E195" s="37"/>
      <c r="F195" s="63"/>
      <c r="G195" s="63"/>
      <c r="H195" s="63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63"/>
      <c r="AB195" s="63"/>
      <c r="AC195" s="63"/>
      <c r="AD195" s="37"/>
      <c r="AE195" s="37"/>
      <c r="AF195" s="37"/>
      <c r="AG195" s="37"/>
      <c r="AH195" s="37"/>
      <c r="AI195" s="37"/>
      <c r="AJ195" s="37"/>
      <c r="AK195" s="37"/>
      <c r="AL195" s="37"/>
      <c r="AM195" s="63"/>
    </row>
    <row r="196" ht="15.75" customHeight="1">
      <c r="A196" s="101"/>
      <c r="B196" s="63"/>
      <c r="C196" s="63"/>
      <c r="D196" s="63"/>
      <c r="E196" s="37"/>
      <c r="F196" s="63"/>
      <c r="G196" s="63"/>
      <c r="H196" s="63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63"/>
      <c r="AB196" s="63"/>
      <c r="AC196" s="63"/>
      <c r="AD196" s="37"/>
      <c r="AE196" s="37"/>
      <c r="AF196" s="37"/>
      <c r="AG196" s="37"/>
      <c r="AH196" s="37"/>
      <c r="AI196" s="37"/>
      <c r="AJ196" s="37"/>
      <c r="AK196" s="37"/>
      <c r="AL196" s="37"/>
      <c r="AM196" s="63"/>
    </row>
    <row r="197" ht="15.75" customHeight="1">
      <c r="A197" s="101"/>
      <c r="B197" s="63"/>
      <c r="C197" s="63"/>
      <c r="D197" s="63"/>
      <c r="E197" s="37"/>
      <c r="F197" s="63"/>
      <c r="G197" s="63"/>
      <c r="H197" s="63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63"/>
      <c r="AB197" s="63"/>
      <c r="AC197" s="63"/>
      <c r="AD197" s="37"/>
      <c r="AE197" s="37"/>
      <c r="AF197" s="37"/>
      <c r="AG197" s="37"/>
      <c r="AH197" s="37"/>
      <c r="AI197" s="37"/>
      <c r="AJ197" s="37"/>
      <c r="AK197" s="37"/>
      <c r="AL197" s="37"/>
      <c r="AM197" s="63"/>
    </row>
    <row r="198" ht="15.75" customHeight="1">
      <c r="A198" s="101"/>
      <c r="B198" s="63"/>
      <c r="C198" s="63"/>
      <c r="D198" s="63"/>
      <c r="E198" s="37"/>
      <c r="F198" s="63"/>
      <c r="G198" s="63"/>
      <c r="H198" s="63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37"/>
      <c r="AE198" s="37"/>
      <c r="AF198" s="37"/>
      <c r="AG198" s="37"/>
      <c r="AH198" s="37"/>
      <c r="AI198" s="37"/>
      <c r="AJ198" s="37"/>
      <c r="AK198" s="37"/>
      <c r="AL198" s="37"/>
      <c r="AM198" s="63"/>
    </row>
    <row r="199" ht="15.75" customHeight="1">
      <c r="A199" s="101"/>
      <c r="B199" s="63"/>
      <c r="C199" s="63"/>
      <c r="D199" s="63"/>
      <c r="E199" s="37"/>
      <c r="F199" s="63"/>
      <c r="G199" s="63"/>
      <c r="H199" s="63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37"/>
      <c r="AE199" s="37"/>
      <c r="AF199" s="37"/>
      <c r="AG199" s="37"/>
      <c r="AH199" s="37"/>
      <c r="AI199" s="37"/>
      <c r="AJ199" s="37"/>
      <c r="AK199" s="37"/>
      <c r="AL199" s="37"/>
      <c r="AM199" s="63"/>
    </row>
    <row r="200" ht="15.75" customHeight="1">
      <c r="A200" s="101"/>
      <c r="B200" s="63"/>
      <c r="C200" s="63"/>
      <c r="D200" s="63"/>
      <c r="E200" s="37"/>
      <c r="F200" s="63"/>
      <c r="G200" s="63"/>
      <c r="H200" s="63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37"/>
      <c r="AE200" s="37"/>
      <c r="AF200" s="37"/>
      <c r="AG200" s="37"/>
      <c r="AH200" s="37"/>
      <c r="AI200" s="37"/>
      <c r="AJ200" s="37"/>
      <c r="AK200" s="37"/>
      <c r="AL200" s="37"/>
      <c r="AM200" s="63"/>
    </row>
    <row r="201" ht="15.75" customHeight="1">
      <c r="A201" s="101"/>
      <c r="B201" s="63"/>
      <c r="C201" s="63"/>
      <c r="D201" s="63"/>
      <c r="E201" s="37"/>
      <c r="F201" s="63"/>
      <c r="G201" s="63"/>
      <c r="H201" s="63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37"/>
      <c r="AE201" s="37"/>
      <c r="AF201" s="37"/>
      <c r="AG201" s="37"/>
      <c r="AH201" s="37"/>
      <c r="AI201" s="37"/>
      <c r="AJ201" s="37"/>
      <c r="AK201" s="37"/>
      <c r="AL201" s="37"/>
      <c r="AM201" s="63"/>
    </row>
    <row r="202" ht="15.75" customHeight="1">
      <c r="A202" s="101"/>
      <c r="B202" s="63"/>
      <c r="C202" s="63"/>
      <c r="D202" s="63"/>
      <c r="E202" s="37"/>
      <c r="F202" s="63"/>
      <c r="G202" s="63"/>
      <c r="H202" s="63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37"/>
      <c r="AE202" s="37"/>
      <c r="AF202" s="37"/>
      <c r="AG202" s="37"/>
      <c r="AH202" s="37"/>
      <c r="AI202" s="37"/>
      <c r="AJ202" s="37"/>
      <c r="AK202" s="37"/>
      <c r="AL202" s="37"/>
      <c r="AM202" s="63"/>
    </row>
    <row r="203" ht="15.75" customHeight="1">
      <c r="A203" s="101"/>
      <c r="B203" s="63"/>
      <c r="C203" s="63"/>
      <c r="D203" s="63"/>
      <c r="E203" s="37"/>
      <c r="F203" s="63"/>
      <c r="G203" s="63"/>
      <c r="H203" s="63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37"/>
      <c r="AE203" s="37"/>
      <c r="AF203" s="37"/>
      <c r="AG203" s="37"/>
      <c r="AH203" s="37"/>
      <c r="AI203" s="37"/>
      <c r="AJ203" s="37"/>
      <c r="AK203" s="37"/>
      <c r="AL203" s="37"/>
      <c r="AM203" s="63"/>
    </row>
    <row r="204" ht="15.75" customHeight="1">
      <c r="A204" s="101"/>
      <c r="B204" s="63"/>
      <c r="C204" s="63"/>
      <c r="D204" s="63"/>
      <c r="E204" s="37"/>
      <c r="F204" s="63"/>
      <c r="G204" s="63"/>
      <c r="H204" s="63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37"/>
      <c r="AE204" s="37"/>
      <c r="AF204" s="37"/>
      <c r="AG204" s="37"/>
      <c r="AH204" s="37"/>
      <c r="AI204" s="37"/>
      <c r="AJ204" s="37"/>
      <c r="AK204" s="37"/>
      <c r="AL204" s="37"/>
      <c r="AM204" s="63"/>
    </row>
    <row r="205" ht="15.75" customHeight="1">
      <c r="A205" s="101"/>
      <c r="B205" s="63"/>
      <c r="C205" s="63"/>
      <c r="D205" s="63"/>
      <c r="E205" s="37"/>
      <c r="F205" s="63"/>
      <c r="G205" s="63"/>
      <c r="H205" s="63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37"/>
      <c r="AE205" s="37"/>
      <c r="AF205" s="37"/>
      <c r="AG205" s="37"/>
      <c r="AH205" s="37"/>
      <c r="AI205" s="37"/>
      <c r="AJ205" s="37"/>
      <c r="AK205" s="37"/>
      <c r="AL205" s="37"/>
      <c r="AM205" s="63"/>
    </row>
    <row r="206" ht="15.75" customHeight="1">
      <c r="A206" s="101"/>
      <c r="B206" s="63"/>
      <c r="C206" s="63"/>
      <c r="D206" s="63"/>
      <c r="E206" s="37"/>
      <c r="F206" s="63"/>
      <c r="G206" s="63"/>
      <c r="H206" s="63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37"/>
      <c r="AE206" s="37"/>
      <c r="AF206" s="37"/>
      <c r="AG206" s="37"/>
      <c r="AH206" s="37"/>
      <c r="AI206" s="37"/>
      <c r="AJ206" s="37"/>
      <c r="AK206" s="37"/>
      <c r="AL206" s="37"/>
      <c r="AM206" s="63"/>
    </row>
    <row r="207" ht="15.75" customHeight="1">
      <c r="A207" s="101"/>
      <c r="B207" s="63"/>
      <c r="C207" s="63"/>
      <c r="D207" s="63"/>
      <c r="E207" s="37"/>
      <c r="F207" s="63"/>
      <c r="G207" s="63"/>
      <c r="H207" s="63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37"/>
      <c r="AE207" s="37"/>
      <c r="AF207" s="37"/>
      <c r="AG207" s="37"/>
      <c r="AH207" s="37"/>
      <c r="AI207" s="37"/>
      <c r="AJ207" s="37"/>
      <c r="AK207" s="37"/>
      <c r="AL207" s="37"/>
      <c r="AM207" s="63"/>
    </row>
    <row r="208" ht="15.75" customHeight="1">
      <c r="A208" s="101"/>
      <c r="B208" s="63"/>
      <c r="C208" s="63"/>
      <c r="D208" s="63"/>
      <c r="E208" s="37"/>
      <c r="F208" s="63"/>
      <c r="G208" s="63"/>
      <c r="H208" s="63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37"/>
      <c r="AE208" s="37"/>
      <c r="AF208" s="37"/>
      <c r="AG208" s="37"/>
      <c r="AH208" s="37"/>
      <c r="AI208" s="37"/>
      <c r="AJ208" s="37"/>
      <c r="AK208" s="37"/>
      <c r="AL208" s="37"/>
      <c r="AM208" s="63"/>
    </row>
    <row r="209" ht="15.75" customHeight="1">
      <c r="A209" s="101"/>
      <c r="B209" s="63"/>
      <c r="C209" s="63"/>
      <c r="D209" s="63"/>
      <c r="E209" s="37"/>
      <c r="F209" s="63"/>
      <c r="G209" s="63"/>
      <c r="H209" s="63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37"/>
      <c r="AE209" s="37"/>
      <c r="AF209" s="37"/>
      <c r="AG209" s="37"/>
      <c r="AH209" s="37"/>
      <c r="AI209" s="37"/>
      <c r="AJ209" s="37"/>
      <c r="AK209" s="37"/>
      <c r="AL209" s="37"/>
      <c r="AM209" s="63"/>
    </row>
    <row r="210" ht="15.75" customHeight="1">
      <c r="A210" s="101"/>
      <c r="B210" s="63"/>
      <c r="C210" s="63"/>
      <c r="D210" s="63"/>
      <c r="E210" s="37"/>
      <c r="F210" s="63"/>
      <c r="G210" s="63"/>
      <c r="H210" s="63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37"/>
      <c r="AE210" s="37"/>
      <c r="AF210" s="37"/>
      <c r="AG210" s="37"/>
      <c r="AH210" s="37"/>
      <c r="AI210" s="37"/>
      <c r="AJ210" s="37"/>
      <c r="AK210" s="37"/>
      <c r="AL210" s="37"/>
      <c r="AM210" s="63"/>
    </row>
    <row r="211" ht="15.75" customHeight="1">
      <c r="A211" s="101"/>
      <c r="B211" s="63"/>
      <c r="C211" s="63"/>
      <c r="D211" s="63"/>
      <c r="E211" s="37"/>
      <c r="F211" s="63"/>
      <c r="G211" s="63"/>
      <c r="H211" s="63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37"/>
      <c r="AE211" s="37"/>
      <c r="AF211" s="37"/>
      <c r="AG211" s="37"/>
      <c r="AH211" s="37"/>
      <c r="AI211" s="37"/>
      <c r="AJ211" s="37"/>
      <c r="AK211" s="37"/>
      <c r="AL211" s="37"/>
      <c r="AM211" s="63"/>
    </row>
    <row r="212" ht="15.75" customHeight="1">
      <c r="A212" s="101"/>
      <c r="B212" s="63"/>
      <c r="C212" s="63"/>
      <c r="D212" s="63"/>
      <c r="E212" s="37"/>
      <c r="F212" s="63"/>
      <c r="G212" s="63"/>
      <c r="H212" s="63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63"/>
      <c r="AB212" s="63"/>
      <c r="AC212" s="63"/>
      <c r="AD212" s="37"/>
      <c r="AE212" s="37"/>
      <c r="AF212" s="37"/>
      <c r="AG212" s="37"/>
      <c r="AH212" s="37"/>
      <c r="AI212" s="37"/>
      <c r="AJ212" s="37"/>
      <c r="AK212" s="37"/>
      <c r="AL212" s="37"/>
      <c r="AM212" s="63"/>
    </row>
    <row r="213" ht="15.75" customHeight="1">
      <c r="A213" s="101"/>
      <c r="B213" s="63"/>
      <c r="C213" s="63"/>
      <c r="D213" s="63"/>
      <c r="E213" s="37"/>
      <c r="F213" s="63"/>
      <c r="G213" s="63"/>
      <c r="H213" s="63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63"/>
      <c r="AB213" s="63"/>
      <c r="AC213" s="63"/>
      <c r="AD213" s="37"/>
      <c r="AE213" s="37"/>
      <c r="AF213" s="37"/>
      <c r="AG213" s="37"/>
      <c r="AH213" s="37"/>
      <c r="AI213" s="37"/>
      <c r="AJ213" s="37"/>
      <c r="AK213" s="37"/>
      <c r="AL213" s="37"/>
      <c r="AM213" s="63"/>
    </row>
    <row r="214" ht="15.75" customHeight="1">
      <c r="A214" s="101"/>
      <c r="B214" s="63"/>
      <c r="C214" s="63"/>
      <c r="D214" s="63"/>
      <c r="E214" s="37"/>
      <c r="F214" s="63"/>
      <c r="G214" s="63"/>
      <c r="H214" s="63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63"/>
      <c r="AB214" s="63"/>
      <c r="AC214" s="63"/>
      <c r="AD214" s="37"/>
      <c r="AE214" s="37"/>
      <c r="AF214" s="37"/>
      <c r="AG214" s="37"/>
      <c r="AH214" s="37"/>
      <c r="AI214" s="37"/>
      <c r="AJ214" s="37"/>
      <c r="AK214" s="37"/>
      <c r="AL214" s="37"/>
      <c r="AM214" s="63"/>
    </row>
    <row r="215" ht="15.75" customHeight="1">
      <c r="A215" s="101"/>
      <c r="B215" s="63"/>
      <c r="C215" s="63"/>
      <c r="D215" s="63"/>
      <c r="E215" s="37"/>
      <c r="F215" s="63"/>
      <c r="G215" s="63"/>
      <c r="H215" s="63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63"/>
      <c r="AB215" s="63"/>
      <c r="AC215" s="63"/>
      <c r="AD215" s="37"/>
      <c r="AE215" s="37"/>
      <c r="AF215" s="37"/>
      <c r="AG215" s="37"/>
      <c r="AH215" s="37"/>
      <c r="AI215" s="37"/>
      <c r="AJ215" s="37"/>
      <c r="AK215" s="37"/>
      <c r="AL215" s="37"/>
      <c r="AM215" s="63"/>
    </row>
    <row r="216" ht="15.75" customHeight="1">
      <c r="A216" s="101"/>
      <c r="B216" s="63"/>
      <c r="C216" s="63"/>
      <c r="D216" s="63"/>
      <c r="E216" s="37"/>
      <c r="F216" s="63"/>
      <c r="G216" s="63"/>
      <c r="H216" s="63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63"/>
      <c r="AB216" s="63"/>
      <c r="AC216" s="63"/>
      <c r="AD216" s="37"/>
      <c r="AE216" s="37"/>
      <c r="AF216" s="37"/>
      <c r="AG216" s="37"/>
      <c r="AH216" s="37"/>
      <c r="AI216" s="37"/>
      <c r="AJ216" s="37"/>
      <c r="AK216" s="37"/>
      <c r="AL216" s="37"/>
      <c r="AM216" s="63"/>
    </row>
    <row r="217" ht="15.75" customHeight="1">
      <c r="A217" s="101"/>
      <c r="B217" s="63"/>
      <c r="C217" s="63"/>
      <c r="D217" s="63"/>
      <c r="E217" s="37"/>
      <c r="F217" s="63"/>
      <c r="G217" s="63"/>
      <c r="H217" s="63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63"/>
      <c r="AB217" s="63"/>
      <c r="AC217" s="63"/>
      <c r="AD217" s="37"/>
      <c r="AE217" s="37"/>
      <c r="AF217" s="37"/>
      <c r="AG217" s="37"/>
      <c r="AH217" s="37"/>
      <c r="AI217" s="37"/>
      <c r="AJ217" s="37"/>
      <c r="AK217" s="37"/>
      <c r="AL217" s="37"/>
      <c r="AM217" s="63"/>
    </row>
    <row r="218" ht="15.75" customHeight="1">
      <c r="A218" s="101"/>
      <c r="B218" s="63"/>
      <c r="C218" s="63"/>
      <c r="D218" s="63"/>
      <c r="E218" s="37"/>
      <c r="F218" s="63"/>
      <c r="G218" s="63"/>
      <c r="H218" s="63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63"/>
      <c r="AB218" s="63"/>
      <c r="AC218" s="63"/>
      <c r="AD218" s="37"/>
      <c r="AE218" s="37"/>
      <c r="AF218" s="37"/>
      <c r="AG218" s="37"/>
      <c r="AH218" s="37"/>
      <c r="AI218" s="37"/>
      <c r="AJ218" s="37"/>
      <c r="AK218" s="37"/>
      <c r="AL218" s="37"/>
      <c r="AM218" s="63"/>
    </row>
    <row r="219" ht="15.75" customHeight="1">
      <c r="A219" s="101"/>
      <c r="B219" s="63"/>
      <c r="C219" s="63"/>
      <c r="D219" s="63"/>
      <c r="E219" s="37"/>
      <c r="F219" s="63"/>
      <c r="G219" s="63"/>
      <c r="H219" s="63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63"/>
      <c r="AB219" s="63"/>
      <c r="AC219" s="63"/>
      <c r="AD219" s="37"/>
      <c r="AE219" s="37"/>
      <c r="AF219" s="37"/>
      <c r="AG219" s="37"/>
      <c r="AH219" s="37"/>
      <c r="AI219" s="37"/>
      <c r="AJ219" s="37"/>
      <c r="AK219" s="37"/>
      <c r="AL219" s="37"/>
      <c r="AM219" s="63"/>
    </row>
    <row r="220" ht="15.75" customHeight="1">
      <c r="A220" s="101"/>
      <c r="B220" s="63"/>
      <c r="C220" s="63"/>
      <c r="D220" s="63"/>
      <c r="E220" s="37"/>
      <c r="F220" s="63"/>
      <c r="G220" s="63"/>
      <c r="H220" s="63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37"/>
      <c r="AE220" s="37"/>
      <c r="AF220" s="37"/>
      <c r="AG220" s="37"/>
      <c r="AH220" s="37"/>
      <c r="AI220" s="37"/>
      <c r="AJ220" s="37"/>
      <c r="AK220" s="37"/>
      <c r="AL220" s="37"/>
      <c r="AM220" s="63"/>
    </row>
    <row r="221" ht="15.75" customHeight="1">
      <c r="A221" s="101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37"/>
      <c r="AE221" s="37"/>
      <c r="AF221" s="37"/>
      <c r="AG221" s="37"/>
      <c r="AH221" s="37"/>
      <c r="AI221" s="37"/>
      <c r="AJ221" s="37"/>
      <c r="AK221" s="37"/>
      <c r="AL221" s="37"/>
      <c r="AM221" s="63"/>
    </row>
    <row r="222" ht="15.75" customHeight="1">
      <c r="A222" s="101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37"/>
      <c r="AE222" s="37"/>
      <c r="AF222" s="37"/>
      <c r="AG222" s="37"/>
      <c r="AH222" s="37"/>
      <c r="AI222" s="37"/>
      <c r="AJ222" s="37"/>
      <c r="AK222" s="37"/>
      <c r="AL222" s="37"/>
      <c r="AM222" s="63"/>
    </row>
    <row r="223" ht="15.75" customHeight="1">
      <c r="A223" s="101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37"/>
      <c r="AE223" s="37"/>
      <c r="AF223" s="37"/>
      <c r="AG223" s="37"/>
      <c r="AH223" s="37"/>
      <c r="AI223" s="37"/>
      <c r="AJ223" s="37"/>
      <c r="AK223" s="37"/>
      <c r="AL223" s="37"/>
      <c r="AM223" s="63"/>
    </row>
    <row r="224" ht="15.75" customHeight="1">
      <c r="A224" s="101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37"/>
      <c r="AE224" s="37"/>
      <c r="AF224" s="37"/>
      <c r="AG224" s="37"/>
      <c r="AH224" s="37"/>
      <c r="AI224" s="37"/>
      <c r="AJ224" s="37"/>
      <c r="AK224" s="37"/>
      <c r="AL224" s="37"/>
      <c r="AM224" s="63"/>
    </row>
    <row r="225" ht="15.75" customHeight="1">
      <c r="A225" s="101"/>
      <c r="B225" s="63"/>
      <c r="C225" s="63"/>
      <c r="D225" s="63"/>
      <c r="E225" s="37"/>
      <c r="F225" s="63"/>
      <c r="G225" s="63"/>
      <c r="H225" s="63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37"/>
      <c r="AE225" s="37"/>
      <c r="AF225" s="37"/>
      <c r="AG225" s="37"/>
      <c r="AH225" s="37"/>
      <c r="AI225" s="37"/>
      <c r="AJ225" s="37"/>
      <c r="AK225" s="37"/>
      <c r="AL225" s="37"/>
      <c r="AM225" s="63"/>
    </row>
    <row r="226" ht="15.75" customHeight="1">
      <c r="A226" s="101"/>
      <c r="B226" s="63"/>
      <c r="C226" s="63"/>
      <c r="D226" s="63"/>
      <c r="E226" s="37"/>
      <c r="F226" s="63"/>
      <c r="G226" s="63"/>
      <c r="H226" s="63"/>
      <c r="I226" s="37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37"/>
      <c r="AE226" s="37"/>
      <c r="AF226" s="37"/>
      <c r="AG226" s="37"/>
      <c r="AH226" s="37"/>
      <c r="AI226" s="37"/>
      <c r="AJ226" s="37"/>
      <c r="AK226" s="37"/>
      <c r="AL226" s="37"/>
      <c r="AM226" s="63"/>
    </row>
    <row r="227" ht="15.75" customHeight="1">
      <c r="A227" s="101"/>
      <c r="B227" s="63"/>
      <c r="C227" s="63"/>
      <c r="D227" s="63"/>
      <c r="E227" s="37"/>
      <c r="F227" s="63"/>
      <c r="G227" s="63"/>
      <c r="H227" s="63"/>
      <c r="I227" s="37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37"/>
      <c r="AE227" s="37"/>
      <c r="AF227" s="37"/>
      <c r="AG227" s="37"/>
      <c r="AH227" s="37"/>
      <c r="AI227" s="37"/>
      <c r="AJ227" s="37"/>
      <c r="AK227" s="37"/>
      <c r="AL227" s="37"/>
      <c r="AM227" s="63"/>
    </row>
    <row r="228" ht="15.75" customHeight="1">
      <c r="A228" s="101"/>
      <c r="B228" s="63"/>
      <c r="C228" s="63"/>
      <c r="D228" s="63"/>
      <c r="E228" s="37"/>
      <c r="F228" s="63"/>
      <c r="G228" s="63"/>
      <c r="H228" s="63"/>
      <c r="I228" s="37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37"/>
      <c r="AE228" s="37"/>
      <c r="AF228" s="37"/>
      <c r="AG228" s="37"/>
      <c r="AH228" s="37"/>
      <c r="AI228" s="37"/>
      <c r="AJ228" s="37"/>
      <c r="AK228" s="37"/>
      <c r="AL228" s="37"/>
      <c r="AM228" s="63"/>
    </row>
    <row r="229" ht="15.75" customHeight="1">
      <c r="A229" s="101"/>
      <c r="B229" s="63"/>
      <c r="C229" s="63"/>
      <c r="D229" s="63"/>
      <c r="E229" s="37"/>
      <c r="F229" s="63"/>
      <c r="G229" s="63"/>
      <c r="H229" s="63"/>
      <c r="I229" s="37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  <c r="AJ229" s="37"/>
      <c r="AK229" s="37"/>
      <c r="AL229" s="37"/>
      <c r="AM229" s="63"/>
    </row>
    <row r="230" ht="15.75" customHeight="1">
      <c r="A230" s="101"/>
      <c r="B230" s="63"/>
      <c r="C230" s="63"/>
      <c r="D230" s="63"/>
      <c r="E230" s="37"/>
      <c r="F230" s="63"/>
      <c r="G230" s="63"/>
      <c r="H230" s="63"/>
      <c r="I230" s="37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  <c r="AJ230" s="37"/>
      <c r="AK230" s="37"/>
      <c r="AL230" s="37"/>
      <c r="AM230" s="63"/>
    </row>
    <row r="231" ht="15.75" customHeight="1">
      <c r="A231" s="101"/>
      <c r="B231" s="63"/>
      <c r="C231" s="63"/>
      <c r="D231" s="63"/>
      <c r="E231" s="37"/>
      <c r="F231" s="63"/>
      <c r="G231" s="63"/>
      <c r="H231" s="63"/>
      <c r="I231" s="37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  <c r="AJ231" s="37"/>
      <c r="AK231" s="37"/>
      <c r="AL231" s="37"/>
      <c r="AM231" s="63"/>
    </row>
    <row r="232" ht="15.75" customHeight="1">
      <c r="A232" s="101"/>
      <c r="B232" s="63"/>
      <c r="C232" s="63"/>
      <c r="D232" s="63"/>
      <c r="E232" s="37"/>
      <c r="F232" s="63"/>
      <c r="G232" s="63"/>
      <c r="H232" s="63"/>
      <c r="I232" s="37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  <c r="AJ232" s="37"/>
      <c r="AK232" s="37"/>
      <c r="AL232" s="37"/>
      <c r="AM232" s="63"/>
    </row>
    <row r="233" ht="15.75" customHeight="1">
      <c r="A233" s="101"/>
      <c r="B233" s="63"/>
      <c r="C233" s="63"/>
      <c r="D233" s="63"/>
      <c r="E233" s="37"/>
      <c r="F233" s="63"/>
      <c r="G233" s="63"/>
      <c r="H233" s="63"/>
      <c r="I233" s="37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  <c r="AJ233" s="37"/>
      <c r="AK233" s="37"/>
      <c r="AL233" s="37"/>
      <c r="AM233" s="63"/>
    </row>
    <row r="234" ht="15.75" customHeight="1">
      <c r="A234" s="101"/>
      <c r="B234" s="63"/>
      <c r="C234" s="63"/>
      <c r="D234" s="63"/>
      <c r="E234" s="37"/>
      <c r="F234" s="63"/>
      <c r="G234" s="63"/>
      <c r="H234" s="63"/>
      <c r="I234" s="37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  <c r="AJ234" s="37"/>
      <c r="AK234" s="37"/>
      <c r="AL234" s="37"/>
      <c r="AM234" s="63"/>
    </row>
    <row r="235" ht="15.75" customHeight="1">
      <c r="A235" s="101"/>
      <c r="B235" s="63"/>
      <c r="C235" s="63"/>
      <c r="D235" s="63"/>
      <c r="E235" s="37"/>
      <c r="F235" s="63"/>
      <c r="G235" s="63"/>
      <c r="H235" s="63"/>
      <c r="I235" s="37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37"/>
      <c r="AE235" s="37"/>
      <c r="AF235" s="37"/>
      <c r="AG235" s="37"/>
      <c r="AH235" s="37"/>
      <c r="AI235" s="37"/>
      <c r="AJ235" s="37"/>
      <c r="AK235" s="37"/>
      <c r="AL235" s="37"/>
      <c r="AM235" s="63"/>
    </row>
    <row r="236" ht="15.75" customHeight="1">
      <c r="A236" s="101"/>
      <c r="B236" s="63"/>
      <c r="C236" s="63"/>
      <c r="D236" s="63"/>
      <c r="E236" s="37"/>
      <c r="F236" s="63"/>
      <c r="G236" s="63"/>
      <c r="H236" s="63"/>
      <c r="I236" s="37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37"/>
      <c r="AE236" s="37"/>
      <c r="AF236" s="37"/>
      <c r="AG236" s="37"/>
      <c r="AH236" s="37"/>
      <c r="AI236" s="37"/>
      <c r="AJ236" s="37"/>
      <c r="AK236" s="37"/>
      <c r="AL236" s="37"/>
      <c r="AM236" s="63"/>
    </row>
    <row r="237" ht="15.75" customHeight="1">
      <c r="A237" s="101"/>
      <c r="B237" s="63"/>
      <c r="C237" s="63"/>
      <c r="D237" s="63"/>
      <c r="E237" s="37"/>
      <c r="F237" s="63"/>
      <c r="G237" s="63"/>
      <c r="H237" s="63"/>
      <c r="I237" s="37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37"/>
      <c r="AE237" s="37"/>
      <c r="AF237" s="37"/>
      <c r="AG237" s="37"/>
      <c r="AH237" s="37"/>
      <c r="AI237" s="37"/>
      <c r="AJ237" s="37"/>
      <c r="AK237" s="37"/>
      <c r="AL237" s="37"/>
      <c r="AM237" s="63"/>
    </row>
    <row r="238" ht="15.75" customHeight="1">
      <c r="A238" s="101"/>
      <c r="B238" s="63"/>
      <c r="C238" s="63"/>
      <c r="D238" s="63"/>
      <c r="E238" s="37"/>
      <c r="F238" s="63"/>
      <c r="G238" s="63"/>
      <c r="H238" s="63"/>
      <c r="I238" s="37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37"/>
      <c r="AE238" s="37"/>
      <c r="AF238" s="37"/>
      <c r="AG238" s="37"/>
      <c r="AH238" s="37"/>
      <c r="AI238" s="37"/>
      <c r="AJ238" s="37"/>
      <c r="AK238" s="37"/>
      <c r="AL238" s="37"/>
      <c r="AM238" s="63"/>
    </row>
    <row r="239" ht="15.75" customHeight="1">
      <c r="A239" s="101"/>
      <c r="B239" s="63"/>
      <c r="C239" s="63"/>
      <c r="D239" s="63"/>
      <c r="E239" s="37"/>
      <c r="F239" s="63"/>
      <c r="G239" s="63"/>
      <c r="H239" s="63"/>
      <c r="I239" s="37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37"/>
      <c r="AE239" s="37"/>
      <c r="AF239" s="37"/>
      <c r="AG239" s="37"/>
      <c r="AH239" s="37"/>
      <c r="AI239" s="37"/>
      <c r="AJ239" s="37"/>
      <c r="AK239" s="37"/>
      <c r="AL239" s="37"/>
      <c r="AM239" s="63"/>
    </row>
    <row r="240" ht="15.75" customHeight="1">
      <c r="A240" s="101"/>
      <c r="B240" s="63"/>
      <c r="C240" s="63"/>
      <c r="D240" s="63"/>
      <c r="E240" s="37"/>
      <c r="F240" s="63"/>
      <c r="G240" s="63"/>
      <c r="H240" s="63"/>
      <c r="I240" s="37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37"/>
      <c r="AE240" s="37"/>
      <c r="AF240" s="37"/>
      <c r="AG240" s="37"/>
      <c r="AH240" s="37"/>
      <c r="AI240" s="37"/>
      <c r="AJ240" s="37"/>
      <c r="AK240" s="37"/>
      <c r="AL240" s="37"/>
      <c r="AM240" s="63"/>
    </row>
    <row r="241" ht="15.75" customHeight="1">
      <c r="A241" s="101"/>
      <c r="B241" s="63"/>
      <c r="C241" s="63"/>
      <c r="D241" s="63"/>
      <c r="E241" s="37"/>
      <c r="F241" s="63"/>
      <c r="G241" s="63"/>
      <c r="H241" s="63"/>
      <c r="I241" s="37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37"/>
      <c r="AE241" s="37"/>
      <c r="AF241" s="37"/>
      <c r="AG241" s="37"/>
      <c r="AH241" s="37"/>
      <c r="AI241" s="37"/>
      <c r="AJ241" s="37"/>
      <c r="AK241" s="37"/>
      <c r="AL241" s="37"/>
      <c r="AM241" s="63"/>
    </row>
    <row r="242" ht="15.75" customHeight="1">
      <c r="A242" s="101"/>
      <c r="B242" s="63"/>
      <c r="C242" s="63"/>
      <c r="D242" s="63"/>
      <c r="E242" s="37"/>
      <c r="F242" s="63"/>
      <c r="G242" s="63"/>
      <c r="H242" s="63"/>
      <c r="I242" s="37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37"/>
      <c r="AE242" s="37"/>
      <c r="AF242" s="37"/>
      <c r="AG242" s="37"/>
      <c r="AH242" s="37"/>
      <c r="AI242" s="37"/>
      <c r="AJ242" s="37"/>
      <c r="AK242" s="37"/>
      <c r="AL242" s="37"/>
      <c r="AM242" s="63"/>
    </row>
    <row r="243" ht="15.75" customHeight="1">
      <c r="A243" s="101"/>
      <c r="B243" s="63"/>
      <c r="C243" s="63"/>
      <c r="D243" s="63"/>
      <c r="E243" s="37"/>
      <c r="F243" s="63"/>
      <c r="G243" s="63"/>
      <c r="H243" s="63"/>
      <c r="I243" s="37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37"/>
      <c r="AE243" s="37"/>
      <c r="AF243" s="37"/>
      <c r="AG243" s="37"/>
      <c r="AH243" s="37"/>
      <c r="AI243" s="37"/>
      <c r="AJ243" s="37"/>
      <c r="AK243" s="37"/>
      <c r="AL243" s="37"/>
      <c r="AM243" s="63"/>
    </row>
    <row r="244" ht="15.75" customHeight="1">
      <c r="A244" s="101"/>
      <c r="B244" s="63"/>
      <c r="C244" s="63"/>
      <c r="D244" s="63"/>
      <c r="E244" s="37"/>
      <c r="F244" s="63"/>
      <c r="G244" s="63"/>
      <c r="H244" s="63"/>
      <c r="I244" s="37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37"/>
      <c r="AE244" s="37"/>
      <c r="AF244" s="37"/>
      <c r="AG244" s="37"/>
      <c r="AH244" s="37"/>
      <c r="AI244" s="37"/>
      <c r="AJ244" s="37"/>
      <c r="AK244" s="37"/>
      <c r="AL244" s="37"/>
      <c r="AM244" s="63"/>
    </row>
    <row r="245" ht="15.75" customHeight="1">
      <c r="A245" s="101"/>
      <c r="B245" s="63"/>
      <c r="C245" s="63"/>
      <c r="D245" s="63"/>
      <c r="E245" s="37"/>
      <c r="F245" s="63"/>
      <c r="G245" s="63"/>
      <c r="H245" s="63"/>
      <c r="I245" s="37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37"/>
      <c r="AE245" s="37"/>
      <c r="AF245" s="37"/>
      <c r="AG245" s="37"/>
      <c r="AH245" s="37"/>
      <c r="AI245" s="37"/>
      <c r="AJ245" s="37"/>
      <c r="AK245" s="37"/>
      <c r="AL245" s="37"/>
      <c r="AM245" s="63"/>
    </row>
    <row r="246" ht="15.75" customHeight="1">
      <c r="A246" s="101"/>
      <c r="B246" s="63"/>
      <c r="C246" s="63"/>
      <c r="D246" s="63"/>
      <c r="E246" s="37"/>
      <c r="F246" s="63"/>
      <c r="G246" s="63"/>
      <c r="H246" s="63"/>
      <c r="I246" s="37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37"/>
      <c r="AE246" s="37"/>
      <c r="AF246" s="37"/>
      <c r="AG246" s="37"/>
      <c r="AH246" s="37"/>
      <c r="AI246" s="37"/>
      <c r="AJ246" s="37"/>
      <c r="AK246" s="37"/>
      <c r="AL246" s="37"/>
      <c r="AM246" s="63"/>
    </row>
    <row r="247" ht="15.75" customHeight="1">
      <c r="A247" s="101"/>
      <c r="B247" s="63"/>
      <c r="C247" s="63"/>
      <c r="D247" s="63"/>
      <c r="E247" s="37"/>
      <c r="F247" s="63"/>
      <c r="G247" s="63"/>
      <c r="H247" s="63"/>
      <c r="I247" s="37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37"/>
      <c r="AE247" s="37"/>
      <c r="AF247" s="37"/>
      <c r="AG247" s="37"/>
      <c r="AH247" s="37"/>
      <c r="AI247" s="37"/>
      <c r="AJ247" s="37"/>
      <c r="AK247" s="37"/>
      <c r="AL247" s="37"/>
      <c r="AM247" s="63"/>
    </row>
    <row r="248" ht="15.75" customHeight="1">
      <c r="A248" s="101"/>
      <c r="B248" s="63"/>
      <c r="C248" s="63"/>
      <c r="D248" s="63"/>
      <c r="E248" s="37"/>
      <c r="F248" s="63"/>
      <c r="G248" s="63"/>
      <c r="H248" s="63"/>
      <c r="I248" s="37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37"/>
      <c r="AE248" s="37"/>
      <c r="AF248" s="37"/>
      <c r="AG248" s="37"/>
      <c r="AH248" s="37"/>
      <c r="AI248" s="37"/>
      <c r="AJ248" s="37"/>
      <c r="AK248" s="37"/>
      <c r="AL248" s="37"/>
      <c r="AM248" s="63"/>
    </row>
    <row r="249" ht="15.75" customHeight="1">
      <c r="A249" s="101"/>
      <c r="B249" s="63"/>
      <c r="C249" s="63"/>
      <c r="D249" s="63"/>
      <c r="E249" s="37"/>
      <c r="F249" s="63"/>
      <c r="G249" s="63"/>
      <c r="H249" s="63"/>
      <c r="I249" s="37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37"/>
      <c r="AE249" s="37"/>
      <c r="AF249" s="37"/>
      <c r="AG249" s="37"/>
      <c r="AH249" s="37"/>
      <c r="AI249" s="37"/>
      <c r="AJ249" s="37"/>
      <c r="AK249" s="37"/>
      <c r="AL249" s="37"/>
      <c r="AM249" s="63"/>
    </row>
    <row r="250" ht="15.75" customHeight="1">
      <c r="A250" s="101"/>
      <c r="B250" s="63"/>
      <c r="C250" s="63"/>
      <c r="D250" s="63"/>
      <c r="E250" s="37"/>
      <c r="F250" s="63"/>
      <c r="G250" s="63"/>
      <c r="H250" s="63"/>
      <c r="I250" s="37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37"/>
      <c r="AE250" s="37"/>
      <c r="AF250" s="37"/>
      <c r="AG250" s="37"/>
      <c r="AH250" s="37"/>
      <c r="AI250" s="37"/>
      <c r="AJ250" s="37"/>
      <c r="AK250" s="37"/>
      <c r="AL250" s="37"/>
      <c r="AM250" s="63"/>
    </row>
    <row r="251" ht="15.75" customHeight="1">
      <c r="A251" s="101"/>
      <c r="B251" s="63"/>
      <c r="C251" s="63"/>
      <c r="D251" s="63"/>
      <c r="E251" s="37"/>
      <c r="F251" s="63"/>
      <c r="G251" s="63"/>
      <c r="H251" s="63"/>
      <c r="I251" s="37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37"/>
      <c r="AE251" s="37"/>
      <c r="AF251" s="37"/>
      <c r="AG251" s="37"/>
      <c r="AH251" s="37"/>
      <c r="AI251" s="37"/>
      <c r="AJ251" s="37"/>
      <c r="AK251" s="37"/>
      <c r="AL251" s="37"/>
      <c r="AM251" s="63"/>
    </row>
    <row r="252" ht="15.75" customHeight="1">
      <c r="A252" s="101"/>
      <c r="B252" s="63"/>
      <c r="C252" s="63"/>
      <c r="D252" s="63"/>
      <c r="E252" s="37"/>
      <c r="F252" s="63"/>
      <c r="G252" s="63"/>
      <c r="H252" s="63"/>
      <c r="I252" s="37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37"/>
      <c r="AE252" s="37"/>
      <c r="AF252" s="37"/>
      <c r="AG252" s="37"/>
      <c r="AH252" s="37"/>
      <c r="AI252" s="37"/>
      <c r="AJ252" s="37"/>
      <c r="AK252" s="37"/>
      <c r="AL252" s="37"/>
      <c r="AM252" s="63"/>
    </row>
    <row r="253" ht="15.75" customHeight="1">
      <c r="A253" s="101"/>
      <c r="B253" s="63"/>
      <c r="C253" s="63"/>
      <c r="D253" s="63"/>
      <c r="E253" s="37"/>
      <c r="F253" s="63"/>
      <c r="G253" s="63"/>
      <c r="H253" s="63"/>
      <c r="I253" s="37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37"/>
      <c r="AE253" s="37"/>
      <c r="AF253" s="37"/>
      <c r="AG253" s="37"/>
      <c r="AH253" s="37"/>
      <c r="AI253" s="37"/>
      <c r="AJ253" s="37"/>
      <c r="AK253" s="37"/>
      <c r="AL253" s="37"/>
      <c r="AM253" s="63"/>
    </row>
    <row r="254" ht="15.75" customHeight="1">
      <c r="A254" s="101"/>
      <c r="B254" s="63"/>
      <c r="C254" s="63"/>
      <c r="D254" s="63"/>
      <c r="E254" s="37"/>
      <c r="F254" s="63"/>
      <c r="G254" s="63"/>
      <c r="H254" s="63"/>
      <c r="I254" s="37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37"/>
      <c r="AE254" s="37"/>
      <c r="AF254" s="37"/>
      <c r="AG254" s="37"/>
      <c r="AH254" s="37"/>
      <c r="AI254" s="37"/>
      <c r="AJ254" s="37"/>
      <c r="AK254" s="37"/>
      <c r="AL254" s="37"/>
      <c r="AM254" s="63"/>
    </row>
    <row r="255" ht="15.75" customHeight="1">
      <c r="A255" s="101"/>
      <c r="B255" s="63"/>
      <c r="C255" s="63"/>
      <c r="D255" s="63"/>
      <c r="E255" s="37"/>
      <c r="F255" s="63"/>
      <c r="G255" s="63"/>
      <c r="H255" s="63"/>
      <c r="I255" s="37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37"/>
      <c r="AE255" s="37"/>
      <c r="AF255" s="37"/>
      <c r="AG255" s="37"/>
      <c r="AH255" s="37"/>
      <c r="AI255" s="37"/>
      <c r="AJ255" s="37"/>
      <c r="AK255" s="37"/>
      <c r="AL255" s="37"/>
      <c r="AM255" s="63"/>
    </row>
    <row r="256" ht="15.75" customHeight="1">
      <c r="A256" s="101"/>
      <c r="B256" s="63"/>
      <c r="C256" s="63"/>
      <c r="D256" s="63"/>
      <c r="E256" s="37"/>
      <c r="F256" s="63"/>
      <c r="G256" s="63"/>
      <c r="H256" s="63"/>
      <c r="I256" s="37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37"/>
      <c r="AE256" s="37"/>
      <c r="AF256" s="37"/>
      <c r="AG256" s="37"/>
      <c r="AH256" s="37"/>
      <c r="AI256" s="37"/>
      <c r="AJ256" s="37"/>
      <c r="AK256" s="37"/>
      <c r="AL256" s="37"/>
      <c r="AM256" s="63"/>
    </row>
    <row r="257" ht="15.75" customHeight="1">
      <c r="A257" s="101"/>
      <c r="B257" s="63"/>
      <c r="C257" s="63"/>
      <c r="D257" s="63"/>
      <c r="E257" s="37"/>
      <c r="F257" s="63"/>
      <c r="G257" s="63"/>
      <c r="H257" s="63"/>
      <c r="I257" s="37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37"/>
      <c r="AE257" s="37"/>
      <c r="AF257" s="37"/>
      <c r="AG257" s="37"/>
      <c r="AH257" s="37"/>
      <c r="AI257" s="37"/>
      <c r="AJ257" s="37"/>
      <c r="AK257" s="37"/>
      <c r="AL257" s="37"/>
      <c r="AM257" s="63"/>
    </row>
    <row r="258" ht="15.75" customHeight="1">
      <c r="A258" s="101"/>
      <c r="B258" s="63"/>
      <c r="C258" s="63"/>
      <c r="D258" s="63"/>
      <c r="E258" s="37"/>
      <c r="F258" s="63"/>
      <c r="G258" s="63"/>
      <c r="H258" s="63"/>
      <c r="I258" s="37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37"/>
      <c r="AE258" s="37"/>
      <c r="AF258" s="37"/>
      <c r="AG258" s="37"/>
      <c r="AH258" s="37"/>
      <c r="AI258" s="37"/>
      <c r="AJ258" s="37"/>
      <c r="AK258" s="37"/>
      <c r="AL258" s="37"/>
      <c r="AM258" s="63"/>
    </row>
    <row r="259" ht="15.75" customHeight="1">
      <c r="A259" s="101"/>
      <c r="B259" s="63"/>
      <c r="C259" s="63"/>
      <c r="D259" s="63"/>
      <c r="E259" s="37"/>
      <c r="F259" s="63"/>
      <c r="G259" s="63"/>
      <c r="H259" s="63"/>
      <c r="I259" s="37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37"/>
      <c r="AE259" s="37"/>
      <c r="AF259" s="37"/>
      <c r="AG259" s="37"/>
      <c r="AH259" s="37"/>
      <c r="AI259" s="37"/>
      <c r="AJ259" s="37"/>
      <c r="AK259" s="37"/>
      <c r="AL259" s="37"/>
      <c r="AM259" s="63"/>
    </row>
    <row r="260" ht="15.75" customHeight="1">
      <c r="A260" s="101"/>
      <c r="B260" s="63"/>
      <c r="C260" s="63"/>
      <c r="D260" s="63"/>
      <c r="E260" s="37"/>
      <c r="F260" s="63"/>
      <c r="G260" s="63"/>
      <c r="H260" s="63"/>
      <c r="I260" s="37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37"/>
      <c r="AE260" s="37"/>
      <c r="AF260" s="37"/>
      <c r="AG260" s="37"/>
      <c r="AH260" s="37"/>
      <c r="AI260" s="37"/>
      <c r="AJ260" s="37"/>
      <c r="AK260" s="37"/>
      <c r="AL260" s="37"/>
      <c r="AM260" s="63"/>
    </row>
    <row r="261" ht="15.75" customHeight="1">
      <c r="A261" s="101"/>
      <c r="B261" s="63"/>
      <c r="C261" s="63"/>
      <c r="D261" s="63"/>
      <c r="E261" s="37"/>
      <c r="F261" s="63"/>
      <c r="G261" s="63"/>
      <c r="H261" s="63"/>
      <c r="I261" s="37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37"/>
      <c r="AE261" s="37"/>
      <c r="AF261" s="37"/>
      <c r="AG261" s="37"/>
      <c r="AH261" s="37"/>
      <c r="AI261" s="37"/>
      <c r="AJ261" s="37"/>
      <c r="AK261" s="37"/>
      <c r="AL261" s="37"/>
      <c r="AM261" s="63"/>
    </row>
    <row r="262" ht="15.75" customHeight="1">
      <c r="A262" s="101"/>
      <c r="B262" s="63"/>
      <c r="C262" s="63"/>
      <c r="D262" s="63"/>
      <c r="E262" s="37"/>
      <c r="F262" s="63"/>
      <c r="G262" s="63"/>
      <c r="H262" s="63"/>
      <c r="I262" s="37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37"/>
      <c r="AE262" s="37"/>
      <c r="AF262" s="37"/>
      <c r="AG262" s="37"/>
      <c r="AH262" s="37"/>
      <c r="AI262" s="37"/>
      <c r="AJ262" s="37"/>
      <c r="AK262" s="37"/>
      <c r="AL262" s="37"/>
      <c r="AM262" s="63"/>
    </row>
    <row r="263" ht="15.75" customHeight="1">
      <c r="A263" s="101"/>
      <c r="B263" s="63"/>
      <c r="C263" s="63"/>
      <c r="D263" s="63"/>
      <c r="E263" s="37"/>
      <c r="F263" s="63"/>
      <c r="G263" s="63"/>
      <c r="H263" s="63"/>
      <c r="I263" s="37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37"/>
      <c r="AE263" s="37"/>
      <c r="AF263" s="37"/>
      <c r="AG263" s="37"/>
      <c r="AH263" s="37"/>
      <c r="AI263" s="37"/>
      <c r="AJ263" s="37"/>
      <c r="AK263" s="37"/>
      <c r="AL263" s="37"/>
      <c r="AM263" s="63"/>
    </row>
    <row r="264" ht="15.75" customHeight="1">
      <c r="A264" s="101"/>
      <c r="B264" s="63"/>
      <c r="C264" s="63"/>
      <c r="D264" s="63"/>
      <c r="E264" s="37"/>
      <c r="F264" s="63"/>
      <c r="G264" s="63"/>
      <c r="H264" s="63"/>
      <c r="I264" s="37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37"/>
      <c r="AE264" s="37"/>
      <c r="AF264" s="37"/>
      <c r="AG264" s="37"/>
      <c r="AH264" s="37"/>
      <c r="AI264" s="37"/>
      <c r="AJ264" s="37"/>
      <c r="AK264" s="37"/>
      <c r="AL264" s="37"/>
      <c r="AM264" s="63"/>
    </row>
    <row r="265" ht="15.75" customHeight="1">
      <c r="A265" s="101"/>
      <c r="B265" s="63"/>
      <c r="C265" s="63"/>
      <c r="D265" s="63"/>
      <c r="E265" s="37"/>
      <c r="F265" s="63"/>
      <c r="G265" s="63"/>
      <c r="H265" s="63"/>
      <c r="I265" s="37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37"/>
      <c r="AE265" s="37"/>
      <c r="AF265" s="37"/>
      <c r="AG265" s="37"/>
      <c r="AH265" s="37"/>
      <c r="AI265" s="37"/>
      <c r="AJ265" s="37"/>
      <c r="AK265" s="37"/>
      <c r="AL265" s="37"/>
      <c r="AM265" s="63"/>
    </row>
    <row r="266" ht="15.75" customHeight="1">
      <c r="A266" s="101"/>
      <c r="B266" s="63"/>
      <c r="C266" s="63"/>
      <c r="D266" s="63"/>
      <c r="E266" s="37"/>
      <c r="F266" s="63"/>
      <c r="G266" s="63"/>
      <c r="H266" s="63"/>
      <c r="I266" s="37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37"/>
      <c r="AE266" s="37"/>
      <c r="AF266" s="37"/>
      <c r="AG266" s="37"/>
      <c r="AH266" s="37"/>
      <c r="AI266" s="37"/>
      <c r="AJ266" s="37"/>
      <c r="AK266" s="37"/>
      <c r="AL266" s="37"/>
      <c r="AM266" s="63"/>
    </row>
    <row r="267" ht="15.75" customHeight="1">
      <c r="A267" s="101"/>
      <c r="B267" s="63"/>
      <c r="C267" s="63"/>
      <c r="D267" s="63"/>
      <c r="E267" s="37"/>
      <c r="F267" s="63"/>
      <c r="G267" s="63"/>
      <c r="H267" s="63"/>
      <c r="I267" s="37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37"/>
      <c r="AE267" s="37"/>
      <c r="AF267" s="37"/>
      <c r="AG267" s="37"/>
      <c r="AH267" s="37"/>
      <c r="AI267" s="37"/>
      <c r="AJ267" s="37"/>
      <c r="AK267" s="37"/>
      <c r="AL267" s="37"/>
      <c r="AM267" s="63"/>
    </row>
    <row r="268" ht="15.75" customHeight="1">
      <c r="A268" s="101"/>
      <c r="B268" s="63"/>
      <c r="C268" s="63"/>
      <c r="D268" s="63"/>
      <c r="E268" s="37"/>
      <c r="F268" s="63"/>
      <c r="G268" s="63"/>
      <c r="H268" s="63"/>
      <c r="I268" s="37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37"/>
      <c r="AE268" s="37"/>
      <c r="AF268" s="37"/>
      <c r="AG268" s="37"/>
      <c r="AH268" s="37"/>
      <c r="AI268" s="37"/>
      <c r="AJ268" s="37"/>
      <c r="AK268" s="37"/>
      <c r="AL268" s="37"/>
      <c r="AM268" s="63"/>
    </row>
    <row r="269" ht="15.75" customHeight="1">
      <c r="A269" s="101"/>
      <c r="B269" s="63"/>
      <c r="C269" s="63"/>
      <c r="D269" s="63"/>
      <c r="E269" s="37"/>
      <c r="F269" s="63"/>
      <c r="G269" s="63"/>
      <c r="H269" s="63"/>
      <c r="I269" s="37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37"/>
      <c r="AE269" s="37"/>
      <c r="AF269" s="37"/>
      <c r="AG269" s="37"/>
      <c r="AH269" s="37"/>
      <c r="AI269" s="37"/>
      <c r="AJ269" s="37"/>
      <c r="AK269" s="37"/>
      <c r="AL269" s="37"/>
      <c r="AM269" s="63"/>
    </row>
    <row r="270" ht="15.75" customHeight="1">
      <c r="A270" s="101"/>
      <c r="B270" s="63"/>
      <c r="C270" s="63"/>
      <c r="D270" s="63"/>
      <c r="E270" s="37"/>
      <c r="F270" s="63"/>
      <c r="G270" s="63"/>
      <c r="H270" s="63"/>
      <c r="I270" s="37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37"/>
      <c r="AE270" s="37"/>
      <c r="AF270" s="37"/>
      <c r="AG270" s="37"/>
      <c r="AH270" s="37"/>
      <c r="AI270" s="37"/>
      <c r="AJ270" s="37"/>
      <c r="AK270" s="37"/>
      <c r="AL270" s="37"/>
      <c r="AM270" s="63"/>
    </row>
    <row r="271" ht="15.75" customHeight="1">
      <c r="A271" s="101"/>
      <c r="B271" s="63"/>
      <c r="C271" s="63"/>
      <c r="D271" s="63"/>
      <c r="E271" s="37"/>
      <c r="F271" s="63"/>
      <c r="G271" s="63"/>
      <c r="H271" s="63"/>
      <c r="I271" s="37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37"/>
      <c r="AE271" s="37"/>
      <c r="AF271" s="37"/>
      <c r="AG271" s="37"/>
      <c r="AH271" s="37"/>
      <c r="AI271" s="37"/>
      <c r="AJ271" s="37"/>
      <c r="AK271" s="37"/>
      <c r="AL271" s="37"/>
      <c r="AM271" s="63"/>
    </row>
    <row r="272" ht="15.75" customHeight="1">
      <c r="A272" s="101"/>
      <c r="B272" s="63"/>
      <c r="C272" s="63"/>
      <c r="D272" s="63"/>
      <c r="E272" s="37"/>
      <c r="F272" s="63"/>
      <c r="G272" s="63"/>
      <c r="H272" s="63"/>
      <c r="I272" s="37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37"/>
      <c r="AE272" s="37"/>
      <c r="AF272" s="37"/>
      <c r="AG272" s="37"/>
      <c r="AH272" s="37"/>
      <c r="AI272" s="37"/>
      <c r="AJ272" s="37"/>
      <c r="AK272" s="37"/>
      <c r="AL272" s="37"/>
      <c r="AM272" s="63"/>
    </row>
    <row r="273" ht="15.75" customHeight="1">
      <c r="A273" s="101"/>
      <c r="B273" s="63"/>
      <c r="C273" s="63"/>
      <c r="D273" s="63"/>
      <c r="E273" s="37"/>
      <c r="F273" s="63"/>
      <c r="G273" s="63"/>
      <c r="H273" s="63"/>
      <c r="I273" s="37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37"/>
      <c r="AE273" s="37"/>
      <c r="AF273" s="37"/>
      <c r="AG273" s="37"/>
      <c r="AH273" s="37"/>
      <c r="AI273" s="37"/>
      <c r="AJ273" s="37"/>
      <c r="AK273" s="37"/>
      <c r="AL273" s="37"/>
      <c r="AM273" s="63"/>
    </row>
    <row r="274" ht="15.75" customHeight="1">
      <c r="A274" s="101"/>
      <c r="B274" s="63"/>
      <c r="C274" s="63"/>
      <c r="D274" s="63"/>
      <c r="E274" s="37"/>
      <c r="F274" s="63"/>
      <c r="G274" s="63"/>
      <c r="H274" s="63"/>
      <c r="I274" s="37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37"/>
      <c r="AE274" s="37"/>
      <c r="AF274" s="37"/>
      <c r="AG274" s="37"/>
      <c r="AH274" s="37"/>
      <c r="AI274" s="37"/>
      <c r="AJ274" s="37"/>
      <c r="AK274" s="37"/>
      <c r="AL274" s="37"/>
      <c r="AM274" s="63"/>
    </row>
    <row r="275" ht="15.75" customHeight="1">
      <c r="A275" s="101"/>
      <c r="B275" s="63"/>
      <c r="C275" s="63"/>
      <c r="D275" s="63"/>
      <c r="E275" s="37"/>
      <c r="F275" s="63"/>
      <c r="G275" s="63"/>
      <c r="H275" s="63"/>
      <c r="I275" s="37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37"/>
      <c r="AE275" s="37"/>
      <c r="AF275" s="37"/>
      <c r="AG275" s="37"/>
      <c r="AH275" s="37"/>
      <c r="AI275" s="37"/>
      <c r="AJ275" s="37"/>
      <c r="AK275" s="37"/>
      <c r="AL275" s="37"/>
      <c r="AM275" s="63"/>
    </row>
    <row r="276" ht="15.75" customHeight="1">
      <c r="A276" s="101"/>
      <c r="B276" s="63"/>
      <c r="C276" s="63"/>
      <c r="D276" s="63"/>
      <c r="E276" s="37"/>
      <c r="F276" s="63"/>
      <c r="G276" s="63"/>
      <c r="H276" s="63"/>
      <c r="I276" s="37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37"/>
      <c r="AE276" s="37"/>
      <c r="AF276" s="37"/>
      <c r="AG276" s="37"/>
      <c r="AH276" s="37"/>
      <c r="AI276" s="37"/>
      <c r="AJ276" s="37"/>
      <c r="AK276" s="37"/>
      <c r="AL276" s="37"/>
      <c r="AM276" s="63"/>
    </row>
    <row r="277" ht="15.75" customHeight="1">
      <c r="A277" s="101"/>
      <c r="B277" s="63"/>
      <c r="C277" s="63"/>
      <c r="D277" s="63"/>
      <c r="E277" s="37"/>
      <c r="F277" s="63"/>
      <c r="G277" s="63"/>
      <c r="H277" s="63"/>
      <c r="I277" s="37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37"/>
      <c r="AE277" s="37"/>
      <c r="AF277" s="37"/>
      <c r="AG277" s="37"/>
      <c r="AH277" s="37"/>
      <c r="AI277" s="37"/>
      <c r="AJ277" s="37"/>
      <c r="AK277" s="37"/>
      <c r="AL277" s="37"/>
      <c r="AM277" s="63"/>
    </row>
    <row r="278" ht="15.75" customHeight="1">
      <c r="A278" s="101"/>
      <c r="B278" s="63"/>
      <c r="C278" s="63"/>
      <c r="D278" s="63"/>
      <c r="E278" s="37"/>
      <c r="F278" s="63"/>
      <c r="G278" s="63"/>
      <c r="H278" s="63"/>
      <c r="I278" s="37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37"/>
      <c r="AE278" s="37"/>
      <c r="AF278" s="37"/>
      <c r="AG278" s="37"/>
      <c r="AH278" s="37"/>
      <c r="AI278" s="37"/>
      <c r="AJ278" s="37"/>
      <c r="AK278" s="37"/>
      <c r="AL278" s="37"/>
      <c r="AM278" s="63"/>
    </row>
    <row r="279" ht="15.75" customHeight="1">
      <c r="A279" s="101"/>
      <c r="B279" s="63"/>
      <c r="C279" s="63"/>
      <c r="D279" s="63"/>
      <c r="E279" s="37"/>
      <c r="F279" s="63"/>
      <c r="G279" s="63"/>
      <c r="H279" s="63"/>
      <c r="I279" s="37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37"/>
      <c r="AE279" s="37"/>
      <c r="AF279" s="37"/>
      <c r="AG279" s="37"/>
      <c r="AH279" s="37"/>
      <c r="AI279" s="37"/>
      <c r="AJ279" s="37"/>
      <c r="AK279" s="37"/>
      <c r="AL279" s="37"/>
      <c r="AM279" s="63"/>
    </row>
    <row r="280" ht="15.75" customHeight="1">
      <c r="A280" s="101"/>
      <c r="B280" s="63"/>
      <c r="C280" s="63"/>
      <c r="D280" s="63"/>
      <c r="E280" s="37"/>
      <c r="F280" s="63"/>
      <c r="G280" s="63"/>
      <c r="H280" s="63"/>
      <c r="I280" s="37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37"/>
      <c r="AE280" s="37"/>
      <c r="AF280" s="37"/>
      <c r="AG280" s="37"/>
      <c r="AH280" s="37"/>
      <c r="AI280" s="37"/>
      <c r="AJ280" s="37"/>
      <c r="AK280" s="37"/>
      <c r="AL280" s="37"/>
      <c r="AM280" s="63"/>
    </row>
    <row r="281" ht="15.75" customHeight="1">
      <c r="A281" s="101"/>
      <c r="B281" s="63"/>
      <c r="C281" s="63"/>
      <c r="D281" s="63"/>
      <c r="E281" s="37"/>
      <c r="F281" s="63"/>
      <c r="G281" s="63"/>
      <c r="H281" s="63"/>
      <c r="I281" s="37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37"/>
      <c r="AE281" s="37"/>
      <c r="AF281" s="37"/>
      <c r="AG281" s="37"/>
      <c r="AH281" s="37"/>
      <c r="AI281" s="37"/>
      <c r="AJ281" s="37"/>
      <c r="AK281" s="37"/>
      <c r="AL281" s="37"/>
      <c r="AM281" s="63"/>
    </row>
    <row r="282" ht="15.75" customHeight="1">
      <c r="A282" s="101"/>
      <c r="B282" s="63"/>
      <c r="C282" s="63"/>
      <c r="D282" s="63"/>
      <c r="E282" s="37"/>
      <c r="F282" s="63"/>
      <c r="G282" s="63"/>
      <c r="H282" s="63"/>
      <c r="I282" s="37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37"/>
      <c r="AE282" s="37"/>
      <c r="AF282" s="37"/>
      <c r="AG282" s="37"/>
      <c r="AH282" s="37"/>
      <c r="AI282" s="37"/>
      <c r="AJ282" s="37"/>
      <c r="AK282" s="37"/>
      <c r="AL282" s="37"/>
      <c r="AM282" s="63"/>
    </row>
    <row r="283" ht="15.75" customHeight="1">
      <c r="A283" s="101"/>
      <c r="B283" s="63"/>
      <c r="C283" s="63"/>
      <c r="D283" s="63"/>
      <c r="E283" s="37"/>
      <c r="F283" s="63"/>
      <c r="G283" s="63"/>
      <c r="H283" s="63"/>
      <c r="I283" s="37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37"/>
      <c r="AE283" s="37"/>
      <c r="AF283" s="37"/>
      <c r="AG283" s="37"/>
      <c r="AH283" s="37"/>
      <c r="AI283" s="37"/>
      <c r="AJ283" s="37"/>
      <c r="AK283" s="37"/>
      <c r="AL283" s="37"/>
      <c r="AM283" s="63"/>
    </row>
    <row r="284" ht="15.75" customHeight="1">
      <c r="A284" s="101"/>
      <c r="B284" s="63"/>
      <c r="C284" s="63"/>
      <c r="D284" s="63"/>
      <c r="E284" s="37"/>
      <c r="F284" s="63"/>
      <c r="G284" s="63"/>
      <c r="H284" s="63"/>
      <c r="I284" s="37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37"/>
      <c r="AE284" s="37"/>
      <c r="AF284" s="37"/>
      <c r="AG284" s="37"/>
      <c r="AH284" s="37"/>
      <c r="AI284" s="37"/>
      <c r="AJ284" s="37"/>
      <c r="AK284" s="37"/>
      <c r="AL284" s="37"/>
      <c r="AM284" s="63"/>
    </row>
    <row r="285" ht="15.75" customHeight="1">
      <c r="A285" s="101"/>
      <c r="B285" s="63"/>
      <c r="C285" s="63"/>
      <c r="D285" s="63"/>
      <c r="E285" s="37"/>
      <c r="F285" s="63"/>
      <c r="G285" s="63"/>
      <c r="H285" s="63"/>
      <c r="I285" s="37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37"/>
      <c r="AE285" s="37"/>
      <c r="AF285" s="37"/>
      <c r="AG285" s="37"/>
      <c r="AH285" s="37"/>
      <c r="AI285" s="37"/>
      <c r="AJ285" s="37"/>
      <c r="AK285" s="37"/>
      <c r="AL285" s="37"/>
      <c r="AM285" s="63"/>
    </row>
    <row r="286" ht="15.75" customHeight="1">
      <c r="A286" s="101"/>
      <c r="B286" s="63"/>
      <c r="C286" s="63"/>
      <c r="D286" s="63"/>
      <c r="E286" s="37"/>
      <c r="F286" s="63"/>
      <c r="G286" s="63"/>
      <c r="H286" s="63"/>
      <c r="I286" s="37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37"/>
      <c r="AE286" s="37"/>
      <c r="AF286" s="37"/>
      <c r="AG286" s="37"/>
      <c r="AH286" s="37"/>
      <c r="AI286" s="37"/>
      <c r="AJ286" s="37"/>
      <c r="AK286" s="37"/>
      <c r="AL286" s="37"/>
      <c r="AM286" s="63"/>
    </row>
    <row r="287" ht="15.75" customHeight="1">
      <c r="A287" s="101"/>
      <c r="B287" s="63"/>
      <c r="C287" s="63"/>
      <c r="D287" s="63"/>
      <c r="E287" s="37"/>
      <c r="F287" s="63"/>
      <c r="G287" s="63"/>
      <c r="H287" s="63"/>
      <c r="I287" s="37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37"/>
      <c r="AE287" s="37"/>
      <c r="AF287" s="37"/>
      <c r="AG287" s="37"/>
      <c r="AH287" s="37"/>
      <c r="AI287" s="37"/>
      <c r="AJ287" s="37"/>
      <c r="AK287" s="37"/>
      <c r="AL287" s="37"/>
      <c r="AM287" s="63"/>
    </row>
    <row r="288" ht="15.75" customHeight="1">
      <c r="A288" s="101"/>
      <c r="B288" s="63"/>
      <c r="C288" s="63"/>
      <c r="D288" s="63"/>
      <c r="E288" s="37"/>
      <c r="F288" s="63"/>
      <c r="G288" s="63"/>
      <c r="H288" s="63"/>
      <c r="I288" s="37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37"/>
      <c r="AE288" s="37"/>
      <c r="AF288" s="37"/>
      <c r="AG288" s="37"/>
      <c r="AH288" s="37"/>
      <c r="AI288" s="37"/>
      <c r="AJ288" s="37"/>
      <c r="AK288" s="37"/>
      <c r="AL288" s="37"/>
      <c r="AM288" s="63"/>
    </row>
    <row r="289" ht="15.75" customHeight="1">
      <c r="A289" s="101"/>
      <c r="B289" s="63"/>
      <c r="C289" s="63"/>
      <c r="D289" s="63"/>
      <c r="E289" s="37"/>
      <c r="F289" s="63"/>
      <c r="G289" s="63"/>
      <c r="H289" s="63"/>
      <c r="I289" s="37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37"/>
      <c r="AE289" s="37"/>
      <c r="AF289" s="37"/>
      <c r="AG289" s="37"/>
      <c r="AH289" s="37"/>
      <c r="AI289" s="37"/>
      <c r="AJ289" s="37"/>
      <c r="AK289" s="37"/>
      <c r="AL289" s="37"/>
      <c r="AM289" s="63"/>
    </row>
    <row r="290" ht="15.75" customHeight="1">
      <c r="A290" s="101"/>
      <c r="B290" s="63"/>
      <c r="C290" s="63"/>
      <c r="D290" s="63"/>
      <c r="E290" s="37"/>
      <c r="F290" s="63"/>
      <c r="G290" s="63"/>
      <c r="H290" s="63"/>
      <c r="I290" s="37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37"/>
      <c r="AE290" s="37"/>
      <c r="AF290" s="37"/>
      <c r="AG290" s="37"/>
      <c r="AH290" s="37"/>
      <c r="AI290" s="37"/>
      <c r="AJ290" s="37"/>
      <c r="AK290" s="37"/>
      <c r="AL290" s="37"/>
      <c r="AM290" s="63"/>
    </row>
    <row r="291" ht="15.75" customHeight="1">
      <c r="A291" s="101"/>
      <c r="B291" s="63"/>
      <c r="C291" s="63"/>
      <c r="D291" s="63"/>
      <c r="E291" s="37"/>
      <c r="F291" s="63"/>
      <c r="G291" s="63"/>
      <c r="H291" s="63"/>
      <c r="I291" s="37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37"/>
      <c r="AE291" s="37"/>
      <c r="AF291" s="37"/>
      <c r="AG291" s="37"/>
      <c r="AH291" s="37"/>
      <c r="AI291" s="37"/>
      <c r="AJ291" s="37"/>
      <c r="AK291" s="37"/>
      <c r="AL291" s="37"/>
      <c r="AM291" s="63"/>
    </row>
    <row r="292" ht="15.75" customHeight="1">
      <c r="A292" s="101"/>
      <c r="B292" s="63"/>
      <c r="C292" s="63"/>
      <c r="D292" s="63"/>
      <c r="E292" s="37"/>
      <c r="F292" s="63"/>
      <c r="G292" s="63"/>
      <c r="H292" s="63"/>
      <c r="I292" s="37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37"/>
      <c r="AE292" s="37"/>
      <c r="AF292" s="37"/>
      <c r="AG292" s="37"/>
      <c r="AH292" s="37"/>
      <c r="AI292" s="37"/>
      <c r="AJ292" s="37"/>
      <c r="AK292" s="37"/>
      <c r="AL292" s="37"/>
      <c r="AM292" s="63"/>
    </row>
    <row r="293" ht="15.75" customHeight="1">
      <c r="A293" s="101"/>
      <c r="B293" s="63"/>
      <c r="C293" s="63"/>
      <c r="D293" s="63"/>
      <c r="E293" s="37"/>
      <c r="F293" s="63"/>
      <c r="G293" s="63"/>
      <c r="H293" s="63"/>
      <c r="I293" s="37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37"/>
      <c r="AE293" s="37"/>
      <c r="AF293" s="37"/>
      <c r="AG293" s="37"/>
      <c r="AH293" s="37"/>
      <c r="AI293" s="37"/>
      <c r="AJ293" s="37"/>
      <c r="AK293" s="37"/>
      <c r="AL293" s="37"/>
      <c r="AM293" s="63"/>
    </row>
    <row r="294" ht="15.75" customHeight="1">
      <c r="A294" s="101"/>
      <c r="B294" s="63"/>
      <c r="C294" s="63"/>
      <c r="D294" s="63"/>
      <c r="E294" s="37"/>
      <c r="F294" s="63"/>
      <c r="G294" s="63"/>
      <c r="H294" s="63"/>
      <c r="I294" s="37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37"/>
      <c r="AE294" s="37"/>
      <c r="AF294" s="37"/>
      <c r="AG294" s="37"/>
      <c r="AH294" s="37"/>
      <c r="AI294" s="37"/>
      <c r="AJ294" s="37"/>
      <c r="AK294" s="37"/>
      <c r="AL294" s="37"/>
      <c r="AM294" s="63"/>
    </row>
    <row r="295" ht="15.75" customHeight="1">
      <c r="A295" s="101"/>
      <c r="B295" s="63"/>
      <c r="C295" s="63"/>
      <c r="D295" s="63"/>
      <c r="E295" s="37"/>
      <c r="F295" s="63"/>
      <c r="G295" s="63"/>
      <c r="H295" s="63"/>
      <c r="I295" s="37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37"/>
      <c r="AE295" s="37"/>
      <c r="AF295" s="37"/>
      <c r="AG295" s="37"/>
      <c r="AH295" s="37"/>
      <c r="AI295" s="37"/>
      <c r="AJ295" s="37"/>
      <c r="AK295" s="37"/>
      <c r="AL295" s="37"/>
      <c r="AM295" s="63"/>
    </row>
    <row r="296" ht="15.75" customHeight="1">
      <c r="A296" s="101"/>
      <c r="B296" s="63"/>
      <c r="C296" s="63"/>
      <c r="D296" s="63"/>
      <c r="E296" s="37"/>
      <c r="F296" s="63"/>
      <c r="G296" s="63"/>
      <c r="H296" s="63"/>
      <c r="I296" s="37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37"/>
      <c r="AE296" s="37"/>
      <c r="AF296" s="37"/>
      <c r="AG296" s="37"/>
      <c r="AH296" s="37"/>
      <c r="AI296" s="37"/>
      <c r="AJ296" s="37"/>
      <c r="AK296" s="37"/>
      <c r="AL296" s="37"/>
      <c r="AM296" s="63"/>
    </row>
    <row r="297" ht="15.75" customHeight="1">
      <c r="A297" s="101"/>
      <c r="B297" s="63"/>
      <c r="C297" s="63"/>
      <c r="D297" s="63"/>
      <c r="E297" s="37"/>
      <c r="F297" s="63"/>
      <c r="G297" s="63"/>
      <c r="H297" s="63"/>
      <c r="I297" s="37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37"/>
      <c r="AE297" s="37"/>
      <c r="AF297" s="37"/>
      <c r="AG297" s="37"/>
      <c r="AH297" s="37"/>
      <c r="AI297" s="37"/>
      <c r="AJ297" s="37"/>
      <c r="AK297" s="37"/>
      <c r="AL297" s="37"/>
      <c r="AM297" s="63"/>
    </row>
    <row r="298" ht="15.75" customHeight="1">
      <c r="A298" s="101"/>
      <c r="B298" s="63"/>
      <c r="C298" s="63"/>
      <c r="D298" s="63"/>
      <c r="E298" s="37"/>
      <c r="F298" s="63"/>
      <c r="G298" s="63"/>
      <c r="H298" s="63"/>
      <c r="I298" s="37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37"/>
      <c r="AE298" s="37"/>
      <c r="AF298" s="37"/>
      <c r="AG298" s="37"/>
      <c r="AH298" s="37"/>
      <c r="AI298" s="37"/>
      <c r="AJ298" s="37"/>
      <c r="AK298" s="37"/>
      <c r="AL298" s="37"/>
      <c r="AM298" s="63"/>
    </row>
    <row r="299" ht="15.75" customHeight="1">
      <c r="A299" s="101"/>
      <c r="B299" s="63"/>
      <c r="C299" s="63"/>
      <c r="D299" s="63"/>
      <c r="E299" s="37"/>
      <c r="F299" s="63"/>
      <c r="G299" s="63"/>
      <c r="H299" s="63"/>
      <c r="I299" s="37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37"/>
      <c r="AE299" s="37"/>
      <c r="AF299" s="37"/>
      <c r="AG299" s="37"/>
      <c r="AH299" s="37"/>
      <c r="AI299" s="37"/>
      <c r="AJ299" s="37"/>
      <c r="AK299" s="37"/>
      <c r="AL299" s="37"/>
      <c r="AM299" s="63"/>
    </row>
    <row r="300" ht="15.75" customHeight="1">
      <c r="A300" s="101"/>
      <c r="B300" s="63"/>
      <c r="C300" s="63"/>
      <c r="D300" s="63"/>
      <c r="E300" s="37"/>
      <c r="F300" s="63"/>
      <c r="G300" s="63"/>
      <c r="H300" s="63"/>
      <c r="I300" s="37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37"/>
      <c r="AE300" s="37"/>
      <c r="AF300" s="37"/>
      <c r="AG300" s="37"/>
      <c r="AH300" s="37"/>
      <c r="AI300" s="37"/>
      <c r="AJ300" s="37"/>
      <c r="AK300" s="37"/>
      <c r="AL300" s="37"/>
      <c r="AM300" s="63"/>
    </row>
    <row r="301" ht="15.75" customHeight="1">
      <c r="A301" s="101"/>
      <c r="B301" s="63"/>
      <c r="C301" s="63"/>
      <c r="D301" s="63"/>
      <c r="E301" s="37"/>
      <c r="F301" s="63"/>
      <c r="G301" s="63"/>
      <c r="H301" s="63"/>
      <c r="I301" s="37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37"/>
      <c r="AE301" s="37"/>
      <c r="AF301" s="37"/>
      <c r="AG301" s="37"/>
      <c r="AH301" s="37"/>
      <c r="AI301" s="37"/>
      <c r="AJ301" s="37"/>
      <c r="AK301" s="37"/>
      <c r="AL301" s="37"/>
      <c r="AM301" s="63"/>
    </row>
    <row r="302" ht="15.75" customHeight="1">
      <c r="A302" s="101"/>
      <c r="B302" s="63"/>
      <c r="C302" s="63"/>
      <c r="D302" s="63"/>
      <c r="E302" s="37"/>
      <c r="F302" s="63"/>
      <c r="G302" s="63"/>
      <c r="H302" s="63"/>
      <c r="I302" s="37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37"/>
      <c r="AE302" s="37"/>
      <c r="AF302" s="37"/>
      <c r="AG302" s="37"/>
      <c r="AH302" s="37"/>
      <c r="AI302" s="37"/>
      <c r="AJ302" s="37"/>
      <c r="AK302" s="37"/>
      <c r="AL302" s="37"/>
      <c r="AM302" s="63"/>
    </row>
    <row r="303" ht="15.75" customHeight="1">
      <c r="A303" s="101"/>
      <c r="B303" s="63"/>
      <c r="C303" s="63"/>
      <c r="D303" s="63"/>
      <c r="E303" s="37"/>
      <c r="F303" s="63"/>
      <c r="G303" s="63"/>
      <c r="H303" s="63"/>
      <c r="I303" s="37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37"/>
      <c r="AE303" s="37"/>
      <c r="AF303" s="37"/>
      <c r="AG303" s="37"/>
      <c r="AH303" s="37"/>
      <c r="AI303" s="37"/>
      <c r="AJ303" s="37"/>
      <c r="AK303" s="37"/>
      <c r="AL303" s="37"/>
      <c r="AM303" s="63"/>
    </row>
    <row r="304" ht="15.75" customHeight="1">
      <c r="A304" s="101"/>
      <c r="B304" s="63"/>
      <c r="C304" s="63"/>
      <c r="D304" s="63"/>
      <c r="E304" s="37"/>
      <c r="F304" s="63"/>
      <c r="G304" s="63"/>
      <c r="H304" s="63"/>
      <c r="I304" s="37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37"/>
      <c r="AE304" s="37"/>
      <c r="AF304" s="37"/>
      <c r="AG304" s="37"/>
      <c r="AH304" s="37"/>
      <c r="AI304" s="37"/>
      <c r="AJ304" s="37"/>
      <c r="AK304" s="37"/>
      <c r="AL304" s="37"/>
      <c r="AM304" s="63"/>
    </row>
    <row r="305" ht="15.75" customHeight="1">
      <c r="A305" s="101"/>
      <c r="B305" s="63"/>
      <c r="C305" s="63"/>
      <c r="D305" s="63"/>
      <c r="E305" s="37"/>
      <c r="F305" s="63"/>
      <c r="G305" s="63"/>
      <c r="H305" s="63"/>
      <c r="I305" s="37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37"/>
      <c r="AE305" s="37"/>
      <c r="AF305" s="37"/>
      <c r="AG305" s="37"/>
      <c r="AH305" s="37"/>
      <c r="AI305" s="37"/>
      <c r="AJ305" s="37"/>
      <c r="AK305" s="37"/>
      <c r="AL305" s="37"/>
      <c r="AM305" s="63"/>
    </row>
    <row r="306" ht="15.75" customHeight="1">
      <c r="A306" s="101"/>
      <c r="B306" s="63"/>
      <c r="C306" s="63"/>
      <c r="D306" s="63"/>
      <c r="E306" s="37"/>
      <c r="F306" s="63"/>
      <c r="G306" s="63"/>
      <c r="H306" s="63"/>
      <c r="I306" s="37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37"/>
      <c r="AE306" s="37"/>
      <c r="AF306" s="37"/>
      <c r="AG306" s="37"/>
      <c r="AH306" s="37"/>
      <c r="AI306" s="37"/>
      <c r="AJ306" s="37"/>
      <c r="AK306" s="37"/>
      <c r="AL306" s="37"/>
      <c r="AM306" s="63"/>
    </row>
    <row r="307" ht="15.75" customHeight="1">
      <c r="A307" s="101"/>
      <c r="B307" s="63"/>
      <c r="C307" s="63"/>
      <c r="D307" s="63"/>
      <c r="E307" s="37"/>
      <c r="F307" s="63"/>
      <c r="G307" s="63"/>
      <c r="H307" s="63"/>
      <c r="I307" s="37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37"/>
      <c r="AE307" s="37"/>
      <c r="AF307" s="37"/>
      <c r="AG307" s="37"/>
      <c r="AH307" s="37"/>
      <c r="AI307" s="37"/>
      <c r="AJ307" s="37"/>
      <c r="AK307" s="37"/>
      <c r="AL307" s="37"/>
      <c r="AM307" s="63"/>
    </row>
    <row r="308" ht="15.75" customHeight="1">
      <c r="A308" s="101"/>
      <c r="B308" s="63"/>
      <c r="C308" s="63"/>
      <c r="D308" s="63"/>
      <c r="E308" s="37"/>
      <c r="F308" s="63"/>
      <c r="G308" s="63"/>
      <c r="H308" s="63"/>
      <c r="I308" s="37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37"/>
      <c r="AE308" s="37"/>
      <c r="AF308" s="37"/>
      <c r="AG308" s="37"/>
      <c r="AH308" s="37"/>
      <c r="AI308" s="37"/>
      <c r="AJ308" s="37"/>
      <c r="AK308" s="37"/>
      <c r="AL308" s="37"/>
      <c r="AM308" s="63"/>
    </row>
    <row r="309" ht="15.75" customHeight="1">
      <c r="A309" s="101"/>
      <c r="B309" s="63"/>
      <c r="C309" s="63"/>
      <c r="D309" s="63"/>
      <c r="E309" s="37"/>
      <c r="F309" s="63"/>
      <c r="G309" s="63"/>
      <c r="H309" s="63"/>
      <c r="I309" s="37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37"/>
      <c r="AE309" s="37"/>
      <c r="AF309" s="37"/>
      <c r="AG309" s="37"/>
      <c r="AH309" s="37"/>
      <c r="AI309" s="37"/>
      <c r="AJ309" s="37"/>
      <c r="AK309" s="37"/>
      <c r="AL309" s="37"/>
      <c r="AM309" s="63"/>
    </row>
    <row r="310" ht="15.75" customHeight="1">
      <c r="A310" s="101"/>
      <c r="B310" s="63"/>
      <c r="C310" s="63"/>
      <c r="D310" s="63"/>
      <c r="E310" s="37"/>
      <c r="F310" s="63"/>
      <c r="G310" s="63"/>
      <c r="H310" s="63"/>
      <c r="I310" s="37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37"/>
      <c r="AE310" s="37"/>
      <c r="AF310" s="37"/>
      <c r="AG310" s="37"/>
      <c r="AH310" s="37"/>
      <c r="AI310" s="37"/>
      <c r="AJ310" s="37"/>
      <c r="AK310" s="37"/>
      <c r="AL310" s="37"/>
      <c r="AM310" s="63"/>
    </row>
    <row r="311" ht="15.75" customHeight="1">
      <c r="A311" s="101"/>
      <c r="B311" s="63"/>
      <c r="C311" s="63"/>
      <c r="D311" s="63"/>
      <c r="E311" s="37"/>
      <c r="F311" s="63"/>
      <c r="G311" s="63"/>
      <c r="H311" s="63"/>
      <c r="I311" s="37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37"/>
      <c r="AE311" s="37"/>
      <c r="AF311" s="37"/>
      <c r="AG311" s="37"/>
      <c r="AH311" s="37"/>
      <c r="AI311" s="37"/>
      <c r="AJ311" s="37"/>
      <c r="AK311" s="37"/>
      <c r="AL311" s="37"/>
      <c r="AM311" s="63"/>
    </row>
    <row r="312" ht="15.75" customHeight="1">
      <c r="A312" s="101"/>
      <c r="B312" s="63"/>
      <c r="C312" s="63"/>
      <c r="D312" s="63"/>
      <c r="E312" s="37"/>
      <c r="F312" s="63"/>
      <c r="G312" s="63"/>
      <c r="H312" s="63"/>
      <c r="I312" s="37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37"/>
      <c r="AE312" s="37"/>
      <c r="AF312" s="37"/>
      <c r="AG312" s="37"/>
      <c r="AH312" s="37"/>
      <c r="AI312" s="37"/>
      <c r="AJ312" s="37"/>
      <c r="AK312" s="37"/>
      <c r="AL312" s="37"/>
      <c r="AM312" s="63"/>
    </row>
    <row r="313" ht="15.75" customHeight="1">
      <c r="A313" s="101"/>
      <c r="B313" s="63"/>
      <c r="C313" s="63"/>
      <c r="D313" s="63"/>
      <c r="E313" s="37"/>
      <c r="F313" s="63"/>
      <c r="G313" s="63"/>
      <c r="H313" s="63"/>
      <c r="I313" s="37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37"/>
      <c r="AE313" s="37"/>
      <c r="AF313" s="37"/>
      <c r="AG313" s="37"/>
      <c r="AH313" s="37"/>
      <c r="AI313" s="37"/>
      <c r="AJ313" s="37"/>
      <c r="AK313" s="37"/>
      <c r="AL313" s="37"/>
      <c r="AM313" s="63"/>
    </row>
    <row r="314" ht="15.75" customHeight="1">
      <c r="A314" s="101"/>
      <c r="B314" s="63"/>
      <c r="C314" s="63"/>
      <c r="D314" s="63"/>
      <c r="E314" s="37"/>
      <c r="F314" s="63"/>
      <c r="G314" s="63"/>
      <c r="H314" s="63"/>
      <c r="I314" s="37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37"/>
      <c r="AE314" s="37"/>
      <c r="AF314" s="37"/>
      <c r="AG314" s="37"/>
      <c r="AH314" s="37"/>
      <c r="AI314" s="37"/>
      <c r="AJ314" s="37"/>
      <c r="AK314" s="37"/>
      <c r="AL314" s="37"/>
      <c r="AM314" s="63"/>
    </row>
    <row r="315" ht="15.75" customHeight="1">
      <c r="A315" s="101"/>
      <c r="B315" s="63"/>
      <c r="C315" s="63"/>
      <c r="D315" s="63"/>
      <c r="E315" s="37"/>
      <c r="F315" s="63"/>
      <c r="G315" s="63"/>
      <c r="H315" s="63"/>
      <c r="I315" s="37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37"/>
      <c r="AE315" s="37"/>
      <c r="AF315" s="37"/>
      <c r="AG315" s="37"/>
      <c r="AH315" s="37"/>
      <c r="AI315" s="37"/>
      <c r="AJ315" s="37"/>
      <c r="AK315" s="37"/>
      <c r="AL315" s="37"/>
      <c r="AM315" s="63"/>
    </row>
    <row r="316" ht="15.75" customHeight="1">
      <c r="A316" s="101"/>
      <c r="B316" s="63"/>
      <c r="C316" s="63"/>
      <c r="D316" s="63"/>
      <c r="E316" s="37"/>
      <c r="F316" s="63"/>
      <c r="G316" s="63"/>
      <c r="H316" s="63"/>
      <c r="I316" s="37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37"/>
      <c r="AE316" s="37"/>
      <c r="AF316" s="37"/>
      <c r="AG316" s="37"/>
      <c r="AH316" s="37"/>
      <c r="AI316" s="37"/>
      <c r="AJ316" s="37"/>
      <c r="AK316" s="37"/>
      <c r="AL316" s="37"/>
      <c r="AM316" s="63"/>
    </row>
    <row r="317" ht="15.75" customHeight="1">
      <c r="A317" s="101"/>
      <c r="B317" s="63"/>
      <c r="C317" s="63"/>
      <c r="D317" s="63"/>
      <c r="E317" s="37"/>
      <c r="F317" s="63"/>
      <c r="G317" s="63"/>
      <c r="H317" s="63"/>
      <c r="I317" s="37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37"/>
      <c r="AE317" s="37"/>
      <c r="AF317" s="37"/>
      <c r="AG317" s="37"/>
      <c r="AH317" s="37"/>
      <c r="AI317" s="37"/>
      <c r="AJ317" s="37"/>
      <c r="AK317" s="37"/>
      <c r="AL317" s="37"/>
      <c r="AM317" s="63"/>
    </row>
    <row r="318" ht="15.75" customHeight="1">
      <c r="A318" s="101"/>
      <c r="B318" s="63"/>
      <c r="C318" s="63"/>
      <c r="D318" s="63"/>
      <c r="E318" s="37"/>
      <c r="F318" s="63"/>
      <c r="G318" s="63"/>
      <c r="H318" s="63"/>
      <c r="I318" s="37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37"/>
      <c r="AE318" s="37"/>
      <c r="AF318" s="37"/>
      <c r="AG318" s="37"/>
      <c r="AH318" s="37"/>
      <c r="AI318" s="37"/>
      <c r="AJ318" s="37"/>
      <c r="AK318" s="37"/>
      <c r="AL318" s="37"/>
      <c r="AM318" s="63"/>
    </row>
    <row r="319" ht="15.75" customHeight="1">
      <c r="A319" s="101"/>
      <c r="B319" s="63"/>
      <c r="C319" s="63"/>
      <c r="D319" s="63"/>
      <c r="E319" s="37"/>
      <c r="F319" s="63"/>
      <c r="G319" s="63"/>
      <c r="H319" s="63"/>
      <c r="I319" s="37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37"/>
      <c r="AE319" s="37"/>
      <c r="AF319" s="37"/>
      <c r="AG319" s="37"/>
      <c r="AH319" s="37"/>
      <c r="AI319" s="37"/>
      <c r="AJ319" s="37"/>
      <c r="AK319" s="37"/>
      <c r="AL319" s="37"/>
      <c r="AM319" s="63"/>
    </row>
    <row r="320" ht="15.75" customHeight="1">
      <c r="A320" s="101"/>
      <c r="B320" s="63"/>
      <c r="C320" s="63"/>
      <c r="D320" s="63"/>
      <c r="E320" s="37"/>
      <c r="F320" s="63"/>
      <c r="G320" s="63"/>
      <c r="H320" s="63"/>
      <c r="I320" s="37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37"/>
      <c r="AE320" s="37"/>
      <c r="AF320" s="37"/>
      <c r="AG320" s="37"/>
      <c r="AH320" s="37"/>
      <c r="AI320" s="37"/>
      <c r="AJ320" s="37"/>
      <c r="AK320" s="37"/>
      <c r="AL320" s="37"/>
      <c r="AM320" s="63"/>
    </row>
    <row r="321" ht="15.75" customHeight="1">
      <c r="A321" s="101"/>
      <c r="B321" s="63"/>
      <c r="C321" s="63"/>
      <c r="D321" s="63"/>
      <c r="E321" s="37"/>
      <c r="F321" s="63"/>
      <c r="G321" s="63"/>
      <c r="H321" s="63"/>
      <c r="I321" s="37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37"/>
      <c r="AE321" s="37"/>
      <c r="AF321" s="37"/>
      <c r="AG321" s="37"/>
      <c r="AH321" s="37"/>
      <c r="AI321" s="37"/>
      <c r="AJ321" s="37"/>
      <c r="AK321" s="37"/>
      <c r="AL321" s="37"/>
      <c r="AM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</row>
    <row r="798" ht="15.75" customHeight="1">
      <c r="A798" s="63"/>
      <c r="B798" s="63"/>
      <c r="C798" s="63"/>
      <c r="D798" s="63"/>
      <c r="E798" s="63"/>
      <c r="F798" s="63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</row>
    <row r="799" ht="15.75" customHeight="1">
      <c r="A799" s="63"/>
      <c r="B799" s="63"/>
      <c r="C799" s="63"/>
      <c r="D799" s="63"/>
      <c r="E799" s="63"/>
      <c r="F799" s="63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</row>
    <row r="800" ht="15.75" customHeight="1">
      <c r="A800" s="63"/>
      <c r="B800" s="63"/>
      <c r="C800" s="63"/>
      <c r="D800" s="63"/>
      <c r="E800" s="63"/>
      <c r="F800" s="63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</row>
    <row r="801" ht="15.75" customHeight="1">
      <c r="A801" s="63"/>
      <c r="B801" s="63"/>
      <c r="C801" s="63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</row>
    <row r="802" ht="15.75" customHeight="1">
      <c r="A802" s="63"/>
      <c r="B802" s="63"/>
      <c r="C802" s="63"/>
      <c r="D802" s="63"/>
      <c r="E802" s="63"/>
      <c r="F802" s="63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</row>
    <row r="803" ht="15.75" customHeight="1">
      <c r="A803" s="63"/>
      <c r="B803" s="63"/>
      <c r="C803" s="63"/>
      <c r="D803" s="63"/>
      <c r="E803" s="63"/>
      <c r="F803" s="63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</row>
    <row r="804" ht="15.75" customHeight="1">
      <c r="A804" s="63"/>
      <c r="B804" s="63"/>
      <c r="C804" s="63"/>
      <c r="D804" s="63"/>
      <c r="E804" s="63"/>
      <c r="F804" s="63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</row>
    <row r="805" ht="15.75" customHeight="1">
      <c r="A805" s="63"/>
      <c r="B805" s="63"/>
      <c r="C805" s="63"/>
      <c r="D805" s="63"/>
      <c r="E805" s="63"/>
      <c r="F805" s="63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</row>
    <row r="806" ht="15.75" customHeight="1">
      <c r="A806" s="63"/>
      <c r="B806" s="63"/>
      <c r="C806" s="63"/>
      <c r="D806" s="63"/>
      <c r="E806" s="63"/>
      <c r="F806" s="63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</row>
    <row r="807" ht="15.75" customHeight="1">
      <c r="A807" s="63"/>
      <c r="B807" s="63"/>
      <c r="C807" s="63"/>
      <c r="D807" s="63"/>
      <c r="E807" s="63"/>
      <c r="F807" s="63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</row>
    <row r="808" ht="15.75" customHeight="1">
      <c r="A808" s="63"/>
      <c r="B808" s="63"/>
      <c r="C808" s="63"/>
      <c r="D808" s="63"/>
      <c r="E808" s="63"/>
      <c r="F808" s="63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</row>
    <row r="809" ht="15.75" customHeight="1">
      <c r="A809" s="63"/>
      <c r="B809" s="63"/>
      <c r="C809" s="63"/>
      <c r="D809" s="63"/>
      <c r="E809" s="63"/>
      <c r="F809" s="63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</row>
    <row r="810" ht="15.75" customHeight="1">
      <c r="A810" s="63"/>
      <c r="B810" s="63"/>
      <c r="C810" s="63"/>
      <c r="D810" s="63"/>
      <c r="E810" s="63"/>
      <c r="F810" s="63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</row>
    <row r="811" ht="15.75" customHeight="1">
      <c r="A811" s="63"/>
      <c r="B811" s="63"/>
      <c r="C811" s="63"/>
      <c r="D811" s="63"/>
      <c r="E811" s="63"/>
      <c r="F811" s="63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</row>
    <row r="812" ht="15.75" customHeight="1">
      <c r="A812" s="63"/>
      <c r="B812" s="63"/>
      <c r="C812" s="63"/>
      <c r="D812" s="63"/>
      <c r="E812" s="63"/>
      <c r="F812" s="63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</row>
    <row r="813" ht="15.75" customHeight="1">
      <c r="A813" s="63"/>
      <c r="B813" s="63"/>
      <c r="C813" s="63"/>
      <c r="D813" s="63"/>
      <c r="E813" s="63"/>
      <c r="F813" s="63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</row>
    <row r="814" ht="15.75" customHeight="1">
      <c r="A814" s="63"/>
      <c r="B814" s="63"/>
      <c r="C814" s="63"/>
      <c r="D814" s="63"/>
      <c r="E814" s="63"/>
      <c r="F814" s="63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</row>
    <row r="815" ht="15.75" customHeight="1">
      <c r="A815" s="63"/>
      <c r="B815" s="63"/>
      <c r="C815" s="63"/>
      <c r="D815" s="63"/>
      <c r="E815" s="63"/>
      <c r="F815" s="63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</row>
    <row r="816" ht="15.75" customHeight="1">
      <c r="A816" s="63"/>
      <c r="B816" s="63"/>
      <c r="C816" s="63"/>
      <c r="D816" s="63"/>
      <c r="E816" s="63"/>
      <c r="F816" s="63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</row>
    <row r="817" ht="15.75" customHeight="1">
      <c r="A817" s="63"/>
      <c r="B817" s="63"/>
      <c r="C817" s="63"/>
      <c r="D817" s="63"/>
      <c r="E817" s="63"/>
      <c r="F817" s="63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</row>
    <row r="818" ht="15.75" customHeight="1">
      <c r="A818" s="63"/>
      <c r="B818" s="63"/>
      <c r="C818" s="63"/>
      <c r="D818" s="63"/>
      <c r="E818" s="63"/>
      <c r="F818" s="63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</row>
    <row r="819" ht="15.75" customHeight="1">
      <c r="A819" s="63"/>
      <c r="B819" s="63"/>
      <c r="C819" s="63"/>
      <c r="D819" s="63"/>
      <c r="E819" s="63"/>
      <c r="F819" s="63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</row>
    <row r="820" ht="15.75" customHeight="1">
      <c r="A820" s="63"/>
      <c r="B820" s="63"/>
      <c r="C820" s="63"/>
      <c r="D820" s="63"/>
      <c r="E820" s="63"/>
      <c r="F820" s="63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</row>
    <row r="821" ht="15.75" customHeight="1">
      <c r="A821" s="63"/>
      <c r="B821" s="63"/>
      <c r="C821" s="63"/>
      <c r="D821" s="63"/>
      <c r="E821" s="63"/>
      <c r="F821" s="63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</row>
    <row r="822" ht="15.75" customHeight="1">
      <c r="A822" s="63"/>
      <c r="B822" s="63"/>
      <c r="C822" s="63"/>
      <c r="D822" s="63"/>
      <c r="E822" s="63"/>
      <c r="F822" s="63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</row>
    <row r="823" ht="15.75" customHeight="1">
      <c r="A823" s="63"/>
      <c r="B823" s="63"/>
      <c r="C823" s="63"/>
      <c r="D823" s="63"/>
      <c r="E823" s="63"/>
      <c r="F823" s="63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</row>
    <row r="824" ht="15.75" customHeight="1">
      <c r="A824" s="63"/>
      <c r="B824" s="63"/>
      <c r="C824" s="63"/>
      <c r="D824" s="63"/>
      <c r="E824" s="63"/>
      <c r="F824" s="63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</row>
    <row r="825" ht="15.75" customHeight="1">
      <c r="A825" s="63"/>
      <c r="B825" s="63"/>
      <c r="C825" s="63"/>
      <c r="D825" s="63"/>
      <c r="E825" s="63"/>
      <c r="F825" s="63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</row>
    <row r="826" ht="15.75" customHeight="1">
      <c r="A826" s="63"/>
      <c r="B826" s="63"/>
      <c r="C826" s="63"/>
      <c r="D826" s="63"/>
      <c r="E826" s="63"/>
      <c r="F826" s="63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</row>
    <row r="827" ht="15.75" customHeight="1">
      <c r="A827" s="63"/>
      <c r="B827" s="63"/>
      <c r="C827" s="63"/>
      <c r="D827" s="63"/>
      <c r="E827" s="63"/>
      <c r="F827" s="63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</row>
    <row r="828" ht="15.75" customHeight="1">
      <c r="A828" s="63"/>
      <c r="B828" s="63"/>
      <c r="C828" s="63"/>
      <c r="D828" s="63"/>
      <c r="E828" s="63"/>
      <c r="F828" s="63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</row>
    <row r="829" ht="15.75" customHeight="1">
      <c r="A829" s="63"/>
      <c r="B829" s="63"/>
      <c r="C829" s="63"/>
      <c r="D829" s="63"/>
      <c r="E829" s="63"/>
      <c r="F829" s="63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</row>
    <row r="830" ht="15.75" customHeight="1">
      <c r="A830" s="63"/>
      <c r="B830" s="63"/>
      <c r="C830" s="63"/>
      <c r="D830" s="63"/>
      <c r="E830" s="63"/>
      <c r="F830" s="63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</row>
    <row r="831" ht="15.75" customHeight="1">
      <c r="A831" s="63"/>
      <c r="B831" s="63"/>
      <c r="C831" s="63"/>
      <c r="D831" s="63"/>
      <c r="E831" s="63"/>
      <c r="F831" s="63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</row>
    <row r="832" ht="15.75" customHeight="1">
      <c r="A832" s="63"/>
      <c r="B832" s="63"/>
      <c r="C832" s="63"/>
      <c r="D832" s="63"/>
      <c r="E832" s="63"/>
      <c r="F832" s="63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</row>
    <row r="833" ht="15.75" customHeight="1">
      <c r="A833" s="63"/>
      <c r="B833" s="63"/>
      <c r="C833" s="63"/>
      <c r="D833" s="63"/>
      <c r="E833" s="63"/>
      <c r="F833" s="63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</row>
    <row r="834" ht="15.75" customHeight="1">
      <c r="A834" s="63"/>
      <c r="B834" s="63"/>
      <c r="C834" s="63"/>
      <c r="D834" s="63"/>
      <c r="E834" s="63"/>
      <c r="F834" s="63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</row>
    <row r="835" ht="15.75" customHeight="1">
      <c r="A835" s="63"/>
      <c r="B835" s="63"/>
      <c r="C835" s="63"/>
      <c r="D835" s="63"/>
      <c r="E835" s="63"/>
      <c r="F835" s="63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</row>
    <row r="836" ht="15.75" customHeight="1">
      <c r="A836" s="63"/>
      <c r="B836" s="63"/>
      <c r="C836" s="63"/>
      <c r="D836" s="63"/>
      <c r="E836" s="63"/>
      <c r="F836" s="63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</row>
    <row r="837" ht="15.75" customHeight="1">
      <c r="A837" s="63"/>
      <c r="B837" s="63"/>
      <c r="C837" s="63"/>
      <c r="D837" s="63"/>
      <c r="E837" s="63"/>
      <c r="F837" s="63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</row>
    <row r="838" ht="15.75" customHeight="1">
      <c r="A838" s="63"/>
      <c r="B838" s="63"/>
      <c r="C838" s="63"/>
      <c r="D838" s="63"/>
      <c r="E838" s="63"/>
      <c r="F838" s="63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</row>
    <row r="839" ht="15.75" customHeight="1">
      <c r="A839" s="63"/>
      <c r="B839" s="63"/>
      <c r="C839" s="63"/>
      <c r="D839" s="63"/>
      <c r="E839" s="63"/>
      <c r="F839" s="63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</row>
    <row r="840" ht="15.75" customHeight="1">
      <c r="A840" s="63"/>
      <c r="B840" s="63"/>
      <c r="C840" s="63"/>
      <c r="D840" s="63"/>
      <c r="E840" s="63"/>
      <c r="F840" s="63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</row>
    <row r="841" ht="15.75" customHeight="1">
      <c r="A841" s="63"/>
      <c r="B841" s="63"/>
      <c r="C841" s="63"/>
      <c r="D841" s="63"/>
      <c r="E841" s="63"/>
      <c r="F841" s="63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</row>
    <row r="842" ht="15.75" customHeight="1">
      <c r="A842" s="63"/>
      <c r="B842" s="63"/>
      <c r="C842" s="63"/>
      <c r="D842" s="63"/>
      <c r="E842" s="63"/>
      <c r="F842" s="63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</row>
    <row r="843" ht="15.75" customHeight="1">
      <c r="A843" s="63"/>
      <c r="B843" s="63"/>
      <c r="C843" s="63"/>
      <c r="D843" s="63"/>
      <c r="E843" s="63"/>
      <c r="F843" s="63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</row>
    <row r="844" ht="15.75" customHeight="1">
      <c r="A844" s="63"/>
      <c r="B844" s="63"/>
      <c r="C844" s="63"/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</row>
    <row r="845" ht="15.75" customHeight="1">
      <c r="A845" s="63"/>
      <c r="B845" s="63"/>
      <c r="C845" s="63"/>
      <c r="D845" s="63"/>
      <c r="E845" s="63"/>
      <c r="F845" s="63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</row>
    <row r="846" ht="15.75" customHeight="1">
      <c r="A846" s="63"/>
      <c r="B846" s="63"/>
      <c r="C846" s="63"/>
      <c r="D846" s="63"/>
      <c r="E846" s="63"/>
      <c r="F846" s="63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</row>
    <row r="847" ht="15.75" customHeight="1">
      <c r="A847" s="63"/>
      <c r="B847" s="63"/>
      <c r="C847" s="63"/>
      <c r="D847" s="63"/>
      <c r="E847" s="63"/>
      <c r="F847" s="63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</row>
    <row r="848" ht="15.75" customHeight="1">
      <c r="A848" s="63"/>
      <c r="B848" s="63"/>
      <c r="C848" s="63"/>
      <c r="D848" s="63"/>
      <c r="E848" s="63"/>
      <c r="F848" s="63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</row>
    <row r="849" ht="15.75" customHeight="1">
      <c r="A849" s="63"/>
      <c r="B849" s="63"/>
      <c r="C849" s="63"/>
      <c r="D849" s="63"/>
      <c r="E849" s="63"/>
      <c r="F849" s="63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</row>
    <row r="850" ht="15.75" customHeight="1">
      <c r="A850" s="63"/>
      <c r="B850" s="63"/>
      <c r="C850" s="63"/>
      <c r="D850" s="63"/>
      <c r="E850" s="63"/>
      <c r="F850" s="63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</row>
    <row r="851" ht="15.75" customHeight="1">
      <c r="A851" s="63"/>
      <c r="B851" s="63"/>
      <c r="C851" s="63"/>
      <c r="D851" s="63"/>
      <c r="E851" s="63"/>
      <c r="F851" s="63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</row>
    <row r="852" ht="15.75" customHeight="1">
      <c r="A852" s="63"/>
      <c r="B852" s="63"/>
      <c r="C852" s="63"/>
      <c r="D852" s="63"/>
      <c r="E852" s="63"/>
      <c r="F852" s="63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</row>
    <row r="853" ht="15.75" customHeight="1">
      <c r="A853" s="63"/>
      <c r="B853" s="63"/>
      <c r="C853" s="63"/>
      <c r="D853" s="63"/>
      <c r="E853" s="63"/>
      <c r="F853" s="63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</row>
    <row r="854" ht="15.75" customHeight="1">
      <c r="A854" s="63"/>
      <c r="B854" s="63"/>
      <c r="C854" s="63"/>
      <c r="D854" s="63"/>
      <c r="E854" s="63"/>
      <c r="F854" s="63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</row>
    <row r="855" ht="15.75" customHeight="1">
      <c r="A855" s="63"/>
      <c r="B855" s="63"/>
      <c r="C855" s="63"/>
      <c r="D855" s="63"/>
      <c r="E855" s="63"/>
      <c r="F855" s="63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</row>
    <row r="856" ht="15.75" customHeight="1">
      <c r="A856" s="63"/>
      <c r="B856" s="63"/>
      <c r="C856" s="63"/>
      <c r="D856" s="63"/>
      <c r="E856" s="63"/>
      <c r="F856" s="63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</row>
    <row r="857" ht="15.75" customHeight="1">
      <c r="A857" s="63"/>
      <c r="B857" s="63"/>
      <c r="C857" s="63"/>
      <c r="D857" s="63"/>
      <c r="E857" s="63"/>
      <c r="F857" s="63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</row>
    <row r="858" ht="15.75" customHeight="1">
      <c r="A858" s="63"/>
      <c r="B858" s="63"/>
      <c r="C858" s="63"/>
      <c r="D858" s="63"/>
      <c r="E858" s="63"/>
      <c r="F858" s="63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</row>
    <row r="859" ht="15.75" customHeight="1">
      <c r="A859" s="63"/>
      <c r="B859" s="63"/>
      <c r="C859" s="63"/>
      <c r="D859" s="63"/>
      <c r="E859" s="63"/>
      <c r="F859" s="63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</row>
    <row r="860" ht="15.75" customHeight="1">
      <c r="A860" s="63"/>
      <c r="B860" s="63"/>
      <c r="C860" s="63"/>
      <c r="D860" s="63"/>
      <c r="E860" s="63"/>
      <c r="F860" s="63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</row>
    <row r="861" ht="15.75" customHeight="1">
      <c r="A861" s="63"/>
      <c r="B861" s="63"/>
      <c r="C861" s="63"/>
      <c r="D861" s="63"/>
      <c r="E861" s="63"/>
      <c r="F861" s="63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</row>
    <row r="862" ht="15.75" customHeight="1">
      <c r="A862" s="63"/>
      <c r="B862" s="63"/>
      <c r="C862" s="63"/>
      <c r="D862" s="63"/>
      <c r="E862" s="63"/>
      <c r="F862" s="63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</row>
    <row r="863" ht="15.75" customHeight="1">
      <c r="A863" s="63"/>
      <c r="B863" s="63"/>
      <c r="C863" s="63"/>
      <c r="D863" s="63"/>
      <c r="E863" s="63"/>
      <c r="F863" s="63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</row>
    <row r="864" ht="15.75" customHeight="1">
      <c r="A864" s="63"/>
      <c r="B864" s="63"/>
      <c r="C864" s="63"/>
      <c r="D864" s="63"/>
      <c r="E864" s="63"/>
      <c r="F864" s="63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</row>
    <row r="865" ht="15.75" customHeight="1">
      <c r="A865" s="63"/>
      <c r="B865" s="63"/>
      <c r="C865" s="63"/>
      <c r="D865" s="63"/>
      <c r="E865" s="63"/>
      <c r="F865" s="63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</row>
    <row r="866" ht="15.75" customHeight="1">
      <c r="A866" s="63"/>
      <c r="B866" s="63"/>
      <c r="C866" s="63"/>
      <c r="D866" s="63"/>
      <c r="E866" s="63"/>
      <c r="F866" s="63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</row>
    <row r="867" ht="15.75" customHeight="1">
      <c r="A867" s="63"/>
      <c r="B867" s="63"/>
      <c r="C867" s="63"/>
      <c r="D867" s="63"/>
      <c r="E867" s="63"/>
      <c r="F867" s="63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</row>
    <row r="868" ht="15.75" customHeight="1">
      <c r="A868" s="63"/>
      <c r="B868" s="63"/>
      <c r="C868" s="63"/>
      <c r="D868" s="63"/>
      <c r="E868" s="63"/>
      <c r="F868" s="63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</row>
    <row r="869" ht="15.75" customHeight="1">
      <c r="A869" s="63"/>
      <c r="B869" s="63"/>
      <c r="C869" s="63"/>
      <c r="D869" s="63"/>
      <c r="E869" s="63"/>
      <c r="F869" s="63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</row>
    <row r="870" ht="15.75" customHeight="1">
      <c r="A870" s="63"/>
      <c r="B870" s="63"/>
      <c r="C870" s="63"/>
      <c r="D870" s="63"/>
      <c r="E870" s="63"/>
      <c r="F870" s="63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</row>
    <row r="871" ht="15.75" customHeight="1">
      <c r="A871" s="63"/>
      <c r="B871" s="63"/>
      <c r="C871" s="63"/>
      <c r="D871" s="63"/>
      <c r="E871" s="63"/>
      <c r="F871" s="63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</row>
    <row r="872" ht="15.75" customHeight="1">
      <c r="A872" s="63"/>
      <c r="B872" s="63"/>
      <c r="C872" s="63"/>
      <c r="D872" s="63"/>
      <c r="E872" s="63"/>
      <c r="F872" s="63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</row>
    <row r="873" ht="15.75" customHeight="1">
      <c r="A873" s="63"/>
      <c r="B873" s="63"/>
      <c r="C873" s="63"/>
      <c r="D873" s="63"/>
      <c r="E873" s="63"/>
      <c r="F873" s="63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</row>
    <row r="874" ht="15.75" customHeight="1">
      <c r="A874" s="63"/>
      <c r="B874" s="63"/>
      <c r="C874" s="63"/>
      <c r="D874" s="63"/>
      <c r="E874" s="63"/>
      <c r="F874" s="63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</row>
    <row r="875" ht="15.75" customHeight="1">
      <c r="A875" s="63"/>
      <c r="B875" s="63"/>
      <c r="C875" s="63"/>
      <c r="D875" s="63"/>
      <c r="E875" s="63"/>
      <c r="F875" s="63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</row>
    <row r="876" ht="15.75" customHeight="1">
      <c r="A876" s="63"/>
      <c r="B876" s="63"/>
      <c r="C876" s="63"/>
      <c r="D876" s="63"/>
      <c r="E876" s="63"/>
      <c r="F876" s="63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</row>
    <row r="877" ht="15.75" customHeight="1">
      <c r="A877" s="63"/>
      <c r="B877" s="63"/>
      <c r="C877" s="63"/>
      <c r="D877" s="63"/>
      <c r="E877" s="63"/>
      <c r="F877" s="63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</row>
    <row r="878" ht="15.75" customHeight="1">
      <c r="A878" s="63"/>
      <c r="B878" s="63"/>
      <c r="C878" s="63"/>
      <c r="D878" s="63"/>
      <c r="E878" s="63"/>
      <c r="F878" s="63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</row>
    <row r="879" ht="15.75" customHeight="1">
      <c r="A879" s="63"/>
      <c r="B879" s="63"/>
      <c r="C879" s="63"/>
      <c r="D879" s="63"/>
      <c r="E879" s="63"/>
      <c r="F879" s="63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</row>
    <row r="880" ht="15.75" customHeight="1">
      <c r="A880" s="63"/>
      <c r="B880" s="63"/>
      <c r="C880" s="63"/>
      <c r="D880" s="63"/>
      <c r="E880" s="63"/>
      <c r="F880" s="63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</row>
    <row r="881" ht="15.75" customHeight="1">
      <c r="A881" s="63"/>
      <c r="B881" s="63"/>
      <c r="C881" s="63"/>
      <c r="D881" s="63"/>
      <c r="E881" s="63"/>
      <c r="F881" s="63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</row>
    <row r="882" ht="15.75" customHeight="1">
      <c r="A882" s="63"/>
      <c r="B882" s="63"/>
      <c r="C882" s="63"/>
      <c r="D882" s="63"/>
      <c r="E882" s="63"/>
      <c r="F882" s="63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</row>
    <row r="883" ht="15.75" customHeight="1">
      <c r="A883" s="63"/>
      <c r="B883" s="63"/>
      <c r="C883" s="63"/>
      <c r="D883" s="63"/>
      <c r="E883" s="63"/>
      <c r="F883" s="63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</row>
    <row r="884" ht="15.75" customHeight="1">
      <c r="A884" s="63"/>
      <c r="B884" s="63"/>
      <c r="C884" s="63"/>
      <c r="D884" s="63"/>
      <c r="E884" s="63"/>
      <c r="F884" s="63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</row>
    <row r="885" ht="15.75" customHeight="1">
      <c r="A885" s="63"/>
      <c r="B885" s="63"/>
      <c r="C885" s="63"/>
      <c r="D885" s="63"/>
      <c r="E885" s="63"/>
      <c r="F885" s="63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</row>
    <row r="886" ht="15.75" customHeight="1">
      <c r="A886" s="63"/>
      <c r="B886" s="63"/>
      <c r="C886" s="63"/>
      <c r="D886" s="63"/>
      <c r="E886" s="63"/>
      <c r="F886" s="63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</row>
    <row r="887" ht="15.75" customHeight="1">
      <c r="A887" s="63"/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</row>
    <row r="888" ht="15.75" customHeight="1">
      <c r="A888" s="63"/>
      <c r="B888" s="63"/>
      <c r="C888" s="63"/>
      <c r="D888" s="63"/>
      <c r="E888" s="63"/>
      <c r="F888" s="63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</row>
    <row r="889" ht="15.75" customHeight="1">
      <c r="A889" s="63"/>
      <c r="B889" s="63"/>
      <c r="C889" s="63"/>
      <c r="D889" s="63"/>
      <c r="E889" s="63"/>
      <c r="F889" s="63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</row>
    <row r="890" ht="15.75" customHeight="1">
      <c r="A890" s="63"/>
      <c r="B890" s="63"/>
      <c r="C890" s="63"/>
      <c r="D890" s="63"/>
      <c r="E890" s="63"/>
      <c r="F890" s="63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</row>
    <row r="891" ht="15.75" customHeight="1">
      <c r="A891" s="63"/>
      <c r="B891" s="63"/>
      <c r="C891" s="63"/>
      <c r="D891" s="63"/>
      <c r="E891" s="63"/>
      <c r="F891" s="63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</row>
    <row r="892" ht="15.75" customHeight="1">
      <c r="A892" s="63"/>
      <c r="B892" s="63"/>
      <c r="C892" s="63"/>
      <c r="D892" s="63"/>
      <c r="E892" s="63"/>
      <c r="F892" s="63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</row>
    <row r="893" ht="15.75" customHeight="1">
      <c r="A893" s="63"/>
      <c r="B893" s="63"/>
      <c r="C893" s="63"/>
      <c r="D893" s="63"/>
      <c r="E893" s="63"/>
      <c r="F893" s="63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</row>
    <row r="894" ht="15.75" customHeight="1">
      <c r="A894" s="63"/>
      <c r="B894" s="63"/>
      <c r="C894" s="63"/>
      <c r="D894" s="63"/>
      <c r="E894" s="63"/>
      <c r="F894" s="63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</row>
    <row r="895" ht="15.75" customHeight="1">
      <c r="A895" s="63"/>
      <c r="B895" s="63"/>
      <c r="C895" s="63"/>
      <c r="D895" s="63"/>
      <c r="E895" s="63"/>
      <c r="F895" s="63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</row>
    <row r="896" ht="15.75" customHeight="1">
      <c r="A896" s="63"/>
      <c r="B896" s="63"/>
      <c r="C896" s="63"/>
      <c r="D896" s="63"/>
      <c r="E896" s="63"/>
      <c r="F896" s="63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</row>
    <row r="897" ht="15.75" customHeight="1">
      <c r="A897" s="63"/>
      <c r="B897" s="63"/>
      <c r="C897" s="63"/>
      <c r="D897" s="63"/>
      <c r="E897" s="63"/>
      <c r="F897" s="63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</row>
    <row r="898" ht="15.75" customHeight="1">
      <c r="A898" s="63"/>
      <c r="B898" s="63"/>
      <c r="C898" s="63"/>
      <c r="D898" s="63"/>
      <c r="E898" s="63"/>
      <c r="F898" s="63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</row>
    <row r="899" ht="15.75" customHeight="1">
      <c r="A899" s="63"/>
      <c r="B899" s="63"/>
      <c r="C899" s="63"/>
      <c r="D899" s="63"/>
      <c r="E899" s="63"/>
      <c r="F899" s="63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</row>
    <row r="900" ht="15.75" customHeight="1">
      <c r="A900" s="63"/>
      <c r="B900" s="63"/>
      <c r="C900" s="63"/>
      <c r="D900" s="63"/>
      <c r="E900" s="63"/>
      <c r="F900" s="63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</row>
    <row r="901" ht="15.75" customHeight="1">
      <c r="A901" s="63"/>
      <c r="B901" s="63"/>
      <c r="C901" s="63"/>
      <c r="D901" s="63"/>
      <c r="E901" s="63"/>
      <c r="F901" s="63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</row>
    <row r="902" ht="15.75" customHeight="1">
      <c r="A902" s="63"/>
      <c r="B902" s="63"/>
      <c r="C902" s="63"/>
      <c r="D902" s="63"/>
      <c r="E902" s="63"/>
      <c r="F902" s="63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</row>
    <row r="903" ht="15.75" customHeight="1">
      <c r="A903" s="63"/>
      <c r="B903" s="63"/>
      <c r="C903" s="63"/>
      <c r="D903" s="63"/>
      <c r="E903" s="63"/>
      <c r="F903" s="63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</row>
    <row r="904" ht="15.75" customHeight="1">
      <c r="A904" s="63"/>
      <c r="B904" s="63"/>
      <c r="C904" s="63"/>
      <c r="D904" s="63"/>
      <c r="E904" s="63"/>
      <c r="F904" s="63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</row>
    <row r="905" ht="15.75" customHeight="1">
      <c r="A905" s="63"/>
      <c r="B905" s="63"/>
      <c r="C905" s="63"/>
      <c r="D905" s="63"/>
      <c r="E905" s="63"/>
      <c r="F905" s="63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</row>
    <row r="906" ht="15.75" customHeight="1">
      <c r="A906" s="63"/>
      <c r="B906" s="63"/>
      <c r="C906" s="63"/>
      <c r="D906" s="63"/>
      <c r="E906" s="63"/>
      <c r="F906" s="63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</row>
    <row r="907" ht="15.75" customHeight="1">
      <c r="A907" s="63"/>
      <c r="B907" s="63"/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</row>
    <row r="908" ht="15.75" customHeight="1">
      <c r="A908" s="63"/>
      <c r="B908" s="63"/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</row>
    <row r="909" ht="15.75" customHeight="1">
      <c r="A909" s="63"/>
      <c r="B909" s="63"/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</row>
    <row r="910" ht="15.75" customHeight="1">
      <c r="A910" s="63"/>
      <c r="B910" s="63"/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</row>
    <row r="911" ht="15.75" customHeight="1">
      <c r="A911" s="63"/>
      <c r="B911" s="63"/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</row>
    <row r="912" ht="15.75" customHeight="1">
      <c r="A912" s="63"/>
      <c r="B912" s="63"/>
      <c r="C912" s="63"/>
      <c r="D912" s="63"/>
      <c r="E912" s="63"/>
      <c r="F912" s="63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</row>
    <row r="913" ht="15.75" customHeight="1">
      <c r="A913" s="63"/>
      <c r="B913" s="63"/>
      <c r="C913" s="63"/>
      <c r="D913" s="63"/>
      <c r="E913" s="63"/>
      <c r="F913" s="63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</row>
    <row r="914" ht="15.75" customHeight="1">
      <c r="A914" s="63"/>
      <c r="B914" s="63"/>
      <c r="C914" s="63"/>
      <c r="D914" s="63"/>
      <c r="E914" s="63"/>
      <c r="F914" s="63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</row>
    <row r="915" ht="15.75" customHeight="1">
      <c r="A915" s="63"/>
      <c r="B915" s="63"/>
      <c r="C915" s="63"/>
      <c r="D915" s="63"/>
      <c r="E915" s="63"/>
      <c r="F915" s="63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</row>
    <row r="916" ht="15.75" customHeight="1">
      <c r="A916" s="63"/>
      <c r="B916" s="63"/>
      <c r="C916" s="63"/>
      <c r="D916" s="63"/>
      <c r="E916" s="63"/>
      <c r="F916" s="63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</row>
    <row r="917" ht="15.75" customHeight="1">
      <c r="A917" s="63"/>
      <c r="B917" s="63"/>
      <c r="C917" s="63"/>
      <c r="D917" s="63"/>
      <c r="E917" s="63"/>
      <c r="F917" s="63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</row>
    <row r="918" ht="15.75" customHeight="1">
      <c r="A918" s="63"/>
      <c r="B918" s="63"/>
      <c r="C918" s="63"/>
      <c r="D918" s="63"/>
      <c r="E918" s="63"/>
      <c r="F918" s="63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</row>
    <row r="919" ht="15.75" customHeight="1">
      <c r="A919" s="63"/>
      <c r="B919" s="63"/>
      <c r="C919" s="63"/>
      <c r="D919" s="63"/>
      <c r="E919" s="63"/>
      <c r="F919" s="63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</row>
    <row r="920" ht="15.75" customHeight="1">
      <c r="A920" s="63"/>
      <c r="B920" s="63"/>
      <c r="C920" s="63"/>
      <c r="D920" s="63"/>
      <c r="E920" s="63"/>
      <c r="F920" s="63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</row>
    <row r="921" ht="15.75" customHeight="1">
      <c r="A921" s="63"/>
      <c r="B921" s="63"/>
      <c r="C921" s="63"/>
      <c r="D921" s="63"/>
      <c r="E921" s="63"/>
      <c r="F921" s="63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</row>
    <row r="922" ht="15.75" customHeight="1">
      <c r="A922" s="63"/>
      <c r="B922" s="63"/>
      <c r="C922" s="63"/>
      <c r="D922" s="63"/>
      <c r="E922" s="63"/>
      <c r="F922" s="63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</row>
    <row r="923" ht="15.75" customHeight="1">
      <c r="A923" s="63"/>
      <c r="B923" s="63"/>
      <c r="C923" s="63"/>
      <c r="D923" s="63"/>
      <c r="E923" s="63"/>
      <c r="F923" s="63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</row>
    <row r="924" ht="15.75" customHeight="1">
      <c r="A924" s="63"/>
      <c r="B924" s="63"/>
      <c r="C924" s="63"/>
      <c r="D924" s="63"/>
      <c r="E924" s="63"/>
      <c r="F924" s="63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</row>
    <row r="925" ht="15.75" customHeight="1">
      <c r="A925" s="63"/>
      <c r="B925" s="63"/>
      <c r="C925" s="63"/>
      <c r="D925" s="63"/>
      <c r="E925" s="63"/>
      <c r="F925" s="63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</row>
    <row r="926" ht="15.75" customHeight="1">
      <c r="A926" s="63"/>
      <c r="B926" s="63"/>
      <c r="C926" s="63"/>
      <c r="D926" s="63"/>
      <c r="E926" s="63"/>
      <c r="F926" s="63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</row>
    <row r="927" ht="15.75" customHeight="1">
      <c r="A927" s="63"/>
      <c r="B927" s="63"/>
      <c r="C927" s="63"/>
      <c r="D927" s="63"/>
      <c r="E927" s="63"/>
      <c r="F927" s="63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</row>
    <row r="928" ht="15.75" customHeight="1">
      <c r="A928" s="63"/>
      <c r="B928" s="63"/>
      <c r="C928" s="63"/>
      <c r="D928" s="63"/>
      <c r="E928" s="63"/>
      <c r="F928" s="63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</row>
    <row r="929" ht="15.75" customHeight="1">
      <c r="A929" s="63"/>
      <c r="B929" s="63"/>
      <c r="C929" s="63"/>
      <c r="D929" s="63"/>
      <c r="E929" s="63"/>
      <c r="F929" s="63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</row>
    <row r="930" ht="15.75" customHeight="1">
      <c r="A930" s="63"/>
      <c r="B930" s="63"/>
      <c r="C930" s="63"/>
      <c r="D930" s="63"/>
      <c r="E930" s="63"/>
      <c r="F930" s="63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</row>
    <row r="931" ht="15.75" customHeight="1">
      <c r="A931" s="63"/>
      <c r="B931" s="63"/>
      <c r="C931" s="63"/>
      <c r="D931" s="63"/>
      <c r="E931" s="63"/>
      <c r="F931" s="63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</row>
    <row r="932" ht="15.75" customHeight="1">
      <c r="A932" s="63"/>
      <c r="B932" s="63"/>
      <c r="C932" s="63"/>
      <c r="D932" s="63"/>
      <c r="E932" s="63"/>
      <c r="F932" s="63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</row>
    <row r="933" ht="15.75" customHeight="1">
      <c r="A933" s="63"/>
      <c r="B933" s="63"/>
      <c r="C933" s="63"/>
      <c r="D933" s="63"/>
      <c r="E933" s="63"/>
      <c r="F933" s="63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</row>
    <row r="934" ht="15.75" customHeight="1">
      <c r="A934" s="63"/>
      <c r="B934" s="63"/>
      <c r="C934" s="63"/>
      <c r="D934" s="63"/>
      <c r="E934" s="63"/>
      <c r="F934" s="63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</row>
    <row r="935" ht="15.75" customHeight="1">
      <c r="A935" s="63"/>
      <c r="B935" s="63"/>
      <c r="C935" s="63"/>
      <c r="D935" s="63"/>
      <c r="E935" s="63"/>
      <c r="F935" s="63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</row>
    <row r="936" ht="15.75" customHeight="1">
      <c r="A936" s="63"/>
      <c r="B936" s="63"/>
      <c r="C936" s="63"/>
      <c r="D936" s="63"/>
      <c r="E936" s="63"/>
      <c r="F936" s="63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</row>
    <row r="937" ht="15.75" customHeight="1">
      <c r="A937" s="63"/>
      <c r="B937" s="63"/>
      <c r="C937" s="63"/>
      <c r="D937" s="63"/>
      <c r="E937" s="63"/>
      <c r="F937" s="63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</row>
    <row r="938" ht="15.75" customHeight="1">
      <c r="A938" s="63"/>
      <c r="B938" s="63"/>
      <c r="C938" s="63"/>
      <c r="D938" s="63"/>
      <c r="E938" s="63"/>
      <c r="F938" s="63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</row>
    <row r="939" ht="15.75" customHeight="1">
      <c r="A939" s="63"/>
      <c r="B939" s="63"/>
      <c r="C939" s="63"/>
      <c r="D939" s="63"/>
      <c r="E939" s="63"/>
      <c r="F939" s="63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</row>
    <row r="940" ht="15.75" customHeight="1">
      <c r="A940" s="63"/>
      <c r="B940" s="63"/>
      <c r="C940" s="63"/>
      <c r="D940" s="63"/>
      <c r="E940" s="63"/>
      <c r="F940" s="63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</row>
    <row r="941" ht="15.75" customHeight="1">
      <c r="A941" s="63"/>
      <c r="B941" s="63"/>
      <c r="C941" s="63"/>
      <c r="D941" s="63"/>
      <c r="E941" s="63"/>
      <c r="F941" s="63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</row>
    <row r="942" ht="15.75" customHeight="1">
      <c r="A942" s="63"/>
      <c r="B942" s="63"/>
      <c r="C942" s="63"/>
      <c r="D942" s="63"/>
      <c r="E942" s="63"/>
      <c r="F942" s="63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</row>
    <row r="943" ht="15.75" customHeight="1">
      <c r="A943" s="63"/>
      <c r="B943" s="63"/>
      <c r="C943" s="63"/>
      <c r="D943" s="63"/>
      <c r="E943" s="63"/>
      <c r="F943" s="63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</row>
    <row r="944" ht="15.75" customHeight="1">
      <c r="A944" s="63"/>
      <c r="B944" s="63"/>
      <c r="C944" s="63"/>
      <c r="D944" s="63"/>
      <c r="E944" s="63"/>
      <c r="F944" s="63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</row>
    <row r="945" ht="15.75" customHeight="1">
      <c r="A945" s="63"/>
      <c r="B945" s="63"/>
      <c r="C945" s="63"/>
      <c r="D945" s="63"/>
      <c r="E945" s="63"/>
      <c r="F945" s="63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</row>
    <row r="946" ht="15.75" customHeight="1">
      <c r="A946" s="63"/>
      <c r="B946" s="63"/>
      <c r="C946" s="63"/>
      <c r="D946" s="63"/>
      <c r="E946" s="63"/>
      <c r="F946" s="63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</row>
    <row r="947" ht="15.75" customHeight="1">
      <c r="A947" s="63"/>
      <c r="B947" s="63"/>
      <c r="C947" s="63"/>
      <c r="D947" s="63"/>
      <c r="E947" s="63"/>
      <c r="F947" s="63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</row>
    <row r="948" ht="15.75" customHeight="1">
      <c r="A948" s="63"/>
      <c r="B948" s="63"/>
      <c r="C948" s="63"/>
      <c r="D948" s="63"/>
      <c r="E948" s="63"/>
      <c r="F948" s="63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</row>
    <row r="949" ht="15.75" customHeight="1">
      <c r="A949" s="63"/>
      <c r="B949" s="63"/>
      <c r="C949" s="63"/>
      <c r="D949" s="63"/>
      <c r="E949" s="63"/>
      <c r="F949" s="63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</row>
    <row r="950" ht="15.75" customHeight="1">
      <c r="A950" s="63"/>
      <c r="B950" s="63"/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</row>
    <row r="951" ht="15.75" customHeight="1">
      <c r="A951" s="63"/>
      <c r="B951" s="63"/>
      <c r="C951" s="63"/>
      <c r="D951" s="63"/>
      <c r="E951" s="63"/>
      <c r="F951" s="63"/>
      <c r="G951" s="63"/>
      <c r="H951" s="63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</row>
    <row r="952" ht="15.75" customHeight="1">
      <c r="A952" s="63"/>
      <c r="B952" s="63"/>
      <c r="C952" s="63"/>
      <c r="D952" s="63"/>
      <c r="E952" s="63"/>
      <c r="F952" s="63"/>
      <c r="G952" s="63"/>
      <c r="H952" s="63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</row>
    <row r="953" ht="15.75" customHeight="1">
      <c r="A953" s="63"/>
      <c r="B953" s="63"/>
      <c r="C953" s="63"/>
      <c r="D953" s="63"/>
      <c r="E953" s="63"/>
      <c r="F953" s="63"/>
      <c r="G953" s="63"/>
      <c r="H953" s="63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</row>
    <row r="954" ht="15.75" customHeight="1">
      <c r="A954" s="63"/>
      <c r="B954" s="63"/>
      <c r="C954" s="63"/>
      <c r="D954" s="63"/>
      <c r="E954" s="63"/>
      <c r="F954" s="63"/>
      <c r="G954" s="63"/>
      <c r="H954" s="63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</row>
    <row r="955" ht="15.75" customHeight="1">
      <c r="A955" s="63"/>
      <c r="B955" s="63"/>
      <c r="C955" s="63"/>
      <c r="D955" s="63"/>
      <c r="E955" s="63"/>
      <c r="F955" s="63"/>
      <c r="G955" s="63"/>
      <c r="H955" s="63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</row>
    <row r="956" ht="15.75" customHeight="1">
      <c r="A956" s="63"/>
      <c r="B956" s="63"/>
      <c r="C956" s="63"/>
      <c r="D956" s="63"/>
      <c r="E956" s="63"/>
      <c r="F956" s="63"/>
      <c r="G956" s="63"/>
      <c r="H956" s="63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</row>
    <row r="957" ht="15.75" customHeight="1">
      <c r="A957" s="63"/>
      <c r="B957" s="63"/>
      <c r="C957" s="63"/>
      <c r="D957" s="63"/>
      <c r="E957" s="63"/>
      <c r="F957" s="63"/>
      <c r="G957" s="63"/>
      <c r="H957" s="63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</row>
    <row r="958" ht="15.75" customHeight="1">
      <c r="A958" s="63"/>
      <c r="B958" s="63"/>
      <c r="C958" s="63"/>
      <c r="D958" s="63"/>
      <c r="E958" s="63"/>
      <c r="F958" s="63"/>
      <c r="G958" s="63"/>
      <c r="H958" s="63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</row>
    <row r="959" ht="15.75" customHeight="1">
      <c r="A959" s="63"/>
      <c r="B959" s="63"/>
      <c r="C959" s="63"/>
      <c r="D959" s="63"/>
      <c r="E959" s="63"/>
      <c r="F959" s="63"/>
      <c r="G959" s="63"/>
      <c r="H959" s="63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</row>
    <row r="960" ht="15.75" customHeight="1">
      <c r="A960" s="63"/>
      <c r="B960" s="63"/>
      <c r="C960" s="63"/>
      <c r="D960" s="63"/>
      <c r="E960" s="63"/>
      <c r="F960" s="63"/>
      <c r="G960" s="63"/>
      <c r="H960" s="63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</row>
    <row r="961" ht="15.75" customHeight="1">
      <c r="A961" s="63"/>
      <c r="B961" s="63"/>
      <c r="C961" s="63"/>
      <c r="D961" s="63"/>
      <c r="E961" s="63"/>
      <c r="F961" s="63"/>
      <c r="G961" s="63"/>
      <c r="H961" s="63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</row>
    <row r="962" ht="15.75" customHeight="1">
      <c r="A962" s="63"/>
      <c r="B962" s="63"/>
      <c r="C962" s="63"/>
      <c r="D962" s="63"/>
      <c r="E962" s="63"/>
      <c r="F962" s="63"/>
      <c r="G962" s="63"/>
      <c r="H962" s="63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</row>
    <row r="963" ht="15.75" customHeight="1">
      <c r="A963" s="63"/>
      <c r="B963" s="63"/>
      <c r="C963" s="63"/>
      <c r="D963" s="63"/>
      <c r="E963" s="63"/>
      <c r="F963" s="63"/>
      <c r="G963" s="63"/>
      <c r="H963" s="63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</row>
    <row r="964" ht="15.75" customHeight="1">
      <c r="A964" s="63"/>
      <c r="B964" s="63"/>
      <c r="C964" s="63"/>
      <c r="D964" s="63"/>
      <c r="E964" s="63"/>
      <c r="F964" s="63"/>
      <c r="G964" s="63"/>
      <c r="H964" s="63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  <c r="AL964" s="63"/>
      <c r="AM964" s="63"/>
    </row>
    <row r="965" ht="15.75" customHeight="1">
      <c r="A965" s="63"/>
      <c r="B965" s="63"/>
      <c r="C965" s="63"/>
      <c r="D965" s="63"/>
      <c r="E965" s="63"/>
      <c r="F965" s="63"/>
      <c r="G965" s="63"/>
      <c r="H965" s="63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  <c r="AL965" s="63"/>
      <c r="AM965" s="63"/>
    </row>
    <row r="966" ht="15.75" customHeight="1">
      <c r="A966" s="63"/>
      <c r="B966" s="63"/>
      <c r="C966" s="63"/>
      <c r="D966" s="63"/>
      <c r="E966" s="63"/>
      <c r="F966" s="63"/>
      <c r="G966" s="63"/>
      <c r="H966" s="63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  <c r="AL966" s="63"/>
      <c r="AM966" s="63"/>
    </row>
    <row r="967" ht="15.75" customHeight="1">
      <c r="A967" s="63"/>
      <c r="B967" s="63"/>
      <c r="C967" s="63"/>
      <c r="D967" s="63"/>
      <c r="E967" s="63"/>
      <c r="F967" s="63"/>
      <c r="G967" s="63"/>
      <c r="H967" s="63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  <c r="AL967" s="63"/>
      <c r="AM967" s="63"/>
    </row>
    <row r="968" ht="15.75" customHeight="1">
      <c r="A968" s="63"/>
      <c r="B968" s="63"/>
      <c r="C968" s="63"/>
      <c r="D968" s="63"/>
      <c r="E968" s="63"/>
      <c r="F968" s="63"/>
      <c r="G968" s="63"/>
      <c r="H968" s="63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  <c r="AL968" s="63"/>
      <c r="AM968" s="63"/>
    </row>
    <row r="969" ht="15.75" customHeight="1">
      <c r="A969" s="63"/>
      <c r="B969" s="63"/>
      <c r="C969" s="63"/>
      <c r="D969" s="63"/>
      <c r="E969" s="63"/>
      <c r="F969" s="63"/>
      <c r="G969" s="63"/>
      <c r="H969" s="63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  <c r="AL969" s="63"/>
      <c r="AM969" s="63"/>
    </row>
    <row r="970" ht="15.75" customHeight="1">
      <c r="A970" s="63"/>
      <c r="B970" s="63"/>
      <c r="C970" s="63"/>
      <c r="D970" s="63"/>
      <c r="E970" s="63"/>
      <c r="F970" s="63"/>
      <c r="G970" s="63"/>
      <c r="H970" s="63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  <c r="AL970" s="63"/>
      <c r="AM970" s="63"/>
    </row>
    <row r="971" ht="15.75" customHeight="1">
      <c r="A971" s="63"/>
      <c r="B971" s="63"/>
      <c r="C971" s="63"/>
      <c r="D971" s="63"/>
      <c r="E971" s="63"/>
      <c r="F971" s="63"/>
      <c r="G971" s="63"/>
      <c r="H971" s="63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  <c r="AL971" s="63"/>
      <c r="AM971" s="63"/>
    </row>
    <row r="972" ht="15.75" customHeight="1">
      <c r="A972" s="63"/>
      <c r="B972" s="63"/>
      <c r="C972" s="63"/>
      <c r="D972" s="63"/>
      <c r="E972" s="63"/>
      <c r="F972" s="63"/>
      <c r="G972" s="63"/>
      <c r="H972" s="63"/>
      <c r="I972" s="63"/>
      <c r="J972" s="63"/>
      <c r="K972" s="63"/>
      <c r="L972" s="63"/>
      <c r="M972" s="63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  <c r="Y972" s="63"/>
      <c r="Z972" s="63"/>
      <c r="AA972" s="63"/>
      <c r="AB972" s="63"/>
      <c r="AC972" s="63"/>
      <c r="AD972" s="63"/>
      <c r="AE972" s="63"/>
      <c r="AF972" s="63"/>
      <c r="AG972" s="63"/>
      <c r="AH972" s="63"/>
      <c r="AI972" s="63"/>
      <c r="AJ972" s="63"/>
      <c r="AK972" s="63"/>
      <c r="AL972" s="63"/>
      <c r="AM972" s="63"/>
    </row>
    <row r="973" ht="15.75" customHeight="1">
      <c r="A973" s="63"/>
      <c r="B973" s="63"/>
      <c r="C973" s="63"/>
      <c r="D973" s="63"/>
      <c r="E973" s="63"/>
      <c r="F973" s="63"/>
      <c r="G973" s="63"/>
      <c r="H973" s="63"/>
      <c r="I973" s="63"/>
      <c r="J973" s="63"/>
      <c r="K973" s="63"/>
      <c r="L973" s="63"/>
      <c r="M973" s="63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  <c r="Y973" s="63"/>
      <c r="Z973" s="63"/>
      <c r="AA973" s="63"/>
      <c r="AB973" s="63"/>
      <c r="AC973" s="63"/>
      <c r="AD973" s="63"/>
      <c r="AE973" s="63"/>
      <c r="AF973" s="63"/>
      <c r="AG973" s="63"/>
      <c r="AH973" s="63"/>
      <c r="AI973" s="63"/>
      <c r="AJ973" s="63"/>
      <c r="AK973" s="63"/>
      <c r="AL973" s="63"/>
      <c r="AM973" s="63"/>
    </row>
    <row r="974" ht="15.75" customHeight="1">
      <c r="A974" s="63"/>
      <c r="B974" s="63"/>
      <c r="C974" s="63"/>
      <c r="D974" s="63"/>
      <c r="E974" s="63"/>
      <c r="F974" s="63"/>
      <c r="G974" s="63"/>
      <c r="H974" s="63"/>
      <c r="I974" s="63"/>
      <c r="J974" s="63"/>
      <c r="K974" s="63"/>
      <c r="L974" s="63"/>
      <c r="M974" s="63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  <c r="Y974" s="63"/>
      <c r="Z974" s="63"/>
      <c r="AA974" s="63"/>
      <c r="AB974" s="63"/>
      <c r="AC974" s="63"/>
      <c r="AD974" s="63"/>
      <c r="AE974" s="63"/>
      <c r="AF974" s="63"/>
      <c r="AG974" s="63"/>
      <c r="AH974" s="63"/>
      <c r="AI974" s="63"/>
      <c r="AJ974" s="63"/>
      <c r="AK974" s="63"/>
      <c r="AL974" s="63"/>
      <c r="AM974" s="63"/>
    </row>
    <row r="975" ht="15.75" customHeight="1">
      <c r="A975" s="63"/>
      <c r="B975" s="63"/>
      <c r="C975" s="63"/>
      <c r="D975" s="63"/>
      <c r="E975" s="63"/>
      <c r="F975" s="63"/>
      <c r="G975" s="63"/>
      <c r="H975" s="63"/>
      <c r="I975" s="63"/>
      <c r="J975" s="63"/>
      <c r="K975" s="63"/>
      <c r="L975" s="63"/>
      <c r="M975" s="63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  <c r="Y975" s="63"/>
      <c r="Z975" s="63"/>
      <c r="AA975" s="63"/>
      <c r="AB975" s="63"/>
      <c r="AC975" s="63"/>
      <c r="AD975" s="63"/>
      <c r="AE975" s="63"/>
      <c r="AF975" s="63"/>
      <c r="AG975" s="63"/>
      <c r="AH975" s="63"/>
      <c r="AI975" s="63"/>
      <c r="AJ975" s="63"/>
      <c r="AK975" s="63"/>
      <c r="AL975" s="63"/>
      <c r="AM975" s="63"/>
    </row>
    <row r="976" ht="15.75" customHeight="1">
      <c r="A976" s="63"/>
      <c r="B976" s="63"/>
      <c r="C976" s="63"/>
      <c r="D976" s="63"/>
      <c r="E976" s="63"/>
      <c r="F976" s="63"/>
      <c r="G976" s="63"/>
      <c r="H976" s="63"/>
      <c r="I976" s="63"/>
      <c r="J976" s="63"/>
      <c r="K976" s="63"/>
      <c r="L976" s="63"/>
      <c r="M976" s="63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  <c r="Y976" s="63"/>
      <c r="Z976" s="63"/>
      <c r="AA976" s="63"/>
      <c r="AB976" s="63"/>
      <c r="AC976" s="63"/>
      <c r="AD976" s="63"/>
      <c r="AE976" s="63"/>
      <c r="AF976" s="63"/>
      <c r="AG976" s="63"/>
      <c r="AH976" s="63"/>
      <c r="AI976" s="63"/>
      <c r="AJ976" s="63"/>
      <c r="AK976" s="63"/>
      <c r="AL976" s="63"/>
      <c r="AM976" s="63"/>
    </row>
    <row r="977" ht="15.75" customHeight="1">
      <c r="A977" s="63"/>
      <c r="B977" s="63"/>
      <c r="C977" s="63"/>
      <c r="D977" s="63"/>
      <c r="E977" s="63"/>
      <c r="F977" s="63"/>
      <c r="G977" s="63"/>
      <c r="H977" s="63"/>
      <c r="I977" s="63"/>
      <c r="J977" s="63"/>
      <c r="K977" s="63"/>
      <c r="L977" s="63"/>
      <c r="M977" s="63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  <c r="Y977" s="63"/>
      <c r="Z977" s="63"/>
      <c r="AA977" s="63"/>
      <c r="AB977" s="63"/>
      <c r="AC977" s="63"/>
      <c r="AD977" s="63"/>
      <c r="AE977" s="63"/>
      <c r="AF977" s="63"/>
      <c r="AG977" s="63"/>
      <c r="AH977" s="63"/>
      <c r="AI977" s="63"/>
      <c r="AJ977" s="63"/>
      <c r="AK977" s="63"/>
      <c r="AL977" s="63"/>
      <c r="AM977" s="63"/>
    </row>
    <row r="978" ht="15.75" customHeight="1">
      <c r="A978" s="63"/>
      <c r="B978" s="63"/>
      <c r="C978" s="63"/>
      <c r="D978" s="63"/>
      <c r="E978" s="63"/>
      <c r="F978" s="63"/>
      <c r="G978" s="63"/>
      <c r="H978" s="63"/>
      <c r="I978" s="63"/>
      <c r="J978" s="63"/>
      <c r="K978" s="63"/>
      <c r="L978" s="63"/>
      <c r="M978" s="63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  <c r="Y978" s="63"/>
      <c r="Z978" s="63"/>
      <c r="AA978" s="63"/>
      <c r="AB978" s="63"/>
      <c r="AC978" s="63"/>
      <c r="AD978" s="63"/>
      <c r="AE978" s="63"/>
      <c r="AF978" s="63"/>
      <c r="AG978" s="63"/>
      <c r="AH978" s="63"/>
      <c r="AI978" s="63"/>
      <c r="AJ978" s="63"/>
      <c r="AK978" s="63"/>
      <c r="AL978" s="63"/>
      <c r="AM978" s="63"/>
    </row>
    <row r="979" ht="15.75" customHeight="1">
      <c r="A979" s="63"/>
      <c r="B979" s="63"/>
      <c r="C979" s="63"/>
      <c r="D979" s="63"/>
      <c r="E979" s="63"/>
      <c r="F979" s="63"/>
      <c r="G979" s="63"/>
      <c r="H979" s="63"/>
      <c r="I979" s="63"/>
      <c r="J979" s="63"/>
      <c r="K979" s="63"/>
      <c r="L979" s="63"/>
      <c r="M979" s="63"/>
      <c r="N979" s="63"/>
      <c r="O979" s="63"/>
      <c r="P979" s="63"/>
      <c r="Q979" s="63"/>
      <c r="R979" s="63"/>
      <c r="S979" s="63"/>
      <c r="T979" s="63"/>
      <c r="U979" s="63"/>
      <c r="V979" s="63"/>
      <c r="W979" s="63"/>
      <c r="X979" s="63"/>
      <c r="Y979" s="63"/>
      <c r="Z979" s="63"/>
      <c r="AA979" s="63"/>
      <c r="AB979" s="63"/>
      <c r="AC979" s="63"/>
      <c r="AD979" s="63"/>
      <c r="AE979" s="63"/>
      <c r="AF979" s="63"/>
      <c r="AG979" s="63"/>
      <c r="AH979" s="63"/>
      <c r="AI979" s="63"/>
      <c r="AJ979" s="63"/>
      <c r="AK979" s="63"/>
      <c r="AL979" s="63"/>
      <c r="AM979" s="63"/>
    </row>
    <row r="980" ht="15.75" customHeight="1">
      <c r="A980" s="63"/>
      <c r="B980" s="63"/>
      <c r="C980" s="63"/>
      <c r="D980" s="63"/>
      <c r="E980" s="63"/>
      <c r="F980" s="63"/>
      <c r="G980" s="63"/>
      <c r="H980" s="63"/>
      <c r="I980" s="63"/>
      <c r="J980" s="63"/>
      <c r="K980" s="63"/>
      <c r="L980" s="63"/>
      <c r="M980" s="63"/>
      <c r="N980" s="63"/>
      <c r="O980" s="63"/>
      <c r="P980" s="63"/>
      <c r="Q980" s="63"/>
      <c r="R980" s="63"/>
      <c r="S980" s="63"/>
      <c r="T980" s="63"/>
      <c r="U980" s="63"/>
      <c r="V980" s="63"/>
      <c r="W980" s="63"/>
      <c r="X980" s="63"/>
      <c r="Y980" s="63"/>
      <c r="Z980" s="63"/>
      <c r="AA980" s="63"/>
      <c r="AB980" s="63"/>
      <c r="AC980" s="63"/>
      <c r="AD980" s="63"/>
      <c r="AE980" s="63"/>
      <c r="AF980" s="63"/>
      <c r="AG980" s="63"/>
      <c r="AH980" s="63"/>
      <c r="AI980" s="63"/>
      <c r="AJ980" s="63"/>
      <c r="AK980" s="63"/>
      <c r="AL980" s="63"/>
      <c r="AM980" s="63"/>
    </row>
    <row r="981" ht="15.75" customHeight="1">
      <c r="A981" s="63"/>
      <c r="B981" s="63"/>
      <c r="C981" s="63"/>
      <c r="D981" s="63"/>
      <c r="E981" s="63"/>
      <c r="F981" s="63"/>
      <c r="G981" s="63"/>
      <c r="H981" s="63"/>
      <c r="I981" s="63"/>
      <c r="J981" s="63"/>
      <c r="K981" s="63"/>
      <c r="L981" s="63"/>
      <c r="M981" s="63"/>
      <c r="N981" s="63"/>
      <c r="O981" s="63"/>
      <c r="P981" s="63"/>
      <c r="Q981" s="63"/>
      <c r="R981" s="63"/>
      <c r="S981" s="63"/>
      <c r="T981" s="63"/>
      <c r="U981" s="63"/>
      <c r="V981" s="63"/>
      <c r="W981" s="63"/>
      <c r="X981" s="63"/>
      <c r="Y981" s="63"/>
      <c r="Z981" s="63"/>
      <c r="AA981" s="63"/>
      <c r="AB981" s="63"/>
      <c r="AC981" s="63"/>
      <c r="AD981" s="63"/>
      <c r="AE981" s="63"/>
      <c r="AF981" s="63"/>
      <c r="AG981" s="63"/>
      <c r="AH981" s="63"/>
      <c r="AI981" s="63"/>
      <c r="AJ981" s="63"/>
      <c r="AK981" s="63"/>
      <c r="AL981" s="63"/>
      <c r="AM981" s="63"/>
    </row>
    <row r="982" ht="15.75" customHeight="1">
      <c r="A982" s="63"/>
      <c r="B982" s="63"/>
      <c r="C982" s="63"/>
      <c r="D982" s="63"/>
      <c r="E982" s="63"/>
      <c r="F982" s="63"/>
      <c r="G982" s="63"/>
      <c r="H982" s="63"/>
      <c r="I982" s="63"/>
      <c r="J982" s="63"/>
      <c r="K982" s="63"/>
      <c r="L982" s="63"/>
      <c r="M982" s="63"/>
      <c r="N982" s="63"/>
      <c r="O982" s="63"/>
      <c r="P982" s="63"/>
      <c r="Q982" s="63"/>
      <c r="R982" s="63"/>
      <c r="S982" s="63"/>
      <c r="T982" s="63"/>
      <c r="U982" s="63"/>
      <c r="V982" s="63"/>
      <c r="W982" s="63"/>
      <c r="X982" s="63"/>
      <c r="Y982" s="63"/>
      <c r="Z982" s="63"/>
      <c r="AA982" s="63"/>
      <c r="AB982" s="63"/>
      <c r="AC982" s="63"/>
      <c r="AD982" s="63"/>
      <c r="AE982" s="63"/>
      <c r="AF982" s="63"/>
      <c r="AG982" s="63"/>
      <c r="AH982" s="63"/>
      <c r="AI982" s="63"/>
      <c r="AJ982" s="63"/>
      <c r="AK982" s="63"/>
      <c r="AL982" s="63"/>
      <c r="AM982" s="63"/>
    </row>
    <row r="983" ht="15.75" customHeight="1">
      <c r="A983" s="63"/>
      <c r="B983" s="63"/>
      <c r="C983" s="63"/>
      <c r="D983" s="63"/>
      <c r="E983" s="63"/>
      <c r="F983" s="63"/>
      <c r="G983" s="63"/>
      <c r="H983" s="63"/>
      <c r="I983" s="63"/>
      <c r="J983" s="63"/>
      <c r="K983" s="63"/>
      <c r="L983" s="63"/>
      <c r="M983" s="63"/>
      <c r="N983" s="63"/>
      <c r="O983" s="63"/>
      <c r="P983" s="63"/>
      <c r="Q983" s="63"/>
      <c r="R983" s="63"/>
      <c r="S983" s="63"/>
      <c r="T983" s="63"/>
      <c r="U983" s="63"/>
      <c r="V983" s="63"/>
      <c r="W983" s="63"/>
      <c r="X983" s="63"/>
      <c r="Y983" s="63"/>
      <c r="Z983" s="63"/>
      <c r="AA983" s="63"/>
      <c r="AB983" s="63"/>
      <c r="AC983" s="63"/>
      <c r="AD983" s="63"/>
      <c r="AE983" s="63"/>
      <c r="AF983" s="63"/>
      <c r="AG983" s="63"/>
      <c r="AH983" s="63"/>
      <c r="AI983" s="63"/>
      <c r="AJ983" s="63"/>
      <c r="AK983" s="63"/>
      <c r="AL983" s="63"/>
      <c r="AM983" s="63"/>
    </row>
    <row r="984" ht="15.75" customHeight="1">
      <c r="A984" s="63"/>
      <c r="B984" s="63"/>
      <c r="C984" s="63"/>
      <c r="D984" s="63"/>
      <c r="E984" s="63"/>
      <c r="F984" s="63"/>
      <c r="G984" s="63"/>
      <c r="H984" s="63"/>
      <c r="I984" s="63"/>
      <c r="J984" s="63"/>
      <c r="K984" s="63"/>
      <c r="L984" s="63"/>
      <c r="M984" s="63"/>
      <c r="N984" s="63"/>
      <c r="O984" s="63"/>
      <c r="P984" s="63"/>
      <c r="Q984" s="63"/>
      <c r="R984" s="63"/>
      <c r="S984" s="63"/>
      <c r="T984" s="63"/>
      <c r="U984" s="63"/>
      <c r="V984" s="63"/>
      <c r="W984" s="63"/>
      <c r="X984" s="63"/>
      <c r="Y984" s="63"/>
      <c r="Z984" s="63"/>
      <c r="AA984" s="63"/>
      <c r="AB984" s="63"/>
      <c r="AC984" s="63"/>
      <c r="AD984" s="63"/>
      <c r="AE984" s="63"/>
      <c r="AF984" s="63"/>
      <c r="AG984" s="63"/>
      <c r="AH984" s="63"/>
      <c r="AI984" s="63"/>
      <c r="AJ984" s="63"/>
      <c r="AK984" s="63"/>
      <c r="AL984" s="63"/>
      <c r="AM984" s="63"/>
    </row>
    <row r="985" ht="15.75" customHeight="1">
      <c r="A985" s="63"/>
      <c r="B985" s="63"/>
      <c r="C985" s="63"/>
      <c r="D985" s="63"/>
      <c r="E985" s="63"/>
      <c r="F985" s="63"/>
      <c r="G985" s="63"/>
      <c r="H985" s="63"/>
      <c r="I985" s="63"/>
      <c r="J985" s="63"/>
      <c r="K985" s="63"/>
      <c r="L985" s="63"/>
      <c r="M985" s="63"/>
      <c r="N985" s="63"/>
      <c r="O985" s="63"/>
      <c r="P985" s="63"/>
      <c r="Q985" s="63"/>
      <c r="R985" s="63"/>
      <c r="S985" s="63"/>
      <c r="T985" s="63"/>
      <c r="U985" s="63"/>
      <c r="V985" s="63"/>
      <c r="W985" s="63"/>
      <c r="X985" s="63"/>
      <c r="Y985" s="63"/>
      <c r="Z985" s="63"/>
      <c r="AA985" s="63"/>
      <c r="AB985" s="63"/>
      <c r="AC985" s="63"/>
      <c r="AD985" s="63"/>
      <c r="AE985" s="63"/>
      <c r="AF985" s="63"/>
      <c r="AG985" s="63"/>
      <c r="AH985" s="63"/>
      <c r="AI985" s="63"/>
      <c r="AJ985" s="63"/>
      <c r="AK985" s="63"/>
      <c r="AL985" s="63"/>
      <c r="AM985" s="63"/>
    </row>
    <row r="986" ht="15.75" customHeight="1">
      <c r="A986" s="63"/>
      <c r="B986" s="63"/>
      <c r="C986" s="63"/>
      <c r="D986" s="63"/>
      <c r="E986" s="63"/>
      <c r="F986" s="63"/>
      <c r="G986" s="63"/>
      <c r="H986" s="63"/>
      <c r="I986" s="63"/>
      <c r="J986" s="63"/>
      <c r="K986" s="63"/>
      <c r="L986" s="63"/>
      <c r="M986" s="63"/>
      <c r="N986" s="63"/>
      <c r="O986" s="63"/>
      <c r="P986" s="63"/>
      <c r="Q986" s="63"/>
      <c r="R986" s="63"/>
      <c r="S986" s="63"/>
      <c r="T986" s="63"/>
      <c r="U986" s="63"/>
      <c r="V986" s="63"/>
      <c r="W986" s="63"/>
      <c r="X986" s="63"/>
      <c r="Y986" s="63"/>
      <c r="Z986" s="63"/>
      <c r="AA986" s="63"/>
      <c r="AB986" s="63"/>
      <c r="AC986" s="63"/>
      <c r="AD986" s="63"/>
      <c r="AE986" s="63"/>
      <c r="AF986" s="63"/>
      <c r="AG986" s="63"/>
      <c r="AH986" s="63"/>
      <c r="AI986" s="63"/>
      <c r="AJ986" s="63"/>
      <c r="AK986" s="63"/>
      <c r="AL986" s="63"/>
      <c r="AM986" s="63"/>
    </row>
    <row r="987" ht="15.75" customHeight="1">
      <c r="A987" s="63"/>
      <c r="B987" s="63"/>
      <c r="C987" s="63"/>
      <c r="D987" s="63"/>
      <c r="E987" s="63"/>
      <c r="F987" s="63"/>
      <c r="G987" s="63"/>
      <c r="H987" s="63"/>
      <c r="I987" s="63"/>
      <c r="J987" s="63"/>
      <c r="K987" s="63"/>
      <c r="L987" s="63"/>
      <c r="M987" s="63"/>
      <c r="N987" s="63"/>
      <c r="O987" s="63"/>
      <c r="P987" s="63"/>
      <c r="Q987" s="63"/>
      <c r="R987" s="63"/>
      <c r="S987" s="63"/>
      <c r="T987" s="63"/>
      <c r="U987" s="63"/>
      <c r="V987" s="63"/>
      <c r="W987" s="63"/>
      <c r="X987" s="63"/>
      <c r="Y987" s="63"/>
      <c r="Z987" s="63"/>
      <c r="AA987" s="63"/>
      <c r="AB987" s="63"/>
      <c r="AC987" s="63"/>
      <c r="AD987" s="63"/>
      <c r="AE987" s="63"/>
      <c r="AF987" s="63"/>
      <c r="AG987" s="63"/>
      <c r="AH987" s="63"/>
      <c r="AI987" s="63"/>
      <c r="AJ987" s="63"/>
      <c r="AK987" s="63"/>
      <c r="AL987" s="63"/>
      <c r="AM987" s="63"/>
    </row>
    <row r="988" ht="15.75" customHeight="1">
      <c r="A988" s="63"/>
      <c r="B988" s="63"/>
      <c r="C988" s="63"/>
      <c r="D988" s="63"/>
      <c r="E988" s="63"/>
      <c r="F988" s="63"/>
      <c r="G988" s="63"/>
      <c r="H988" s="63"/>
      <c r="I988" s="63"/>
      <c r="J988" s="63"/>
      <c r="K988" s="63"/>
      <c r="L988" s="63"/>
      <c r="M988" s="63"/>
      <c r="N988" s="63"/>
      <c r="O988" s="63"/>
      <c r="P988" s="63"/>
      <c r="Q988" s="63"/>
      <c r="R988" s="63"/>
      <c r="S988" s="63"/>
      <c r="T988" s="63"/>
      <c r="U988" s="63"/>
      <c r="V988" s="63"/>
      <c r="W988" s="63"/>
      <c r="X988" s="63"/>
      <c r="Y988" s="63"/>
      <c r="Z988" s="63"/>
      <c r="AA988" s="63"/>
      <c r="AB988" s="63"/>
      <c r="AC988" s="63"/>
      <c r="AD988" s="63"/>
      <c r="AE988" s="63"/>
      <c r="AF988" s="63"/>
      <c r="AG988" s="63"/>
      <c r="AH988" s="63"/>
      <c r="AI988" s="63"/>
      <c r="AJ988" s="63"/>
      <c r="AK988" s="63"/>
      <c r="AL988" s="63"/>
      <c r="AM988" s="63"/>
    </row>
    <row r="989" ht="15.75" customHeight="1">
      <c r="A989" s="63"/>
      <c r="B989" s="63"/>
      <c r="C989" s="63"/>
      <c r="D989" s="63"/>
      <c r="E989" s="63"/>
      <c r="F989" s="63"/>
      <c r="G989" s="63"/>
      <c r="H989" s="63"/>
      <c r="I989" s="63"/>
      <c r="J989" s="63"/>
      <c r="K989" s="63"/>
      <c r="L989" s="63"/>
      <c r="M989" s="63"/>
      <c r="N989" s="63"/>
      <c r="O989" s="63"/>
      <c r="P989" s="63"/>
      <c r="Q989" s="63"/>
      <c r="R989" s="63"/>
      <c r="S989" s="63"/>
      <c r="T989" s="63"/>
      <c r="U989" s="63"/>
      <c r="V989" s="63"/>
      <c r="W989" s="63"/>
      <c r="X989" s="63"/>
      <c r="Y989" s="63"/>
      <c r="Z989" s="63"/>
      <c r="AA989" s="63"/>
      <c r="AB989" s="63"/>
      <c r="AC989" s="63"/>
      <c r="AD989" s="63"/>
      <c r="AE989" s="63"/>
      <c r="AF989" s="63"/>
      <c r="AG989" s="63"/>
      <c r="AH989" s="63"/>
      <c r="AI989" s="63"/>
      <c r="AJ989" s="63"/>
      <c r="AK989" s="63"/>
      <c r="AL989" s="63"/>
      <c r="AM989" s="63"/>
    </row>
    <row r="990" ht="15.75" customHeight="1">
      <c r="A990" s="63"/>
      <c r="B990" s="63"/>
      <c r="C990" s="63"/>
      <c r="D990" s="63"/>
      <c r="E990" s="63"/>
      <c r="F990" s="63"/>
      <c r="G990" s="63"/>
      <c r="H990" s="63"/>
      <c r="I990" s="63"/>
      <c r="J990" s="63"/>
      <c r="K990" s="63"/>
      <c r="L990" s="63"/>
      <c r="M990" s="63"/>
      <c r="N990" s="63"/>
      <c r="O990" s="63"/>
      <c r="P990" s="63"/>
      <c r="Q990" s="63"/>
      <c r="R990" s="63"/>
      <c r="S990" s="63"/>
      <c r="T990" s="63"/>
      <c r="U990" s="63"/>
      <c r="V990" s="63"/>
      <c r="W990" s="63"/>
      <c r="X990" s="63"/>
      <c r="Y990" s="63"/>
      <c r="Z990" s="63"/>
      <c r="AA990" s="63"/>
      <c r="AB990" s="63"/>
      <c r="AC990" s="63"/>
      <c r="AD990" s="63"/>
      <c r="AE990" s="63"/>
      <c r="AF990" s="63"/>
      <c r="AG990" s="63"/>
      <c r="AH990" s="63"/>
      <c r="AI990" s="63"/>
      <c r="AJ990" s="63"/>
      <c r="AK990" s="63"/>
      <c r="AL990" s="63"/>
      <c r="AM990" s="63"/>
    </row>
    <row r="991" ht="15.75" customHeight="1">
      <c r="A991" s="63"/>
      <c r="B991" s="63"/>
      <c r="C991" s="63"/>
      <c r="D991" s="63"/>
      <c r="E991" s="63"/>
      <c r="F991" s="63"/>
      <c r="G991" s="63"/>
      <c r="H991" s="63"/>
      <c r="I991" s="63"/>
      <c r="J991" s="63"/>
      <c r="K991" s="63"/>
      <c r="L991" s="63"/>
      <c r="M991" s="63"/>
      <c r="N991" s="63"/>
      <c r="O991" s="63"/>
      <c r="P991" s="63"/>
      <c r="Q991" s="63"/>
      <c r="R991" s="63"/>
      <c r="S991" s="63"/>
      <c r="T991" s="63"/>
      <c r="U991" s="63"/>
      <c r="V991" s="63"/>
      <c r="W991" s="63"/>
      <c r="X991" s="63"/>
      <c r="Y991" s="63"/>
      <c r="Z991" s="63"/>
      <c r="AA991" s="63"/>
      <c r="AB991" s="63"/>
      <c r="AC991" s="63"/>
      <c r="AD991" s="63"/>
      <c r="AE991" s="63"/>
      <c r="AF991" s="63"/>
      <c r="AG991" s="63"/>
      <c r="AH991" s="63"/>
      <c r="AI991" s="63"/>
      <c r="AJ991" s="63"/>
      <c r="AK991" s="63"/>
      <c r="AL991" s="63"/>
      <c r="AM991" s="63"/>
    </row>
    <row r="992" ht="15.75" customHeight="1">
      <c r="A992" s="63"/>
      <c r="B992" s="63"/>
      <c r="C992" s="63"/>
      <c r="D992" s="63"/>
      <c r="E992" s="63"/>
      <c r="F992" s="63"/>
      <c r="G992" s="63"/>
      <c r="H992" s="63"/>
      <c r="I992" s="63"/>
      <c r="J992" s="63"/>
      <c r="K992" s="63"/>
      <c r="L992" s="63"/>
      <c r="M992" s="63"/>
      <c r="N992" s="63"/>
      <c r="O992" s="63"/>
      <c r="P992" s="63"/>
      <c r="Q992" s="63"/>
      <c r="R992" s="63"/>
      <c r="S992" s="63"/>
      <c r="T992" s="63"/>
      <c r="U992" s="63"/>
      <c r="V992" s="63"/>
      <c r="W992" s="63"/>
      <c r="X992" s="63"/>
      <c r="Y992" s="63"/>
      <c r="Z992" s="63"/>
      <c r="AA992" s="63"/>
      <c r="AB992" s="63"/>
      <c r="AC992" s="63"/>
      <c r="AD992" s="63"/>
      <c r="AE992" s="63"/>
      <c r="AF992" s="63"/>
      <c r="AG992" s="63"/>
      <c r="AH992" s="63"/>
      <c r="AI992" s="63"/>
      <c r="AJ992" s="63"/>
      <c r="AK992" s="63"/>
      <c r="AL992" s="63"/>
      <c r="AM992" s="63"/>
    </row>
    <row r="993" ht="15.75" customHeight="1">
      <c r="A993" s="63"/>
      <c r="B993" s="63"/>
      <c r="C993" s="63"/>
      <c r="D993" s="63"/>
      <c r="E993" s="63"/>
      <c r="F993" s="63"/>
      <c r="G993" s="63"/>
      <c r="H993" s="63"/>
      <c r="I993" s="63"/>
      <c r="J993" s="63"/>
      <c r="K993" s="63"/>
      <c r="L993" s="63"/>
      <c r="M993" s="63"/>
      <c r="N993" s="63"/>
      <c r="O993" s="63"/>
      <c r="P993" s="63"/>
      <c r="Q993" s="63"/>
      <c r="R993" s="63"/>
      <c r="S993" s="63"/>
      <c r="T993" s="63"/>
      <c r="U993" s="63"/>
      <c r="V993" s="63"/>
      <c r="W993" s="63"/>
      <c r="X993" s="63"/>
      <c r="Y993" s="63"/>
      <c r="Z993" s="63"/>
      <c r="AA993" s="63"/>
      <c r="AB993" s="63"/>
      <c r="AC993" s="63"/>
      <c r="AD993" s="63"/>
      <c r="AE993" s="63"/>
      <c r="AF993" s="63"/>
      <c r="AG993" s="63"/>
      <c r="AH993" s="63"/>
      <c r="AI993" s="63"/>
      <c r="AJ993" s="63"/>
      <c r="AK993" s="63"/>
      <c r="AL993" s="63"/>
      <c r="AM993" s="63"/>
    </row>
    <row r="994" ht="15.75" customHeight="1">
      <c r="A994" s="63"/>
      <c r="B994" s="63"/>
      <c r="C994" s="63"/>
      <c r="D994" s="63"/>
      <c r="E994" s="63"/>
      <c r="F994" s="63"/>
      <c r="G994" s="63"/>
      <c r="H994" s="63"/>
      <c r="I994" s="63"/>
      <c r="J994" s="63"/>
      <c r="K994" s="63"/>
      <c r="L994" s="63"/>
      <c r="M994" s="63"/>
      <c r="N994" s="63"/>
      <c r="O994" s="63"/>
      <c r="P994" s="63"/>
      <c r="Q994" s="63"/>
      <c r="R994" s="63"/>
      <c r="S994" s="63"/>
      <c r="T994" s="63"/>
      <c r="U994" s="63"/>
      <c r="V994" s="63"/>
      <c r="W994" s="63"/>
      <c r="X994" s="63"/>
      <c r="Y994" s="63"/>
      <c r="Z994" s="63"/>
      <c r="AA994" s="63"/>
      <c r="AB994" s="63"/>
      <c r="AC994" s="63"/>
      <c r="AD994" s="63"/>
      <c r="AE994" s="63"/>
      <c r="AF994" s="63"/>
      <c r="AG994" s="63"/>
      <c r="AH994" s="63"/>
      <c r="AI994" s="63"/>
      <c r="AJ994" s="63"/>
      <c r="AK994" s="63"/>
      <c r="AL994" s="63"/>
      <c r="AM994" s="63"/>
    </row>
    <row r="995" ht="15.75" customHeight="1">
      <c r="A995" s="63"/>
      <c r="B995" s="63"/>
      <c r="C995" s="63"/>
      <c r="D995" s="63"/>
      <c r="E995" s="63"/>
      <c r="F995" s="63"/>
      <c r="G995" s="63"/>
      <c r="H995" s="63"/>
      <c r="I995" s="63"/>
      <c r="J995" s="63"/>
      <c r="K995" s="63"/>
      <c r="L995" s="63"/>
      <c r="M995" s="63"/>
      <c r="N995" s="63"/>
      <c r="O995" s="63"/>
      <c r="P995" s="63"/>
      <c r="Q995" s="63"/>
      <c r="R995" s="63"/>
      <c r="S995" s="63"/>
      <c r="T995" s="63"/>
      <c r="U995" s="63"/>
      <c r="V995" s="63"/>
      <c r="W995" s="63"/>
      <c r="X995" s="63"/>
      <c r="Y995" s="63"/>
      <c r="Z995" s="63"/>
      <c r="AA995" s="63"/>
      <c r="AB995" s="63"/>
      <c r="AC995" s="63"/>
      <c r="AD995" s="63"/>
      <c r="AE995" s="63"/>
      <c r="AF995" s="63"/>
      <c r="AG995" s="63"/>
      <c r="AH995" s="63"/>
      <c r="AI995" s="63"/>
      <c r="AJ995" s="63"/>
      <c r="AK995" s="63"/>
      <c r="AL995" s="63"/>
      <c r="AM995" s="63"/>
    </row>
    <row r="996" ht="15.75" customHeight="1">
      <c r="A996" s="63"/>
      <c r="B996" s="63"/>
      <c r="C996" s="63"/>
      <c r="D996" s="63"/>
      <c r="E996" s="63"/>
      <c r="F996" s="63"/>
      <c r="G996" s="63"/>
      <c r="H996" s="63"/>
      <c r="I996" s="63"/>
      <c r="J996" s="63"/>
      <c r="K996" s="63"/>
      <c r="L996" s="63"/>
      <c r="M996" s="63"/>
      <c r="N996" s="63"/>
      <c r="O996" s="63"/>
      <c r="P996" s="63"/>
      <c r="Q996" s="63"/>
      <c r="R996" s="63"/>
      <c r="S996" s="63"/>
      <c r="T996" s="63"/>
      <c r="U996" s="63"/>
      <c r="V996" s="63"/>
      <c r="W996" s="63"/>
      <c r="X996" s="63"/>
      <c r="Y996" s="63"/>
      <c r="Z996" s="63"/>
      <c r="AA996" s="63"/>
      <c r="AB996" s="63"/>
      <c r="AC996" s="63"/>
      <c r="AD996" s="63"/>
      <c r="AE996" s="63"/>
      <c r="AF996" s="63"/>
      <c r="AG996" s="63"/>
      <c r="AH996" s="63"/>
      <c r="AI996" s="63"/>
      <c r="AJ996" s="63"/>
      <c r="AK996" s="63"/>
      <c r="AL996" s="63"/>
      <c r="AM996" s="63"/>
    </row>
    <row r="997" ht="15.75" customHeight="1">
      <c r="A997" s="63"/>
      <c r="B997" s="63"/>
      <c r="C997" s="63"/>
      <c r="D997" s="63"/>
      <c r="E997" s="63"/>
      <c r="F997" s="63"/>
      <c r="G997" s="63"/>
      <c r="H997" s="63"/>
      <c r="I997" s="63"/>
      <c r="J997" s="63"/>
      <c r="K997" s="63"/>
      <c r="L997" s="63"/>
      <c r="M997" s="63"/>
      <c r="N997" s="63"/>
      <c r="O997" s="63"/>
      <c r="P997" s="63"/>
      <c r="Q997" s="63"/>
      <c r="R997" s="63"/>
      <c r="S997" s="63"/>
      <c r="T997" s="63"/>
      <c r="U997" s="63"/>
      <c r="V997" s="63"/>
      <c r="W997" s="63"/>
      <c r="X997" s="63"/>
      <c r="Y997" s="63"/>
      <c r="Z997" s="63"/>
      <c r="AA997" s="63"/>
      <c r="AB997" s="63"/>
      <c r="AC997" s="63"/>
      <c r="AD997" s="63"/>
      <c r="AE997" s="63"/>
      <c r="AF997" s="63"/>
      <c r="AG997" s="63"/>
      <c r="AH997" s="63"/>
      <c r="AI997" s="63"/>
      <c r="AJ997" s="63"/>
      <c r="AK997" s="63"/>
      <c r="AL997" s="63"/>
      <c r="AM997" s="63"/>
    </row>
    <row r="998" ht="15.75" customHeight="1">
      <c r="A998" s="63"/>
      <c r="B998" s="63"/>
      <c r="C998" s="63"/>
      <c r="D998" s="63"/>
      <c r="E998" s="63"/>
      <c r="F998" s="63"/>
      <c r="G998" s="63"/>
      <c r="H998" s="63"/>
      <c r="I998" s="63"/>
      <c r="J998" s="63"/>
      <c r="K998" s="63"/>
      <c r="L998" s="63"/>
      <c r="M998" s="63"/>
      <c r="N998" s="63"/>
      <c r="O998" s="63"/>
      <c r="P998" s="63"/>
      <c r="Q998" s="63"/>
      <c r="R998" s="63"/>
      <c r="S998" s="63"/>
      <c r="T998" s="63"/>
      <c r="U998" s="63"/>
      <c r="V998" s="63"/>
      <c r="W998" s="63"/>
      <c r="X998" s="63"/>
      <c r="Y998" s="63"/>
      <c r="Z998" s="63"/>
      <c r="AA998" s="63"/>
      <c r="AB998" s="63"/>
      <c r="AC998" s="63"/>
      <c r="AD998" s="63"/>
      <c r="AE998" s="63"/>
      <c r="AF998" s="63"/>
      <c r="AG998" s="63"/>
      <c r="AH998" s="63"/>
      <c r="AI998" s="63"/>
      <c r="AJ998" s="63"/>
      <c r="AK998" s="63"/>
      <c r="AL998" s="63"/>
      <c r="AM998" s="63"/>
    </row>
    <row r="999" ht="15.75" customHeight="1">
      <c r="A999" s="63"/>
      <c r="B999" s="63"/>
      <c r="C999" s="63"/>
      <c r="D999" s="63"/>
      <c r="E999" s="63"/>
      <c r="F999" s="63"/>
      <c r="G999" s="63"/>
      <c r="H999" s="63"/>
      <c r="I999" s="63"/>
      <c r="J999" s="63"/>
      <c r="K999" s="63"/>
      <c r="L999" s="63"/>
      <c r="M999" s="63"/>
      <c r="N999" s="63"/>
      <c r="O999" s="63"/>
      <c r="P999" s="63"/>
      <c r="Q999" s="63"/>
      <c r="R999" s="63"/>
      <c r="S999" s="63"/>
      <c r="T999" s="63"/>
      <c r="U999" s="63"/>
      <c r="V999" s="63"/>
      <c r="W999" s="63"/>
      <c r="X999" s="63"/>
      <c r="Y999" s="63"/>
      <c r="Z999" s="63"/>
      <c r="AA999" s="63"/>
      <c r="AB999" s="63"/>
      <c r="AC999" s="63"/>
      <c r="AD999" s="63"/>
      <c r="AE999" s="63"/>
      <c r="AF999" s="63"/>
      <c r="AG999" s="63"/>
      <c r="AH999" s="63"/>
      <c r="AI999" s="63"/>
      <c r="AJ999" s="63"/>
      <c r="AK999" s="63"/>
      <c r="AL999" s="63"/>
      <c r="AM999" s="63"/>
    </row>
    <row r="1000" ht="15.75" customHeight="1">
      <c r="A1000" s="63"/>
      <c r="B1000" s="63"/>
      <c r="C1000" s="63"/>
      <c r="D1000" s="63"/>
      <c r="E1000" s="63"/>
      <c r="F1000" s="63"/>
      <c r="G1000" s="63"/>
      <c r="H1000" s="63"/>
      <c r="I1000" s="63"/>
      <c r="J1000" s="63"/>
      <c r="K1000" s="63"/>
      <c r="L1000" s="63"/>
      <c r="M1000" s="63"/>
      <c r="N1000" s="63"/>
      <c r="O1000" s="63"/>
      <c r="P1000" s="63"/>
      <c r="Q1000" s="63"/>
      <c r="R1000" s="63"/>
      <c r="S1000" s="63"/>
      <c r="T1000" s="63"/>
      <c r="U1000" s="63"/>
      <c r="V1000" s="63"/>
      <c r="W1000" s="63"/>
      <c r="X1000" s="63"/>
      <c r="Y1000" s="63"/>
      <c r="Z1000" s="63"/>
      <c r="AA1000" s="63"/>
      <c r="AB1000" s="63"/>
      <c r="AC1000" s="63"/>
      <c r="AD1000" s="63"/>
      <c r="AE1000" s="63"/>
      <c r="AF1000" s="63"/>
      <c r="AG1000" s="63"/>
      <c r="AH1000" s="63"/>
      <c r="AI1000" s="63"/>
      <c r="AJ1000" s="63"/>
      <c r="AK1000" s="63"/>
      <c r="AL1000" s="63"/>
      <c r="AM1000" s="63"/>
    </row>
    <row r="1001" ht="15.75" customHeight="1">
      <c r="A1001" s="63"/>
      <c r="B1001" s="63"/>
      <c r="C1001" s="63"/>
      <c r="D1001" s="63"/>
      <c r="E1001" s="63"/>
      <c r="F1001" s="63"/>
      <c r="G1001" s="63"/>
      <c r="H1001" s="63"/>
      <c r="I1001" s="63"/>
      <c r="J1001" s="63"/>
      <c r="K1001" s="63"/>
      <c r="L1001" s="63"/>
      <c r="M1001" s="63"/>
      <c r="N1001" s="63"/>
      <c r="O1001" s="63"/>
      <c r="P1001" s="63"/>
      <c r="Q1001" s="63"/>
      <c r="R1001" s="63"/>
      <c r="S1001" s="63"/>
      <c r="T1001" s="63"/>
      <c r="U1001" s="63"/>
      <c r="V1001" s="63"/>
      <c r="W1001" s="63"/>
      <c r="X1001" s="63"/>
      <c r="Y1001" s="63"/>
      <c r="Z1001" s="63"/>
      <c r="AA1001" s="63"/>
      <c r="AB1001" s="63"/>
      <c r="AC1001" s="63"/>
      <c r="AD1001" s="63"/>
      <c r="AE1001" s="63"/>
      <c r="AF1001" s="63"/>
      <c r="AG1001" s="63"/>
      <c r="AH1001" s="63"/>
      <c r="AI1001" s="63"/>
      <c r="AJ1001" s="63"/>
      <c r="AK1001" s="63"/>
      <c r="AL1001" s="63"/>
      <c r="AM1001" s="63"/>
    </row>
    <row r="1002" ht="15.75" customHeight="1">
      <c r="A1002" s="63"/>
      <c r="B1002" s="63"/>
      <c r="C1002" s="63"/>
      <c r="D1002" s="63"/>
      <c r="E1002" s="63"/>
      <c r="F1002" s="63"/>
      <c r="G1002" s="63"/>
      <c r="H1002" s="63"/>
      <c r="I1002" s="63"/>
      <c r="J1002" s="63"/>
      <c r="K1002" s="63"/>
      <c r="L1002" s="63"/>
      <c r="M1002" s="63"/>
      <c r="N1002" s="63"/>
      <c r="O1002" s="63"/>
      <c r="P1002" s="63"/>
      <c r="Q1002" s="63"/>
      <c r="R1002" s="63"/>
      <c r="S1002" s="63"/>
      <c r="T1002" s="63"/>
      <c r="U1002" s="63"/>
      <c r="V1002" s="63"/>
      <c r="W1002" s="63"/>
      <c r="X1002" s="63"/>
      <c r="Y1002" s="63"/>
      <c r="Z1002" s="63"/>
      <c r="AA1002" s="63"/>
      <c r="AB1002" s="63"/>
      <c r="AC1002" s="63"/>
      <c r="AD1002" s="63"/>
      <c r="AE1002" s="63"/>
      <c r="AF1002" s="63"/>
      <c r="AG1002" s="63"/>
      <c r="AH1002" s="63"/>
      <c r="AI1002" s="63"/>
      <c r="AJ1002" s="63"/>
      <c r="AK1002" s="63"/>
      <c r="AL1002" s="63"/>
      <c r="AM1002" s="63"/>
    </row>
    <row r="1003" ht="15.75" customHeight="1">
      <c r="A1003" s="63"/>
      <c r="B1003" s="63"/>
      <c r="C1003" s="63"/>
      <c r="D1003" s="63"/>
      <c r="E1003" s="63"/>
      <c r="F1003" s="63"/>
      <c r="G1003" s="63"/>
      <c r="H1003" s="63"/>
      <c r="I1003" s="63"/>
      <c r="J1003" s="63"/>
      <c r="K1003" s="63"/>
      <c r="L1003" s="63"/>
      <c r="M1003" s="63"/>
      <c r="N1003" s="63"/>
      <c r="O1003" s="63"/>
      <c r="P1003" s="63"/>
      <c r="Q1003" s="63"/>
      <c r="R1003" s="63"/>
      <c r="S1003" s="63"/>
      <c r="T1003" s="63"/>
      <c r="U1003" s="63"/>
      <c r="V1003" s="63"/>
      <c r="W1003" s="63"/>
      <c r="X1003" s="63"/>
      <c r="Y1003" s="63"/>
      <c r="Z1003" s="63"/>
      <c r="AA1003" s="63"/>
      <c r="AB1003" s="63"/>
      <c r="AC1003" s="63"/>
      <c r="AD1003" s="63"/>
      <c r="AE1003" s="63"/>
      <c r="AF1003" s="63"/>
      <c r="AG1003" s="63"/>
      <c r="AH1003" s="63"/>
      <c r="AI1003" s="63"/>
      <c r="AJ1003" s="63"/>
      <c r="AK1003" s="63"/>
      <c r="AL1003" s="63"/>
      <c r="AM1003" s="63"/>
    </row>
    <row r="1004" ht="15.75" customHeight="1">
      <c r="A1004" s="63"/>
      <c r="B1004" s="63"/>
      <c r="C1004" s="63"/>
      <c r="D1004" s="63"/>
      <c r="E1004" s="63"/>
      <c r="F1004" s="63"/>
      <c r="G1004" s="63"/>
      <c r="H1004" s="63"/>
      <c r="I1004" s="63"/>
      <c r="J1004" s="63"/>
      <c r="K1004" s="63"/>
      <c r="L1004" s="63"/>
      <c r="M1004" s="63"/>
      <c r="N1004" s="63"/>
      <c r="O1004" s="63"/>
      <c r="P1004" s="63"/>
      <c r="Q1004" s="63"/>
      <c r="R1004" s="63"/>
      <c r="S1004" s="63"/>
      <c r="T1004" s="63"/>
      <c r="U1004" s="63"/>
      <c r="V1004" s="63"/>
      <c r="W1004" s="63"/>
      <c r="X1004" s="63"/>
      <c r="Y1004" s="63"/>
      <c r="Z1004" s="63"/>
      <c r="AA1004" s="63"/>
      <c r="AB1004" s="63"/>
      <c r="AC1004" s="63"/>
      <c r="AD1004" s="63"/>
      <c r="AE1004" s="63"/>
      <c r="AF1004" s="63"/>
      <c r="AG1004" s="63"/>
      <c r="AH1004" s="63"/>
      <c r="AI1004" s="63"/>
      <c r="AJ1004" s="63"/>
      <c r="AK1004" s="63"/>
      <c r="AL1004" s="63"/>
      <c r="AM1004" s="63"/>
    </row>
    <row r="1005" ht="15.75" customHeight="1">
      <c r="A1005" s="63"/>
      <c r="B1005" s="63"/>
      <c r="C1005" s="63"/>
      <c r="D1005" s="63"/>
      <c r="E1005" s="63"/>
      <c r="F1005" s="63"/>
      <c r="G1005" s="63"/>
      <c r="H1005" s="63"/>
      <c r="I1005" s="63"/>
      <c r="J1005" s="63"/>
      <c r="K1005" s="63"/>
      <c r="L1005" s="63"/>
      <c r="M1005" s="63"/>
      <c r="N1005" s="63"/>
      <c r="O1005" s="63"/>
      <c r="P1005" s="63"/>
      <c r="Q1005" s="63"/>
      <c r="R1005" s="63"/>
      <c r="S1005" s="63"/>
      <c r="T1005" s="63"/>
      <c r="U1005" s="63"/>
      <c r="V1005" s="63"/>
      <c r="W1005" s="63"/>
      <c r="X1005" s="63"/>
      <c r="Y1005" s="63"/>
      <c r="Z1005" s="63"/>
      <c r="AA1005" s="63"/>
      <c r="AB1005" s="63"/>
      <c r="AC1005" s="63"/>
      <c r="AD1005" s="63"/>
      <c r="AE1005" s="63"/>
      <c r="AF1005" s="63"/>
      <c r="AG1005" s="63"/>
      <c r="AH1005" s="63"/>
      <c r="AI1005" s="63"/>
      <c r="AJ1005" s="63"/>
      <c r="AK1005" s="63"/>
      <c r="AL1005" s="63"/>
      <c r="AM1005" s="63"/>
    </row>
    <row r="1006" ht="15.75" customHeight="1">
      <c r="A1006" s="63"/>
      <c r="B1006" s="63"/>
      <c r="C1006" s="63"/>
      <c r="D1006" s="63"/>
      <c r="E1006" s="63"/>
      <c r="F1006" s="63"/>
      <c r="G1006" s="63"/>
      <c r="H1006" s="63"/>
      <c r="I1006" s="63"/>
      <c r="J1006" s="63"/>
      <c r="K1006" s="63"/>
      <c r="L1006" s="63"/>
      <c r="M1006" s="63"/>
      <c r="N1006" s="63"/>
      <c r="O1006" s="63"/>
      <c r="P1006" s="63"/>
      <c r="Q1006" s="63"/>
      <c r="R1006" s="63"/>
      <c r="S1006" s="63"/>
      <c r="T1006" s="63"/>
      <c r="U1006" s="63"/>
      <c r="V1006" s="63"/>
      <c r="W1006" s="63"/>
      <c r="X1006" s="63"/>
      <c r="Y1006" s="63"/>
      <c r="Z1006" s="63"/>
      <c r="AA1006" s="63"/>
      <c r="AB1006" s="63"/>
      <c r="AC1006" s="63"/>
      <c r="AD1006" s="63"/>
      <c r="AE1006" s="63"/>
      <c r="AF1006" s="63"/>
      <c r="AG1006" s="63"/>
      <c r="AH1006" s="63"/>
      <c r="AI1006" s="63"/>
      <c r="AJ1006" s="63"/>
      <c r="AK1006" s="63"/>
      <c r="AL1006" s="63"/>
      <c r="AM1006" s="63"/>
    </row>
    <row r="1007" ht="15.75" customHeight="1">
      <c r="A1007" s="63"/>
      <c r="B1007" s="63"/>
      <c r="C1007" s="63"/>
      <c r="D1007" s="63"/>
      <c r="E1007" s="63"/>
      <c r="F1007" s="63"/>
      <c r="G1007" s="63"/>
      <c r="H1007" s="63"/>
      <c r="I1007" s="63"/>
      <c r="J1007" s="63"/>
      <c r="K1007" s="63"/>
      <c r="L1007" s="63"/>
      <c r="M1007" s="63"/>
      <c r="N1007" s="63"/>
      <c r="O1007" s="63"/>
      <c r="P1007" s="63"/>
      <c r="Q1007" s="63"/>
      <c r="R1007" s="63"/>
      <c r="S1007" s="63"/>
      <c r="T1007" s="63"/>
      <c r="U1007" s="63"/>
      <c r="V1007" s="63"/>
      <c r="W1007" s="63"/>
      <c r="X1007" s="63"/>
      <c r="Y1007" s="63"/>
      <c r="Z1007" s="63"/>
      <c r="AA1007" s="63"/>
      <c r="AB1007" s="63"/>
      <c r="AC1007" s="63"/>
      <c r="AD1007" s="63"/>
      <c r="AE1007" s="63"/>
      <c r="AF1007" s="63"/>
      <c r="AG1007" s="63"/>
      <c r="AH1007" s="63"/>
      <c r="AI1007" s="63"/>
      <c r="AJ1007" s="63"/>
      <c r="AK1007" s="63"/>
      <c r="AL1007" s="63"/>
      <c r="AM1007" s="63"/>
    </row>
    <row r="1008" ht="15.75" customHeight="1">
      <c r="A1008" s="63"/>
      <c r="B1008" s="63"/>
      <c r="C1008" s="63"/>
      <c r="D1008" s="63"/>
      <c r="E1008" s="63"/>
      <c r="F1008" s="63"/>
      <c r="G1008" s="63"/>
      <c r="H1008" s="63"/>
      <c r="I1008" s="63"/>
      <c r="J1008" s="63"/>
      <c r="K1008" s="63"/>
      <c r="L1008" s="63"/>
      <c r="M1008" s="63"/>
      <c r="N1008" s="63"/>
      <c r="O1008" s="63"/>
      <c r="P1008" s="63"/>
      <c r="Q1008" s="63"/>
      <c r="R1008" s="63"/>
      <c r="S1008" s="63"/>
      <c r="T1008" s="63"/>
      <c r="U1008" s="63"/>
      <c r="V1008" s="63"/>
      <c r="W1008" s="63"/>
      <c r="X1008" s="63"/>
      <c r="Y1008" s="63"/>
      <c r="Z1008" s="63"/>
      <c r="AA1008" s="63"/>
      <c r="AB1008" s="63"/>
      <c r="AC1008" s="63"/>
      <c r="AD1008" s="63"/>
      <c r="AE1008" s="63"/>
      <c r="AF1008" s="63"/>
      <c r="AG1008" s="63"/>
      <c r="AH1008" s="63"/>
      <c r="AI1008" s="63"/>
      <c r="AJ1008" s="63"/>
      <c r="AK1008" s="63"/>
      <c r="AL1008" s="63"/>
      <c r="AM1008" s="63"/>
    </row>
  </sheetData>
  <mergeCells count="61">
    <mergeCell ref="A161:A165"/>
    <mergeCell ref="A166:A170"/>
    <mergeCell ref="A175:G175"/>
    <mergeCell ref="F176:H176"/>
    <mergeCell ref="AD180:AF187"/>
    <mergeCell ref="AG180:AH187"/>
    <mergeCell ref="A184:G184"/>
    <mergeCell ref="F185:H185"/>
    <mergeCell ref="A186:A189"/>
    <mergeCell ref="A190:A191"/>
    <mergeCell ref="A126:A130"/>
    <mergeCell ref="A131:A135"/>
    <mergeCell ref="A136:A140"/>
    <mergeCell ref="A141:A145"/>
    <mergeCell ref="A146:A150"/>
    <mergeCell ref="A151:A155"/>
    <mergeCell ref="A156:A160"/>
    <mergeCell ref="AD15:AF15"/>
    <mergeCell ref="AD16:AF16"/>
    <mergeCell ref="AD19:AL20"/>
    <mergeCell ref="AD34:AF34"/>
    <mergeCell ref="AD35:AF35"/>
    <mergeCell ref="AD38:AF45"/>
    <mergeCell ref="AG38:AH45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74:A78"/>
    <mergeCell ref="A79:A83"/>
    <mergeCell ref="AD83:AF83"/>
    <mergeCell ref="AD84:AF84"/>
    <mergeCell ref="AD86:AF93"/>
    <mergeCell ref="AG86:AH93"/>
    <mergeCell ref="A89:A93"/>
    <mergeCell ref="A21:A26"/>
    <mergeCell ref="A27:A32"/>
    <mergeCell ref="A33:A38"/>
    <mergeCell ref="A39:A44"/>
    <mergeCell ref="A45:A50"/>
    <mergeCell ref="A51:A56"/>
    <mergeCell ref="A57:A62"/>
    <mergeCell ref="F125:H125"/>
    <mergeCell ref="X125:Y125"/>
    <mergeCell ref="AD135:AF135"/>
    <mergeCell ref="AD136:AF136"/>
    <mergeCell ref="AD138:AF145"/>
    <mergeCell ref="AG138:AH145"/>
    <mergeCell ref="A84:A88"/>
    <mergeCell ref="A94:A98"/>
    <mergeCell ref="A99:A103"/>
    <mergeCell ref="A104:A108"/>
    <mergeCell ref="A109:A113"/>
    <mergeCell ref="A114:A118"/>
    <mergeCell ref="A124:G124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104" t="s">
        <v>142</v>
      </c>
      <c r="H1" s="37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37"/>
      <c r="AB1" s="63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85</v>
      </c>
      <c r="U2" s="9" t="s">
        <v>86</v>
      </c>
      <c r="V2" s="9" t="s">
        <v>87</v>
      </c>
      <c r="W2" s="37"/>
      <c r="X2" s="63"/>
      <c r="Y2" s="63"/>
      <c r="Z2" s="37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85</v>
      </c>
      <c r="AH2" s="5" t="s">
        <v>86</v>
      </c>
      <c r="AI2" s="5" t="s">
        <v>87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5">
        <v>1.0</v>
      </c>
      <c r="B3" s="43">
        <v>45951.0</v>
      </c>
      <c r="C3" s="12" t="s">
        <v>88</v>
      </c>
      <c r="D3" s="71" t="s">
        <v>89</v>
      </c>
      <c r="E3" s="44" t="s">
        <v>25</v>
      </c>
      <c r="F3" s="17">
        <v>12.0</v>
      </c>
      <c r="G3" s="92" t="s">
        <v>24</v>
      </c>
      <c r="H3" s="17">
        <v>4.0</v>
      </c>
      <c r="I3" s="44" t="s">
        <v>61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8" t="s">
        <v>25</v>
      </c>
      <c r="P3" s="18">
        <f t="shared" ref="P3:P16" si="3">SUMIF(E$3:E$51,O3,K$3:K$51)+SUMIF(I$3:I$51,O3,L$3:L$51)</f>
        <v>12</v>
      </c>
      <c r="Q3" s="18">
        <f t="shared" ref="Q3:Q16" si="4">COUNTIFS(E$3:E$51,O3,K$3:K$51,2)+COUNTIFS(I$3:I$51,O3,L$3:L$51,2)</f>
        <v>6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91</v>
      </c>
      <c r="U3" s="20">
        <f t="shared" ref="U3:U16" si="8">SUMIF(E$3:E$51,O3,H$3:H$51)+SUMIF(I$3:I$51,O3,F$3:F$51)</f>
        <v>50</v>
      </c>
      <c r="V3" s="18">
        <f t="shared" ref="V3:V16" si="9">T3-U3</f>
        <v>41</v>
      </c>
      <c r="W3" s="63"/>
      <c r="X3" s="63"/>
      <c r="Y3" s="63"/>
      <c r="Z3" s="63"/>
      <c r="AA3" s="22" t="s">
        <v>29</v>
      </c>
      <c r="AB3" s="70" t="str">
        <f t="array" ref="AB3:AI16">SORT(O3:V16,2,FALSE,8,FALSE,8,FALSE())</f>
        <v>Fisioterapia</v>
      </c>
      <c r="AC3" s="23">
        <v>12.0</v>
      </c>
      <c r="AD3" s="23">
        <v>6.0</v>
      </c>
      <c r="AE3" s="23">
        <v>0.0</v>
      </c>
      <c r="AF3" s="24">
        <v>1.0</v>
      </c>
      <c r="AG3" s="23">
        <v>127.0</v>
      </c>
      <c r="AH3" s="24">
        <v>58.0</v>
      </c>
      <c r="AI3" s="23">
        <v>69.0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3">
        <v>45951.0</v>
      </c>
      <c r="C4" s="12" t="s">
        <v>88</v>
      </c>
      <c r="D4" s="71" t="s">
        <v>89</v>
      </c>
      <c r="E4" s="44" t="s">
        <v>23</v>
      </c>
      <c r="F4" s="17">
        <v>21.0</v>
      </c>
      <c r="G4" s="92" t="s">
        <v>24</v>
      </c>
      <c r="H4" s="17">
        <v>5.0</v>
      </c>
      <c r="I4" s="44" t="s">
        <v>143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8" t="s">
        <v>23</v>
      </c>
      <c r="P4" s="18">
        <f t="shared" si="3"/>
        <v>12</v>
      </c>
      <c r="Q4" s="18">
        <f t="shared" si="4"/>
        <v>6</v>
      </c>
      <c r="R4" s="18">
        <f t="shared" si="5"/>
        <v>0</v>
      </c>
      <c r="S4" s="20">
        <f t="shared" si="6"/>
        <v>1</v>
      </c>
      <c r="T4" s="18">
        <f t="shared" si="7"/>
        <v>127</v>
      </c>
      <c r="U4" s="20">
        <f t="shared" si="8"/>
        <v>58</v>
      </c>
      <c r="V4" s="18">
        <f t="shared" si="9"/>
        <v>69</v>
      </c>
      <c r="W4" s="63"/>
      <c r="X4" s="63"/>
      <c r="Y4" s="63"/>
      <c r="Z4" s="63"/>
      <c r="AA4" s="22" t="s">
        <v>34</v>
      </c>
      <c r="AB4" s="70" t="s">
        <v>33</v>
      </c>
      <c r="AC4" s="23">
        <v>12.0</v>
      </c>
      <c r="AD4" s="23">
        <v>6.0</v>
      </c>
      <c r="AE4" s="23">
        <v>0.0</v>
      </c>
      <c r="AF4" s="24">
        <v>1.0</v>
      </c>
      <c r="AG4" s="23">
        <v>107.0</v>
      </c>
      <c r="AH4" s="24">
        <v>55.0</v>
      </c>
      <c r="AI4" s="23">
        <v>52.0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3">
        <v>45951.0</v>
      </c>
      <c r="C5" s="12" t="s">
        <v>91</v>
      </c>
      <c r="D5" s="71" t="s">
        <v>89</v>
      </c>
      <c r="E5" s="44" t="s">
        <v>36</v>
      </c>
      <c r="F5" s="17">
        <v>14.0</v>
      </c>
      <c r="G5" s="92" t="s">
        <v>24</v>
      </c>
      <c r="H5" s="17">
        <v>4.0</v>
      </c>
      <c r="I5" s="44" t="s">
        <v>63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8" t="s">
        <v>36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3</v>
      </c>
      <c r="T5" s="18">
        <f t="shared" si="7"/>
        <v>76</v>
      </c>
      <c r="U5" s="20">
        <f t="shared" si="8"/>
        <v>61</v>
      </c>
      <c r="V5" s="18">
        <f t="shared" si="9"/>
        <v>15</v>
      </c>
      <c r="W5" s="63"/>
      <c r="X5" s="63"/>
      <c r="Y5" s="63"/>
      <c r="Z5" s="63"/>
      <c r="AA5" s="22" t="s">
        <v>38</v>
      </c>
      <c r="AB5" s="70" t="s">
        <v>64</v>
      </c>
      <c r="AC5" s="23">
        <v>12.0</v>
      </c>
      <c r="AD5" s="23">
        <v>6.0</v>
      </c>
      <c r="AE5" s="23">
        <v>0.0</v>
      </c>
      <c r="AF5" s="24">
        <v>1.0</v>
      </c>
      <c r="AG5" s="23">
        <v>75.0</v>
      </c>
      <c r="AH5" s="24">
        <v>24.0</v>
      </c>
      <c r="AI5" s="23">
        <v>51.0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3">
        <v>45951.0</v>
      </c>
      <c r="C6" s="12" t="s">
        <v>91</v>
      </c>
      <c r="D6" s="71" t="s">
        <v>89</v>
      </c>
      <c r="E6" s="44" t="s">
        <v>33</v>
      </c>
      <c r="F6" s="17">
        <v>15.0</v>
      </c>
      <c r="G6" s="92" t="s">
        <v>24</v>
      </c>
      <c r="H6" s="17">
        <v>3.0</v>
      </c>
      <c r="I6" s="44" t="s">
        <v>45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8" t="s">
        <v>33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3"/>
      <c r="X6" s="63"/>
      <c r="Y6" s="63"/>
      <c r="Z6" s="63"/>
      <c r="AA6" s="52" t="s">
        <v>41</v>
      </c>
      <c r="AB6" s="70" t="s">
        <v>25</v>
      </c>
      <c r="AC6" s="23">
        <v>12.0</v>
      </c>
      <c r="AD6" s="23">
        <v>6.0</v>
      </c>
      <c r="AE6" s="23">
        <v>0.0</v>
      </c>
      <c r="AF6" s="24">
        <v>1.0</v>
      </c>
      <c r="AG6" s="23">
        <v>91.0</v>
      </c>
      <c r="AH6" s="24">
        <v>50.0</v>
      </c>
      <c r="AI6" s="23">
        <v>41.0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3">
        <v>45951.0</v>
      </c>
      <c r="C7" s="12" t="s">
        <v>52</v>
      </c>
      <c r="D7" s="71" t="s">
        <v>89</v>
      </c>
      <c r="E7" s="14" t="s">
        <v>69</v>
      </c>
      <c r="F7" s="105">
        <v>0.0</v>
      </c>
      <c r="G7" s="92" t="s">
        <v>24</v>
      </c>
      <c r="H7" s="105">
        <v>21.0</v>
      </c>
      <c r="I7" s="44" t="s">
        <v>64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8" t="s">
        <v>61</v>
      </c>
      <c r="P7" s="18">
        <f t="shared" si="3"/>
        <v>6</v>
      </c>
      <c r="Q7" s="18">
        <f t="shared" si="4"/>
        <v>3</v>
      </c>
      <c r="R7" s="18">
        <f t="shared" si="5"/>
        <v>0</v>
      </c>
      <c r="S7" s="20">
        <f t="shared" si="6"/>
        <v>4</v>
      </c>
      <c r="T7" s="18">
        <f t="shared" si="7"/>
        <v>73</v>
      </c>
      <c r="U7" s="20">
        <f t="shared" si="8"/>
        <v>49</v>
      </c>
      <c r="V7" s="18">
        <f t="shared" si="9"/>
        <v>24</v>
      </c>
      <c r="W7" s="63"/>
      <c r="X7" s="63"/>
      <c r="Y7" s="63"/>
      <c r="Z7" s="63"/>
      <c r="AA7" s="52" t="s">
        <v>44</v>
      </c>
      <c r="AB7" s="70" t="s">
        <v>31</v>
      </c>
      <c r="AC7" s="23">
        <v>8.0</v>
      </c>
      <c r="AD7" s="23">
        <v>4.0</v>
      </c>
      <c r="AE7" s="23">
        <v>0.0</v>
      </c>
      <c r="AF7" s="24">
        <v>3.0</v>
      </c>
      <c r="AG7" s="23">
        <v>81.0</v>
      </c>
      <c r="AH7" s="24">
        <v>46.0</v>
      </c>
      <c r="AI7" s="23">
        <v>35.0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3">
        <v>45951.0</v>
      </c>
      <c r="C8" s="12" t="s">
        <v>52</v>
      </c>
      <c r="D8" s="71" t="s">
        <v>89</v>
      </c>
      <c r="E8" s="44" t="s">
        <v>39</v>
      </c>
      <c r="F8" s="17">
        <v>3.0</v>
      </c>
      <c r="G8" s="92" t="s">
        <v>24</v>
      </c>
      <c r="H8" s="17">
        <v>9.0</v>
      </c>
      <c r="I8" s="44" t="s">
        <v>112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8" t="s">
        <v>143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4</v>
      </c>
      <c r="T8" s="18">
        <f t="shared" si="7"/>
        <v>64</v>
      </c>
      <c r="U8" s="20">
        <f t="shared" si="8"/>
        <v>71</v>
      </c>
      <c r="V8" s="18">
        <f t="shared" si="9"/>
        <v>-7</v>
      </c>
      <c r="W8" s="63"/>
      <c r="X8" s="63"/>
      <c r="Y8" s="63"/>
      <c r="Z8" s="63"/>
      <c r="AA8" s="52" t="s">
        <v>47</v>
      </c>
      <c r="AB8" s="70" t="s">
        <v>36</v>
      </c>
      <c r="AC8" s="23">
        <v>8.0</v>
      </c>
      <c r="AD8" s="23">
        <v>4.0</v>
      </c>
      <c r="AE8" s="23">
        <v>0.0</v>
      </c>
      <c r="AF8" s="24">
        <v>3.0</v>
      </c>
      <c r="AG8" s="23">
        <v>76.0</v>
      </c>
      <c r="AH8" s="24">
        <v>61.0</v>
      </c>
      <c r="AI8" s="23">
        <v>15.0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3">
        <v>45951.0</v>
      </c>
      <c r="C9" s="12" t="s">
        <v>94</v>
      </c>
      <c r="D9" s="71" t="s">
        <v>89</v>
      </c>
      <c r="E9" s="44" t="s">
        <v>68</v>
      </c>
      <c r="F9" s="17">
        <v>1.0</v>
      </c>
      <c r="G9" s="92" t="s">
        <v>24</v>
      </c>
      <c r="H9" s="17">
        <v>9.0</v>
      </c>
      <c r="I9" s="44" t="s">
        <v>31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8" t="s">
        <v>63</v>
      </c>
      <c r="P9" s="18">
        <f t="shared" si="3"/>
        <v>4</v>
      </c>
      <c r="Q9" s="18">
        <f t="shared" si="4"/>
        <v>2</v>
      </c>
      <c r="R9" s="18">
        <f t="shared" si="5"/>
        <v>0</v>
      </c>
      <c r="S9" s="20">
        <f t="shared" si="6"/>
        <v>5</v>
      </c>
      <c r="T9" s="18">
        <f t="shared" si="7"/>
        <v>50</v>
      </c>
      <c r="U9" s="20">
        <f t="shared" si="8"/>
        <v>93</v>
      </c>
      <c r="V9" s="18">
        <f t="shared" si="9"/>
        <v>-43</v>
      </c>
      <c r="W9" s="63"/>
      <c r="X9" s="63"/>
      <c r="Y9" s="63"/>
      <c r="Z9" s="63"/>
      <c r="AA9" s="52" t="s">
        <v>48</v>
      </c>
      <c r="AB9" s="70" t="s">
        <v>61</v>
      </c>
      <c r="AC9" s="23">
        <v>6.0</v>
      </c>
      <c r="AD9" s="23">
        <v>3.0</v>
      </c>
      <c r="AE9" s="23">
        <v>0.0</v>
      </c>
      <c r="AF9" s="24">
        <v>4.0</v>
      </c>
      <c r="AG9" s="23">
        <v>73.0</v>
      </c>
      <c r="AH9" s="24">
        <v>49.0</v>
      </c>
      <c r="AI9" s="23">
        <v>24.0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5">
        <v>2.0</v>
      </c>
      <c r="B10" s="43">
        <v>45951.0</v>
      </c>
      <c r="C10" s="12" t="s">
        <v>94</v>
      </c>
      <c r="D10" s="71" t="s">
        <v>89</v>
      </c>
      <c r="E10" s="44" t="s">
        <v>25</v>
      </c>
      <c r="F10" s="17">
        <v>14.0</v>
      </c>
      <c r="G10" s="92" t="s">
        <v>24</v>
      </c>
      <c r="H10" s="17">
        <v>3.0</v>
      </c>
      <c r="I10" s="44" t="s">
        <v>45</v>
      </c>
      <c r="J10" s="4"/>
      <c r="K10" s="4">
        <f t="shared" si="1"/>
        <v>2</v>
      </c>
      <c r="L10" s="18">
        <f t="shared" si="2"/>
        <v>0</v>
      </c>
      <c r="M10" s="4"/>
      <c r="N10" s="51">
        <v>8.0</v>
      </c>
      <c r="O10" s="68" t="s">
        <v>45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5</v>
      </c>
      <c r="T10" s="18">
        <f t="shared" si="7"/>
        <v>40</v>
      </c>
      <c r="U10" s="20">
        <f t="shared" si="8"/>
        <v>74</v>
      </c>
      <c r="V10" s="18">
        <f t="shared" si="9"/>
        <v>-34</v>
      </c>
      <c r="W10" s="63"/>
      <c r="X10" s="63"/>
      <c r="Y10" s="63"/>
      <c r="Z10" s="63"/>
      <c r="AA10" s="52" t="s">
        <v>144</v>
      </c>
      <c r="AB10" s="70" t="s">
        <v>112</v>
      </c>
      <c r="AC10" s="23">
        <v>6.0</v>
      </c>
      <c r="AD10" s="23">
        <v>3.0</v>
      </c>
      <c r="AE10" s="23">
        <v>0.0</v>
      </c>
      <c r="AF10" s="24">
        <v>4.0</v>
      </c>
      <c r="AG10" s="23">
        <v>54.0</v>
      </c>
      <c r="AH10" s="24">
        <v>54.0</v>
      </c>
      <c r="AI10" s="23">
        <v>0.0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3">
        <v>45951.0</v>
      </c>
      <c r="C11" s="12" t="s">
        <v>95</v>
      </c>
      <c r="D11" s="71" t="s">
        <v>89</v>
      </c>
      <c r="E11" s="44" t="s">
        <v>23</v>
      </c>
      <c r="F11" s="17">
        <v>21.0</v>
      </c>
      <c r="G11" s="92" t="s">
        <v>24</v>
      </c>
      <c r="H11" s="17">
        <v>10.0</v>
      </c>
      <c r="I11" s="44" t="s">
        <v>63</v>
      </c>
      <c r="J11" s="4"/>
      <c r="K11" s="4">
        <f t="shared" si="1"/>
        <v>2</v>
      </c>
      <c r="L11" s="18">
        <f t="shared" si="2"/>
        <v>0</v>
      </c>
      <c r="M11" s="4"/>
      <c r="N11" s="77">
        <v>9.0</v>
      </c>
      <c r="O11" s="77" t="s">
        <v>69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3"/>
      <c r="X11" s="63"/>
      <c r="Y11" s="63"/>
      <c r="Z11" s="63"/>
      <c r="AA11" s="22">
        <v>9.0</v>
      </c>
      <c r="AB11" s="70" t="s">
        <v>143</v>
      </c>
      <c r="AC11" s="23">
        <v>6.0</v>
      </c>
      <c r="AD11" s="23">
        <v>3.0</v>
      </c>
      <c r="AE11" s="23">
        <v>0.0</v>
      </c>
      <c r="AF11" s="24">
        <v>4.0</v>
      </c>
      <c r="AG11" s="23">
        <v>64.0</v>
      </c>
      <c r="AH11" s="24">
        <v>71.0</v>
      </c>
      <c r="AI11" s="23">
        <v>-7.0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45951.0</v>
      </c>
      <c r="C12" s="12" t="s">
        <v>95</v>
      </c>
      <c r="D12" s="71" t="s">
        <v>89</v>
      </c>
      <c r="E12" s="44" t="s">
        <v>36</v>
      </c>
      <c r="F12" s="17">
        <v>12.0</v>
      </c>
      <c r="G12" s="92" t="s">
        <v>24</v>
      </c>
      <c r="H12" s="17">
        <v>4.0</v>
      </c>
      <c r="I12" s="44" t="s">
        <v>143</v>
      </c>
      <c r="J12" s="4"/>
      <c r="K12" s="4">
        <f t="shared" si="1"/>
        <v>2</v>
      </c>
      <c r="L12" s="18">
        <f t="shared" si="2"/>
        <v>0</v>
      </c>
      <c r="M12" s="4"/>
      <c r="N12" s="77">
        <v>10.0</v>
      </c>
      <c r="O12" s="77" t="s">
        <v>64</v>
      </c>
      <c r="P12" s="18">
        <f t="shared" si="3"/>
        <v>12</v>
      </c>
      <c r="Q12" s="18">
        <f t="shared" si="4"/>
        <v>6</v>
      </c>
      <c r="R12" s="18">
        <f t="shared" si="5"/>
        <v>0</v>
      </c>
      <c r="S12" s="20">
        <f t="shared" si="6"/>
        <v>1</v>
      </c>
      <c r="T12" s="18">
        <f t="shared" si="7"/>
        <v>75</v>
      </c>
      <c r="U12" s="20">
        <f t="shared" si="8"/>
        <v>24</v>
      </c>
      <c r="V12" s="18">
        <f t="shared" si="9"/>
        <v>51</v>
      </c>
      <c r="W12" s="63"/>
      <c r="X12" s="63"/>
      <c r="Y12" s="63"/>
      <c r="Z12" s="63"/>
      <c r="AA12" s="22">
        <v>10.0</v>
      </c>
      <c r="AB12" s="70" t="s">
        <v>68</v>
      </c>
      <c r="AC12" s="23">
        <v>6.0</v>
      </c>
      <c r="AD12" s="23">
        <v>3.0</v>
      </c>
      <c r="AE12" s="23">
        <v>0.0</v>
      </c>
      <c r="AF12" s="24">
        <v>4.0</v>
      </c>
      <c r="AG12" s="23">
        <v>44.0</v>
      </c>
      <c r="AH12" s="24">
        <v>62.0</v>
      </c>
      <c r="AI12" s="23">
        <v>-18.0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3">
        <v>45951.0</v>
      </c>
      <c r="C13" s="12" t="s">
        <v>53</v>
      </c>
      <c r="D13" s="71" t="s">
        <v>89</v>
      </c>
      <c r="E13" s="44" t="s">
        <v>33</v>
      </c>
      <c r="F13" s="17">
        <v>12.0</v>
      </c>
      <c r="G13" s="92" t="s">
        <v>24</v>
      </c>
      <c r="H13" s="17">
        <v>10.0</v>
      </c>
      <c r="I13" s="44" t="s">
        <v>61</v>
      </c>
      <c r="J13" s="4"/>
      <c r="K13" s="4">
        <f t="shared" si="1"/>
        <v>2</v>
      </c>
      <c r="L13" s="18">
        <f t="shared" si="2"/>
        <v>0</v>
      </c>
      <c r="M13" s="4"/>
      <c r="N13" s="77">
        <v>11.0</v>
      </c>
      <c r="O13" s="77" t="s">
        <v>39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35</v>
      </c>
      <c r="U13" s="20">
        <f t="shared" si="8"/>
        <v>73</v>
      </c>
      <c r="V13" s="18">
        <f t="shared" si="9"/>
        <v>-38</v>
      </c>
      <c r="W13" s="63"/>
      <c r="X13" s="63"/>
      <c r="Y13" s="63"/>
      <c r="Z13" s="63"/>
      <c r="AA13" s="22">
        <v>11.0</v>
      </c>
      <c r="AB13" s="70" t="s">
        <v>45</v>
      </c>
      <c r="AC13" s="23">
        <v>4.0</v>
      </c>
      <c r="AD13" s="23">
        <v>2.0</v>
      </c>
      <c r="AE13" s="23">
        <v>0.0</v>
      </c>
      <c r="AF13" s="24">
        <v>5.0</v>
      </c>
      <c r="AG13" s="23">
        <v>40.0</v>
      </c>
      <c r="AH13" s="24">
        <v>74.0</v>
      </c>
      <c r="AI13" s="23">
        <v>-34.0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3">
        <v>45951.0</v>
      </c>
      <c r="C14" s="12" t="s">
        <v>53</v>
      </c>
      <c r="D14" s="71" t="s">
        <v>89</v>
      </c>
      <c r="E14" s="14" t="s">
        <v>145</v>
      </c>
      <c r="F14" s="105">
        <v>0.0</v>
      </c>
      <c r="G14" s="92" t="s">
        <v>24</v>
      </c>
      <c r="H14" s="105">
        <v>21.0</v>
      </c>
      <c r="I14" s="44" t="s">
        <v>31</v>
      </c>
      <c r="J14" s="4"/>
      <c r="K14" s="4">
        <f t="shared" si="1"/>
        <v>0</v>
      </c>
      <c r="L14" s="18">
        <f t="shared" si="2"/>
        <v>2</v>
      </c>
      <c r="M14" s="4"/>
      <c r="N14" s="77">
        <v>12.0</v>
      </c>
      <c r="O14" s="77" t="s">
        <v>112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4</v>
      </c>
      <c r="T14" s="18">
        <f t="shared" si="7"/>
        <v>54</v>
      </c>
      <c r="U14" s="20">
        <f t="shared" si="8"/>
        <v>54</v>
      </c>
      <c r="V14" s="18">
        <f t="shared" si="9"/>
        <v>0</v>
      </c>
      <c r="W14" s="63"/>
      <c r="X14" s="63"/>
      <c r="Y14" s="63"/>
      <c r="Z14" s="63"/>
      <c r="AA14" s="22">
        <v>12.0</v>
      </c>
      <c r="AB14" s="70" t="s">
        <v>63</v>
      </c>
      <c r="AC14" s="23">
        <v>4.0</v>
      </c>
      <c r="AD14" s="23">
        <v>2.0</v>
      </c>
      <c r="AE14" s="23">
        <v>0.0</v>
      </c>
      <c r="AF14" s="24">
        <v>5.0</v>
      </c>
      <c r="AG14" s="23">
        <v>50.0</v>
      </c>
      <c r="AH14" s="24">
        <v>93.0</v>
      </c>
      <c r="AI14" s="23">
        <v>-43.0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3">
        <v>45951.0</v>
      </c>
      <c r="C15" s="12" t="s">
        <v>97</v>
      </c>
      <c r="D15" s="71" t="s">
        <v>89</v>
      </c>
      <c r="E15" s="44" t="s">
        <v>39</v>
      </c>
      <c r="F15" s="17">
        <v>1.0</v>
      </c>
      <c r="G15" s="92" t="s">
        <v>24</v>
      </c>
      <c r="H15" s="17">
        <v>13.0</v>
      </c>
      <c r="I15" s="44" t="s">
        <v>68</v>
      </c>
      <c r="J15" s="4"/>
      <c r="K15" s="4">
        <f t="shared" si="1"/>
        <v>0</v>
      </c>
      <c r="L15" s="18">
        <f t="shared" si="2"/>
        <v>2</v>
      </c>
      <c r="M15" s="4"/>
      <c r="N15" s="106">
        <v>13.0</v>
      </c>
      <c r="O15" s="106" t="s">
        <v>68</v>
      </c>
      <c r="P15" s="18">
        <f t="shared" si="3"/>
        <v>6</v>
      </c>
      <c r="Q15" s="18">
        <f t="shared" si="4"/>
        <v>3</v>
      </c>
      <c r="R15" s="18">
        <f t="shared" si="5"/>
        <v>0</v>
      </c>
      <c r="S15" s="20">
        <f t="shared" si="6"/>
        <v>4</v>
      </c>
      <c r="T15" s="18">
        <f t="shared" si="7"/>
        <v>44</v>
      </c>
      <c r="U15" s="20">
        <f t="shared" si="8"/>
        <v>62</v>
      </c>
      <c r="V15" s="18">
        <f t="shared" si="9"/>
        <v>-18</v>
      </c>
      <c r="W15" s="63"/>
      <c r="X15" s="63"/>
      <c r="Y15" s="63"/>
      <c r="Z15" s="63"/>
      <c r="AA15" s="22">
        <v>13.0</v>
      </c>
      <c r="AB15" s="70" t="s">
        <v>39</v>
      </c>
      <c r="AC15" s="23">
        <v>2.0</v>
      </c>
      <c r="AD15" s="23">
        <v>1.0</v>
      </c>
      <c r="AE15" s="23">
        <v>0.0</v>
      </c>
      <c r="AF15" s="24">
        <v>6.0</v>
      </c>
      <c r="AG15" s="23">
        <v>35.0</v>
      </c>
      <c r="AH15" s="24">
        <v>73.0</v>
      </c>
      <c r="AI15" s="23">
        <v>-38.0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3">
        <v>45951.0</v>
      </c>
      <c r="C16" s="12" t="s">
        <v>97</v>
      </c>
      <c r="D16" s="71" t="s">
        <v>89</v>
      </c>
      <c r="E16" s="44" t="s">
        <v>64</v>
      </c>
      <c r="F16" s="17">
        <v>6.0</v>
      </c>
      <c r="G16" s="92" t="s">
        <v>24</v>
      </c>
      <c r="H16" s="17">
        <v>2.0</v>
      </c>
      <c r="I16" s="44" t="s">
        <v>112</v>
      </c>
      <c r="J16" s="4"/>
      <c r="K16" s="4">
        <f t="shared" si="1"/>
        <v>2</v>
      </c>
      <c r="L16" s="18">
        <f t="shared" si="2"/>
        <v>0</v>
      </c>
      <c r="M16" s="4"/>
      <c r="N16" s="106">
        <v>14.0</v>
      </c>
      <c r="O16" s="106" t="s">
        <v>31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3</v>
      </c>
      <c r="T16" s="18">
        <f t="shared" si="7"/>
        <v>81</v>
      </c>
      <c r="U16" s="20">
        <f t="shared" si="8"/>
        <v>46</v>
      </c>
      <c r="V16" s="18">
        <f t="shared" si="9"/>
        <v>35</v>
      </c>
      <c r="W16" s="63"/>
      <c r="X16" s="63"/>
      <c r="Y16" s="63"/>
      <c r="Z16" s="63"/>
      <c r="AA16" s="22">
        <v>14.0</v>
      </c>
      <c r="AB16" s="70" t="s">
        <v>69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5">
        <v>3.0</v>
      </c>
      <c r="B17" s="107">
        <v>46008.0</v>
      </c>
      <c r="C17" s="12" t="s">
        <v>54</v>
      </c>
      <c r="D17" s="71" t="s">
        <v>89</v>
      </c>
      <c r="E17" s="44" t="s">
        <v>25</v>
      </c>
      <c r="F17" s="17">
        <v>15.0</v>
      </c>
      <c r="G17" s="92" t="s">
        <v>24</v>
      </c>
      <c r="H17" s="17">
        <v>20.0</v>
      </c>
      <c r="I17" s="44" t="s">
        <v>33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35" t="s">
        <v>146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107">
        <v>46008.0</v>
      </c>
      <c r="C18" s="12" t="s">
        <v>54</v>
      </c>
      <c r="D18" s="71" t="s">
        <v>89</v>
      </c>
      <c r="E18" s="44" t="s">
        <v>23</v>
      </c>
      <c r="F18" s="17">
        <v>20.0</v>
      </c>
      <c r="G18" s="92" t="s">
        <v>24</v>
      </c>
      <c r="H18" s="17">
        <v>11.0</v>
      </c>
      <c r="I18" s="44" t="s">
        <v>36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107">
        <v>46008.0</v>
      </c>
      <c r="C19" s="12" t="s">
        <v>108</v>
      </c>
      <c r="D19" s="71" t="s">
        <v>89</v>
      </c>
      <c r="E19" s="44" t="s">
        <v>61</v>
      </c>
      <c r="F19" s="17">
        <v>21.0</v>
      </c>
      <c r="G19" s="92" t="s">
        <v>24</v>
      </c>
      <c r="H19" s="17">
        <v>0.0</v>
      </c>
      <c r="I19" s="14" t="s">
        <v>145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63"/>
      <c r="Z19" s="63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107">
        <v>46008.0</v>
      </c>
      <c r="C20" s="12" t="s">
        <v>108</v>
      </c>
      <c r="D20" s="71" t="s">
        <v>89</v>
      </c>
      <c r="E20" s="44" t="s">
        <v>143</v>
      </c>
      <c r="F20" s="17">
        <v>14.0</v>
      </c>
      <c r="G20" s="92" t="s">
        <v>24</v>
      </c>
      <c r="H20" s="17">
        <v>4.0</v>
      </c>
      <c r="I20" s="44" t="s">
        <v>63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Y20" s="63"/>
      <c r="Z20" s="63"/>
      <c r="AA20" s="108" t="s">
        <v>103</v>
      </c>
      <c r="AB20" s="82"/>
      <c r="AC20" s="82"/>
      <c r="AD20" s="82"/>
      <c r="AE20" s="82"/>
      <c r="AF20" s="82"/>
      <c r="AG20" s="82"/>
      <c r="AH20" s="82"/>
      <c r="AI20" s="83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107">
        <v>46008.0</v>
      </c>
      <c r="C21" s="12" t="s">
        <v>99</v>
      </c>
      <c r="D21" s="71" t="s">
        <v>89</v>
      </c>
      <c r="E21" s="44" t="s">
        <v>64</v>
      </c>
      <c r="F21" s="105">
        <v>4.0</v>
      </c>
      <c r="G21" s="92" t="s">
        <v>24</v>
      </c>
      <c r="H21" s="105">
        <v>3.0</v>
      </c>
      <c r="I21" s="44" t="s">
        <v>68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Y21" s="63"/>
      <c r="Z21" s="63"/>
      <c r="AA21" s="84"/>
      <c r="AB21" s="85"/>
      <c r="AC21" s="85"/>
      <c r="AD21" s="85"/>
      <c r="AE21" s="85"/>
      <c r="AF21" s="85"/>
      <c r="AG21" s="85"/>
      <c r="AH21" s="85"/>
      <c r="AI21" s="86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107">
        <v>46008.0</v>
      </c>
      <c r="C22" s="12" t="s">
        <v>51</v>
      </c>
      <c r="D22" s="71" t="s">
        <v>89</v>
      </c>
      <c r="E22" s="44" t="s">
        <v>45</v>
      </c>
      <c r="F22" s="17">
        <v>6.0</v>
      </c>
      <c r="G22" s="92" t="s">
        <v>24</v>
      </c>
      <c r="H22" s="17">
        <v>0.0</v>
      </c>
      <c r="I22" s="44" t="s">
        <v>39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5" t="s">
        <v>11</v>
      </c>
      <c r="AB22" s="5" t="s">
        <v>12</v>
      </c>
      <c r="AC22" s="5" t="s">
        <v>13</v>
      </c>
      <c r="AD22" s="5" t="s">
        <v>14</v>
      </c>
      <c r="AE22" s="5" t="s">
        <v>15</v>
      </c>
      <c r="AF22" s="5" t="s">
        <v>16</v>
      </c>
      <c r="AG22" s="5" t="s">
        <v>85</v>
      </c>
      <c r="AH22" s="5" t="s">
        <v>86</v>
      </c>
      <c r="AI22" s="5" t="s">
        <v>87</v>
      </c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107">
        <v>46008.0</v>
      </c>
      <c r="C23" s="12" t="s">
        <v>102</v>
      </c>
      <c r="D23" s="71" t="s">
        <v>89</v>
      </c>
      <c r="E23" s="44" t="s">
        <v>112</v>
      </c>
      <c r="F23" s="17">
        <v>5.0</v>
      </c>
      <c r="G23" s="92" t="s">
        <v>24</v>
      </c>
      <c r="H23" s="17">
        <v>16.0</v>
      </c>
      <c r="I23" s="44" t="s">
        <v>31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22" t="s">
        <v>29</v>
      </c>
      <c r="AB23" s="70" t="s">
        <v>23</v>
      </c>
      <c r="AC23" s="23">
        <v>12.0</v>
      </c>
      <c r="AD23" s="23">
        <v>6.0</v>
      </c>
      <c r="AE23" s="23">
        <v>0.0</v>
      </c>
      <c r="AF23" s="24">
        <v>1.0</v>
      </c>
      <c r="AG23" s="23">
        <v>127.0</v>
      </c>
      <c r="AH23" s="24">
        <v>58.0</v>
      </c>
      <c r="AI23" s="23">
        <v>69.0</v>
      </c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5">
        <v>4.0</v>
      </c>
      <c r="B24" s="43">
        <v>46072.0</v>
      </c>
      <c r="C24" s="39" t="s">
        <v>51</v>
      </c>
      <c r="D24" s="12" t="s">
        <v>89</v>
      </c>
      <c r="E24" s="44" t="s">
        <v>25</v>
      </c>
      <c r="F24" s="17">
        <v>21.0</v>
      </c>
      <c r="G24" s="92" t="s">
        <v>24</v>
      </c>
      <c r="H24" s="17">
        <v>8.0</v>
      </c>
      <c r="I24" s="44" t="s">
        <v>36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22" t="s">
        <v>34</v>
      </c>
      <c r="AB24" s="70" t="s">
        <v>33</v>
      </c>
      <c r="AC24" s="23">
        <v>12.0</v>
      </c>
      <c r="AD24" s="23">
        <v>6.0</v>
      </c>
      <c r="AE24" s="23">
        <v>0.0</v>
      </c>
      <c r="AF24" s="24">
        <v>1.0</v>
      </c>
      <c r="AG24" s="23">
        <v>107.0</v>
      </c>
      <c r="AH24" s="24">
        <v>55.0</v>
      </c>
      <c r="AI24" s="23">
        <v>52.0</v>
      </c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3">
        <v>46072.0</v>
      </c>
      <c r="C25" s="39" t="s">
        <v>102</v>
      </c>
      <c r="D25" s="12" t="s">
        <v>89</v>
      </c>
      <c r="E25" s="44" t="s">
        <v>23</v>
      </c>
      <c r="F25" s="17">
        <v>13.0</v>
      </c>
      <c r="G25" s="92" t="s">
        <v>24</v>
      </c>
      <c r="H25" s="17">
        <v>17.0</v>
      </c>
      <c r="I25" s="44" t="s">
        <v>33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22" t="s">
        <v>38</v>
      </c>
      <c r="AB25" s="70" t="s">
        <v>64</v>
      </c>
      <c r="AC25" s="23">
        <v>12.0</v>
      </c>
      <c r="AD25" s="23">
        <v>6.0</v>
      </c>
      <c r="AE25" s="23">
        <v>0.0</v>
      </c>
      <c r="AF25" s="24">
        <v>1.0</v>
      </c>
      <c r="AG25" s="23">
        <v>75.0</v>
      </c>
      <c r="AH25" s="24">
        <v>24.0</v>
      </c>
      <c r="AI25" s="23">
        <v>51.0</v>
      </c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3">
        <v>46072.0</v>
      </c>
      <c r="C26" s="39" t="s">
        <v>92</v>
      </c>
      <c r="D26" s="12" t="s">
        <v>89</v>
      </c>
      <c r="E26" s="44" t="s">
        <v>61</v>
      </c>
      <c r="F26" s="17">
        <v>7.0</v>
      </c>
      <c r="G26" s="92" t="s">
        <v>24</v>
      </c>
      <c r="H26" s="17">
        <v>5.0</v>
      </c>
      <c r="I26" s="44" t="s">
        <v>31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52" t="s">
        <v>41</v>
      </c>
      <c r="AB26" s="70" t="s">
        <v>25</v>
      </c>
      <c r="AC26" s="23">
        <v>12.0</v>
      </c>
      <c r="AD26" s="23">
        <v>6.0</v>
      </c>
      <c r="AE26" s="23">
        <v>0.0</v>
      </c>
      <c r="AF26" s="24">
        <v>1.0</v>
      </c>
      <c r="AG26" s="23">
        <v>91.0</v>
      </c>
      <c r="AH26" s="24">
        <v>50.0</v>
      </c>
      <c r="AI26" s="23">
        <v>41.0</v>
      </c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3">
        <v>46072.0</v>
      </c>
      <c r="C27" s="12" t="s">
        <v>55</v>
      </c>
      <c r="D27" s="12" t="s">
        <v>89</v>
      </c>
      <c r="E27" s="44" t="s">
        <v>143</v>
      </c>
      <c r="F27" s="17">
        <v>9.0</v>
      </c>
      <c r="G27" s="92" t="s">
        <v>24</v>
      </c>
      <c r="H27" s="17">
        <v>10.0</v>
      </c>
      <c r="I27" s="44" t="s">
        <v>68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52" t="s">
        <v>44</v>
      </c>
      <c r="AB27" s="109" t="s">
        <v>36</v>
      </c>
      <c r="AC27" s="23">
        <v>8.0</v>
      </c>
      <c r="AD27" s="23">
        <v>4.0</v>
      </c>
      <c r="AE27" s="23">
        <v>0.0</v>
      </c>
      <c r="AF27" s="24">
        <v>3.0</v>
      </c>
      <c r="AG27" s="23">
        <v>76.0</v>
      </c>
      <c r="AH27" s="24">
        <v>61.0</v>
      </c>
      <c r="AI27" s="23">
        <v>15.0</v>
      </c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46072.0</v>
      </c>
      <c r="C28" s="66" t="s">
        <v>88</v>
      </c>
      <c r="D28" s="12" t="s">
        <v>89</v>
      </c>
      <c r="E28" s="44" t="s">
        <v>63</v>
      </c>
      <c r="F28" s="105">
        <v>12.0</v>
      </c>
      <c r="G28" s="92" t="s">
        <v>24</v>
      </c>
      <c r="H28" s="105">
        <v>9.0</v>
      </c>
      <c r="I28" s="44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52" t="s">
        <v>47</v>
      </c>
      <c r="AB28" s="109" t="s">
        <v>31</v>
      </c>
      <c r="AC28" s="23">
        <v>8.0</v>
      </c>
      <c r="AD28" s="23">
        <v>4.0</v>
      </c>
      <c r="AE28" s="23">
        <v>0.0</v>
      </c>
      <c r="AF28" s="24">
        <v>3.0</v>
      </c>
      <c r="AG28" s="23">
        <v>81.0</v>
      </c>
      <c r="AH28" s="24">
        <v>46.0</v>
      </c>
      <c r="AI28" s="23">
        <v>35.0</v>
      </c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46072.0</v>
      </c>
      <c r="C29" s="12" t="s">
        <v>91</v>
      </c>
      <c r="D29" s="12" t="s">
        <v>89</v>
      </c>
      <c r="E29" s="44" t="s">
        <v>45</v>
      </c>
      <c r="F29" s="17">
        <v>2.0</v>
      </c>
      <c r="G29" s="92" t="s">
        <v>24</v>
      </c>
      <c r="H29" s="17">
        <v>14.0</v>
      </c>
      <c r="I29" s="44" t="s">
        <v>112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52" t="s">
        <v>48</v>
      </c>
      <c r="AB29" s="70" t="s">
        <v>61</v>
      </c>
      <c r="AC29" s="23">
        <v>6.0</v>
      </c>
      <c r="AD29" s="23">
        <v>3.0</v>
      </c>
      <c r="AE29" s="23">
        <v>0.0</v>
      </c>
      <c r="AF29" s="24">
        <v>4.0</v>
      </c>
      <c r="AG29" s="23">
        <v>73.0</v>
      </c>
      <c r="AH29" s="24">
        <v>49.0</v>
      </c>
      <c r="AI29" s="23">
        <v>24.0</v>
      </c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46072.0</v>
      </c>
      <c r="C30" s="12" t="s">
        <v>52</v>
      </c>
      <c r="D30" s="12" t="s">
        <v>89</v>
      </c>
      <c r="E30" s="110" t="s">
        <v>145</v>
      </c>
      <c r="F30" s="17">
        <v>0.0</v>
      </c>
      <c r="G30" s="92" t="s">
        <v>24</v>
      </c>
      <c r="H30" s="17">
        <v>21.0</v>
      </c>
      <c r="I30" s="44" t="s">
        <v>39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52" t="s">
        <v>144</v>
      </c>
      <c r="AB30" s="70" t="s">
        <v>112</v>
      </c>
      <c r="AC30" s="23">
        <v>6.0</v>
      </c>
      <c r="AD30" s="23">
        <v>3.0</v>
      </c>
      <c r="AE30" s="23">
        <v>0.0</v>
      </c>
      <c r="AF30" s="24">
        <v>4.0</v>
      </c>
      <c r="AG30" s="23">
        <v>54.0</v>
      </c>
      <c r="AH30" s="24">
        <v>54.0</v>
      </c>
      <c r="AI30" s="23">
        <v>0.0</v>
      </c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5">
        <v>5.0</v>
      </c>
      <c r="B31" s="43">
        <v>46072.0</v>
      </c>
      <c r="C31" s="66" t="s">
        <v>94</v>
      </c>
      <c r="D31" s="12" t="s">
        <v>89</v>
      </c>
      <c r="E31" s="44" t="s">
        <v>25</v>
      </c>
      <c r="F31" s="17">
        <v>12.0</v>
      </c>
      <c r="G31" s="92" t="s">
        <v>24</v>
      </c>
      <c r="H31" s="17">
        <v>9.0</v>
      </c>
      <c r="I31" s="44" t="s">
        <v>31</v>
      </c>
      <c r="J31" s="63"/>
      <c r="K31" s="4">
        <f t="shared" si="1"/>
        <v>2</v>
      </c>
      <c r="L31" s="18">
        <f t="shared" si="2"/>
        <v>0</v>
      </c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22">
        <v>9.0</v>
      </c>
      <c r="AB31" s="70" t="s">
        <v>143</v>
      </c>
      <c r="AC31" s="23">
        <v>6.0</v>
      </c>
      <c r="AD31" s="23">
        <v>3.0</v>
      </c>
      <c r="AE31" s="23">
        <v>0.0</v>
      </c>
      <c r="AF31" s="24">
        <v>4.0</v>
      </c>
      <c r="AG31" s="23">
        <v>64.0</v>
      </c>
      <c r="AH31" s="24">
        <v>71.0</v>
      </c>
      <c r="AI31" s="23">
        <v>-7.0</v>
      </c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3">
        <v>46072.0</v>
      </c>
      <c r="C32" s="66" t="s">
        <v>95</v>
      </c>
      <c r="D32" s="12" t="s">
        <v>89</v>
      </c>
      <c r="E32" s="44" t="s">
        <v>23</v>
      </c>
      <c r="F32" s="17">
        <v>21.0</v>
      </c>
      <c r="G32" s="92" t="s">
        <v>24</v>
      </c>
      <c r="H32" s="17">
        <v>7.0</v>
      </c>
      <c r="I32" s="44" t="s">
        <v>68</v>
      </c>
      <c r="J32" s="63"/>
      <c r="K32" s="4">
        <f t="shared" si="1"/>
        <v>2</v>
      </c>
      <c r="L32" s="18">
        <f t="shared" si="2"/>
        <v>0</v>
      </c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22">
        <v>10.0</v>
      </c>
      <c r="AB32" s="70" t="s">
        <v>68</v>
      </c>
      <c r="AC32" s="23">
        <v>6.0</v>
      </c>
      <c r="AD32" s="23">
        <v>3.0</v>
      </c>
      <c r="AE32" s="23">
        <v>0.0</v>
      </c>
      <c r="AF32" s="24">
        <v>4.0</v>
      </c>
      <c r="AG32" s="23">
        <v>44.0</v>
      </c>
      <c r="AH32" s="24">
        <v>62.0</v>
      </c>
      <c r="AI32" s="23">
        <v>-18.0</v>
      </c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3">
        <v>46072.0</v>
      </c>
      <c r="C33" s="66" t="s">
        <v>53</v>
      </c>
      <c r="D33" s="12" t="s">
        <v>89</v>
      </c>
      <c r="E33" s="44" t="s">
        <v>36</v>
      </c>
      <c r="F33" s="17">
        <v>21.0</v>
      </c>
      <c r="G33" s="92" t="s">
        <v>24</v>
      </c>
      <c r="H33" s="17">
        <v>0.0</v>
      </c>
      <c r="I33" s="14" t="s">
        <v>145</v>
      </c>
      <c r="J33" s="63"/>
      <c r="K33" s="4">
        <f t="shared" si="1"/>
        <v>2</v>
      </c>
      <c r="L33" s="18">
        <f t="shared" si="2"/>
        <v>0</v>
      </c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22">
        <v>11.0</v>
      </c>
      <c r="AB33" s="70" t="s">
        <v>45</v>
      </c>
      <c r="AC33" s="23">
        <v>4.0</v>
      </c>
      <c r="AD33" s="23">
        <v>2.0</v>
      </c>
      <c r="AE33" s="23">
        <v>0.0</v>
      </c>
      <c r="AF33" s="24">
        <v>5.0</v>
      </c>
      <c r="AG33" s="23">
        <v>40.0</v>
      </c>
      <c r="AH33" s="24">
        <v>74.0</v>
      </c>
      <c r="AI33" s="23">
        <v>-34.0</v>
      </c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46072.0</v>
      </c>
      <c r="C34" s="66" t="s">
        <v>97</v>
      </c>
      <c r="D34" s="12" t="s">
        <v>89</v>
      </c>
      <c r="E34" s="44" t="s">
        <v>33</v>
      </c>
      <c r="F34" s="17">
        <v>21.0</v>
      </c>
      <c r="G34" s="92" t="s">
        <v>24</v>
      </c>
      <c r="H34" s="17">
        <v>2.0</v>
      </c>
      <c r="I34" s="44" t="s">
        <v>39</v>
      </c>
      <c r="J34" s="63"/>
      <c r="K34" s="4">
        <f t="shared" si="1"/>
        <v>2</v>
      </c>
      <c r="L34" s="18">
        <f t="shared" si="2"/>
        <v>0</v>
      </c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22">
        <v>12.0</v>
      </c>
      <c r="AB34" s="70" t="s">
        <v>63</v>
      </c>
      <c r="AC34" s="23">
        <v>4.0</v>
      </c>
      <c r="AD34" s="23">
        <v>2.0</v>
      </c>
      <c r="AE34" s="23">
        <v>0.0</v>
      </c>
      <c r="AF34" s="24">
        <v>5.0</v>
      </c>
      <c r="AG34" s="23">
        <v>50.0</v>
      </c>
      <c r="AH34" s="24">
        <v>93.0</v>
      </c>
      <c r="AI34" s="23">
        <v>-43.0</v>
      </c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46072.0</v>
      </c>
      <c r="C35" s="12" t="s">
        <v>98</v>
      </c>
      <c r="D35" s="12" t="s">
        <v>89</v>
      </c>
      <c r="E35" s="44" t="s">
        <v>61</v>
      </c>
      <c r="F35" s="105">
        <v>6.0</v>
      </c>
      <c r="G35" s="92" t="s">
        <v>24</v>
      </c>
      <c r="H35" s="105">
        <v>12.0</v>
      </c>
      <c r="I35" s="44" t="s">
        <v>64</v>
      </c>
      <c r="J35" s="63"/>
      <c r="K35" s="4">
        <f t="shared" si="1"/>
        <v>0</v>
      </c>
      <c r="L35" s="18">
        <f t="shared" si="2"/>
        <v>2</v>
      </c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22">
        <v>13.0</v>
      </c>
      <c r="AB35" s="70" t="s">
        <v>39</v>
      </c>
      <c r="AC35" s="23">
        <v>2.0</v>
      </c>
      <c r="AD35" s="23">
        <v>1.0</v>
      </c>
      <c r="AE35" s="23">
        <v>0.0</v>
      </c>
      <c r="AF35" s="24">
        <v>6.0</v>
      </c>
      <c r="AG35" s="23">
        <v>35.0</v>
      </c>
      <c r="AH35" s="24">
        <v>73.0</v>
      </c>
      <c r="AI35" s="23">
        <v>-38.0</v>
      </c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46099.0</v>
      </c>
      <c r="C36" s="66" t="s">
        <v>88</v>
      </c>
      <c r="D36" s="12" t="s">
        <v>89</v>
      </c>
      <c r="E36" s="44" t="s">
        <v>143</v>
      </c>
      <c r="F36" s="17">
        <v>10.0</v>
      </c>
      <c r="G36" s="92" t="s">
        <v>24</v>
      </c>
      <c r="H36" s="17">
        <v>11.0</v>
      </c>
      <c r="I36" s="44" t="s">
        <v>112</v>
      </c>
      <c r="J36" s="63"/>
      <c r="K36" s="4">
        <f t="shared" si="1"/>
        <v>0</v>
      </c>
      <c r="L36" s="18">
        <f t="shared" si="2"/>
        <v>2</v>
      </c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111">
        <v>14.0</v>
      </c>
      <c r="AB36" s="112" t="s">
        <v>69</v>
      </c>
      <c r="AC36" s="113">
        <v>0.0</v>
      </c>
      <c r="AD36" s="113">
        <v>0.0</v>
      </c>
      <c r="AE36" s="113">
        <v>0.0</v>
      </c>
      <c r="AF36" s="114">
        <v>1.0</v>
      </c>
      <c r="AG36" s="113">
        <v>0.0</v>
      </c>
      <c r="AH36" s="114">
        <v>21.0</v>
      </c>
      <c r="AI36" s="113">
        <v>-21.0</v>
      </c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46148.0</v>
      </c>
      <c r="C37" s="12" t="s">
        <v>52</v>
      </c>
      <c r="D37" s="12" t="s">
        <v>89</v>
      </c>
      <c r="E37" s="44" t="s">
        <v>63</v>
      </c>
      <c r="F37" s="17">
        <v>12.0</v>
      </c>
      <c r="G37" s="92" t="s">
        <v>24</v>
      </c>
      <c r="H37" s="17">
        <v>5.0</v>
      </c>
      <c r="I37" s="44" t="s">
        <v>45</v>
      </c>
      <c r="J37" s="63"/>
      <c r="K37" s="4">
        <f t="shared" si="1"/>
        <v>2</v>
      </c>
      <c r="L37" s="18">
        <f t="shared" si="2"/>
        <v>0</v>
      </c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35" t="s">
        <v>147</v>
      </c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5">
        <v>6.0</v>
      </c>
      <c r="B38" s="43">
        <v>46099.0</v>
      </c>
      <c r="C38" s="12" t="s">
        <v>91</v>
      </c>
      <c r="D38" s="12" t="s">
        <v>89</v>
      </c>
      <c r="E38" s="44" t="s">
        <v>25</v>
      </c>
      <c r="F38" s="17">
        <v>10.0</v>
      </c>
      <c r="G38" s="92" t="s">
        <v>24</v>
      </c>
      <c r="H38" s="17">
        <v>1.0</v>
      </c>
      <c r="I38" s="44" t="s">
        <v>68</v>
      </c>
      <c r="J38" s="63"/>
      <c r="K38" s="4">
        <f t="shared" si="1"/>
        <v>2</v>
      </c>
      <c r="L38" s="18">
        <f t="shared" si="2"/>
        <v>0</v>
      </c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4"/>
      <c r="AD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3">
        <v>46099.0</v>
      </c>
      <c r="C39" s="12" t="s">
        <v>52</v>
      </c>
      <c r="D39" s="12" t="s">
        <v>89</v>
      </c>
      <c r="E39" s="44" t="s">
        <v>23</v>
      </c>
      <c r="F39" s="17">
        <v>10.0</v>
      </c>
      <c r="G39" s="92" t="s">
        <v>24</v>
      </c>
      <c r="H39" s="17">
        <v>8.0</v>
      </c>
      <c r="I39" s="44" t="s">
        <v>112</v>
      </c>
      <c r="J39" s="63"/>
      <c r="K39" s="4">
        <f t="shared" si="1"/>
        <v>2</v>
      </c>
      <c r="L39" s="18">
        <f t="shared" si="2"/>
        <v>0</v>
      </c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46099.0</v>
      </c>
      <c r="C40" s="66" t="s">
        <v>94</v>
      </c>
      <c r="D40" s="12" t="s">
        <v>89</v>
      </c>
      <c r="E40" s="44" t="s">
        <v>36</v>
      </c>
      <c r="F40" s="17">
        <v>10.0</v>
      </c>
      <c r="G40" s="92" t="s">
        <v>24</v>
      </c>
      <c r="H40" s="17">
        <v>1.0</v>
      </c>
      <c r="I40" s="44" t="s">
        <v>39</v>
      </c>
      <c r="J40" s="63"/>
      <c r="K40" s="4">
        <f t="shared" si="1"/>
        <v>2</v>
      </c>
      <c r="L40" s="18">
        <f t="shared" si="2"/>
        <v>0</v>
      </c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46099.0</v>
      </c>
      <c r="C41" s="66" t="s">
        <v>95</v>
      </c>
      <c r="D41" s="12" t="s">
        <v>89</v>
      </c>
      <c r="E41" s="44" t="s">
        <v>33</v>
      </c>
      <c r="F41" s="17">
        <v>1.0</v>
      </c>
      <c r="G41" s="92" t="s">
        <v>24</v>
      </c>
      <c r="H41" s="17">
        <v>12.0</v>
      </c>
      <c r="I41" s="44" t="s">
        <v>64</v>
      </c>
      <c r="J41" s="63"/>
      <c r="K41" s="4">
        <f t="shared" si="1"/>
        <v>0</v>
      </c>
      <c r="L41" s="18">
        <f t="shared" si="2"/>
        <v>2</v>
      </c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46099.0</v>
      </c>
      <c r="C42" s="66" t="s">
        <v>53</v>
      </c>
      <c r="D42" s="12" t="s">
        <v>89</v>
      </c>
      <c r="E42" s="44" t="s">
        <v>61</v>
      </c>
      <c r="F42" s="105">
        <v>6.0</v>
      </c>
      <c r="G42" s="92" t="s">
        <v>24</v>
      </c>
      <c r="H42" s="105">
        <v>8.0</v>
      </c>
      <c r="I42" s="44" t="s">
        <v>143</v>
      </c>
      <c r="J42" s="63"/>
      <c r="K42" s="4">
        <f t="shared" si="1"/>
        <v>0</v>
      </c>
      <c r="L42" s="18">
        <f t="shared" si="2"/>
        <v>2</v>
      </c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46099.0</v>
      </c>
      <c r="C43" s="66" t="s">
        <v>97</v>
      </c>
      <c r="D43" s="12" t="s">
        <v>89</v>
      </c>
      <c r="E43" s="14" t="s">
        <v>145</v>
      </c>
      <c r="F43" s="17">
        <v>0.0</v>
      </c>
      <c r="G43" s="92" t="s">
        <v>24</v>
      </c>
      <c r="H43" s="17">
        <v>21.0</v>
      </c>
      <c r="I43" s="44" t="s">
        <v>45</v>
      </c>
      <c r="J43" s="63"/>
      <c r="K43" s="4">
        <f t="shared" si="1"/>
        <v>0</v>
      </c>
      <c r="L43" s="18">
        <f t="shared" si="2"/>
        <v>2</v>
      </c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3">
        <v>46099.0</v>
      </c>
      <c r="C44" s="12" t="s">
        <v>98</v>
      </c>
      <c r="D44" s="12" t="s">
        <v>89</v>
      </c>
      <c r="E44" s="14" t="s">
        <v>63</v>
      </c>
      <c r="F44" s="17">
        <v>0.0</v>
      </c>
      <c r="G44" s="92" t="s">
        <v>24</v>
      </c>
      <c r="H44" s="17">
        <v>21.0</v>
      </c>
      <c r="I44" s="44" t="s">
        <v>31</v>
      </c>
      <c r="J44" s="63"/>
      <c r="K44" s="4">
        <f t="shared" si="1"/>
        <v>0</v>
      </c>
      <c r="L44" s="18">
        <f t="shared" si="2"/>
        <v>2</v>
      </c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5">
        <v>7.0</v>
      </c>
      <c r="B45" s="43">
        <v>46148.0</v>
      </c>
      <c r="C45" s="12" t="s">
        <v>51</v>
      </c>
      <c r="D45" s="12" t="s">
        <v>89</v>
      </c>
      <c r="E45" s="44" t="s">
        <v>25</v>
      </c>
      <c r="F45" s="17">
        <v>7.0</v>
      </c>
      <c r="G45" s="92" t="s">
        <v>24</v>
      </c>
      <c r="H45" s="17">
        <v>5.0</v>
      </c>
      <c r="I45" s="44" t="s">
        <v>112</v>
      </c>
      <c r="J45" s="63"/>
      <c r="K45" s="4">
        <f t="shared" si="1"/>
        <v>2</v>
      </c>
      <c r="L45" s="18">
        <f t="shared" si="2"/>
        <v>0</v>
      </c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46148.0</v>
      </c>
      <c r="C46" s="12" t="s">
        <v>102</v>
      </c>
      <c r="D46" s="12" t="s">
        <v>89</v>
      </c>
      <c r="E46" s="44" t="s">
        <v>23</v>
      </c>
      <c r="F46" s="17">
        <v>21.0</v>
      </c>
      <c r="G46" s="92" t="s">
        <v>24</v>
      </c>
      <c r="H46" s="17">
        <v>0.0</v>
      </c>
      <c r="I46" s="44" t="s">
        <v>31</v>
      </c>
      <c r="J46" s="63"/>
      <c r="K46" s="4">
        <f t="shared" si="1"/>
        <v>2</v>
      </c>
      <c r="L46" s="18">
        <f t="shared" si="2"/>
        <v>0</v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46148.0</v>
      </c>
      <c r="C47" s="12" t="s">
        <v>92</v>
      </c>
      <c r="D47" s="12" t="s">
        <v>89</v>
      </c>
      <c r="E47" s="44" t="s">
        <v>36</v>
      </c>
      <c r="F47" s="17">
        <v>0.0</v>
      </c>
      <c r="G47" s="92" t="s">
        <v>24</v>
      </c>
      <c r="H47" s="17">
        <v>11.0</v>
      </c>
      <c r="I47" s="44" t="s">
        <v>64</v>
      </c>
      <c r="J47" s="63"/>
      <c r="K47" s="4">
        <f t="shared" si="1"/>
        <v>0</v>
      </c>
      <c r="L47" s="18">
        <f t="shared" si="2"/>
        <v>2</v>
      </c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115"/>
      <c r="C48" s="98"/>
      <c r="D48" s="98"/>
      <c r="E48" s="44" t="s">
        <v>33</v>
      </c>
      <c r="F48" s="17">
        <v>21.0</v>
      </c>
      <c r="G48" s="92" t="s">
        <v>24</v>
      </c>
      <c r="H48" s="17">
        <v>0.0</v>
      </c>
      <c r="I48" s="14" t="s">
        <v>145</v>
      </c>
      <c r="J48" s="63"/>
      <c r="K48" s="4">
        <f t="shared" si="1"/>
        <v>2</v>
      </c>
      <c r="L48" s="18">
        <f t="shared" si="2"/>
        <v>0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46148.0</v>
      </c>
      <c r="C49" s="12" t="s">
        <v>55</v>
      </c>
      <c r="D49" s="12" t="s">
        <v>89</v>
      </c>
      <c r="E49" s="44" t="s">
        <v>61</v>
      </c>
      <c r="F49" s="105">
        <v>19.0</v>
      </c>
      <c r="G49" s="92" t="s">
        <v>24</v>
      </c>
      <c r="H49" s="105">
        <v>0.0</v>
      </c>
      <c r="I49" s="44" t="s">
        <v>45</v>
      </c>
      <c r="J49" s="63"/>
      <c r="K49" s="4">
        <f t="shared" si="1"/>
        <v>2</v>
      </c>
      <c r="L49" s="18">
        <f t="shared" si="2"/>
        <v>0</v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43">
        <v>46148.0</v>
      </c>
      <c r="C50" s="12" t="s">
        <v>88</v>
      </c>
      <c r="D50" s="12" t="s">
        <v>89</v>
      </c>
      <c r="E50" s="44" t="s">
        <v>143</v>
      </c>
      <c r="F50" s="17">
        <v>14.0</v>
      </c>
      <c r="G50" s="92" t="s">
        <v>24</v>
      </c>
      <c r="H50" s="17">
        <v>7.0</v>
      </c>
      <c r="I50" s="44" t="s">
        <v>39</v>
      </c>
      <c r="J50" s="63"/>
      <c r="K50" s="4">
        <f t="shared" si="1"/>
        <v>2</v>
      </c>
      <c r="L50" s="18">
        <f t="shared" si="2"/>
        <v>0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43">
        <v>46148.0</v>
      </c>
      <c r="C51" s="12" t="s">
        <v>91</v>
      </c>
      <c r="D51" s="12" t="s">
        <v>89</v>
      </c>
      <c r="E51" s="44" t="s">
        <v>63</v>
      </c>
      <c r="F51" s="17">
        <v>8.0</v>
      </c>
      <c r="G51" s="92" t="s">
        <v>24</v>
      </c>
      <c r="H51" s="17">
        <v>9.0</v>
      </c>
      <c r="I51" s="44" t="s">
        <v>68</v>
      </c>
      <c r="J51" s="63"/>
      <c r="K51" s="4">
        <f t="shared" si="1"/>
        <v>0</v>
      </c>
      <c r="L51" s="18">
        <f t="shared" si="2"/>
        <v>2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101"/>
      <c r="B52" s="37"/>
      <c r="C52" s="37"/>
      <c r="D52" s="37"/>
      <c r="E52" s="37"/>
      <c r="F52" s="37"/>
      <c r="G52" s="37"/>
      <c r="H52" s="37"/>
      <c r="I52" s="37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37"/>
      <c r="AB52" s="63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101"/>
      <c r="B53" s="37"/>
      <c r="C53" s="37"/>
      <c r="D53" s="37"/>
      <c r="E53" s="37"/>
      <c r="F53" s="37"/>
      <c r="G53" s="37"/>
      <c r="H53" s="37"/>
      <c r="I53" s="37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37"/>
      <c r="AB53" s="63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101"/>
      <c r="B54" s="37"/>
      <c r="C54" s="37"/>
      <c r="D54" s="37"/>
      <c r="E54" s="37"/>
      <c r="F54" s="37"/>
      <c r="G54" s="37"/>
      <c r="H54" s="37"/>
      <c r="I54" s="37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37"/>
      <c r="AB54" s="63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101"/>
      <c r="B55" s="37"/>
      <c r="C55" s="37"/>
      <c r="D55" s="37"/>
      <c r="E55" s="37"/>
      <c r="F55" s="37"/>
      <c r="G55" s="37"/>
      <c r="H55" s="37"/>
      <c r="I55" s="37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37"/>
      <c r="AB55" s="63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7" t="s">
        <v>148</v>
      </c>
      <c r="H56" s="2"/>
      <c r="I56" s="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37"/>
      <c r="AB56" s="63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37"/>
      <c r="AB57" s="63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8" t="s">
        <v>72</v>
      </c>
      <c r="B58" s="43"/>
      <c r="C58" s="12"/>
      <c r="D58" s="12"/>
      <c r="E58" s="44" t="s">
        <v>23</v>
      </c>
      <c r="F58" s="31"/>
      <c r="G58" s="16" t="s">
        <v>24</v>
      </c>
      <c r="H58" s="31"/>
      <c r="I58" s="44" t="s">
        <v>112</v>
      </c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37"/>
      <c r="AB58" s="63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43"/>
      <c r="C59" s="12"/>
      <c r="D59" s="12"/>
      <c r="E59" s="44" t="s">
        <v>33</v>
      </c>
      <c r="F59" s="31"/>
      <c r="G59" s="16" t="s">
        <v>24</v>
      </c>
      <c r="H59" s="31"/>
      <c r="I59" s="44" t="s">
        <v>61</v>
      </c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37"/>
      <c r="AB59" s="63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43"/>
      <c r="C60" s="12"/>
      <c r="D60" s="12"/>
      <c r="E60" s="44" t="s">
        <v>64</v>
      </c>
      <c r="F60" s="31"/>
      <c r="G60" s="16" t="s">
        <v>24</v>
      </c>
      <c r="H60" s="31"/>
      <c r="I60" s="44" t="s">
        <v>36</v>
      </c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37"/>
      <c r="AB60" s="63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43"/>
      <c r="C61" s="12"/>
      <c r="D61" s="12"/>
      <c r="E61" s="44" t="s">
        <v>25</v>
      </c>
      <c r="F61" s="31"/>
      <c r="G61" s="16" t="s">
        <v>24</v>
      </c>
      <c r="H61" s="31"/>
      <c r="I61" s="44" t="s">
        <v>31</v>
      </c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37"/>
      <c r="AB61" s="63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9" t="s">
        <v>73</v>
      </c>
      <c r="B62" s="43"/>
      <c r="C62" s="12"/>
      <c r="D62" s="12"/>
      <c r="E62" s="44" t="s">
        <v>74</v>
      </c>
      <c r="F62" s="31"/>
      <c r="G62" s="16" t="s">
        <v>24</v>
      </c>
      <c r="H62" s="31"/>
      <c r="I62" s="44" t="s">
        <v>75</v>
      </c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37"/>
      <c r="AB62" s="63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56"/>
      <c r="C63" s="31"/>
      <c r="D63" s="12"/>
      <c r="E63" s="51" t="s">
        <v>76</v>
      </c>
      <c r="F63" s="13"/>
      <c r="G63" s="16" t="s">
        <v>24</v>
      </c>
      <c r="H63" s="13"/>
      <c r="I63" s="44" t="s">
        <v>77</v>
      </c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37"/>
      <c r="AB63" s="63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60" t="s">
        <v>78</v>
      </c>
      <c r="B64" s="30"/>
      <c r="C64" s="31"/>
      <c r="D64" s="12"/>
      <c r="E64" s="44" t="s">
        <v>79</v>
      </c>
      <c r="F64" s="31"/>
      <c r="G64" s="16" t="s">
        <v>24</v>
      </c>
      <c r="H64" s="31"/>
      <c r="I64" s="61" t="s">
        <v>80</v>
      </c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37"/>
      <c r="AB64" s="63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60" t="s">
        <v>81</v>
      </c>
      <c r="B65" s="30"/>
      <c r="C65" s="31"/>
      <c r="D65" s="12"/>
      <c r="E65" s="44" t="s">
        <v>82</v>
      </c>
      <c r="F65" s="31"/>
      <c r="G65" s="16" t="s">
        <v>24</v>
      </c>
      <c r="H65" s="31"/>
      <c r="I65" s="44" t="s">
        <v>83</v>
      </c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37"/>
      <c r="AB65" s="63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101"/>
      <c r="B66" s="37"/>
      <c r="C66" s="37"/>
      <c r="D66" s="37"/>
      <c r="E66" s="37"/>
      <c r="F66" s="37"/>
      <c r="G66" s="37"/>
      <c r="H66" s="37"/>
      <c r="I66" s="37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37"/>
      <c r="AB66" s="63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101"/>
      <c r="B67" s="37"/>
      <c r="C67" s="37"/>
      <c r="D67" s="37"/>
      <c r="E67" s="37"/>
      <c r="F67" s="37"/>
      <c r="G67" s="37"/>
      <c r="H67" s="37"/>
      <c r="I67" s="37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37"/>
      <c r="AB67" s="63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101"/>
      <c r="B68" s="37"/>
      <c r="C68" s="37"/>
      <c r="D68" s="37"/>
      <c r="E68" s="37"/>
      <c r="F68" s="37"/>
      <c r="G68" s="37"/>
      <c r="H68" s="37"/>
      <c r="I68" s="37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37"/>
      <c r="AB68" s="63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101"/>
      <c r="B69" s="37"/>
      <c r="C69" s="37"/>
      <c r="D69" s="37"/>
      <c r="E69" s="37"/>
      <c r="F69" s="37"/>
      <c r="G69" s="37"/>
      <c r="H69" s="37"/>
      <c r="I69" s="37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37"/>
      <c r="AB69" s="63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101"/>
      <c r="B70" s="37"/>
      <c r="C70" s="37"/>
      <c r="D70" s="37"/>
      <c r="E70" s="37"/>
      <c r="F70" s="37"/>
      <c r="G70" s="37"/>
      <c r="H70" s="37"/>
      <c r="I70" s="37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37"/>
      <c r="AB70" s="63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101"/>
      <c r="B71" s="37"/>
      <c r="C71" s="37"/>
      <c r="D71" s="37"/>
      <c r="E71" s="37"/>
      <c r="F71" s="37"/>
      <c r="G71" s="37"/>
      <c r="H71" s="37"/>
      <c r="I71" s="37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37"/>
      <c r="AB71" s="63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101"/>
      <c r="B72" s="37"/>
      <c r="C72" s="37"/>
      <c r="D72" s="37"/>
      <c r="E72" s="37"/>
      <c r="F72" s="37"/>
      <c r="G72" s="37"/>
      <c r="H72" s="37"/>
      <c r="I72" s="37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37"/>
      <c r="AB72" s="63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101"/>
      <c r="B73" s="37"/>
      <c r="C73" s="37"/>
      <c r="D73" s="37"/>
      <c r="E73" s="37"/>
      <c r="F73" s="37"/>
      <c r="G73" s="37"/>
      <c r="H73" s="37"/>
      <c r="I73" s="37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37"/>
      <c r="AB73" s="63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101"/>
      <c r="B74" s="37"/>
      <c r="C74" s="37"/>
      <c r="D74" s="37"/>
      <c r="E74" s="37"/>
      <c r="F74" s="37"/>
      <c r="G74" s="37"/>
      <c r="H74" s="37"/>
      <c r="I74" s="37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37"/>
      <c r="AB74" s="63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101"/>
      <c r="B75" s="37"/>
      <c r="C75" s="37"/>
      <c r="D75" s="37"/>
      <c r="E75" s="37"/>
      <c r="F75" s="37"/>
      <c r="G75" s="37"/>
      <c r="H75" s="37"/>
      <c r="I75" s="37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37"/>
      <c r="AB75" s="63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101"/>
      <c r="B76" s="37"/>
      <c r="C76" s="37"/>
      <c r="D76" s="37"/>
      <c r="E76" s="37"/>
      <c r="F76" s="37"/>
      <c r="G76" s="37"/>
      <c r="H76" s="37"/>
      <c r="I76" s="37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37"/>
      <c r="AB76" s="63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101"/>
      <c r="B77" s="37"/>
      <c r="C77" s="37"/>
      <c r="D77" s="37"/>
      <c r="E77" s="37"/>
      <c r="F77" s="37"/>
      <c r="G77" s="37"/>
      <c r="H77" s="37"/>
      <c r="I77" s="37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37"/>
      <c r="AB77" s="63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101"/>
      <c r="B78" s="37"/>
      <c r="C78" s="37"/>
      <c r="D78" s="37"/>
      <c r="E78" s="37"/>
      <c r="F78" s="37"/>
      <c r="G78" s="37"/>
      <c r="H78" s="37"/>
      <c r="I78" s="37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  <c r="AA78" s="37"/>
      <c r="AB78" s="63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101"/>
      <c r="B79" s="37"/>
      <c r="C79" s="37"/>
      <c r="D79" s="37"/>
      <c r="E79" s="37"/>
      <c r="F79" s="37"/>
      <c r="G79" s="37"/>
      <c r="H79" s="37"/>
      <c r="I79" s="37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37"/>
      <c r="AB79" s="63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101"/>
      <c r="B80" s="37"/>
      <c r="C80" s="37"/>
      <c r="D80" s="37"/>
      <c r="E80" s="37"/>
      <c r="F80" s="37"/>
      <c r="G80" s="37"/>
      <c r="H80" s="37"/>
      <c r="I80" s="37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  <c r="AA80" s="37"/>
      <c r="AB80" s="63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101"/>
      <c r="B81" s="37"/>
      <c r="C81" s="37"/>
      <c r="D81" s="37"/>
      <c r="E81" s="37"/>
      <c r="F81" s="37"/>
      <c r="G81" s="37"/>
      <c r="H81" s="37"/>
      <c r="I81" s="37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37"/>
      <c r="AB81" s="63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101"/>
      <c r="B82" s="37"/>
      <c r="C82" s="37"/>
      <c r="D82" s="37"/>
      <c r="E82" s="37"/>
      <c r="F82" s="37"/>
      <c r="G82" s="37"/>
      <c r="H82" s="37"/>
      <c r="I82" s="37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  <c r="AA82" s="37"/>
      <c r="AB82" s="63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101"/>
      <c r="B83" s="37"/>
      <c r="C83" s="37"/>
      <c r="D83" s="37"/>
      <c r="E83" s="37"/>
      <c r="F83" s="37"/>
      <c r="G83" s="37"/>
      <c r="H83" s="37"/>
      <c r="I83" s="37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37"/>
      <c r="AB83" s="63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101"/>
      <c r="B84" s="37"/>
      <c r="C84" s="37"/>
      <c r="D84" s="37"/>
      <c r="E84" s="37"/>
      <c r="F84" s="37"/>
      <c r="G84" s="37"/>
      <c r="H84" s="37"/>
      <c r="I84" s="37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37"/>
      <c r="AB84" s="63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101"/>
      <c r="B85" s="37"/>
      <c r="C85" s="37"/>
      <c r="D85" s="37"/>
      <c r="E85" s="37"/>
      <c r="F85" s="37"/>
      <c r="G85" s="37"/>
      <c r="H85" s="37"/>
      <c r="I85" s="37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37"/>
      <c r="AB85" s="63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101"/>
      <c r="B86" s="37"/>
      <c r="C86" s="37"/>
      <c r="D86" s="37"/>
      <c r="E86" s="37"/>
      <c r="F86" s="37"/>
      <c r="G86" s="37"/>
      <c r="H86" s="37"/>
      <c r="I86" s="37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37"/>
      <c r="AB86" s="63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1"/>
      <c r="B87" s="37"/>
      <c r="C87" s="37"/>
      <c r="D87" s="37"/>
      <c r="E87" s="37"/>
      <c r="F87" s="37"/>
      <c r="G87" s="37"/>
      <c r="H87" s="37"/>
      <c r="I87" s="37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37"/>
      <c r="AB87" s="63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101"/>
      <c r="B88" s="37"/>
      <c r="C88" s="37"/>
      <c r="D88" s="37"/>
      <c r="E88" s="37"/>
      <c r="F88" s="37"/>
      <c r="G88" s="37"/>
      <c r="H88" s="37"/>
      <c r="I88" s="37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37"/>
      <c r="AB88" s="63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101"/>
      <c r="B89" s="37"/>
      <c r="C89" s="37"/>
      <c r="D89" s="37"/>
      <c r="E89" s="37"/>
      <c r="F89" s="37"/>
      <c r="G89" s="37"/>
      <c r="H89" s="37"/>
      <c r="I89" s="37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37"/>
      <c r="AB89" s="63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101"/>
      <c r="B90" s="37"/>
      <c r="C90" s="37"/>
      <c r="D90" s="37"/>
      <c r="E90" s="37"/>
      <c r="F90" s="37"/>
      <c r="G90" s="37"/>
      <c r="H90" s="37"/>
      <c r="I90" s="37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  <c r="AA90" s="37"/>
      <c r="AB90" s="63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01"/>
      <c r="B91" s="37"/>
      <c r="C91" s="37"/>
      <c r="D91" s="37"/>
      <c r="E91" s="37"/>
      <c r="F91" s="37"/>
      <c r="G91" s="37"/>
      <c r="H91" s="37"/>
      <c r="I91" s="37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37"/>
      <c r="AB91" s="63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101"/>
      <c r="B92" s="37"/>
      <c r="C92" s="37"/>
      <c r="D92" s="37"/>
      <c r="E92" s="37"/>
      <c r="F92" s="37"/>
      <c r="G92" s="37"/>
      <c r="H92" s="37"/>
      <c r="I92" s="37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  <c r="AA92" s="37"/>
      <c r="AB92" s="63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101"/>
      <c r="B93" s="37"/>
      <c r="C93" s="37"/>
      <c r="D93" s="37"/>
      <c r="E93" s="37"/>
      <c r="F93" s="37"/>
      <c r="G93" s="37"/>
      <c r="H93" s="37"/>
      <c r="I93" s="37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37"/>
      <c r="AB93" s="63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101"/>
      <c r="B94" s="37"/>
      <c r="C94" s="37"/>
      <c r="D94" s="37"/>
      <c r="E94" s="37"/>
      <c r="F94" s="37"/>
      <c r="G94" s="37"/>
      <c r="H94" s="37"/>
      <c r="I94" s="37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  <c r="AA94" s="37"/>
      <c r="AB94" s="63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101"/>
      <c r="B95" s="37"/>
      <c r="C95" s="37"/>
      <c r="D95" s="37"/>
      <c r="E95" s="37"/>
      <c r="F95" s="37"/>
      <c r="G95" s="37"/>
      <c r="H95" s="37"/>
      <c r="I95" s="37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37"/>
      <c r="AB95" s="63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101"/>
      <c r="B96" s="37"/>
      <c r="C96" s="37"/>
      <c r="D96" s="37"/>
      <c r="E96" s="37"/>
      <c r="F96" s="37"/>
      <c r="G96" s="37"/>
      <c r="H96" s="37"/>
      <c r="I96" s="37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  <c r="AA96" s="37"/>
      <c r="AB96" s="63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101"/>
      <c r="B97" s="37"/>
      <c r="C97" s="37"/>
      <c r="D97" s="37"/>
      <c r="E97" s="37"/>
      <c r="F97" s="37"/>
      <c r="G97" s="37"/>
      <c r="H97" s="37"/>
      <c r="I97" s="37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37"/>
      <c r="AB97" s="63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101"/>
      <c r="B98" s="37"/>
      <c r="C98" s="37"/>
      <c r="D98" s="37"/>
      <c r="E98" s="37"/>
      <c r="F98" s="37"/>
      <c r="G98" s="37"/>
      <c r="H98" s="37"/>
      <c r="I98" s="37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  <c r="AA98" s="37"/>
      <c r="AB98" s="63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101"/>
      <c r="B99" s="37"/>
      <c r="C99" s="37"/>
      <c r="D99" s="37"/>
      <c r="E99" s="37"/>
      <c r="F99" s="37"/>
      <c r="G99" s="37"/>
      <c r="H99" s="37"/>
      <c r="I99" s="37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37"/>
      <c r="AB99" s="63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101"/>
      <c r="B100" s="37"/>
      <c r="C100" s="37"/>
      <c r="D100" s="37"/>
      <c r="E100" s="37"/>
      <c r="F100" s="37"/>
      <c r="G100" s="37"/>
      <c r="H100" s="37"/>
      <c r="I100" s="37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37"/>
      <c r="AB100" s="63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101"/>
      <c r="B101" s="37"/>
      <c r="C101" s="37"/>
      <c r="D101" s="37"/>
      <c r="E101" s="37"/>
      <c r="F101" s="37"/>
      <c r="G101" s="37"/>
      <c r="H101" s="37"/>
      <c r="I101" s="37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37"/>
      <c r="AB101" s="63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101"/>
      <c r="B102" s="37"/>
      <c r="C102" s="37"/>
      <c r="D102" s="37"/>
      <c r="E102" s="37"/>
      <c r="F102" s="37"/>
      <c r="G102" s="37"/>
      <c r="H102" s="37"/>
      <c r="I102" s="37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37"/>
      <c r="AB102" s="63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101"/>
      <c r="B103" s="37"/>
      <c r="C103" s="37"/>
      <c r="D103" s="37"/>
      <c r="E103" s="37"/>
      <c r="F103" s="37"/>
      <c r="G103" s="37"/>
      <c r="H103" s="37"/>
      <c r="I103" s="37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37"/>
      <c r="AB103" s="63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101"/>
      <c r="B104" s="37"/>
      <c r="C104" s="37"/>
      <c r="D104" s="37"/>
      <c r="E104" s="37"/>
      <c r="F104" s="37"/>
      <c r="G104" s="37"/>
      <c r="H104" s="37"/>
      <c r="I104" s="37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37"/>
      <c r="AB104" s="63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101"/>
      <c r="B105" s="37"/>
      <c r="C105" s="37"/>
      <c r="D105" s="37"/>
      <c r="E105" s="37"/>
      <c r="F105" s="37"/>
      <c r="G105" s="37"/>
      <c r="H105" s="37"/>
      <c r="I105" s="37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37"/>
      <c r="AB105" s="63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101"/>
      <c r="B106" s="37"/>
      <c r="C106" s="37"/>
      <c r="D106" s="37"/>
      <c r="E106" s="37"/>
      <c r="F106" s="37"/>
      <c r="G106" s="37"/>
      <c r="H106" s="37"/>
      <c r="I106" s="37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37"/>
      <c r="AB106" s="63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101"/>
      <c r="B107" s="37"/>
      <c r="C107" s="37"/>
      <c r="D107" s="37"/>
      <c r="E107" s="37"/>
      <c r="F107" s="37"/>
      <c r="G107" s="37"/>
      <c r="H107" s="37"/>
      <c r="I107" s="37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37"/>
      <c r="AB107" s="63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101"/>
      <c r="B108" s="37"/>
      <c r="C108" s="37"/>
      <c r="D108" s="37"/>
      <c r="E108" s="37"/>
      <c r="F108" s="37"/>
      <c r="G108" s="37"/>
      <c r="H108" s="37"/>
      <c r="I108" s="37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37"/>
      <c r="AB108" s="63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101"/>
      <c r="B109" s="37"/>
      <c r="C109" s="37"/>
      <c r="D109" s="37"/>
      <c r="E109" s="37"/>
      <c r="F109" s="37"/>
      <c r="G109" s="37"/>
      <c r="H109" s="37"/>
      <c r="I109" s="37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37"/>
      <c r="AB109" s="63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101"/>
      <c r="B110" s="37"/>
      <c r="C110" s="37"/>
      <c r="D110" s="37"/>
      <c r="E110" s="37"/>
      <c r="F110" s="37"/>
      <c r="G110" s="37"/>
      <c r="H110" s="37"/>
      <c r="I110" s="37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37"/>
      <c r="AB110" s="63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101"/>
      <c r="B111" s="37"/>
      <c r="C111" s="37"/>
      <c r="D111" s="37"/>
      <c r="E111" s="37"/>
      <c r="F111" s="37"/>
      <c r="G111" s="37"/>
      <c r="H111" s="37"/>
      <c r="I111" s="37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37"/>
      <c r="AB111" s="63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101"/>
      <c r="B112" s="37"/>
      <c r="C112" s="37"/>
      <c r="D112" s="37"/>
      <c r="E112" s="37"/>
      <c r="F112" s="37"/>
      <c r="G112" s="37"/>
      <c r="H112" s="37"/>
      <c r="I112" s="37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37"/>
      <c r="AB112" s="63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101"/>
      <c r="B113" s="37"/>
      <c r="C113" s="37"/>
      <c r="D113" s="37"/>
      <c r="E113" s="37"/>
      <c r="F113" s="37"/>
      <c r="G113" s="37"/>
      <c r="H113" s="37"/>
      <c r="I113" s="37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37"/>
      <c r="AB113" s="63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101"/>
      <c r="B114" s="37"/>
      <c r="C114" s="37"/>
      <c r="D114" s="37"/>
      <c r="E114" s="37"/>
      <c r="F114" s="37"/>
      <c r="G114" s="37"/>
      <c r="H114" s="37"/>
      <c r="I114" s="37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37"/>
      <c r="AB114" s="63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101"/>
      <c r="B115" s="37"/>
      <c r="C115" s="37"/>
      <c r="D115" s="37"/>
      <c r="E115" s="37"/>
      <c r="F115" s="37"/>
      <c r="G115" s="37"/>
      <c r="H115" s="37"/>
      <c r="I115" s="37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37"/>
      <c r="AB115" s="63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101"/>
      <c r="B116" s="37"/>
      <c r="C116" s="37"/>
      <c r="D116" s="37"/>
      <c r="E116" s="37"/>
      <c r="F116" s="37"/>
      <c r="G116" s="37"/>
      <c r="H116" s="37"/>
      <c r="I116" s="37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37"/>
      <c r="AB116" s="63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101"/>
      <c r="B117" s="37"/>
      <c r="C117" s="37"/>
      <c r="D117" s="37"/>
      <c r="E117" s="37"/>
      <c r="F117" s="37"/>
      <c r="G117" s="37"/>
      <c r="H117" s="37"/>
      <c r="I117" s="37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37"/>
      <c r="AB117" s="63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101"/>
      <c r="B118" s="37"/>
      <c r="C118" s="37"/>
      <c r="D118" s="37"/>
      <c r="E118" s="37"/>
      <c r="F118" s="37"/>
      <c r="G118" s="37"/>
      <c r="H118" s="37"/>
      <c r="I118" s="37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37"/>
      <c r="AB118" s="63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101"/>
      <c r="B119" s="37"/>
      <c r="C119" s="37"/>
      <c r="D119" s="37"/>
      <c r="E119" s="37"/>
      <c r="F119" s="37"/>
      <c r="G119" s="37"/>
      <c r="H119" s="37"/>
      <c r="I119" s="37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37"/>
      <c r="AB119" s="63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101"/>
      <c r="B120" s="37"/>
      <c r="C120" s="37"/>
      <c r="D120" s="37"/>
      <c r="E120" s="37"/>
      <c r="F120" s="37"/>
      <c r="G120" s="37"/>
      <c r="H120" s="37"/>
      <c r="I120" s="37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37"/>
      <c r="AB120" s="63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101"/>
      <c r="B121" s="37"/>
      <c r="C121" s="37"/>
      <c r="D121" s="37"/>
      <c r="E121" s="37"/>
      <c r="F121" s="37"/>
      <c r="G121" s="37"/>
      <c r="H121" s="37"/>
      <c r="I121" s="37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37"/>
      <c r="AB121" s="63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101"/>
      <c r="B122" s="37"/>
      <c r="C122" s="37"/>
      <c r="D122" s="37"/>
      <c r="E122" s="37"/>
      <c r="F122" s="37"/>
      <c r="G122" s="37"/>
      <c r="H122" s="37"/>
      <c r="I122" s="37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37"/>
      <c r="AB122" s="63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101"/>
      <c r="B123" s="37"/>
      <c r="C123" s="37"/>
      <c r="D123" s="37"/>
      <c r="E123" s="37"/>
      <c r="F123" s="37"/>
      <c r="G123" s="37"/>
      <c r="H123" s="37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37"/>
      <c r="AB123" s="63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101"/>
      <c r="B124" s="37"/>
      <c r="C124" s="37"/>
      <c r="D124" s="37"/>
      <c r="E124" s="37"/>
      <c r="F124" s="37"/>
      <c r="G124" s="37"/>
      <c r="H124" s="37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37"/>
      <c r="AB124" s="63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101"/>
      <c r="B125" s="37"/>
      <c r="C125" s="37"/>
      <c r="D125" s="37"/>
      <c r="E125" s="37"/>
      <c r="F125" s="37"/>
      <c r="G125" s="37"/>
      <c r="H125" s="37"/>
      <c r="I125" s="37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37"/>
      <c r="AB125" s="63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1"/>
      <c r="B126" s="37"/>
      <c r="C126" s="37"/>
      <c r="D126" s="37"/>
      <c r="E126" s="37"/>
      <c r="F126" s="37"/>
      <c r="G126" s="37"/>
      <c r="H126" s="37"/>
      <c r="I126" s="37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  <c r="AA126" s="37"/>
      <c r="AB126" s="63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101"/>
      <c r="B127" s="37"/>
      <c r="C127" s="37"/>
      <c r="D127" s="37"/>
      <c r="E127" s="37"/>
      <c r="F127" s="37"/>
      <c r="G127" s="37"/>
      <c r="H127" s="37"/>
      <c r="I127" s="37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  <c r="AA127" s="37"/>
      <c r="AB127" s="63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101"/>
      <c r="B128" s="37"/>
      <c r="C128" s="37"/>
      <c r="D128" s="37"/>
      <c r="E128" s="37"/>
      <c r="F128" s="37"/>
      <c r="G128" s="37"/>
      <c r="H128" s="37"/>
      <c r="I128" s="37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  <c r="AA128" s="37"/>
      <c r="AB128" s="63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101"/>
      <c r="B129" s="37"/>
      <c r="C129" s="37"/>
      <c r="D129" s="37"/>
      <c r="E129" s="37"/>
      <c r="F129" s="37"/>
      <c r="G129" s="37"/>
      <c r="H129" s="37"/>
      <c r="I129" s="37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  <c r="AA129" s="37"/>
      <c r="AB129" s="63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101"/>
      <c r="B130" s="37"/>
      <c r="C130" s="37"/>
      <c r="D130" s="37"/>
      <c r="E130" s="37"/>
      <c r="F130" s="37"/>
      <c r="G130" s="37"/>
      <c r="H130" s="37"/>
      <c r="I130" s="37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  <c r="AA130" s="37"/>
      <c r="AB130" s="63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1"/>
      <c r="B131" s="37"/>
      <c r="C131" s="37"/>
      <c r="D131" s="37"/>
      <c r="E131" s="37"/>
      <c r="F131" s="37"/>
      <c r="G131" s="37"/>
      <c r="H131" s="37"/>
      <c r="I131" s="37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  <c r="AA131" s="37"/>
      <c r="AB131" s="63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101"/>
      <c r="B132" s="37"/>
      <c r="C132" s="37"/>
      <c r="D132" s="37"/>
      <c r="E132" s="37"/>
      <c r="F132" s="37"/>
      <c r="G132" s="37"/>
      <c r="H132" s="37"/>
      <c r="I132" s="37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  <c r="AA132" s="37"/>
      <c r="AB132" s="63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101"/>
      <c r="B133" s="37"/>
      <c r="C133" s="37"/>
      <c r="D133" s="37"/>
      <c r="E133" s="37"/>
      <c r="F133" s="37"/>
      <c r="G133" s="37"/>
      <c r="H133" s="37"/>
      <c r="I133" s="37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  <c r="AA133" s="37"/>
      <c r="AB133" s="63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101"/>
      <c r="B134" s="37"/>
      <c r="C134" s="37"/>
      <c r="D134" s="37"/>
      <c r="E134" s="37"/>
      <c r="F134" s="37"/>
      <c r="G134" s="37"/>
      <c r="H134" s="37"/>
      <c r="I134" s="37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  <c r="AA134" s="37"/>
      <c r="AB134" s="63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101"/>
      <c r="B135" s="37"/>
      <c r="C135" s="37"/>
      <c r="D135" s="37"/>
      <c r="E135" s="37"/>
      <c r="F135" s="37"/>
      <c r="G135" s="37"/>
      <c r="H135" s="37"/>
      <c r="I135" s="37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  <c r="AA135" s="37"/>
      <c r="AB135" s="63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1"/>
      <c r="B136" s="37"/>
      <c r="C136" s="37"/>
      <c r="D136" s="37"/>
      <c r="E136" s="37"/>
      <c r="F136" s="37"/>
      <c r="G136" s="37"/>
      <c r="H136" s="37"/>
      <c r="I136" s="37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37"/>
      <c r="AB136" s="63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101"/>
      <c r="B137" s="37"/>
      <c r="C137" s="37"/>
      <c r="D137" s="37"/>
      <c r="E137" s="37"/>
      <c r="F137" s="37"/>
      <c r="G137" s="37"/>
      <c r="H137" s="37"/>
      <c r="I137" s="37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37"/>
      <c r="AB137" s="63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101"/>
      <c r="B138" s="37"/>
      <c r="C138" s="37"/>
      <c r="D138" s="37"/>
      <c r="E138" s="37"/>
      <c r="F138" s="37"/>
      <c r="G138" s="37"/>
      <c r="H138" s="37"/>
      <c r="I138" s="37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  <c r="AA138" s="37"/>
      <c r="AB138" s="63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101"/>
      <c r="B139" s="37"/>
      <c r="C139" s="37"/>
      <c r="D139" s="37"/>
      <c r="E139" s="37"/>
      <c r="F139" s="37"/>
      <c r="G139" s="37"/>
      <c r="H139" s="37"/>
      <c r="I139" s="37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  <c r="AA139" s="37"/>
      <c r="AB139" s="63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101"/>
      <c r="B140" s="37"/>
      <c r="C140" s="37"/>
      <c r="D140" s="37"/>
      <c r="E140" s="37"/>
      <c r="F140" s="37"/>
      <c r="G140" s="37"/>
      <c r="H140" s="37"/>
      <c r="I140" s="37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  <c r="AA140" s="37"/>
      <c r="AB140" s="63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1"/>
      <c r="B141" s="37"/>
      <c r="C141" s="37"/>
      <c r="D141" s="37"/>
      <c r="E141" s="37"/>
      <c r="F141" s="37"/>
      <c r="G141" s="37"/>
      <c r="H141" s="37"/>
      <c r="I141" s="37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  <c r="AA141" s="37"/>
      <c r="AB141" s="63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101"/>
      <c r="B142" s="37"/>
      <c r="C142" s="37"/>
      <c r="D142" s="37"/>
      <c r="E142" s="37"/>
      <c r="F142" s="37"/>
      <c r="G142" s="37"/>
      <c r="H142" s="37"/>
      <c r="I142" s="37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  <c r="AA142" s="37"/>
      <c r="AB142" s="63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101"/>
      <c r="B143" s="37"/>
      <c r="C143" s="37"/>
      <c r="D143" s="37"/>
      <c r="E143" s="37"/>
      <c r="F143" s="37"/>
      <c r="G143" s="37"/>
      <c r="H143" s="37"/>
      <c r="I143" s="37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  <c r="AA143" s="37"/>
      <c r="AB143" s="63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101"/>
      <c r="B144" s="37"/>
      <c r="C144" s="37"/>
      <c r="D144" s="37"/>
      <c r="E144" s="37"/>
      <c r="F144" s="37"/>
      <c r="G144" s="37"/>
      <c r="H144" s="37"/>
      <c r="I144" s="37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  <c r="AA144" s="37"/>
      <c r="AB144" s="63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101"/>
      <c r="B145" s="37"/>
      <c r="C145" s="37"/>
      <c r="D145" s="37"/>
      <c r="E145" s="37"/>
      <c r="F145" s="37"/>
      <c r="G145" s="37"/>
      <c r="H145" s="37"/>
      <c r="I145" s="37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  <c r="AA145" s="37"/>
      <c r="AB145" s="63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1"/>
      <c r="B146" s="37"/>
      <c r="C146" s="37"/>
      <c r="D146" s="37"/>
      <c r="E146" s="37"/>
      <c r="F146" s="37"/>
      <c r="G146" s="37"/>
      <c r="H146" s="37"/>
      <c r="I146" s="37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  <c r="AA146" s="37"/>
      <c r="AB146" s="63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101"/>
      <c r="B147" s="37"/>
      <c r="C147" s="37"/>
      <c r="D147" s="37"/>
      <c r="E147" s="37"/>
      <c r="F147" s="37"/>
      <c r="G147" s="37"/>
      <c r="H147" s="37"/>
      <c r="I147" s="37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  <c r="AA147" s="37"/>
      <c r="AB147" s="63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101"/>
      <c r="B148" s="37"/>
      <c r="C148" s="37"/>
      <c r="D148" s="37"/>
      <c r="E148" s="37"/>
      <c r="F148" s="37"/>
      <c r="G148" s="37"/>
      <c r="H148" s="37"/>
      <c r="I148" s="37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  <c r="AA148" s="37"/>
      <c r="AB148" s="63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101"/>
      <c r="B149" s="37"/>
      <c r="C149" s="37"/>
      <c r="D149" s="37"/>
      <c r="E149" s="37"/>
      <c r="F149" s="37"/>
      <c r="G149" s="37"/>
      <c r="H149" s="37"/>
      <c r="I149" s="37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  <c r="AA149" s="37"/>
      <c r="AB149" s="63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101"/>
      <c r="B150" s="37"/>
      <c r="C150" s="37"/>
      <c r="D150" s="37"/>
      <c r="E150" s="37"/>
      <c r="F150" s="37"/>
      <c r="G150" s="37"/>
      <c r="H150" s="37"/>
      <c r="I150" s="37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37"/>
      <c r="AB150" s="63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1"/>
      <c r="B151" s="37"/>
      <c r="C151" s="37"/>
      <c r="D151" s="37"/>
      <c r="E151" s="37"/>
      <c r="F151" s="37"/>
      <c r="G151" s="37"/>
      <c r="H151" s="37"/>
      <c r="I151" s="37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37"/>
      <c r="AB151" s="63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101"/>
      <c r="B152" s="37"/>
      <c r="C152" s="37"/>
      <c r="D152" s="37"/>
      <c r="E152" s="37"/>
      <c r="F152" s="37"/>
      <c r="G152" s="37"/>
      <c r="H152" s="37"/>
      <c r="I152" s="37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37"/>
      <c r="AB152" s="63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101"/>
      <c r="B153" s="37"/>
      <c r="C153" s="37"/>
      <c r="D153" s="37"/>
      <c r="E153" s="37"/>
      <c r="F153" s="37"/>
      <c r="G153" s="37"/>
      <c r="H153" s="37"/>
      <c r="I153" s="37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37"/>
      <c r="AB153" s="63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101"/>
      <c r="B154" s="37"/>
      <c r="C154" s="37"/>
      <c r="D154" s="37"/>
      <c r="E154" s="37"/>
      <c r="F154" s="37"/>
      <c r="G154" s="37"/>
      <c r="H154" s="37"/>
      <c r="I154" s="37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37"/>
      <c r="AB154" s="63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101"/>
      <c r="B155" s="37"/>
      <c r="C155" s="37"/>
      <c r="D155" s="37"/>
      <c r="E155" s="37"/>
      <c r="F155" s="37"/>
      <c r="G155" s="37"/>
      <c r="H155" s="37"/>
      <c r="I155" s="37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37"/>
      <c r="AB155" s="63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1"/>
      <c r="B156" s="37"/>
      <c r="C156" s="37"/>
      <c r="D156" s="37"/>
      <c r="E156" s="37"/>
      <c r="F156" s="37"/>
      <c r="G156" s="37"/>
      <c r="H156" s="37"/>
      <c r="I156" s="37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37"/>
      <c r="AB156" s="63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1"/>
      <c r="B157" s="37"/>
      <c r="C157" s="37"/>
      <c r="D157" s="37"/>
      <c r="E157" s="37"/>
      <c r="F157" s="37"/>
      <c r="G157" s="37"/>
      <c r="H157" s="37"/>
      <c r="I157" s="37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37"/>
      <c r="AB157" s="63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1"/>
      <c r="B158" s="37"/>
      <c r="C158" s="37"/>
      <c r="D158" s="37"/>
      <c r="E158" s="37"/>
      <c r="F158" s="37"/>
      <c r="G158" s="37"/>
      <c r="H158" s="37"/>
      <c r="I158" s="37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37"/>
      <c r="AB158" s="63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1"/>
      <c r="B159" s="37"/>
      <c r="C159" s="37"/>
      <c r="D159" s="37"/>
      <c r="E159" s="37"/>
      <c r="F159" s="37"/>
      <c r="G159" s="37"/>
      <c r="H159" s="37"/>
      <c r="I159" s="37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37"/>
      <c r="AB159" s="63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101"/>
      <c r="B160" s="37"/>
      <c r="C160" s="37"/>
      <c r="D160" s="37"/>
      <c r="E160" s="37"/>
      <c r="F160" s="37"/>
      <c r="G160" s="37"/>
      <c r="H160" s="37"/>
      <c r="I160" s="37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37"/>
      <c r="AB160" s="63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101"/>
      <c r="B161" s="37"/>
      <c r="C161" s="37"/>
      <c r="D161" s="37"/>
      <c r="E161" s="37"/>
      <c r="F161" s="37"/>
      <c r="G161" s="37"/>
      <c r="H161" s="37"/>
      <c r="I161" s="37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37"/>
      <c r="AB161" s="63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1"/>
      <c r="B162" s="37"/>
      <c r="C162" s="37"/>
      <c r="D162" s="37"/>
      <c r="E162" s="37"/>
      <c r="F162" s="37"/>
      <c r="G162" s="37"/>
      <c r="H162" s="37"/>
      <c r="I162" s="37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37"/>
      <c r="AB162" s="63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1"/>
      <c r="B163" s="37"/>
      <c r="C163" s="37"/>
      <c r="D163" s="37"/>
      <c r="E163" s="37"/>
      <c r="F163" s="37"/>
      <c r="G163" s="37"/>
      <c r="H163" s="37"/>
      <c r="I163" s="37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37"/>
      <c r="AB163" s="63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1"/>
      <c r="B164" s="37"/>
      <c r="C164" s="37"/>
      <c r="D164" s="37"/>
      <c r="E164" s="37"/>
      <c r="F164" s="37"/>
      <c r="G164" s="37"/>
      <c r="H164" s="37"/>
      <c r="I164" s="37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37"/>
      <c r="AB164" s="63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1"/>
      <c r="B165" s="37"/>
      <c r="C165" s="37"/>
      <c r="D165" s="37"/>
      <c r="E165" s="37"/>
      <c r="F165" s="37"/>
      <c r="G165" s="37"/>
      <c r="H165" s="37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37"/>
      <c r="AB165" s="63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1"/>
      <c r="B166" s="37"/>
      <c r="C166" s="37"/>
      <c r="D166" s="37"/>
      <c r="E166" s="37"/>
      <c r="F166" s="37"/>
      <c r="G166" s="37"/>
      <c r="H166" s="37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37"/>
      <c r="AB166" s="63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1"/>
      <c r="B167" s="37"/>
      <c r="C167" s="37"/>
      <c r="D167" s="37"/>
      <c r="E167" s="37"/>
      <c r="F167" s="37"/>
      <c r="G167" s="37"/>
      <c r="H167" s="37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37"/>
      <c r="AB167" s="63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1"/>
      <c r="B168" s="37"/>
      <c r="C168" s="37"/>
      <c r="D168" s="37"/>
      <c r="E168" s="37"/>
      <c r="F168" s="37"/>
      <c r="G168" s="37"/>
      <c r="H168" s="37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37"/>
      <c r="AB168" s="63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101"/>
      <c r="B169" s="37"/>
      <c r="C169" s="37"/>
      <c r="D169" s="37"/>
      <c r="E169" s="37"/>
      <c r="F169" s="37"/>
      <c r="G169" s="37"/>
      <c r="H169" s="37"/>
      <c r="I169" s="37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37"/>
      <c r="AB169" s="63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101"/>
      <c r="B170" s="37"/>
      <c r="C170" s="37"/>
      <c r="D170" s="37"/>
      <c r="E170" s="37"/>
      <c r="F170" s="37"/>
      <c r="G170" s="37"/>
      <c r="H170" s="37"/>
      <c r="I170" s="37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37"/>
      <c r="AB170" s="63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101"/>
      <c r="B171" s="37"/>
      <c r="C171" s="37"/>
      <c r="D171" s="37"/>
      <c r="E171" s="37"/>
      <c r="F171" s="37"/>
      <c r="G171" s="37"/>
      <c r="H171" s="37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37"/>
      <c r="AB171" s="63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101"/>
      <c r="B172" s="37"/>
      <c r="C172" s="37"/>
      <c r="D172" s="37"/>
      <c r="E172" s="37"/>
      <c r="F172" s="37"/>
      <c r="G172" s="37"/>
      <c r="H172" s="37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37"/>
      <c r="AB172" s="63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101"/>
      <c r="B173" s="37"/>
      <c r="C173" s="37"/>
      <c r="D173" s="37"/>
      <c r="E173" s="37"/>
      <c r="F173" s="37"/>
      <c r="G173" s="37"/>
      <c r="H173" s="37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37"/>
      <c r="AB173" s="63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101"/>
      <c r="B174" s="37"/>
      <c r="C174" s="37"/>
      <c r="D174" s="37"/>
      <c r="E174" s="37"/>
      <c r="F174" s="37"/>
      <c r="G174" s="37"/>
      <c r="H174" s="37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37"/>
      <c r="AB174" s="63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101"/>
      <c r="B175" s="37"/>
      <c r="C175" s="37"/>
      <c r="D175" s="37"/>
      <c r="E175" s="37"/>
      <c r="F175" s="37"/>
      <c r="G175" s="37"/>
      <c r="H175" s="37"/>
      <c r="I175" s="37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37"/>
      <c r="AB175" s="63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101"/>
      <c r="B176" s="37"/>
      <c r="C176" s="37"/>
      <c r="D176" s="37"/>
      <c r="E176" s="37"/>
      <c r="F176" s="37"/>
      <c r="G176" s="37"/>
      <c r="H176" s="37"/>
      <c r="I176" s="37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37"/>
      <c r="AB176" s="63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101"/>
      <c r="B177" s="37"/>
      <c r="C177" s="37"/>
      <c r="D177" s="37"/>
      <c r="E177" s="37"/>
      <c r="F177" s="37"/>
      <c r="G177" s="37"/>
      <c r="H177" s="37"/>
      <c r="I177" s="37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37"/>
      <c r="AB177" s="63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101"/>
      <c r="B178" s="37"/>
      <c r="C178" s="37"/>
      <c r="D178" s="37"/>
      <c r="E178" s="37"/>
      <c r="F178" s="37"/>
      <c r="G178" s="37"/>
      <c r="H178" s="37"/>
      <c r="I178" s="37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37"/>
      <c r="AB178" s="63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1"/>
      <c r="B179" s="37"/>
      <c r="C179" s="37"/>
      <c r="D179" s="37"/>
      <c r="E179" s="37"/>
      <c r="F179" s="37"/>
      <c r="G179" s="37"/>
      <c r="H179" s="37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37"/>
      <c r="AB179" s="63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1"/>
      <c r="B180" s="37"/>
      <c r="C180" s="37"/>
      <c r="D180" s="37"/>
      <c r="E180" s="37"/>
      <c r="F180" s="37"/>
      <c r="G180" s="37"/>
      <c r="H180" s="37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37"/>
      <c r="AB180" s="63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1"/>
      <c r="B181" s="37"/>
      <c r="C181" s="37"/>
      <c r="D181" s="37"/>
      <c r="E181" s="37"/>
      <c r="F181" s="37"/>
      <c r="G181" s="37"/>
      <c r="H181" s="37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37"/>
      <c r="AB181" s="63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1"/>
      <c r="B182" s="37"/>
      <c r="C182" s="37"/>
      <c r="D182" s="37"/>
      <c r="E182" s="37"/>
      <c r="F182" s="37"/>
      <c r="G182" s="37"/>
      <c r="H182" s="37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37"/>
      <c r="AB182" s="63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1"/>
      <c r="B183" s="37"/>
      <c r="C183" s="37"/>
      <c r="D183" s="37"/>
      <c r="E183" s="37"/>
      <c r="F183" s="37"/>
      <c r="G183" s="37"/>
      <c r="H183" s="37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37"/>
      <c r="AB183" s="63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1"/>
      <c r="B184" s="37"/>
      <c r="C184" s="37"/>
      <c r="D184" s="37"/>
      <c r="E184" s="37"/>
      <c r="F184" s="37"/>
      <c r="G184" s="37"/>
      <c r="H184" s="37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37"/>
      <c r="AB184" s="63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1"/>
      <c r="B185" s="37"/>
      <c r="C185" s="37"/>
      <c r="D185" s="37"/>
      <c r="E185" s="37"/>
      <c r="F185" s="37"/>
      <c r="G185" s="37"/>
      <c r="H185" s="37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37"/>
      <c r="AB185" s="63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1"/>
      <c r="B186" s="37"/>
      <c r="C186" s="37"/>
      <c r="D186" s="37"/>
      <c r="E186" s="37"/>
      <c r="F186" s="37"/>
      <c r="G186" s="37"/>
      <c r="H186" s="37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37"/>
      <c r="AB186" s="63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1"/>
      <c r="B187" s="37"/>
      <c r="C187" s="37"/>
      <c r="D187" s="37"/>
      <c r="E187" s="37"/>
      <c r="F187" s="37"/>
      <c r="G187" s="37"/>
      <c r="H187" s="37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37"/>
      <c r="AB187" s="63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1"/>
      <c r="B188" s="37"/>
      <c r="C188" s="37"/>
      <c r="D188" s="37"/>
      <c r="E188" s="37"/>
      <c r="F188" s="37"/>
      <c r="G188" s="37"/>
      <c r="H188" s="37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37"/>
      <c r="AB188" s="63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1"/>
      <c r="B189" s="37"/>
      <c r="C189" s="37"/>
      <c r="D189" s="37"/>
      <c r="E189" s="37"/>
      <c r="F189" s="37"/>
      <c r="G189" s="37"/>
      <c r="H189" s="37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37"/>
      <c r="AB189" s="63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1"/>
      <c r="B190" s="37"/>
      <c r="C190" s="37"/>
      <c r="D190" s="37"/>
      <c r="E190" s="37"/>
      <c r="F190" s="37"/>
      <c r="G190" s="37"/>
      <c r="H190" s="37"/>
      <c r="I190" s="37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37"/>
      <c r="AB190" s="63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1"/>
      <c r="B191" s="37"/>
      <c r="C191" s="37"/>
      <c r="D191" s="37"/>
      <c r="E191" s="37"/>
      <c r="F191" s="37"/>
      <c r="G191" s="37"/>
      <c r="H191" s="37"/>
      <c r="I191" s="37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37"/>
      <c r="AB191" s="63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1"/>
      <c r="B192" s="37"/>
      <c r="C192" s="37"/>
      <c r="D192" s="37"/>
      <c r="E192" s="37"/>
      <c r="F192" s="37"/>
      <c r="G192" s="37"/>
      <c r="H192" s="37"/>
      <c r="I192" s="37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37"/>
      <c r="AB192" s="63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1"/>
      <c r="B193" s="37"/>
      <c r="C193" s="37"/>
      <c r="D193" s="37"/>
      <c r="E193" s="37"/>
      <c r="F193" s="37"/>
      <c r="G193" s="37"/>
      <c r="H193" s="37"/>
      <c r="I193" s="37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37"/>
      <c r="AB193" s="63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1"/>
      <c r="B194" s="37"/>
      <c r="C194" s="37"/>
      <c r="D194" s="37"/>
      <c r="E194" s="37"/>
      <c r="F194" s="37"/>
      <c r="G194" s="37"/>
      <c r="H194" s="37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37"/>
      <c r="AB194" s="63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1"/>
      <c r="B195" s="37"/>
      <c r="C195" s="37"/>
      <c r="D195" s="37"/>
      <c r="E195" s="37"/>
      <c r="F195" s="37"/>
      <c r="G195" s="37"/>
      <c r="H195" s="37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37"/>
      <c r="AB195" s="63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1"/>
      <c r="B196" s="37"/>
      <c r="C196" s="37"/>
      <c r="D196" s="37"/>
      <c r="E196" s="37"/>
      <c r="F196" s="37"/>
      <c r="G196" s="37"/>
      <c r="H196" s="37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37"/>
      <c r="AB196" s="63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1"/>
      <c r="B197" s="37"/>
      <c r="C197" s="37"/>
      <c r="D197" s="37"/>
      <c r="E197" s="37"/>
      <c r="F197" s="37"/>
      <c r="G197" s="37"/>
      <c r="H197" s="37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37"/>
      <c r="AB197" s="63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1"/>
      <c r="B198" s="37"/>
      <c r="C198" s="37"/>
      <c r="D198" s="37"/>
      <c r="E198" s="37"/>
      <c r="F198" s="37"/>
      <c r="G198" s="37"/>
      <c r="H198" s="37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37"/>
      <c r="AB198" s="63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1"/>
      <c r="B199" s="37"/>
      <c r="C199" s="37"/>
      <c r="D199" s="37"/>
      <c r="E199" s="37"/>
      <c r="F199" s="37"/>
      <c r="G199" s="37"/>
      <c r="H199" s="37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37"/>
      <c r="AB199" s="63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1"/>
      <c r="B200" s="37"/>
      <c r="C200" s="37"/>
      <c r="D200" s="37"/>
      <c r="E200" s="37"/>
      <c r="F200" s="37"/>
      <c r="G200" s="37"/>
      <c r="H200" s="37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37"/>
      <c r="AB200" s="63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1"/>
      <c r="B201" s="37"/>
      <c r="C201" s="37"/>
      <c r="D201" s="37"/>
      <c r="E201" s="37"/>
      <c r="F201" s="37"/>
      <c r="G201" s="37"/>
      <c r="H201" s="37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37"/>
      <c r="AB201" s="63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1"/>
      <c r="B202" s="37"/>
      <c r="C202" s="37"/>
      <c r="D202" s="37"/>
      <c r="E202" s="37"/>
      <c r="F202" s="37"/>
      <c r="G202" s="37"/>
      <c r="H202" s="37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37"/>
      <c r="AB202" s="63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1"/>
      <c r="B203" s="37"/>
      <c r="C203" s="37"/>
      <c r="D203" s="37"/>
      <c r="E203" s="37"/>
      <c r="F203" s="37"/>
      <c r="G203" s="37"/>
      <c r="H203" s="37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37"/>
      <c r="AB203" s="63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1"/>
      <c r="B204" s="37"/>
      <c r="C204" s="37"/>
      <c r="D204" s="37"/>
      <c r="E204" s="37"/>
      <c r="F204" s="37"/>
      <c r="G204" s="37"/>
      <c r="H204" s="37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37"/>
      <c r="AB204" s="63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1"/>
      <c r="B205" s="37"/>
      <c r="C205" s="37"/>
      <c r="D205" s="37"/>
      <c r="E205" s="37"/>
      <c r="F205" s="37"/>
      <c r="G205" s="37"/>
      <c r="H205" s="37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37"/>
      <c r="AB205" s="63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1"/>
      <c r="B206" s="37"/>
      <c r="C206" s="37"/>
      <c r="D206" s="37"/>
      <c r="E206" s="37"/>
      <c r="F206" s="37"/>
      <c r="G206" s="37"/>
      <c r="H206" s="37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37"/>
      <c r="AB206" s="63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1"/>
      <c r="B207" s="37"/>
      <c r="C207" s="37"/>
      <c r="D207" s="37"/>
      <c r="E207" s="37"/>
      <c r="F207" s="37"/>
      <c r="G207" s="37"/>
      <c r="H207" s="37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37"/>
      <c r="AB207" s="63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1"/>
      <c r="B208" s="37"/>
      <c r="C208" s="37"/>
      <c r="D208" s="37"/>
      <c r="E208" s="37"/>
      <c r="F208" s="37"/>
      <c r="G208" s="37"/>
      <c r="H208" s="37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37"/>
      <c r="AB208" s="63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1"/>
      <c r="B209" s="37"/>
      <c r="C209" s="37"/>
      <c r="D209" s="37"/>
      <c r="E209" s="37"/>
      <c r="F209" s="37"/>
      <c r="G209" s="37"/>
      <c r="H209" s="37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37"/>
      <c r="AB209" s="63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1"/>
      <c r="B210" s="37"/>
      <c r="C210" s="37"/>
      <c r="D210" s="37"/>
      <c r="E210" s="37"/>
      <c r="F210" s="37"/>
      <c r="G210" s="37"/>
      <c r="H210" s="37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37"/>
      <c r="AB210" s="63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1"/>
      <c r="B211" s="37"/>
      <c r="C211" s="37"/>
      <c r="D211" s="37"/>
      <c r="E211" s="37"/>
      <c r="F211" s="37"/>
      <c r="G211" s="37"/>
      <c r="H211" s="37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37"/>
      <c r="AB211" s="63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1"/>
      <c r="B212" s="37"/>
      <c r="C212" s="37"/>
      <c r="D212" s="37"/>
      <c r="E212" s="37"/>
      <c r="F212" s="37"/>
      <c r="G212" s="37"/>
      <c r="H212" s="37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37"/>
      <c r="AB212" s="63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1"/>
      <c r="B213" s="37"/>
      <c r="C213" s="37"/>
      <c r="D213" s="37"/>
      <c r="E213" s="37"/>
      <c r="F213" s="37"/>
      <c r="G213" s="37"/>
      <c r="H213" s="37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37"/>
      <c r="AB213" s="63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1"/>
      <c r="B214" s="37"/>
      <c r="C214" s="37"/>
      <c r="D214" s="37"/>
      <c r="E214" s="37"/>
      <c r="F214" s="37"/>
      <c r="G214" s="37"/>
      <c r="H214" s="37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37"/>
      <c r="AB214" s="63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1"/>
      <c r="B215" s="37"/>
      <c r="C215" s="37"/>
      <c r="D215" s="37"/>
      <c r="E215" s="37"/>
      <c r="F215" s="37"/>
      <c r="G215" s="37"/>
      <c r="H215" s="37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37"/>
      <c r="AB215" s="63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1"/>
      <c r="B216" s="37"/>
      <c r="C216" s="37"/>
      <c r="D216" s="37"/>
      <c r="E216" s="37"/>
      <c r="F216" s="37"/>
      <c r="G216" s="37"/>
      <c r="H216" s="37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37"/>
      <c r="AB216" s="63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1"/>
      <c r="B217" s="37"/>
      <c r="C217" s="37"/>
      <c r="D217" s="37"/>
      <c r="E217" s="37"/>
      <c r="F217" s="37"/>
      <c r="G217" s="37"/>
      <c r="H217" s="37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37"/>
      <c r="AB217" s="63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1"/>
      <c r="B218" s="37"/>
      <c r="C218" s="37"/>
      <c r="D218" s="37"/>
      <c r="E218" s="37"/>
      <c r="F218" s="37"/>
      <c r="G218" s="37"/>
      <c r="H218" s="37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37"/>
      <c r="AB218" s="63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1"/>
      <c r="B219" s="37"/>
      <c r="C219" s="37"/>
      <c r="D219" s="37"/>
      <c r="E219" s="37"/>
      <c r="F219" s="37"/>
      <c r="G219" s="37"/>
      <c r="H219" s="37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37"/>
      <c r="AB219" s="63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1"/>
      <c r="B220" s="37"/>
      <c r="C220" s="37"/>
      <c r="D220" s="37"/>
      <c r="E220" s="37"/>
      <c r="F220" s="37"/>
      <c r="G220" s="37"/>
      <c r="H220" s="37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37"/>
      <c r="AB220" s="63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1"/>
      <c r="B221" s="37"/>
      <c r="C221" s="37"/>
      <c r="D221" s="37"/>
      <c r="E221" s="37"/>
      <c r="F221" s="37"/>
      <c r="G221" s="37"/>
      <c r="H221" s="37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37"/>
      <c r="AB221" s="63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1"/>
      <c r="B222" s="37"/>
      <c r="C222" s="37"/>
      <c r="D222" s="37"/>
      <c r="E222" s="37"/>
      <c r="F222" s="37"/>
      <c r="G222" s="37"/>
      <c r="H222" s="37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37"/>
      <c r="AB222" s="63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1"/>
      <c r="B223" s="37"/>
      <c r="C223" s="37"/>
      <c r="D223" s="37"/>
      <c r="E223" s="37"/>
      <c r="F223" s="37"/>
      <c r="G223" s="37"/>
      <c r="H223" s="37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37"/>
      <c r="AB223" s="63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1"/>
      <c r="B224" s="37"/>
      <c r="C224" s="37"/>
      <c r="D224" s="37"/>
      <c r="E224" s="37"/>
      <c r="F224" s="37"/>
      <c r="G224" s="37"/>
      <c r="H224" s="37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37"/>
      <c r="AB224" s="63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1"/>
      <c r="B225" s="37"/>
      <c r="C225" s="37"/>
      <c r="D225" s="37"/>
      <c r="E225" s="37"/>
      <c r="F225" s="37"/>
      <c r="G225" s="37"/>
      <c r="H225" s="37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37"/>
      <c r="AB225" s="63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1"/>
      <c r="B226" s="37"/>
      <c r="C226" s="37"/>
      <c r="D226" s="37"/>
      <c r="E226" s="37"/>
      <c r="F226" s="37"/>
      <c r="G226" s="37"/>
      <c r="H226" s="37"/>
      <c r="I226" s="37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37"/>
      <c r="AB226" s="63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1"/>
      <c r="B227" s="37"/>
      <c r="C227" s="37"/>
      <c r="D227" s="37"/>
      <c r="E227" s="37"/>
      <c r="F227" s="37"/>
      <c r="G227" s="37"/>
      <c r="H227" s="37"/>
      <c r="I227" s="37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37"/>
      <c r="AB227" s="63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1"/>
      <c r="B228" s="37"/>
      <c r="C228" s="37"/>
      <c r="D228" s="37"/>
      <c r="E228" s="37"/>
      <c r="F228" s="37"/>
      <c r="G228" s="37"/>
      <c r="H228" s="37"/>
      <c r="I228" s="37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37"/>
      <c r="AB228" s="63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1"/>
      <c r="B229" s="37"/>
      <c r="C229" s="37"/>
      <c r="D229" s="37"/>
      <c r="E229" s="37"/>
      <c r="F229" s="37"/>
      <c r="G229" s="37"/>
      <c r="H229" s="37"/>
      <c r="I229" s="37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37"/>
      <c r="AB229" s="63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1"/>
      <c r="B230" s="37"/>
      <c r="C230" s="37"/>
      <c r="D230" s="37"/>
      <c r="E230" s="37"/>
      <c r="F230" s="37"/>
      <c r="G230" s="37"/>
      <c r="H230" s="37"/>
      <c r="I230" s="37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37"/>
      <c r="AB230" s="63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1"/>
      <c r="B231" s="37"/>
      <c r="C231" s="37"/>
      <c r="D231" s="37"/>
      <c r="E231" s="37"/>
      <c r="F231" s="37"/>
      <c r="G231" s="37"/>
      <c r="H231" s="37"/>
      <c r="I231" s="37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37"/>
      <c r="AB231" s="63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1"/>
      <c r="B232" s="37"/>
      <c r="C232" s="37"/>
      <c r="D232" s="37"/>
      <c r="E232" s="37"/>
      <c r="F232" s="37"/>
      <c r="G232" s="37"/>
      <c r="H232" s="37"/>
      <c r="I232" s="37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37"/>
      <c r="AB232" s="63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1"/>
      <c r="B233" s="37"/>
      <c r="C233" s="37"/>
      <c r="D233" s="37"/>
      <c r="E233" s="37"/>
      <c r="F233" s="37"/>
      <c r="G233" s="37"/>
      <c r="H233" s="37"/>
      <c r="I233" s="37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37"/>
      <c r="AB233" s="63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3"/>
      <c r="B234" s="63"/>
      <c r="C234" s="63"/>
      <c r="D234" s="63"/>
      <c r="E234" s="63"/>
      <c r="F234" s="37"/>
      <c r="G234" s="37"/>
      <c r="H234" s="37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  <c r="AO234" s="63"/>
      <c r="AP234" s="63"/>
      <c r="AQ234" s="63"/>
      <c r="AR234" s="63"/>
      <c r="AS234" s="63"/>
      <c r="AT234" s="63"/>
    </row>
    <row r="235" ht="15.75" customHeight="1">
      <c r="A235" s="63"/>
      <c r="B235" s="63"/>
      <c r="C235" s="63"/>
      <c r="D235" s="63"/>
      <c r="E235" s="63"/>
      <c r="F235" s="37"/>
      <c r="G235" s="37"/>
      <c r="H235" s="37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3"/>
      <c r="AP235" s="63"/>
      <c r="AQ235" s="63"/>
      <c r="AR235" s="63"/>
      <c r="AS235" s="63"/>
      <c r="AT235" s="63"/>
    </row>
    <row r="236" ht="15.75" customHeight="1">
      <c r="A236" s="63"/>
      <c r="B236" s="63"/>
      <c r="C236" s="63"/>
      <c r="D236" s="63"/>
      <c r="E236" s="63"/>
      <c r="F236" s="37"/>
      <c r="G236" s="37"/>
      <c r="H236" s="37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  <c r="AO236" s="63"/>
      <c r="AP236" s="63"/>
      <c r="AQ236" s="63"/>
      <c r="AR236" s="63"/>
      <c r="AS236" s="63"/>
      <c r="AT236" s="63"/>
    </row>
    <row r="237" ht="15.75" customHeight="1">
      <c r="A237" s="63"/>
      <c r="B237" s="63"/>
      <c r="C237" s="63"/>
      <c r="D237" s="63"/>
      <c r="E237" s="63"/>
      <c r="F237" s="37"/>
      <c r="G237" s="37"/>
      <c r="H237" s="37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3"/>
      <c r="AP237" s="63"/>
      <c r="AQ237" s="63"/>
      <c r="AR237" s="63"/>
      <c r="AS237" s="63"/>
      <c r="AT237" s="63"/>
    </row>
    <row r="238" ht="15.75" customHeight="1">
      <c r="A238" s="63"/>
      <c r="B238" s="63"/>
      <c r="C238" s="63"/>
      <c r="D238" s="63"/>
      <c r="E238" s="63"/>
      <c r="F238" s="37"/>
      <c r="G238" s="37"/>
      <c r="H238" s="37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  <c r="AO238" s="63"/>
      <c r="AP238" s="63"/>
      <c r="AQ238" s="63"/>
      <c r="AR238" s="63"/>
      <c r="AS238" s="63"/>
      <c r="AT238" s="63"/>
    </row>
    <row r="239" ht="15.75" customHeight="1">
      <c r="A239" s="63"/>
      <c r="B239" s="63"/>
      <c r="C239" s="63"/>
      <c r="D239" s="63"/>
      <c r="E239" s="63"/>
      <c r="F239" s="37"/>
      <c r="G239" s="37"/>
      <c r="H239" s="37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  <c r="AO239" s="63"/>
      <c r="AP239" s="63"/>
      <c r="AQ239" s="63"/>
      <c r="AR239" s="63"/>
      <c r="AS239" s="63"/>
      <c r="AT239" s="63"/>
    </row>
    <row r="240" ht="15.75" customHeight="1">
      <c r="A240" s="63"/>
      <c r="B240" s="63"/>
      <c r="C240" s="63"/>
      <c r="D240" s="63"/>
      <c r="E240" s="63"/>
      <c r="F240" s="37"/>
      <c r="G240" s="37"/>
      <c r="H240" s="37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  <c r="AO240" s="63"/>
      <c r="AP240" s="63"/>
      <c r="AQ240" s="63"/>
      <c r="AR240" s="63"/>
      <c r="AS240" s="63"/>
      <c r="AT240" s="63"/>
    </row>
    <row r="241" ht="15.75" customHeight="1">
      <c r="A241" s="63"/>
      <c r="B241" s="63"/>
      <c r="C241" s="63"/>
      <c r="D241" s="63"/>
      <c r="E241" s="63"/>
      <c r="F241" s="37"/>
      <c r="G241" s="37"/>
      <c r="H241" s="37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  <c r="AO241" s="63"/>
      <c r="AP241" s="63"/>
      <c r="AQ241" s="63"/>
      <c r="AR241" s="63"/>
      <c r="AS241" s="63"/>
      <c r="AT241" s="63"/>
    </row>
    <row r="242" ht="15.75" customHeight="1">
      <c r="A242" s="63"/>
      <c r="B242" s="63"/>
      <c r="C242" s="63"/>
      <c r="D242" s="63"/>
      <c r="E242" s="63"/>
      <c r="F242" s="37"/>
      <c r="G242" s="37"/>
      <c r="H242" s="37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  <c r="AO242" s="63"/>
      <c r="AP242" s="63"/>
      <c r="AQ242" s="63"/>
      <c r="AR242" s="63"/>
      <c r="AS242" s="63"/>
      <c r="AT242" s="63"/>
    </row>
    <row r="243" ht="15.75" customHeight="1">
      <c r="A243" s="63"/>
      <c r="B243" s="63"/>
      <c r="C243" s="63"/>
      <c r="D243" s="63"/>
      <c r="E243" s="63"/>
      <c r="F243" s="37"/>
      <c r="G243" s="37"/>
      <c r="H243" s="37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  <c r="AO243" s="63"/>
      <c r="AP243" s="63"/>
      <c r="AQ243" s="63"/>
      <c r="AR243" s="63"/>
      <c r="AS243" s="63"/>
      <c r="AT243" s="63"/>
    </row>
    <row r="244" ht="15.75" customHeight="1">
      <c r="A244" s="63"/>
      <c r="B244" s="63"/>
      <c r="C244" s="63"/>
      <c r="D244" s="63"/>
      <c r="E244" s="63"/>
      <c r="F244" s="37"/>
      <c r="G244" s="37"/>
      <c r="H244" s="37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  <c r="AO244" s="63"/>
      <c r="AP244" s="63"/>
      <c r="AQ244" s="63"/>
      <c r="AR244" s="63"/>
      <c r="AS244" s="63"/>
      <c r="AT244" s="63"/>
    </row>
    <row r="245" ht="15.75" customHeight="1">
      <c r="A245" s="63"/>
      <c r="B245" s="63"/>
      <c r="C245" s="63"/>
      <c r="D245" s="63"/>
      <c r="E245" s="63"/>
      <c r="F245" s="37"/>
      <c r="G245" s="37"/>
      <c r="H245" s="37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  <c r="AO245" s="63"/>
      <c r="AP245" s="63"/>
      <c r="AQ245" s="63"/>
      <c r="AR245" s="63"/>
      <c r="AS245" s="63"/>
      <c r="AT245" s="63"/>
    </row>
    <row r="246" ht="15.75" customHeight="1">
      <c r="A246" s="63"/>
      <c r="B246" s="63"/>
      <c r="C246" s="63"/>
      <c r="D246" s="63"/>
      <c r="E246" s="63"/>
      <c r="F246" s="37"/>
      <c r="G246" s="37"/>
      <c r="H246" s="37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  <c r="AO246" s="63"/>
      <c r="AP246" s="63"/>
      <c r="AQ246" s="63"/>
      <c r="AR246" s="63"/>
      <c r="AS246" s="63"/>
      <c r="AT246" s="63"/>
    </row>
    <row r="247" ht="15.75" customHeight="1">
      <c r="A247" s="63"/>
      <c r="B247" s="63"/>
      <c r="C247" s="63"/>
      <c r="D247" s="63"/>
      <c r="E247" s="63"/>
      <c r="F247" s="37"/>
      <c r="G247" s="37"/>
      <c r="H247" s="37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3"/>
      <c r="AP247" s="63"/>
      <c r="AQ247" s="63"/>
      <c r="AR247" s="63"/>
      <c r="AS247" s="63"/>
      <c r="AT247" s="63"/>
    </row>
    <row r="248" ht="15.75" customHeight="1">
      <c r="A248" s="63"/>
      <c r="B248" s="63"/>
      <c r="C248" s="63"/>
      <c r="D248" s="63"/>
      <c r="E248" s="63"/>
      <c r="F248" s="37"/>
      <c r="G248" s="37"/>
      <c r="H248" s="37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  <c r="AO248" s="63"/>
      <c r="AP248" s="63"/>
      <c r="AQ248" s="63"/>
      <c r="AR248" s="63"/>
      <c r="AS248" s="63"/>
      <c r="AT248" s="63"/>
    </row>
    <row r="249" ht="15.75" customHeight="1">
      <c r="A249" s="63"/>
      <c r="B249" s="63"/>
      <c r="C249" s="63"/>
      <c r="D249" s="63"/>
      <c r="E249" s="63"/>
      <c r="F249" s="37"/>
      <c r="G249" s="37"/>
      <c r="H249" s="37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3"/>
      <c r="AP249" s="63"/>
      <c r="AQ249" s="63"/>
      <c r="AR249" s="63"/>
      <c r="AS249" s="63"/>
      <c r="AT249" s="63"/>
    </row>
    <row r="250" ht="15.75" customHeight="1">
      <c r="A250" s="63"/>
      <c r="B250" s="63"/>
      <c r="C250" s="63"/>
      <c r="D250" s="63"/>
      <c r="E250" s="63"/>
      <c r="F250" s="37"/>
      <c r="G250" s="37"/>
      <c r="H250" s="37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  <c r="AO250" s="63"/>
      <c r="AP250" s="63"/>
      <c r="AQ250" s="63"/>
      <c r="AR250" s="63"/>
      <c r="AS250" s="63"/>
      <c r="AT250" s="63"/>
    </row>
    <row r="251" ht="15.75" customHeight="1">
      <c r="A251" s="63"/>
      <c r="B251" s="63"/>
      <c r="C251" s="63"/>
      <c r="D251" s="63"/>
      <c r="E251" s="63"/>
      <c r="F251" s="37"/>
      <c r="G251" s="37"/>
      <c r="H251" s="37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3"/>
      <c r="AP251" s="63"/>
      <c r="AQ251" s="63"/>
      <c r="AR251" s="63"/>
      <c r="AS251" s="63"/>
      <c r="AT251" s="63"/>
    </row>
    <row r="252" ht="15.75" customHeight="1">
      <c r="A252" s="63"/>
      <c r="B252" s="63"/>
      <c r="C252" s="63"/>
      <c r="D252" s="63"/>
      <c r="E252" s="63"/>
      <c r="F252" s="37"/>
      <c r="G252" s="37"/>
      <c r="H252" s="37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  <c r="AO252" s="63"/>
      <c r="AP252" s="63"/>
      <c r="AQ252" s="63"/>
      <c r="AR252" s="63"/>
      <c r="AS252" s="63"/>
      <c r="AT252" s="63"/>
    </row>
    <row r="253" ht="15.75" customHeight="1">
      <c r="A253" s="63"/>
      <c r="B253" s="63"/>
      <c r="C253" s="63"/>
      <c r="D253" s="63"/>
      <c r="E253" s="63"/>
      <c r="F253" s="37"/>
      <c r="G253" s="37"/>
      <c r="H253" s="37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3"/>
      <c r="AP253" s="63"/>
      <c r="AQ253" s="63"/>
      <c r="AR253" s="63"/>
      <c r="AS253" s="63"/>
      <c r="AT253" s="63"/>
    </row>
    <row r="254" ht="15.75" customHeight="1">
      <c r="A254" s="63"/>
      <c r="B254" s="63"/>
      <c r="C254" s="63"/>
      <c r="D254" s="63"/>
      <c r="E254" s="63"/>
      <c r="F254" s="37"/>
      <c r="G254" s="37"/>
      <c r="H254" s="37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  <c r="AO254" s="63"/>
      <c r="AP254" s="63"/>
      <c r="AQ254" s="63"/>
      <c r="AR254" s="63"/>
      <c r="AS254" s="63"/>
      <c r="AT254" s="63"/>
    </row>
    <row r="255" ht="15.75" customHeight="1">
      <c r="A255" s="63"/>
      <c r="B255" s="63"/>
      <c r="C255" s="63"/>
      <c r="D255" s="63"/>
      <c r="E255" s="63"/>
      <c r="F255" s="37"/>
      <c r="G255" s="37"/>
      <c r="H255" s="37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3"/>
      <c r="AP255" s="63"/>
      <c r="AQ255" s="63"/>
      <c r="AR255" s="63"/>
      <c r="AS255" s="63"/>
      <c r="AT255" s="63"/>
    </row>
    <row r="256" ht="15.75" customHeight="1">
      <c r="A256" s="63"/>
      <c r="B256" s="63"/>
      <c r="C256" s="63"/>
      <c r="D256" s="63"/>
      <c r="E256" s="63"/>
      <c r="F256" s="37"/>
      <c r="G256" s="37"/>
      <c r="H256" s="37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  <c r="AO256" s="63"/>
      <c r="AP256" s="63"/>
      <c r="AQ256" s="63"/>
      <c r="AR256" s="63"/>
      <c r="AS256" s="63"/>
      <c r="AT256" s="63"/>
    </row>
    <row r="257" ht="15.75" customHeight="1">
      <c r="A257" s="63"/>
      <c r="B257" s="63"/>
      <c r="C257" s="63"/>
      <c r="D257" s="63"/>
      <c r="E257" s="63"/>
      <c r="F257" s="37"/>
      <c r="G257" s="37"/>
      <c r="H257" s="37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3"/>
      <c r="AP257" s="63"/>
      <c r="AQ257" s="63"/>
      <c r="AR257" s="63"/>
      <c r="AS257" s="63"/>
      <c r="AT257" s="63"/>
    </row>
    <row r="258" ht="15.75" customHeight="1">
      <c r="A258" s="63"/>
      <c r="B258" s="63"/>
      <c r="C258" s="63"/>
      <c r="D258" s="63"/>
      <c r="E258" s="63"/>
      <c r="F258" s="37"/>
      <c r="G258" s="37"/>
      <c r="H258" s="37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  <c r="AO258" s="63"/>
      <c r="AP258" s="63"/>
      <c r="AQ258" s="63"/>
      <c r="AR258" s="63"/>
      <c r="AS258" s="63"/>
      <c r="AT258" s="63"/>
    </row>
    <row r="259" ht="15.75" customHeight="1">
      <c r="A259" s="63"/>
      <c r="B259" s="63"/>
      <c r="C259" s="63"/>
      <c r="D259" s="63"/>
      <c r="E259" s="63"/>
      <c r="F259" s="37"/>
      <c r="G259" s="37"/>
      <c r="H259" s="37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3"/>
      <c r="AP259" s="63"/>
      <c r="AQ259" s="63"/>
      <c r="AR259" s="63"/>
      <c r="AS259" s="63"/>
      <c r="AT259" s="63"/>
    </row>
    <row r="260" ht="15.75" customHeight="1">
      <c r="A260" s="63"/>
      <c r="B260" s="63"/>
      <c r="C260" s="63"/>
      <c r="D260" s="63"/>
      <c r="E260" s="63"/>
      <c r="F260" s="37"/>
      <c r="G260" s="37"/>
      <c r="H260" s="37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  <c r="AO260" s="63"/>
      <c r="AP260" s="63"/>
      <c r="AQ260" s="63"/>
      <c r="AR260" s="63"/>
      <c r="AS260" s="63"/>
      <c r="AT260" s="63"/>
    </row>
    <row r="261" ht="15.75" customHeight="1">
      <c r="A261" s="63"/>
      <c r="B261" s="63"/>
      <c r="C261" s="63"/>
      <c r="D261" s="63"/>
      <c r="E261" s="63"/>
      <c r="F261" s="37"/>
      <c r="G261" s="37"/>
      <c r="H261" s="37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3"/>
      <c r="AP261" s="63"/>
      <c r="AQ261" s="63"/>
      <c r="AR261" s="63"/>
      <c r="AS261" s="63"/>
      <c r="AT261" s="63"/>
    </row>
    <row r="262" ht="15.75" customHeight="1">
      <c r="A262" s="63"/>
      <c r="B262" s="63"/>
      <c r="C262" s="63"/>
      <c r="D262" s="63"/>
      <c r="E262" s="63"/>
      <c r="F262" s="37"/>
      <c r="G262" s="37"/>
      <c r="H262" s="37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  <c r="AO262" s="63"/>
      <c r="AP262" s="63"/>
      <c r="AQ262" s="63"/>
      <c r="AR262" s="63"/>
      <c r="AS262" s="63"/>
      <c r="AT262" s="63"/>
    </row>
    <row r="263" ht="15.75" customHeight="1">
      <c r="A263" s="63"/>
      <c r="B263" s="63"/>
      <c r="C263" s="63"/>
      <c r="D263" s="63"/>
      <c r="E263" s="63"/>
      <c r="F263" s="37"/>
      <c r="G263" s="37"/>
      <c r="H263" s="37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  <c r="AO263" s="63"/>
      <c r="AP263" s="63"/>
      <c r="AQ263" s="63"/>
      <c r="AR263" s="63"/>
      <c r="AS263" s="63"/>
      <c r="AT263" s="63"/>
    </row>
    <row r="264" ht="15.75" customHeight="1">
      <c r="A264" s="63"/>
      <c r="B264" s="63"/>
      <c r="C264" s="63"/>
      <c r="D264" s="63"/>
      <c r="E264" s="63"/>
      <c r="F264" s="37"/>
      <c r="G264" s="37"/>
      <c r="H264" s="37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  <c r="AO264" s="63"/>
      <c r="AP264" s="63"/>
      <c r="AQ264" s="63"/>
      <c r="AR264" s="63"/>
      <c r="AS264" s="63"/>
      <c r="AT264" s="63"/>
    </row>
    <row r="265" ht="15.75" customHeight="1">
      <c r="A265" s="63"/>
      <c r="B265" s="63"/>
      <c r="C265" s="63"/>
      <c r="D265" s="63"/>
      <c r="E265" s="63"/>
      <c r="F265" s="37"/>
      <c r="G265" s="37"/>
      <c r="H265" s="37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  <c r="AO265" s="63"/>
      <c r="AP265" s="63"/>
      <c r="AQ265" s="63"/>
      <c r="AR265" s="63"/>
      <c r="AS265" s="63"/>
      <c r="AT265" s="63"/>
    </row>
    <row r="266" ht="15.75" customHeight="1">
      <c r="A266" s="63"/>
      <c r="B266" s="63"/>
      <c r="C266" s="63"/>
      <c r="D266" s="63"/>
      <c r="E266" s="63"/>
      <c r="F266" s="37"/>
      <c r="G266" s="37"/>
      <c r="H266" s="37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  <c r="AO266" s="63"/>
      <c r="AP266" s="63"/>
      <c r="AQ266" s="63"/>
      <c r="AR266" s="63"/>
      <c r="AS266" s="63"/>
      <c r="AT266" s="63"/>
    </row>
    <row r="267" ht="15.75" customHeight="1">
      <c r="A267" s="63"/>
      <c r="B267" s="63"/>
      <c r="C267" s="63"/>
      <c r="D267" s="63"/>
      <c r="E267" s="63"/>
      <c r="F267" s="37"/>
      <c r="G267" s="37"/>
      <c r="H267" s="37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  <c r="AO267" s="63"/>
      <c r="AP267" s="63"/>
      <c r="AQ267" s="63"/>
      <c r="AR267" s="63"/>
      <c r="AS267" s="63"/>
      <c r="AT267" s="63"/>
    </row>
    <row r="268" ht="15.75" customHeight="1">
      <c r="A268" s="63"/>
      <c r="B268" s="63"/>
      <c r="C268" s="63"/>
      <c r="D268" s="63"/>
      <c r="E268" s="63"/>
      <c r="F268" s="37"/>
      <c r="G268" s="37"/>
      <c r="H268" s="37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  <c r="AO268" s="63"/>
      <c r="AP268" s="63"/>
      <c r="AQ268" s="63"/>
      <c r="AR268" s="63"/>
      <c r="AS268" s="63"/>
      <c r="AT268" s="63"/>
    </row>
    <row r="269" ht="15.75" customHeight="1">
      <c r="A269" s="63"/>
      <c r="B269" s="63"/>
      <c r="C269" s="63"/>
      <c r="D269" s="63"/>
      <c r="E269" s="63"/>
      <c r="F269" s="37"/>
      <c r="G269" s="37"/>
      <c r="H269" s="37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  <c r="AO269" s="63"/>
      <c r="AP269" s="63"/>
      <c r="AQ269" s="63"/>
      <c r="AR269" s="63"/>
      <c r="AS269" s="63"/>
      <c r="AT269" s="63"/>
    </row>
    <row r="270" ht="15.75" customHeight="1">
      <c r="A270" s="63"/>
      <c r="B270" s="63"/>
      <c r="C270" s="63"/>
      <c r="D270" s="63"/>
      <c r="E270" s="63"/>
      <c r="F270" s="37"/>
      <c r="G270" s="37"/>
      <c r="H270" s="37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  <c r="AO270" s="63"/>
      <c r="AP270" s="63"/>
      <c r="AQ270" s="63"/>
      <c r="AR270" s="63"/>
      <c r="AS270" s="63"/>
      <c r="AT270" s="63"/>
    </row>
    <row r="271" ht="15.75" customHeight="1">
      <c r="A271" s="63"/>
      <c r="B271" s="63"/>
      <c r="C271" s="63"/>
      <c r="D271" s="63"/>
      <c r="E271" s="63"/>
      <c r="F271" s="37"/>
      <c r="G271" s="37"/>
      <c r="H271" s="37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3"/>
      <c r="AP271" s="63"/>
      <c r="AQ271" s="63"/>
      <c r="AR271" s="63"/>
      <c r="AS271" s="63"/>
      <c r="AT271" s="63"/>
    </row>
    <row r="272" ht="15.75" customHeight="1">
      <c r="A272" s="63"/>
      <c r="B272" s="63"/>
      <c r="C272" s="63"/>
      <c r="D272" s="63"/>
      <c r="E272" s="63"/>
      <c r="F272" s="37"/>
      <c r="G272" s="37"/>
      <c r="H272" s="37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  <c r="AO272" s="63"/>
      <c r="AP272" s="63"/>
      <c r="AQ272" s="63"/>
      <c r="AR272" s="63"/>
      <c r="AS272" s="63"/>
      <c r="AT272" s="63"/>
    </row>
    <row r="273" ht="15.75" customHeight="1">
      <c r="A273" s="63"/>
      <c r="B273" s="63"/>
      <c r="C273" s="63"/>
      <c r="D273" s="63"/>
      <c r="E273" s="63"/>
      <c r="F273" s="37"/>
      <c r="G273" s="37"/>
      <c r="H273" s="37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  <c r="AO273" s="63"/>
      <c r="AP273" s="63"/>
      <c r="AQ273" s="63"/>
      <c r="AR273" s="63"/>
      <c r="AS273" s="63"/>
      <c r="AT273" s="63"/>
    </row>
    <row r="274" ht="15.75" customHeight="1">
      <c r="A274" s="63"/>
      <c r="B274" s="63"/>
      <c r="C274" s="63"/>
      <c r="D274" s="63"/>
      <c r="E274" s="63"/>
      <c r="F274" s="37"/>
      <c r="G274" s="37"/>
      <c r="H274" s="37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  <c r="AO274" s="63"/>
      <c r="AP274" s="63"/>
      <c r="AQ274" s="63"/>
      <c r="AR274" s="63"/>
      <c r="AS274" s="63"/>
      <c r="AT274" s="63"/>
    </row>
    <row r="275" ht="15.75" customHeight="1">
      <c r="A275" s="63"/>
      <c r="B275" s="63"/>
      <c r="C275" s="63"/>
      <c r="D275" s="63"/>
      <c r="E275" s="63"/>
      <c r="F275" s="37"/>
      <c r="G275" s="37"/>
      <c r="H275" s="37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  <c r="AO275" s="63"/>
      <c r="AP275" s="63"/>
      <c r="AQ275" s="63"/>
      <c r="AR275" s="63"/>
      <c r="AS275" s="63"/>
      <c r="AT275" s="63"/>
    </row>
    <row r="276" ht="15.75" customHeight="1">
      <c r="A276" s="63"/>
      <c r="B276" s="63"/>
      <c r="C276" s="63"/>
      <c r="D276" s="63"/>
      <c r="E276" s="63"/>
      <c r="F276" s="37"/>
      <c r="G276" s="37"/>
      <c r="H276" s="37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  <c r="AO276" s="63"/>
      <c r="AP276" s="63"/>
      <c r="AQ276" s="63"/>
      <c r="AR276" s="63"/>
      <c r="AS276" s="63"/>
      <c r="AT276" s="63"/>
    </row>
    <row r="277" ht="15.75" customHeight="1">
      <c r="A277" s="63"/>
      <c r="B277" s="63"/>
      <c r="C277" s="63"/>
      <c r="D277" s="63"/>
      <c r="E277" s="63"/>
      <c r="F277" s="37"/>
      <c r="G277" s="37"/>
      <c r="H277" s="37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  <c r="AO277" s="63"/>
      <c r="AP277" s="63"/>
      <c r="AQ277" s="63"/>
      <c r="AR277" s="63"/>
      <c r="AS277" s="63"/>
      <c r="AT277" s="63"/>
    </row>
    <row r="278" ht="15.75" customHeight="1">
      <c r="A278" s="63"/>
      <c r="B278" s="63"/>
      <c r="C278" s="63"/>
      <c r="D278" s="63"/>
      <c r="E278" s="63"/>
      <c r="F278" s="37"/>
      <c r="G278" s="37"/>
      <c r="H278" s="37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  <c r="AO278" s="63"/>
      <c r="AP278" s="63"/>
      <c r="AQ278" s="63"/>
      <c r="AR278" s="63"/>
      <c r="AS278" s="63"/>
      <c r="AT278" s="63"/>
    </row>
    <row r="279" ht="15.75" customHeight="1">
      <c r="A279" s="63"/>
      <c r="B279" s="63"/>
      <c r="C279" s="63"/>
      <c r="D279" s="63"/>
      <c r="E279" s="63"/>
      <c r="F279" s="37"/>
      <c r="G279" s="37"/>
      <c r="H279" s="37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  <c r="AO279" s="63"/>
      <c r="AP279" s="63"/>
      <c r="AQ279" s="63"/>
      <c r="AR279" s="63"/>
      <c r="AS279" s="63"/>
      <c r="AT279" s="63"/>
    </row>
    <row r="280" ht="15.75" customHeight="1">
      <c r="A280" s="63"/>
      <c r="B280" s="63"/>
      <c r="C280" s="63"/>
      <c r="D280" s="63"/>
      <c r="E280" s="63"/>
      <c r="F280" s="37"/>
      <c r="G280" s="37"/>
      <c r="H280" s="37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  <c r="AO280" s="63"/>
      <c r="AP280" s="63"/>
      <c r="AQ280" s="63"/>
      <c r="AR280" s="63"/>
      <c r="AS280" s="63"/>
      <c r="AT280" s="63"/>
    </row>
    <row r="281" ht="15.75" customHeight="1">
      <c r="A281" s="63"/>
      <c r="B281" s="63"/>
      <c r="C281" s="63"/>
      <c r="D281" s="63"/>
      <c r="E281" s="63"/>
      <c r="F281" s="37"/>
      <c r="G281" s="37"/>
      <c r="H281" s="37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  <c r="AO281" s="63"/>
      <c r="AP281" s="63"/>
      <c r="AQ281" s="63"/>
      <c r="AR281" s="63"/>
      <c r="AS281" s="63"/>
      <c r="AT281" s="63"/>
    </row>
    <row r="282" ht="15.75" customHeight="1">
      <c r="A282" s="63"/>
      <c r="B282" s="63"/>
      <c r="C282" s="63"/>
      <c r="D282" s="63"/>
      <c r="E282" s="63"/>
      <c r="F282" s="37"/>
      <c r="G282" s="37"/>
      <c r="H282" s="37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  <c r="AO282" s="63"/>
      <c r="AP282" s="63"/>
      <c r="AQ282" s="63"/>
      <c r="AR282" s="63"/>
      <c r="AS282" s="63"/>
      <c r="AT282" s="63"/>
    </row>
    <row r="283" ht="15.75" customHeight="1">
      <c r="A283" s="63"/>
      <c r="B283" s="63"/>
      <c r="C283" s="63"/>
      <c r="D283" s="63"/>
      <c r="E283" s="63"/>
      <c r="F283" s="37"/>
      <c r="G283" s="37"/>
      <c r="H283" s="37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  <c r="AO283" s="63"/>
      <c r="AP283" s="63"/>
      <c r="AQ283" s="63"/>
      <c r="AR283" s="63"/>
      <c r="AS283" s="63"/>
      <c r="AT283" s="63"/>
    </row>
    <row r="284" ht="15.75" customHeight="1">
      <c r="A284" s="63"/>
      <c r="B284" s="63"/>
      <c r="C284" s="63"/>
      <c r="D284" s="63"/>
      <c r="E284" s="63"/>
      <c r="F284" s="37"/>
      <c r="G284" s="37"/>
      <c r="H284" s="37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  <c r="AO284" s="63"/>
      <c r="AP284" s="63"/>
      <c r="AQ284" s="63"/>
      <c r="AR284" s="63"/>
      <c r="AS284" s="63"/>
      <c r="AT284" s="63"/>
    </row>
    <row r="285" ht="15.75" customHeight="1">
      <c r="A285" s="63"/>
      <c r="B285" s="63"/>
      <c r="C285" s="63"/>
      <c r="D285" s="63"/>
      <c r="E285" s="63"/>
      <c r="F285" s="37"/>
      <c r="G285" s="37"/>
      <c r="H285" s="37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  <c r="AO285" s="63"/>
      <c r="AP285" s="63"/>
      <c r="AQ285" s="63"/>
      <c r="AR285" s="63"/>
      <c r="AS285" s="63"/>
      <c r="AT285" s="63"/>
    </row>
    <row r="286" ht="15.75" customHeight="1">
      <c r="A286" s="63"/>
      <c r="B286" s="63"/>
      <c r="C286" s="63"/>
      <c r="D286" s="63"/>
      <c r="E286" s="63"/>
      <c r="F286" s="37"/>
      <c r="G286" s="37"/>
      <c r="H286" s="37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  <c r="AO286" s="63"/>
      <c r="AP286" s="63"/>
      <c r="AQ286" s="63"/>
      <c r="AR286" s="63"/>
      <c r="AS286" s="63"/>
      <c r="AT286" s="63"/>
    </row>
    <row r="287" ht="15.75" customHeight="1">
      <c r="A287" s="63"/>
      <c r="B287" s="63"/>
      <c r="C287" s="63"/>
      <c r="D287" s="63"/>
      <c r="E287" s="63"/>
      <c r="F287" s="37"/>
      <c r="G287" s="37"/>
      <c r="H287" s="37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  <c r="AO287" s="63"/>
      <c r="AP287" s="63"/>
      <c r="AQ287" s="63"/>
      <c r="AR287" s="63"/>
      <c r="AS287" s="63"/>
      <c r="AT287" s="63"/>
    </row>
    <row r="288" ht="15.75" customHeight="1">
      <c r="A288" s="63"/>
      <c r="B288" s="63"/>
      <c r="C288" s="63"/>
      <c r="D288" s="63"/>
      <c r="E288" s="63"/>
      <c r="F288" s="37"/>
      <c r="G288" s="37"/>
      <c r="H288" s="37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  <c r="AO288" s="63"/>
      <c r="AP288" s="63"/>
      <c r="AQ288" s="63"/>
      <c r="AR288" s="63"/>
      <c r="AS288" s="63"/>
      <c r="AT288" s="63"/>
    </row>
    <row r="289" ht="15.75" customHeight="1">
      <c r="A289" s="63"/>
      <c r="B289" s="63"/>
      <c r="C289" s="63"/>
      <c r="D289" s="63"/>
      <c r="E289" s="63"/>
      <c r="F289" s="37"/>
      <c r="G289" s="37"/>
      <c r="H289" s="37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3"/>
      <c r="AP289" s="63"/>
      <c r="AQ289" s="63"/>
      <c r="AR289" s="63"/>
      <c r="AS289" s="63"/>
      <c r="AT289" s="63"/>
    </row>
    <row r="290" ht="15.75" customHeight="1">
      <c r="A290" s="63"/>
      <c r="B290" s="63"/>
      <c r="C290" s="63"/>
      <c r="D290" s="63"/>
      <c r="E290" s="63"/>
      <c r="F290" s="37"/>
      <c r="G290" s="37"/>
      <c r="H290" s="37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  <c r="AO290" s="63"/>
      <c r="AP290" s="63"/>
      <c r="AQ290" s="63"/>
      <c r="AR290" s="63"/>
      <c r="AS290" s="63"/>
      <c r="AT290" s="63"/>
    </row>
    <row r="291" ht="15.75" customHeight="1">
      <c r="A291" s="63"/>
      <c r="B291" s="63"/>
      <c r="C291" s="63"/>
      <c r="D291" s="63"/>
      <c r="E291" s="63"/>
      <c r="F291" s="37"/>
      <c r="G291" s="37"/>
      <c r="H291" s="37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3"/>
      <c r="AP291" s="63"/>
      <c r="AQ291" s="63"/>
      <c r="AR291" s="63"/>
      <c r="AS291" s="63"/>
      <c r="AT291" s="63"/>
    </row>
    <row r="292" ht="15.75" customHeight="1">
      <c r="A292" s="63"/>
      <c r="B292" s="63"/>
      <c r="C292" s="63"/>
      <c r="D292" s="63"/>
      <c r="E292" s="63"/>
      <c r="F292" s="37"/>
      <c r="G292" s="37"/>
      <c r="H292" s="37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  <c r="AS292" s="63"/>
      <c r="AT292" s="63"/>
    </row>
    <row r="293" ht="15.75" customHeight="1">
      <c r="A293" s="63"/>
      <c r="B293" s="63"/>
      <c r="C293" s="63"/>
      <c r="D293" s="63"/>
      <c r="E293" s="63"/>
      <c r="F293" s="37"/>
      <c r="G293" s="37"/>
      <c r="H293" s="37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3"/>
      <c r="AP293" s="63"/>
      <c r="AQ293" s="63"/>
      <c r="AR293" s="63"/>
      <c r="AS293" s="63"/>
      <c r="AT293" s="63"/>
    </row>
    <row r="294" ht="15.75" customHeight="1">
      <c r="A294" s="63"/>
      <c r="B294" s="63"/>
      <c r="C294" s="63"/>
      <c r="D294" s="63"/>
      <c r="E294" s="63"/>
      <c r="F294" s="37"/>
      <c r="G294" s="37"/>
      <c r="H294" s="37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  <c r="AO294" s="63"/>
      <c r="AP294" s="63"/>
      <c r="AQ294" s="63"/>
      <c r="AR294" s="63"/>
      <c r="AS294" s="63"/>
      <c r="AT294" s="63"/>
    </row>
    <row r="295" ht="15.75" customHeight="1">
      <c r="A295" s="63"/>
      <c r="B295" s="63"/>
      <c r="C295" s="63"/>
      <c r="D295" s="63"/>
      <c r="E295" s="63"/>
      <c r="F295" s="37"/>
      <c r="G295" s="37"/>
      <c r="H295" s="37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3"/>
      <c r="AP295" s="63"/>
      <c r="AQ295" s="63"/>
      <c r="AR295" s="63"/>
      <c r="AS295" s="63"/>
      <c r="AT295" s="63"/>
    </row>
    <row r="296" ht="15.75" customHeight="1">
      <c r="A296" s="63"/>
      <c r="B296" s="63"/>
      <c r="C296" s="63"/>
      <c r="D296" s="63"/>
      <c r="E296" s="63"/>
      <c r="F296" s="37"/>
      <c r="G296" s="37"/>
      <c r="H296" s="37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  <c r="AO296" s="63"/>
      <c r="AP296" s="63"/>
      <c r="AQ296" s="63"/>
      <c r="AR296" s="63"/>
      <c r="AS296" s="63"/>
      <c r="AT296" s="63"/>
    </row>
    <row r="297" ht="15.75" customHeight="1">
      <c r="A297" s="63"/>
      <c r="B297" s="63"/>
      <c r="C297" s="63"/>
      <c r="D297" s="63"/>
      <c r="E297" s="63"/>
      <c r="F297" s="37"/>
      <c r="G297" s="37"/>
      <c r="H297" s="37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3"/>
      <c r="AP297" s="63"/>
      <c r="AQ297" s="63"/>
      <c r="AR297" s="63"/>
      <c r="AS297" s="63"/>
      <c r="AT297" s="63"/>
    </row>
    <row r="298" ht="15.75" customHeight="1">
      <c r="A298" s="63"/>
      <c r="B298" s="63"/>
      <c r="C298" s="63"/>
      <c r="D298" s="63"/>
      <c r="E298" s="63"/>
      <c r="F298" s="37"/>
      <c r="G298" s="37"/>
      <c r="H298" s="37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  <c r="AO298" s="63"/>
      <c r="AP298" s="63"/>
      <c r="AQ298" s="63"/>
      <c r="AR298" s="63"/>
      <c r="AS298" s="63"/>
      <c r="AT298" s="63"/>
    </row>
    <row r="299" ht="15.75" customHeight="1">
      <c r="A299" s="63"/>
      <c r="B299" s="63"/>
      <c r="C299" s="63"/>
      <c r="D299" s="63"/>
      <c r="E299" s="63"/>
      <c r="F299" s="37"/>
      <c r="G299" s="37"/>
      <c r="H299" s="37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  <c r="AS299" s="63"/>
      <c r="AT299" s="63"/>
    </row>
    <row r="300" ht="15.75" customHeight="1">
      <c r="A300" s="63"/>
      <c r="B300" s="63"/>
      <c r="C300" s="63"/>
      <c r="D300" s="63"/>
      <c r="E300" s="63"/>
      <c r="F300" s="37"/>
      <c r="G300" s="37"/>
      <c r="H300" s="37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  <c r="AS300" s="63"/>
      <c r="AT300" s="63"/>
    </row>
    <row r="301" ht="15.75" customHeight="1">
      <c r="A301" s="63"/>
      <c r="B301" s="63"/>
      <c r="C301" s="63"/>
      <c r="D301" s="63"/>
      <c r="E301" s="63"/>
      <c r="F301" s="37"/>
      <c r="G301" s="37"/>
      <c r="H301" s="37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  <c r="AS301" s="63"/>
      <c r="AT301" s="63"/>
    </row>
    <row r="302" ht="15.75" customHeight="1">
      <c r="A302" s="63"/>
      <c r="B302" s="63"/>
      <c r="C302" s="63"/>
      <c r="D302" s="63"/>
      <c r="E302" s="63"/>
      <c r="F302" s="37"/>
      <c r="G302" s="37"/>
      <c r="H302" s="37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  <c r="AS302" s="63"/>
      <c r="AT302" s="63"/>
    </row>
    <row r="303" ht="15.75" customHeight="1">
      <c r="A303" s="63"/>
      <c r="B303" s="63"/>
      <c r="C303" s="63"/>
      <c r="D303" s="63"/>
      <c r="E303" s="63"/>
      <c r="F303" s="37"/>
      <c r="G303" s="37"/>
      <c r="H303" s="37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  <c r="AS303" s="63"/>
      <c r="AT303" s="63"/>
    </row>
    <row r="304" ht="15.75" customHeight="1">
      <c r="A304" s="63"/>
      <c r="B304" s="63"/>
      <c r="C304" s="63"/>
      <c r="D304" s="63"/>
      <c r="E304" s="63"/>
      <c r="F304" s="37"/>
      <c r="G304" s="37"/>
      <c r="H304" s="37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  <c r="AO304" s="63"/>
      <c r="AP304" s="63"/>
      <c r="AQ304" s="63"/>
      <c r="AR304" s="63"/>
      <c r="AS304" s="63"/>
      <c r="AT304" s="63"/>
    </row>
    <row r="305" ht="15.75" customHeight="1">
      <c r="A305" s="63"/>
      <c r="B305" s="63"/>
      <c r="C305" s="63"/>
      <c r="D305" s="63"/>
      <c r="E305" s="63"/>
      <c r="F305" s="37"/>
      <c r="G305" s="37"/>
      <c r="H305" s="37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3"/>
      <c r="AP305" s="63"/>
      <c r="AQ305" s="63"/>
      <c r="AR305" s="63"/>
      <c r="AS305" s="63"/>
      <c r="AT305" s="63"/>
    </row>
    <row r="306" ht="15.75" customHeight="1">
      <c r="A306" s="63"/>
      <c r="B306" s="63"/>
      <c r="C306" s="63"/>
      <c r="D306" s="63"/>
      <c r="E306" s="63"/>
      <c r="F306" s="37"/>
      <c r="G306" s="37"/>
      <c r="H306" s="37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  <c r="AS306" s="63"/>
      <c r="AT306" s="63"/>
    </row>
    <row r="307" ht="15.75" customHeight="1">
      <c r="A307" s="63"/>
      <c r="B307" s="63"/>
      <c r="C307" s="63"/>
      <c r="D307" s="63"/>
      <c r="E307" s="63"/>
      <c r="F307" s="37"/>
      <c r="G307" s="37"/>
      <c r="H307" s="37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3"/>
      <c r="AP307" s="63"/>
      <c r="AQ307" s="63"/>
      <c r="AR307" s="63"/>
      <c r="AS307" s="63"/>
      <c r="AT307" s="63"/>
    </row>
    <row r="308" ht="15.75" customHeight="1">
      <c r="A308" s="63"/>
      <c r="B308" s="63"/>
      <c r="C308" s="63"/>
      <c r="D308" s="63"/>
      <c r="E308" s="63"/>
      <c r="F308" s="37"/>
      <c r="G308" s="37"/>
      <c r="H308" s="37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  <c r="AO308" s="63"/>
      <c r="AP308" s="63"/>
      <c r="AQ308" s="63"/>
      <c r="AR308" s="63"/>
      <c r="AS308" s="63"/>
      <c r="AT308" s="63"/>
    </row>
    <row r="309" ht="15.75" customHeight="1">
      <c r="A309" s="63"/>
      <c r="B309" s="63"/>
      <c r="C309" s="63"/>
      <c r="D309" s="63"/>
      <c r="E309" s="63"/>
      <c r="F309" s="37"/>
      <c r="G309" s="37"/>
      <c r="H309" s="37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3"/>
      <c r="AP309" s="63"/>
      <c r="AQ309" s="63"/>
      <c r="AR309" s="63"/>
      <c r="AS309" s="63"/>
      <c r="AT309" s="63"/>
    </row>
    <row r="310" ht="15.75" customHeight="1">
      <c r="A310" s="63"/>
      <c r="B310" s="63"/>
      <c r="C310" s="63"/>
      <c r="D310" s="63"/>
      <c r="E310" s="63"/>
      <c r="F310" s="37"/>
      <c r="G310" s="37"/>
      <c r="H310" s="37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  <c r="AS310" s="63"/>
      <c r="AT310" s="63"/>
    </row>
    <row r="311" ht="15.75" customHeight="1">
      <c r="A311" s="63"/>
      <c r="B311" s="63"/>
      <c r="C311" s="63"/>
      <c r="D311" s="63"/>
      <c r="E311" s="63"/>
      <c r="F311" s="37"/>
      <c r="G311" s="37"/>
      <c r="H311" s="37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3"/>
      <c r="AP311" s="63"/>
      <c r="AQ311" s="63"/>
      <c r="AR311" s="63"/>
      <c r="AS311" s="63"/>
      <c r="AT311" s="63"/>
    </row>
    <row r="312" ht="15.75" customHeight="1">
      <c r="A312" s="63"/>
      <c r="B312" s="63"/>
      <c r="C312" s="63"/>
      <c r="D312" s="63"/>
      <c r="E312" s="63"/>
      <c r="F312" s="37"/>
      <c r="G312" s="37"/>
      <c r="H312" s="37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  <c r="AS312" s="63"/>
      <c r="AT312" s="63"/>
    </row>
    <row r="313" ht="15.75" customHeight="1">
      <c r="A313" s="63"/>
      <c r="B313" s="63"/>
      <c r="C313" s="63"/>
      <c r="D313" s="63"/>
      <c r="E313" s="63"/>
      <c r="F313" s="37"/>
      <c r="G313" s="37"/>
      <c r="H313" s="37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  <c r="AS313" s="63"/>
      <c r="AT313" s="63"/>
    </row>
    <row r="314" ht="15.75" customHeight="1">
      <c r="A314" s="63"/>
      <c r="B314" s="63"/>
      <c r="C314" s="63"/>
      <c r="D314" s="63"/>
      <c r="E314" s="63"/>
      <c r="F314" s="37"/>
      <c r="G314" s="37"/>
      <c r="H314" s="37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  <c r="AS314" s="63"/>
      <c r="AT314" s="63"/>
    </row>
    <row r="315" ht="15.75" customHeight="1">
      <c r="A315" s="63"/>
      <c r="B315" s="63"/>
      <c r="C315" s="63"/>
      <c r="D315" s="63"/>
      <c r="E315" s="63"/>
      <c r="F315" s="37"/>
      <c r="G315" s="37"/>
      <c r="H315" s="37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  <c r="AS315" s="63"/>
      <c r="AT315" s="63"/>
    </row>
    <row r="316" ht="15.75" customHeight="1">
      <c r="A316" s="63"/>
      <c r="B316" s="63"/>
      <c r="C316" s="63"/>
      <c r="D316" s="63"/>
      <c r="E316" s="63"/>
      <c r="F316" s="37"/>
      <c r="G316" s="37"/>
      <c r="H316" s="37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  <c r="AS316" s="63"/>
      <c r="AT316" s="63"/>
    </row>
    <row r="317" ht="15.75" customHeight="1">
      <c r="A317" s="63"/>
      <c r="B317" s="63"/>
      <c r="C317" s="63"/>
      <c r="D317" s="63"/>
      <c r="E317" s="63"/>
      <c r="F317" s="37"/>
      <c r="G317" s="37"/>
      <c r="H317" s="37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  <c r="AS317" s="63"/>
      <c r="AT317" s="63"/>
    </row>
    <row r="318" ht="15.75" customHeight="1">
      <c r="A318" s="63"/>
      <c r="B318" s="63"/>
      <c r="C318" s="63"/>
      <c r="D318" s="63"/>
      <c r="E318" s="63"/>
      <c r="F318" s="37"/>
      <c r="G318" s="37"/>
      <c r="H318" s="37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  <c r="AS318" s="63"/>
      <c r="AT318" s="63"/>
    </row>
    <row r="319" ht="15.75" customHeight="1">
      <c r="A319" s="63"/>
      <c r="B319" s="63"/>
      <c r="C319" s="63"/>
      <c r="D319" s="63"/>
      <c r="E319" s="63"/>
      <c r="F319" s="37"/>
      <c r="G319" s="37"/>
      <c r="H319" s="37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  <c r="AS319" s="63"/>
      <c r="AT319" s="63"/>
    </row>
    <row r="320" ht="15.75" customHeight="1">
      <c r="A320" s="63"/>
      <c r="B320" s="63"/>
      <c r="C320" s="63"/>
      <c r="D320" s="63"/>
      <c r="E320" s="63"/>
      <c r="F320" s="37"/>
      <c r="G320" s="37"/>
      <c r="H320" s="37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  <c r="AS320" s="63"/>
      <c r="AT320" s="63"/>
    </row>
    <row r="321" ht="15.75" customHeight="1">
      <c r="A321" s="63"/>
      <c r="B321" s="63"/>
      <c r="C321" s="63"/>
      <c r="D321" s="63"/>
      <c r="E321" s="63"/>
      <c r="F321" s="37"/>
      <c r="G321" s="37"/>
      <c r="H321" s="37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  <c r="AO321" s="63"/>
      <c r="AP321" s="63"/>
      <c r="AQ321" s="63"/>
      <c r="AR321" s="63"/>
      <c r="AS321" s="63"/>
      <c r="AT321" s="63"/>
    </row>
    <row r="322" ht="15.75" customHeight="1">
      <c r="A322" s="63"/>
      <c r="B322" s="63"/>
      <c r="C322" s="63"/>
      <c r="D322" s="63"/>
      <c r="E322" s="63"/>
      <c r="F322" s="37"/>
      <c r="G322" s="37"/>
      <c r="H322" s="37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  <c r="AS322" s="63"/>
      <c r="AT322" s="63"/>
    </row>
    <row r="323" ht="15.75" customHeight="1">
      <c r="A323" s="63"/>
      <c r="B323" s="63"/>
      <c r="C323" s="63"/>
      <c r="D323" s="63"/>
      <c r="E323" s="63"/>
      <c r="F323" s="37"/>
      <c r="G323" s="37"/>
      <c r="H323" s="37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  <c r="AS323" s="63"/>
      <c r="AT323" s="63"/>
    </row>
    <row r="324" ht="15.75" customHeight="1">
      <c r="A324" s="63"/>
      <c r="B324" s="63"/>
      <c r="C324" s="63"/>
      <c r="D324" s="63"/>
      <c r="E324" s="63"/>
      <c r="F324" s="37"/>
      <c r="G324" s="37"/>
      <c r="H324" s="37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  <c r="AS324" s="63"/>
      <c r="AT324" s="63"/>
    </row>
    <row r="325" ht="15.75" customHeight="1">
      <c r="A325" s="63"/>
      <c r="B325" s="63"/>
      <c r="C325" s="63"/>
      <c r="D325" s="63"/>
      <c r="E325" s="63"/>
      <c r="F325" s="37"/>
      <c r="G325" s="37"/>
      <c r="H325" s="37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  <c r="AS325" s="63"/>
      <c r="AT325" s="63"/>
    </row>
    <row r="326" ht="15.75" customHeight="1">
      <c r="A326" s="63"/>
      <c r="B326" s="63"/>
      <c r="C326" s="63"/>
      <c r="D326" s="63"/>
      <c r="E326" s="63"/>
      <c r="F326" s="37"/>
      <c r="G326" s="37"/>
      <c r="H326" s="37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  <c r="AS326" s="63"/>
      <c r="AT326" s="63"/>
    </row>
    <row r="327" ht="15.75" customHeight="1">
      <c r="A327" s="63"/>
      <c r="B327" s="63"/>
      <c r="C327" s="63"/>
      <c r="D327" s="63"/>
      <c r="E327" s="63"/>
      <c r="F327" s="37"/>
      <c r="G327" s="37"/>
      <c r="H327" s="37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  <c r="AS327" s="63"/>
      <c r="AT327" s="63"/>
    </row>
    <row r="328" ht="15.75" customHeight="1">
      <c r="A328" s="63"/>
      <c r="B328" s="63"/>
      <c r="C328" s="63"/>
      <c r="D328" s="63"/>
      <c r="E328" s="63"/>
      <c r="F328" s="37"/>
      <c r="G328" s="37"/>
      <c r="H328" s="37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  <c r="AS328" s="63"/>
      <c r="AT328" s="63"/>
    </row>
    <row r="329" ht="15.75" customHeight="1">
      <c r="A329" s="63"/>
      <c r="B329" s="63"/>
      <c r="C329" s="63"/>
      <c r="D329" s="63"/>
      <c r="E329" s="63"/>
      <c r="F329" s="37"/>
      <c r="G329" s="37"/>
      <c r="H329" s="37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  <c r="AS329" s="63"/>
      <c r="AT329" s="63"/>
    </row>
    <row r="330" ht="15.75" customHeight="1">
      <c r="A330" s="63"/>
      <c r="B330" s="63"/>
      <c r="C330" s="63"/>
      <c r="D330" s="63"/>
      <c r="E330" s="63"/>
      <c r="F330" s="37"/>
      <c r="G330" s="37"/>
      <c r="H330" s="37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  <c r="AS330" s="63"/>
      <c r="AT330" s="63"/>
    </row>
    <row r="331" ht="15.75" customHeight="1">
      <c r="A331" s="63"/>
      <c r="B331" s="63"/>
      <c r="C331" s="63"/>
      <c r="D331" s="63"/>
      <c r="E331" s="63"/>
      <c r="F331" s="37"/>
      <c r="G331" s="37"/>
      <c r="H331" s="37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  <c r="AS331" s="63"/>
      <c r="AT331" s="63"/>
    </row>
    <row r="332" ht="15.75" customHeight="1">
      <c r="A332" s="63"/>
      <c r="B332" s="63"/>
      <c r="C332" s="63"/>
      <c r="D332" s="63"/>
      <c r="E332" s="63"/>
      <c r="F332" s="37"/>
      <c r="G332" s="37"/>
      <c r="H332" s="37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  <c r="AS332" s="63"/>
      <c r="AT332" s="63"/>
    </row>
    <row r="333" ht="15.75" customHeight="1">
      <c r="A333" s="63"/>
      <c r="B333" s="63"/>
      <c r="C333" s="63"/>
      <c r="D333" s="63"/>
      <c r="E333" s="63"/>
      <c r="F333" s="37"/>
      <c r="G333" s="37"/>
      <c r="H333" s="37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  <c r="AS333" s="63"/>
      <c r="AT333" s="63"/>
    </row>
    <row r="334" ht="15.75" customHeight="1">
      <c r="A334" s="63"/>
      <c r="B334" s="63"/>
      <c r="C334" s="63"/>
      <c r="D334" s="63"/>
      <c r="E334" s="63"/>
      <c r="F334" s="37"/>
      <c r="G334" s="37"/>
      <c r="H334" s="37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  <c r="AS334" s="63"/>
      <c r="AT334" s="63"/>
    </row>
    <row r="335" ht="15.75" customHeight="1">
      <c r="A335" s="63"/>
      <c r="B335" s="63"/>
      <c r="C335" s="63"/>
      <c r="D335" s="63"/>
      <c r="E335" s="63"/>
      <c r="F335" s="37"/>
      <c r="G335" s="37"/>
      <c r="H335" s="37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  <c r="AS335" s="63"/>
      <c r="AT335" s="63"/>
    </row>
    <row r="336" ht="15.75" customHeight="1">
      <c r="A336" s="63"/>
      <c r="B336" s="63"/>
      <c r="C336" s="63"/>
      <c r="D336" s="63"/>
      <c r="E336" s="63"/>
      <c r="F336" s="37"/>
      <c r="G336" s="37"/>
      <c r="H336" s="37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  <c r="AS336" s="63"/>
      <c r="AT336" s="63"/>
    </row>
    <row r="337" ht="15.75" customHeight="1">
      <c r="A337" s="63"/>
      <c r="B337" s="63"/>
      <c r="C337" s="63"/>
      <c r="D337" s="63"/>
      <c r="E337" s="63"/>
      <c r="F337" s="37"/>
      <c r="G337" s="37"/>
      <c r="H337" s="37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  <c r="AS337" s="63"/>
      <c r="AT337" s="63"/>
    </row>
    <row r="338" ht="15.75" customHeight="1">
      <c r="A338" s="63"/>
      <c r="B338" s="63"/>
      <c r="C338" s="63"/>
      <c r="D338" s="63"/>
      <c r="E338" s="63"/>
      <c r="F338" s="37"/>
      <c r="G338" s="37"/>
      <c r="H338" s="37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  <c r="AS338" s="63"/>
      <c r="AT338" s="63"/>
    </row>
    <row r="339" ht="15.75" customHeight="1">
      <c r="A339" s="63"/>
      <c r="B339" s="63"/>
      <c r="C339" s="63"/>
      <c r="D339" s="63"/>
      <c r="E339" s="63"/>
      <c r="F339" s="37"/>
      <c r="G339" s="37"/>
      <c r="H339" s="37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  <c r="AS339" s="63"/>
      <c r="AT339" s="63"/>
    </row>
    <row r="340" ht="15.75" customHeight="1">
      <c r="A340" s="63"/>
      <c r="B340" s="63"/>
      <c r="C340" s="63"/>
      <c r="D340" s="63"/>
      <c r="E340" s="63"/>
      <c r="F340" s="37"/>
      <c r="G340" s="37"/>
      <c r="H340" s="37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  <c r="AS340" s="63"/>
      <c r="AT340" s="63"/>
    </row>
    <row r="341" ht="15.75" customHeight="1">
      <c r="A341" s="63"/>
      <c r="B341" s="63"/>
      <c r="C341" s="63"/>
      <c r="D341" s="63"/>
      <c r="E341" s="63"/>
      <c r="F341" s="37"/>
      <c r="G341" s="37"/>
      <c r="H341" s="37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  <c r="AS341" s="63"/>
      <c r="AT341" s="63"/>
    </row>
    <row r="342" ht="15.75" customHeight="1">
      <c r="A342" s="63"/>
      <c r="B342" s="63"/>
      <c r="C342" s="63"/>
      <c r="D342" s="63"/>
      <c r="E342" s="63"/>
      <c r="F342" s="37"/>
      <c r="G342" s="37"/>
      <c r="H342" s="37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  <c r="AS342" s="63"/>
      <c r="AT342" s="63"/>
    </row>
    <row r="343" ht="15.75" customHeight="1">
      <c r="A343" s="63"/>
      <c r="B343" s="63"/>
      <c r="C343" s="63"/>
      <c r="D343" s="63"/>
      <c r="E343" s="63"/>
      <c r="F343" s="37"/>
      <c r="G343" s="37"/>
      <c r="H343" s="37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  <c r="AS343" s="63"/>
      <c r="AT343" s="63"/>
    </row>
    <row r="344" ht="15.75" customHeight="1">
      <c r="A344" s="63"/>
      <c r="B344" s="63"/>
      <c r="C344" s="63"/>
      <c r="D344" s="63"/>
      <c r="E344" s="63"/>
      <c r="F344" s="37"/>
      <c r="G344" s="37"/>
      <c r="H344" s="37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  <c r="AS344" s="63"/>
      <c r="AT344" s="63"/>
    </row>
    <row r="345" ht="15.75" customHeight="1">
      <c r="A345" s="63"/>
      <c r="B345" s="63"/>
      <c r="C345" s="63"/>
      <c r="D345" s="63"/>
      <c r="E345" s="63"/>
      <c r="F345" s="37"/>
      <c r="G345" s="37"/>
      <c r="H345" s="37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  <c r="AS345" s="63"/>
      <c r="AT345" s="63"/>
    </row>
    <row r="346" ht="15.75" customHeight="1">
      <c r="A346" s="63"/>
      <c r="B346" s="63"/>
      <c r="C346" s="63"/>
      <c r="D346" s="63"/>
      <c r="E346" s="63"/>
      <c r="F346" s="37"/>
      <c r="G346" s="37"/>
      <c r="H346" s="37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  <c r="AS346" s="63"/>
      <c r="AT346" s="63"/>
    </row>
    <row r="347" ht="15.75" customHeight="1">
      <c r="A347" s="63"/>
      <c r="B347" s="63"/>
      <c r="C347" s="63"/>
      <c r="D347" s="63"/>
      <c r="E347" s="63"/>
      <c r="F347" s="37"/>
      <c r="G347" s="37"/>
      <c r="H347" s="37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  <c r="AS347" s="63"/>
      <c r="AT347" s="63"/>
    </row>
    <row r="348" ht="15.75" customHeight="1">
      <c r="A348" s="63"/>
      <c r="B348" s="63"/>
      <c r="C348" s="63"/>
      <c r="D348" s="63"/>
      <c r="E348" s="63"/>
      <c r="F348" s="37"/>
      <c r="G348" s="37"/>
      <c r="H348" s="37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  <c r="AS348" s="63"/>
      <c r="AT348" s="63"/>
    </row>
    <row r="349" ht="15.75" customHeight="1">
      <c r="A349" s="63"/>
      <c r="B349" s="63"/>
      <c r="C349" s="63"/>
      <c r="D349" s="63"/>
      <c r="E349" s="63"/>
      <c r="F349" s="37"/>
      <c r="G349" s="37"/>
      <c r="H349" s="37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  <c r="AS349" s="63"/>
      <c r="AT349" s="63"/>
    </row>
    <row r="350" ht="15.75" customHeight="1">
      <c r="A350" s="63"/>
      <c r="B350" s="63"/>
      <c r="C350" s="63"/>
      <c r="D350" s="63"/>
      <c r="E350" s="63"/>
      <c r="F350" s="37"/>
      <c r="G350" s="37"/>
      <c r="H350" s="37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  <c r="AS350" s="63"/>
      <c r="AT350" s="63"/>
    </row>
    <row r="351" ht="15.75" customHeight="1">
      <c r="A351" s="63"/>
      <c r="B351" s="63"/>
      <c r="C351" s="63"/>
      <c r="D351" s="63"/>
      <c r="E351" s="63"/>
      <c r="F351" s="37"/>
      <c r="G351" s="37"/>
      <c r="H351" s="37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  <c r="AS351" s="63"/>
      <c r="AT351" s="63"/>
    </row>
    <row r="352" ht="15.75" customHeight="1">
      <c r="A352" s="63"/>
      <c r="B352" s="63"/>
      <c r="C352" s="63"/>
      <c r="D352" s="63"/>
      <c r="E352" s="63"/>
      <c r="F352" s="37"/>
      <c r="G352" s="37"/>
      <c r="H352" s="37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  <c r="AS352" s="63"/>
      <c r="AT352" s="63"/>
    </row>
    <row r="353" ht="15.75" customHeight="1">
      <c r="A353" s="63"/>
      <c r="B353" s="63"/>
      <c r="C353" s="63"/>
      <c r="D353" s="63"/>
      <c r="E353" s="63"/>
      <c r="F353" s="37"/>
      <c r="G353" s="37"/>
      <c r="H353" s="37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  <c r="AS353" s="63"/>
      <c r="AT353" s="63"/>
    </row>
    <row r="354" ht="15.75" customHeight="1">
      <c r="A354" s="63"/>
      <c r="B354" s="63"/>
      <c r="C354" s="63"/>
      <c r="D354" s="63"/>
      <c r="E354" s="63"/>
      <c r="F354" s="37"/>
      <c r="G354" s="37"/>
      <c r="H354" s="37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  <c r="AS354" s="63"/>
      <c r="AT354" s="63"/>
    </row>
    <row r="355" ht="15.75" customHeight="1">
      <c r="A355" s="63"/>
      <c r="B355" s="63"/>
      <c r="C355" s="63"/>
      <c r="D355" s="63"/>
      <c r="E355" s="63"/>
      <c r="F355" s="37"/>
      <c r="G355" s="37"/>
      <c r="H355" s="37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  <c r="AS355" s="63"/>
      <c r="AT355" s="63"/>
    </row>
    <row r="356" ht="15.75" customHeight="1">
      <c r="A356" s="63"/>
      <c r="B356" s="63"/>
      <c r="C356" s="63"/>
      <c r="D356" s="63"/>
      <c r="E356" s="63"/>
      <c r="F356" s="37"/>
      <c r="G356" s="37"/>
      <c r="H356" s="37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  <c r="AS356" s="63"/>
      <c r="AT356" s="63"/>
    </row>
    <row r="357" ht="15.75" customHeight="1">
      <c r="A357" s="63"/>
      <c r="B357" s="63"/>
      <c r="C357" s="63"/>
      <c r="D357" s="63"/>
      <c r="E357" s="63"/>
      <c r="F357" s="37"/>
      <c r="G357" s="37"/>
      <c r="H357" s="37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  <c r="AS357" s="63"/>
      <c r="AT357" s="63"/>
    </row>
    <row r="358" ht="15.75" customHeight="1">
      <c r="A358" s="63"/>
      <c r="B358" s="63"/>
      <c r="C358" s="63"/>
      <c r="D358" s="63"/>
      <c r="E358" s="63"/>
      <c r="F358" s="37"/>
      <c r="G358" s="37"/>
      <c r="H358" s="37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  <c r="AS358" s="63"/>
      <c r="AT358" s="63"/>
    </row>
    <row r="359" ht="15.75" customHeight="1">
      <c r="A359" s="63"/>
      <c r="B359" s="63"/>
      <c r="C359" s="63"/>
      <c r="D359" s="63"/>
      <c r="E359" s="63"/>
      <c r="F359" s="37"/>
      <c r="G359" s="37"/>
      <c r="H359" s="37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  <c r="AS359" s="63"/>
      <c r="AT359" s="63"/>
    </row>
    <row r="360" ht="15.75" customHeight="1">
      <c r="A360" s="63"/>
      <c r="B360" s="63"/>
      <c r="C360" s="63"/>
      <c r="D360" s="63"/>
      <c r="E360" s="63"/>
      <c r="F360" s="37"/>
      <c r="G360" s="37"/>
      <c r="H360" s="37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  <c r="AS360" s="63"/>
      <c r="AT360" s="63"/>
    </row>
    <row r="361" ht="15.75" customHeight="1">
      <c r="A361" s="63"/>
      <c r="B361" s="63"/>
      <c r="C361" s="63"/>
      <c r="D361" s="63"/>
      <c r="E361" s="63"/>
      <c r="F361" s="37"/>
      <c r="G361" s="37"/>
      <c r="H361" s="37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  <c r="AS361" s="63"/>
      <c r="AT361" s="63"/>
    </row>
    <row r="362" ht="15.75" customHeight="1">
      <c r="A362" s="63"/>
      <c r="B362" s="63"/>
      <c r="C362" s="63"/>
      <c r="D362" s="63"/>
      <c r="E362" s="63"/>
      <c r="F362" s="37"/>
      <c r="G362" s="37"/>
      <c r="H362" s="37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  <c r="AS362" s="63"/>
      <c r="AT362" s="63"/>
    </row>
    <row r="363" ht="15.75" customHeight="1">
      <c r="A363" s="63"/>
      <c r="B363" s="63"/>
      <c r="C363" s="63"/>
      <c r="D363" s="63"/>
      <c r="E363" s="63"/>
      <c r="F363" s="37"/>
      <c r="G363" s="37"/>
      <c r="H363" s="37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  <c r="AS363" s="63"/>
      <c r="AT363" s="63"/>
    </row>
    <row r="364" ht="15.75" customHeight="1">
      <c r="A364" s="63"/>
      <c r="B364" s="63"/>
      <c r="C364" s="63"/>
      <c r="D364" s="63"/>
      <c r="E364" s="63"/>
      <c r="F364" s="37"/>
      <c r="G364" s="37"/>
      <c r="H364" s="37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  <c r="AS364" s="63"/>
      <c r="AT364" s="63"/>
    </row>
    <row r="365" ht="15.75" customHeight="1">
      <c r="A365" s="63"/>
      <c r="B365" s="63"/>
      <c r="C365" s="63"/>
      <c r="D365" s="63"/>
      <c r="E365" s="63"/>
      <c r="F365" s="37"/>
      <c r="G365" s="37"/>
      <c r="H365" s="37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  <c r="AS365" s="63"/>
      <c r="AT365" s="63"/>
    </row>
    <row r="366" ht="15.75" customHeight="1">
      <c r="A366" s="63"/>
      <c r="B366" s="63"/>
      <c r="C366" s="63"/>
      <c r="D366" s="63"/>
      <c r="E366" s="63"/>
      <c r="F366" s="37"/>
      <c r="G366" s="37"/>
      <c r="H366" s="37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  <c r="AS366" s="63"/>
      <c r="AT366" s="63"/>
    </row>
    <row r="367" ht="15.75" customHeight="1">
      <c r="A367" s="63"/>
      <c r="B367" s="63"/>
      <c r="C367" s="63"/>
      <c r="D367" s="63"/>
      <c r="E367" s="63"/>
      <c r="F367" s="37"/>
      <c r="G367" s="37"/>
      <c r="H367" s="37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  <c r="AS367" s="63"/>
      <c r="AT367" s="63"/>
    </row>
    <row r="368" ht="15.75" customHeight="1">
      <c r="A368" s="63"/>
      <c r="B368" s="63"/>
      <c r="C368" s="63"/>
      <c r="D368" s="63"/>
      <c r="E368" s="63"/>
      <c r="F368" s="37"/>
      <c r="G368" s="37"/>
      <c r="H368" s="37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  <c r="AS368" s="63"/>
      <c r="AT368" s="63"/>
    </row>
    <row r="369" ht="15.75" customHeight="1">
      <c r="A369" s="63"/>
      <c r="B369" s="63"/>
      <c r="C369" s="63"/>
      <c r="D369" s="63"/>
      <c r="E369" s="63"/>
      <c r="F369" s="37"/>
      <c r="G369" s="37"/>
      <c r="H369" s="37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  <c r="AS369" s="63"/>
      <c r="AT369" s="63"/>
    </row>
    <row r="370" ht="15.75" customHeight="1">
      <c r="A370" s="63"/>
      <c r="B370" s="63"/>
      <c r="C370" s="63"/>
      <c r="D370" s="63"/>
      <c r="E370" s="63"/>
      <c r="F370" s="37"/>
      <c r="G370" s="37"/>
      <c r="H370" s="37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  <c r="AS370" s="63"/>
      <c r="AT370" s="63"/>
    </row>
    <row r="371" ht="15.75" customHeight="1">
      <c r="A371" s="63"/>
      <c r="B371" s="63"/>
      <c r="C371" s="63"/>
      <c r="D371" s="63"/>
      <c r="E371" s="63"/>
      <c r="F371" s="37"/>
      <c r="G371" s="37"/>
      <c r="H371" s="37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  <c r="AS371" s="63"/>
      <c r="AT371" s="63"/>
    </row>
    <row r="372" ht="15.75" customHeight="1">
      <c r="A372" s="63"/>
      <c r="B372" s="63"/>
      <c r="C372" s="63"/>
      <c r="D372" s="63"/>
      <c r="E372" s="63"/>
      <c r="F372" s="37"/>
      <c r="G372" s="37"/>
      <c r="H372" s="37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  <c r="AS372" s="63"/>
      <c r="AT372" s="63"/>
    </row>
    <row r="373" ht="15.75" customHeight="1">
      <c r="A373" s="63"/>
      <c r="B373" s="63"/>
      <c r="C373" s="63"/>
      <c r="D373" s="63"/>
      <c r="E373" s="63"/>
      <c r="F373" s="37"/>
      <c r="G373" s="37"/>
      <c r="H373" s="37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  <c r="AS373" s="63"/>
      <c r="AT373" s="63"/>
    </row>
    <row r="374" ht="15.75" customHeight="1">
      <c r="A374" s="63"/>
      <c r="B374" s="63"/>
      <c r="C374" s="63"/>
      <c r="D374" s="63"/>
      <c r="E374" s="63"/>
      <c r="F374" s="37"/>
      <c r="G374" s="37"/>
      <c r="H374" s="37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  <c r="AS374" s="63"/>
      <c r="AT374" s="63"/>
    </row>
    <row r="375" ht="15.75" customHeight="1">
      <c r="A375" s="63"/>
      <c r="B375" s="63"/>
      <c r="C375" s="63"/>
      <c r="D375" s="63"/>
      <c r="E375" s="63"/>
      <c r="F375" s="37"/>
      <c r="G375" s="37"/>
      <c r="H375" s="37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  <c r="AS375" s="63"/>
      <c r="AT375" s="63"/>
    </row>
    <row r="376" ht="15.75" customHeight="1">
      <c r="A376" s="63"/>
      <c r="B376" s="63"/>
      <c r="C376" s="63"/>
      <c r="D376" s="63"/>
      <c r="E376" s="63"/>
      <c r="F376" s="37"/>
      <c r="G376" s="37"/>
      <c r="H376" s="37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  <c r="AS376" s="63"/>
      <c r="AT376" s="63"/>
    </row>
    <row r="377" ht="15.75" customHeight="1">
      <c r="A377" s="63"/>
      <c r="B377" s="63"/>
      <c r="C377" s="63"/>
      <c r="D377" s="63"/>
      <c r="E377" s="63"/>
      <c r="F377" s="37"/>
      <c r="G377" s="37"/>
      <c r="H377" s="37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  <c r="AS377" s="63"/>
      <c r="AT377" s="63"/>
    </row>
    <row r="378" ht="15.75" customHeight="1">
      <c r="A378" s="63"/>
      <c r="B378" s="63"/>
      <c r="C378" s="63"/>
      <c r="D378" s="63"/>
      <c r="E378" s="63"/>
      <c r="F378" s="37"/>
      <c r="G378" s="37"/>
      <c r="H378" s="37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  <c r="AS378" s="63"/>
      <c r="AT378" s="63"/>
    </row>
    <row r="379" ht="15.75" customHeight="1">
      <c r="A379" s="63"/>
      <c r="B379" s="63"/>
      <c r="C379" s="63"/>
      <c r="D379" s="63"/>
      <c r="E379" s="63"/>
      <c r="F379" s="37"/>
      <c r="G379" s="37"/>
      <c r="H379" s="37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  <c r="AS379" s="63"/>
      <c r="AT379" s="63"/>
    </row>
    <row r="380" ht="15.75" customHeight="1">
      <c r="A380" s="63"/>
      <c r="B380" s="63"/>
      <c r="C380" s="63"/>
      <c r="D380" s="63"/>
      <c r="E380" s="63"/>
      <c r="F380" s="37"/>
      <c r="G380" s="37"/>
      <c r="H380" s="37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  <c r="AS380" s="63"/>
      <c r="AT380" s="63"/>
    </row>
    <row r="381" ht="15.75" customHeight="1">
      <c r="A381" s="63"/>
      <c r="B381" s="63"/>
      <c r="C381" s="63"/>
      <c r="D381" s="63"/>
      <c r="E381" s="63"/>
      <c r="F381" s="37"/>
      <c r="G381" s="37"/>
      <c r="H381" s="37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  <c r="AS381" s="63"/>
      <c r="AT381" s="63"/>
    </row>
    <row r="382" ht="15.75" customHeight="1">
      <c r="A382" s="63"/>
      <c r="B382" s="63"/>
      <c r="C382" s="63"/>
      <c r="D382" s="63"/>
      <c r="E382" s="63"/>
      <c r="F382" s="37"/>
      <c r="G382" s="37"/>
      <c r="H382" s="37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  <c r="AS382" s="63"/>
      <c r="AT382" s="63"/>
    </row>
    <row r="383" ht="15.75" customHeight="1">
      <c r="A383" s="63"/>
      <c r="B383" s="63"/>
      <c r="C383" s="63"/>
      <c r="D383" s="63"/>
      <c r="E383" s="63"/>
      <c r="F383" s="37"/>
      <c r="G383" s="37"/>
      <c r="H383" s="37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  <c r="AS383" s="63"/>
      <c r="AT383" s="63"/>
    </row>
    <row r="384" ht="15.75" customHeight="1">
      <c r="A384" s="63"/>
      <c r="B384" s="63"/>
      <c r="C384" s="63"/>
      <c r="D384" s="63"/>
      <c r="E384" s="63"/>
      <c r="F384" s="37"/>
      <c r="G384" s="37"/>
      <c r="H384" s="37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  <c r="AS384" s="63"/>
      <c r="AT384" s="63"/>
    </row>
    <row r="385" ht="15.75" customHeight="1">
      <c r="A385" s="63"/>
      <c r="B385" s="63"/>
      <c r="C385" s="63"/>
      <c r="D385" s="63"/>
      <c r="E385" s="63"/>
      <c r="F385" s="37"/>
      <c r="G385" s="37"/>
      <c r="H385" s="37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  <c r="AS385" s="63"/>
      <c r="AT385" s="63"/>
    </row>
    <row r="386" ht="15.75" customHeight="1">
      <c r="A386" s="63"/>
      <c r="B386" s="63"/>
      <c r="C386" s="63"/>
      <c r="D386" s="63"/>
      <c r="E386" s="63"/>
      <c r="F386" s="37"/>
      <c r="G386" s="37"/>
      <c r="H386" s="37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  <c r="AS386" s="63"/>
      <c r="AT386" s="63"/>
    </row>
    <row r="387" ht="15.75" customHeight="1">
      <c r="A387" s="63"/>
      <c r="B387" s="63"/>
      <c r="C387" s="63"/>
      <c r="D387" s="63"/>
      <c r="E387" s="63"/>
      <c r="F387" s="37"/>
      <c r="G387" s="37"/>
      <c r="H387" s="37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  <c r="AS387" s="63"/>
      <c r="AT387" s="63"/>
    </row>
    <row r="388" ht="15.75" customHeight="1">
      <c r="A388" s="63"/>
      <c r="B388" s="63"/>
      <c r="C388" s="63"/>
      <c r="D388" s="63"/>
      <c r="E388" s="63"/>
      <c r="F388" s="37"/>
      <c r="G388" s="37"/>
      <c r="H388" s="37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  <c r="AS388" s="63"/>
      <c r="AT388" s="63"/>
    </row>
    <row r="389" ht="15.75" customHeight="1">
      <c r="A389" s="63"/>
      <c r="B389" s="63"/>
      <c r="C389" s="63"/>
      <c r="D389" s="63"/>
      <c r="E389" s="63"/>
      <c r="F389" s="37"/>
      <c r="G389" s="37"/>
      <c r="H389" s="37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  <c r="AS389" s="63"/>
      <c r="AT389" s="63"/>
    </row>
    <row r="390" ht="15.75" customHeight="1">
      <c r="A390" s="63"/>
      <c r="B390" s="63"/>
      <c r="C390" s="63"/>
      <c r="D390" s="63"/>
      <c r="E390" s="63"/>
      <c r="F390" s="37"/>
      <c r="G390" s="37"/>
      <c r="H390" s="37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  <c r="AS390" s="63"/>
      <c r="AT390" s="63"/>
    </row>
    <row r="391" ht="15.75" customHeight="1">
      <c r="A391" s="63"/>
      <c r="B391" s="63"/>
      <c r="C391" s="63"/>
      <c r="D391" s="63"/>
      <c r="E391" s="63"/>
      <c r="F391" s="37"/>
      <c r="G391" s="37"/>
      <c r="H391" s="37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  <c r="AS391" s="63"/>
      <c r="AT391" s="63"/>
    </row>
    <row r="392" ht="15.75" customHeight="1">
      <c r="A392" s="63"/>
      <c r="B392" s="63"/>
      <c r="C392" s="63"/>
      <c r="D392" s="63"/>
      <c r="E392" s="63"/>
      <c r="F392" s="37"/>
      <c r="G392" s="37"/>
      <c r="H392" s="37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  <c r="AS392" s="63"/>
      <c r="AT392" s="63"/>
    </row>
    <row r="393" ht="15.75" customHeight="1">
      <c r="A393" s="63"/>
      <c r="B393" s="63"/>
      <c r="C393" s="63"/>
      <c r="D393" s="63"/>
      <c r="E393" s="63"/>
      <c r="F393" s="37"/>
      <c r="G393" s="37"/>
      <c r="H393" s="37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  <c r="AS393" s="63"/>
      <c r="AT393" s="63"/>
    </row>
    <row r="394" ht="15.75" customHeight="1">
      <c r="A394" s="63"/>
      <c r="B394" s="63"/>
      <c r="C394" s="63"/>
      <c r="D394" s="63"/>
      <c r="E394" s="63"/>
      <c r="F394" s="37"/>
      <c r="G394" s="37"/>
      <c r="H394" s="37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  <c r="AS394" s="63"/>
      <c r="AT394" s="63"/>
    </row>
    <row r="395" ht="15.75" customHeight="1">
      <c r="A395" s="63"/>
      <c r="B395" s="63"/>
      <c r="C395" s="63"/>
      <c r="D395" s="63"/>
      <c r="E395" s="63"/>
      <c r="F395" s="37"/>
      <c r="G395" s="37"/>
      <c r="H395" s="37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  <c r="AS395" s="63"/>
      <c r="AT395" s="63"/>
    </row>
    <row r="396" ht="15.75" customHeight="1">
      <c r="A396" s="63"/>
      <c r="B396" s="63"/>
      <c r="C396" s="63"/>
      <c r="D396" s="63"/>
      <c r="E396" s="63"/>
      <c r="F396" s="37"/>
      <c r="G396" s="37"/>
      <c r="H396" s="37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  <c r="AS396" s="63"/>
      <c r="AT396" s="63"/>
    </row>
    <row r="397" ht="15.75" customHeight="1">
      <c r="A397" s="63"/>
      <c r="B397" s="63"/>
      <c r="C397" s="63"/>
      <c r="D397" s="63"/>
      <c r="E397" s="63"/>
      <c r="F397" s="37"/>
      <c r="G397" s="37"/>
      <c r="H397" s="37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  <c r="AS397" s="63"/>
      <c r="AT397" s="63"/>
    </row>
    <row r="398" ht="15.75" customHeight="1">
      <c r="A398" s="63"/>
      <c r="B398" s="63"/>
      <c r="C398" s="63"/>
      <c r="D398" s="63"/>
      <c r="E398" s="63"/>
      <c r="F398" s="37"/>
      <c r="G398" s="37"/>
      <c r="H398" s="37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  <c r="AS398" s="63"/>
      <c r="AT398" s="63"/>
    </row>
    <row r="399" ht="15.75" customHeight="1">
      <c r="A399" s="63"/>
      <c r="B399" s="63"/>
      <c r="C399" s="63"/>
      <c r="D399" s="63"/>
      <c r="E399" s="63"/>
      <c r="F399" s="37"/>
      <c r="G399" s="37"/>
      <c r="H399" s="37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  <c r="AS399" s="63"/>
      <c r="AT399" s="63"/>
    </row>
    <row r="400" ht="15.75" customHeight="1">
      <c r="A400" s="63"/>
      <c r="B400" s="63"/>
      <c r="C400" s="63"/>
      <c r="D400" s="63"/>
      <c r="E400" s="63"/>
      <c r="F400" s="37"/>
      <c r="G400" s="37"/>
      <c r="H400" s="37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  <c r="AS400" s="63"/>
      <c r="AT400" s="63"/>
    </row>
    <row r="401" ht="15.75" customHeight="1">
      <c r="A401" s="63"/>
      <c r="B401" s="63"/>
      <c r="C401" s="63"/>
      <c r="D401" s="63"/>
      <c r="E401" s="63"/>
      <c r="F401" s="37"/>
      <c r="G401" s="37"/>
      <c r="H401" s="37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  <c r="AS401" s="63"/>
      <c r="AT401" s="63"/>
    </row>
    <row r="402" ht="15.75" customHeight="1">
      <c r="A402" s="63"/>
      <c r="B402" s="63"/>
      <c r="C402" s="63"/>
      <c r="D402" s="63"/>
      <c r="E402" s="63"/>
      <c r="F402" s="37"/>
      <c r="G402" s="37"/>
      <c r="H402" s="37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  <c r="AS402" s="63"/>
      <c r="AT402" s="63"/>
    </row>
    <row r="403" ht="15.75" customHeight="1">
      <c r="A403" s="63"/>
      <c r="B403" s="63"/>
      <c r="C403" s="63"/>
      <c r="D403" s="63"/>
      <c r="E403" s="63"/>
      <c r="F403" s="37"/>
      <c r="G403" s="37"/>
      <c r="H403" s="37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  <c r="AS403" s="63"/>
      <c r="AT403" s="63"/>
    </row>
    <row r="404" ht="15.75" customHeight="1">
      <c r="A404" s="63"/>
      <c r="B404" s="63"/>
      <c r="C404" s="63"/>
      <c r="D404" s="63"/>
      <c r="E404" s="63"/>
      <c r="F404" s="37"/>
      <c r="G404" s="37"/>
      <c r="H404" s="37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  <c r="AS404" s="63"/>
      <c r="AT404" s="63"/>
    </row>
    <row r="405" ht="15.75" customHeight="1">
      <c r="A405" s="63"/>
      <c r="B405" s="63"/>
      <c r="C405" s="63"/>
      <c r="D405" s="63"/>
      <c r="E405" s="63"/>
      <c r="F405" s="37"/>
      <c r="G405" s="37"/>
      <c r="H405" s="37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  <c r="AS405" s="63"/>
      <c r="AT405" s="63"/>
    </row>
    <row r="406" ht="15.75" customHeight="1">
      <c r="A406" s="63"/>
      <c r="B406" s="63"/>
      <c r="C406" s="63"/>
      <c r="D406" s="63"/>
      <c r="E406" s="63"/>
      <c r="F406" s="37"/>
      <c r="G406" s="37"/>
      <c r="H406" s="37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  <c r="AS406" s="63"/>
      <c r="AT406" s="63"/>
    </row>
    <row r="407" ht="15.75" customHeight="1">
      <c r="A407" s="63"/>
      <c r="B407" s="63"/>
      <c r="C407" s="63"/>
      <c r="D407" s="63"/>
      <c r="E407" s="63"/>
      <c r="F407" s="37"/>
      <c r="G407" s="37"/>
      <c r="H407" s="37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  <c r="AS407" s="63"/>
      <c r="AT407" s="63"/>
    </row>
    <row r="408" ht="15.75" customHeight="1">
      <c r="A408" s="63"/>
      <c r="B408" s="63"/>
      <c r="C408" s="63"/>
      <c r="D408" s="63"/>
      <c r="E408" s="63"/>
      <c r="F408" s="37"/>
      <c r="G408" s="37"/>
      <c r="H408" s="37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  <c r="AS408" s="63"/>
      <c r="AT408" s="63"/>
    </row>
    <row r="409" ht="15.75" customHeight="1">
      <c r="A409" s="63"/>
      <c r="B409" s="63"/>
      <c r="C409" s="63"/>
      <c r="D409" s="63"/>
      <c r="E409" s="63"/>
      <c r="F409" s="37"/>
      <c r="G409" s="37"/>
      <c r="H409" s="37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  <c r="AS409" s="63"/>
      <c r="AT409" s="63"/>
    </row>
    <row r="410" ht="15.75" customHeight="1">
      <c r="A410" s="63"/>
      <c r="B410" s="63"/>
      <c r="C410" s="63"/>
      <c r="D410" s="63"/>
      <c r="E410" s="63"/>
      <c r="F410" s="37"/>
      <c r="G410" s="37"/>
      <c r="H410" s="37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  <c r="AS410" s="63"/>
      <c r="AT410" s="63"/>
    </row>
    <row r="411" ht="15.75" customHeight="1">
      <c r="A411" s="63"/>
      <c r="B411" s="63"/>
      <c r="C411" s="63"/>
      <c r="D411" s="63"/>
      <c r="E411" s="63"/>
      <c r="F411" s="37"/>
      <c r="G411" s="37"/>
      <c r="H411" s="37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  <c r="AS411" s="63"/>
      <c r="AT411" s="63"/>
    </row>
    <row r="412" ht="15.75" customHeight="1">
      <c r="A412" s="63"/>
      <c r="B412" s="63"/>
      <c r="C412" s="63"/>
      <c r="D412" s="63"/>
      <c r="E412" s="63"/>
      <c r="F412" s="37"/>
      <c r="G412" s="37"/>
      <c r="H412" s="37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  <c r="AS412" s="63"/>
      <c r="AT412" s="63"/>
    </row>
    <row r="413" ht="15.75" customHeight="1">
      <c r="A413" s="63"/>
      <c r="B413" s="63"/>
      <c r="C413" s="63"/>
      <c r="D413" s="63"/>
      <c r="E413" s="63"/>
      <c r="F413" s="37"/>
      <c r="G413" s="37"/>
      <c r="H413" s="37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  <c r="AS413" s="63"/>
      <c r="AT413" s="63"/>
    </row>
    <row r="414" ht="15.75" customHeight="1">
      <c r="A414" s="63"/>
      <c r="B414" s="63"/>
      <c r="C414" s="63"/>
      <c r="D414" s="63"/>
      <c r="E414" s="63"/>
      <c r="F414" s="37"/>
      <c r="G414" s="37"/>
      <c r="H414" s="37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  <c r="AS414" s="63"/>
      <c r="AT414" s="63"/>
    </row>
    <row r="415" ht="15.75" customHeight="1">
      <c r="A415" s="63"/>
      <c r="B415" s="63"/>
      <c r="C415" s="63"/>
      <c r="D415" s="63"/>
      <c r="E415" s="63"/>
      <c r="F415" s="37"/>
      <c r="G415" s="37"/>
      <c r="H415" s="37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  <c r="AS415" s="63"/>
      <c r="AT415" s="63"/>
    </row>
    <row r="416" ht="15.75" customHeight="1">
      <c r="A416" s="63"/>
      <c r="B416" s="63"/>
      <c r="C416" s="63"/>
      <c r="D416" s="63"/>
      <c r="E416" s="63"/>
      <c r="F416" s="37"/>
      <c r="G416" s="37"/>
      <c r="H416" s="37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  <c r="AS416" s="63"/>
      <c r="AT416" s="63"/>
    </row>
    <row r="417" ht="15.75" customHeight="1">
      <c r="A417" s="63"/>
      <c r="B417" s="63"/>
      <c r="C417" s="63"/>
      <c r="D417" s="63"/>
      <c r="E417" s="63"/>
      <c r="F417" s="37"/>
      <c r="G417" s="37"/>
      <c r="H417" s="37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  <c r="AS417" s="63"/>
      <c r="AT417" s="63"/>
    </row>
    <row r="418" ht="15.75" customHeight="1">
      <c r="A418" s="63"/>
      <c r="B418" s="63"/>
      <c r="C418" s="63"/>
      <c r="D418" s="63"/>
      <c r="E418" s="63"/>
      <c r="F418" s="37"/>
      <c r="G418" s="37"/>
      <c r="H418" s="37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  <c r="AS418" s="63"/>
      <c r="AT418" s="63"/>
    </row>
    <row r="419" ht="15.75" customHeight="1">
      <c r="A419" s="63"/>
      <c r="B419" s="63"/>
      <c r="C419" s="63"/>
      <c r="D419" s="63"/>
      <c r="E419" s="63"/>
      <c r="F419" s="37"/>
      <c r="G419" s="37"/>
      <c r="H419" s="37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  <c r="AS419" s="63"/>
      <c r="AT419" s="63"/>
    </row>
    <row r="420" ht="15.75" customHeight="1">
      <c r="A420" s="63"/>
      <c r="B420" s="63"/>
      <c r="C420" s="63"/>
      <c r="D420" s="63"/>
      <c r="E420" s="63"/>
      <c r="F420" s="37"/>
      <c r="G420" s="37"/>
      <c r="H420" s="37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  <c r="AS420" s="63"/>
      <c r="AT420" s="63"/>
    </row>
    <row r="421" ht="15.75" customHeight="1">
      <c r="A421" s="63"/>
      <c r="B421" s="63"/>
      <c r="C421" s="63"/>
      <c r="D421" s="63"/>
      <c r="E421" s="63"/>
      <c r="F421" s="37"/>
      <c r="G421" s="37"/>
      <c r="H421" s="37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  <c r="AS421" s="63"/>
      <c r="AT421" s="63"/>
    </row>
    <row r="422" ht="15.75" customHeight="1">
      <c r="A422" s="63"/>
      <c r="B422" s="63"/>
      <c r="C422" s="63"/>
      <c r="D422" s="63"/>
      <c r="E422" s="63"/>
      <c r="F422" s="37"/>
      <c r="G422" s="37"/>
      <c r="H422" s="37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  <c r="AS422" s="63"/>
      <c r="AT422" s="63"/>
    </row>
    <row r="423" ht="15.75" customHeight="1">
      <c r="A423" s="63"/>
      <c r="B423" s="63"/>
      <c r="C423" s="63"/>
      <c r="D423" s="63"/>
      <c r="E423" s="63"/>
      <c r="F423" s="37"/>
      <c r="G423" s="37"/>
      <c r="H423" s="37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  <c r="AS423" s="63"/>
      <c r="AT423" s="63"/>
    </row>
    <row r="424" ht="15.75" customHeight="1">
      <c r="A424" s="63"/>
      <c r="B424" s="63"/>
      <c r="C424" s="63"/>
      <c r="D424" s="63"/>
      <c r="E424" s="63"/>
      <c r="F424" s="37"/>
      <c r="G424" s="37"/>
      <c r="H424" s="37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  <c r="AS424" s="63"/>
      <c r="AT424" s="63"/>
    </row>
    <row r="425" ht="15.75" customHeight="1">
      <c r="A425" s="63"/>
      <c r="B425" s="63"/>
      <c r="C425" s="63"/>
      <c r="D425" s="63"/>
      <c r="E425" s="63"/>
      <c r="F425" s="37"/>
      <c r="G425" s="37"/>
      <c r="H425" s="37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  <c r="AS425" s="63"/>
      <c r="AT425" s="63"/>
    </row>
    <row r="426" ht="15.75" customHeight="1">
      <c r="A426" s="63"/>
      <c r="B426" s="63"/>
      <c r="C426" s="63"/>
      <c r="D426" s="63"/>
      <c r="E426" s="63"/>
      <c r="F426" s="37"/>
      <c r="G426" s="37"/>
      <c r="H426" s="37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  <c r="AS426" s="63"/>
      <c r="AT426" s="63"/>
    </row>
    <row r="427" ht="15.75" customHeight="1">
      <c r="A427" s="63"/>
      <c r="B427" s="63"/>
      <c r="C427" s="63"/>
      <c r="D427" s="63"/>
      <c r="E427" s="63"/>
      <c r="F427" s="37"/>
      <c r="G427" s="37"/>
      <c r="H427" s="37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  <c r="AS427" s="63"/>
      <c r="AT427" s="63"/>
    </row>
    <row r="428" ht="15.75" customHeight="1">
      <c r="A428" s="63"/>
      <c r="B428" s="63"/>
      <c r="C428" s="63"/>
      <c r="D428" s="63"/>
      <c r="E428" s="63"/>
      <c r="F428" s="37"/>
      <c r="G428" s="37"/>
      <c r="H428" s="37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  <c r="AS428" s="63"/>
      <c r="AT428" s="63"/>
    </row>
    <row r="429" ht="15.75" customHeight="1">
      <c r="A429" s="63"/>
      <c r="B429" s="63"/>
      <c r="C429" s="63"/>
      <c r="D429" s="63"/>
      <c r="E429" s="63"/>
      <c r="F429" s="37"/>
      <c r="G429" s="37"/>
      <c r="H429" s="37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  <c r="AS429" s="63"/>
      <c r="AT429" s="63"/>
    </row>
    <row r="430" ht="15.75" customHeight="1">
      <c r="A430" s="63"/>
      <c r="B430" s="63"/>
      <c r="C430" s="63"/>
      <c r="D430" s="63"/>
      <c r="E430" s="63"/>
      <c r="F430" s="37"/>
      <c r="G430" s="37"/>
      <c r="H430" s="37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  <c r="AS430" s="63"/>
      <c r="AT430" s="63"/>
    </row>
    <row r="431" ht="15.75" customHeight="1">
      <c r="A431" s="63"/>
      <c r="B431" s="63"/>
      <c r="C431" s="63"/>
      <c r="D431" s="63"/>
      <c r="E431" s="63"/>
      <c r="F431" s="37"/>
      <c r="G431" s="37"/>
      <c r="H431" s="37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  <c r="AS431" s="63"/>
      <c r="AT431" s="63"/>
    </row>
    <row r="432" ht="15.75" customHeight="1">
      <c r="A432" s="63"/>
      <c r="B432" s="63"/>
      <c r="C432" s="63"/>
      <c r="D432" s="63"/>
      <c r="E432" s="63"/>
      <c r="F432" s="37"/>
      <c r="G432" s="37"/>
      <c r="H432" s="37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  <c r="AS432" s="63"/>
      <c r="AT432" s="63"/>
    </row>
    <row r="433" ht="15.75" customHeight="1">
      <c r="A433" s="63"/>
      <c r="B433" s="63"/>
      <c r="C433" s="63"/>
      <c r="D433" s="63"/>
      <c r="E433" s="63"/>
      <c r="F433" s="37"/>
      <c r="G433" s="37"/>
      <c r="H433" s="37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  <c r="AS433" s="63"/>
      <c r="AT433" s="63"/>
    </row>
    <row r="434" ht="15.75" customHeight="1">
      <c r="A434" s="63"/>
      <c r="B434" s="63"/>
      <c r="C434" s="63"/>
      <c r="D434" s="63"/>
      <c r="E434" s="63"/>
      <c r="F434" s="37"/>
      <c r="G434" s="37"/>
      <c r="H434" s="37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  <c r="AS434" s="63"/>
      <c r="AT434" s="63"/>
    </row>
    <row r="435" ht="15.75" customHeight="1">
      <c r="A435" s="63"/>
      <c r="B435" s="63"/>
      <c r="C435" s="63"/>
      <c r="D435" s="63"/>
      <c r="E435" s="63"/>
      <c r="F435" s="37"/>
      <c r="G435" s="37"/>
      <c r="H435" s="37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  <c r="AS435" s="63"/>
      <c r="AT435" s="63"/>
    </row>
    <row r="436" ht="15.75" customHeight="1">
      <c r="A436" s="63"/>
      <c r="B436" s="63"/>
      <c r="C436" s="63"/>
      <c r="D436" s="63"/>
      <c r="E436" s="63"/>
      <c r="F436" s="37"/>
      <c r="G436" s="37"/>
      <c r="H436" s="37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  <c r="AS436" s="63"/>
      <c r="AT436" s="63"/>
    </row>
    <row r="437" ht="15.75" customHeight="1">
      <c r="A437" s="63"/>
      <c r="B437" s="63"/>
      <c r="C437" s="63"/>
      <c r="D437" s="63"/>
      <c r="E437" s="63"/>
      <c r="F437" s="37"/>
      <c r="G437" s="37"/>
      <c r="H437" s="37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  <c r="AS437" s="63"/>
      <c r="AT437" s="63"/>
    </row>
    <row r="438" ht="15.75" customHeight="1">
      <c r="A438" s="63"/>
      <c r="B438" s="63"/>
      <c r="C438" s="63"/>
      <c r="D438" s="63"/>
      <c r="E438" s="63"/>
      <c r="F438" s="37"/>
      <c r="G438" s="37"/>
      <c r="H438" s="37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  <c r="AS438" s="63"/>
      <c r="AT438" s="63"/>
    </row>
    <row r="439" ht="15.75" customHeight="1">
      <c r="A439" s="63"/>
      <c r="B439" s="63"/>
      <c r="C439" s="63"/>
      <c r="D439" s="63"/>
      <c r="E439" s="63"/>
      <c r="F439" s="37"/>
      <c r="G439" s="37"/>
      <c r="H439" s="37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  <c r="AS439" s="63"/>
      <c r="AT439" s="63"/>
    </row>
    <row r="440" ht="15.75" customHeight="1">
      <c r="A440" s="63"/>
      <c r="B440" s="63"/>
      <c r="C440" s="63"/>
      <c r="D440" s="63"/>
      <c r="E440" s="63"/>
      <c r="F440" s="37"/>
      <c r="G440" s="37"/>
      <c r="H440" s="37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  <c r="AS440" s="63"/>
      <c r="AT440" s="63"/>
    </row>
    <row r="441" ht="15.75" customHeight="1">
      <c r="A441" s="63"/>
      <c r="B441" s="63"/>
      <c r="C441" s="63"/>
      <c r="D441" s="63"/>
      <c r="E441" s="63"/>
      <c r="F441" s="37"/>
      <c r="G441" s="37"/>
      <c r="H441" s="37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  <c r="AS441" s="63"/>
      <c r="AT441" s="63"/>
    </row>
    <row r="442" ht="15.75" customHeight="1">
      <c r="A442" s="63"/>
      <c r="B442" s="63"/>
      <c r="C442" s="63"/>
      <c r="D442" s="63"/>
      <c r="E442" s="63"/>
      <c r="F442" s="37"/>
      <c r="G442" s="37"/>
      <c r="H442" s="37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  <c r="AS442" s="63"/>
      <c r="AT442" s="63"/>
    </row>
    <row r="443" ht="15.75" customHeight="1">
      <c r="A443" s="63"/>
      <c r="B443" s="63"/>
      <c r="C443" s="63"/>
      <c r="D443" s="63"/>
      <c r="E443" s="63"/>
      <c r="F443" s="37"/>
      <c r="G443" s="37"/>
      <c r="H443" s="37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  <c r="AS443" s="63"/>
      <c r="AT443" s="63"/>
    </row>
    <row r="444" ht="15.75" customHeight="1">
      <c r="A444" s="63"/>
      <c r="B444" s="63"/>
      <c r="C444" s="63"/>
      <c r="D444" s="63"/>
      <c r="E444" s="63"/>
      <c r="F444" s="37"/>
      <c r="G444" s="37"/>
      <c r="H444" s="37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  <c r="AS444" s="63"/>
      <c r="AT444" s="63"/>
    </row>
    <row r="445" ht="15.75" customHeight="1">
      <c r="A445" s="63"/>
      <c r="B445" s="63"/>
      <c r="C445" s="63"/>
      <c r="D445" s="63"/>
      <c r="E445" s="63"/>
      <c r="F445" s="37"/>
      <c r="G445" s="37"/>
      <c r="H445" s="37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  <c r="AS445" s="63"/>
      <c r="AT445" s="63"/>
    </row>
    <row r="446" ht="15.75" customHeight="1">
      <c r="A446" s="63"/>
      <c r="B446" s="63"/>
      <c r="C446" s="63"/>
      <c r="D446" s="63"/>
      <c r="E446" s="63"/>
      <c r="F446" s="37"/>
      <c r="G446" s="37"/>
      <c r="H446" s="37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  <c r="AS446" s="63"/>
      <c r="AT446" s="63"/>
    </row>
    <row r="447" ht="15.75" customHeight="1">
      <c r="A447" s="63"/>
      <c r="B447" s="63"/>
      <c r="C447" s="63"/>
      <c r="D447" s="63"/>
      <c r="E447" s="63"/>
      <c r="F447" s="37"/>
      <c r="G447" s="37"/>
      <c r="H447" s="37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  <c r="AS447" s="63"/>
      <c r="AT447" s="63"/>
    </row>
    <row r="448" ht="15.75" customHeight="1">
      <c r="A448" s="63"/>
      <c r="B448" s="63"/>
      <c r="C448" s="63"/>
      <c r="D448" s="63"/>
      <c r="E448" s="63"/>
      <c r="F448" s="37"/>
      <c r="G448" s="37"/>
      <c r="H448" s="37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  <c r="AS448" s="63"/>
      <c r="AT448" s="63"/>
    </row>
    <row r="449" ht="15.75" customHeight="1">
      <c r="A449" s="63"/>
      <c r="B449" s="63"/>
      <c r="C449" s="63"/>
      <c r="D449" s="63"/>
      <c r="E449" s="63"/>
      <c r="F449" s="37"/>
      <c r="G449" s="37"/>
      <c r="H449" s="37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  <c r="AS449" s="63"/>
      <c r="AT449" s="63"/>
    </row>
    <row r="450" ht="15.75" customHeight="1">
      <c r="A450" s="63"/>
      <c r="B450" s="63"/>
      <c r="C450" s="63"/>
      <c r="D450" s="63"/>
      <c r="E450" s="63"/>
      <c r="F450" s="37"/>
      <c r="G450" s="37"/>
      <c r="H450" s="37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  <c r="AS450" s="63"/>
      <c r="AT450" s="63"/>
    </row>
    <row r="451" ht="15.75" customHeight="1">
      <c r="A451" s="63"/>
      <c r="B451" s="63"/>
      <c r="C451" s="63"/>
      <c r="D451" s="63"/>
      <c r="E451" s="63"/>
      <c r="F451" s="37"/>
      <c r="G451" s="37"/>
      <c r="H451" s="37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  <c r="AS451" s="63"/>
      <c r="AT451" s="63"/>
    </row>
    <row r="452" ht="15.75" customHeight="1">
      <c r="A452" s="63"/>
      <c r="B452" s="63"/>
      <c r="C452" s="63"/>
      <c r="D452" s="63"/>
      <c r="E452" s="63"/>
      <c r="F452" s="37"/>
      <c r="G452" s="37"/>
      <c r="H452" s="37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  <c r="AS452" s="63"/>
      <c r="AT452" s="63"/>
    </row>
    <row r="453" ht="15.75" customHeight="1">
      <c r="A453" s="63"/>
      <c r="B453" s="63"/>
      <c r="C453" s="63"/>
      <c r="D453" s="63"/>
      <c r="E453" s="63"/>
      <c r="F453" s="37"/>
      <c r="G453" s="37"/>
      <c r="H453" s="37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  <c r="AS453" s="63"/>
      <c r="AT453" s="63"/>
    </row>
    <row r="454" ht="15.75" customHeight="1">
      <c r="A454" s="63"/>
      <c r="B454" s="63"/>
      <c r="C454" s="63"/>
      <c r="D454" s="63"/>
      <c r="E454" s="63"/>
      <c r="F454" s="37"/>
      <c r="G454" s="37"/>
      <c r="H454" s="37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  <c r="AS454" s="63"/>
      <c r="AT454" s="63"/>
    </row>
    <row r="455" ht="15.75" customHeight="1">
      <c r="A455" s="63"/>
      <c r="B455" s="63"/>
      <c r="C455" s="63"/>
      <c r="D455" s="63"/>
      <c r="E455" s="63"/>
      <c r="F455" s="37"/>
      <c r="G455" s="37"/>
      <c r="H455" s="37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  <c r="AS455" s="63"/>
      <c r="AT455" s="63"/>
    </row>
    <row r="456" ht="15.75" customHeight="1">
      <c r="A456" s="63"/>
      <c r="B456" s="63"/>
      <c r="C456" s="63"/>
      <c r="D456" s="63"/>
      <c r="E456" s="63"/>
      <c r="F456" s="37"/>
      <c r="G456" s="37"/>
      <c r="H456" s="37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  <c r="AS456" s="63"/>
      <c r="AT456" s="63"/>
    </row>
    <row r="457" ht="15.75" customHeight="1">
      <c r="A457" s="63"/>
      <c r="B457" s="63"/>
      <c r="C457" s="63"/>
      <c r="D457" s="63"/>
      <c r="E457" s="63"/>
      <c r="F457" s="37"/>
      <c r="G457" s="37"/>
      <c r="H457" s="37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  <c r="AS457" s="63"/>
      <c r="AT457" s="63"/>
    </row>
    <row r="458" ht="15.75" customHeight="1">
      <c r="A458" s="63"/>
      <c r="B458" s="63"/>
      <c r="C458" s="63"/>
      <c r="D458" s="63"/>
      <c r="E458" s="63"/>
      <c r="F458" s="37"/>
      <c r="G458" s="37"/>
      <c r="H458" s="37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  <c r="AS458" s="63"/>
      <c r="AT458" s="63"/>
    </row>
    <row r="459" ht="15.75" customHeight="1">
      <c r="A459" s="63"/>
      <c r="B459" s="63"/>
      <c r="C459" s="63"/>
      <c r="D459" s="63"/>
      <c r="E459" s="63"/>
      <c r="F459" s="37"/>
      <c r="G459" s="37"/>
      <c r="H459" s="37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  <c r="AS459" s="63"/>
      <c r="AT459" s="63"/>
    </row>
    <row r="460" ht="15.75" customHeight="1">
      <c r="A460" s="63"/>
      <c r="B460" s="63"/>
      <c r="C460" s="63"/>
      <c r="D460" s="63"/>
      <c r="E460" s="63"/>
      <c r="F460" s="37"/>
      <c r="G460" s="37"/>
      <c r="H460" s="37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  <c r="AS460" s="63"/>
      <c r="AT460" s="63"/>
    </row>
    <row r="461" ht="15.75" customHeight="1">
      <c r="A461" s="63"/>
      <c r="B461" s="63"/>
      <c r="C461" s="63"/>
      <c r="D461" s="63"/>
      <c r="E461" s="63"/>
      <c r="F461" s="37"/>
      <c r="G461" s="37"/>
      <c r="H461" s="37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  <c r="AS461" s="63"/>
      <c r="AT461" s="63"/>
    </row>
    <row r="462" ht="15.75" customHeight="1">
      <c r="A462" s="63"/>
      <c r="B462" s="63"/>
      <c r="C462" s="63"/>
      <c r="D462" s="63"/>
      <c r="E462" s="63"/>
      <c r="F462" s="37"/>
      <c r="G462" s="37"/>
      <c r="H462" s="37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  <c r="AS462" s="63"/>
      <c r="AT462" s="63"/>
    </row>
    <row r="463" ht="15.75" customHeight="1">
      <c r="A463" s="63"/>
      <c r="B463" s="63"/>
      <c r="C463" s="63"/>
      <c r="D463" s="63"/>
      <c r="E463" s="63"/>
      <c r="F463" s="37"/>
      <c r="G463" s="37"/>
      <c r="H463" s="37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  <c r="AS463" s="63"/>
      <c r="AT463" s="63"/>
    </row>
    <row r="464" ht="15.75" customHeight="1">
      <c r="A464" s="63"/>
      <c r="B464" s="63"/>
      <c r="C464" s="63"/>
      <c r="D464" s="63"/>
      <c r="E464" s="63"/>
      <c r="F464" s="37"/>
      <c r="G464" s="37"/>
      <c r="H464" s="37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  <c r="AS464" s="63"/>
      <c r="AT464" s="63"/>
    </row>
    <row r="465" ht="15.75" customHeight="1">
      <c r="A465" s="63"/>
      <c r="B465" s="63"/>
      <c r="C465" s="63"/>
      <c r="D465" s="63"/>
      <c r="E465" s="63"/>
      <c r="F465" s="37"/>
      <c r="G465" s="37"/>
      <c r="H465" s="37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  <c r="AS465" s="63"/>
      <c r="AT465" s="63"/>
    </row>
    <row r="466" ht="15.75" customHeight="1">
      <c r="A466" s="63"/>
      <c r="B466" s="63"/>
      <c r="C466" s="63"/>
      <c r="D466" s="63"/>
      <c r="E466" s="63"/>
      <c r="F466" s="37"/>
      <c r="G466" s="37"/>
      <c r="H466" s="37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  <c r="AS466" s="63"/>
      <c r="AT466" s="63"/>
    </row>
    <row r="467" ht="15.75" customHeight="1">
      <c r="A467" s="63"/>
      <c r="B467" s="63"/>
      <c r="C467" s="63"/>
      <c r="D467" s="63"/>
      <c r="E467" s="63"/>
      <c r="F467" s="37"/>
      <c r="G467" s="37"/>
      <c r="H467" s="37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  <c r="AS467" s="63"/>
      <c r="AT467" s="63"/>
    </row>
    <row r="468" ht="15.75" customHeight="1">
      <c r="A468" s="63"/>
      <c r="B468" s="63"/>
      <c r="C468" s="63"/>
      <c r="D468" s="63"/>
      <c r="E468" s="63"/>
      <c r="F468" s="37"/>
      <c r="G468" s="37"/>
      <c r="H468" s="37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  <c r="AS468" s="63"/>
      <c r="AT468" s="63"/>
    </row>
    <row r="469" ht="15.75" customHeight="1">
      <c r="A469" s="63"/>
      <c r="B469" s="63"/>
      <c r="C469" s="63"/>
      <c r="D469" s="63"/>
      <c r="E469" s="63"/>
      <c r="F469" s="37"/>
      <c r="G469" s="37"/>
      <c r="H469" s="37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  <c r="AS469" s="63"/>
      <c r="AT469" s="63"/>
    </row>
    <row r="470" ht="15.75" customHeight="1">
      <c r="A470" s="63"/>
      <c r="B470" s="63"/>
      <c r="C470" s="63"/>
      <c r="D470" s="63"/>
      <c r="E470" s="63"/>
      <c r="F470" s="37"/>
      <c r="G470" s="37"/>
      <c r="H470" s="37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  <c r="AS470" s="63"/>
      <c r="AT470" s="63"/>
    </row>
    <row r="471" ht="15.75" customHeight="1">
      <c r="A471" s="63"/>
      <c r="B471" s="63"/>
      <c r="C471" s="63"/>
      <c r="D471" s="63"/>
      <c r="E471" s="63"/>
      <c r="F471" s="37"/>
      <c r="G471" s="37"/>
      <c r="H471" s="37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  <c r="AS471" s="63"/>
      <c r="AT471" s="63"/>
    </row>
    <row r="472" ht="15.75" customHeight="1">
      <c r="A472" s="63"/>
      <c r="B472" s="63"/>
      <c r="C472" s="63"/>
      <c r="D472" s="63"/>
      <c r="E472" s="63"/>
      <c r="F472" s="37"/>
      <c r="G472" s="37"/>
      <c r="H472" s="37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  <c r="AS472" s="63"/>
      <c r="AT472" s="63"/>
    </row>
    <row r="473" ht="15.75" customHeight="1">
      <c r="A473" s="63"/>
      <c r="B473" s="63"/>
      <c r="C473" s="63"/>
      <c r="D473" s="63"/>
      <c r="E473" s="63"/>
      <c r="F473" s="37"/>
      <c r="G473" s="37"/>
      <c r="H473" s="37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  <c r="AS473" s="63"/>
      <c r="AT473" s="63"/>
    </row>
    <row r="474" ht="15.75" customHeight="1">
      <c r="A474" s="63"/>
      <c r="B474" s="63"/>
      <c r="C474" s="63"/>
      <c r="D474" s="63"/>
      <c r="E474" s="63"/>
      <c r="F474" s="37"/>
      <c r="G474" s="37"/>
      <c r="H474" s="37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  <c r="AS474" s="63"/>
      <c r="AT474" s="63"/>
    </row>
    <row r="475" ht="15.75" customHeight="1">
      <c r="A475" s="63"/>
      <c r="B475" s="63"/>
      <c r="C475" s="63"/>
      <c r="D475" s="63"/>
      <c r="E475" s="63"/>
      <c r="F475" s="37"/>
      <c r="G475" s="37"/>
      <c r="H475" s="37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  <c r="AS475" s="63"/>
      <c r="AT475" s="63"/>
    </row>
    <row r="476" ht="15.75" customHeight="1">
      <c r="A476" s="63"/>
      <c r="B476" s="63"/>
      <c r="C476" s="63"/>
      <c r="D476" s="63"/>
      <c r="E476" s="63"/>
      <c r="F476" s="37"/>
      <c r="G476" s="37"/>
      <c r="H476" s="37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  <c r="AS476" s="63"/>
      <c r="AT476" s="63"/>
    </row>
    <row r="477" ht="15.75" customHeight="1">
      <c r="A477" s="63"/>
      <c r="B477" s="63"/>
      <c r="C477" s="63"/>
      <c r="D477" s="63"/>
      <c r="E477" s="63"/>
      <c r="F477" s="37"/>
      <c r="G477" s="37"/>
      <c r="H477" s="37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  <c r="AS477" s="63"/>
      <c r="AT477" s="63"/>
    </row>
    <row r="478" ht="15.75" customHeight="1">
      <c r="A478" s="63"/>
      <c r="B478" s="63"/>
      <c r="C478" s="63"/>
      <c r="D478" s="63"/>
      <c r="E478" s="63"/>
      <c r="F478" s="37"/>
      <c r="G478" s="37"/>
      <c r="H478" s="37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  <c r="AS478" s="63"/>
      <c r="AT478" s="63"/>
    </row>
    <row r="479" ht="15.75" customHeight="1">
      <c r="A479" s="63"/>
      <c r="B479" s="63"/>
      <c r="C479" s="63"/>
      <c r="D479" s="63"/>
      <c r="E479" s="63"/>
      <c r="F479" s="37"/>
      <c r="G479" s="37"/>
      <c r="H479" s="37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  <c r="AS479" s="63"/>
      <c r="AT479" s="63"/>
    </row>
    <row r="480" ht="15.75" customHeight="1">
      <c r="A480" s="63"/>
      <c r="B480" s="63"/>
      <c r="C480" s="63"/>
      <c r="D480" s="63"/>
      <c r="E480" s="63"/>
      <c r="F480" s="37"/>
      <c r="G480" s="37"/>
      <c r="H480" s="37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  <c r="AS480" s="63"/>
      <c r="AT480" s="63"/>
    </row>
    <row r="481" ht="15.75" customHeight="1">
      <c r="A481" s="63"/>
      <c r="B481" s="63"/>
      <c r="C481" s="63"/>
      <c r="D481" s="63"/>
      <c r="E481" s="63"/>
      <c r="F481" s="37"/>
      <c r="G481" s="37"/>
      <c r="H481" s="37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  <c r="AS481" s="63"/>
      <c r="AT481" s="63"/>
    </row>
    <row r="482" ht="15.75" customHeight="1">
      <c r="A482" s="63"/>
      <c r="B482" s="63"/>
      <c r="C482" s="63"/>
      <c r="D482" s="63"/>
      <c r="E482" s="63"/>
      <c r="F482" s="37"/>
      <c r="G482" s="37"/>
      <c r="H482" s="37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  <c r="AS482" s="63"/>
      <c r="AT482" s="63"/>
    </row>
    <row r="483" ht="15.75" customHeight="1">
      <c r="A483" s="63"/>
      <c r="B483" s="63"/>
      <c r="C483" s="63"/>
      <c r="D483" s="63"/>
      <c r="E483" s="63"/>
      <c r="F483" s="37"/>
      <c r="G483" s="37"/>
      <c r="H483" s="37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  <c r="AS483" s="63"/>
      <c r="AT483" s="63"/>
    </row>
    <row r="484" ht="15.75" customHeight="1">
      <c r="A484" s="63"/>
      <c r="B484" s="63"/>
      <c r="C484" s="63"/>
      <c r="D484" s="63"/>
      <c r="E484" s="63"/>
      <c r="F484" s="37"/>
      <c r="G484" s="37"/>
      <c r="H484" s="37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  <c r="AS484" s="63"/>
      <c r="AT484" s="63"/>
    </row>
    <row r="485" ht="15.75" customHeight="1">
      <c r="A485" s="63"/>
      <c r="B485" s="63"/>
      <c r="C485" s="63"/>
      <c r="D485" s="63"/>
      <c r="E485" s="63"/>
      <c r="F485" s="37"/>
      <c r="G485" s="37"/>
      <c r="H485" s="37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  <c r="AS485" s="63"/>
      <c r="AT485" s="63"/>
    </row>
    <row r="486" ht="15.75" customHeight="1">
      <c r="A486" s="63"/>
      <c r="B486" s="63"/>
      <c r="C486" s="63"/>
      <c r="D486" s="63"/>
      <c r="E486" s="63"/>
      <c r="F486" s="37"/>
      <c r="G486" s="37"/>
      <c r="H486" s="37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  <c r="AS486" s="63"/>
      <c r="AT486" s="63"/>
    </row>
    <row r="487" ht="15.75" customHeight="1">
      <c r="A487" s="63"/>
      <c r="B487" s="63"/>
      <c r="C487" s="63"/>
      <c r="D487" s="63"/>
      <c r="E487" s="63"/>
      <c r="F487" s="37"/>
      <c r="G487" s="37"/>
      <c r="H487" s="37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  <c r="AS487" s="63"/>
      <c r="AT487" s="63"/>
    </row>
    <row r="488" ht="15.75" customHeight="1">
      <c r="A488" s="63"/>
      <c r="B488" s="63"/>
      <c r="C488" s="63"/>
      <c r="D488" s="63"/>
      <c r="E488" s="63"/>
      <c r="F488" s="37"/>
      <c r="G488" s="37"/>
      <c r="H488" s="37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  <c r="AS488" s="63"/>
      <c r="AT488" s="63"/>
    </row>
    <row r="489" ht="15.75" customHeight="1">
      <c r="A489" s="63"/>
      <c r="B489" s="63"/>
      <c r="C489" s="63"/>
      <c r="D489" s="63"/>
      <c r="E489" s="63"/>
      <c r="F489" s="37"/>
      <c r="G489" s="37"/>
      <c r="H489" s="37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  <c r="AS489" s="63"/>
      <c r="AT489" s="63"/>
    </row>
    <row r="490" ht="15.75" customHeight="1">
      <c r="A490" s="63"/>
      <c r="B490" s="63"/>
      <c r="C490" s="63"/>
      <c r="D490" s="63"/>
      <c r="E490" s="63"/>
      <c r="F490" s="37"/>
      <c r="G490" s="37"/>
      <c r="H490" s="37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  <c r="AS490" s="63"/>
      <c r="AT490" s="63"/>
    </row>
    <row r="491" ht="15.75" customHeight="1">
      <c r="A491" s="63"/>
      <c r="B491" s="63"/>
      <c r="C491" s="63"/>
      <c r="D491" s="63"/>
      <c r="E491" s="63"/>
      <c r="F491" s="37"/>
      <c r="G491" s="37"/>
      <c r="H491" s="37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  <c r="AS491" s="63"/>
      <c r="AT491" s="63"/>
    </row>
    <row r="492" ht="15.75" customHeight="1">
      <c r="A492" s="63"/>
      <c r="B492" s="63"/>
      <c r="C492" s="63"/>
      <c r="D492" s="63"/>
      <c r="E492" s="63"/>
      <c r="F492" s="37"/>
      <c r="G492" s="37"/>
      <c r="H492" s="37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  <c r="AS492" s="63"/>
      <c r="AT492" s="63"/>
    </row>
    <row r="493" ht="15.75" customHeight="1">
      <c r="A493" s="63"/>
      <c r="B493" s="63"/>
      <c r="C493" s="63"/>
      <c r="D493" s="63"/>
      <c r="E493" s="63"/>
      <c r="F493" s="37"/>
      <c r="G493" s="37"/>
      <c r="H493" s="37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  <c r="AS493" s="63"/>
      <c r="AT493" s="63"/>
    </row>
    <row r="494" ht="15.75" customHeight="1">
      <c r="A494" s="63"/>
      <c r="B494" s="63"/>
      <c r="C494" s="63"/>
      <c r="D494" s="63"/>
      <c r="E494" s="63"/>
      <c r="F494" s="37"/>
      <c r="G494" s="37"/>
      <c r="H494" s="37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  <c r="AS494" s="63"/>
      <c r="AT494" s="63"/>
    </row>
    <row r="495" ht="15.75" customHeight="1">
      <c r="A495" s="63"/>
      <c r="B495" s="63"/>
      <c r="C495" s="63"/>
      <c r="D495" s="63"/>
      <c r="E495" s="63"/>
      <c r="F495" s="37"/>
      <c r="G495" s="37"/>
      <c r="H495" s="37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  <c r="AS495" s="63"/>
      <c r="AT495" s="63"/>
    </row>
    <row r="496" ht="15.75" customHeight="1">
      <c r="A496" s="63"/>
      <c r="B496" s="63"/>
      <c r="C496" s="63"/>
      <c r="D496" s="63"/>
      <c r="E496" s="63"/>
      <c r="F496" s="37"/>
      <c r="G496" s="37"/>
      <c r="H496" s="37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  <c r="AS496" s="63"/>
      <c r="AT496" s="63"/>
    </row>
    <row r="497" ht="15.75" customHeight="1">
      <c r="A497" s="63"/>
      <c r="B497" s="63"/>
      <c r="C497" s="63"/>
      <c r="D497" s="63"/>
      <c r="E497" s="63"/>
      <c r="F497" s="37"/>
      <c r="G497" s="37"/>
      <c r="H497" s="37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  <c r="AS497" s="63"/>
      <c r="AT497" s="63"/>
    </row>
    <row r="498" ht="15.75" customHeight="1">
      <c r="A498" s="63"/>
      <c r="B498" s="63"/>
      <c r="C498" s="63"/>
      <c r="D498" s="63"/>
      <c r="E498" s="63"/>
      <c r="F498" s="37"/>
      <c r="G498" s="37"/>
      <c r="H498" s="37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  <c r="AS498" s="63"/>
      <c r="AT498" s="63"/>
    </row>
    <row r="499" ht="15.75" customHeight="1">
      <c r="A499" s="63"/>
      <c r="B499" s="63"/>
      <c r="C499" s="63"/>
      <c r="D499" s="63"/>
      <c r="E499" s="63"/>
      <c r="F499" s="37"/>
      <c r="G499" s="37"/>
      <c r="H499" s="37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  <c r="AS499" s="63"/>
      <c r="AT499" s="63"/>
    </row>
    <row r="500" ht="15.75" customHeight="1">
      <c r="A500" s="63"/>
      <c r="B500" s="63"/>
      <c r="C500" s="63"/>
      <c r="D500" s="63"/>
      <c r="E500" s="63"/>
      <c r="F500" s="37"/>
      <c r="G500" s="37"/>
      <c r="H500" s="37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  <c r="AS500" s="63"/>
      <c r="AT500" s="63"/>
    </row>
    <row r="501" ht="15.75" customHeight="1">
      <c r="A501" s="63"/>
      <c r="B501" s="63"/>
      <c r="C501" s="63"/>
      <c r="D501" s="63"/>
      <c r="E501" s="63"/>
      <c r="F501" s="37"/>
      <c r="G501" s="37"/>
      <c r="H501" s="37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  <c r="AS501" s="63"/>
      <c r="AT501" s="63"/>
    </row>
    <row r="502" ht="15.75" customHeight="1">
      <c r="A502" s="63"/>
      <c r="B502" s="63"/>
      <c r="C502" s="63"/>
      <c r="D502" s="63"/>
      <c r="E502" s="63"/>
      <c r="F502" s="37"/>
      <c r="G502" s="37"/>
      <c r="H502" s="37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  <c r="AS502" s="63"/>
      <c r="AT502" s="63"/>
    </row>
    <row r="503" ht="15.75" customHeight="1">
      <c r="A503" s="63"/>
      <c r="B503" s="63"/>
      <c r="C503" s="63"/>
      <c r="D503" s="63"/>
      <c r="E503" s="63"/>
      <c r="F503" s="37"/>
      <c r="G503" s="37"/>
      <c r="H503" s="37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  <c r="AS503" s="63"/>
      <c r="AT503" s="63"/>
    </row>
    <row r="504" ht="15.75" customHeight="1">
      <c r="A504" s="63"/>
      <c r="B504" s="63"/>
      <c r="C504" s="63"/>
      <c r="D504" s="63"/>
      <c r="E504" s="63"/>
      <c r="F504" s="37"/>
      <c r="G504" s="37"/>
      <c r="H504" s="37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  <c r="AS504" s="63"/>
      <c r="AT504" s="63"/>
    </row>
    <row r="505" ht="15.75" customHeight="1">
      <c r="A505" s="63"/>
      <c r="B505" s="63"/>
      <c r="C505" s="63"/>
      <c r="D505" s="63"/>
      <c r="E505" s="63"/>
      <c r="F505" s="37"/>
      <c r="G505" s="37"/>
      <c r="H505" s="37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  <c r="AS505" s="63"/>
      <c r="AT505" s="63"/>
    </row>
    <row r="506" ht="15.75" customHeight="1">
      <c r="A506" s="63"/>
      <c r="B506" s="63"/>
      <c r="C506" s="63"/>
      <c r="D506" s="63"/>
      <c r="E506" s="63"/>
      <c r="F506" s="37"/>
      <c r="G506" s="37"/>
      <c r="H506" s="37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  <c r="AS506" s="63"/>
      <c r="AT506" s="63"/>
    </row>
    <row r="507" ht="15.75" customHeight="1">
      <c r="A507" s="63"/>
      <c r="B507" s="63"/>
      <c r="C507" s="63"/>
      <c r="D507" s="63"/>
      <c r="E507" s="63"/>
      <c r="F507" s="37"/>
      <c r="G507" s="37"/>
      <c r="H507" s="37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  <c r="AS507" s="63"/>
      <c r="AT507" s="63"/>
    </row>
    <row r="508" ht="15.75" customHeight="1">
      <c r="A508" s="63"/>
      <c r="B508" s="63"/>
      <c r="C508" s="63"/>
      <c r="D508" s="63"/>
      <c r="E508" s="63"/>
      <c r="F508" s="37"/>
      <c r="G508" s="37"/>
      <c r="H508" s="37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  <c r="AS508" s="63"/>
      <c r="AT508" s="63"/>
    </row>
    <row r="509" ht="15.75" customHeight="1">
      <c r="A509" s="63"/>
      <c r="B509" s="63"/>
      <c r="C509" s="63"/>
      <c r="D509" s="63"/>
      <c r="E509" s="63"/>
      <c r="F509" s="37"/>
      <c r="G509" s="37"/>
      <c r="H509" s="37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  <c r="AS509" s="63"/>
      <c r="AT509" s="63"/>
    </row>
    <row r="510" ht="15.75" customHeight="1">
      <c r="A510" s="63"/>
      <c r="B510" s="63"/>
      <c r="C510" s="63"/>
      <c r="D510" s="63"/>
      <c r="E510" s="63"/>
      <c r="F510" s="37"/>
      <c r="G510" s="37"/>
      <c r="H510" s="37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  <c r="AS510" s="63"/>
      <c r="AT510" s="63"/>
    </row>
    <row r="511" ht="15.75" customHeight="1">
      <c r="A511" s="63"/>
      <c r="B511" s="63"/>
      <c r="C511" s="63"/>
      <c r="D511" s="63"/>
      <c r="E511" s="63"/>
      <c r="F511" s="37"/>
      <c r="G511" s="37"/>
      <c r="H511" s="37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  <c r="AS511" s="63"/>
      <c r="AT511" s="63"/>
    </row>
    <row r="512" ht="15.75" customHeight="1">
      <c r="A512" s="63"/>
      <c r="B512" s="63"/>
      <c r="C512" s="63"/>
      <c r="D512" s="63"/>
      <c r="E512" s="63"/>
      <c r="F512" s="37"/>
      <c r="G512" s="37"/>
      <c r="H512" s="37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  <c r="AS512" s="63"/>
      <c r="AT512" s="63"/>
    </row>
    <row r="513" ht="15.75" customHeight="1">
      <c r="A513" s="63"/>
      <c r="B513" s="63"/>
      <c r="C513" s="63"/>
      <c r="D513" s="63"/>
      <c r="E513" s="63"/>
      <c r="F513" s="37"/>
      <c r="G513" s="37"/>
      <c r="H513" s="37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  <c r="AS513" s="63"/>
      <c r="AT513" s="63"/>
    </row>
    <row r="514" ht="15.75" customHeight="1">
      <c r="A514" s="63"/>
      <c r="B514" s="63"/>
      <c r="C514" s="63"/>
      <c r="D514" s="63"/>
      <c r="E514" s="63"/>
      <c r="F514" s="37"/>
      <c r="G514" s="37"/>
      <c r="H514" s="37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  <c r="AS514" s="63"/>
      <c r="AT514" s="63"/>
    </row>
    <row r="515" ht="15.75" customHeight="1">
      <c r="A515" s="63"/>
      <c r="B515" s="63"/>
      <c r="C515" s="63"/>
      <c r="D515" s="63"/>
      <c r="E515" s="63"/>
      <c r="F515" s="37"/>
      <c r="G515" s="37"/>
      <c r="H515" s="37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  <c r="AS515" s="63"/>
      <c r="AT515" s="63"/>
    </row>
    <row r="516" ht="15.75" customHeight="1">
      <c r="A516" s="63"/>
      <c r="B516" s="63"/>
      <c r="C516" s="63"/>
      <c r="D516" s="63"/>
      <c r="E516" s="63"/>
      <c r="F516" s="37"/>
      <c r="G516" s="37"/>
      <c r="H516" s="37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  <c r="AS516" s="63"/>
      <c r="AT516" s="63"/>
    </row>
    <row r="517" ht="15.75" customHeight="1">
      <c r="A517" s="63"/>
      <c r="B517" s="63"/>
      <c r="C517" s="63"/>
      <c r="D517" s="63"/>
      <c r="E517" s="63"/>
      <c r="F517" s="37"/>
      <c r="G517" s="37"/>
      <c r="H517" s="37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  <c r="AS517" s="63"/>
      <c r="AT517" s="63"/>
    </row>
    <row r="518" ht="15.75" customHeight="1">
      <c r="A518" s="63"/>
      <c r="B518" s="63"/>
      <c r="C518" s="63"/>
      <c r="D518" s="63"/>
      <c r="E518" s="63"/>
      <c r="F518" s="37"/>
      <c r="G518" s="37"/>
      <c r="H518" s="37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  <c r="AS518" s="63"/>
      <c r="AT518" s="63"/>
    </row>
    <row r="519" ht="15.75" customHeight="1">
      <c r="A519" s="63"/>
      <c r="B519" s="63"/>
      <c r="C519" s="63"/>
      <c r="D519" s="63"/>
      <c r="E519" s="63"/>
      <c r="F519" s="37"/>
      <c r="G519" s="37"/>
      <c r="H519" s="37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  <c r="AS519" s="63"/>
      <c r="AT519" s="63"/>
    </row>
    <row r="520" ht="15.75" customHeight="1">
      <c r="A520" s="63"/>
      <c r="B520" s="63"/>
      <c r="C520" s="63"/>
      <c r="D520" s="63"/>
      <c r="E520" s="63"/>
      <c r="F520" s="37"/>
      <c r="G520" s="37"/>
      <c r="H520" s="37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  <c r="AS520" s="63"/>
      <c r="AT520" s="63"/>
    </row>
    <row r="521" ht="15.75" customHeight="1">
      <c r="A521" s="63"/>
      <c r="B521" s="63"/>
      <c r="C521" s="63"/>
      <c r="D521" s="63"/>
      <c r="E521" s="63"/>
      <c r="F521" s="37"/>
      <c r="G521" s="37"/>
      <c r="H521" s="37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  <c r="AS521" s="63"/>
      <c r="AT521" s="63"/>
    </row>
    <row r="522" ht="15.75" customHeight="1">
      <c r="A522" s="63"/>
      <c r="B522" s="63"/>
      <c r="C522" s="63"/>
      <c r="D522" s="63"/>
      <c r="E522" s="63"/>
      <c r="F522" s="37"/>
      <c r="G522" s="37"/>
      <c r="H522" s="37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  <c r="AS522" s="63"/>
      <c r="AT522" s="63"/>
    </row>
    <row r="523" ht="15.75" customHeight="1">
      <c r="A523" s="63"/>
      <c r="B523" s="63"/>
      <c r="C523" s="63"/>
      <c r="D523" s="63"/>
      <c r="E523" s="63"/>
      <c r="F523" s="37"/>
      <c r="G523" s="37"/>
      <c r="H523" s="37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  <c r="AS523" s="63"/>
      <c r="AT523" s="63"/>
    </row>
    <row r="524" ht="15.75" customHeight="1">
      <c r="A524" s="63"/>
      <c r="B524" s="63"/>
      <c r="C524" s="63"/>
      <c r="D524" s="63"/>
      <c r="E524" s="63"/>
      <c r="F524" s="37"/>
      <c r="G524" s="37"/>
      <c r="H524" s="37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  <c r="AS524" s="63"/>
      <c r="AT524" s="63"/>
    </row>
    <row r="525" ht="15.75" customHeight="1">
      <c r="A525" s="63"/>
      <c r="B525" s="63"/>
      <c r="C525" s="63"/>
      <c r="D525" s="63"/>
      <c r="E525" s="63"/>
      <c r="F525" s="37"/>
      <c r="G525" s="37"/>
      <c r="H525" s="37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  <c r="AS525" s="63"/>
      <c r="AT525" s="63"/>
    </row>
    <row r="526" ht="15.75" customHeight="1">
      <c r="A526" s="63"/>
      <c r="B526" s="63"/>
      <c r="C526" s="63"/>
      <c r="D526" s="63"/>
      <c r="E526" s="63"/>
      <c r="F526" s="37"/>
      <c r="G526" s="37"/>
      <c r="H526" s="37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  <c r="AS526" s="63"/>
      <c r="AT526" s="63"/>
    </row>
    <row r="527" ht="15.75" customHeight="1">
      <c r="A527" s="63"/>
      <c r="B527" s="63"/>
      <c r="C527" s="63"/>
      <c r="D527" s="63"/>
      <c r="E527" s="63"/>
      <c r="F527" s="37"/>
      <c r="G527" s="37"/>
      <c r="H527" s="37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  <c r="AS527" s="63"/>
      <c r="AT527" s="63"/>
    </row>
    <row r="528" ht="15.75" customHeight="1">
      <c r="A528" s="63"/>
      <c r="B528" s="63"/>
      <c r="C528" s="63"/>
      <c r="D528" s="63"/>
      <c r="E528" s="63"/>
      <c r="F528" s="37"/>
      <c r="G528" s="37"/>
      <c r="H528" s="37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  <c r="AS528" s="63"/>
      <c r="AT528" s="63"/>
    </row>
    <row r="529" ht="15.75" customHeight="1">
      <c r="A529" s="63"/>
      <c r="B529" s="63"/>
      <c r="C529" s="63"/>
      <c r="D529" s="63"/>
      <c r="E529" s="63"/>
      <c r="F529" s="37"/>
      <c r="G529" s="37"/>
      <c r="H529" s="37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  <c r="AS529" s="63"/>
      <c r="AT529" s="63"/>
    </row>
    <row r="530" ht="15.75" customHeight="1">
      <c r="A530" s="63"/>
      <c r="B530" s="63"/>
      <c r="C530" s="63"/>
      <c r="D530" s="63"/>
      <c r="E530" s="63"/>
      <c r="F530" s="37"/>
      <c r="G530" s="37"/>
      <c r="H530" s="37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  <c r="AS530" s="63"/>
      <c r="AT530" s="63"/>
    </row>
    <row r="531" ht="15.75" customHeight="1">
      <c r="A531" s="63"/>
      <c r="B531" s="63"/>
      <c r="C531" s="63"/>
      <c r="D531" s="63"/>
      <c r="E531" s="63"/>
      <c r="F531" s="37"/>
      <c r="G531" s="37"/>
      <c r="H531" s="37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  <c r="AS531" s="63"/>
      <c r="AT531" s="63"/>
    </row>
    <row r="532" ht="15.75" customHeight="1">
      <c r="A532" s="63"/>
      <c r="B532" s="63"/>
      <c r="C532" s="63"/>
      <c r="D532" s="63"/>
      <c r="E532" s="63"/>
      <c r="F532" s="37"/>
      <c r="G532" s="37"/>
      <c r="H532" s="37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  <c r="AS532" s="63"/>
      <c r="AT532" s="63"/>
    </row>
    <row r="533" ht="15.75" customHeight="1">
      <c r="A533" s="63"/>
      <c r="B533" s="63"/>
      <c r="C533" s="63"/>
      <c r="D533" s="63"/>
      <c r="E533" s="63"/>
      <c r="F533" s="37"/>
      <c r="G533" s="37"/>
      <c r="H533" s="37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  <c r="AS533" s="63"/>
      <c r="AT533" s="63"/>
    </row>
    <row r="534" ht="15.75" customHeight="1">
      <c r="A534" s="63"/>
      <c r="B534" s="63"/>
      <c r="C534" s="63"/>
      <c r="D534" s="63"/>
      <c r="E534" s="63"/>
      <c r="F534" s="37"/>
      <c r="G534" s="37"/>
      <c r="H534" s="37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  <c r="AS534" s="63"/>
      <c r="AT534" s="63"/>
    </row>
    <row r="535" ht="15.75" customHeight="1">
      <c r="A535" s="63"/>
      <c r="B535" s="63"/>
      <c r="C535" s="63"/>
      <c r="D535" s="63"/>
      <c r="E535" s="63"/>
      <c r="F535" s="37"/>
      <c r="G535" s="37"/>
      <c r="H535" s="37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  <c r="AS535" s="63"/>
      <c r="AT535" s="63"/>
    </row>
    <row r="536" ht="15.75" customHeight="1">
      <c r="A536" s="63"/>
      <c r="B536" s="63"/>
      <c r="C536" s="63"/>
      <c r="D536" s="63"/>
      <c r="E536" s="63"/>
      <c r="F536" s="37"/>
      <c r="G536" s="37"/>
      <c r="H536" s="37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  <c r="AS536" s="63"/>
      <c r="AT536" s="63"/>
    </row>
    <row r="537" ht="15.75" customHeight="1">
      <c r="A537" s="63"/>
      <c r="B537" s="63"/>
      <c r="C537" s="63"/>
      <c r="D537" s="63"/>
      <c r="E537" s="63"/>
      <c r="F537" s="37"/>
      <c r="G537" s="37"/>
      <c r="H537" s="37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  <c r="AS537" s="63"/>
      <c r="AT537" s="63"/>
    </row>
    <row r="538" ht="15.75" customHeight="1">
      <c r="A538" s="63"/>
      <c r="B538" s="63"/>
      <c r="C538" s="63"/>
      <c r="D538" s="63"/>
      <c r="E538" s="63"/>
      <c r="F538" s="37"/>
      <c r="G538" s="37"/>
      <c r="H538" s="37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  <c r="AS538" s="63"/>
      <c r="AT538" s="63"/>
    </row>
    <row r="539" ht="15.75" customHeight="1">
      <c r="A539" s="63"/>
      <c r="B539" s="63"/>
      <c r="C539" s="63"/>
      <c r="D539" s="63"/>
      <c r="E539" s="63"/>
      <c r="F539" s="37"/>
      <c r="G539" s="37"/>
      <c r="H539" s="37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  <c r="AS539" s="63"/>
      <c r="AT539" s="63"/>
    </row>
    <row r="540" ht="15.75" customHeight="1">
      <c r="A540" s="63"/>
      <c r="B540" s="63"/>
      <c r="C540" s="63"/>
      <c r="D540" s="63"/>
      <c r="E540" s="63"/>
      <c r="F540" s="37"/>
      <c r="G540" s="37"/>
      <c r="H540" s="37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  <c r="AS540" s="63"/>
      <c r="AT540" s="63"/>
    </row>
    <row r="541" ht="15.75" customHeight="1">
      <c r="A541" s="63"/>
      <c r="B541" s="63"/>
      <c r="C541" s="63"/>
      <c r="D541" s="63"/>
      <c r="E541" s="63"/>
      <c r="F541" s="37"/>
      <c r="G541" s="37"/>
      <c r="H541" s="37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  <c r="AS541" s="63"/>
      <c r="AT541" s="63"/>
    </row>
    <row r="542" ht="15.75" customHeight="1">
      <c r="A542" s="63"/>
      <c r="B542" s="63"/>
      <c r="C542" s="63"/>
      <c r="D542" s="63"/>
      <c r="E542" s="63"/>
      <c r="F542" s="37"/>
      <c r="G542" s="37"/>
      <c r="H542" s="37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  <c r="AS542" s="63"/>
      <c r="AT542" s="63"/>
    </row>
    <row r="543" ht="15.75" customHeight="1">
      <c r="A543" s="63"/>
      <c r="B543" s="63"/>
      <c r="C543" s="63"/>
      <c r="D543" s="63"/>
      <c r="E543" s="63"/>
      <c r="F543" s="37"/>
      <c r="G543" s="37"/>
      <c r="H543" s="37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  <c r="AS543" s="63"/>
      <c r="AT543" s="63"/>
    </row>
    <row r="544" ht="15.75" customHeight="1">
      <c r="A544" s="63"/>
      <c r="B544" s="63"/>
      <c r="C544" s="63"/>
      <c r="D544" s="63"/>
      <c r="E544" s="63"/>
      <c r="F544" s="37"/>
      <c r="G544" s="37"/>
      <c r="H544" s="37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  <c r="AS544" s="63"/>
      <c r="AT544" s="63"/>
    </row>
    <row r="545" ht="15.75" customHeight="1">
      <c r="A545" s="63"/>
      <c r="B545" s="63"/>
      <c r="C545" s="63"/>
      <c r="D545" s="63"/>
      <c r="E545" s="63"/>
      <c r="F545" s="37"/>
      <c r="G545" s="37"/>
      <c r="H545" s="37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  <c r="AS545" s="63"/>
      <c r="AT545" s="63"/>
    </row>
    <row r="546" ht="15.75" customHeight="1">
      <c r="A546" s="63"/>
      <c r="B546" s="63"/>
      <c r="C546" s="63"/>
      <c r="D546" s="63"/>
      <c r="E546" s="63"/>
      <c r="F546" s="37"/>
      <c r="G546" s="37"/>
      <c r="H546" s="37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  <c r="AS546" s="63"/>
      <c r="AT546" s="63"/>
    </row>
    <row r="547" ht="15.75" customHeight="1">
      <c r="A547" s="63"/>
      <c r="B547" s="63"/>
      <c r="C547" s="63"/>
      <c r="D547" s="63"/>
      <c r="E547" s="63"/>
      <c r="F547" s="37"/>
      <c r="G547" s="37"/>
      <c r="H547" s="37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  <c r="AS547" s="63"/>
      <c r="AT547" s="63"/>
    </row>
    <row r="548" ht="15.75" customHeight="1">
      <c r="A548" s="63"/>
      <c r="B548" s="63"/>
      <c r="C548" s="63"/>
      <c r="D548" s="63"/>
      <c r="E548" s="63"/>
      <c r="F548" s="37"/>
      <c r="G548" s="37"/>
      <c r="H548" s="37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  <c r="AS548" s="63"/>
      <c r="AT548" s="63"/>
    </row>
    <row r="549" ht="15.75" customHeight="1">
      <c r="A549" s="63"/>
      <c r="B549" s="63"/>
      <c r="C549" s="63"/>
      <c r="D549" s="63"/>
      <c r="E549" s="63"/>
      <c r="F549" s="37"/>
      <c r="G549" s="37"/>
      <c r="H549" s="37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  <c r="AS549" s="63"/>
      <c r="AT549" s="63"/>
    </row>
    <row r="550" ht="15.75" customHeight="1">
      <c r="A550" s="63"/>
      <c r="B550" s="63"/>
      <c r="C550" s="63"/>
      <c r="D550" s="63"/>
      <c r="E550" s="63"/>
      <c r="F550" s="37"/>
      <c r="G550" s="37"/>
      <c r="H550" s="37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  <c r="AS550" s="63"/>
      <c r="AT550" s="63"/>
    </row>
    <row r="551" ht="15.75" customHeight="1">
      <c r="A551" s="63"/>
      <c r="B551" s="63"/>
      <c r="C551" s="63"/>
      <c r="D551" s="63"/>
      <c r="E551" s="63"/>
      <c r="F551" s="37"/>
      <c r="G551" s="37"/>
      <c r="H551" s="37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  <c r="AS551" s="63"/>
      <c r="AT551" s="63"/>
    </row>
    <row r="552" ht="15.75" customHeight="1">
      <c r="A552" s="63"/>
      <c r="B552" s="63"/>
      <c r="C552" s="63"/>
      <c r="D552" s="63"/>
      <c r="E552" s="63"/>
      <c r="F552" s="37"/>
      <c r="G552" s="37"/>
      <c r="H552" s="37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  <c r="AS552" s="63"/>
      <c r="AT552" s="63"/>
    </row>
    <row r="553" ht="15.75" customHeight="1">
      <c r="A553" s="63"/>
      <c r="B553" s="63"/>
      <c r="C553" s="63"/>
      <c r="D553" s="63"/>
      <c r="E553" s="63"/>
      <c r="F553" s="37"/>
      <c r="G553" s="37"/>
      <c r="H553" s="37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  <c r="AS553" s="63"/>
      <c r="AT553" s="63"/>
    </row>
    <row r="554" ht="15.75" customHeight="1">
      <c r="A554" s="63"/>
      <c r="B554" s="63"/>
      <c r="C554" s="63"/>
      <c r="D554" s="63"/>
      <c r="E554" s="63"/>
      <c r="F554" s="37"/>
      <c r="G554" s="37"/>
      <c r="H554" s="37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  <c r="AS554" s="63"/>
      <c r="AT554" s="63"/>
    </row>
    <row r="555" ht="15.75" customHeight="1">
      <c r="A555" s="63"/>
      <c r="B555" s="63"/>
      <c r="C555" s="63"/>
      <c r="D555" s="63"/>
      <c r="E555" s="63"/>
      <c r="F555" s="37"/>
      <c r="G555" s="37"/>
      <c r="H555" s="37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  <c r="AS555" s="63"/>
      <c r="AT555" s="63"/>
    </row>
    <row r="556" ht="15.75" customHeight="1">
      <c r="A556" s="63"/>
      <c r="B556" s="63"/>
      <c r="C556" s="63"/>
      <c r="D556" s="63"/>
      <c r="E556" s="63"/>
      <c r="F556" s="37"/>
      <c r="G556" s="37"/>
      <c r="H556" s="37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  <c r="AS556" s="63"/>
      <c r="AT556" s="63"/>
    </row>
    <row r="557" ht="15.75" customHeight="1">
      <c r="A557" s="63"/>
      <c r="B557" s="63"/>
      <c r="C557" s="63"/>
      <c r="D557" s="63"/>
      <c r="E557" s="63"/>
      <c r="F557" s="37"/>
      <c r="G557" s="37"/>
      <c r="H557" s="37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  <c r="AS557" s="63"/>
      <c r="AT557" s="63"/>
    </row>
    <row r="558" ht="15.75" customHeight="1">
      <c r="A558" s="63"/>
      <c r="B558" s="63"/>
      <c r="C558" s="63"/>
      <c r="D558" s="63"/>
      <c r="E558" s="63"/>
      <c r="F558" s="37"/>
      <c r="G558" s="37"/>
      <c r="H558" s="37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  <c r="AS558" s="63"/>
      <c r="AT558" s="63"/>
    </row>
    <row r="559" ht="15.75" customHeight="1">
      <c r="A559" s="63"/>
      <c r="B559" s="63"/>
      <c r="C559" s="63"/>
      <c r="D559" s="63"/>
      <c r="E559" s="63"/>
      <c r="F559" s="37"/>
      <c r="G559" s="37"/>
      <c r="H559" s="37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  <c r="AS559" s="63"/>
      <c r="AT559" s="63"/>
    </row>
    <row r="560" ht="15.75" customHeight="1">
      <c r="A560" s="63"/>
      <c r="B560" s="63"/>
      <c r="C560" s="63"/>
      <c r="D560" s="63"/>
      <c r="E560" s="63"/>
      <c r="F560" s="37"/>
      <c r="G560" s="37"/>
      <c r="H560" s="37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  <c r="AS560" s="63"/>
      <c r="AT560" s="63"/>
    </row>
    <row r="561" ht="15.75" customHeight="1">
      <c r="A561" s="63"/>
      <c r="B561" s="63"/>
      <c r="C561" s="63"/>
      <c r="D561" s="63"/>
      <c r="E561" s="63"/>
      <c r="F561" s="37"/>
      <c r="G561" s="37"/>
      <c r="H561" s="37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  <c r="AS561" s="63"/>
      <c r="AT561" s="63"/>
    </row>
    <row r="562" ht="15.75" customHeight="1">
      <c r="A562" s="63"/>
      <c r="B562" s="63"/>
      <c r="C562" s="63"/>
      <c r="D562" s="63"/>
      <c r="E562" s="63"/>
      <c r="F562" s="37"/>
      <c r="G562" s="37"/>
      <c r="H562" s="37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  <c r="AS562" s="63"/>
      <c r="AT562" s="63"/>
    </row>
    <row r="563" ht="15.75" customHeight="1">
      <c r="A563" s="63"/>
      <c r="B563" s="63"/>
      <c r="C563" s="63"/>
      <c r="D563" s="63"/>
      <c r="E563" s="63"/>
      <c r="F563" s="37"/>
      <c r="G563" s="37"/>
      <c r="H563" s="37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  <c r="AS563" s="63"/>
      <c r="AT563" s="63"/>
    </row>
    <row r="564" ht="15.75" customHeight="1">
      <c r="A564" s="63"/>
      <c r="B564" s="63"/>
      <c r="C564" s="63"/>
      <c r="D564" s="63"/>
      <c r="E564" s="63"/>
      <c r="F564" s="37"/>
      <c r="G564" s="37"/>
      <c r="H564" s="37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  <c r="AS564" s="63"/>
      <c r="AT564" s="63"/>
    </row>
    <row r="565" ht="15.75" customHeight="1">
      <c r="A565" s="63"/>
      <c r="B565" s="63"/>
      <c r="C565" s="63"/>
      <c r="D565" s="63"/>
      <c r="E565" s="63"/>
      <c r="F565" s="37"/>
      <c r="G565" s="37"/>
      <c r="H565" s="37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  <c r="AS565" s="63"/>
      <c r="AT565" s="63"/>
    </row>
    <row r="566" ht="15.75" customHeight="1">
      <c r="A566" s="63"/>
      <c r="B566" s="63"/>
      <c r="C566" s="63"/>
      <c r="D566" s="63"/>
      <c r="E566" s="63"/>
      <c r="F566" s="37"/>
      <c r="G566" s="37"/>
      <c r="H566" s="37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  <c r="AS566" s="63"/>
      <c r="AT566" s="63"/>
    </row>
    <row r="567" ht="15.75" customHeight="1">
      <c r="A567" s="63"/>
      <c r="B567" s="63"/>
      <c r="C567" s="63"/>
      <c r="D567" s="63"/>
      <c r="E567" s="63"/>
      <c r="F567" s="37"/>
      <c r="G567" s="37"/>
      <c r="H567" s="37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  <c r="AS567" s="63"/>
      <c r="AT567" s="63"/>
    </row>
    <row r="568" ht="15.75" customHeight="1">
      <c r="A568" s="63"/>
      <c r="B568" s="63"/>
      <c r="C568" s="63"/>
      <c r="D568" s="63"/>
      <c r="E568" s="63"/>
      <c r="F568" s="37"/>
      <c r="G568" s="37"/>
      <c r="H568" s="37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  <c r="AS568" s="63"/>
      <c r="AT568" s="63"/>
    </row>
    <row r="569" ht="15.75" customHeight="1">
      <c r="A569" s="63"/>
      <c r="B569" s="63"/>
      <c r="C569" s="63"/>
      <c r="D569" s="63"/>
      <c r="E569" s="63"/>
      <c r="F569" s="37"/>
      <c r="G569" s="37"/>
      <c r="H569" s="37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  <c r="AS569" s="63"/>
      <c r="AT569" s="63"/>
    </row>
    <row r="570" ht="15.75" customHeight="1">
      <c r="A570" s="63"/>
      <c r="B570" s="63"/>
      <c r="C570" s="63"/>
      <c r="D570" s="63"/>
      <c r="E570" s="63"/>
      <c r="F570" s="37"/>
      <c r="G570" s="37"/>
      <c r="H570" s="37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  <c r="AS570" s="63"/>
      <c r="AT570" s="63"/>
    </row>
    <row r="571" ht="15.75" customHeight="1">
      <c r="A571" s="63"/>
      <c r="B571" s="63"/>
      <c r="C571" s="63"/>
      <c r="D571" s="63"/>
      <c r="E571" s="63"/>
      <c r="F571" s="37"/>
      <c r="G571" s="37"/>
      <c r="H571" s="37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  <c r="AS571" s="63"/>
      <c r="AT571" s="63"/>
    </row>
    <row r="572" ht="15.75" customHeight="1">
      <c r="A572" s="63"/>
      <c r="B572" s="63"/>
      <c r="C572" s="63"/>
      <c r="D572" s="63"/>
      <c r="E572" s="63"/>
      <c r="F572" s="37"/>
      <c r="G572" s="37"/>
      <c r="H572" s="37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  <c r="AS572" s="63"/>
      <c r="AT572" s="63"/>
    </row>
    <row r="573" ht="15.75" customHeight="1">
      <c r="A573" s="63"/>
      <c r="B573" s="63"/>
      <c r="C573" s="63"/>
      <c r="D573" s="63"/>
      <c r="E573" s="63"/>
      <c r="F573" s="37"/>
      <c r="G573" s="37"/>
      <c r="H573" s="37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  <c r="AS573" s="63"/>
      <c r="AT573" s="63"/>
    </row>
    <row r="574" ht="15.75" customHeight="1">
      <c r="A574" s="63"/>
      <c r="B574" s="63"/>
      <c r="C574" s="63"/>
      <c r="D574" s="63"/>
      <c r="E574" s="63"/>
      <c r="F574" s="37"/>
      <c r="G574" s="37"/>
      <c r="H574" s="37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  <c r="AS574" s="63"/>
      <c r="AT574" s="63"/>
    </row>
    <row r="575" ht="15.75" customHeight="1">
      <c r="A575" s="63"/>
      <c r="B575" s="63"/>
      <c r="C575" s="63"/>
      <c r="D575" s="63"/>
      <c r="E575" s="63"/>
      <c r="F575" s="37"/>
      <c r="G575" s="37"/>
      <c r="H575" s="37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  <c r="AS575" s="63"/>
      <c r="AT575" s="63"/>
    </row>
    <row r="576" ht="15.75" customHeight="1">
      <c r="A576" s="63"/>
      <c r="B576" s="63"/>
      <c r="C576" s="63"/>
      <c r="D576" s="63"/>
      <c r="E576" s="63"/>
      <c r="F576" s="37"/>
      <c r="G576" s="37"/>
      <c r="H576" s="37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  <c r="AS576" s="63"/>
      <c r="AT576" s="63"/>
    </row>
    <row r="577" ht="15.75" customHeight="1">
      <c r="A577" s="63"/>
      <c r="B577" s="63"/>
      <c r="C577" s="63"/>
      <c r="D577" s="63"/>
      <c r="E577" s="63"/>
      <c r="F577" s="37"/>
      <c r="G577" s="37"/>
      <c r="H577" s="37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  <c r="AS577" s="63"/>
      <c r="AT577" s="63"/>
    </row>
    <row r="578" ht="15.75" customHeight="1">
      <c r="A578" s="63"/>
      <c r="B578" s="63"/>
      <c r="C578" s="63"/>
      <c r="D578" s="63"/>
      <c r="E578" s="63"/>
      <c r="F578" s="37"/>
      <c r="G578" s="37"/>
      <c r="H578" s="37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  <c r="AS578" s="63"/>
      <c r="AT578" s="63"/>
    </row>
    <row r="579" ht="15.75" customHeight="1">
      <c r="A579" s="63"/>
      <c r="B579" s="63"/>
      <c r="C579" s="63"/>
      <c r="D579" s="63"/>
      <c r="E579" s="63"/>
      <c r="F579" s="37"/>
      <c r="G579" s="37"/>
      <c r="H579" s="37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  <c r="AS579" s="63"/>
      <c r="AT579" s="63"/>
    </row>
    <row r="580" ht="15.75" customHeight="1">
      <c r="A580" s="63"/>
      <c r="B580" s="63"/>
      <c r="C580" s="63"/>
      <c r="D580" s="63"/>
      <c r="E580" s="63"/>
      <c r="F580" s="37"/>
      <c r="G580" s="37"/>
      <c r="H580" s="37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  <c r="AS580" s="63"/>
      <c r="AT580" s="63"/>
    </row>
    <row r="581" ht="15.75" customHeight="1">
      <c r="A581" s="63"/>
      <c r="B581" s="63"/>
      <c r="C581" s="63"/>
      <c r="D581" s="63"/>
      <c r="E581" s="63"/>
      <c r="F581" s="37"/>
      <c r="G581" s="37"/>
      <c r="H581" s="37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  <c r="AS581" s="63"/>
      <c r="AT581" s="63"/>
    </row>
    <row r="582" ht="15.75" customHeight="1">
      <c r="A582" s="63"/>
      <c r="B582" s="63"/>
      <c r="C582" s="63"/>
      <c r="D582" s="63"/>
      <c r="E582" s="63"/>
      <c r="F582" s="37"/>
      <c r="G582" s="37"/>
      <c r="H582" s="37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  <c r="AS582" s="63"/>
      <c r="AT582" s="63"/>
    </row>
    <row r="583" ht="15.75" customHeight="1">
      <c r="A583" s="63"/>
      <c r="B583" s="63"/>
      <c r="C583" s="63"/>
      <c r="D583" s="63"/>
      <c r="E583" s="63"/>
      <c r="F583" s="37"/>
      <c r="G583" s="37"/>
      <c r="H583" s="37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  <c r="AS583" s="63"/>
      <c r="AT583" s="63"/>
    </row>
    <row r="584" ht="15.75" customHeight="1">
      <c r="A584" s="63"/>
      <c r="B584" s="63"/>
      <c r="C584" s="63"/>
      <c r="D584" s="63"/>
      <c r="E584" s="63"/>
      <c r="F584" s="37"/>
      <c r="G584" s="37"/>
      <c r="H584" s="37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  <c r="AS584" s="63"/>
      <c r="AT584" s="63"/>
    </row>
    <row r="585" ht="15.75" customHeight="1">
      <c r="A585" s="63"/>
      <c r="B585" s="63"/>
      <c r="C585" s="63"/>
      <c r="D585" s="63"/>
      <c r="E585" s="63"/>
      <c r="F585" s="37"/>
      <c r="G585" s="37"/>
      <c r="H585" s="37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  <c r="AS585" s="63"/>
      <c r="AT585" s="63"/>
    </row>
    <row r="586" ht="15.75" customHeight="1">
      <c r="A586" s="63"/>
      <c r="B586" s="63"/>
      <c r="C586" s="63"/>
      <c r="D586" s="63"/>
      <c r="E586" s="63"/>
      <c r="F586" s="37"/>
      <c r="G586" s="37"/>
      <c r="H586" s="37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  <c r="AS586" s="63"/>
      <c r="AT586" s="63"/>
    </row>
    <row r="587" ht="15.75" customHeight="1">
      <c r="A587" s="63"/>
      <c r="B587" s="63"/>
      <c r="C587" s="63"/>
      <c r="D587" s="63"/>
      <c r="E587" s="63"/>
      <c r="F587" s="37"/>
      <c r="G587" s="37"/>
      <c r="H587" s="37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  <c r="AS587" s="63"/>
      <c r="AT587" s="63"/>
    </row>
    <row r="588" ht="15.75" customHeight="1">
      <c r="A588" s="63"/>
      <c r="B588" s="63"/>
      <c r="C588" s="63"/>
      <c r="D588" s="63"/>
      <c r="E588" s="63"/>
      <c r="F588" s="37"/>
      <c r="G588" s="37"/>
      <c r="H588" s="37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  <c r="AS588" s="63"/>
      <c r="AT588" s="63"/>
    </row>
    <row r="589" ht="15.75" customHeight="1">
      <c r="A589" s="63"/>
      <c r="B589" s="63"/>
      <c r="C589" s="63"/>
      <c r="D589" s="63"/>
      <c r="E589" s="63"/>
      <c r="F589" s="37"/>
      <c r="G589" s="37"/>
      <c r="H589" s="37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  <c r="AS589" s="63"/>
      <c r="AT589" s="63"/>
    </row>
    <row r="590" ht="15.75" customHeight="1">
      <c r="A590" s="63"/>
      <c r="B590" s="63"/>
      <c r="C590" s="63"/>
      <c r="D590" s="63"/>
      <c r="E590" s="63"/>
      <c r="F590" s="37"/>
      <c r="G590" s="37"/>
      <c r="H590" s="37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  <c r="AS590" s="63"/>
      <c r="AT590" s="63"/>
    </row>
    <row r="591" ht="15.75" customHeight="1">
      <c r="A591" s="63"/>
      <c r="B591" s="63"/>
      <c r="C591" s="63"/>
      <c r="D591" s="63"/>
      <c r="E591" s="63"/>
      <c r="F591" s="37"/>
      <c r="G591" s="37"/>
      <c r="H591" s="37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  <c r="AS591" s="63"/>
      <c r="AT591" s="63"/>
    </row>
    <row r="592" ht="15.75" customHeight="1">
      <c r="A592" s="63"/>
      <c r="B592" s="63"/>
      <c r="C592" s="63"/>
      <c r="D592" s="63"/>
      <c r="E592" s="63"/>
      <c r="F592" s="37"/>
      <c r="G592" s="37"/>
      <c r="H592" s="37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  <c r="AS592" s="63"/>
      <c r="AT592" s="63"/>
    </row>
    <row r="593" ht="15.75" customHeight="1">
      <c r="A593" s="63"/>
      <c r="B593" s="63"/>
      <c r="C593" s="63"/>
      <c r="D593" s="63"/>
      <c r="E593" s="63"/>
      <c r="F593" s="37"/>
      <c r="G593" s="37"/>
      <c r="H593" s="37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  <c r="AS593" s="63"/>
      <c r="AT593" s="63"/>
    </row>
    <row r="594" ht="15.75" customHeight="1">
      <c r="A594" s="63"/>
      <c r="B594" s="63"/>
      <c r="C594" s="63"/>
      <c r="D594" s="63"/>
      <c r="E594" s="63"/>
      <c r="F594" s="37"/>
      <c r="G594" s="37"/>
      <c r="H594" s="37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  <c r="AS594" s="63"/>
      <c r="AT594" s="63"/>
    </row>
    <row r="595" ht="15.75" customHeight="1">
      <c r="A595" s="63"/>
      <c r="B595" s="63"/>
      <c r="C595" s="63"/>
      <c r="D595" s="63"/>
      <c r="E595" s="63"/>
      <c r="F595" s="37"/>
      <c r="G595" s="37"/>
      <c r="H595" s="37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  <c r="AS595" s="63"/>
      <c r="AT595" s="63"/>
    </row>
    <row r="596" ht="15.75" customHeight="1">
      <c r="A596" s="63"/>
      <c r="B596" s="63"/>
      <c r="C596" s="63"/>
      <c r="D596" s="63"/>
      <c r="E596" s="63"/>
      <c r="F596" s="37"/>
      <c r="G596" s="37"/>
      <c r="H596" s="37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  <c r="AS596" s="63"/>
      <c r="AT596" s="63"/>
    </row>
    <row r="597" ht="15.75" customHeight="1">
      <c r="A597" s="63"/>
      <c r="B597" s="63"/>
      <c r="C597" s="63"/>
      <c r="D597" s="63"/>
      <c r="E597" s="63"/>
      <c r="F597" s="37"/>
      <c r="G597" s="37"/>
      <c r="H597" s="37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  <c r="AS597" s="63"/>
      <c r="AT597" s="63"/>
    </row>
    <row r="598" ht="15.75" customHeight="1">
      <c r="A598" s="63"/>
      <c r="B598" s="63"/>
      <c r="C598" s="63"/>
      <c r="D598" s="63"/>
      <c r="E598" s="63"/>
      <c r="F598" s="37"/>
      <c r="G598" s="37"/>
      <c r="H598" s="37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  <c r="AS598" s="63"/>
      <c r="AT598" s="63"/>
    </row>
    <row r="599" ht="15.75" customHeight="1">
      <c r="A599" s="63"/>
      <c r="B599" s="63"/>
      <c r="C599" s="63"/>
      <c r="D599" s="63"/>
      <c r="E599" s="63"/>
      <c r="F599" s="37"/>
      <c r="G599" s="37"/>
      <c r="H599" s="37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  <c r="AS599" s="63"/>
      <c r="AT599" s="63"/>
    </row>
    <row r="600" ht="15.75" customHeight="1">
      <c r="A600" s="63"/>
      <c r="B600" s="63"/>
      <c r="C600" s="63"/>
      <c r="D600" s="63"/>
      <c r="E600" s="63"/>
      <c r="F600" s="37"/>
      <c r="G600" s="37"/>
      <c r="H600" s="37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  <c r="AS600" s="63"/>
      <c r="AT600" s="63"/>
    </row>
    <row r="601" ht="15.75" customHeight="1">
      <c r="A601" s="63"/>
      <c r="B601" s="63"/>
      <c r="C601" s="63"/>
      <c r="D601" s="63"/>
      <c r="E601" s="63"/>
      <c r="F601" s="37"/>
      <c r="G601" s="37"/>
      <c r="H601" s="37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  <c r="AS601" s="63"/>
      <c r="AT601" s="63"/>
    </row>
    <row r="602" ht="15.75" customHeight="1">
      <c r="A602" s="63"/>
      <c r="B602" s="63"/>
      <c r="C602" s="63"/>
      <c r="D602" s="63"/>
      <c r="E602" s="63"/>
      <c r="F602" s="37"/>
      <c r="G602" s="37"/>
      <c r="H602" s="37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  <c r="AS602" s="63"/>
      <c r="AT602" s="63"/>
    </row>
    <row r="603" ht="15.75" customHeight="1">
      <c r="A603" s="63"/>
      <c r="B603" s="63"/>
      <c r="C603" s="63"/>
      <c r="D603" s="63"/>
      <c r="E603" s="63"/>
      <c r="F603" s="37"/>
      <c r="G603" s="37"/>
      <c r="H603" s="37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  <c r="AS603" s="63"/>
      <c r="AT603" s="63"/>
    </row>
    <row r="604" ht="15.75" customHeight="1">
      <c r="A604" s="63"/>
      <c r="B604" s="63"/>
      <c r="C604" s="63"/>
      <c r="D604" s="63"/>
      <c r="E604" s="63"/>
      <c r="F604" s="37"/>
      <c r="G604" s="37"/>
      <c r="H604" s="37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  <c r="AS604" s="63"/>
      <c r="AT604" s="63"/>
    </row>
    <row r="605" ht="15.75" customHeight="1">
      <c r="A605" s="63"/>
      <c r="B605" s="63"/>
      <c r="C605" s="63"/>
      <c r="D605" s="63"/>
      <c r="E605" s="63"/>
      <c r="F605" s="37"/>
      <c r="G605" s="37"/>
      <c r="H605" s="37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  <c r="AO605" s="63"/>
      <c r="AP605" s="63"/>
      <c r="AQ605" s="63"/>
      <c r="AR605" s="63"/>
      <c r="AS605" s="63"/>
      <c r="AT605" s="63"/>
    </row>
    <row r="606" ht="15.75" customHeight="1">
      <c r="A606" s="63"/>
      <c r="B606" s="63"/>
      <c r="C606" s="63"/>
      <c r="D606" s="63"/>
      <c r="E606" s="63"/>
      <c r="F606" s="37"/>
      <c r="G606" s="37"/>
      <c r="H606" s="37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  <c r="AO606" s="63"/>
      <c r="AP606" s="63"/>
      <c r="AQ606" s="63"/>
      <c r="AR606" s="63"/>
      <c r="AS606" s="63"/>
      <c r="AT606" s="63"/>
    </row>
    <row r="607" ht="15.75" customHeight="1">
      <c r="A607" s="63"/>
      <c r="B607" s="63"/>
      <c r="C607" s="63"/>
      <c r="D607" s="63"/>
      <c r="E607" s="63"/>
      <c r="F607" s="37"/>
      <c r="G607" s="37"/>
      <c r="H607" s="37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  <c r="AO607" s="63"/>
      <c r="AP607" s="63"/>
      <c r="AQ607" s="63"/>
      <c r="AR607" s="63"/>
      <c r="AS607" s="63"/>
      <c r="AT607" s="63"/>
    </row>
    <row r="608" ht="15.75" customHeight="1">
      <c r="A608" s="63"/>
      <c r="B608" s="63"/>
      <c r="C608" s="63"/>
      <c r="D608" s="63"/>
      <c r="E608" s="63"/>
      <c r="F608" s="37"/>
      <c r="G608" s="37"/>
      <c r="H608" s="37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  <c r="AO608" s="63"/>
      <c r="AP608" s="63"/>
      <c r="AQ608" s="63"/>
      <c r="AR608" s="63"/>
      <c r="AS608" s="63"/>
      <c r="AT608" s="63"/>
    </row>
    <row r="609" ht="15.75" customHeight="1">
      <c r="A609" s="63"/>
      <c r="B609" s="63"/>
      <c r="C609" s="63"/>
      <c r="D609" s="63"/>
      <c r="E609" s="63"/>
      <c r="F609" s="37"/>
      <c r="G609" s="37"/>
      <c r="H609" s="37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  <c r="AO609" s="63"/>
      <c r="AP609" s="63"/>
      <c r="AQ609" s="63"/>
      <c r="AR609" s="63"/>
      <c r="AS609" s="63"/>
      <c r="AT609" s="63"/>
    </row>
    <row r="610" ht="15.75" customHeight="1">
      <c r="A610" s="63"/>
      <c r="B610" s="63"/>
      <c r="C610" s="63"/>
      <c r="D610" s="63"/>
      <c r="E610" s="63"/>
      <c r="F610" s="37"/>
      <c r="G610" s="37"/>
      <c r="H610" s="37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  <c r="AS610" s="63"/>
      <c r="AT610" s="63"/>
    </row>
    <row r="611" ht="15.75" customHeight="1">
      <c r="A611" s="63"/>
      <c r="B611" s="63"/>
      <c r="C611" s="63"/>
      <c r="D611" s="63"/>
      <c r="E611" s="63"/>
      <c r="F611" s="37"/>
      <c r="G611" s="37"/>
      <c r="H611" s="37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  <c r="AS611" s="63"/>
      <c r="AT611" s="63"/>
    </row>
    <row r="612" ht="15.75" customHeight="1">
      <c r="A612" s="63"/>
      <c r="B612" s="63"/>
      <c r="C612" s="63"/>
      <c r="D612" s="63"/>
      <c r="E612" s="63"/>
      <c r="F612" s="37"/>
      <c r="G612" s="37"/>
      <c r="H612" s="37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63"/>
      <c r="AQ612" s="63"/>
      <c r="AR612" s="63"/>
      <c r="AS612" s="63"/>
      <c r="AT612" s="63"/>
    </row>
    <row r="613" ht="15.75" customHeight="1">
      <c r="A613" s="63"/>
      <c r="B613" s="63"/>
      <c r="C613" s="63"/>
      <c r="D613" s="63"/>
      <c r="E613" s="63"/>
      <c r="F613" s="37"/>
      <c r="G613" s="37"/>
      <c r="H613" s="37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  <c r="AS613" s="63"/>
      <c r="AT613" s="63"/>
    </row>
    <row r="614" ht="15.75" customHeight="1">
      <c r="A614" s="63"/>
      <c r="B614" s="63"/>
      <c r="C614" s="63"/>
      <c r="D614" s="63"/>
      <c r="E614" s="63"/>
      <c r="F614" s="37"/>
      <c r="G614" s="37"/>
      <c r="H614" s="37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  <c r="AO614" s="63"/>
      <c r="AP614" s="63"/>
      <c r="AQ614" s="63"/>
      <c r="AR614" s="63"/>
      <c r="AS614" s="63"/>
      <c r="AT614" s="63"/>
    </row>
    <row r="615" ht="15.75" customHeight="1">
      <c r="A615" s="63"/>
      <c r="B615" s="63"/>
      <c r="C615" s="63"/>
      <c r="D615" s="63"/>
      <c r="E615" s="63"/>
      <c r="F615" s="37"/>
      <c r="G615" s="37"/>
      <c r="H615" s="37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  <c r="AO615" s="63"/>
      <c r="AP615" s="63"/>
      <c r="AQ615" s="63"/>
      <c r="AR615" s="63"/>
      <c r="AS615" s="63"/>
      <c r="AT615" s="63"/>
    </row>
    <row r="616" ht="15.75" customHeight="1">
      <c r="A616" s="63"/>
      <c r="B616" s="63"/>
      <c r="C616" s="63"/>
      <c r="D616" s="63"/>
      <c r="E616" s="63"/>
      <c r="F616" s="37"/>
      <c r="G616" s="37"/>
      <c r="H616" s="37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  <c r="AO616" s="63"/>
      <c r="AP616" s="63"/>
      <c r="AQ616" s="63"/>
      <c r="AR616" s="63"/>
      <c r="AS616" s="63"/>
      <c r="AT616" s="63"/>
    </row>
    <row r="617" ht="15.75" customHeight="1">
      <c r="A617" s="63"/>
      <c r="B617" s="63"/>
      <c r="C617" s="63"/>
      <c r="D617" s="63"/>
      <c r="E617" s="63"/>
      <c r="F617" s="37"/>
      <c r="G617" s="37"/>
      <c r="H617" s="37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  <c r="AO617" s="63"/>
      <c r="AP617" s="63"/>
      <c r="AQ617" s="63"/>
      <c r="AR617" s="63"/>
      <c r="AS617" s="63"/>
      <c r="AT617" s="63"/>
    </row>
    <row r="618" ht="15.75" customHeight="1">
      <c r="A618" s="63"/>
      <c r="B618" s="63"/>
      <c r="C618" s="63"/>
      <c r="D618" s="63"/>
      <c r="E618" s="63"/>
      <c r="F618" s="37"/>
      <c r="G618" s="37"/>
      <c r="H618" s="37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  <c r="AO618" s="63"/>
      <c r="AP618" s="63"/>
      <c r="AQ618" s="63"/>
      <c r="AR618" s="63"/>
      <c r="AS618" s="63"/>
      <c r="AT618" s="63"/>
    </row>
    <row r="619" ht="15.75" customHeight="1">
      <c r="A619" s="63"/>
      <c r="B619" s="63"/>
      <c r="C619" s="63"/>
      <c r="D619" s="63"/>
      <c r="E619" s="63"/>
      <c r="F619" s="37"/>
      <c r="G619" s="37"/>
      <c r="H619" s="37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  <c r="AO619" s="63"/>
      <c r="AP619" s="63"/>
      <c r="AQ619" s="63"/>
      <c r="AR619" s="63"/>
      <c r="AS619" s="63"/>
      <c r="AT619" s="63"/>
    </row>
    <row r="620" ht="15.75" customHeight="1">
      <c r="A620" s="63"/>
      <c r="B620" s="63"/>
      <c r="C620" s="63"/>
      <c r="D620" s="63"/>
      <c r="E620" s="63"/>
      <c r="F620" s="37"/>
      <c r="G620" s="37"/>
      <c r="H620" s="37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63"/>
      <c r="AR620" s="63"/>
      <c r="AS620" s="63"/>
      <c r="AT620" s="63"/>
    </row>
    <row r="621" ht="15.75" customHeight="1">
      <c r="A621" s="63"/>
      <c r="B621" s="63"/>
      <c r="C621" s="63"/>
      <c r="D621" s="63"/>
      <c r="E621" s="63"/>
      <c r="F621" s="37"/>
      <c r="G621" s="37"/>
      <c r="H621" s="37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  <c r="AO621" s="63"/>
      <c r="AP621" s="63"/>
      <c r="AQ621" s="63"/>
      <c r="AR621" s="63"/>
      <c r="AS621" s="63"/>
      <c r="AT621" s="63"/>
    </row>
    <row r="622" ht="15.75" customHeight="1">
      <c r="A622" s="63"/>
      <c r="B622" s="63"/>
      <c r="C622" s="63"/>
      <c r="D622" s="63"/>
      <c r="E622" s="63"/>
      <c r="F622" s="37"/>
      <c r="G622" s="37"/>
      <c r="H622" s="37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  <c r="AO622" s="63"/>
      <c r="AP622" s="63"/>
      <c r="AQ622" s="63"/>
      <c r="AR622" s="63"/>
      <c r="AS622" s="63"/>
      <c r="AT622" s="63"/>
    </row>
    <row r="623" ht="15.75" customHeight="1">
      <c r="A623" s="63"/>
      <c r="B623" s="63"/>
      <c r="C623" s="63"/>
      <c r="D623" s="63"/>
      <c r="E623" s="63"/>
      <c r="F623" s="37"/>
      <c r="G623" s="37"/>
      <c r="H623" s="37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63"/>
      <c r="AS623" s="63"/>
      <c r="AT623" s="63"/>
    </row>
    <row r="624" ht="15.75" customHeight="1">
      <c r="A624" s="63"/>
      <c r="B624" s="63"/>
      <c r="C624" s="63"/>
      <c r="D624" s="63"/>
      <c r="E624" s="63"/>
      <c r="F624" s="37"/>
      <c r="G624" s="37"/>
      <c r="H624" s="37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  <c r="AS624" s="63"/>
      <c r="AT624" s="63"/>
    </row>
    <row r="625" ht="15.75" customHeight="1">
      <c r="A625" s="63"/>
      <c r="B625" s="63"/>
      <c r="C625" s="63"/>
      <c r="D625" s="63"/>
      <c r="E625" s="63"/>
      <c r="F625" s="37"/>
      <c r="G625" s="37"/>
      <c r="H625" s="37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  <c r="AS625" s="63"/>
      <c r="AT625" s="63"/>
    </row>
    <row r="626" ht="15.75" customHeight="1">
      <c r="A626" s="63"/>
      <c r="B626" s="63"/>
      <c r="C626" s="63"/>
      <c r="D626" s="63"/>
      <c r="E626" s="63"/>
      <c r="F626" s="37"/>
      <c r="G626" s="37"/>
      <c r="H626" s="37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  <c r="AS626" s="63"/>
      <c r="AT626" s="63"/>
    </row>
    <row r="627" ht="15.75" customHeight="1">
      <c r="A627" s="63"/>
      <c r="B627" s="63"/>
      <c r="C627" s="63"/>
      <c r="D627" s="63"/>
      <c r="E627" s="63"/>
      <c r="F627" s="37"/>
      <c r="G627" s="37"/>
      <c r="H627" s="37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  <c r="AO627" s="63"/>
      <c r="AP627" s="63"/>
      <c r="AQ627" s="63"/>
      <c r="AR627" s="63"/>
      <c r="AS627" s="63"/>
      <c r="AT627" s="63"/>
    </row>
    <row r="628" ht="15.75" customHeight="1">
      <c r="A628" s="63"/>
      <c r="B628" s="63"/>
      <c r="C628" s="63"/>
      <c r="D628" s="63"/>
      <c r="E628" s="63"/>
      <c r="F628" s="37"/>
      <c r="G628" s="37"/>
      <c r="H628" s="37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  <c r="AO628" s="63"/>
      <c r="AP628" s="63"/>
      <c r="AQ628" s="63"/>
      <c r="AR628" s="63"/>
      <c r="AS628" s="63"/>
      <c r="AT628" s="63"/>
    </row>
    <row r="629" ht="15.75" customHeight="1">
      <c r="A629" s="63"/>
      <c r="B629" s="63"/>
      <c r="C629" s="63"/>
      <c r="D629" s="63"/>
      <c r="E629" s="63"/>
      <c r="F629" s="37"/>
      <c r="G629" s="37"/>
      <c r="H629" s="37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  <c r="AO629" s="63"/>
      <c r="AP629" s="63"/>
      <c r="AQ629" s="63"/>
      <c r="AR629" s="63"/>
      <c r="AS629" s="63"/>
      <c r="AT629" s="63"/>
    </row>
    <row r="630" ht="15.75" customHeight="1">
      <c r="A630" s="63"/>
      <c r="B630" s="63"/>
      <c r="C630" s="63"/>
      <c r="D630" s="63"/>
      <c r="E630" s="63"/>
      <c r="F630" s="37"/>
      <c r="G630" s="37"/>
      <c r="H630" s="37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63"/>
      <c r="AQ630" s="63"/>
      <c r="AR630" s="63"/>
      <c r="AS630" s="63"/>
      <c r="AT630" s="63"/>
    </row>
    <row r="631" ht="15.75" customHeight="1">
      <c r="A631" s="63"/>
      <c r="B631" s="63"/>
      <c r="C631" s="63"/>
      <c r="D631" s="63"/>
      <c r="E631" s="63"/>
      <c r="F631" s="37"/>
      <c r="G631" s="37"/>
      <c r="H631" s="37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63"/>
      <c r="AQ631" s="63"/>
      <c r="AR631" s="63"/>
      <c r="AS631" s="63"/>
      <c r="AT631" s="63"/>
    </row>
    <row r="632" ht="15.75" customHeight="1">
      <c r="A632" s="63"/>
      <c r="B632" s="63"/>
      <c r="C632" s="63"/>
      <c r="D632" s="63"/>
      <c r="E632" s="63"/>
      <c r="F632" s="37"/>
      <c r="G632" s="37"/>
      <c r="H632" s="37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63"/>
      <c r="AQ632" s="63"/>
      <c r="AR632" s="63"/>
      <c r="AS632" s="63"/>
      <c r="AT632" s="63"/>
    </row>
    <row r="633" ht="15.75" customHeight="1">
      <c r="A633" s="63"/>
      <c r="B633" s="63"/>
      <c r="C633" s="63"/>
      <c r="D633" s="63"/>
      <c r="E633" s="63"/>
      <c r="F633" s="37"/>
      <c r="G633" s="37"/>
      <c r="H633" s="37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63"/>
      <c r="AQ633" s="63"/>
      <c r="AR633" s="63"/>
      <c r="AS633" s="63"/>
      <c r="AT633" s="63"/>
    </row>
    <row r="634" ht="15.75" customHeight="1">
      <c r="A634" s="63"/>
      <c r="B634" s="63"/>
      <c r="C634" s="63"/>
      <c r="D634" s="63"/>
      <c r="E634" s="63"/>
      <c r="F634" s="37"/>
      <c r="G634" s="37"/>
      <c r="H634" s="37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63"/>
      <c r="AQ634" s="63"/>
      <c r="AR634" s="63"/>
      <c r="AS634" s="63"/>
      <c r="AT634" s="63"/>
    </row>
    <row r="635" ht="15.75" customHeight="1">
      <c r="A635" s="63"/>
      <c r="B635" s="63"/>
      <c r="C635" s="63"/>
      <c r="D635" s="63"/>
      <c r="E635" s="63"/>
      <c r="F635" s="37"/>
      <c r="G635" s="37"/>
      <c r="H635" s="37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63"/>
      <c r="AQ635" s="63"/>
      <c r="AR635" s="63"/>
      <c r="AS635" s="63"/>
      <c r="AT635" s="63"/>
    </row>
    <row r="636" ht="15.75" customHeight="1">
      <c r="A636" s="63"/>
      <c r="B636" s="63"/>
      <c r="C636" s="63"/>
      <c r="D636" s="63"/>
      <c r="E636" s="63"/>
      <c r="F636" s="37"/>
      <c r="G636" s="37"/>
      <c r="H636" s="37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  <c r="AO636" s="63"/>
      <c r="AP636" s="63"/>
      <c r="AQ636" s="63"/>
      <c r="AR636" s="63"/>
      <c r="AS636" s="63"/>
      <c r="AT636" s="63"/>
    </row>
    <row r="637" ht="15.75" customHeight="1">
      <c r="A637" s="63"/>
      <c r="B637" s="63"/>
      <c r="C637" s="63"/>
      <c r="D637" s="63"/>
      <c r="E637" s="63"/>
      <c r="F637" s="37"/>
      <c r="G637" s="37"/>
      <c r="H637" s="37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  <c r="AO637" s="63"/>
      <c r="AP637" s="63"/>
      <c r="AQ637" s="63"/>
      <c r="AR637" s="63"/>
      <c r="AS637" s="63"/>
      <c r="AT637" s="63"/>
    </row>
    <row r="638" ht="15.75" customHeight="1">
      <c r="A638" s="63"/>
      <c r="B638" s="63"/>
      <c r="C638" s="63"/>
      <c r="D638" s="63"/>
      <c r="E638" s="63"/>
      <c r="F638" s="37"/>
      <c r="G638" s="37"/>
      <c r="H638" s="37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  <c r="AS638" s="63"/>
      <c r="AT638" s="63"/>
    </row>
    <row r="639" ht="15.75" customHeight="1">
      <c r="A639" s="63"/>
      <c r="B639" s="63"/>
      <c r="C639" s="63"/>
      <c r="D639" s="63"/>
      <c r="E639" s="63"/>
      <c r="F639" s="37"/>
      <c r="G639" s="37"/>
      <c r="H639" s="37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  <c r="AS639" s="63"/>
      <c r="AT639" s="63"/>
    </row>
    <row r="640" ht="15.75" customHeight="1">
      <c r="A640" s="63"/>
      <c r="B640" s="63"/>
      <c r="C640" s="63"/>
      <c r="D640" s="63"/>
      <c r="E640" s="63"/>
      <c r="F640" s="37"/>
      <c r="G640" s="37"/>
      <c r="H640" s="37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  <c r="AS640" s="63"/>
      <c r="AT640" s="63"/>
    </row>
    <row r="641" ht="15.75" customHeight="1">
      <c r="A641" s="63"/>
      <c r="B641" s="63"/>
      <c r="C641" s="63"/>
      <c r="D641" s="63"/>
      <c r="E641" s="63"/>
      <c r="F641" s="37"/>
      <c r="G641" s="37"/>
      <c r="H641" s="37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  <c r="AS641" s="63"/>
      <c r="AT641" s="63"/>
    </row>
    <row r="642" ht="15.75" customHeight="1">
      <c r="A642" s="63"/>
      <c r="B642" s="63"/>
      <c r="C642" s="63"/>
      <c r="D642" s="63"/>
      <c r="E642" s="63"/>
      <c r="F642" s="37"/>
      <c r="G642" s="37"/>
      <c r="H642" s="37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  <c r="AS642" s="63"/>
      <c r="AT642" s="63"/>
    </row>
    <row r="643" ht="15.75" customHeight="1">
      <c r="A643" s="63"/>
      <c r="B643" s="63"/>
      <c r="C643" s="63"/>
      <c r="D643" s="63"/>
      <c r="E643" s="63"/>
      <c r="F643" s="37"/>
      <c r="G643" s="37"/>
      <c r="H643" s="37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  <c r="AO643" s="63"/>
      <c r="AP643" s="63"/>
      <c r="AQ643" s="63"/>
      <c r="AR643" s="63"/>
      <c r="AS643" s="63"/>
      <c r="AT643" s="63"/>
    </row>
    <row r="644" ht="15.75" customHeight="1">
      <c r="A644" s="63"/>
      <c r="B644" s="63"/>
      <c r="C644" s="63"/>
      <c r="D644" s="63"/>
      <c r="E644" s="63"/>
      <c r="F644" s="37"/>
      <c r="G644" s="37"/>
      <c r="H644" s="37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  <c r="AO644" s="63"/>
      <c r="AP644" s="63"/>
      <c r="AQ644" s="63"/>
      <c r="AR644" s="63"/>
      <c r="AS644" s="63"/>
      <c r="AT644" s="63"/>
    </row>
    <row r="645" ht="15.75" customHeight="1">
      <c r="A645" s="63"/>
      <c r="B645" s="63"/>
      <c r="C645" s="63"/>
      <c r="D645" s="63"/>
      <c r="E645" s="63"/>
      <c r="F645" s="37"/>
      <c r="G645" s="37"/>
      <c r="H645" s="37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  <c r="AS645" s="63"/>
      <c r="AT645" s="63"/>
    </row>
    <row r="646" ht="15.75" customHeight="1">
      <c r="A646" s="63"/>
      <c r="B646" s="63"/>
      <c r="C646" s="63"/>
      <c r="D646" s="63"/>
      <c r="E646" s="63"/>
      <c r="F646" s="37"/>
      <c r="G646" s="37"/>
      <c r="H646" s="37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  <c r="AO646" s="63"/>
      <c r="AP646" s="63"/>
      <c r="AQ646" s="63"/>
      <c r="AR646" s="63"/>
      <c r="AS646" s="63"/>
      <c r="AT646" s="63"/>
    </row>
    <row r="647" ht="15.75" customHeight="1">
      <c r="A647" s="63"/>
      <c r="B647" s="63"/>
      <c r="C647" s="63"/>
      <c r="D647" s="63"/>
      <c r="E647" s="63"/>
      <c r="F647" s="37"/>
      <c r="G647" s="37"/>
      <c r="H647" s="37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  <c r="AS647" s="63"/>
      <c r="AT647" s="63"/>
    </row>
    <row r="648" ht="15.75" customHeight="1">
      <c r="A648" s="63"/>
      <c r="B648" s="63"/>
      <c r="C648" s="63"/>
      <c r="D648" s="63"/>
      <c r="E648" s="63"/>
      <c r="F648" s="37"/>
      <c r="G648" s="37"/>
      <c r="H648" s="37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63"/>
      <c r="AS648" s="63"/>
      <c r="AT648" s="63"/>
    </row>
    <row r="649" ht="15.75" customHeight="1">
      <c r="A649" s="63"/>
      <c r="B649" s="63"/>
      <c r="C649" s="63"/>
      <c r="D649" s="63"/>
      <c r="E649" s="63"/>
      <c r="F649" s="37"/>
      <c r="G649" s="37"/>
      <c r="H649" s="37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  <c r="AS649" s="63"/>
      <c r="AT649" s="63"/>
    </row>
    <row r="650" ht="15.75" customHeight="1">
      <c r="A650" s="63"/>
      <c r="B650" s="63"/>
      <c r="C650" s="63"/>
      <c r="D650" s="63"/>
      <c r="E650" s="63"/>
      <c r="F650" s="37"/>
      <c r="G650" s="37"/>
      <c r="H650" s="37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  <c r="AS650" s="63"/>
      <c r="AT650" s="63"/>
    </row>
    <row r="651" ht="15.75" customHeight="1">
      <c r="A651" s="63"/>
      <c r="B651" s="63"/>
      <c r="C651" s="63"/>
      <c r="D651" s="63"/>
      <c r="E651" s="63"/>
      <c r="F651" s="37"/>
      <c r="G651" s="37"/>
      <c r="H651" s="37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  <c r="AS651" s="63"/>
      <c r="AT651" s="63"/>
    </row>
    <row r="652" ht="15.75" customHeight="1">
      <c r="A652" s="63"/>
      <c r="B652" s="63"/>
      <c r="C652" s="63"/>
      <c r="D652" s="63"/>
      <c r="E652" s="63"/>
      <c r="F652" s="37"/>
      <c r="G652" s="37"/>
      <c r="H652" s="37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  <c r="AS652" s="63"/>
      <c r="AT652" s="63"/>
    </row>
    <row r="653" ht="15.75" customHeight="1">
      <c r="A653" s="63"/>
      <c r="B653" s="63"/>
      <c r="C653" s="63"/>
      <c r="D653" s="63"/>
      <c r="E653" s="63"/>
      <c r="F653" s="37"/>
      <c r="G653" s="37"/>
      <c r="H653" s="37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  <c r="AO653" s="63"/>
      <c r="AP653" s="63"/>
      <c r="AQ653" s="63"/>
      <c r="AR653" s="63"/>
      <c r="AS653" s="63"/>
      <c r="AT653" s="63"/>
    </row>
    <row r="654" ht="15.75" customHeight="1">
      <c r="A654" s="63"/>
      <c r="B654" s="63"/>
      <c r="C654" s="63"/>
      <c r="D654" s="63"/>
      <c r="E654" s="63"/>
      <c r="F654" s="37"/>
      <c r="G654" s="37"/>
      <c r="H654" s="37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  <c r="AO654" s="63"/>
      <c r="AP654" s="63"/>
      <c r="AQ654" s="63"/>
      <c r="AR654" s="63"/>
      <c r="AS654" s="63"/>
      <c r="AT654" s="63"/>
    </row>
    <row r="655" ht="15.75" customHeight="1">
      <c r="A655" s="63"/>
      <c r="B655" s="63"/>
      <c r="C655" s="63"/>
      <c r="D655" s="63"/>
      <c r="E655" s="63"/>
      <c r="F655" s="37"/>
      <c r="G655" s="37"/>
      <c r="H655" s="37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63"/>
      <c r="AQ655" s="63"/>
      <c r="AR655" s="63"/>
      <c r="AS655" s="63"/>
      <c r="AT655" s="63"/>
    </row>
    <row r="656" ht="15.75" customHeight="1">
      <c r="A656" s="63"/>
      <c r="B656" s="63"/>
      <c r="C656" s="63"/>
      <c r="D656" s="63"/>
      <c r="E656" s="63"/>
      <c r="F656" s="37"/>
      <c r="G656" s="37"/>
      <c r="H656" s="37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63"/>
      <c r="AQ656" s="63"/>
      <c r="AR656" s="63"/>
      <c r="AS656" s="63"/>
      <c r="AT656" s="63"/>
    </row>
    <row r="657" ht="15.75" customHeight="1">
      <c r="A657" s="63"/>
      <c r="B657" s="63"/>
      <c r="C657" s="63"/>
      <c r="D657" s="63"/>
      <c r="E657" s="63"/>
      <c r="F657" s="37"/>
      <c r="G657" s="37"/>
      <c r="H657" s="37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63"/>
      <c r="AQ657" s="63"/>
      <c r="AR657" s="63"/>
      <c r="AS657" s="63"/>
      <c r="AT657" s="63"/>
    </row>
    <row r="658" ht="15.75" customHeight="1">
      <c r="A658" s="63"/>
      <c r="B658" s="63"/>
      <c r="C658" s="63"/>
      <c r="D658" s="63"/>
      <c r="E658" s="63"/>
      <c r="F658" s="37"/>
      <c r="G658" s="37"/>
      <c r="H658" s="37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63"/>
      <c r="AQ658" s="63"/>
      <c r="AR658" s="63"/>
      <c r="AS658" s="63"/>
      <c r="AT658" s="63"/>
    </row>
    <row r="659" ht="15.75" customHeight="1">
      <c r="A659" s="63"/>
      <c r="B659" s="63"/>
      <c r="C659" s="63"/>
      <c r="D659" s="63"/>
      <c r="E659" s="63"/>
      <c r="F659" s="37"/>
      <c r="G659" s="37"/>
      <c r="H659" s="37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  <c r="AO659" s="63"/>
      <c r="AP659" s="63"/>
      <c r="AQ659" s="63"/>
      <c r="AR659" s="63"/>
      <c r="AS659" s="63"/>
      <c r="AT659" s="63"/>
    </row>
    <row r="660" ht="15.75" customHeight="1">
      <c r="A660" s="63"/>
      <c r="B660" s="63"/>
      <c r="C660" s="63"/>
      <c r="D660" s="63"/>
      <c r="E660" s="63"/>
      <c r="F660" s="37"/>
      <c r="G660" s="37"/>
      <c r="H660" s="37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  <c r="AO660" s="63"/>
      <c r="AP660" s="63"/>
      <c r="AQ660" s="63"/>
      <c r="AR660" s="63"/>
      <c r="AS660" s="63"/>
      <c r="AT660" s="63"/>
    </row>
    <row r="661" ht="15.75" customHeight="1">
      <c r="A661" s="63"/>
      <c r="B661" s="63"/>
      <c r="C661" s="63"/>
      <c r="D661" s="63"/>
      <c r="E661" s="63"/>
      <c r="F661" s="37"/>
      <c r="G661" s="37"/>
      <c r="H661" s="37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  <c r="AO661" s="63"/>
      <c r="AP661" s="63"/>
      <c r="AQ661" s="63"/>
      <c r="AR661" s="63"/>
      <c r="AS661" s="63"/>
      <c r="AT661" s="63"/>
    </row>
    <row r="662" ht="15.75" customHeight="1">
      <c r="A662" s="63"/>
      <c r="B662" s="63"/>
      <c r="C662" s="63"/>
      <c r="D662" s="63"/>
      <c r="E662" s="63"/>
      <c r="F662" s="37"/>
      <c r="G662" s="37"/>
      <c r="H662" s="37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  <c r="AO662" s="63"/>
      <c r="AP662" s="63"/>
      <c r="AQ662" s="63"/>
      <c r="AR662" s="63"/>
      <c r="AS662" s="63"/>
      <c r="AT662" s="63"/>
    </row>
    <row r="663" ht="15.75" customHeight="1">
      <c r="A663" s="63"/>
      <c r="B663" s="63"/>
      <c r="C663" s="63"/>
      <c r="D663" s="63"/>
      <c r="E663" s="63"/>
      <c r="F663" s="37"/>
      <c r="G663" s="37"/>
      <c r="H663" s="37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  <c r="AO663" s="63"/>
      <c r="AP663" s="63"/>
      <c r="AQ663" s="63"/>
      <c r="AR663" s="63"/>
      <c r="AS663" s="63"/>
      <c r="AT663" s="63"/>
    </row>
    <row r="664" ht="15.75" customHeight="1">
      <c r="A664" s="63"/>
      <c r="B664" s="63"/>
      <c r="C664" s="63"/>
      <c r="D664" s="63"/>
      <c r="E664" s="63"/>
      <c r="F664" s="37"/>
      <c r="G664" s="37"/>
      <c r="H664" s="37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  <c r="AO664" s="63"/>
      <c r="AP664" s="63"/>
      <c r="AQ664" s="63"/>
      <c r="AR664" s="63"/>
      <c r="AS664" s="63"/>
      <c r="AT664" s="63"/>
    </row>
    <row r="665" ht="15.75" customHeight="1">
      <c r="A665" s="63"/>
      <c r="B665" s="63"/>
      <c r="C665" s="63"/>
      <c r="D665" s="63"/>
      <c r="E665" s="63"/>
      <c r="F665" s="37"/>
      <c r="G665" s="37"/>
      <c r="H665" s="37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  <c r="AS665" s="63"/>
      <c r="AT665" s="63"/>
    </row>
    <row r="666" ht="15.75" customHeight="1">
      <c r="A666" s="63"/>
      <c r="B666" s="63"/>
      <c r="C666" s="63"/>
      <c r="D666" s="63"/>
      <c r="E666" s="63"/>
      <c r="F666" s="37"/>
      <c r="G666" s="37"/>
      <c r="H666" s="37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  <c r="AS666" s="63"/>
      <c r="AT666" s="63"/>
    </row>
    <row r="667" ht="15.75" customHeight="1">
      <c r="A667" s="63"/>
      <c r="B667" s="63"/>
      <c r="C667" s="63"/>
      <c r="D667" s="63"/>
      <c r="E667" s="63"/>
      <c r="F667" s="37"/>
      <c r="G667" s="37"/>
      <c r="H667" s="37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  <c r="AS667" s="63"/>
      <c r="AT667" s="63"/>
    </row>
    <row r="668" ht="15.75" customHeight="1">
      <c r="A668" s="63"/>
      <c r="B668" s="63"/>
      <c r="C668" s="63"/>
      <c r="D668" s="63"/>
      <c r="E668" s="63"/>
      <c r="F668" s="37"/>
      <c r="G668" s="37"/>
      <c r="H668" s="37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  <c r="AO668" s="63"/>
      <c r="AP668" s="63"/>
      <c r="AQ668" s="63"/>
      <c r="AR668" s="63"/>
      <c r="AS668" s="63"/>
      <c r="AT668" s="63"/>
    </row>
    <row r="669" ht="15.75" customHeight="1">
      <c r="A669" s="63"/>
      <c r="B669" s="63"/>
      <c r="C669" s="63"/>
      <c r="D669" s="63"/>
      <c r="E669" s="63"/>
      <c r="F669" s="37"/>
      <c r="G669" s="37"/>
      <c r="H669" s="37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  <c r="AO669" s="63"/>
      <c r="AP669" s="63"/>
      <c r="AQ669" s="63"/>
      <c r="AR669" s="63"/>
      <c r="AS669" s="63"/>
      <c r="AT669" s="63"/>
    </row>
    <row r="670" ht="15.75" customHeight="1">
      <c r="A670" s="63"/>
      <c r="B670" s="63"/>
      <c r="C670" s="63"/>
      <c r="D670" s="63"/>
      <c r="E670" s="63"/>
      <c r="F670" s="37"/>
      <c r="G670" s="37"/>
      <c r="H670" s="37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  <c r="AO670" s="63"/>
      <c r="AP670" s="63"/>
      <c r="AQ670" s="63"/>
      <c r="AR670" s="63"/>
      <c r="AS670" s="63"/>
      <c r="AT670" s="63"/>
    </row>
    <row r="671" ht="15.75" customHeight="1">
      <c r="A671" s="63"/>
      <c r="B671" s="63"/>
      <c r="C671" s="63"/>
      <c r="D671" s="63"/>
      <c r="E671" s="63"/>
      <c r="F671" s="37"/>
      <c r="G671" s="37"/>
      <c r="H671" s="37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  <c r="AO671" s="63"/>
      <c r="AP671" s="63"/>
      <c r="AQ671" s="63"/>
      <c r="AR671" s="63"/>
      <c r="AS671" s="63"/>
      <c r="AT671" s="63"/>
    </row>
    <row r="672" ht="15.75" customHeight="1">
      <c r="A672" s="63"/>
      <c r="B672" s="63"/>
      <c r="C672" s="63"/>
      <c r="D672" s="63"/>
      <c r="E672" s="63"/>
      <c r="F672" s="37"/>
      <c r="G672" s="37"/>
      <c r="H672" s="37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  <c r="AS672" s="63"/>
      <c r="AT672" s="63"/>
    </row>
    <row r="673" ht="15.75" customHeight="1">
      <c r="A673" s="63"/>
      <c r="B673" s="63"/>
      <c r="C673" s="63"/>
      <c r="D673" s="63"/>
      <c r="E673" s="63"/>
      <c r="F673" s="37"/>
      <c r="G673" s="37"/>
      <c r="H673" s="37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  <c r="AO673" s="63"/>
      <c r="AP673" s="63"/>
      <c r="AQ673" s="63"/>
      <c r="AR673" s="63"/>
      <c r="AS673" s="63"/>
      <c r="AT673" s="63"/>
    </row>
    <row r="674" ht="15.75" customHeight="1">
      <c r="A674" s="63"/>
      <c r="B674" s="63"/>
      <c r="C674" s="63"/>
      <c r="D674" s="63"/>
      <c r="E674" s="63"/>
      <c r="F674" s="37"/>
      <c r="G674" s="37"/>
      <c r="H674" s="37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63"/>
      <c r="AQ674" s="63"/>
      <c r="AR674" s="63"/>
      <c r="AS674" s="63"/>
      <c r="AT674" s="63"/>
    </row>
    <row r="675" ht="15.75" customHeight="1">
      <c r="A675" s="63"/>
      <c r="B675" s="63"/>
      <c r="C675" s="63"/>
      <c r="D675" s="63"/>
      <c r="E675" s="63"/>
      <c r="F675" s="37"/>
      <c r="G675" s="37"/>
      <c r="H675" s="37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  <c r="AS675" s="63"/>
      <c r="AT675" s="63"/>
    </row>
    <row r="676" ht="15.75" customHeight="1">
      <c r="A676" s="63"/>
      <c r="B676" s="63"/>
      <c r="C676" s="63"/>
      <c r="D676" s="63"/>
      <c r="E676" s="63"/>
      <c r="F676" s="37"/>
      <c r="G676" s="37"/>
      <c r="H676" s="37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  <c r="AO676" s="63"/>
      <c r="AP676" s="63"/>
      <c r="AQ676" s="63"/>
      <c r="AR676" s="63"/>
      <c r="AS676" s="63"/>
      <c r="AT676" s="63"/>
    </row>
    <row r="677" ht="15.75" customHeight="1">
      <c r="A677" s="63"/>
      <c r="B677" s="63"/>
      <c r="C677" s="63"/>
      <c r="D677" s="63"/>
      <c r="E677" s="63"/>
      <c r="F677" s="37"/>
      <c r="G677" s="37"/>
      <c r="H677" s="37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  <c r="AO677" s="63"/>
      <c r="AP677" s="63"/>
      <c r="AQ677" s="63"/>
      <c r="AR677" s="63"/>
      <c r="AS677" s="63"/>
      <c r="AT677" s="63"/>
    </row>
    <row r="678" ht="15.75" customHeight="1">
      <c r="A678" s="63"/>
      <c r="B678" s="63"/>
      <c r="C678" s="63"/>
      <c r="D678" s="63"/>
      <c r="E678" s="63"/>
      <c r="F678" s="37"/>
      <c r="G678" s="37"/>
      <c r="H678" s="37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  <c r="AO678" s="63"/>
      <c r="AP678" s="63"/>
      <c r="AQ678" s="63"/>
      <c r="AR678" s="63"/>
      <c r="AS678" s="63"/>
      <c r="AT678" s="63"/>
    </row>
    <row r="679" ht="15.75" customHeight="1">
      <c r="A679" s="63"/>
      <c r="B679" s="63"/>
      <c r="C679" s="63"/>
      <c r="D679" s="63"/>
      <c r="E679" s="63"/>
      <c r="F679" s="37"/>
      <c r="G679" s="37"/>
      <c r="H679" s="37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  <c r="AO679" s="63"/>
      <c r="AP679" s="63"/>
      <c r="AQ679" s="63"/>
      <c r="AR679" s="63"/>
      <c r="AS679" s="63"/>
      <c r="AT679" s="63"/>
    </row>
    <row r="680" ht="15.75" customHeight="1">
      <c r="A680" s="63"/>
      <c r="B680" s="63"/>
      <c r="C680" s="63"/>
      <c r="D680" s="63"/>
      <c r="E680" s="63"/>
      <c r="F680" s="37"/>
      <c r="G680" s="37"/>
      <c r="H680" s="37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  <c r="AO680" s="63"/>
      <c r="AP680" s="63"/>
      <c r="AQ680" s="63"/>
      <c r="AR680" s="63"/>
      <c r="AS680" s="63"/>
      <c r="AT680" s="63"/>
    </row>
    <row r="681" ht="15.75" customHeight="1">
      <c r="A681" s="63"/>
      <c r="B681" s="63"/>
      <c r="C681" s="63"/>
      <c r="D681" s="63"/>
      <c r="E681" s="63"/>
      <c r="F681" s="37"/>
      <c r="G681" s="37"/>
      <c r="H681" s="37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  <c r="AO681" s="63"/>
      <c r="AP681" s="63"/>
      <c r="AQ681" s="63"/>
      <c r="AR681" s="63"/>
      <c r="AS681" s="63"/>
      <c r="AT681" s="63"/>
    </row>
    <row r="682" ht="15.75" customHeight="1">
      <c r="A682" s="63"/>
      <c r="B682" s="63"/>
      <c r="C682" s="63"/>
      <c r="D682" s="63"/>
      <c r="E682" s="63"/>
      <c r="F682" s="37"/>
      <c r="G682" s="37"/>
      <c r="H682" s="37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  <c r="AO682" s="63"/>
      <c r="AP682" s="63"/>
      <c r="AQ682" s="63"/>
      <c r="AR682" s="63"/>
      <c r="AS682" s="63"/>
      <c r="AT682" s="63"/>
    </row>
    <row r="683" ht="15.75" customHeight="1">
      <c r="A683" s="63"/>
      <c r="B683" s="63"/>
      <c r="C683" s="63"/>
      <c r="D683" s="63"/>
      <c r="E683" s="63"/>
      <c r="F683" s="37"/>
      <c r="G683" s="37"/>
      <c r="H683" s="37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  <c r="AS683" s="63"/>
      <c r="AT683" s="63"/>
    </row>
    <row r="684" ht="15.75" customHeight="1">
      <c r="A684" s="63"/>
      <c r="B684" s="63"/>
      <c r="C684" s="63"/>
      <c r="D684" s="63"/>
      <c r="E684" s="63"/>
      <c r="F684" s="37"/>
      <c r="G684" s="37"/>
      <c r="H684" s="37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  <c r="AS684" s="63"/>
      <c r="AT684" s="63"/>
    </row>
    <row r="685" ht="15.75" customHeight="1">
      <c r="A685" s="63"/>
      <c r="B685" s="63"/>
      <c r="C685" s="63"/>
      <c r="D685" s="63"/>
      <c r="E685" s="63"/>
      <c r="F685" s="37"/>
      <c r="G685" s="37"/>
      <c r="H685" s="37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  <c r="AS685" s="63"/>
      <c r="AT685" s="63"/>
    </row>
    <row r="686" ht="15.75" customHeight="1">
      <c r="A686" s="63"/>
      <c r="B686" s="63"/>
      <c r="C686" s="63"/>
      <c r="D686" s="63"/>
      <c r="E686" s="63"/>
      <c r="F686" s="37"/>
      <c r="G686" s="37"/>
      <c r="H686" s="37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  <c r="AO686" s="63"/>
      <c r="AP686" s="63"/>
      <c r="AQ686" s="63"/>
      <c r="AR686" s="63"/>
      <c r="AS686" s="63"/>
      <c r="AT686" s="63"/>
    </row>
    <row r="687" ht="15.75" customHeight="1">
      <c r="A687" s="63"/>
      <c r="B687" s="63"/>
      <c r="C687" s="63"/>
      <c r="D687" s="63"/>
      <c r="E687" s="63"/>
      <c r="F687" s="37"/>
      <c r="G687" s="37"/>
      <c r="H687" s="37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  <c r="AS687" s="63"/>
      <c r="AT687" s="63"/>
    </row>
    <row r="688" ht="15.75" customHeight="1">
      <c r="A688" s="63"/>
      <c r="B688" s="63"/>
      <c r="C688" s="63"/>
      <c r="D688" s="63"/>
      <c r="E688" s="63"/>
      <c r="F688" s="37"/>
      <c r="G688" s="37"/>
      <c r="H688" s="37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  <c r="AS688" s="63"/>
      <c r="AT688" s="63"/>
    </row>
    <row r="689" ht="15.75" customHeight="1">
      <c r="A689" s="63"/>
      <c r="B689" s="63"/>
      <c r="C689" s="63"/>
      <c r="D689" s="63"/>
      <c r="E689" s="63"/>
      <c r="F689" s="37"/>
      <c r="G689" s="37"/>
      <c r="H689" s="37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  <c r="AS689" s="63"/>
      <c r="AT689" s="63"/>
    </row>
    <row r="690" ht="15.75" customHeight="1">
      <c r="A690" s="63"/>
      <c r="B690" s="63"/>
      <c r="C690" s="63"/>
      <c r="D690" s="63"/>
      <c r="E690" s="63"/>
      <c r="F690" s="37"/>
      <c r="G690" s="37"/>
      <c r="H690" s="37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  <c r="AS690" s="63"/>
      <c r="AT690" s="63"/>
    </row>
    <row r="691" ht="15.75" customHeight="1">
      <c r="A691" s="63"/>
      <c r="B691" s="63"/>
      <c r="C691" s="63"/>
      <c r="D691" s="63"/>
      <c r="E691" s="63"/>
      <c r="F691" s="37"/>
      <c r="G691" s="37"/>
      <c r="H691" s="37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  <c r="AS691" s="63"/>
      <c r="AT691" s="63"/>
    </row>
    <row r="692" ht="15.75" customHeight="1">
      <c r="A692" s="63"/>
      <c r="B692" s="63"/>
      <c r="C692" s="63"/>
      <c r="D692" s="63"/>
      <c r="E692" s="63"/>
      <c r="F692" s="37"/>
      <c r="G692" s="37"/>
      <c r="H692" s="37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  <c r="AO692" s="63"/>
      <c r="AP692" s="63"/>
      <c r="AQ692" s="63"/>
      <c r="AR692" s="63"/>
      <c r="AS692" s="63"/>
      <c r="AT692" s="63"/>
    </row>
    <row r="693" ht="15.75" customHeight="1">
      <c r="A693" s="63"/>
      <c r="B693" s="63"/>
      <c r="C693" s="63"/>
      <c r="D693" s="63"/>
      <c r="E693" s="63"/>
      <c r="F693" s="37"/>
      <c r="G693" s="37"/>
      <c r="H693" s="37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  <c r="AO693" s="63"/>
      <c r="AP693" s="63"/>
      <c r="AQ693" s="63"/>
      <c r="AR693" s="63"/>
      <c r="AS693" s="63"/>
      <c r="AT693" s="63"/>
    </row>
    <row r="694" ht="15.75" customHeight="1">
      <c r="A694" s="63"/>
      <c r="B694" s="63"/>
      <c r="C694" s="63"/>
      <c r="D694" s="63"/>
      <c r="E694" s="63"/>
      <c r="F694" s="37"/>
      <c r="G694" s="37"/>
      <c r="H694" s="37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  <c r="AO694" s="63"/>
      <c r="AP694" s="63"/>
      <c r="AQ694" s="63"/>
      <c r="AR694" s="63"/>
      <c r="AS694" s="63"/>
      <c r="AT694" s="63"/>
    </row>
    <row r="695" ht="15.75" customHeight="1">
      <c r="A695" s="63"/>
      <c r="B695" s="63"/>
      <c r="C695" s="63"/>
      <c r="D695" s="63"/>
      <c r="E695" s="63"/>
      <c r="F695" s="37"/>
      <c r="G695" s="37"/>
      <c r="H695" s="37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  <c r="AO695" s="63"/>
      <c r="AP695" s="63"/>
      <c r="AQ695" s="63"/>
      <c r="AR695" s="63"/>
      <c r="AS695" s="63"/>
      <c r="AT695" s="63"/>
    </row>
    <row r="696" ht="15.75" customHeight="1">
      <c r="A696" s="63"/>
      <c r="B696" s="63"/>
      <c r="C696" s="63"/>
      <c r="D696" s="63"/>
      <c r="E696" s="63"/>
      <c r="F696" s="37"/>
      <c r="G696" s="37"/>
      <c r="H696" s="37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  <c r="AS696" s="63"/>
      <c r="AT696" s="63"/>
    </row>
    <row r="697" ht="15.75" customHeight="1">
      <c r="A697" s="63"/>
      <c r="B697" s="63"/>
      <c r="C697" s="63"/>
      <c r="D697" s="63"/>
      <c r="E697" s="63"/>
      <c r="F697" s="37"/>
      <c r="G697" s="37"/>
      <c r="H697" s="37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  <c r="AS697" s="63"/>
      <c r="AT697" s="63"/>
    </row>
    <row r="698" ht="15.75" customHeight="1">
      <c r="A698" s="63"/>
      <c r="B698" s="63"/>
      <c r="C698" s="63"/>
      <c r="D698" s="63"/>
      <c r="E698" s="63"/>
      <c r="F698" s="37"/>
      <c r="G698" s="37"/>
      <c r="H698" s="37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  <c r="AO698" s="63"/>
      <c r="AP698" s="63"/>
      <c r="AQ698" s="63"/>
      <c r="AR698" s="63"/>
      <c r="AS698" s="63"/>
      <c r="AT698" s="63"/>
    </row>
    <row r="699" ht="15.75" customHeight="1">
      <c r="A699" s="63"/>
      <c r="B699" s="63"/>
      <c r="C699" s="63"/>
      <c r="D699" s="63"/>
      <c r="E699" s="63"/>
      <c r="F699" s="37"/>
      <c r="G699" s="37"/>
      <c r="H699" s="37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  <c r="AO699" s="63"/>
      <c r="AP699" s="63"/>
      <c r="AQ699" s="63"/>
      <c r="AR699" s="63"/>
      <c r="AS699" s="63"/>
      <c r="AT699" s="63"/>
    </row>
    <row r="700" ht="15.75" customHeight="1">
      <c r="A700" s="63"/>
      <c r="B700" s="63"/>
      <c r="C700" s="63"/>
      <c r="D700" s="63"/>
      <c r="E700" s="63"/>
      <c r="F700" s="37"/>
      <c r="G700" s="37"/>
      <c r="H700" s="37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  <c r="AS700" s="63"/>
      <c r="AT700" s="63"/>
    </row>
    <row r="701" ht="15.75" customHeight="1">
      <c r="A701" s="63"/>
      <c r="B701" s="63"/>
      <c r="C701" s="63"/>
      <c r="D701" s="63"/>
      <c r="E701" s="63"/>
      <c r="F701" s="37"/>
      <c r="G701" s="37"/>
      <c r="H701" s="37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  <c r="AS701" s="63"/>
      <c r="AT701" s="63"/>
    </row>
    <row r="702" ht="15.75" customHeight="1">
      <c r="A702" s="63"/>
      <c r="B702" s="63"/>
      <c r="C702" s="63"/>
      <c r="D702" s="63"/>
      <c r="E702" s="63"/>
      <c r="F702" s="37"/>
      <c r="G702" s="37"/>
      <c r="H702" s="37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  <c r="AS702" s="63"/>
      <c r="AT702" s="63"/>
    </row>
    <row r="703" ht="15.75" customHeight="1">
      <c r="A703" s="63"/>
      <c r="B703" s="63"/>
      <c r="C703" s="63"/>
      <c r="D703" s="63"/>
      <c r="E703" s="63"/>
      <c r="F703" s="37"/>
      <c r="G703" s="37"/>
      <c r="H703" s="37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  <c r="AS703" s="63"/>
      <c r="AT703" s="63"/>
    </row>
    <row r="704" ht="15.75" customHeight="1">
      <c r="A704" s="63"/>
      <c r="B704" s="63"/>
      <c r="C704" s="63"/>
      <c r="D704" s="63"/>
      <c r="E704" s="63"/>
      <c r="F704" s="37"/>
      <c r="G704" s="37"/>
      <c r="H704" s="37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  <c r="AS704" s="63"/>
      <c r="AT704" s="63"/>
    </row>
    <row r="705" ht="15.75" customHeight="1">
      <c r="A705" s="63"/>
      <c r="B705" s="63"/>
      <c r="C705" s="63"/>
      <c r="D705" s="63"/>
      <c r="E705" s="63"/>
      <c r="F705" s="37"/>
      <c r="G705" s="37"/>
      <c r="H705" s="37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  <c r="AO705" s="63"/>
      <c r="AP705" s="63"/>
      <c r="AQ705" s="63"/>
      <c r="AR705" s="63"/>
      <c r="AS705" s="63"/>
      <c r="AT705" s="63"/>
    </row>
    <row r="706" ht="15.75" customHeight="1">
      <c r="A706" s="63"/>
      <c r="B706" s="63"/>
      <c r="C706" s="63"/>
      <c r="D706" s="63"/>
      <c r="E706" s="63"/>
      <c r="F706" s="37"/>
      <c r="G706" s="37"/>
      <c r="H706" s="37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  <c r="AO706" s="63"/>
      <c r="AP706" s="63"/>
      <c r="AQ706" s="63"/>
      <c r="AR706" s="63"/>
      <c r="AS706" s="63"/>
      <c r="AT706" s="63"/>
    </row>
    <row r="707" ht="15.75" customHeight="1">
      <c r="A707" s="63"/>
      <c r="B707" s="63"/>
      <c r="C707" s="63"/>
      <c r="D707" s="63"/>
      <c r="E707" s="63"/>
      <c r="F707" s="37"/>
      <c r="G707" s="37"/>
      <c r="H707" s="37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  <c r="AS707" s="63"/>
      <c r="AT707" s="63"/>
    </row>
    <row r="708" ht="15.75" customHeight="1">
      <c r="A708" s="63"/>
      <c r="B708" s="63"/>
      <c r="C708" s="63"/>
      <c r="D708" s="63"/>
      <c r="E708" s="63"/>
      <c r="F708" s="37"/>
      <c r="G708" s="37"/>
      <c r="H708" s="37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63"/>
      <c r="AS708" s="63"/>
      <c r="AT708" s="63"/>
    </row>
    <row r="709" ht="15.75" customHeight="1">
      <c r="A709" s="63"/>
      <c r="B709" s="63"/>
      <c r="C709" s="63"/>
      <c r="D709" s="63"/>
      <c r="E709" s="63"/>
      <c r="F709" s="37"/>
      <c r="G709" s="37"/>
      <c r="H709" s="37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  <c r="AO709" s="63"/>
      <c r="AP709" s="63"/>
      <c r="AQ709" s="63"/>
      <c r="AR709" s="63"/>
      <c r="AS709" s="63"/>
      <c r="AT709" s="63"/>
    </row>
    <row r="710" ht="15.75" customHeight="1">
      <c r="A710" s="63"/>
      <c r="B710" s="63"/>
      <c r="C710" s="63"/>
      <c r="D710" s="63"/>
      <c r="E710" s="63"/>
      <c r="F710" s="37"/>
      <c r="G710" s="37"/>
      <c r="H710" s="37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  <c r="AO710" s="63"/>
      <c r="AP710" s="63"/>
      <c r="AQ710" s="63"/>
      <c r="AR710" s="63"/>
      <c r="AS710" s="63"/>
      <c r="AT710" s="63"/>
    </row>
    <row r="711" ht="15.75" customHeight="1">
      <c r="A711" s="63"/>
      <c r="B711" s="63"/>
      <c r="C711" s="63"/>
      <c r="D711" s="63"/>
      <c r="E711" s="63"/>
      <c r="F711" s="37"/>
      <c r="G711" s="37"/>
      <c r="H711" s="37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63"/>
      <c r="AQ711" s="63"/>
      <c r="AR711" s="63"/>
      <c r="AS711" s="63"/>
      <c r="AT711" s="63"/>
    </row>
    <row r="712" ht="15.75" customHeight="1">
      <c r="A712" s="63"/>
      <c r="B712" s="63"/>
      <c r="C712" s="63"/>
      <c r="D712" s="63"/>
      <c r="E712" s="63"/>
      <c r="F712" s="37"/>
      <c r="G712" s="37"/>
      <c r="H712" s="37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  <c r="AO712" s="63"/>
      <c r="AP712" s="63"/>
      <c r="AQ712" s="63"/>
      <c r="AR712" s="63"/>
      <c r="AS712" s="63"/>
      <c r="AT712" s="63"/>
    </row>
    <row r="713" ht="15.75" customHeight="1">
      <c r="A713" s="63"/>
      <c r="B713" s="63"/>
      <c r="C713" s="63"/>
      <c r="D713" s="63"/>
      <c r="E713" s="63"/>
      <c r="F713" s="37"/>
      <c r="G713" s="37"/>
      <c r="H713" s="37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  <c r="AO713" s="63"/>
      <c r="AP713" s="63"/>
      <c r="AQ713" s="63"/>
      <c r="AR713" s="63"/>
      <c r="AS713" s="63"/>
      <c r="AT713" s="63"/>
    </row>
    <row r="714" ht="15.75" customHeight="1">
      <c r="A714" s="63"/>
      <c r="B714" s="63"/>
      <c r="C714" s="63"/>
      <c r="D714" s="63"/>
      <c r="E714" s="63"/>
      <c r="F714" s="37"/>
      <c r="G714" s="37"/>
      <c r="H714" s="37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  <c r="AO714" s="63"/>
      <c r="AP714" s="63"/>
      <c r="AQ714" s="63"/>
      <c r="AR714" s="63"/>
      <c r="AS714" s="63"/>
      <c r="AT714" s="63"/>
    </row>
    <row r="715" ht="15.75" customHeight="1">
      <c r="A715" s="63"/>
      <c r="B715" s="63"/>
      <c r="C715" s="63"/>
      <c r="D715" s="63"/>
      <c r="E715" s="63"/>
      <c r="F715" s="37"/>
      <c r="G715" s="37"/>
      <c r="H715" s="37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  <c r="AO715" s="63"/>
      <c r="AP715" s="63"/>
      <c r="AQ715" s="63"/>
      <c r="AR715" s="63"/>
      <c r="AS715" s="63"/>
      <c r="AT715" s="63"/>
    </row>
    <row r="716" ht="15.75" customHeight="1">
      <c r="A716" s="63"/>
      <c r="B716" s="63"/>
      <c r="C716" s="63"/>
      <c r="D716" s="63"/>
      <c r="E716" s="63"/>
      <c r="F716" s="37"/>
      <c r="G716" s="37"/>
      <c r="H716" s="37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  <c r="AS716" s="63"/>
      <c r="AT716" s="63"/>
    </row>
    <row r="717" ht="15.75" customHeight="1">
      <c r="A717" s="63"/>
      <c r="B717" s="63"/>
      <c r="C717" s="63"/>
      <c r="D717" s="63"/>
      <c r="E717" s="63"/>
      <c r="F717" s="37"/>
      <c r="G717" s="37"/>
      <c r="H717" s="37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  <c r="AS717" s="63"/>
      <c r="AT717" s="63"/>
    </row>
    <row r="718" ht="15.75" customHeight="1">
      <c r="A718" s="63"/>
      <c r="B718" s="63"/>
      <c r="C718" s="63"/>
      <c r="D718" s="63"/>
      <c r="E718" s="63"/>
      <c r="F718" s="37"/>
      <c r="G718" s="37"/>
      <c r="H718" s="37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  <c r="AS718" s="63"/>
      <c r="AT718" s="63"/>
    </row>
    <row r="719" ht="15.75" customHeight="1">
      <c r="A719" s="63"/>
      <c r="B719" s="63"/>
      <c r="C719" s="63"/>
      <c r="D719" s="63"/>
      <c r="E719" s="63"/>
      <c r="F719" s="37"/>
      <c r="G719" s="37"/>
      <c r="H719" s="37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  <c r="AS719" s="63"/>
      <c r="AT719" s="63"/>
    </row>
    <row r="720" ht="15.75" customHeight="1">
      <c r="A720" s="63"/>
      <c r="B720" s="63"/>
      <c r="C720" s="63"/>
      <c r="D720" s="63"/>
      <c r="E720" s="63"/>
      <c r="F720" s="37"/>
      <c r="G720" s="37"/>
      <c r="H720" s="37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  <c r="AS720" s="63"/>
      <c r="AT720" s="63"/>
    </row>
    <row r="721" ht="15.75" customHeight="1">
      <c r="A721" s="63"/>
      <c r="B721" s="63"/>
      <c r="C721" s="63"/>
      <c r="D721" s="63"/>
      <c r="E721" s="63"/>
      <c r="F721" s="37"/>
      <c r="G721" s="37"/>
      <c r="H721" s="37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  <c r="AO721" s="63"/>
      <c r="AP721" s="63"/>
      <c r="AQ721" s="63"/>
      <c r="AR721" s="63"/>
      <c r="AS721" s="63"/>
      <c r="AT721" s="63"/>
    </row>
    <row r="722" ht="15.75" customHeight="1">
      <c r="A722" s="63"/>
      <c r="B722" s="63"/>
      <c r="C722" s="63"/>
      <c r="D722" s="63"/>
      <c r="E722" s="63"/>
      <c r="F722" s="37"/>
      <c r="G722" s="37"/>
      <c r="H722" s="37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  <c r="AO722" s="63"/>
      <c r="AP722" s="63"/>
      <c r="AQ722" s="63"/>
      <c r="AR722" s="63"/>
      <c r="AS722" s="63"/>
      <c r="AT722" s="63"/>
    </row>
    <row r="723" ht="15.75" customHeight="1">
      <c r="A723" s="63"/>
      <c r="B723" s="63"/>
      <c r="C723" s="63"/>
      <c r="D723" s="63"/>
      <c r="E723" s="63"/>
      <c r="F723" s="37"/>
      <c r="G723" s="37"/>
      <c r="H723" s="37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  <c r="AO723" s="63"/>
      <c r="AP723" s="63"/>
      <c r="AQ723" s="63"/>
      <c r="AR723" s="63"/>
      <c r="AS723" s="63"/>
      <c r="AT723" s="63"/>
    </row>
    <row r="724" ht="15.75" customHeight="1">
      <c r="A724" s="63"/>
      <c r="B724" s="63"/>
      <c r="C724" s="63"/>
      <c r="D724" s="63"/>
      <c r="E724" s="63"/>
      <c r="F724" s="37"/>
      <c r="G724" s="37"/>
      <c r="H724" s="37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  <c r="AO724" s="63"/>
      <c r="AP724" s="63"/>
      <c r="AQ724" s="63"/>
      <c r="AR724" s="63"/>
      <c r="AS724" s="63"/>
      <c r="AT724" s="63"/>
    </row>
    <row r="725" ht="15.75" customHeight="1">
      <c r="A725" s="63"/>
      <c r="B725" s="63"/>
      <c r="C725" s="63"/>
      <c r="D725" s="63"/>
      <c r="E725" s="63"/>
      <c r="F725" s="37"/>
      <c r="G725" s="37"/>
      <c r="H725" s="37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  <c r="AS725" s="63"/>
      <c r="AT725" s="63"/>
    </row>
    <row r="726" ht="15.75" customHeight="1">
      <c r="A726" s="63"/>
      <c r="B726" s="63"/>
      <c r="C726" s="63"/>
      <c r="D726" s="63"/>
      <c r="E726" s="63"/>
      <c r="F726" s="37"/>
      <c r="G726" s="37"/>
      <c r="H726" s="37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  <c r="AO726" s="63"/>
      <c r="AP726" s="63"/>
      <c r="AQ726" s="63"/>
      <c r="AR726" s="63"/>
      <c r="AS726" s="63"/>
      <c r="AT726" s="63"/>
    </row>
    <row r="727" ht="15.75" customHeight="1">
      <c r="A727" s="63"/>
      <c r="B727" s="63"/>
      <c r="C727" s="63"/>
      <c r="D727" s="63"/>
      <c r="E727" s="63"/>
      <c r="F727" s="37"/>
      <c r="G727" s="37"/>
      <c r="H727" s="37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  <c r="AO727" s="63"/>
      <c r="AP727" s="63"/>
      <c r="AQ727" s="63"/>
      <c r="AR727" s="63"/>
      <c r="AS727" s="63"/>
      <c r="AT727" s="63"/>
    </row>
    <row r="728" ht="15.75" customHeight="1">
      <c r="A728" s="63"/>
      <c r="B728" s="63"/>
      <c r="C728" s="63"/>
      <c r="D728" s="63"/>
      <c r="E728" s="63"/>
      <c r="F728" s="37"/>
      <c r="G728" s="37"/>
      <c r="H728" s="37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  <c r="AO728" s="63"/>
      <c r="AP728" s="63"/>
      <c r="AQ728" s="63"/>
      <c r="AR728" s="63"/>
      <c r="AS728" s="63"/>
      <c r="AT728" s="63"/>
    </row>
    <row r="729" ht="15.75" customHeight="1">
      <c r="A729" s="63"/>
      <c r="B729" s="63"/>
      <c r="C729" s="63"/>
      <c r="D729" s="63"/>
      <c r="E729" s="63"/>
      <c r="F729" s="37"/>
      <c r="G729" s="37"/>
      <c r="H729" s="37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  <c r="AO729" s="63"/>
      <c r="AP729" s="63"/>
      <c r="AQ729" s="63"/>
      <c r="AR729" s="63"/>
      <c r="AS729" s="63"/>
      <c r="AT729" s="63"/>
    </row>
    <row r="730" ht="15.75" customHeight="1">
      <c r="A730" s="63"/>
      <c r="B730" s="63"/>
      <c r="C730" s="63"/>
      <c r="D730" s="63"/>
      <c r="E730" s="63"/>
      <c r="F730" s="37"/>
      <c r="G730" s="37"/>
      <c r="H730" s="37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  <c r="AO730" s="63"/>
      <c r="AP730" s="63"/>
      <c r="AQ730" s="63"/>
      <c r="AR730" s="63"/>
      <c r="AS730" s="63"/>
      <c r="AT730" s="63"/>
    </row>
    <row r="731" ht="15.75" customHeight="1">
      <c r="A731" s="63"/>
      <c r="B731" s="63"/>
      <c r="C731" s="63"/>
      <c r="D731" s="63"/>
      <c r="E731" s="63"/>
      <c r="F731" s="37"/>
      <c r="G731" s="37"/>
      <c r="H731" s="37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  <c r="AO731" s="63"/>
      <c r="AP731" s="63"/>
      <c r="AQ731" s="63"/>
      <c r="AR731" s="63"/>
      <c r="AS731" s="63"/>
      <c r="AT731" s="63"/>
    </row>
    <row r="732" ht="15.75" customHeight="1">
      <c r="A732" s="63"/>
      <c r="B732" s="63"/>
      <c r="C732" s="63"/>
      <c r="D732" s="63"/>
      <c r="E732" s="63"/>
      <c r="F732" s="37"/>
      <c r="G732" s="37"/>
      <c r="H732" s="37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  <c r="AO732" s="63"/>
      <c r="AP732" s="63"/>
      <c r="AQ732" s="63"/>
      <c r="AR732" s="63"/>
      <c r="AS732" s="63"/>
      <c r="AT732" s="63"/>
    </row>
    <row r="733" ht="15.75" customHeight="1">
      <c r="A733" s="63"/>
      <c r="B733" s="63"/>
      <c r="C733" s="63"/>
      <c r="D733" s="63"/>
      <c r="E733" s="63"/>
      <c r="F733" s="37"/>
      <c r="G733" s="37"/>
      <c r="H733" s="37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  <c r="AO733" s="63"/>
      <c r="AP733" s="63"/>
      <c r="AQ733" s="63"/>
      <c r="AR733" s="63"/>
      <c r="AS733" s="63"/>
      <c r="AT733" s="63"/>
    </row>
    <row r="734" ht="15.75" customHeight="1">
      <c r="A734" s="63"/>
      <c r="B734" s="63"/>
      <c r="C734" s="63"/>
      <c r="D734" s="63"/>
      <c r="E734" s="63"/>
      <c r="F734" s="37"/>
      <c r="G734" s="37"/>
      <c r="H734" s="37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  <c r="AO734" s="63"/>
      <c r="AP734" s="63"/>
      <c r="AQ734" s="63"/>
      <c r="AR734" s="63"/>
      <c r="AS734" s="63"/>
      <c r="AT734" s="63"/>
    </row>
    <row r="735" ht="15.75" customHeight="1">
      <c r="A735" s="63"/>
      <c r="B735" s="63"/>
      <c r="C735" s="63"/>
      <c r="D735" s="63"/>
      <c r="E735" s="63"/>
      <c r="F735" s="37"/>
      <c r="G735" s="37"/>
      <c r="H735" s="37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  <c r="AO735" s="63"/>
      <c r="AP735" s="63"/>
      <c r="AQ735" s="63"/>
      <c r="AR735" s="63"/>
      <c r="AS735" s="63"/>
      <c r="AT735" s="63"/>
    </row>
    <row r="736" ht="15.75" customHeight="1">
      <c r="A736" s="63"/>
      <c r="B736" s="63"/>
      <c r="C736" s="63"/>
      <c r="D736" s="63"/>
      <c r="E736" s="63"/>
      <c r="F736" s="37"/>
      <c r="G736" s="37"/>
      <c r="H736" s="37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  <c r="AS736" s="63"/>
      <c r="AT736" s="63"/>
    </row>
    <row r="737" ht="15.75" customHeight="1">
      <c r="A737" s="63"/>
      <c r="B737" s="63"/>
      <c r="C737" s="63"/>
      <c r="D737" s="63"/>
      <c r="E737" s="63"/>
      <c r="F737" s="37"/>
      <c r="G737" s="37"/>
      <c r="H737" s="37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63"/>
      <c r="AQ737" s="63"/>
      <c r="AR737" s="63"/>
      <c r="AS737" s="63"/>
      <c r="AT737" s="63"/>
    </row>
    <row r="738" ht="15.75" customHeight="1">
      <c r="A738" s="63"/>
      <c r="B738" s="63"/>
      <c r="C738" s="63"/>
      <c r="D738" s="63"/>
      <c r="E738" s="63"/>
      <c r="F738" s="37"/>
      <c r="G738" s="37"/>
      <c r="H738" s="37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  <c r="AO738" s="63"/>
      <c r="AP738" s="63"/>
      <c r="AQ738" s="63"/>
      <c r="AR738" s="63"/>
      <c r="AS738" s="63"/>
      <c r="AT738" s="63"/>
    </row>
    <row r="739" ht="15.75" customHeight="1">
      <c r="A739" s="63"/>
      <c r="B739" s="63"/>
      <c r="C739" s="63"/>
      <c r="D739" s="63"/>
      <c r="E739" s="63"/>
      <c r="F739" s="37"/>
      <c r="G739" s="37"/>
      <c r="H739" s="37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  <c r="AO739" s="63"/>
      <c r="AP739" s="63"/>
      <c r="AQ739" s="63"/>
      <c r="AR739" s="63"/>
      <c r="AS739" s="63"/>
      <c r="AT739" s="63"/>
    </row>
    <row r="740" ht="15.75" customHeight="1">
      <c r="A740" s="63"/>
      <c r="B740" s="63"/>
      <c r="C740" s="63"/>
      <c r="D740" s="63"/>
      <c r="E740" s="63"/>
      <c r="F740" s="37"/>
      <c r="G740" s="37"/>
      <c r="H740" s="37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  <c r="AS740" s="63"/>
      <c r="AT740" s="63"/>
    </row>
    <row r="741" ht="15.75" customHeight="1">
      <c r="A741" s="63"/>
      <c r="B741" s="63"/>
      <c r="C741" s="63"/>
      <c r="D741" s="63"/>
      <c r="E741" s="63"/>
      <c r="F741" s="37"/>
      <c r="G741" s="37"/>
      <c r="H741" s="37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  <c r="AS741" s="63"/>
      <c r="AT741" s="63"/>
    </row>
    <row r="742" ht="15.75" customHeight="1">
      <c r="A742" s="63"/>
      <c r="B742" s="63"/>
      <c r="C742" s="63"/>
      <c r="D742" s="63"/>
      <c r="E742" s="63"/>
      <c r="F742" s="37"/>
      <c r="G742" s="37"/>
      <c r="H742" s="37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  <c r="AS742" s="63"/>
      <c r="AT742" s="63"/>
    </row>
    <row r="743" ht="15.75" customHeight="1">
      <c r="A743" s="63"/>
      <c r="B743" s="63"/>
      <c r="C743" s="63"/>
      <c r="D743" s="63"/>
      <c r="E743" s="63"/>
      <c r="F743" s="37"/>
      <c r="G743" s="37"/>
      <c r="H743" s="37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  <c r="AS743" s="63"/>
      <c r="AT743" s="63"/>
    </row>
    <row r="744" ht="15.75" customHeight="1">
      <c r="A744" s="63"/>
      <c r="B744" s="63"/>
      <c r="C744" s="63"/>
      <c r="D744" s="63"/>
      <c r="E744" s="63"/>
      <c r="F744" s="37"/>
      <c r="G744" s="37"/>
      <c r="H744" s="37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  <c r="AS744" s="63"/>
      <c r="AT744" s="63"/>
    </row>
    <row r="745" ht="15.75" customHeight="1">
      <c r="A745" s="63"/>
      <c r="B745" s="63"/>
      <c r="C745" s="63"/>
      <c r="D745" s="63"/>
      <c r="E745" s="63"/>
      <c r="F745" s="37"/>
      <c r="G745" s="37"/>
      <c r="H745" s="37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  <c r="AS745" s="63"/>
      <c r="AT745" s="63"/>
    </row>
    <row r="746" ht="15.75" customHeight="1">
      <c r="A746" s="63"/>
      <c r="B746" s="63"/>
      <c r="C746" s="63"/>
      <c r="D746" s="63"/>
      <c r="E746" s="63"/>
      <c r="F746" s="37"/>
      <c r="G746" s="37"/>
      <c r="H746" s="37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  <c r="AS746" s="63"/>
      <c r="AT746" s="63"/>
    </row>
    <row r="747" ht="15.75" customHeight="1">
      <c r="A747" s="63"/>
      <c r="B747" s="63"/>
      <c r="C747" s="63"/>
      <c r="D747" s="63"/>
      <c r="E747" s="63"/>
      <c r="F747" s="37"/>
      <c r="G747" s="37"/>
      <c r="H747" s="37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  <c r="AO747" s="63"/>
      <c r="AP747" s="63"/>
      <c r="AQ747" s="63"/>
      <c r="AR747" s="63"/>
      <c r="AS747" s="63"/>
      <c r="AT747" s="63"/>
    </row>
    <row r="748" ht="15.75" customHeight="1">
      <c r="A748" s="63"/>
      <c r="B748" s="63"/>
      <c r="C748" s="63"/>
      <c r="D748" s="63"/>
      <c r="E748" s="63"/>
      <c r="F748" s="37"/>
      <c r="G748" s="37"/>
      <c r="H748" s="37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  <c r="AO748" s="63"/>
      <c r="AP748" s="63"/>
      <c r="AQ748" s="63"/>
      <c r="AR748" s="63"/>
      <c r="AS748" s="63"/>
      <c r="AT748" s="63"/>
    </row>
    <row r="749" ht="15.75" customHeight="1">
      <c r="A749" s="63"/>
      <c r="B749" s="63"/>
      <c r="C749" s="63"/>
      <c r="D749" s="63"/>
      <c r="E749" s="63"/>
      <c r="F749" s="37"/>
      <c r="G749" s="37"/>
      <c r="H749" s="37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  <c r="AO749" s="63"/>
      <c r="AP749" s="63"/>
      <c r="AQ749" s="63"/>
      <c r="AR749" s="63"/>
      <c r="AS749" s="63"/>
      <c r="AT749" s="63"/>
    </row>
    <row r="750" ht="15.75" customHeight="1">
      <c r="A750" s="63"/>
      <c r="B750" s="63"/>
      <c r="C750" s="63"/>
      <c r="D750" s="63"/>
      <c r="E750" s="63"/>
      <c r="F750" s="37"/>
      <c r="G750" s="37"/>
      <c r="H750" s="37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  <c r="AO750" s="63"/>
      <c r="AP750" s="63"/>
      <c r="AQ750" s="63"/>
      <c r="AR750" s="63"/>
      <c r="AS750" s="63"/>
      <c r="AT750" s="63"/>
    </row>
    <row r="751" ht="15.75" customHeight="1">
      <c r="A751" s="63"/>
      <c r="B751" s="63"/>
      <c r="C751" s="63"/>
      <c r="D751" s="63"/>
      <c r="E751" s="63"/>
      <c r="F751" s="37"/>
      <c r="G751" s="37"/>
      <c r="H751" s="37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  <c r="AO751" s="63"/>
      <c r="AP751" s="63"/>
      <c r="AQ751" s="63"/>
      <c r="AR751" s="63"/>
      <c r="AS751" s="63"/>
      <c r="AT751" s="63"/>
    </row>
    <row r="752" ht="15.75" customHeight="1">
      <c r="A752" s="63"/>
      <c r="B752" s="63"/>
      <c r="C752" s="63"/>
      <c r="D752" s="63"/>
      <c r="E752" s="63"/>
      <c r="F752" s="37"/>
      <c r="G752" s="37"/>
      <c r="H752" s="37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  <c r="AO752" s="63"/>
      <c r="AP752" s="63"/>
      <c r="AQ752" s="63"/>
      <c r="AR752" s="63"/>
      <c r="AS752" s="63"/>
      <c r="AT752" s="63"/>
    </row>
    <row r="753" ht="15.75" customHeight="1">
      <c r="A753" s="63"/>
      <c r="B753" s="63"/>
      <c r="C753" s="63"/>
      <c r="D753" s="63"/>
      <c r="E753" s="63"/>
      <c r="F753" s="37"/>
      <c r="G753" s="37"/>
      <c r="H753" s="37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  <c r="AO753" s="63"/>
      <c r="AP753" s="63"/>
      <c r="AQ753" s="63"/>
      <c r="AR753" s="63"/>
      <c r="AS753" s="63"/>
      <c r="AT753" s="63"/>
    </row>
    <row r="754" ht="15.75" customHeight="1">
      <c r="A754" s="63"/>
      <c r="B754" s="63"/>
      <c r="C754" s="63"/>
      <c r="D754" s="63"/>
      <c r="E754" s="63"/>
      <c r="F754" s="37"/>
      <c r="G754" s="37"/>
      <c r="H754" s="37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  <c r="AO754" s="63"/>
      <c r="AP754" s="63"/>
      <c r="AQ754" s="63"/>
      <c r="AR754" s="63"/>
      <c r="AS754" s="63"/>
      <c r="AT754" s="63"/>
    </row>
    <row r="755" ht="15.75" customHeight="1">
      <c r="A755" s="63"/>
      <c r="B755" s="63"/>
      <c r="C755" s="63"/>
      <c r="D755" s="63"/>
      <c r="E755" s="63"/>
      <c r="F755" s="37"/>
      <c r="G755" s="37"/>
      <c r="H755" s="37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  <c r="AO755" s="63"/>
      <c r="AP755" s="63"/>
      <c r="AQ755" s="63"/>
      <c r="AR755" s="63"/>
      <c r="AS755" s="63"/>
      <c r="AT755" s="63"/>
    </row>
    <row r="756" ht="15.75" customHeight="1">
      <c r="A756" s="63"/>
      <c r="B756" s="63"/>
      <c r="C756" s="63"/>
      <c r="D756" s="63"/>
      <c r="E756" s="63"/>
      <c r="F756" s="37"/>
      <c r="G756" s="37"/>
      <c r="H756" s="37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63"/>
      <c r="AR756" s="63"/>
      <c r="AS756" s="63"/>
      <c r="AT756" s="63"/>
    </row>
    <row r="757" ht="15.75" customHeight="1">
      <c r="A757" s="63"/>
      <c r="B757" s="63"/>
      <c r="C757" s="63"/>
      <c r="D757" s="63"/>
      <c r="E757" s="63"/>
      <c r="F757" s="37"/>
      <c r="G757" s="37"/>
      <c r="H757" s="37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63"/>
      <c r="AR757" s="63"/>
      <c r="AS757" s="63"/>
      <c r="AT757" s="63"/>
    </row>
    <row r="758" ht="15.75" customHeight="1">
      <c r="A758" s="63"/>
      <c r="B758" s="63"/>
      <c r="C758" s="63"/>
      <c r="D758" s="63"/>
      <c r="E758" s="63"/>
      <c r="F758" s="37"/>
      <c r="G758" s="37"/>
      <c r="H758" s="37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63"/>
      <c r="AR758" s="63"/>
      <c r="AS758" s="63"/>
      <c r="AT758" s="63"/>
    </row>
    <row r="759" ht="15.75" customHeight="1">
      <c r="A759" s="63"/>
      <c r="B759" s="63"/>
      <c r="C759" s="63"/>
      <c r="D759" s="63"/>
      <c r="E759" s="63"/>
      <c r="F759" s="37"/>
      <c r="G759" s="37"/>
      <c r="H759" s="37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63"/>
      <c r="AR759" s="63"/>
      <c r="AS759" s="63"/>
      <c r="AT759" s="63"/>
    </row>
    <row r="760" ht="15.75" customHeight="1">
      <c r="A760" s="63"/>
      <c r="B760" s="63"/>
      <c r="C760" s="63"/>
      <c r="D760" s="63"/>
      <c r="E760" s="63"/>
      <c r="F760" s="37"/>
      <c r="G760" s="37"/>
      <c r="H760" s="37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63"/>
      <c r="AR760" s="63"/>
      <c r="AS760" s="63"/>
      <c r="AT760" s="63"/>
    </row>
    <row r="761" ht="15.75" customHeight="1">
      <c r="A761" s="63"/>
      <c r="B761" s="63"/>
      <c r="C761" s="63"/>
      <c r="D761" s="63"/>
      <c r="E761" s="63"/>
      <c r="F761" s="37"/>
      <c r="G761" s="37"/>
      <c r="H761" s="37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  <c r="AO761" s="63"/>
      <c r="AP761" s="63"/>
      <c r="AQ761" s="63"/>
      <c r="AR761" s="63"/>
      <c r="AS761" s="63"/>
      <c r="AT761" s="63"/>
    </row>
    <row r="762" ht="15.75" customHeight="1">
      <c r="A762" s="63"/>
      <c r="B762" s="63"/>
      <c r="C762" s="63"/>
      <c r="D762" s="63"/>
      <c r="E762" s="63"/>
      <c r="F762" s="37"/>
      <c r="G762" s="37"/>
      <c r="H762" s="37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  <c r="AS762" s="63"/>
      <c r="AT762" s="63"/>
    </row>
    <row r="763" ht="15.75" customHeight="1">
      <c r="A763" s="63"/>
      <c r="B763" s="63"/>
      <c r="C763" s="63"/>
      <c r="D763" s="63"/>
      <c r="E763" s="63"/>
      <c r="F763" s="37"/>
      <c r="G763" s="37"/>
      <c r="H763" s="37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  <c r="AS763" s="63"/>
      <c r="AT763" s="63"/>
    </row>
    <row r="764" ht="15.75" customHeight="1">
      <c r="A764" s="63"/>
      <c r="B764" s="63"/>
      <c r="C764" s="63"/>
      <c r="D764" s="63"/>
      <c r="E764" s="63"/>
      <c r="F764" s="37"/>
      <c r="G764" s="37"/>
      <c r="H764" s="37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  <c r="AS764" s="63"/>
      <c r="AT764" s="63"/>
    </row>
    <row r="765" ht="15.75" customHeight="1">
      <c r="A765" s="63"/>
      <c r="B765" s="63"/>
      <c r="C765" s="63"/>
      <c r="D765" s="63"/>
      <c r="E765" s="63"/>
      <c r="F765" s="37"/>
      <c r="G765" s="37"/>
      <c r="H765" s="37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  <c r="AS765" s="63"/>
      <c r="AT765" s="63"/>
    </row>
    <row r="766" ht="15.75" customHeight="1">
      <c r="A766" s="63"/>
      <c r="B766" s="63"/>
      <c r="C766" s="63"/>
      <c r="D766" s="63"/>
      <c r="E766" s="63"/>
      <c r="F766" s="37"/>
      <c r="G766" s="37"/>
      <c r="H766" s="37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  <c r="AS766" s="63"/>
      <c r="AT766" s="63"/>
    </row>
    <row r="767" ht="15.75" customHeight="1">
      <c r="A767" s="63"/>
      <c r="B767" s="63"/>
      <c r="C767" s="63"/>
      <c r="D767" s="63"/>
      <c r="E767" s="63"/>
      <c r="F767" s="37"/>
      <c r="G767" s="37"/>
      <c r="H767" s="37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  <c r="AO767" s="63"/>
      <c r="AP767" s="63"/>
      <c r="AQ767" s="63"/>
      <c r="AR767" s="63"/>
      <c r="AS767" s="63"/>
      <c r="AT767" s="63"/>
    </row>
    <row r="768" ht="15.75" customHeight="1">
      <c r="A768" s="63"/>
      <c r="B768" s="63"/>
      <c r="C768" s="63"/>
      <c r="D768" s="63"/>
      <c r="E768" s="63"/>
      <c r="F768" s="37"/>
      <c r="G768" s="37"/>
      <c r="H768" s="37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  <c r="AO768" s="63"/>
      <c r="AP768" s="63"/>
      <c r="AQ768" s="63"/>
      <c r="AR768" s="63"/>
      <c r="AS768" s="63"/>
      <c r="AT768" s="63"/>
    </row>
    <row r="769" ht="15.75" customHeight="1">
      <c r="A769" s="63"/>
      <c r="B769" s="63"/>
      <c r="C769" s="63"/>
      <c r="D769" s="63"/>
      <c r="E769" s="63"/>
      <c r="F769" s="37"/>
      <c r="G769" s="37"/>
      <c r="H769" s="37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  <c r="AO769" s="63"/>
      <c r="AP769" s="63"/>
      <c r="AQ769" s="63"/>
      <c r="AR769" s="63"/>
      <c r="AS769" s="63"/>
      <c r="AT769" s="63"/>
    </row>
    <row r="770" ht="15.75" customHeight="1">
      <c r="A770" s="63"/>
      <c r="B770" s="63"/>
      <c r="C770" s="63"/>
      <c r="D770" s="63"/>
      <c r="E770" s="63"/>
      <c r="F770" s="37"/>
      <c r="G770" s="37"/>
      <c r="H770" s="37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  <c r="AO770" s="63"/>
      <c r="AP770" s="63"/>
      <c r="AQ770" s="63"/>
      <c r="AR770" s="63"/>
      <c r="AS770" s="63"/>
      <c r="AT770" s="63"/>
    </row>
    <row r="771" ht="15.75" customHeight="1">
      <c r="A771" s="63"/>
      <c r="B771" s="63"/>
      <c r="C771" s="63"/>
      <c r="D771" s="63"/>
      <c r="E771" s="63"/>
      <c r="F771" s="37"/>
      <c r="G771" s="37"/>
      <c r="H771" s="37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  <c r="AO771" s="63"/>
      <c r="AP771" s="63"/>
      <c r="AQ771" s="63"/>
      <c r="AR771" s="63"/>
      <c r="AS771" s="63"/>
      <c r="AT771" s="63"/>
    </row>
    <row r="772" ht="15.75" customHeight="1">
      <c r="A772" s="63"/>
      <c r="B772" s="63"/>
      <c r="C772" s="63"/>
      <c r="D772" s="63"/>
      <c r="E772" s="63"/>
      <c r="F772" s="37"/>
      <c r="G772" s="37"/>
      <c r="H772" s="37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  <c r="AO772" s="63"/>
      <c r="AP772" s="63"/>
      <c r="AQ772" s="63"/>
      <c r="AR772" s="63"/>
      <c r="AS772" s="63"/>
      <c r="AT772" s="63"/>
    </row>
    <row r="773" ht="15.75" customHeight="1">
      <c r="A773" s="63"/>
      <c r="B773" s="63"/>
      <c r="C773" s="63"/>
      <c r="D773" s="63"/>
      <c r="E773" s="63"/>
      <c r="F773" s="37"/>
      <c r="G773" s="37"/>
      <c r="H773" s="37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  <c r="AS773" s="63"/>
      <c r="AT773" s="63"/>
    </row>
    <row r="774" ht="15.75" customHeight="1">
      <c r="A774" s="63"/>
      <c r="B774" s="63"/>
      <c r="C774" s="63"/>
      <c r="D774" s="63"/>
      <c r="E774" s="63"/>
      <c r="F774" s="37"/>
      <c r="G774" s="37"/>
      <c r="H774" s="37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  <c r="AO774" s="63"/>
      <c r="AP774" s="63"/>
      <c r="AQ774" s="63"/>
      <c r="AR774" s="63"/>
      <c r="AS774" s="63"/>
      <c r="AT774" s="63"/>
    </row>
    <row r="775" ht="15.75" customHeight="1">
      <c r="A775" s="63"/>
      <c r="B775" s="63"/>
      <c r="C775" s="63"/>
      <c r="D775" s="63"/>
      <c r="E775" s="63"/>
      <c r="F775" s="37"/>
      <c r="G775" s="37"/>
      <c r="H775" s="37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  <c r="AO775" s="63"/>
      <c r="AP775" s="63"/>
      <c r="AQ775" s="63"/>
      <c r="AR775" s="63"/>
      <c r="AS775" s="63"/>
      <c r="AT775" s="63"/>
    </row>
    <row r="776" ht="15.75" customHeight="1">
      <c r="A776" s="63"/>
      <c r="B776" s="63"/>
      <c r="C776" s="63"/>
      <c r="D776" s="63"/>
      <c r="E776" s="63"/>
      <c r="F776" s="37"/>
      <c r="G776" s="37"/>
      <c r="H776" s="37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  <c r="AO776" s="63"/>
      <c r="AP776" s="63"/>
      <c r="AQ776" s="63"/>
      <c r="AR776" s="63"/>
      <c r="AS776" s="63"/>
      <c r="AT776" s="63"/>
    </row>
    <row r="777" ht="15.75" customHeight="1">
      <c r="A777" s="63"/>
      <c r="B777" s="63"/>
      <c r="C777" s="63"/>
      <c r="D777" s="63"/>
      <c r="E777" s="63"/>
      <c r="F777" s="37"/>
      <c r="G777" s="37"/>
      <c r="H777" s="37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  <c r="AO777" s="63"/>
      <c r="AP777" s="63"/>
      <c r="AQ777" s="63"/>
      <c r="AR777" s="63"/>
      <c r="AS777" s="63"/>
      <c r="AT777" s="63"/>
    </row>
    <row r="778" ht="15.75" customHeight="1">
      <c r="A778" s="63"/>
      <c r="B778" s="63"/>
      <c r="C778" s="63"/>
      <c r="D778" s="63"/>
      <c r="E778" s="63"/>
      <c r="F778" s="37"/>
      <c r="G778" s="37"/>
      <c r="H778" s="37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  <c r="AS778" s="63"/>
      <c r="AT778" s="63"/>
    </row>
    <row r="779" ht="15.75" customHeight="1">
      <c r="A779" s="63"/>
      <c r="B779" s="63"/>
      <c r="C779" s="63"/>
      <c r="D779" s="63"/>
      <c r="E779" s="63"/>
      <c r="F779" s="37"/>
      <c r="G779" s="37"/>
      <c r="H779" s="37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  <c r="AO779" s="63"/>
      <c r="AP779" s="63"/>
      <c r="AQ779" s="63"/>
      <c r="AR779" s="63"/>
      <c r="AS779" s="63"/>
      <c r="AT779" s="63"/>
    </row>
    <row r="780" ht="15.75" customHeight="1">
      <c r="A780" s="63"/>
      <c r="B780" s="63"/>
      <c r="C780" s="63"/>
      <c r="D780" s="63"/>
      <c r="E780" s="63"/>
      <c r="F780" s="37"/>
      <c r="G780" s="37"/>
      <c r="H780" s="37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63"/>
      <c r="AQ780" s="63"/>
      <c r="AR780" s="63"/>
      <c r="AS780" s="63"/>
      <c r="AT780" s="63"/>
    </row>
    <row r="781" ht="15.75" customHeight="1">
      <c r="A781" s="63"/>
      <c r="B781" s="63"/>
      <c r="C781" s="63"/>
      <c r="D781" s="63"/>
      <c r="E781" s="63"/>
      <c r="F781" s="37"/>
      <c r="G781" s="37"/>
      <c r="H781" s="37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63"/>
      <c r="AQ781" s="63"/>
      <c r="AR781" s="63"/>
      <c r="AS781" s="63"/>
      <c r="AT781" s="63"/>
    </row>
    <row r="782" ht="15.75" customHeight="1">
      <c r="A782" s="63"/>
      <c r="B782" s="63"/>
      <c r="C782" s="63"/>
      <c r="D782" s="63"/>
      <c r="E782" s="63"/>
      <c r="F782" s="37"/>
      <c r="G782" s="37"/>
      <c r="H782" s="37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  <c r="AO782" s="63"/>
      <c r="AP782" s="63"/>
      <c r="AQ782" s="63"/>
      <c r="AR782" s="63"/>
      <c r="AS782" s="63"/>
      <c r="AT782" s="63"/>
    </row>
    <row r="783" ht="15.75" customHeight="1">
      <c r="A783" s="63"/>
      <c r="B783" s="63"/>
      <c r="C783" s="63"/>
      <c r="D783" s="63"/>
      <c r="E783" s="63"/>
      <c r="F783" s="37"/>
      <c r="G783" s="37"/>
      <c r="H783" s="37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  <c r="AS783" s="63"/>
      <c r="AT783" s="63"/>
    </row>
    <row r="784" ht="15.75" customHeight="1">
      <c r="A784" s="63"/>
      <c r="B784" s="63"/>
      <c r="C784" s="63"/>
      <c r="D784" s="63"/>
      <c r="E784" s="63"/>
      <c r="F784" s="37"/>
      <c r="G784" s="37"/>
      <c r="H784" s="37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  <c r="AS784" s="63"/>
      <c r="AT784" s="63"/>
    </row>
    <row r="785" ht="15.75" customHeight="1">
      <c r="A785" s="63"/>
      <c r="B785" s="63"/>
      <c r="C785" s="63"/>
      <c r="D785" s="63"/>
      <c r="E785" s="63"/>
      <c r="F785" s="37"/>
      <c r="G785" s="37"/>
      <c r="H785" s="37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  <c r="AS785" s="63"/>
      <c r="AT785" s="63"/>
    </row>
    <row r="786" ht="15.75" customHeight="1">
      <c r="A786" s="63"/>
      <c r="B786" s="63"/>
      <c r="C786" s="63"/>
      <c r="D786" s="63"/>
      <c r="E786" s="63"/>
      <c r="F786" s="37"/>
      <c r="G786" s="37"/>
      <c r="H786" s="37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  <c r="AO786" s="63"/>
      <c r="AP786" s="63"/>
      <c r="AQ786" s="63"/>
      <c r="AR786" s="63"/>
      <c r="AS786" s="63"/>
      <c r="AT786" s="63"/>
    </row>
    <row r="787" ht="15.75" customHeight="1">
      <c r="A787" s="63"/>
      <c r="B787" s="63"/>
      <c r="C787" s="63"/>
      <c r="D787" s="63"/>
      <c r="E787" s="63"/>
      <c r="F787" s="37"/>
      <c r="G787" s="37"/>
      <c r="H787" s="37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  <c r="AO787" s="63"/>
      <c r="AP787" s="63"/>
      <c r="AQ787" s="63"/>
      <c r="AR787" s="63"/>
      <c r="AS787" s="63"/>
      <c r="AT787" s="63"/>
    </row>
    <row r="788" ht="15.75" customHeight="1">
      <c r="A788" s="63"/>
      <c r="B788" s="63"/>
      <c r="C788" s="63"/>
      <c r="D788" s="63"/>
      <c r="E788" s="63"/>
      <c r="F788" s="37"/>
      <c r="G788" s="37"/>
      <c r="H788" s="37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  <c r="AO788" s="63"/>
      <c r="AP788" s="63"/>
      <c r="AQ788" s="63"/>
      <c r="AR788" s="63"/>
      <c r="AS788" s="63"/>
      <c r="AT788" s="63"/>
    </row>
    <row r="789" ht="15.75" customHeight="1">
      <c r="A789" s="63"/>
      <c r="B789" s="63"/>
      <c r="C789" s="63"/>
      <c r="D789" s="63"/>
      <c r="E789" s="63"/>
      <c r="F789" s="37"/>
      <c r="G789" s="37"/>
      <c r="H789" s="37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  <c r="AS789" s="63"/>
      <c r="AT789" s="63"/>
    </row>
    <row r="790" ht="15.75" customHeight="1">
      <c r="A790" s="63"/>
      <c r="B790" s="63"/>
      <c r="C790" s="63"/>
      <c r="D790" s="63"/>
      <c r="E790" s="63"/>
      <c r="F790" s="37"/>
      <c r="G790" s="37"/>
      <c r="H790" s="37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  <c r="AO790" s="63"/>
      <c r="AP790" s="63"/>
      <c r="AQ790" s="63"/>
      <c r="AR790" s="63"/>
      <c r="AS790" s="63"/>
      <c r="AT790" s="63"/>
    </row>
    <row r="791" ht="15.75" customHeight="1">
      <c r="A791" s="63"/>
      <c r="B791" s="63"/>
      <c r="C791" s="63"/>
      <c r="D791" s="63"/>
      <c r="E791" s="63"/>
      <c r="F791" s="37"/>
      <c r="G791" s="37"/>
      <c r="H791" s="37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  <c r="AO791" s="63"/>
      <c r="AP791" s="63"/>
      <c r="AQ791" s="63"/>
      <c r="AR791" s="63"/>
      <c r="AS791" s="63"/>
      <c r="AT791" s="63"/>
    </row>
    <row r="792" ht="15.75" customHeight="1">
      <c r="A792" s="63"/>
      <c r="B792" s="63"/>
      <c r="C792" s="63"/>
      <c r="D792" s="63"/>
      <c r="E792" s="63"/>
      <c r="F792" s="37"/>
      <c r="G792" s="37"/>
      <c r="H792" s="37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  <c r="AO792" s="63"/>
      <c r="AP792" s="63"/>
      <c r="AQ792" s="63"/>
      <c r="AR792" s="63"/>
      <c r="AS792" s="63"/>
      <c r="AT792" s="63"/>
    </row>
    <row r="793" ht="15.75" customHeight="1">
      <c r="A793" s="63"/>
      <c r="B793" s="63"/>
      <c r="C793" s="63"/>
      <c r="D793" s="63"/>
      <c r="E793" s="63"/>
      <c r="F793" s="37"/>
      <c r="G793" s="37"/>
      <c r="H793" s="37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  <c r="AO793" s="63"/>
      <c r="AP793" s="63"/>
      <c r="AQ793" s="63"/>
      <c r="AR793" s="63"/>
      <c r="AS793" s="63"/>
      <c r="AT793" s="63"/>
    </row>
    <row r="794" ht="15.75" customHeight="1">
      <c r="A794" s="63"/>
      <c r="B794" s="63"/>
      <c r="C794" s="63"/>
      <c r="D794" s="63"/>
      <c r="E794" s="63"/>
      <c r="F794" s="37"/>
      <c r="G794" s="37"/>
      <c r="H794" s="37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  <c r="AS794" s="63"/>
      <c r="AT794" s="63"/>
    </row>
    <row r="795" ht="15.75" customHeight="1">
      <c r="A795" s="63"/>
      <c r="B795" s="63"/>
      <c r="C795" s="63"/>
      <c r="D795" s="63"/>
      <c r="E795" s="63"/>
      <c r="F795" s="37"/>
      <c r="G795" s="37"/>
      <c r="H795" s="37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  <c r="AS795" s="63"/>
      <c r="AT795" s="63"/>
    </row>
    <row r="796" ht="15.75" customHeight="1">
      <c r="A796" s="63"/>
      <c r="B796" s="63"/>
      <c r="C796" s="63"/>
      <c r="D796" s="63"/>
      <c r="E796" s="63"/>
      <c r="F796" s="37"/>
      <c r="G796" s="37"/>
      <c r="H796" s="37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  <c r="AO796" s="63"/>
      <c r="AP796" s="63"/>
      <c r="AQ796" s="63"/>
      <c r="AR796" s="63"/>
      <c r="AS796" s="63"/>
      <c r="AT796" s="63"/>
    </row>
    <row r="797" ht="15.75" customHeight="1">
      <c r="A797" s="63"/>
      <c r="B797" s="63"/>
      <c r="C797" s="63"/>
      <c r="D797" s="63"/>
      <c r="E797" s="63"/>
      <c r="F797" s="37"/>
      <c r="G797" s="37"/>
      <c r="H797" s="37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  <c r="AO797" s="63"/>
      <c r="AP797" s="63"/>
      <c r="AQ797" s="63"/>
      <c r="AR797" s="63"/>
      <c r="AS797" s="63"/>
      <c r="AT797" s="63"/>
    </row>
    <row r="798" ht="15.75" customHeight="1">
      <c r="A798" s="63"/>
      <c r="B798" s="63"/>
      <c r="C798" s="63"/>
      <c r="D798" s="63"/>
      <c r="E798" s="63"/>
      <c r="F798" s="37"/>
      <c r="G798" s="37"/>
      <c r="H798" s="37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  <c r="AN798" s="63"/>
      <c r="AO798" s="63"/>
      <c r="AP798" s="63"/>
      <c r="AQ798" s="63"/>
      <c r="AR798" s="63"/>
      <c r="AS798" s="63"/>
      <c r="AT798" s="63"/>
    </row>
    <row r="799" ht="15.75" customHeight="1">
      <c r="A799" s="63"/>
      <c r="B799" s="63"/>
      <c r="C799" s="63"/>
      <c r="D799" s="63"/>
      <c r="E799" s="63"/>
      <c r="F799" s="37"/>
      <c r="G799" s="37"/>
      <c r="H799" s="37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63"/>
      <c r="AR799" s="63"/>
      <c r="AS799" s="63"/>
      <c r="AT799" s="63"/>
    </row>
    <row r="800" ht="15.75" customHeight="1">
      <c r="A800" s="63"/>
      <c r="B800" s="63"/>
      <c r="C800" s="63"/>
      <c r="D800" s="63"/>
      <c r="E800" s="63"/>
      <c r="F800" s="37"/>
      <c r="G800" s="37"/>
      <c r="H800" s="37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  <c r="AN800" s="63"/>
      <c r="AO800" s="63"/>
      <c r="AP800" s="63"/>
      <c r="AQ800" s="63"/>
      <c r="AR800" s="63"/>
      <c r="AS800" s="63"/>
      <c r="AT800" s="63"/>
    </row>
    <row r="801" ht="15.75" customHeight="1">
      <c r="A801" s="63"/>
      <c r="B801" s="63"/>
      <c r="C801" s="63"/>
      <c r="D801" s="63"/>
      <c r="E801" s="63"/>
      <c r="F801" s="37"/>
      <c r="G801" s="37"/>
      <c r="H801" s="37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  <c r="AN801" s="63"/>
      <c r="AO801" s="63"/>
      <c r="AP801" s="63"/>
      <c r="AQ801" s="63"/>
      <c r="AR801" s="63"/>
      <c r="AS801" s="63"/>
      <c r="AT801" s="63"/>
    </row>
    <row r="802" ht="15.75" customHeight="1">
      <c r="A802" s="63"/>
      <c r="B802" s="63"/>
      <c r="C802" s="63"/>
      <c r="D802" s="63"/>
      <c r="E802" s="63"/>
      <c r="F802" s="37"/>
      <c r="G802" s="37"/>
      <c r="H802" s="37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63"/>
      <c r="AQ802" s="63"/>
      <c r="AR802" s="63"/>
      <c r="AS802" s="63"/>
      <c r="AT802" s="63"/>
    </row>
    <row r="803" ht="15.75" customHeight="1">
      <c r="A803" s="63"/>
      <c r="B803" s="63"/>
      <c r="C803" s="63"/>
      <c r="D803" s="63"/>
      <c r="E803" s="63"/>
      <c r="F803" s="37"/>
      <c r="G803" s="37"/>
      <c r="H803" s="37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63"/>
      <c r="AQ803" s="63"/>
      <c r="AR803" s="63"/>
      <c r="AS803" s="63"/>
      <c r="AT803" s="63"/>
    </row>
    <row r="804" ht="15.75" customHeight="1">
      <c r="A804" s="63"/>
      <c r="B804" s="63"/>
      <c r="C804" s="63"/>
      <c r="D804" s="63"/>
      <c r="E804" s="63"/>
      <c r="F804" s="37"/>
      <c r="G804" s="37"/>
      <c r="H804" s="37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  <c r="AN804" s="63"/>
      <c r="AO804" s="63"/>
      <c r="AP804" s="63"/>
      <c r="AQ804" s="63"/>
      <c r="AR804" s="63"/>
      <c r="AS804" s="63"/>
      <c r="AT804" s="63"/>
    </row>
    <row r="805" ht="15.75" customHeight="1">
      <c r="A805" s="63"/>
      <c r="B805" s="63"/>
      <c r="C805" s="63"/>
      <c r="D805" s="63"/>
      <c r="E805" s="63"/>
      <c r="F805" s="37"/>
      <c r="G805" s="37"/>
      <c r="H805" s="37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  <c r="AN805" s="63"/>
      <c r="AO805" s="63"/>
      <c r="AP805" s="63"/>
      <c r="AQ805" s="63"/>
      <c r="AR805" s="63"/>
      <c r="AS805" s="63"/>
      <c r="AT805" s="63"/>
    </row>
    <row r="806" ht="15.75" customHeight="1">
      <c r="A806" s="63"/>
      <c r="B806" s="63"/>
      <c r="C806" s="63"/>
      <c r="D806" s="63"/>
      <c r="E806" s="63"/>
      <c r="F806" s="37"/>
      <c r="G806" s="37"/>
      <c r="H806" s="37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  <c r="AN806" s="63"/>
      <c r="AO806" s="63"/>
      <c r="AP806" s="63"/>
      <c r="AQ806" s="63"/>
      <c r="AR806" s="63"/>
      <c r="AS806" s="63"/>
      <c r="AT806" s="63"/>
    </row>
    <row r="807" ht="15.75" customHeight="1">
      <c r="A807" s="63"/>
      <c r="B807" s="63"/>
      <c r="C807" s="63"/>
      <c r="D807" s="63"/>
      <c r="E807" s="63"/>
      <c r="F807" s="37"/>
      <c r="G807" s="37"/>
      <c r="H807" s="37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  <c r="AS807" s="63"/>
      <c r="AT807" s="63"/>
    </row>
    <row r="808" ht="15.75" customHeight="1">
      <c r="A808" s="63"/>
      <c r="B808" s="63"/>
      <c r="C808" s="63"/>
      <c r="D808" s="63"/>
      <c r="E808" s="63"/>
      <c r="F808" s="37"/>
      <c r="G808" s="37"/>
      <c r="H808" s="37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  <c r="AN808" s="63"/>
      <c r="AO808" s="63"/>
      <c r="AP808" s="63"/>
      <c r="AQ808" s="63"/>
      <c r="AR808" s="63"/>
      <c r="AS808" s="63"/>
      <c r="AT808" s="63"/>
    </row>
    <row r="809" ht="15.75" customHeight="1">
      <c r="A809" s="63"/>
      <c r="B809" s="63"/>
      <c r="C809" s="63"/>
      <c r="D809" s="63"/>
      <c r="E809" s="63"/>
      <c r="F809" s="37"/>
      <c r="G809" s="37"/>
      <c r="H809" s="37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  <c r="AN809" s="63"/>
      <c r="AO809" s="63"/>
      <c r="AP809" s="63"/>
      <c r="AQ809" s="63"/>
      <c r="AR809" s="63"/>
      <c r="AS809" s="63"/>
      <c r="AT809" s="63"/>
    </row>
    <row r="810" ht="15.75" customHeight="1">
      <c r="A810" s="63"/>
      <c r="B810" s="63"/>
      <c r="C810" s="63"/>
      <c r="D810" s="63"/>
      <c r="E810" s="63"/>
      <c r="F810" s="37"/>
      <c r="G810" s="37"/>
      <c r="H810" s="37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  <c r="AN810" s="63"/>
      <c r="AO810" s="63"/>
      <c r="AP810" s="63"/>
      <c r="AQ810" s="63"/>
      <c r="AR810" s="63"/>
      <c r="AS810" s="63"/>
      <c r="AT810" s="63"/>
    </row>
    <row r="811" ht="15.75" customHeight="1">
      <c r="A811" s="63"/>
      <c r="B811" s="63"/>
      <c r="C811" s="63"/>
      <c r="D811" s="63"/>
      <c r="E811" s="63"/>
      <c r="F811" s="37"/>
      <c r="G811" s="37"/>
      <c r="H811" s="37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  <c r="AN811" s="63"/>
      <c r="AO811" s="63"/>
      <c r="AP811" s="63"/>
      <c r="AQ811" s="63"/>
      <c r="AR811" s="63"/>
      <c r="AS811" s="63"/>
      <c r="AT811" s="63"/>
    </row>
    <row r="812" ht="15.75" customHeight="1">
      <c r="A812" s="63"/>
      <c r="B812" s="63"/>
      <c r="C812" s="63"/>
      <c r="D812" s="63"/>
      <c r="E812" s="63"/>
      <c r="F812" s="37"/>
      <c r="G812" s="37"/>
      <c r="H812" s="37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  <c r="AN812" s="63"/>
      <c r="AO812" s="63"/>
      <c r="AP812" s="63"/>
      <c r="AQ812" s="63"/>
      <c r="AR812" s="63"/>
      <c r="AS812" s="63"/>
      <c r="AT812" s="63"/>
    </row>
    <row r="813" ht="15.75" customHeight="1">
      <c r="A813" s="63"/>
      <c r="B813" s="63"/>
      <c r="C813" s="63"/>
      <c r="D813" s="63"/>
      <c r="E813" s="63"/>
      <c r="F813" s="37"/>
      <c r="G813" s="37"/>
      <c r="H813" s="37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  <c r="AN813" s="63"/>
      <c r="AO813" s="63"/>
      <c r="AP813" s="63"/>
      <c r="AQ813" s="63"/>
      <c r="AR813" s="63"/>
      <c r="AS813" s="63"/>
      <c r="AT813" s="63"/>
    </row>
    <row r="814" ht="15.75" customHeight="1">
      <c r="A814" s="63"/>
      <c r="B814" s="63"/>
      <c r="C814" s="63"/>
      <c r="D814" s="63"/>
      <c r="E814" s="63"/>
      <c r="F814" s="37"/>
      <c r="G814" s="37"/>
      <c r="H814" s="37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63"/>
      <c r="AQ814" s="63"/>
      <c r="AR814" s="63"/>
      <c r="AS814" s="63"/>
      <c r="AT814" s="63"/>
    </row>
    <row r="815" ht="15.75" customHeight="1">
      <c r="A815" s="63"/>
      <c r="B815" s="63"/>
      <c r="C815" s="63"/>
      <c r="D815" s="63"/>
      <c r="E815" s="63"/>
      <c r="F815" s="37"/>
      <c r="G815" s="37"/>
      <c r="H815" s="37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  <c r="AN815" s="63"/>
      <c r="AO815" s="63"/>
      <c r="AP815" s="63"/>
      <c r="AQ815" s="63"/>
      <c r="AR815" s="63"/>
      <c r="AS815" s="63"/>
      <c r="AT815" s="63"/>
    </row>
    <row r="816" ht="15.75" customHeight="1">
      <c r="A816" s="63"/>
      <c r="B816" s="63"/>
      <c r="C816" s="63"/>
      <c r="D816" s="63"/>
      <c r="E816" s="63"/>
      <c r="F816" s="37"/>
      <c r="G816" s="37"/>
      <c r="H816" s="37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  <c r="AN816" s="63"/>
      <c r="AO816" s="63"/>
      <c r="AP816" s="63"/>
      <c r="AQ816" s="63"/>
      <c r="AR816" s="63"/>
      <c r="AS816" s="63"/>
      <c r="AT816" s="63"/>
    </row>
    <row r="817" ht="15.75" customHeight="1">
      <c r="A817" s="63"/>
      <c r="B817" s="63"/>
      <c r="C817" s="63"/>
      <c r="D817" s="63"/>
      <c r="E817" s="63"/>
      <c r="F817" s="37"/>
      <c r="G817" s="37"/>
      <c r="H817" s="37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  <c r="AN817" s="63"/>
      <c r="AO817" s="63"/>
      <c r="AP817" s="63"/>
      <c r="AQ817" s="63"/>
      <c r="AR817" s="63"/>
      <c r="AS817" s="63"/>
      <c r="AT817" s="63"/>
    </row>
    <row r="818" ht="15.75" customHeight="1">
      <c r="A818" s="63"/>
      <c r="B818" s="63"/>
      <c r="C818" s="63"/>
      <c r="D818" s="63"/>
      <c r="E818" s="63"/>
      <c r="F818" s="37"/>
      <c r="G818" s="37"/>
      <c r="H818" s="37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  <c r="AN818" s="63"/>
      <c r="AO818" s="63"/>
      <c r="AP818" s="63"/>
      <c r="AQ818" s="63"/>
      <c r="AR818" s="63"/>
      <c r="AS818" s="63"/>
      <c r="AT818" s="63"/>
    </row>
    <row r="819" ht="15.75" customHeight="1">
      <c r="A819" s="63"/>
      <c r="B819" s="63"/>
      <c r="C819" s="63"/>
      <c r="D819" s="63"/>
      <c r="E819" s="63"/>
      <c r="F819" s="37"/>
      <c r="G819" s="37"/>
      <c r="H819" s="37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  <c r="AN819" s="63"/>
      <c r="AO819" s="63"/>
      <c r="AP819" s="63"/>
      <c r="AQ819" s="63"/>
      <c r="AR819" s="63"/>
      <c r="AS819" s="63"/>
      <c r="AT819" s="63"/>
    </row>
    <row r="820" ht="15.75" customHeight="1">
      <c r="A820" s="63"/>
      <c r="B820" s="63"/>
      <c r="C820" s="63"/>
      <c r="D820" s="63"/>
      <c r="E820" s="63"/>
      <c r="F820" s="37"/>
      <c r="G820" s="37"/>
      <c r="H820" s="37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  <c r="AS820" s="63"/>
      <c r="AT820" s="63"/>
    </row>
    <row r="821" ht="15.75" customHeight="1">
      <c r="A821" s="63"/>
      <c r="B821" s="63"/>
      <c r="C821" s="63"/>
      <c r="D821" s="63"/>
      <c r="E821" s="63"/>
      <c r="F821" s="37"/>
      <c r="G821" s="37"/>
      <c r="H821" s="37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  <c r="AS821" s="63"/>
      <c r="AT821" s="63"/>
    </row>
    <row r="822" ht="15.75" customHeight="1">
      <c r="A822" s="63"/>
      <c r="B822" s="63"/>
      <c r="C822" s="63"/>
      <c r="D822" s="63"/>
      <c r="E822" s="63"/>
      <c r="F822" s="37"/>
      <c r="G822" s="37"/>
      <c r="H822" s="37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  <c r="AS822" s="63"/>
      <c r="AT822" s="63"/>
    </row>
    <row r="823" ht="15.75" customHeight="1">
      <c r="A823" s="63"/>
      <c r="B823" s="63"/>
      <c r="C823" s="63"/>
      <c r="D823" s="63"/>
      <c r="E823" s="63"/>
      <c r="F823" s="37"/>
      <c r="G823" s="37"/>
      <c r="H823" s="37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  <c r="AN823" s="63"/>
      <c r="AO823" s="63"/>
      <c r="AP823" s="63"/>
      <c r="AQ823" s="63"/>
      <c r="AR823" s="63"/>
      <c r="AS823" s="63"/>
      <c r="AT823" s="63"/>
    </row>
    <row r="824" ht="15.75" customHeight="1">
      <c r="A824" s="63"/>
      <c r="B824" s="63"/>
      <c r="C824" s="63"/>
      <c r="D824" s="63"/>
      <c r="E824" s="63"/>
      <c r="F824" s="37"/>
      <c r="G824" s="37"/>
      <c r="H824" s="37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  <c r="AN824" s="63"/>
      <c r="AO824" s="63"/>
      <c r="AP824" s="63"/>
      <c r="AQ824" s="63"/>
      <c r="AR824" s="63"/>
      <c r="AS824" s="63"/>
      <c r="AT824" s="63"/>
    </row>
    <row r="825" ht="15.75" customHeight="1">
      <c r="A825" s="63"/>
      <c r="B825" s="63"/>
      <c r="C825" s="63"/>
      <c r="D825" s="63"/>
      <c r="E825" s="63"/>
      <c r="F825" s="37"/>
      <c r="G825" s="37"/>
      <c r="H825" s="37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  <c r="AN825" s="63"/>
      <c r="AO825" s="63"/>
      <c r="AP825" s="63"/>
      <c r="AQ825" s="63"/>
      <c r="AR825" s="63"/>
      <c r="AS825" s="63"/>
      <c r="AT825" s="63"/>
    </row>
    <row r="826" ht="15.75" customHeight="1">
      <c r="A826" s="63"/>
      <c r="B826" s="63"/>
      <c r="C826" s="63"/>
      <c r="D826" s="63"/>
      <c r="E826" s="63"/>
      <c r="F826" s="37"/>
      <c r="G826" s="37"/>
      <c r="H826" s="37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  <c r="AN826" s="63"/>
      <c r="AO826" s="63"/>
      <c r="AP826" s="63"/>
      <c r="AQ826" s="63"/>
      <c r="AR826" s="63"/>
      <c r="AS826" s="63"/>
      <c r="AT826" s="63"/>
    </row>
    <row r="827" ht="15.75" customHeight="1">
      <c r="A827" s="63"/>
      <c r="B827" s="63"/>
      <c r="C827" s="63"/>
      <c r="D827" s="63"/>
      <c r="E827" s="63"/>
      <c r="F827" s="37"/>
      <c r="G827" s="37"/>
      <c r="H827" s="37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  <c r="AN827" s="63"/>
      <c r="AO827" s="63"/>
      <c r="AP827" s="63"/>
      <c r="AQ827" s="63"/>
      <c r="AR827" s="63"/>
      <c r="AS827" s="63"/>
      <c r="AT827" s="63"/>
    </row>
    <row r="828" ht="15.75" customHeight="1">
      <c r="A828" s="63"/>
      <c r="B828" s="63"/>
      <c r="C828" s="63"/>
      <c r="D828" s="63"/>
      <c r="E828" s="63"/>
      <c r="F828" s="37"/>
      <c r="G828" s="37"/>
      <c r="H828" s="37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  <c r="AN828" s="63"/>
      <c r="AO828" s="63"/>
      <c r="AP828" s="63"/>
      <c r="AQ828" s="63"/>
      <c r="AR828" s="63"/>
      <c r="AS828" s="63"/>
      <c r="AT828" s="63"/>
    </row>
    <row r="829" ht="15.75" customHeight="1">
      <c r="A829" s="63"/>
      <c r="B829" s="63"/>
      <c r="C829" s="63"/>
      <c r="D829" s="63"/>
      <c r="E829" s="63"/>
      <c r="F829" s="37"/>
      <c r="G829" s="37"/>
      <c r="H829" s="37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  <c r="AN829" s="63"/>
      <c r="AO829" s="63"/>
      <c r="AP829" s="63"/>
      <c r="AQ829" s="63"/>
      <c r="AR829" s="63"/>
      <c r="AS829" s="63"/>
      <c r="AT829" s="63"/>
    </row>
    <row r="830" ht="15.75" customHeight="1">
      <c r="A830" s="63"/>
      <c r="B830" s="63"/>
      <c r="C830" s="63"/>
      <c r="D830" s="63"/>
      <c r="E830" s="63"/>
      <c r="F830" s="37"/>
      <c r="G830" s="37"/>
      <c r="H830" s="37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  <c r="AS830" s="63"/>
      <c r="AT830" s="63"/>
    </row>
    <row r="831" ht="15.75" customHeight="1">
      <c r="A831" s="63"/>
      <c r="B831" s="63"/>
      <c r="C831" s="63"/>
      <c r="D831" s="63"/>
      <c r="E831" s="63"/>
      <c r="F831" s="37"/>
      <c r="G831" s="37"/>
      <c r="H831" s="37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  <c r="AS831" s="63"/>
      <c r="AT831" s="63"/>
    </row>
    <row r="832" ht="15.75" customHeight="1">
      <c r="A832" s="63"/>
      <c r="B832" s="63"/>
      <c r="C832" s="63"/>
      <c r="D832" s="63"/>
      <c r="E832" s="63"/>
      <c r="F832" s="37"/>
      <c r="G832" s="37"/>
      <c r="H832" s="37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  <c r="AN832" s="63"/>
      <c r="AO832" s="63"/>
      <c r="AP832" s="63"/>
      <c r="AQ832" s="63"/>
      <c r="AR832" s="63"/>
      <c r="AS832" s="63"/>
      <c r="AT832" s="63"/>
    </row>
    <row r="833" ht="15.75" customHeight="1">
      <c r="A833" s="63"/>
      <c r="B833" s="63"/>
      <c r="C833" s="63"/>
      <c r="D833" s="63"/>
      <c r="E833" s="63"/>
      <c r="F833" s="37"/>
      <c r="G833" s="37"/>
      <c r="H833" s="37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  <c r="AS833" s="63"/>
      <c r="AT833" s="63"/>
    </row>
    <row r="834" ht="15.75" customHeight="1">
      <c r="A834" s="63"/>
      <c r="B834" s="63"/>
      <c r="C834" s="63"/>
      <c r="D834" s="63"/>
      <c r="E834" s="63"/>
      <c r="F834" s="37"/>
      <c r="G834" s="37"/>
      <c r="H834" s="37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  <c r="AS834" s="63"/>
      <c r="AT834" s="63"/>
    </row>
    <row r="835" ht="15.75" customHeight="1">
      <c r="A835" s="63"/>
      <c r="B835" s="63"/>
      <c r="C835" s="63"/>
      <c r="D835" s="63"/>
      <c r="E835" s="63"/>
      <c r="F835" s="37"/>
      <c r="G835" s="37"/>
      <c r="H835" s="37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  <c r="AS835" s="63"/>
      <c r="AT835" s="63"/>
    </row>
    <row r="836" ht="15.75" customHeight="1">
      <c r="A836" s="63"/>
      <c r="B836" s="63"/>
      <c r="C836" s="63"/>
      <c r="D836" s="63"/>
      <c r="E836" s="63"/>
      <c r="F836" s="37"/>
      <c r="G836" s="37"/>
      <c r="H836" s="37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  <c r="AS836" s="63"/>
      <c r="AT836" s="63"/>
    </row>
    <row r="837" ht="15.75" customHeight="1">
      <c r="A837" s="63"/>
      <c r="B837" s="63"/>
      <c r="C837" s="63"/>
      <c r="D837" s="63"/>
      <c r="E837" s="63"/>
      <c r="F837" s="37"/>
      <c r="G837" s="37"/>
      <c r="H837" s="37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  <c r="AN837" s="63"/>
      <c r="AO837" s="63"/>
      <c r="AP837" s="63"/>
      <c r="AQ837" s="63"/>
      <c r="AR837" s="63"/>
      <c r="AS837" s="63"/>
      <c r="AT837" s="63"/>
    </row>
    <row r="838" ht="15.75" customHeight="1">
      <c r="A838" s="63"/>
      <c r="B838" s="63"/>
      <c r="C838" s="63"/>
      <c r="D838" s="63"/>
      <c r="E838" s="63"/>
      <c r="F838" s="37"/>
      <c r="G838" s="37"/>
      <c r="H838" s="37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  <c r="AN838" s="63"/>
      <c r="AO838" s="63"/>
      <c r="AP838" s="63"/>
      <c r="AQ838" s="63"/>
      <c r="AR838" s="63"/>
      <c r="AS838" s="63"/>
      <c r="AT838" s="63"/>
    </row>
    <row r="839" ht="15.75" customHeight="1">
      <c r="A839" s="63"/>
      <c r="B839" s="63"/>
      <c r="C839" s="63"/>
      <c r="D839" s="63"/>
      <c r="E839" s="63"/>
      <c r="F839" s="37"/>
      <c r="G839" s="37"/>
      <c r="H839" s="37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  <c r="AN839" s="63"/>
      <c r="AO839" s="63"/>
      <c r="AP839" s="63"/>
      <c r="AQ839" s="63"/>
      <c r="AR839" s="63"/>
      <c r="AS839" s="63"/>
      <c r="AT839" s="63"/>
    </row>
    <row r="840" ht="15.75" customHeight="1">
      <c r="A840" s="63"/>
      <c r="B840" s="63"/>
      <c r="C840" s="63"/>
      <c r="D840" s="63"/>
      <c r="E840" s="63"/>
      <c r="F840" s="37"/>
      <c r="G840" s="37"/>
      <c r="H840" s="37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  <c r="AN840" s="63"/>
      <c r="AO840" s="63"/>
      <c r="AP840" s="63"/>
      <c r="AQ840" s="63"/>
      <c r="AR840" s="63"/>
      <c r="AS840" s="63"/>
      <c r="AT840" s="63"/>
    </row>
    <row r="841" ht="15.75" customHeight="1">
      <c r="A841" s="63"/>
      <c r="B841" s="63"/>
      <c r="C841" s="63"/>
      <c r="D841" s="63"/>
      <c r="E841" s="63"/>
      <c r="F841" s="37"/>
      <c r="G841" s="37"/>
      <c r="H841" s="37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  <c r="AN841" s="63"/>
      <c r="AO841" s="63"/>
      <c r="AP841" s="63"/>
      <c r="AQ841" s="63"/>
      <c r="AR841" s="63"/>
      <c r="AS841" s="63"/>
      <c r="AT841" s="63"/>
    </row>
    <row r="842" ht="15.75" customHeight="1">
      <c r="A842" s="63"/>
      <c r="B842" s="63"/>
      <c r="C842" s="63"/>
      <c r="D842" s="63"/>
      <c r="E842" s="63"/>
      <c r="F842" s="37"/>
      <c r="G842" s="37"/>
      <c r="H842" s="37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  <c r="AN842" s="63"/>
      <c r="AO842" s="63"/>
      <c r="AP842" s="63"/>
      <c r="AQ842" s="63"/>
      <c r="AR842" s="63"/>
      <c r="AS842" s="63"/>
      <c r="AT842" s="63"/>
    </row>
    <row r="843" ht="15.75" customHeight="1">
      <c r="A843" s="63"/>
      <c r="B843" s="63"/>
      <c r="C843" s="63"/>
      <c r="D843" s="63"/>
      <c r="E843" s="63"/>
      <c r="F843" s="37"/>
      <c r="G843" s="37"/>
      <c r="H843" s="37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  <c r="AS843" s="63"/>
      <c r="AT843" s="63"/>
    </row>
    <row r="844" ht="15.75" customHeight="1">
      <c r="A844" s="63"/>
      <c r="B844" s="63"/>
      <c r="C844" s="63"/>
      <c r="D844" s="63"/>
      <c r="E844" s="63"/>
      <c r="F844" s="37"/>
      <c r="G844" s="37"/>
      <c r="H844" s="37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  <c r="AS844" s="63"/>
      <c r="AT844" s="63"/>
    </row>
    <row r="845" ht="15.75" customHeight="1">
      <c r="A845" s="63"/>
      <c r="B845" s="63"/>
      <c r="C845" s="63"/>
      <c r="D845" s="63"/>
      <c r="E845" s="63"/>
      <c r="F845" s="37"/>
      <c r="G845" s="37"/>
      <c r="H845" s="37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  <c r="AN845" s="63"/>
      <c r="AO845" s="63"/>
      <c r="AP845" s="63"/>
      <c r="AQ845" s="63"/>
      <c r="AR845" s="63"/>
      <c r="AS845" s="63"/>
      <c r="AT845" s="63"/>
    </row>
    <row r="846" ht="15.75" customHeight="1">
      <c r="A846" s="63"/>
      <c r="B846" s="63"/>
      <c r="C846" s="63"/>
      <c r="D846" s="63"/>
      <c r="E846" s="63"/>
      <c r="F846" s="37"/>
      <c r="G846" s="37"/>
      <c r="H846" s="37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  <c r="AS846" s="63"/>
      <c r="AT846" s="63"/>
    </row>
    <row r="847" ht="15.75" customHeight="1">
      <c r="A847" s="63"/>
      <c r="B847" s="63"/>
      <c r="C847" s="63"/>
      <c r="D847" s="63"/>
      <c r="E847" s="63"/>
      <c r="F847" s="37"/>
      <c r="G847" s="37"/>
      <c r="H847" s="37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  <c r="AN847" s="63"/>
      <c r="AO847" s="63"/>
      <c r="AP847" s="63"/>
      <c r="AQ847" s="63"/>
      <c r="AR847" s="63"/>
      <c r="AS847" s="63"/>
      <c r="AT847" s="63"/>
    </row>
    <row r="848" ht="15.75" customHeight="1">
      <c r="A848" s="63"/>
      <c r="B848" s="63"/>
      <c r="C848" s="63"/>
      <c r="D848" s="63"/>
      <c r="E848" s="63"/>
      <c r="F848" s="37"/>
      <c r="G848" s="37"/>
      <c r="H848" s="37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  <c r="AN848" s="63"/>
      <c r="AO848" s="63"/>
      <c r="AP848" s="63"/>
      <c r="AQ848" s="63"/>
      <c r="AR848" s="63"/>
      <c r="AS848" s="63"/>
      <c r="AT848" s="63"/>
    </row>
    <row r="849" ht="15.75" customHeight="1">
      <c r="A849" s="63"/>
      <c r="B849" s="63"/>
      <c r="C849" s="63"/>
      <c r="D849" s="63"/>
      <c r="E849" s="63"/>
      <c r="F849" s="37"/>
      <c r="G849" s="37"/>
      <c r="H849" s="37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  <c r="AN849" s="63"/>
      <c r="AO849" s="63"/>
      <c r="AP849" s="63"/>
      <c r="AQ849" s="63"/>
      <c r="AR849" s="63"/>
      <c r="AS849" s="63"/>
      <c r="AT849" s="63"/>
    </row>
    <row r="850" ht="15.75" customHeight="1">
      <c r="A850" s="63"/>
      <c r="B850" s="63"/>
      <c r="C850" s="63"/>
      <c r="D850" s="63"/>
      <c r="E850" s="63"/>
      <c r="F850" s="37"/>
      <c r="G850" s="37"/>
      <c r="H850" s="37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  <c r="AN850" s="63"/>
      <c r="AO850" s="63"/>
      <c r="AP850" s="63"/>
      <c r="AQ850" s="63"/>
      <c r="AR850" s="63"/>
      <c r="AS850" s="63"/>
      <c r="AT850" s="63"/>
    </row>
    <row r="851" ht="15.75" customHeight="1">
      <c r="A851" s="63"/>
      <c r="B851" s="63"/>
      <c r="C851" s="63"/>
      <c r="D851" s="63"/>
      <c r="E851" s="63"/>
      <c r="F851" s="37"/>
      <c r="G851" s="37"/>
      <c r="H851" s="37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  <c r="AS851" s="63"/>
      <c r="AT851" s="63"/>
    </row>
    <row r="852" ht="15.75" customHeight="1">
      <c r="A852" s="63"/>
      <c r="B852" s="63"/>
      <c r="C852" s="63"/>
      <c r="D852" s="63"/>
      <c r="E852" s="63"/>
      <c r="F852" s="37"/>
      <c r="G852" s="37"/>
      <c r="H852" s="37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  <c r="AS852" s="63"/>
      <c r="AT852" s="63"/>
    </row>
    <row r="853" ht="15.75" customHeight="1">
      <c r="A853" s="63"/>
      <c r="B853" s="63"/>
      <c r="C853" s="63"/>
      <c r="D853" s="63"/>
      <c r="E853" s="63"/>
      <c r="F853" s="37"/>
      <c r="G853" s="37"/>
      <c r="H853" s="37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  <c r="AS853" s="63"/>
      <c r="AT853" s="63"/>
    </row>
    <row r="854" ht="15.75" customHeight="1">
      <c r="A854" s="63"/>
      <c r="B854" s="63"/>
      <c r="C854" s="63"/>
      <c r="D854" s="63"/>
      <c r="E854" s="63"/>
      <c r="F854" s="37"/>
      <c r="G854" s="37"/>
      <c r="H854" s="37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  <c r="AS854" s="63"/>
      <c r="AT854" s="63"/>
    </row>
    <row r="855" ht="15.75" customHeight="1">
      <c r="A855" s="63"/>
      <c r="B855" s="63"/>
      <c r="C855" s="63"/>
      <c r="D855" s="63"/>
      <c r="E855" s="63"/>
      <c r="F855" s="37"/>
      <c r="G855" s="37"/>
      <c r="H855" s="37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  <c r="AN855" s="63"/>
      <c r="AO855" s="63"/>
      <c r="AP855" s="63"/>
      <c r="AQ855" s="63"/>
      <c r="AR855" s="63"/>
      <c r="AS855" s="63"/>
      <c r="AT855" s="63"/>
    </row>
    <row r="856" ht="15.75" customHeight="1">
      <c r="A856" s="63"/>
      <c r="B856" s="63"/>
      <c r="C856" s="63"/>
      <c r="D856" s="63"/>
      <c r="E856" s="63"/>
      <c r="F856" s="37"/>
      <c r="G856" s="37"/>
      <c r="H856" s="37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  <c r="AN856" s="63"/>
      <c r="AO856" s="63"/>
      <c r="AP856" s="63"/>
      <c r="AQ856" s="63"/>
      <c r="AR856" s="63"/>
      <c r="AS856" s="63"/>
      <c r="AT856" s="63"/>
    </row>
    <row r="857" ht="15.75" customHeight="1">
      <c r="A857" s="63"/>
      <c r="B857" s="63"/>
      <c r="C857" s="63"/>
      <c r="D857" s="63"/>
      <c r="E857" s="63"/>
      <c r="F857" s="37"/>
      <c r="G857" s="37"/>
      <c r="H857" s="37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  <c r="AN857" s="63"/>
      <c r="AO857" s="63"/>
      <c r="AP857" s="63"/>
      <c r="AQ857" s="63"/>
      <c r="AR857" s="63"/>
      <c r="AS857" s="63"/>
      <c r="AT857" s="63"/>
    </row>
    <row r="858" ht="15.75" customHeight="1">
      <c r="A858" s="63"/>
      <c r="B858" s="63"/>
      <c r="C858" s="63"/>
      <c r="D858" s="63"/>
      <c r="E858" s="63"/>
      <c r="F858" s="37"/>
      <c r="G858" s="37"/>
      <c r="H858" s="37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  <c r="AS858" s="63"/>
      <c r="AT858" s="63"/>
    </row>
    <row r="859" ht="15.75" customHeight="1">
      <c r="A859" s="63"/>
      <c r="B859" s="63"/>
      <c r="C859" s="63"/>
      <c r="D859" s="63"/>
      <c r="E859" s="63"/>
      <c r="F859" s="37"/>
      <c r="G859" s="37"/>
      <c r="H859" s="37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  <c r="AS859" s="63"/>
      <c r="AT859" s="63"/>
    </row>
    <row r="860" ht="15.75" customHeight="1">
      <c r="A860" s="63"/>
      <c r="B860" s="63"/>
      <c r="C860" s="63"/>
      <c r="D860" s="63"/>
      <c r="E860" s="63"/>
      <c r="F860" s="37"/>
      <c r="G860" s="37"/>
      <c r="H860" s="37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  <c r="AS860" s="63"/>
      <c r="AT860" s="63"/>
    </row>
    <row r="861" ht="15.75" customHeight="1">
      <c r="A861" s="63"/>
      <c r="B861" s="63"/>
      <c r="C861" s="63"/>
      <c r="D861" s="63"/>
      <c r="E861" s="63"/>
      <c r="F861" s="37"/>
      <c r="G861" s="37"/>
      <c r="H861" s="37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  <c r="AN861" s="63"/>
      <c r="AO861" s="63"/>
      <c r="AP861" s="63"/>
      <c r="AQ861" s="63"/>
      <c r="AR861" s="63"/>
      <c r="AS861" s="63"/>
      <c r="AT861" s="63"/>
    </row>
    <row r="862" ht="15.75" customHeight="1">
      <c r="A862" s="63"/>
      <c r="B862" s="63"/>
      <c r="C862" s="63"/>
      <c r="D862" s="63"/>
      <c r="E862" s="63"/>
      <c r="F862" s="37"/>
      <c r="G862" s="37"/>
      <c r="H862" s="37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  <c r="AN862" s="63"/>
      <c r="AO862" s="63"/>
      <c r="AP862" s="63"/>
      <c r="AQ862" s="63"/>
      <c r="AR862" s="63"/>
      <c r="AS862" s="63"/>
      <c r="AT862" s="63"/>
    </row>
    <row r="863" ht="15.75" customHeight="1">
      <c r="A863" s="63"/>
      <c r="B863" s="63"/>
      <c r="C863" s="63"/>
      <c r="D863" s="63"/>
      <c r="E863" s="63"/>
      <c r="F863" s="37"/>
      <c r="G863" s="37"/>
      <c r="H863" s="37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  <c r="AN863" s="63"/>
      <c r="AO863" s="63"/>
      <c r="AP863" s="63"/>
      <c r="AQ863" s="63"/>
      <c r="AR863" s="63"/>
      <c r="AS863" s="63"/>
      <c r="AT863" s="63"/>
    </row>
    <row r="864" ht="15.75" customHeight="1">
      <c r="A864" s="63"/>
      <c r="B864" s="63"/>
      <c r="C864" s="63"/>
      <c r="D864" s="63"/>
      <c r="E864" s="63"/>
      <c r="F864" s="37"/>
      <c r="G864" s="37"/>
      <c r="H864" s="37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  <c r="AN864" s="63"/>
      <c r="AO864" s="63"/>
      <c r="AP864" s="63"/>
      <c r="AQ864" s="63"/>
      <c r="AR864" s="63"/>
      <c r="AS864" s="63"/>
      <c r="AT864" s="63"/>
    </row>
    <row r="865" ht="15.75" customHeight="1">
      <c r="A865" s="63"/>
      <c r="B865" s="63"/>
      <c r="C865" s="63"/>
      <c r="D865" s="63"/>
      <c r="E865" s="63"/>
      <c r="F865" s="37"/>
      <c r="G865" s="37"/>
      <c r="H865" s="37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  <c r="AN865" s="63"/>
      <c r="AO865" s="63"/>
      <c r="AP865" s="63"/>
      <c r="AQ865" s="63"/>
      <c r="AR865" s="63"/>
      <c r="AS865" s="63"/>
      <c r="AT865" s="63"/>
    </row>
    <row r="866" ht="15.75" customHeight="1">
      <c r="A866" s="63"/>
      <c r="B866" s="63"/>
      <c r="C866" s="63"/>
      <c r="D866" s="63"/>
      <c r="E866" s="63"/>
      <c r="F866" s="37"/>
      <c r="G866" s="37"/>
      <c r="H866" s="37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  <c r="AN866" s="63"/>
      <c r="AO866" s="63"/>
      <c r="AP866" s="63"/>
      <c r="AQ866" s="63"/>
      <c r="AR866" s="63"/>
      <c r="AS866" s="63"/>
      <c r="AT866" s="63"/>
    </row>
    <row r="867" ht="15.75" customHeight="1">
      <c r="A867" s="63"/>
      <c r="B867" s="63"/>
      <c r="C867" s="63"/>
      <c r="D867" s="63"/>
      <c r="E867" s="63"/>
      <c r="F867" s="37"/>
      <c r="G867" s="37"/>
      <c r="H867" s="37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  <c r="AN867" s="63"/>
      <c r="AO867" s="63"/>
      <c r="AP867" s="63"/>
      <c r="AQ867" s="63"/>
      <c r="AR867" s="63"/>
      <c r="AS867" s="63"/>
      <c r="AT867" s="63"/>
    </row>
    <row r="868" ht="15.75" customHeight="1">
      <c r="A868" s="63"/>
      <c r="B868" s="63"/>
      <c r="C868" s="63"/>
      <c r="D868" s="63"/>
      <c r="E868" s="63"/>
      <c r="F868" s="37"/>
      <c r="G868" s="37"/>
      <c r="H868" s="37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  <c r="AN868" s="63"/>
      <c r="AO868" s="63"/>
      <c r="AP868" s="63"/>
      <c r="AQ868" s="63"/>
      <c r="AR868" s="63"/>
      <c r="AS868" s="63"/>
      <c r="AT868" s="63"/>
    </row>
    <row r="869" ht="15.75" customHeight="1">
      <c r="A869" s="63"/>
      <c r="B869" s="63"/>
      <c r="C869" s="63"/>
      <c r="D869" s="63"/>
      <c r="E869" s="63"/>
      <c r="F869" s="37"/>
      <c r="G869" s="37"/>
      <c r="H869" s="37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  <c r="AS869" s="63"/>
      <c r="AT869" s="63"/>
    </row>
    <row r="870" ht="15.75" customHeight="1">
      <c r="A870" s="63"/>
      <c r="B870" s="63"/>
      <c r="C870" s="63"/>
      <c r="D870" s="63"/>
      <c r="E870" s="63"/>
      <c r="F870" s="37"/>
      <c r="G870" s="37"/>
      <c r="H870" s="37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  <c r="AS870" s="63"/>
      <c r="AT870" s="63"/>
    </row>
    <row r="871" ht="15.75" customHeight="1">
      <c r="A871" s="63"/>
      <c r="B871" s="63"/>
      <c r="C871" s="63"/>
      <c r="D871" s="63"/>
      <c r="E871" s="63"/>
      <c r="F871" s="37"/>
      <c r="G871" s="37"/>
      <c r="H871" s="37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  <c r="AN871" s="63"/>
      <c r="AO871" s="63"/>
      <c r="AP871" s="63"/>
      <c r="AQ871" s="63"/>
      <c r="AR871" s="63"/>
      <c r="AS871" s="63"/>
      <c r="AT871" s="63"/>
    </row>
    <row r="872" ht="15.75" customHeight="1">
      <c r="A872" s="63"/>
      <c r="B872" s="63"/>
      <c r="C872" s="63"/>
      <c r="D872" s="63"/>
      <c r="E872" s="63"/>
      <c r="F872" s="37"/>
      <c r="G872" s="37"/>
      <c r="H872" s="37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  <c r="AS872" s="63"/>
      <c r="AT872" s="63"/>
    </row>
    <row r="873" ht="15.75" customHeight="1">
      <c r="A873" s="63"/>
      <c r="B873" s="63"/>
      <c r="C873" s="63"/>
      <c r="D873" s="63"/>
      <c r="E873" s="63"/>
      <c r="F873" s="37"/>
      <c r="G873" s="37"/>
      <c r="H873" s="37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63"/>
      <c r="AR873" s="63"/>
      <c r="AS873" s="63"/>
      <c r="AT873" s="63"/>
    </row>
    <row r="874" ht="15.75" customHeight="1">
      <c r="A874" s="63"/>
      <c r="B874" s="63"/>
      <c r="C874" s="63"/>
      <c r="D874" s="63"/>
      <c r="E874" s="63"/>
      <c r="F874" s="37"/>
      <c r="G874" s="37"/>
      <c r="H874" s="37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63"/>
      <c r="AS874" s="63"/>
      <c r="AT874" s="63"/>
    </row>
    <row r="875" ht="15.75" customHeight="1">
      <c r="A875" s="63"/>
      <c r="B875" s="63"/>
      <c r="C875" s="63"/>
      <c r="D875" s="63"/>
      <c r="E875" s="63"/>
      <c r="F875" s="37"/>
      <c r="G875" s="37"/>
      <c r="H875" s="37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63"/>
      <c r="AS875" s="63"/>
      <c r="AT875" s="63"/>
    </row>
    <row r="876" ht="15.75" customHeight="1">
      <c r="A876" s="63"/>
      <c r="B876" s="63"/>
      <c r="C876" s="63"/>
      <c r="D876" s="63"/>
      <c r="E876" s="63"/>
      <c r="F876" s="37"/>
      <c r="G876" s="37"/>
      <c r="H876" s="37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63"/>
      <c r="AS876" s="63"/>
      <c r="AT876" s="63"/>
    </row>
    <row r="877" ht="15.75" customHeight="1">
      <c r="A877" s="63"/>
      <c r="B877" s="63"/>
      <c r="C877" s="63"/>
      <c r="D877" s="63"/>
      <c r="E877" s="63"/>
      <c r="F877" s="37"/>
      <c r="G877" s="37"/>
      <c r="H877" s="37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63"/>
      <c r="AS877" s="63"/>
      <c r="AT877" s="63"/>
    </row>
    <row r="878" ht="15.75" customHeight="1">
      <c r="A878" s="63"/>
      <c r="B878" s="63"/>
      <c r="C878" s="63"/>
      <c r="D878" s="63"/>
      <c r="E878" s="63"/>
      <c r="F878" s="37"/>
      <c r="G878" s="37"/>
      <c r="H878" s="37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  <c r="AS878" s="63"/>
      <c r="AT878" s="63"/>
    </row>
    <row r="879" ht="15.75" customHeight="1">
      <c r="A879" s="63"/>
      <c r="B879" s="63"/>
      <c r="C879" s="63"/>
      <c r="D879" s="63"/>
      <c r="E879" s="63"/>
      <c r="F879" s="37"/>
      <c r="G879" s="37"/>
      <c r="H879" s="37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  <c r="AN879" s="63"/>
      <c r="AO879" s="63"/>
      <c r="AP879" s="63"/>
      <c r="AQ879" s="63"/>
      <c r="AR879" s="63"/>
      <c r="AS879" s="63"/>
      <c r="AT879" s="63"/>
    </row>
    <row r="880" ht="15.75" customHeight="1">
      <c r="A880" s="63"/>
      <c r="B880" s="63"/>
      <c r="C880" s="63"/>
      <c r="D880" s="63"/>
      <c r="E880" s="63"/>
      <c r="F880" s="37"/>
      <c r="G880" s="37"/>
      <c r="H880" s="37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  <c r="AN880" s="63"/>
      <c r="AO880" s="63"/>
      <c r="AP880" s="63"/>
      <c r="AQ880" s="63"/>
      <c r="AR880" s="63"/>
      <c r="AS880" s="63"/>
      <c r="AT880" s="63"/>
    </row>
    <row r="881" ht="15.75" customHeight="1">
      <c r="A881" s="63"/>
      <c r="B881" s="63"/>
      <c r="C881" s="63"/>
      <c r="D881" s="63"/>
      <c r="E881" s="63"/>
      <c r="F881" s="37"/>
      <c r="G881" s="37"/>
      <c r="H881" s="37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63"/>
      <c r="AQ881" s="63"/>
      <c r="AR881" s="63"/>
      <c r="AS881" s="63"/>
      <c r="AT881" s="63"/>
    </row>
    <row r="882" ht="15.75" customHeight="1">
      <c r="A882" s="63"/>
      <c r="B882" s="63"/>
      <c r="C882" s="63"/>
      <c r="D882" s="63"/>
      <c r="E882" s="63"/>
      <c r="F882" s="37"/>
      <c r="G882" s="37"/>
      <c r="H882" s="37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  <c r="AS882" s="63"/>
      <c r="AT882" s="63"/>
    </row>
    <row r="883" ht="15.75" customHeight="1">
      <c r="A883" s="63"/>
      <c r="B883" s="63"/>
      <c r="C883" s="63"/>
      <c r="D883" s="63"/>
      <c r="E883" s="63"/>
      <c r="F883" s="37"/>
      <c r="G883" s="37"/>
      <c r="H883" s="37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  <c r="AN883" s="63"/>
      <c r="AO883" s="63"/>
      <c r="AP883" s="63"/>
      <c r="AQ883" s="63"/>
      <c r="AR883" s="63"/>
      <c r="AS883" s="63"/>
      <c r="AT883" s="63"/>
    </row>
    <row r="884" ht="15.75" customHeight="1">
      <c r="A884" s="63"/>
      <c r="B884" s="63"/>
      <c r="C884" s="63"/>
      <c r="D884" s="63"/>
      <c r="E884" s="63"/>
      <c r="F884" s="37"/>
      <c r="G884" s="37"/>
      <c r="H884" s="37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  <c r="AN884" s="63"/>
      <c r="AO884" s="63"/>
      <c r="AP884" s="63"/>
      <c r="AQ884" s="63"/>
      <c r="AR884" s="63"/>
      <c r="AS884" s="63"/>
      <c r="AT884" s="63"/>
    </row>
    <row r="885" ht="15.75" customHeight="1">
      <c r="A885" s="63"/>
      <c r="B885" s="63"/>
      <c r="C885" s="63"/>
      <c r="D885" s="63"/>
      <c r="E885" s="63"/>
      <c r="F885" s="37"/>
      <c r="G885" s="37"/>
      <c r="H885" s="37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  <c r="AN885" s="63"/>
      <c r="AO885" s="63"/>
      <c r="AP885" s="63"/>
      <c r="AQ885" s="63"/>
      <c r="AR885" s="63"/>
      <c r="AS885" s="63"/>
      <c r="AT885" s="63"/>
    </row>
    <row r="886" ht="15.75" customHeight="1">
      <c r="A886" s="63"/>
      <c r="B886" s="63"/>
      <c r="C886" s="63"/>
      <c r="D886" s="63"/>
      <c r="E886" s="63"/>
      <c r="F886" s="37"/>
      <c r="G886" s="37"/>
      <c r="H886" s="37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  <c r="AN886" s="63"/>
      <c r="AO886" s="63"/>
      <c r="AP886" s="63"/>
      <c r="AQ886" s="63"/>
      <c r="AR886" s="63"/>
      <c r="AS886" s="63"/>
      <c r="AT886" s="63"/>
    </row>
    <row r="887" ht="15.75" customHeight="1">
      <c r="A887" s="63"/>
      <c r="B887" s="63"/>
      <c r="C887" s="63"/>
      <c r="D887" s="63"/>
      <c r="E887" s="63"/>
      <c r="F887" s="37"/>
      <c r="G887" s="37"/>
      <c r="H887" s="37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  <c r="AN887" s="63"/>
      <c r="AO887" s="63"/>
      <c r="AP887" s="63"/>
      <c r="AQ887" s="63"/>
      <c r="AR887" s="63"/>
      <c r="AS887" s="63"/>
      <c r="AT887" s="63"/>
    </row>
    <row r="888" ht="15.75" customHeight="1">
      <c r="A888" s="63"/>
      <c r="B888" s="63"/>
      <c r="C888" s="63"/>
      <c r="D888" s="63"/>
      <c r="E888" s="63"/>
      <c r="F888" s="37"/>
      <c r="G888" s="37"/>
      <c r="H888" s="37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  <c r="AN888" s="63"/>
      <c r="AO888" s="63"/>
      <c r="AP888" s="63"/>
      <c r="AQ888" s="63"/>
      <c r="AR888" s="63"/>
      <c r="AS888" s="63"/>
      <c r="AT888" s="63"/>
    </row>
    <row r="889" ht="15.75" customHeight="1">
      <c r="A889" s="63"/>
      <c r="B889" s="63"/>
      <c r="C889" s="63"/>
      <c r="D889" s="63"/>
      <c r="E889" s="63"/>
      <c r="F889" s="37"/>
      <c r="G889" s="37"/>
      <c r="H889" s="37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  <c r="AN889" s="63"/>
      <c r="AO889" s="63"/>
      <c r="AP889" s="63"/>
      <c r="AQ889" s="63"/>
      <c r="AR889" s="63"/>
      <c r="AS889" s="63"/>
      <c r="AT889" s="63"/>
    </row>
    <row r="890" ht="15.75" customHeight="1">
      <c r="A890" s="63"/>
      <c r="B890" s="63"/>
      <c r="C890" s="63"/>
      <c r="D890" s="63"/>
      <c r="E890" s="63"/>
      <c r="F890" s="37"/>
      <c r="G890" s="37"/>
      <c r="H890" s="37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  <c r="AS890" s="63"/>
      <c r="AT890" s="63"/>
    </row>
    <row r="891" ht="15.75" customHeight="1">
      <c r="A891" s="63"/>
      <c r="B891" s="63"/>
      <c r="C891" s="63"/>
      <c r="D891" s="63"/>
      <c r="E891" s="63"/>
      <c r="F891" s="37"/>
      <c r="G891" s="37"/>
      <c r="H891" s="37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  <c r="AS891" s="63"/>
      <c r="AT891" s="63"/>
    </row>
    <row r="892" ht="15.75" customHeight="1">
      <c r="A892" s="63"/>
      <c r="B892" s="63"/>
      <c r="C892" s="63"/>
      <c r="D892" s="63"/>
      <c r="E892" s="63"/>
      <c r="F892" s="37"/>
      <c r="G892" s="37"/>
      <c r="H892" s="37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  <c r="AS892" s="63"/>
      <c r="AT892" s="63"/>
    </row>
    <row r="893" ht="15.75" customHeight="1">
      <c r="A893" s="63"/>
      <c r="B893" s="63"/>
      <c r="C893" s="63"/>
      <c r="D893" s="63"/>
      <c r="E893" s="63"/>
      <c r="F893" s="37"/>
      <c r="G893" s="37"/>
      <c r="H893" s="37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  <c r="AS893" s="63"/>
      <c r="AT893" s="63"/>
    </row>
    <row r="894" ht="15.75" customHeight="1">
      <c r="A894" s="63"/>
      <c r="B894" s="63"/>
      <c r="C894" s="63"/>
      <c r="D894" s="63"/>
      <c r="E894" s="63"/>
      <c r="F894" s="37"/>
      <c r="G894" s="37"/>
      <c r="H894" s="37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  <c r="AN894" s="63"/>
      <c r="AO894" s="63"/>
      <c r="AP894" s="63"/>
      <c r="AQ894" s="63"/>
      <c r="AR894" s="63"/>
      <c r="AS894" s="63"/>
      <c r="AT894" s="63"/>
    </row>
    <row r="895" ht="15.75" customHeight="1">
      <c r="A895" s="63"/>
      <c r="B895" s="63"/>
      <c r="C895" s="63"/>
      <c r="D895" s="63"/>
      <c r="E895" s="63"/>
      <c r="F895" s="37"/>
      <c r="G895" s="37"/>
      <c r="H895" s="37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  <c r="AN895" s="63"/>
      <c r="AO895" s="63"/>
      <c r="AP895" s="63"/>
      <c r="AQ895" s="63"/>
      <c r="AR895" s="63"/>
      <c r="AS895" s="63"/>
      <c r="AT895" s="63"/>
    </row>
    <row r="896" ht="15.75" customHeight="1">
      <c r="A896" s="63"/>
      <c r="B896" s="63"/>
      <c r="C896" s="63"/>
      <c r="D896" s="63"/>
      <c r="E896" s="63"/>
      <c r="F896" s="37"/>
      <c r="G896" s="37"/>
      <c r="H896" s="37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  <c r="AS896" s="63"/>
      <c r="AT896" s="63"/>
    </row>
    <row r="897" ht="15.75" customHeight="1">
      <c r="A897" s="63"/>
      <c r="B897" s="63"/>
      <c r="C897" s="63"/>
      <c r="D897" s="63"/>
      <c r="E897" s="63"/>
      <c r="F897" s="37"/>
      <c r="G897" s="37"/>
      <c r="H897" s="37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  <c r="AN897" s="63"/>
      <c r="AO897" s="63"/>
      <c r="AP897" s="63"/>
      <c r="AQ897" s="63"/>
      <c r="AR897" s="63"/>
      <c r="AS897" s="63"/>
      <c r="AT897" s="63"/>
    </row>
    <row r="898" ht="15.75" customHeight="1">
      <c r="A898" s="63"/>
      <c r="B898" s="63"/>
      <c r="C898" s="63"/>
      <c r="D898" s="63"/>
      <c r="E898" s="63"/>
      <c r="F898" s="37"/>
      <c r="G898" s="37"/>
      <c r="H898" s="37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  <c r="AS898" s="63"/>
      <c r="AT898" s="63"/>
    </row>
    <row r="899" ht="15.75" customHeight="1">
      <c r="A899" s="63"/>
      <c r="B899" s="63"/>
      <c r="C899" s="63"/>
      <c r="D899" s="63"/>
      <c r="E899" s="63"/>
      <c r="F899" s="37"/>
      <c r="G899" s="37"/>
      <c r="H899" s="37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  <c r="AS899" s="63"/>
      <c r="AT899" s="63"/>
    </row>
    <row r="900" ht="15.75" customHeight="1">
      <c r="A900" s="63"/>
      <c r="B900" s="63"/>
      <c r="C900" s="63"/>
      <c r="D900" s="63"/>
      <c r="E900" s="63"/>
      <c r="F900" s="37"/>
      <c r="G900" s="37"/>
      <c r="H900" s="37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  <c r="AS900" s="63"/>
      <c r="AT900" s="63"/>
    </row>
    <row r="901" ht="15.75" customHeight="1">
      <c r="A901" s="63"/>
      <c r="B901" s="63"/>
      <c r="C901" s="63"/>
      <c r="D901" s="63"/>
      <c r="E901" s="63"/>
      <c r="F901" s="37"/>
      <c r="G901" s="37"/>
      <c r="H901" s="37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  <c r="AS901" s="63"/>
      <c r="AT901" s="63"/>
    </row>
    <row r="902" ht="15.75" customHeight="1">
      <c r="A902" s="63"/>
      <c r="B902" s="63"/>
      <c r="C902" s="63"/>
      <c r="D902" s="63"/>
      <c r="E902" s="63"/>
      <c r="F902" s="37"/>
      <c r="G902" s="37"/>
      <c r="H902" s="37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  <c r="AN902" s="63"/>
      <c r="AO902" s="63"/>
      <c r="AP902" s="63"/>
      <c r="AQ902" s="63"/>
      <c r="AR902" s="63"/>
      <c r="AS902" s="63"/>
      <c r="AT902" s="63"/>
    </row>
    <row r="903" ht="15.75" customHeight="1">
      <c r="A903" s="63"/>
      <c r="B903" s="63"/>
      <c r="C903" s="63"/>
      <c r="D903" s="63"/>
      <c r="E903" s="63"/>
      <c r="F903" s="37"/>
      <c r="G903" s="37"/>
      <c r="H903" s="37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  <c r="AN903" s="63"/>
      <c r="AO903" s="63"/>
      <c r="AP903" s="63"/>
      <c r="AQ903" s="63"/>
      <c r="AR903" s="63"/>
      <c r="AS903" s="63"/>
      <c r="AT903" s="63"/>
    </row>
    <row r="904" ht="15.75" customHeight="1">
      <c r="A904" s="63"/>
      <c r="B904" s="63"/>
      <c r="C904" s="63"/>
      <c r="D904" s="63"/>
      <c r="E904" s="63"/>
      <c r="F904" s="37"/>
      <c r="G904" s="37"/>
      <c r="H904" s="37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  <c r="AN904" s="63"/>
      <c r="AO904" s="63"/>
      <c r="AP904" s="63"/>
      <c r="AQ904" s="63"/>
      <c r="AR904" s="63"/>
      <c r="AS904" s="63"/>
      <c r="AT904" s="63"/>
    </row>
    <row r="905" ht="15.75" customHeight="1">
      <c r="A905" s="63"/>
      <c r="B905" s="63"/>
      <c r="C905" s="63"/>
      <c r="D905" s="63"/>
      <c r="E905" s="63"/>
      <c r="F905" s="37"/>
      <c r="G905" s="37"/>
      <c r="H905" s="37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  <c r="AS905" s="63"/>
      <c r="AT905" s="63"/>
    </row>
    <row r="906" ht="15.75" customHeight="1">
      <c r="A906" s="63"/>
      <c r="B906" s="63"/>
      <c r="C906" s="63"/>
      <c r="D906" s="63"/>
      <c r="E906" s="63"/>
      <c r="F906" s="37"/>
      <c r="G906" s="37"/>
      <c r="H906" s="37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  <c r="AS906" s="63"/>
      <c r="AT906" s="63"/>
    </row>
    <row r="907" ht="15.75" customHeight="1">
      <c r="A907" s="63"/>
      <c r="B907" s="63"/>
      <c r="C907" s="63"/>
      <c r="D907" s="63"/>
      <c r="E907" s="63"/>
      <c r="F907" s="37"/>
      <c r="G907" s="37"/>
      <c r="H907" s="37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  <c r="AS907" s="63"/>
      <c r="AT907" s="63"/>
    </row>
    <row r="908" ht="15.75" customHeight="1">
      <c r="A908" s="63"/>
      <c r="B908" s="63"/>
      <c r="C908" s="63"/>
      <c r="D908" s="63"/>
      <c r="E908" s="63"/>
      <c r="F908" s="37"/>
      <c r="G908" s="37"/>
      <c r="H908" s="37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  <c r="AS908" s="63"/>
      <c r="AT908" s="63"/>
    </row>
    <row r="909" ht="15.75" customHeight="1">
      <c r="A909" s="63"/>
      <c r="B909" s="63"/>
      <c r="C909" s="63"/>
      <c r="D909" s="63"/>
      <c r="E909" s="63"/>
      <c r="F909" s="37"/>
      <c r="G909" s="37"/>
      <c r="H909" s="37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  <c r="AS909" s="63"/>
      <c r="AT909" s="63"/>
    </row>
    <row r="910" ht="15.75" customHeight="1">
      <c r="A910" s="63"/>
      <c r="B910" s="63"/>
      <c r="C910" s="63"/>
      <c r="D910" s="63"/>
      <c r="E910" s="63"/>
      <c r="F910" s="37"/>
      <c r="G910" s="37"/>
      <c r="H910" s="37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  <c r="AN910" s="63"/>
      <c r="AO910" s="63"/>
      <c r="AP910" s="63"/>
      <c r="AQ910" s="63"/>
      <c r="AR910" s="63"/>
      <c r="AS910" s="63"/>
      <c r="AT910" s="63"/>
    </row>
    <row r="911" ht="15.75" customHeight="1">
      <c r="A911" s="63"/>
      <c r="B911" s="63"/>
      <c r="C911" s="63"/>
      <c r="D911" s="63"/>
      <c r="E911" s="63"/>
      <c r="F911" s="37"/>
      <c r="G911" s="37"/>
      <c r="H911" s="37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  <c r="AN911" s="63"/>
      <c r="AO911" s="63"/>
      <c r="AP911" s="63"/>
      <c r="AQ911" s="63"/>
      <c r="AR911" s="63"/>
      <c r="AS911" s="63"/>
      <c r="AT911" s="63"/>
    </row>
    <row r="912" ht="15.75" customHeight="1">
      <c r="A912" s="63"/>
      <c r="B912" s="63"/>
      <c r="C912" s="63"/>
      <c r="D912" s="63"/>
      <c r="E912" s="63"/>
      <c r="F912" s="37"/>
      <c r="G912" s="37"/>
      <c r="H912" s="37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  <c r="AN912" s="63"/>
      <c r="AO912" s="63"/>
      <c r="AP912" s="63"/>
      <c r="AQ912" s="63"/>
      <c r="AR912" s="63"/>
      <c r="AS912" s="63"/>
      <c r="AT912" s="63"/>
    </row>
    <row r="913" ht="15.75" customHeight="1">
      <c r="A913" s="63"/>
      <c r="B913" s="63"/>
      <c r="C913" s="63"/>
      <c r="D913" s="63"/>
      <c r="E913" s="63"/>
      <c r="F913" s="37"/>
      <c r="G913" s="37"/>
      <c r="H913" s="37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  <c r="AN913" s="63"/>
      <c r="AO913" s="63"/>
      <c r="AP913" s="63"/>
      <c r="AQ913" s="63"/>
      <c r="AR913" s="63"/>
      <c r="AS913" s="63"/>
      <c r="AT913" s="63"/>
    </row>
    <row r="914" ht="15.75" customHeight="1">
      <c r="A914" s="63"/>
      <c r="B914" s="63"/>
      <c r="C914" s="63"/>
      <c r="D914" s="63"/>
      <c r="E914" s="63"/>
      <c r="F914" s="37"/>
      <c r="G914" s="37"/>
      <c r="H914" s="37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  <c r="AS914" s="63"/>
      <c r="AT914" s="63"/>
    </row>
    <row r="915" ht="15.75" customHeight="1">
      <c r="A915" s="63"/>
      <c r="B915" s="63"/>
      <c r="C915" s="63"/>
      <c r="D915" s="63"/>
      <c r="E915" s="63"/>
      <c r="F915" s="37"/>
      <c r="G915" s="37"/>
      <c r="H915" s="37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  <c r="AS915" s="63"/>
      <c r="AT915" s="63"/>
    </row>
    <row r="916" ht="15.75" customHeight="1">
      <c r="A916" s="63"/>
      <c r="B916" s="63"/>
      <c r="C916" s="63"/>
      <c r="D916" s="63"/>
      <c r="E916" s="63"/>
      <c r="F916" s="37"/>
      <c r="G916" s="37"/>
      <c r="H916" s="37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  <c r="AS916" s="63"/>
      <c r="AT916" s="63"/>
    </row>
    <row r="917" ht="15.75" customHeight="1">
      <c r="A917" s="63"/>
      <c r="B917" s="63"/>
      <c r="C917" s="63"/>
      <c r="D917" s="63"/>
      <c r="E917" s="63"/>
      <c r="F917" s="37"/>
      <c r="G917" s="37"/>
      <c r="H917" s="37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  <c r="AN917" s="63"/>
      <c r="AO917" s="63"/>
      <c r="AP917" s="63"/>
      <c r="AQ917" s="63"/>
      <c r="AR917" s="63"/>
      <c r="AS917" s="63"/>
      <c r="AT917" s="63"/>
    </row>
    <row r="918" ht="15.75" customHeight="1">
      <c r="A918" s="63"/>
      <c r="B918" s="63"/>
      <c r="C918" s="63"/>
      <c r="D918" s="63"/>
      <c r="E918" s="63"/>
      <c r="F918" s="37"/>
      <c r="G918" s="37"/>
      <c r="H918" s="37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  <c r="AN918" s="63"/>
      <c r="AO918" s="63"/>
      <c r="AP918" s="63"/>
      <c r="AQ918" s="63"/>
      <c r="AR918" s="63"/>
      <c r="AS918" s="63"/>
      <c r="AT918" s="63"/>
    </row>
    <row r="919" ht="15.75" customHeight="1">
      <c r="A919" s="63"/>
      <c r="B919" s="63"/>
      <c r="C919" s="63"/>
      <c r="D919" s="63"/>
      <c r="E919" s="63"/>
      <c r="F919" s="37"/>
      <c r="G919" s="37"/>
      <c r="H919" s="37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  <c r="AN919" s="63"/>
      <c r="AO919" s="63"/>
      <c r="AP919" s="63"/>
      <c r="AQ919" s="63"/>
      <c r="AR919" s="63"/>
      <c r="AS919" s="63"/>
      <c r="AT919" s="63"/>
    </row>
    <row r="920" ht="15.75" customHeight="1">
      <c r="A920" s="63"/>
      <c r="B920" s="63"/>
      <c r="C920" s="63"/>
      <c r="D920" s="63"/>
      <c r="E920" s="63"/>
      <c r="F920" s="37"/>
      <c r="G920" s="37"/>
      <c r="H920" s="37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  <c r="AS920" s="63"/>
      <c r="AT920" s="63"/>
    </row>
    <row r="921" ht="15.75" customHeight="1">
      <c r="A921" s="63"/>
      <c r="B921" s="63"/>
      <c r="C921" s="63"/>
      <c r="D921" s="63"/>
      <c r="E921" s="63"/>
      <c r="F921" s="37"/>
      <c r="G921" s="37"/>
      <c r="H921" s="37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  <c r="AS921" s="63"/>
      <c r="AT921" s="63"/>
    </row>
    <row r="922" ht="15.75" customHeight="1">
      <c r="A922" s="63"/>
      <c r="B922" s="63"/>
      <c r="C922" s="63"/>
      <c r="D922" s="63"/>
      <c r="E922" s="63"/>
      <c r="F922" s="37"/>
      <c r="G922" s="37"/>
      <c r="H922" s="37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  <c r="AN922" s="63"/>
      <c r="AO922" s="63"/>
      <c r="AP922" s="63"/>
      <c r="AQ922" s="63"/>
      <c r="AR922" s="63"/>
      <c r="AS922" s="63"/>
      <c r="AT922" s="63"/>
    </row>
    <row r="923" ht="15.75" customHeight="1">
      <c r="A923" s="63"/>
      <c r="B923" s="63"/>
      <c r="C923" s="63"/>
      <c r="D923" s="63"/>
      <c r="E923" s="63"/>
      <c r="F923" s="37"/>
      <c r="G923" s="37"/>
      <c r="H923" s="37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  <c r="AN923" s="63"/>
      <c r="AO923" s="63"/>
      <c r="AP923" s="63"/>
      <c r="AQ923" s="63"/>
      <c r="AR923" s="63"/>
      <c r="AS923" s="63"/>
      <c r="AT923" s="63"/>
    </row>
    <row r="924" ht="15.75" customHeight="1">
      <c r="A924" s="63"/>
      <c r="B924" s="63"/>
      <c r="C924" s="63"/>
      <c r="D924" s="63"/>
      <c r="E924" s="63"/>
      <c r="F924" s="37"/>
      <c r="G924" s="37"/>
      <c r="H924" s="37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  <c r="AS924" s="63"/>
      <c r="AT924" s="63"/>
    </row>
    <row r="925" ht="15.75" customHeight="1">
      <c r="A925" s="63"/>
      <c r="B925" s="63"/>
      <c r="C925" s="63"/>
      <c r="D925" s="63"/>
      <c r="E925" s="63"/>
      <c r="F925" s="37"/>
      <c r="G925" s="37"/>
      <c r="H925" s="37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  <c r="AS925" s="63"/>
      <c r="AT925" s="63"/>
    </row>
    <row r="926" ht="15.75" customHeight="1">
      <c r="A926" s="63"/>
      <c r="B926" s="63"/>
      <c r="C926" s="63"/>
      <c r="D926" s="63"/>
      <c r="E926" s="63"/>
      <c r="F926" s="37"/>
      <c r="G926" s="37"/>
      <c r="H926" s="37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  <c r="AS926" s="63"/>
      <c r="AT926" s="63"/>
    </row>
    <row r="927" ht="15.75" customHeight="1">
      <c r="A927" s="63"/>
      <c r="B927" s="63"/>
      <c r="C927" s="63"/>
      <c r="D927" s="63"/>
      <c r="E927" s="63"/>
      <c r="F927" s="37"/>
      <c r="G927" s="37"/>
      <c r="H927" s="37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  <c r="AS927" s="63"/>
      <c r="AT927" s="63"/>
    </row>
    <row r="928" ht="15.75" customHeight="1">
      <c r="A928" s="63"/>
      <c r="B928" s="63"/>
      <c r="C928" s="63"/>
      <c r="D928" s="63"/>
      <c r="E928" s="63"/>
      <c r="F928" s="37"/>
      <c r="G928" s="37"/>
      <c r="H928" s="37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  <c r="AS928" s="63"/>
      <c r="AT928" s="63"/>
    </row>
    <row r="929" ht="15.75" customHeight="1">
      <c r="A929" s="63"/>
      <c r="B929" s="63"/>
      <c r="C929" s="63"/>
      <c r="D929" s="63"/>
      <c r="E929" s="63"/>
      <c r="F929" s="37"/>
      <c r="G929" s="37"/>
      <c r="H929" s="37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  <c r="AS929" s="63"/>
      <c r="AT929" s="63"/>
    </row>
    <row r="930" ht="15.75" customHeight="1">
      <c r="A930" s="63"/>
      <c r="B930" s="63"/>
      <c r="C930" s="63"/>
      <c r="D930" s="63"/>
      <c r="E930" s="63"/>
      <c r="F930" s="37"/>
      <c r="G930" s="37"/>
      <c r="H930" s="37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  <c r="AN930" s="63"/>
      <c r="AO930" s="63"/>
      <c r="AP930" s="63"/>
      <c r="AQ930" s="63"/>
      <c r="AR930" s="63"/>
      <c r="AS930" s="63"/>
      <c r="AT930" s="63"/>
    </row>
    <row r="931" ht="15.75" customHeight="1">
      <c r="A931" s="63"/>
      <c r="B931" s="63"/>
      <c r="C931" s="63"/>
      <c r="D931" s="63"/>
      <c r="E931" s="63"/>
      <c r="F931" s="37"/>
      <c r="G931" s="37"/>
      <c r="H931" s="37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  <c r="AN931" s="63"/>
      <c r="AO931" s="63"/>
      <c r="AP931" s="63"/>
      <c r="AQ931" s="63"/>
      <c r="AR931" s="63"/>
      <c r="AS931" s="63"/>
      <c r="AT931" s="63"/>
    </row>
    <row r="932" ht="15.75" customHeight="1">
      <c r="A932" s="63"/>
      <c r="B932" s="63"/>
      <c r="C932" s="63"/>
      <c r="D932" s="63"/>
      <c r="E932" s="63"/>
      <c r="F932" s="37"/>
      <c r="G932" s="37"/>
      <c r="H932" s="37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  <c r="AN932" s="63"/>
      <c r="AO932" s="63"/>
      <c r="AP932" s="63"/>
      <c r="AQ932" s="63"/>
      <c r="AR932" s="63"/>
      <c r="AS932" s="63"/>
      <c r="AT932" s="63"/>
    </row>
    <row r="933" ht="15.75" customHeight="1">
      <c r="A933" s="63"/>
      <c r="B933" s="63"/>
      <c r="C933" s="63"/>
      <c r="D933" s="63"/>
      <c r="E933" s="63"/>
      <c r="F933" s="37"/>
      <c r="G933" s="37"/>
      <c r="H933" s="37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  <c r="AN933" s="63"/>
      <c r="AO933" s="63"/>
      <c r="AP933" s="63"/>
      <c r="AQ933" s="63"/>
      <c r="AR933" s="63"/>
      <c r="AS933" s="63"/>
      <c r="AT933" s="63"/>
    </row>
    <row r="934" ht="15.75" customHeight="1">
      <c r="A934" s="63"/>
      <c r="B934" s="63"/>
      <c r="C934" s="63"/>
      <c r="D934" s="63"/>
      <c r="E934" s="63"/>
      <c r="F934" s="37"/>
      <c r="G934" s="37"/>
      <c r="H934" s="37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  <c r="AN934" s="63"/>
      <c r="AO934" s="63"/>
      <c r="AP934" s="63"/>
      <c r="AQ934" s="63"/>
      <c r="AR934" s="63"/>
      <c r="AS934" s="63"/>
      <c r="AT934" s="63"/>
    </row>
    <row r="935" ht="15.75" customHeight="1">
      <c r="A935" s="63"/>
      <c r="B935" s="63"/>
      <c r="C935" s="63"/>
      <c r="D935" s="63"/>
      <c r="E935" s="63"/>
      <c r="F935" s="37"/>
      <c r="G935" s="37"/>
      <c r="H935" s="37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  <c r="AN935" s="63"/>
      <c r="AO935" s="63"/>
      <c r="AP935" s="63"/>
      <c r="AQ935" s="63"/>
      <c r="AR935" s="63"/>
      <c r="AS935" s="63"/>
      <c r="AT935" s="63"/>
    </row>
    <row r="936" ht="15.75" customHeight="1">
      <c r="A936" s="63"/>
      <c r="B936" s="63"/>
      <c r="C936" s="63"/>
      <c r="D936" s="63"/>
      <c r="E936" s="63"/>
      <c r="F936" s="37"/>
      <c r="G936" s="37"/>
      <c r="H936" s="37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  <c r="AN936" s="63"/>
      <c r="AO936" s="63"/>
      <c r="AP936" s="63"/>
      <c r="AQ936" s="63"/>
      <c r="AR936" s="63"/>
      <c r="AS936" s="63"/>
      <c r="AT936" s="63"/>
    </row>
    <row r="937" ht="15.75" customHeight="1">
      <c r="A937" s="63"/>
      <c r="B937" s="63"/>
      <c r="C937" s="63"/>
      <c r="D937" s="63"/>
      <c r="E937" s="63"/>
      <c r="F937" s="37"/>
      <c r="G937" s="37"/>
      <c r="H937" s="37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  <c r="AS937" s="63"/>
      <c r="AT937" s="63"/>
    </row>
    <row r="938" ht="15.75" customHeight="1">
      <c r="A938" s="63"/>
      <c r="B938" s="63"/>
      <c r="C938" s="63"/>
      <c r="D938" s="63"/>
      <c r="E938" s="63"/>
      <c r="F938" s="37"/>
      <c r="G938" s="37"/>
      <c r="H938" s="37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  <c r="AN938" s="63"/>
      <c r="AO938" s="63"/>
      <c r="AP938" s="63"/>
      <c r="AQ938" s="63"/>
      <c r="AR938" s="63"/>
      <c r="AS938" s="63"/>
      <c r="AT938" s="63"/>
    </row>
    <row r="939" ht="15.75" customHeight="1">
      <c r="A939" s="63"/>
      <c r="B939" s="63"/>
      <c r="C939" s="63"/>
      <c r="D939" s="63"/>
      <c r="E939" s="63"/>
      <c r="F939" s="37"/>
      <c r="G939" s="37"/>
      <c r="H939" s="37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  <c r="AN939" s="63"/>
      <c r="AO939" s="63"/>
      <c r="AP939" s="63"/>
      <c r="AQ939" s="63"/>
      <c r="AR939" s="63"/>
      <c r="AS939" s="63"/>
      <c r="AT939" s="63"/>
    </row>
    <row r="940" ht="15.75" customHeight="1">
      <c r="A940" s="63"/>
      <c r="B940" s="63"/>
      <c r="C940" s="63"/>
      <c r="D940" s="63"/>
      <c r="E940" s="63"/>
      <c r="F940" s="37"/>
      <c r="G940" s="37"/>
      <c r="H940" s="37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  <c r="AN940" s="63"/>
      <c r="AO940" s="63"/>
      <c r="AP940" s="63"/>
      <c r="AQ940" s="63"/>
      <c r="AR940" s="63"/>
      <c r="AS940" s="63"/>
      <c r="AT940" s="63"/>
    </row>
    <row r="941" ht="15.75" customHeight="1">
      <c r="A941" s="63"/>
      <c r="B941" s="63"/>
      <c r="C941" s="63"/>
      <c r="D941" s="63"/>
      <c r="E941" s="63"/>
      <c r="F941" s="37"/>
      <c r="G941" s="37"/>
      <c r="H941" s="37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  <c r="AN941" s="63"/>
      <c r="AO941" s="63"/>
      <c r="AP941" s="63"/>
      <c r="AQ941" s="63"/>
      <c r="AR941" s="63"/>
      <c r="AS941" s="63"/>
      <c r="AT941" s="63"/>
    </row>
    <row r="942" ht="15.75" customHeight="1">
      <c r="A942" s="63"/>
      <c r="B942" s="63"/>
      <c r="C942" s="63"/>
      <c r="D942" s="63"/>
      <c r="E942" s="63"/>
      <c r="F942" s="37"/>
      <c r="G942" s="37"/>
      <c r="H942" s="37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  <c r="AN942" s="63"/>
      <c r="AO942" s="63"/>
      <c r="AP942" s="63"/>
      <c r="AQ942" s="63"/>
      <c r="AR942" s="63"/>
      <c r="AS942" s="63"/>
      <c r="AT942" s="63"/>
    </row>
    <row r="943" ht="15.75" customHeight="1">
      <c r="A943" s="63"/>
      <c r="B943" s="63"/>
      <c r="C943" s="63"/>
      <c r="D943" s="63"/>
      <c r="E943" s="63"/>
      <c r="F943" s="37"/>
      <c r="G943" s="37"/>
      <c r="H943" s="37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  <c r="AS943" s="63"/>
      <c r="AT943" s="63"/>
    </row>
    <row r="944" ht="15.75" customHeight="1">
      <c r="A944" s="63"/>
      <c r="B944" s="63"/>
      <c r="C944" s="63"/>
      <c r="D944" s="63"/>
      <c r="E944" s="63"/>
      <c r="F944" s="37"/>
      <c r="G944" s="37"/>
      <c r="H944" s="37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  <c r="AS944" s="63"/>
      <c r="AT944" s="63"/>
    </row>
    <row r="945" ht="15.75" customHeight="1">
      <c r="A945" s="63"/>
      <c r="B945" s="63"/>
      <c r="C945" s="63"/>
      <c r="D945" s="63"/>
      <c r="E945" s="63"/>
      <c r="F945" s="37"/>
      <c r="G945" s="37"/>
      <c r="H945" s="37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  <c r="AN945" s="63"/>
      <c r="AO945" s="63"/>
      <c r="AP945" s="63"/>
      <c r="AQ945" s="63"/>
      <c r="AR945" s="63"/>
      <c r="AS945" s="63"/>
      <c r="AT945" s="63"/>
    </row>
    <row r="946" ht="15.75" customHeight="1">
      <c r="A946" s="63"/>
      <c r="B946" s="63"/>
      <c r="C946" s="63"/>
      <c r="D946" s="63"/>
      <c r="E946" s="63"/>
      <c r="F946" s="37"/>
      <c r="G946" s="37"/>
      <c r="H946" s="37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  <c r="AN946" s="63"/>
      <c r="AO946" s="63"/>
      <c r="AP946" s="63"/>
      <c r="AQ946" s="63"/>
      <c r="AR946" s="63"/>
      <c r="AS946" s="63"/>
      <c r="AT946" s="63"/>
    </row>
    <row r="947" ht="15.75" customHeight="1">
      <c r="A947" s="63"/>
      <c r="B947" s="63"/>
      <c r="C947" s="63"/>
      <c r="D947" s="63"/>
      <c r="E947" s="63"/>
      <c r="F947" s="37"/>
      <c r="G947" s="37"/>
      <c r="H947" s="37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  <c r="AN947" s="63"/>
      <c r="AO947" s="63"/>
      <c r="AP947" s="63"/>
      <c r="AQ947" s="63"/>
      <c r="AR947" s="63"/>
      <c r="AS947" s="63"/>
      <c r="AT947" s="63"/>
    </row>
    <row r="948" ht="15.75" customHeight="1">
      <c r="A948" s="63"/>
      <c r="B948" s="63"/>
      <c r="C948" s="63"/>
      <c r="D948" s="63"/>
      <c r="E948" s="63"/>
      <c r="F948" s="37"/>
      <c r="G948" s="37"/>
      <c r="H948" s="37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  <c r="AN948" s="63"/>
      <c r="AO948" s="63"/>
      <c r="AP948" s="63"/>
      <c r="AQ948" s="63"/>
      <c r="AR948" s="63"/>
      <c r="AS948" s="63"/>
      <c r="AT948" s="63"/>
    </row>
    <row r="949" ht="15.75" customHeight="1">
      <c r="A949" s="63"/>
      <c r="B949" s="63"/>
      <c r="C949" s="63"/>
      <c r="D949" s="63"/>
      <c r="E949" s="63"/>
      <c r="F949" s="37"/>
      <c r="G949" s="37"/>
      <c r="H949" s="37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  <c r="AN949" s="63"/>
      <c r="AO949" s="63"/>
      <c r="AP949" s="63"/>
      <c r="AQ949" s="63"/>
      <c r="AR949" s="63"/>
      <c r="AS949" s="63"/>
      <c r="AT949" s="63"/>
    </row>
    <row r="950" ht="15.75" customHeight="1">
      <c r="A950" s="63"/>
      <c r="B950" s="63"/>
      <c r="C950" s="63"/>
      <c r="D950" s="63"/>
      <c r="E950" s="63"/>
      <c r="F950" s="37"/>
      <c r="G950" s="37"/>
      <c r="H950" s="37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  <c r="AN950" s="63"/>
      <c r="AO950" s="63"/>
      <c r="AP950" s="63"/>
      <c r="AQ950" s="63"/>
      <c r="AR950" s="63"/>
      <c r="AS950" s="63"/>
      <c r="AT950" s="63"/>
    </row>
    <row r="951" ht="15.75" customHeight="1">
      <c r="A951" s="63"/>
      <c r="B951" s="63"/>
      <c r="C951" s="63"/>
      <c r="D951" s="63"/>
      <c r="E951" s="63"/>
      <c r="F951" s="37"/>
      <c r="G951" s="37"/>
      <c r="H951" s="37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  <c r="AN951" s="63"/>
      <c r="AO951" s="63"/>
      <c r="AP951" s="63"/>
      <c r="AQ951" s="63"/>
      <c r="AR951" s="63"/>
      <c r="AS951" s="63"/>
      <c r="AT951" s="63"/>
    </row>
    <row r="952" ht="15.75" customHeight="1">
      <c r="A952" s="63"/>
      <c r="B952" s="63"/>
      <c r="C952" s="63"/>
      <c r="D952" s="63"/>
      <c r="E952" s="63"/>
      <c r="F952" s="37"/>
      <c r="G952" s="37"/>
      <c r="H952" s="37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  <c r="AN952" s="63"/>
      <c r="AO952" s="63"/>
      <c r="AP952" s="63"/>
      <c r="AQ952" s="63"/>
      <c r="AR952" s="63"/>
      <c r="AS952" s="63"/>
      <c r="AT952" s="63"/>
    </row>
    <row r="953" ht="15.75" customHeight="1">
      <c r="A953" s="63"/>
      <c r="B953" s="63"/>
      <c r="C953" s="63"/>
      <c r="D953" s="63"/>
      <c r="E953" s="63"/>
      <c r="F953" s="37"/>
      <c r="G953" s="37"/>
      <c r="H953" s="37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  <c r="AN953" s="63"/>
      <c r="AO953" s="63"/>
      <c r="AP953" s="63"/>
      <c r="AQ953" s="63"/>
      <c r="AR953" s="63"/>
      <c r="AS953" s="63"/>
      <c r="AT953" s="63"/>
    </row>
    <row r="954" ht="15.75" customHeight="1">
      <c r="A954" s="63"/>
      <c r="B954" s="63"/>
      <c r="C954" s="63"/>
      <c r="D954" s="63"/>
      <c r="E954" s="63"/>
      <c r="F954" s="37"/>
      <c r="G954" s="37"/>
      <c r="H954" s="37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63"/>
      <c r="AS954" s="63"/>
      <c r="AT954" s="63"/>
    </row>
    <row r="955" ht="15.75" customHeight="1">
      <c r="A955" s="63"/>
      <c r="B955" s="63"/>
      <c r="C955" s="63"/>
      <c r="D955" s="63"/>
      <c r="E955" s="63"/>
      <c r="F955" s="37"/>
      <c r="G955" s="37"/>
      <c r="H955" s="37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  <c r="AS955" s="63"/>
      <c r="AT955" s="63"/>
    </row>
    <row r="956" ht="15.75" customHeight="1">
      <c r="A956" s="63"/>
      <c r="B956" s="63"/>
      <c r="C956" s="63"/>
      <c r="D956" s="63"/>
      <c r="E956" s="63"/>
      <c r="F956" s="37"/>
      <c r="G956" s="37"/>
      <c r="H956" s="37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  <c r="AS956" s="63"/>
      <c r="AT956" s="63"/>
    </row>
    <row r="957" ht="15.75" customHeight="1">
      <c r="A957" s="63"/>
      <c r="B957" s="63"/>
      <c r="C957" s="63"/>
      <c r="D957" s="63"/>
      <c r="E957" s="63"/>
      <c r="F957" s="37"/>
      <c r="G957" s="37"/>
      <c r="H957" s="37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  <c r="AN957" s="63"/>
      <c r="AO957" s="63"/>
      <c r="AP957" s="63"/>
      <c r="AQ957" s="63"/>
      <c r="AR957" s="63"/>
      <c r="AS957" s="63"/>
      <c r="AT957" s="63"/>
    </row>
    <row r="958" ht="15.75" customHeight="1">
      <c r="A958" s="63"/>
      <c r="B958" s="63"/>
      <c r="C958" s="63"/>
      <c r="D958" s="63"/>
      <c r="E958" s="63"/>
      <c r="F958" s="37"/>
      <c r="G958" s="37"/>
      <c r="H958" s="37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  <c r="AS958" s="63"/>
      <c r="AT958" s="63"/>
    </row>
    <row r="959" ht="15.75" customHeight="1">
      <c r="A959" s="63"/>
      <c r="B959" s="63"/>
      <c r="C959" s="63"/>
      <c r="D959" s="63"/>
      <c r="E959" s="63"/>
      <c r="F959" s="37"/>
      <c r="G959" s="37"/>
      <c r="H959" s="37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  <c r="AN959" s="63"/>
      <c r="AO959" s="63"/>
      <c r="AP959" s="63"/>
      <c r="AQ959" s="63"/>
      <c r="AR959" s="63"/>
      <c r="AS959" s="63"/>
      <c r="AT959" s="63"/>
    </row>
    <row r="960" ht="15.75" customHeight="1">
      <c r="A960" s="63"/>
      <c r="B960" s="63"/>
      <c r="C960" s="63"/>
      <c r="D960" s="63"/>
      <c r="E960" s="63"/>
      <c r="F960" s="37"/>
      <c r="G960" s="37"/>
      <c r="H960" s="37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  <c r="AN960" s="63"/>
      <c r="AO960" s="63"/>
      <c r="AP960" s="63"/>
      <c r="AQ960" s="63"/>
      <c r="AR960" s="63"/>
      <c r="AS960" s="63"/>
      <c r="AT960" s="63"/>
    </row>
    <row r="961" ht="15.75" customHeight="1">
      <c r="A961" s="63"/>
      <c r="B961" s="63"/>
      <c r="C961" s="63"/>
      <c r="D961" s="63"/>
      <c r="E961" s="63"/>
      <c r="F961" s="37"/>
      <c r="G961" s="37"/>
      <c r="H961" s="37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  <c r="AN961" s="63"/>
      <c r="AO961" s="63"/>
      <c r="AP961" s="63"/>
      <c r="AQ961" s="63"/>
      <c r="AR961" s="63"/>
      <c r="AS961" s="63"/>
      <c r="AT961" s="63"/>
    </row>
    <row r="962" ht="15.75" customHeight="1">
      <c r="A962" s="63"/>
      <c r="B962" s="63"/>
      <c r="C962" s="63"/>
      <c r="D962" s="63"/>
      <c r="E962" s="63"/>
      <c r="F962" s="37"/>
      <c r="G962" s="37"/>
      <c r="H962" s="37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63"/>
      <c r="AS962" s="63"/>
      <c r="AT962" s="63"/>
    </row>
    <row r="963" ht="15.75" customHeight="1">
      <c r="A963" s="63"/>
      <c r="B963" s="63"/>
      <c r="C963" s="63"/>
      <c r="D963" s="63"/>
      <c r="E963" s="63"/>
      <c r="F963" s="37"/>
      <c r="G963" s="37"/>
      <c r="H963" s="37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63"/>
      <c r="AS963" s="63"/>
      <c r="AT963" s="63"/>
    </row>
    <row r="964" ht="15.75" customHeight="1">
      <c r="A964" s="63"/>
      <c r="B964" s="63"/>
      <c r="C964" s="63"/>
      <c r="D964" s="63"/>
      <c r="E964" s="63"/>
      <c r="F964" s="37"/>
      <c r="G964" s="37"/>
      <c r="H964" s="37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  <c r="AL964" s="63"/>
      <c r="AM964" s="63"/>
      <c r="AN964" s="63"/>
      <c r="AO964" s="63"/>
      <c r="AP964" s="63"/>
      <c r="AQ964" s="63"/>
      <c r="AR964" s="63"/>
      <c r="AS964" s="63"/>
      <c r="AT964" s="63"/>
    </row>
    <row r="965" ht="15.75" customHeight="1">
      <c r="A965" s="63"/>
      <c r="B965" s="63"/>
      <c r="C965" s="63"/>
      <c r="D965" s="63"/>
      <c r="E965" s="63"/>
      <c r="F965" s="37"/>
      <c r="G965" s="37"/>
      <c r="H965" s="37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  <c r="AL965" s="63"/>
      <c r="AM965" s="63"/>
      <c r="AN965" s="63"/>
      <c r="AO965" s="63"/>
      <c r="AP965" s="63"/>
      <c r="AQ965" s="63"/>
      <c r="AR965" s="63"/>
      <c r="AS965" s="63"/>
      <c r="AT965" s="63"/>
    </row>
    <row r="966" ht="15.75" customHeight="1">
      <c r="A966" s="63"/>
      <c r="B966" s="63"/>
      <c r="C966" s="63"/>
      <c r="D966" s="63"/>
      <c r="E966" s="63"/>
      <c r="F966" s="37"/>
      <c r="G966" s="37"/>
      <c r="H966" s="37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  <c r="AL966" s="63"/>
      <c r="AM966" s="63"/>
      <c r="AN966" s="63"/>
      <c r="AO966" s="63"/>
      <c r="AP966" s="63"/>
      <c r="AQ966" s="63"/>
      <c r="AR966" s="63"/>
      <c r="AS966" s="63"/>
      <c r="AT966" s="63"/>
    </row>
    <row r="967" ht="15.75" customHeight="1">
      <c r="A967" s="63"/>
      <c r="B967" s="63"/>
      <c r="C967" s="63"/>
      <c r="D967" s="63"/>
      <c r="E967" s="63"/>
      <c r="F967" s="37"/>
      <c r="G967" s="37"/>
      <c r="H967" s="37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  <c r="AL967" s="63"/>
      <c r="AM967" s="63"/>
      <c r="AN967" s="63"/>
      <c r="AO967" s="63"/>
      <c r="AP967" s="63"/>
      <c r="AQ967" s="63"/>
      <c r="AR967" s="63"/>
      <c r="AS967" s="63"/>
      <c r="AT967" s="63"/>
    </row>
    <row r="968" ht="15.75" customHeight="1">
      <c r="A968" s="63"/>
      <c r="B968" s="63"/>
      <c r="C968" s="63"/>
      <c r="D968" s="63"/>
      <c r="E968" s="63"/>
      <c r="F968" s="37"/>
      <c r="G968" s="37"/>
      <c r="H968" s="37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  <c r="AL968" s="63"/>
      <c r="AM968" s="63"/>
      <c r="AN968" s="63"/>
      <c r="AO968" s="63"/>
      <c r="AP968" s="63"/>
      <c r="AQ968" s="63"/>
      <c r="AR968" s="63"/>
      <c r="AS968" s="63"/>
      <c r="AT968" s="63"/>
    </row>
    <row r="969" ht="15.75" customHeight="1">
      <c r="A969" s="63"/>
      <c r="B969" s="63"/>
      <c r="C969" s="63"/>
      <c r="D969" s="63"/>
      <c r="E969" s="63"/>
      <c r="F969" s="37"/>
      <c r="G969" s="37"/>
      <c r="H969" s="37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  <c r="AL969" s="63"/>
      <c r="AM969" s="63"/>
      <c r="AN969" s="63"/>
      <c r="AO969" s="63"/>
      <c r="AP969" s="63"/>
      <c r="AQ969" s="63"/>
      <c r="AR969" s="63"/>
      <c r="AS969" s="63"/>
      <c r="AT969" s="63"/>
    </row>
    <row r="970" ht="15.75" customHeight="1">
      <c r="A970" s="63"/>
      <c r="B970" s="63"/>
      <c r="C970" s="63"/>
      <c r="D970" s="63"/>
      <c r="E970" s="63"/>
      <c r="F970" s="37"/>
      <c r="G970" s="37"/>
      <c r="H970" s="37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  <c r="AL970" s="63"/>
      <c r="AM970" s="63"/>
      <c r="AN970" s="63"/>
      <c r="AO970" s="63"/>
      <c r="AP970" s="63"/>
      <c r="AQ970" s="63"/>
      <c r="AR970" s="63"/>
      <c r="AS970" s="63"/>
      <c r="AT970" s="63"/>
    </row>
    <row r="971" ht="15.75" customHeight="1">
      <c r="A971" s="63"/>
      <c r="B971" s="63"/>
      <c r="C971" s="63"/>
      <c r="D971" s="63"/>
      <c r="E971" s="63"/>
      <c r="F971" s="37"/>
      <c r="G971" s="37"/>
      <c r="H971" s="37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  <c r="AL971" s="63"/>
      <c r="AM971" s="63"/>
      <c r="AN971" s="63"/>
      <c r="AO971" s="63"/>
      <c r="AP971" s="63"/>
      <c r="AQ971" s="63"/>
      <c r="AR971" s="63"/>
      <c r="AS971" s="63"/>
      <c r="AT971" s="63"/>
    </row>
  </sheetData>
  <mergeCells count="18">
    <mergeCell ref="A1:G1"/>
    <mergeCell ref="F2:H2"/>
    <mergeCell ref="A3:A9"/>
    <mergeCell ref="A10:A16"/>
    <mergeCell ref="A17:A23"/>
    <mergeCell ref="AA17:AC17"/>
    <mergeCell ref="AA20:AI21"/>
    <mergeCell ref="A56:G56"/>
    <mergeCell ref="F57:H57"/>
    <mergeCell ref="A58:A61"/>
    <mergeCell ref="A62:A63"/>
    <mergeCell ref="A24:A30"/>
    <mergeCell ref="A31:A37"/>
    <mergeCell ref="AA37:AC37"/>
    <mergeCell ref="A38:A44"/>
    <mergeCell ref="AA38:AC45"/>
    <mergeCell ref="AD38:AE45"/>
    <mergeCell ref="A45:A5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5.13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104" t="s">
        <v>149</v>
      </c>
      <c r="H1" s="37"/>
      <c r="I1" s="37"/>
      <c r="J1" s="77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37"/>
      <c r="Z1" s="63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85</v>
      </c>
      <c r="U2" s="9" t="s">
        <v>86</v>
      </c>
      <c r="V2" s="9" t="s">
        <v>87</v>
      </c>
      <c r="W2" s="37"/>
      <c r="X2" s="37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85</v>
      </c>
      <c r="AF2" s="5" t="s">
        <v>86</v>
      </c>
      <c r="AG2" s="5" t="s">
        <v>87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5">
        <v>1.0</v>
      </c>
      <c r="B3" s="43">
        <v>45965.0</v>
      </c>
      <c r="C3" s="66" t="s">
        <v>150</v>
      </c>
      <c r="D3" s="12" t="s">
        <v>89</v>
      </c>
      <c r="E3" s="44" t="s">
        <v>32</v>
      </c>
      <c r="F3" s="17">
        <v>2.0</v>
      </c>
      <c r="G3" s="92" t="s">
        <v>24</v>
      </c>
      <c r="H3" s="17">
        <v>4.0</v>
      </c>
      <c r="I3" s="44" t="s">
        <v>23</v>
      </c>
      <c r="J3" s="4"/>
      <c r="K3" s="4">
        <f t="shared" ref="K3:K70" si="1">IF(F3="","",IFS(F3&gt;H3,3,F3=H3,1,H3&gt;F3,0,F3="",0))</f>
        <v>0</v>
      </c>
      <c r="L3" s="18">
        <f t="shared" ref="L3:L70" si="2">IF(H3="","",IFS(F3&lt;H3,3,F3=H3,1,H3&lt;F3,0))</f>
        <v>3</v>
      </c>
      <c r="M3" s="4"/>
      <c r="N3" s="18">
        <v>1.0</v>
      </c>
      <c r="O3" s="68" t="s">
        <v>32</v>
      </c>
      <c r="P3" s="18">
        <f t="shared" ref="P3:P17" si="3">SUMIF(E$3:E$70,O3,K$3:K$70)+SUMIF(I$3:I$70,O3,L$3:L$70)</f>
        <v>7</v>
      </c>
      <c r="Q3" s="18">
        <f t="shared" ref="Q3:Q17" si="4">COUNTIFS(E$3:E$70,O3,K$3:K$70,3)+COUNTIFS(I$3:I$70,O3,L$3:L$70,3)</f>
        <v>2</v>
      </c>
      <c r="R3" s="18">
        <f t="shared" ref="R3:R17" si="5">COUNTIFS(E$3:E$70,O3,K$3:K$70,1)+COUNTIFS(I$3:I$70,O3,L$3:L$70,1)</f>
        <v>1</v>
      </c>
      <c r="S3" s="20">
        <f t="shared" ref="S3:S17" si="6">COUNTIFS(E$3:E$70,O3,K$3:K$70,0)+COUNTIFS(I$3:I$70,O3,L$3:L$70,0)</f>
        <v>5</v>
      </c>
      <c r="T3" s="18">
        <f t="shared" ref="T3:T17" si="7">SUMIF(E$3:E$70,O3,F$3:F$62)+SUMIF(I$3:I$62,O3,H$3:H$62)</f>
        <v>20</v>
      </c>
      <c r="U3" s="20">
        <f t="shared" ref="U3:U17" si="8">SUMIF(E$3:E$70,O3,H$3:H$70)+SUMIF(I$3:I$70,O3,F$3:F$70)</f>
        <v>22</v>
      </c>
      <c r="V3" s="18">
        <f t="shared" ref="V3:V17" si="9">T3-U3</f>
        <v>-2</v>
      </c>
      <c r="W3" s="63"/>
      <c r="X3" s="63"/>
      <c r="Y3" s="22" t="s">
        <v>29</v>
      </c>
      <c r="Z3" s="70" t="str">
        <f t="array" ref="Z3:AG17">SORT(O3:V17,2,FALSE,8,FALSE,8,FALSE())</f>
        <v>Eng. Biomédica</v>
      </c>
      <c r="AA3" s="23">
        <v>24.0</v>
      </c>
      <c r="AB3" s="23">
        <v>8.0</v>
      </c>
      <c r="AC3" s="23">
        <v>0.0</v>
      </c>
      <c r="AD3" s="24">
        <v>0.0</v>
      </c>
      <c r="AE3" s="23">
        <v>55.0</v>
      </c>
      <c r="AF3" s="24">
        <v>1.0</v>
      </c>
      <c r="AG3" s="23">
        <v>54.0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3">
        <v>45965.0</v>
      </c>
      <c r="C4" s="12" t="s">
        <v>21</v>
      </c>
      <c r="D4" s="12" t="s">
        <v>89</v>
      </c>
      <c r="E4" s="44" t="s">
        <v>31</v>
      </c>
      <c r="F4" s="17">
        <v>3.0</v>
      </c>
      <c r="G4" s="92" t="s">
        <v>24</v>
      </c>
      <c r="H4" s="17">
        <v>0.0</v>
      </c>
      <c r="I4" s="44" t="s">
        <v>25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8" t="s">
        <v>31</v>
      </c>
      <c r="P4" s="18">
        <f t="shared" si="3"/>
        <v>18</v>
      </c>
      <c r="Q4" s="18">
        <f t="shared" si="4"/>
        <v>6</v>
      </c>
      <c r="R4" s="18">
        <f t="shared" si="5"/>
        <v>0</v>
      </c>
      <c r="S4" s="20">
        <f t="shared" si="6"/>
        <v>2</v>
      </c>
      <c r="T4" s="18">
        <f t="shared" si="7"/>
        <v>37</v>
      </c>
      <c r="U4" s="20">
        <f t="shared" si="8"/>
        <v>16</v>
      </c>
      <c r="V4" s="18">
        <f t="shared" si="9"/>
        <v>21</v>
      </c>
      <c r="W4" s="63"/>
      <c r="X4" s="63"/>
      <c r="Y4" s="22" t="s">
        <v>34</v>
      </c>
      <c r="Z4" s="70" t="s">
        <v>65</v>
      </c>
      <c r="AA4" s="23">
        <v>24.0</v>
      </c>
      <c r="AB4" s="23">
        <v>8.0</v>
      </c>
      <c r="AC4" s="23">
        <v>0.0</v>
      </c>
      <c r="AD4" s="24">
        <v>0.0</v>
      </c>
      <c r="AE4" s="23">
        <v>38.0</v>
      </c>
      <c r="AF4" s="24">
        <v>7.0</v>
      </c>
      <c r="AG4" s="23">
        <v>31.0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3">
        <v>45964.0</v>
      </c>
      <c r="C5" s="66" t="s">
        <v>49</v>
      </c>
      <c r="D5" s="12" t="s">
        <v>89</v>
      </c>
      <c r="E5" s="44" t="s">
        <v>66</v>
      </c>
      <c r="F5" s="17"/>
      <c r="G5" s="92" t="s">
        <v>24</v>
      </c>
      <c r="H5" s="17"/>
      <c r="I5" s="14" t="s">
        <v>43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8" t="s">
        <v>66</v>
      </c>
      <c r="P5" s="18">
        <f t="shared" si="3"/>
        <v>24</v>
      </c>
      <c r="Q5" s="18">
        <f t="shared" si="4"/>
        <v>8</v>
      </c>
      <c r="R5" s="18">
        <f t="shared" si="5"/>
        <v>0</v>
      </c>
      <c r="S5" s="20">
        <f t="shared" si="6"/>
        <v>0</v>
      </c>
      <c r="T5" s="18">
        <f t="shared" si="7"/>
        <v>55</v>
      </c>
      <c r="U5" s="20">
        <f t="shared" si="8"/>
        <v>1</v>
      </c>
      <c r="V5" s="18">
        <f t="shared" si="9"/>
        <v>54</v>
      </c>
      <c r="W5" s="63"/>
      <c r="X5" s="63"/>
      <c r="Y5" s="22" t="s">
        <v>38</v>
      </c>
      <c r="Z5" s="70" t="s">
        <v>23</v>
      </c>
      <c r="AA5" s="23">
        <v>18.0</v>
      </c>
      <c r="AB5" s="23">
        <v>6.0</v>
      </c>
      <c r="AC5" s="23">
        <v>0.0</v>
      </c>
      <c r="AD5" s="24">
        <v>2.0</v>
      </c>
      <c r="AE5" s="23">
        <v>40.0</v>
      </c>
      <c r="AF5" s="24">
        <v>14.0</v>
      </c>
      <c r="AG5" s="23">
        <v>26.0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3">
        <v>45964.0</v>
      </c>
      <c r="C6" s="66" t="s">
        <v>55</v>
      </c>
      <c r="D6" s="12" t="s">
        <v>89</v>
      </c>
      <c r="E6" s="44" t="s">
        <v>65</v>
      </c>
      <c r="F6" s="17">
        <v>4.0</v>
      </c>
      <c r="G6" s="92" t="s">
        <v>24</v>
      </c>
      <c r="H6" s="17">
        <v>1.0</v>
      </c>
      <c r="I6" s="44" t="s">
        <v>33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8" t="s">
        <v>65</v>
      </c>
      <c r="P6" s="18">
        <f t="shared" si="3"/>
        <v>24</v>
      </c>
      <c r="Q6" s="18">
        <f t="shared" si="4"/>
        <v>8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3"/>
      <c r="X6" s="63"/>
      <c r="Y6" s="52" t="s">
        <v>41</v>
      </c>
      <c r="Z6" s="70" t="s">
        <v>31</v>
      </c>
      <c r="AA6" s="23">
        <v>18.0</v>
      </c>
      <c r="AB6" s="23">
        <v>6.0</v>
      </c>
      <c r="AC6" s="23">
        <v>0.0</v>
      </c>
      <c r="AD6" s="24">
        <v>2.0</v>
      </c>
      <c r="AE6" s="23">
        <v>37.0</v>
      </c>
      <c r="AF6" s="24">
        <v>16.0</v>
      </c>
      <c r="AG6" s="23">
        <v>21.0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3">
        <v>45964.0</v>
      </c>
      <c r="C7" s="66" t="s">
        <v>151</v>
      </c>
      <c r="D7" s="12" t="s">
        <v>89</v>
      </c>
      <c r="E7" s="44" t="s">
        <v>109</v>
      </c>
      <c r="F7" s="105"/>
      <c r="G7" s="92" t="s">
        <v>24</v>
      </c>
      <c r="H7" s="105"/>
      <c r="I7" s="116" t="s">
        <v>69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8" t="s">
        <v>23</v>
      </c>
      <c r="P7" s="18">
        <f t="shared" si="3"/>
        <v>18</v>
      </c>
      <c r="Q7" s="18">
        <f t="shared" si="4"/>
        <v>6</v>
      </c>
      <c r="R7" s="18">
        <f t="shared" si="5"/>
        <v>0</v>
      </c>
      <c r="S7" s="20">
        <f t="shared" si="6"/>
        <v>2</v>
      </c>
      <c r="T7" s="18">
        <f t="shared" si="7"/>
        <v>40</v>
      </c>
      <c r="U7" s="20">
        <f t="shared" si="8"/>
        <v>14</v>
      </c>
      <c r="V7" s="18">
        <f t="shared" si="9"/>
        <v>26</v>
      </c>
      <c r="W7" s="63"/>
      <c r="X7" s="63"/>
      <c r="Y7" s="52" t="s">
        <v>44</v>
      </c>
      <c r="Z7" s="70" t="s">
        <v>25</v>
      </c>
      <c r="AA7" s="23">
        <v>12.0</v>
      </c>
      <c r="AB7" s="23">
        <v>4.0</v>
      </c>
      <c r="AC7" s="23">
        <v>0.0</v>
      </c>
      <c r="AD7" s="24">
        <v>4.0</v>
      </c>
      <c r="AE7" s="23">
        <v>31.0</v>
      </c>
      <c r="AF7" s="24">
        <v>17.0</v>
      </c>
      <c r="AG7" s="23">
        <v>14.0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3">
        <v>45965.0</v>
      </c>
      <c r="C8" s="66" t="s">
        <v>152</v>
      </c>
      <c r="D8" s="12" t="s">
        <v>89</v>
      </c>
      <c r="E8" s="44" t="s">
        <v>61</v>
      </c>
      <c r="F8" s="17">
        <v>3.0</v>
      </c>
      <c r="G8" s="92" t="s">
        <v>24</v>
      </c>
      <c r="H8" s="17">
        <v>0.0</v>
      </c>
      <c r="I8" s="44" t="s">
        <v>63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8" t="s">
        <v>25</v>
      </c>
      <c r="P8" s="18">
        <f t="shared" si="3"/>
        <v>12</v>
      </c>
      <c r="Q8" s="18">
        <f t="shared" si="4"/>
        <v>4</v>
      </c>
      <c r="R8" s="18">
        <f t="shared" si="5"/>
        <v>0</v>
      </c>
      <c r="S8" s="20">
        <f t="shared" si="6"/>
        <v>4</v>
      </c>
      <c r="T8" s="18">
        <f t="shared" si="7"/>
        <v>31</v>
      </c>
      <c r="U8" s="20">
        <f t="shared" si="8"/>
        <v>17</v>
      </c>
      <c r="V8" s="18">
        <f t="shared" si="9"/>
        <v>14</v>
      </c>
      <c r="W8" s="63"/>
      <c r="X8" s="63"/>
      <c r="Y8" s="52" t="s">
        <v>47</v>
      </c>
      <c r="Z8" s="70" t="s">
        <v>33</v>
      </c>
      <c r="AA8" s="23">
        <v>12.0</v>
      </c>
      <c r="AB8" s="23">
        <v>4.0</v>
      </c>
      <c r="AC8" s="23">
        <v>0.0</v>
      </c>
      <c r="AD8" s="24">
        <v>4.0</v>
      </c>
      <c r="AE8" s="23">
        <v>33.0</v>
      </c>
      <c r="AF8" s="24">
        <v>20.0</v>
      </c>
      <c r="AG8" s="23">
        <v>13.0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3">
        <v>45965.0</v>
      </c>
      <c r="C9" s="12" t="s">
        <v>52</v>
      </c>
      <c r="D9" s="12" t="s">
        <v>89</v>
      </c>
      <c r="E9" s="44" t="s">
        <v>107</v>
      </c>
      <c r="F9" s="17">
        <v>3.0</v>
      </c>
      <c r="G9" s="92" t="s">
        <v>24</v>
      </c>
      <c r="H9" s="17">
        <v>7.0</v>
      </c>
      <c r="I9" s="44" t="s">
        <v>36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8" t="s">
        <v>43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3"/>
      <c r="X9" s="63"/>
      <c r="Y9" s="52" t="s">
        <v>48</v>
      </c>
      <c r="Z9" s="70" t="s">
        <v>36</v>
      </c>
      <c r="AA9" s="23">
        <v>12.0</v>
      </c>
      <c r="AB9" s="23">
        <v>4.0</v>
      </c>
      <c r="AC9" s="23">
        <v>0.0</v>
      </c>
      <c r="AD9" s="24">
        <v>4.0</v>
      </c>
      <c r="AE9" s="23">
        <v>26.0</v>
      </c>
      <c r="AF9" s="24">
        <v>21.0</v>
      </c>
      <c r="AG9" s="23">
        <v>5.0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5">
        <v>2.0</v>
      </c>
      <c r="B10" s="43">
        <v>45988.0</v>
      </c>
      <c r="C10" s="12" t="s">
        <v>49</v>
      </c>
      <c r="D10" s="12" t="s">
        <v>22</v>
      </c>
      <c r="E10" s="44" t="s">
        <v>32</v>
      </c>
      <c r="F10" s="17">
        <v>0.0</v>
      </c>
      <c r="G10" s="92" t="s">
        <v>24</v>
      </c>
      <c r="H10" s="17">
        <v>1.0</v>
      </c>
      <c r="I10" s="44" t="s">
        <v>153</v>
      </c>
      <c r="J10" s="4"/>
      <c r="K10" s="4">
        <f t="shared" si="1"/>
        <v>0</v>
      </c>
      <c r="L10" s="18">
        <f t="shared" si="2"/>
        <v>3</v>
      </c>
      <c r="M10" s="4"/>
      <c r="N10" s="51">
        <v>8.0</v>
      </c>
      <c r="O10" s="68" t="s">
        <v>33</v>
      </c>
      <c r="P10" s="18">
        <f t="shared" si="3"/>
        <v>12</v>
      </c>
      <c r="Q10" s="18">
        <f t="shared" si="4"/>
        <v>4</v>
      </c>
      <c r="R10" s="18">
        <f t="shared" si="5"/>
        <v>0</v>
      </c>
      <c r="S10" s="20">
        <f t="shared" si="6"/>
        <v>4</v>
      </c>
      <c r="T10" s="18">
        <f t="shared" si="7"/>
        <v>33</v>
      </c>
      <c r="U10" s="20">
        <f t="shared" si="8"/>
        <v>20</v>
      </c>
      <c r="V10" s="18">
        <f t="shared" si="9"/>
        <v>13</v>
      </c>
      <c r="W10" s="63"/>
      <c r="X10" s="63"/>
      <c r="Y10" s="52" t="s">
        <v>144</v>
      </c>
      <c r="Z10" s="70" t="s">
        <v>107</v>
      </c>
      <c r="AA10" s="23">
        <v>11.0</v>
      </c>
      <c r="AB10" s="23">
        <v>3.0</v>
      </c>
      <c r="AC10" s="23">
        <v>2.0</v>
      </c>
      <c r="AD10" s="24">
        <v>3.0</v>
      </c>
      <c r="AE10" s="23">
        <v>24.0</v>
      </c>
      <c r="AF10" s="24">
        <v>22.0</v>
      </c>
      <c r="AG10" s="23">
        <v>2.0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3">
        <v>45988.0</v>
      </c>
      <c r="C11" s="12" t="s">
        <v>55</v>
      </c>
      <c r="D11" s="12" t="s">
        <v>22</v>
      </c>
      <c r="E11" s="44" t="s">
        <v>31</v>
      </c>
      <c r="F11" s="17">
        <v>5.0</v>
      </c>
      <c r="G11" s="92" t="s">
        <v>24</v>
      </c>
      <c r="H11" s="17">
        <v>3.0</v>
      </c>
      <c r="I11" s="44" t="s">
        <v>107</v>
      </c>
      <c r="J11" s="4"/>
      <c r="K11" s="4">
        <f t="shared" si="1"/>
        <v>3</v>
      </c>
      <c r="L11" s="18">
        <f t="shared" si="2"/>
        <v>0</v>
      </c>
      <c r="M11" s="4"/>
      <c r="N11" s="77">
        <v>9.0</v>
      </c>
      <c r="O11" s="77" t="s">
        <v>109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7</v>
      </c>
      <c r="T11" s="18">
        <f t="shared" si="7"/>
        <v>4</v>
      </c>
      <c r="U11" s="20">
        <f t="shared" si="8"/>
        <v>71</v>
      </c>
      <c r="V11" s="18">
        <f t="shared" si="9"/>
        <v>-67</v>
      </c>
      <c r="W11" s="63"/>
      <c r="X11" s="63"/>
      <c r="Y11" s="22">
        <v>9.0</v>
      </c>
      <c r="Z11" s="70" t="s">
        <v>153</v>
      </c>
      <c r="AA11" s="23">
        <v>10.0</v>
      </c>
      <c r="AB11" s="23">
        <v>3.0</v>
      </c>
      <c r="AC11" s="23">
        <v>1.0</v>
      </c>
      <c r="AD11" s="24">
        <v>4.0</v>
      </c>
      <c r="AE11" s="23">
        <v>17.0</v>
      </c>
      <c r="AF11" s="24">
        <v>35.0</v>
      </c>
      <c r="AG11" s="23">
        <v>-18.0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3"/>
      <c r="C12" s="12"/>
      <c r="D12" s="12" t="s">
        <v>22</v>
      </c>
      <c r="E12" s="44" t="s">
        <v>66</v>
      </c>
      <c r="F12" s="17">
        <v>17.0</v>
      </c>
      <c r="G12" s="92" t="s">
        <v>24</v>
      </c>
      <c r="H12" s="17">
        <v>0.0</v>
      </c>
      <c r="I12" s="44" t="s">
        <v>109</v>
      </c>
      <c r="J12" s="4"/>
      <c r="K12" s="4">
        <f t="shared" si="1"/>
        <v>3</v>
      </c>
      <c r="L12" s="18">
        <f t="shared" si="2"/>
        <v>0</v>
      </c>
      <c r="M12" s="4"/>
      <c r="N12" s="77">
        <v>10.0</v>
      </c>
      <c r="O12" s="77" t="s">
        <v>69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3"/>
      <c r="X12" s="63"/>
      <c r="Y12" s="22">
        <v>10.0</v>
      </c>
      <c r="Z12" s="70" t="s">
        <v>32</v>
      </c>
      <c r="AA12" s="23">
        <v>7.0</v>
      </c>
      <c r="AB12" s="23">
        <v>2.0</v>
      </c>
      <c r="AC12" s="23">
        <v>1.0</v>
      </c>
      <c r="AD12" s="24">
        <v>5.0</v>
      </c>
      <c r="AE12" s="23">
        <v>20.0</v>
      </c>
      <c r="AF12" s="24">
        <v>22.0</v>
      </c>
      <c r="AG12" s="23">
        <v>-2.0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3">
        <v>45988.0</v>
      </c>
      <c r="C13" s="12" t="s">
        <v>154</v>
      </c>
      <c r="D13" s="12" t="s">
        <v>22</v>
      </c>
      <c r="E13" s="44" t="s">
        <v>65</v>
      </c>
      <c r="F13" s="17">
        <v>6.0</v>
      </c>
      <c r="G13" s="92" t="s">
        <v>24</v>
      </c>
      <c r="H13" s="17">
        <v>1.0</v>
      </c>
      <c r="I13" s="44" t="s">
        <v>36</v>
      </c>
      <c r="J13" s="4"/>
      <c r="K13" s="4">
        <f t="shared" si="1"/>
        <v>3</v>
      </c>
      <c r="L13" s="18">
        <f t="shared" si="2"/>
        <v>0</v>
      </c>
      <c r="M13" s="4"/>
      <c r="N13" s="77">
        <v>11.0</v>
      </c>
      <c r="O13" s="77" t="s">
        <v>61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4</v>
      </c>
      <c r="U13" s="20">
        <f t="shared" si="8"/>
        <v>46</v>
      </c>
      <c r="V13" s="18">
        <f t="shared" si="9"/>
        <v>-42</v>
      </c>
      <c r="W13" s="63"/>
      <c r="X13" s="63"/>
      <c r="Y13" s="22">
        <v>11.0</v>
      </c>
      <c r="Z13" s="70" t="s">
        <v>61</v>
      </c>
      <c r="AA13" s="23">
        <v>3.0</v>
      </c>
      <c r="AB13" s="23">
        <v>1.0</v>
      </c>
      <c r="AC13" s="23">
        <v>0.0</v>
      </c>
      <c r="AD13" s="24">
        <v>6.0</v>
      </c>
      <c r="AE13" s="23">
        <v>4.0</v>
      </c>
      <c r="AF13" s="24">
        <v>46.0</v>
      </c>
      <c r="AG13" s="23">
        <v>-42.0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3">
        <v>45987.0</v>
      </c>
      <c r="C14" s="12" t="s">
        <v>155</v>
      </c>
      <c r="D14" s="12" t="s">
        <v>22</v>
      </c>
      <c r="E14" s="44" t="s">
        <v>23</v>
      </c>
      <c r="F14" s="105"/>
      <c r="G14" s="92" t="s">
        <v>24</v>
      </c>
      <c r="H14" s="105"/>
      <c r="I14" s="116" t="s">
        <v>69</v>
      </c>
      <c r="J14" s="4"/>
      <c r="K14" s="4" t="str">
        <f t="shared" si="1"/>
        <v/>
      </c>
      <c r="L14" s="18" t="str">
        <f t="shared" si="2"/>
        <v/>
      </c>
      <c r="M14" s="4"/>
      <c r="N14" s="77">
        <v>12.0</v>
      </c>
      <c r="O14" s="77" t="s">
        <v>63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8</v>
      </c>
      <c r="T14" s="18">
        <f t="shared" si="7"/>
        <v>3</v>
      </c>
      <c r="U14" s="20">
        <f t="shared" si="8"/>
        <v>65</v>
      </c>
      <c r="V14" s="18">
        <f t="shared" si="9"/>
        <v>-62</v>
      </c>
      <c r="W14" s="63"/>
      <c r="X14" s="63"/>
      <c r="Y14" s="22">
        <v>12.0</v>
      </c>
      <c r="Z14" s="70" t="s">
        <v>43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3">
        <v>45987.0</v>
      </c>
      <c r="C15" s="12" t="s">
        <v>156</v>
      </c>
      <c r="D15" s="12" t="s">
        <v>22</v>
      </c>
      <c r="E15" s="44" t="s">
        <v>25</v>
      </c>
      <c r="F15" s="17">
        <v>9.0</v>
      </c>
      <c r="G15" s="92" t="s">
        <v>24</v>
      </c>
      <c r="H15" s="17">
        <v>1.0</v>
      </c>
      <c r="I15" s="44" t="s">
        <v>63</v>
      </c>
      <c r="J15" s="4"/>
      <c r="K15" s="4">
        <f t="shared" si="1"/>
        <v>3</v>
      </c>
      <c r="L15" s="18">
        <f t="shared" si="2"/>
        <v>0</v>
      </c>
      <c r="M15" s="4"/>
      <c r="N15" s="106">
        <v>13.0</v>
      </c>
      <c r="O15" s="106" t="s">
        <v>107</v>
      </c>
      <c r="P15" s="18">
        <f t="shared" si="3"/>
        <v>11</v>
      </c>
      <c r="Q15" s="18">
        <f t="shared" si="4"/>
        <v>3</v>
      </c>
      <c r="R15" s="18">
        <f t="shared" si="5"/>
        <v>2</v>
      </c>
      <c r="S15" s="20">
        <f t="shared" si="6"/>
        <v>3</v>
      </c>
      <c r="T15" s="18">
        <f t="shared" si="7"/>
        <v>24</v>
      </c>
      <c r="U15" s="20">
        <f t="shared" si="8"/>
        <v>22</v>
      </c>
      <c r="V15" s="18">
        <f t="shared" si="9"/>
        <v>2</v>
      </c>
      <c r="W15" s="63"/>
      <c r="X15" s="63"/>
      <c r="Y15" s="22">
        <v>13.0</v>
      </c>
      <c r="Z15" s="70" t="s">
        <v>69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3">
        <v>45987.0</v>
      </c>
      <c r="C16" s="12" t="s">
        <v>49</v>
      </c>
      <c r="D16" s="12" t="s">
        <v>22</v>
      </c>
      <c r="E16" s="14" t="s">
        <v>43</v>
      </c>
      <c r="F16" s="17"/>
      <c r="G16" s="92" t="s">
        <v>24</v>
      </c>
      <c r="H16" s="17"/>
      <c r="I16" s="44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106">
        <v>14.0</v>
      </c>
      <c r="O16" s="106" t="s">
        <v>153</v>
      </c>
      <c r="P16" s="18">
        <f t="shared" si="3"/>
        <v>10</v>
      </c>
      <c r="Q16" s="18">
        <f t="shared" si="4"/>
        <v>3</v>
      </c>
      <c r="R16" s="18">
        <f t="shared" si="5"/>
        <v>1</v>
      </c>
      <c r="S16" s="20">
        <f t="shared" si="6"/>
        <v>4</v>
      </c>
      <c r="T16" s="18">
        <f t="shared" si="7"/>
        <v>17</v>
      </c>
      <c r="U16" s="20">
        <f t="shared" si="8"/>
        <v>35</v>
      </c>
      <c r="V16" s="18">
        <f t="shared" si="9"/>
        <v>-18</v>
      </c>
      <c r="W16" s="63"/>
      <c r="X16" s="63"/>
      <c r="Y16" s="22">
        <v>14.0</v>
      </c>
      <c r="Z16" s="70" t="s">
        <v>63</v>
      </c>
      <c r="AA16" s="23">
        <v>0.0</v>
      </c>
      <c r="AB16" s="23">
        <v>0.0</v>
      </c>
      <c r="AC16" s="23">
        <v>0.0</v>
      </c>
      <c r="AD16" s="24">
        <v>8.0</v>
      </c>
      <c r="AE16" s="23">
        <v>3.0</v>
      </c>
      <c r="AF16" s="24">
        <v>65.0</v>
      </c>
      <c r="AG16" s="23">
        <v>-62.0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5">
        <v>3.0</v>
      </c>
      <c r="B17" s="43">
        <v>46373.0</v>
      </c>
      <c r="C17" s="12" t="s">
        <v>53</v>
      </c>
      <c r="D17" s="12" t="s">
        <v>22</v>
      </c>
      <c r="E17" s="44" t="s">
        <v>63</v>
      </c>
      <c r="F17" s="17">
        <v>0.0</v>
      </c>
      <c r="G17" s="92" t="s">
        <v>24</v>
      </c>
      <c r="H17" s="17">
        <v>9.0</v>
      </c>
      <c r="I17" s="44" t="s">
        <v>32</v>
      </c>
      <c r="J17" s="4"/>
      <c r="K17" s="4">
        <f t="shared" si="1"/>
        <v>0</v>
      </c>
      <c r="L17" s="18">
        <f t="shared" si="2"/>
        <v>3</v>
      </c>
      <c r="M17" s="4"/>
      <c r="N17" s="106">
        <v>15.0</v>
      </c>
      <c r="O17" s="106" t="s">
        <v>36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4</v>
      </c>
      <c r="T17" s="18">
        <f t="shared" si="7"/>
        <v>26</v>
      </c>
      <c r="U17" s="20">
        <f t="shared" si="8"/>
        <v>21</v>
      </c>
      <c r="V17" s="18">
        <f t="shared" si="9"/>
        <v>5</v>
      </c>
      <c r="W17" s="63"/>
      <c r="X17" s="63"/>
      <c r="Y17" s="52">
        <v>15.0</v>
      </c>
      <c r="Z17" s="70" t="s">
        <v>109</v>
      </c>
      <c r="AA17" s="23">
        <v>0.0</v>
      </c>
      <c r="AB17" s="23">
        <v>0.0</v>
      </c>
      <c r="AC17" s="23">
        <v>0.0</v>
      </c>
      <c r="AD17" s="24">
        <v>7.0</v>
      </c>
      <c r="AE17" s="23">
        <v>4.0</v>
      </c>
      <c r="AF17" s="24">
        <v>71.0</v>
      </c>
      <c r="AG17" s="23">
        <v>-67.0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3">
        <v>46373.0</v>
      </c>
      <c r="C18" s="66" t="s">
        <v>121</v>
      </c>
      <c r="D18" s="12" t="s">
        <v>22</v>
      </c>
      <c r="E18" s="44" t="s">
        <v>153</v>
      </c>
      <c r="F18" s="17">
        <v>0.0</v>
      </c>
      <c r="G18" s="92" t="s">
        <v>24</v>
      </c>
      <c r="H18" s="17">
        <v>6.0</v>
      </c>
      <c r="I18" s="44" t="s">
        <v>31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35" t="s">
        <v>157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3">
        <v>46373.0</v>
      </c>
      <c r="C19" s="66" t="s">
        <v>158</v>
      </c>
      <c r="D19" s="12" t="s">
        <v>22</v>
      </c>
      <c r="E19" s="14" t="s">
        <v>69</v>
      </c>
      <c r="F19" s="17"/>
      <c r="G19" s="92" t="s">
        <v>24</v>
      </c>
      <c r="H19" s="17"/>
      <c r="I19" s="44" t="s">
        <v>66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3">
        <v>46373.0</v>
      </c>
      <c r="C20" s="66" t="s">
        <v>51</v>
      </c>
      <c r="D20" s="12" t="s">
        <v>22</v>
      </c>
      <c r="E20" s="44" t="s">
        <v>109</v>
      </c>
      <c r="F20" s="17">
        <v>0.0</v>
      </c>
      <c r="G20" s="92" t="s">
        <v>24</v>
      </c>
      <c r="H20" s="17">
        <v>16.0</v>
      </c>
      <c r="I20" s="44" t="s">
        <v>65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3">
        <v>46373.0</v>
      </c>
      <c r="C21" s="66" t="s">
        <v>159</v>
      </c>
      <c r="D21" s="12" t="s">
        <v>22</v>
      </c>
      <c r="E21" s="44" t="s">
        <v>33</v>
      </c>
      <c r="F21" s="105">
        <v>0.0</v>
      </c>
      <c r="G21" s="92" t="s">
        <v>24</v>
      </c>
      <c r="H21" s="105">
        <v>8.0</v>
      </c>
      <c r="I21" s="44" t="s">
        <v>23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3">
        <v>46373.0</v>
      </c>
      <c r="C22" s="66" t="s">
        <v>160</v>
      </c>
      <c r="D22" s="12" t="s">
        <v>22</v>
      </c>
      <c r="E22" s="44" t="s">
        <v>61</v>
      </c>
      <c r="F22" s="17">
        <v>0.0</v>
      </c>
      <c r="G22" s="92" t="s">
        <v>24</v>
      </c>
      <c r="H22" s="17">
        <v>11.0</v>
      </c>
      <c r="I22" s="44" t="s">
        <v>25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3">
        <v>46373.0</v>
      </c>
      <c r="C23" s="66" t="s">
        <v>30</v>
      </c>
      <c r="D23" s="12" t="s">
        <v>22</v>
      </c>
      <c r="E23" s="44" t="s">
        <v>107</v>
      </c>
      <c r="F23" s="17"/>
      <c r="G23" s="92" t="s">
        <v>24</v>
      </c>
      <c r="H23" s="17"/>
      <c r="I23" s="14" t="s">
        <v>43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5">
        <v>4.0</v>
      </c>
      <c r="B24" s="43">
        <v>46062.0</v>
      </c>
      <c r="C24" s="12" t="s">
        <v>151</v>
      </c>
      <c r="D24" s="12" t="s">
        <v>89</v>
      </c>
      <c r="E24" s="44" t="s">
        <v>36</v>
      </c>
      <c r="F24" s="17">
        <v>3.0</v>
      </c>
      <c r="G24" s="92" t="s">
        <v>24</v>
      </c>
      <c r="H24" s="17">
        <v>4.0</v>
      </c>
      <c r="I24" s="44" t="s">
        <v>32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3">
        <v>46062.0</v>
      </c>
      <c r="C25" s="12" t="s">
        <v>154</v>
      </c>
      <c r="D25" s="12" t="s">
        <v>89</v>
      </c>
      <c r="E25" s="44" t="s">
        <v>63</v>
      </c>
      <c r="F25" s="17">
        <v>2.0</v>
      </c>
      <c r="G25" s="92" t="s">
        <v>24</v>
      </c>
      <c r="H25" s="17">
        <v>11.0</v>
      </c>
      <c r="I25" s="44" t="s">
        <v>153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3">
        <v>46062.0</v>
      </c>
      <c r="C26" s="12" t="s">
        <v>35</v>
      </c>
      <c r="D26" s="12" t="s">
        <v>89</v>
      </c>
      <c r="E26" s="44" t="s">
        <v>65</v>
      </c>
      <c r="F26" s="17">
        <v>3.0</v>
      </c>
      <c r="G26" s="92" t="s">
        <v>24</v>
      </c>
      <c r="H26" s="17">
        <v>0.0</v>
      </c>
      <c r="I26" s="44" t="s">
        <v>107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91"/>
      <c r="C27" s="92"/>
      <c r="D27" s="92"/>
      <c r="E27" s="44" t="s">
        <v>61</v>
      </c>
      <c r="F27" s="92"/>
      <c r="G27" s="92" t="s">
        <v>24</v>
      </c>
      <c r="H27" s="92"/>
      <c r="I27" s="117" t="s">
        <v>69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43">
        <v>46149.0</v>
      </c>
      <c r="C28" s="12" t="s">
        <v>51</v>
      </c>
      <c r="D28" s="12" t="s">
        <v>89</v>
      </c>
      <c r="E28" s="44" t="s">
        <v>109</v>
      </c>
      <c r="F28" s="105">
        <v>1.0</v>
      </c>
      <c r="G28" s="92" t="s">
        <v>24</v>
      </c>
      <c r="H28" s="105">
        <v>5.0</v>
      </c>
      <c r="I28" s="44" t="s">
        <v>25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5">
        <v>5.0</v>
      </c>
      <c r="B29" s="43">
        <v>46077.0</v>
      </c>
      <c r="C29" s="12" t="s">
        <v>35</v>
      </c>
      <c r="D29" s="12" t="s">
        <v>22</v>
      </c>
      <c r="E29" s="44" t="s">
        <v>32</v>
      </c>
      <c r="F29" s="17">
        <v>1.0</v>
      </c>
      <c r="G29" s="92" t="s">
        <v>24</v>
      </c>
      <c r="H29" s="17">
        <v>2.0</v>
      </c>
      <c r="I29" s="44" t="s">
        <v>65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3">
        <v>46077.0</v>
      </c>
      <c r="C30" s="12" t="s">
        <v>55</v>
      </c>
      <c r="D30" s="12" t="s">
        <v>22</v>
      </c>
      <c r="E30" s="44" t="s">
        <v>31</v>
      </c>
      <c r="F30" s="17">
        <v>1.0</v>
      </c>
      <c r="G30" s="92" t="s">
        <v>24</v>
      </c>
      <c r="H30" s="17">
        <v>8.0</v>
      </c>
      <c r="I30" s="44" t="s">
        <v>66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3">
        <v>46077.0</v>
      </c>
      <c r="C31" s="12" t="s">
        <v>151</v>
      </c>
      <c r="D31" s="12" t="s">
        <v>22</v>
      </c>
      <c r="E31" s="44" t="s">
        <v>23</v>
      </c>
      <c r="F31" s="17">
        <v>10.0</v>
      </c>
      <c r="G31" s="92" t="s">
        <v>24</v>
      </c>
      <c r="H31" s="17">
        <v>1.0</v>
      </c>
      <c r="I31" s="44" t="s">
        <v>109</v>
      </c>
      <c r="J31" s="63"/>
      <c r="K31" s="4">
        <f t="shared" si="1"/>
        <v>3</v>
      </c>
      <c r="L31" s="18">
        <f t="shared" si="2"/>
        <v>0</v>
      </c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3">
        <v>46077.0</v>
      </c>
      <c r="C32" s="12" t="s">
        <v>154</v>
      </c>
      <c r="D32" s="12" t="s">
        <v>22</v>
      </c>
      <c r="E32" s="44" t="s">
        <v>25</v>
      </c>
      <c r="F32" s="17"/>
      <c r="G32" s="92" t="s">
        <v>24</v>
      </c>
      <c r="H32" s="17"/>
      <c r="I32" s="14" t="s">
        <v>43</v>
      </c>
      <c r="J32" s="63"/>
      <c r="K32" s="4" t="str">
        <f t="shared" si="1"/>
        <v/>
      </c>
      <c r="L32" s="18" t="str">
        <f t="shared" si="2"/>
        <v/>
      </c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91"/>
      <c r="C33" s="92"/>
      <c r="D33" s="92"/>
      <c r="E33" s="14" t="s">
        <v>69</v>
      </c>
      <c r="F33" s="17"/>
      <c r="G33" s="92" t="s">
        <v>24</v>
      </c>
      <c r="H33" s="17"/>
      <c r="I33" s="44" t="s">
        <v>107</v>
      </c>
      <c r="J33" s="63"/>
      <c r="K33" s="4" t="str">
        <f t="shared" si="1"/>
        <v/>
      </c>
      <c r="L33" s="18" t="str">
        <f t="shared" si="2"/>
        <v/>
      </c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3">
        <v>46149.0</v>
      </c>
      <c r="C34" s="12" t="s">
        <v>159</v>
      </c>
      <c r="D34" s="12" t="s">
        <v>89</v>
      </c>
      <c r="E34" s="44" t="s">
        <v>33</v>
      </c>
      <c r="F34" s="17">
        <v>6.0</v>
      </c>
      <c r="G34" s="92" t="s">
        <v>24</v>
      </c>
      <c r="H34" s="17">
        <v>0.0</v>
      </c>
      <c r="I34" s="44" t="s">
        <v>61</v>
      </c>
      <c r="J34" s="63"/>
      <c r="K34" s="4">
        <f t="shared" si="1"/>
        <v>3</v>
      </c>
      <c r="L34" s="18">
        <f t="shared" si="2"/>
        <v>0</v>
      </c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3">
        <v>46077.0</v>
      </c>
      <c r="C35" s="12" t="s">
        <v>49</v>
      </c>
      <c r="D35" s="12" t="s">
        <v>22</v>
      </c>
      <c r="E35" s="44" t="s">
        <v>36</v>
      </c>
      <c r="F35" s="105">
        <v>6.0</v>
      </c>
      <c r="G35" s="92" t="s">
        <v>24</v>
      </c>
      <c r="H35" s="105">
        <v>0.0</v>
      </c>
      <c r="I35" s="44" t="s">
        <v>153</v>
      </c>
      <c r="J35" s="63"/>
      <c r="K35" s="4">
        <f t="shared" si="1"/>
        <v>3</v>
      </c>
      <c r="L35" s="18">
        <f t="shared" si="2"/>
        <v>0</v>
      </c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5">
        <v>6.0</v>
      </c>
      <c r="B36" s="43">
        <v>46085.0</v>
      </c>
      <c r="C36" s="12" t="s">
        <v>55</v>
      </c>
      <c r="D36" s="12" t="s">
        <v>89</v>
      </c>
      <c r="E36" s="44" t="s">
        <v>107</v>
      </c>
      <c r="F36" s="17">
        <v>3.0</v>
      </c>
      <c r="G36" s="92" t="s">
        <v>24</v>
      </c>
      <c r="H36" s="17">
        <v>3.0</v>
      </c>
      <c r="I36" s="44" t="s">
        <v>32</v>
      </c>
      <c r="J36" s="63"/>
      <c r="K36" s="4">
        <f t="shared" si="1"/>
        <v>1</v>
      </c>
      <c r="L36" s="18">
        <f t="shared" si="2"/>
        <v>1</v>
      </c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37"/>
      <c r="Z36" s="63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43">
        <v>46149.0</v>
      </c>
      <c r="C37" s="12" t="s">
        <v>160</v>
      </c>
      <c r="D37" s="12" t="s">
        <v>89</v>
      </c>
      <c r="E37" s="44" t="s">
        <v>63</v>
      </c>
      <c r="F37" s="17">
        <v>0.0</v>
      </c>
      <c r="G37" s="92" t="s">
        <v>24</v>
      </c>
      <c r="H37" s="17">
        <v>11.0</v>
      </c>
      <c r="I37" s="44" t="s">
        <v>31</v>
      </c>
      <c r="J37" s="63"/>
      <c r="K37" s="4">
        <f t="shared" si="1"/>
        <v>0</v>
      </c>
      <c r="L37" s="18">
        <f t="shared" si="2"/>
        <v>3</v>
      </c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37"/>
      <c r="Z37" s="63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43">
        <v>46155.0</v>
      </c>
      <c r="C38" s="12" t="s">
        <v>49</v>
      </c>
      <c r="D38" s="12" t="s">
        <v>22</v>
      </c>
      <c r="E38" s="44" t="s">
        <v>61</v>
      </c>
      <c r="F38" s="17">
        <v>0.0</v>
      </c>
      <c r="G38" s="92" t="s">
        <v>24</v>
      </c>
      <c r="H38" s="17">
        <v>8.0</v>
      </c>
      <c r="I38" s="44" t="s">
        <v>66</v>
      </c>
      <c r="J38" s="63"/>
      <c r="K38" s="4">
        <f t="shared" si="1"/>
        <v>0</v>
      </c>
      <c r="L38" s="18">
        <f t="shared" si="2"/>
        <v>3</v>
      </c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37"/>
      <c r="Z38" s="63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15"/>
      <c r="C39" s="98"/>
      <c r="D39" s="98"/>
      <c r="E39" s="14" t="s">
        <v>69</v>
      </c>
      <c r="F39" s="92"/>
      <c r="G39" s="92" t="s">
        <v>24</v>
      </c>
      <c r="H39" s="92"/>
      <c r="I39" s="44" t="s">
        <v>65</v>
      </c>
      <c r="J39" s="63"/>
      <c r="K39" s="4" t="str">
        <f t="shared" si="1"/>
        <v/>
      </c>
      <c r="L39" s="18" t="str">
        <f t="shared" si="2"/>
        <v/>
      </c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37"/>
      <c r="Z39" s="63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3">
        <v>46085.0</v>
      </c>
      <c r="C40" s="12" t="s">
        <v>151</v>
      </c>
      <c r="D40" s="12" t="s">
        <v>89</v>
      </c>
      <c r="E40" s="44" t="s">
        <v>25</v>
      </c>
      <c r="F40" s="17">
        <v>2.0</v>
      </c>
      <c r="G40" s="92" t="s">
        <v>24</v>
      </c>
      <c r="H40" s="17">
        <v>5.0</v>
      </c>
      <c r="I40" s="44" t="s">
        <v>23</v>
      </c>
      <c r="J40" s="63"/>
      <c r="K40" s="4">
        <f t="shared" si="1"/>
        <v>0</v>
      </c>
      <c r="L40" s="18">
        <f t="shared" si="2"/>
        <v>3</v>
      </c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37"/>
      <c r="Z40" s="63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3">
        <v>46085.0</v>
      </c>
      <c r="C41" s="12" t="s">
        <v>154</v>
      </c>
      <c r="D41" s="12" t="s">
        <v>89</v>
      </c>
      <c r="E41" s="44" t="s">
        <v>33</v>
      </c>
      <c r="F41" s="17">
        <v>0.0</v>
      </c>
      <c r="G41" s="92" t="s">
        <v>24</v>
      </c>
      <c r="H41" s="17">
        <v>4.0</v>
      </c>
      <c r="I41" s="44" t="s">
        <v>36</v>
      </c>
      <c r="J41" s="63"/>
      <c r="K41" s="4">
        <f t="shared" si="1"/>
        <v>0</v>
      </c>
      <c r="L41" s="18">
        <f t="shared" si="2"/>
        <v>3</v>
      </c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37"/>
      <c r="Z41" s="63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3">
        <v>46085.0</v>
      </c>
      <c r="C42" s="12" t="s">
        <v>35</v>
      </c>
      <c r="D42" s="12" t="s">
        <v>89</v>
      </c>
      <c r="E42" s="44" t="s">
        <v>153</v>
      </c>
      <c r="F42" s="105"/>
      <c r="G42" s="92" t="s">
        <v>24</v>
      </c>
      <c r="H42" s="105"/>
      <c r="I42" s="14" t="s">
        <v>43</v>
      </c>
      <c r="J42" s="63"/>
      <c r="K42" s="4" t="str">
        <f t="shared" si="1"/>
        <v/>
      </c>
      <c r="L42" s="18" t="str">
        <f t="shared" si="2"/>
        <v/>
      </c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37"/>
      <c r="Z42" s="63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5">
        <v>7.0</v>
      </c>
      <c r="B43" s="43">
        <v>46091.0</v>
      </c>
      <c r="C43" s="12" t="s">
        <v>55</v>
      </c>
      <c r="D43" s="12" t="s">
        <v>89</v>
      </c>
      <c r="E43" s="44" t="s">
        <v>32</v>
      </c>
      <c r="F43" s="17">
        <v>1.0</v>
      </c>
      <c r="G43" s="92" t="s">
        <v>24</v>
      </c>
      <c r="H43" s="17">
        <v>6.0</v>
      </c>
      <c r="I43" s="44" t="s">
        <v>33</v>
      </c>
      <c r="J43" s="63"/>
      <c r="K43" s="4">
        <f t="shared" si="1"/>
        <v>0</v>
      </c>
      <c r="L43" s="18">
        <f t="shared" si="2"/>
        <v>3</v>
      </c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37"/>
      <c r="Z43" s="63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3">
        <v>46091.0</v>
      </c>
      <c r="C44" s="12" t="s">
        <v>151</v>
      </c>
      <c r="D44" s="12" t="s">
        <v>89</v>
      </c>
      <c r="E44" s="44" t="s">
        <v>31</v>
      </c>
      <c r="F44" s="17"/>
      <c r="G44" s="92" t="s">
        <v>24</v>
      </c>
      <c r="H44" s="17"/>
      <c r="I44" s="14" t="s">
        <v>43</v>
      </c>
      <c r="J44" s="63"/>
      <c r="K44" s="4" t="str">
        <f t="shared" si="1"/>
        <v/>
      </c>
      <c r="L44" s="18" t="str">
        <f t="shared" si="2"/>
        <v/>
      </c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37"/>
      <c r="Z44" s="63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3">
        <v>46111.0</v>
      </c>
      <c r="C45" s="12" t="s">
        <v>151</v>
      </c>
      <c r="D45" s="12" t="s">
        <v>89</v>
      </c>
      <c r="E45" s="44" t="s">
        <v>66</v>
      </c>
      <c r="F45" s="17">
        <v>3.0</v>
      </c>
      <c r="G45" s="92" t="s">
        <v>24</v>
      </c>
      <c r="H45" s="17">
        <v>0.0</v>
      </c>
      <c r="I45" s="44" t="s">
        <v>25</v>
      </c>
      <c r="J45" s="63"/>
      <c r="K45" s="4">
        <f t="shared" si="1"/>
        <v>3</v>
      </c>
      <c r="L45" s="18">
        <f t="shared" si="2"/>
        <v>0</v>
      </c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37"/>
      <c r="Z45" s="63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3">
        <v>46105.0</v>
      </c>
      <c r="C46" s="12" t="s">
        <v>154</v>
      </c>
      <c r="D46" s="12" t="s">
        <v>89</v>
      </c>
      <c r="E46" s="44" t="s">
        <v>65</v>
      </c>
      <c r="F46" s="17">
        <v>3.0</v>
      </c>
      <c r="G46" s="92" t="s">
        <v>24</v>
      </c>
      <c r="H46" s="17">
        <v>2.0</v>
      </c>
      <c r="I46" s="44" t="s">
        <v>23</v>
      </c>
      <c r="J46" s="63"/>
      <c r="K46" s="4">
        <f t="shared" si="1"/>
        <v>3</v>
      </c>
      <c r="L46" s="18">
        <f t="shared" si="2"/>
        <v>0</v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37"/>
      <c r="Z46" s="63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3">
        <v>46091.0</v>
      </c>
      <c r="C47" s="12" t="s">
        <v>154</v>
      </c>
      <c r="D47" s="12" t="s">
        <v>89</v>
      </c>
      <c r="E47" s="44" t="s">
        <v>109</v>
      </c>
      <c r="F47" s="17">
        <v>1.0</v>
      </c>
      <c r="G47" s="92" t="s">
        <v>24</v>
      </c>
      <c r="H47" s="17">
        <v>2.0</v>
      </c>
      <c r="I47" s="44" t="s">
        <v>153</v>
      </c>
      <c r="J47" s="63"/>
      <c r="K47" s="4">
        <f t="shared" si="1"/>
        <v>0</v>
      </c>
      <c r="L47" s="18">
        <f t="shared" si="2"/>
        <v>3</v>
      </c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37"/>
      <c r="Z47" s="63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3">
        <v>46091.0</v>
      </c>
      <c r="C48" s="12" t="s">
        <v>35</v>
      </c>
      <c r="D48" s="12" t="s">
        <v>89</v>
      </c>
      <c r="E48" s="44" t="s">
        <v>61</v>
      </c>
      <c r="F48" s="17">
        <v>1.0</v>
      </c>
      <c r="G48" s="92" t="s">
        <v>24</v>
      </c>
      <c r="H48" s="17">
        <v>5.0</v>
      </c>
      <c r="I48" s="44" t="s">
        <v>36</v>
      </c>
      <c r="J48" s="63"/>
      <c r="K48" s="4">
        <f t="shared" si="1"/>
        <v>0</v>
      </c>
      <c r="L48" s="18">
        <f t="shared" si="2"/>
        <v>3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37"/>
      <c r="Z48" s="63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91"/>
      <c r="C49" s="92"/>
      <c r="D49" s="92"/>
      <c r="E49" s="118" t="s">
        <v>69</v>
      </c>
      <c r="F49" s="28"/>
      <c r="G49" s="92" t="s">
        <v>24</v>
      </c>
      <c r="H49" s="28"/>
      <c r="I49" s="44" t="s">
        <v>63</v>
      </c>
      <c r="J49" s="63"/>
      <c r="K49" s="4" t="str">
        <f t="shared" si="1"/>
        <v/>
      </c>
      <c r="L49" s="18" t="str">
        <f t="shared" si="2"/>
        <v/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37"/>
      <c r="Z49" s="63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5">
        <v>8.0</v>
      </c>
      <c r="B50" s="43">
        <v>46105.0</v>
      </c>
      <c r="C50" s="12" t="s">
        <v>151</v>
      </c>
      <c r="D50" s="12" t="s">
        <v>89</v>
      </c>
      <c r="E50" s="44" t="s">
        <v>66</v>
      </c>
      <c r="F50" s="17">
        <v>3.0</v>
      </c>
      <c r="G50" s="92" t="s">
        <v>24</v>
      </c>
      <c r="H50" s="17">
        <v>0.0</v>
      </c>
      <c r="I50" s="44" t="s">
        <v>32</v>
      </c>
      <c r="J50" s="63"/>
      <c r="K50" s="4">
        <f t="shared" si="1"/>
        <v>3</v>
      </c>
      <c r="L50" s="18">
        <f t="shared" si="2"/>
        <v>0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37"/>
      <c r="Z50" s="63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3">
        <v>46111.0</v>
      </c>
      <c r="C51" s="12" t="s">
        <v>151</v>
      </c>
      <c r="D51" s="12" t="s">
        <v>89</v>
      </c>
      <c r="E51" s="44" t="s">
        <v>65</v>
      </c>
      <c r="F51" s="17">
        <v>4.0</v>
      </c>
      <c r="G51" s="92" t="s">
        <v>24</v>
      </c>
      <c r="H51" s="17">
        <v>2.0</v>
      </c>
      <c r="I51" s="44" t="s">
        <v>31</v>
      </c>
      <c r="J51" s="63"/>
      <c r="K51" s="4">
        <f t="shared" si="1"/>
        <v>3</v>
      </c>
      <c r="L51" s="18">
        <f t="shared" si="2"/>
        <v>0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37"/>
      <c r="Z51" s="63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3">
        <v>46111.0</v>
      </c>
      <c r="C52" s="12" t="s">
        <v>154</v>
      </c>
      <c r="D52" s="12" t="s">
        <v>89</v>
      </c>
      <c r="E52" s="44" t="s">
        <v>153</v>
      </c>
      <c r="F52" s="17">
        <v>2.0</v>
      </c>
      <c r="G52" s="92" t="s">
        <v>24</v>
      </c>
      <c r="H52" s="17">
        <v>8.0</v>
      </c>
      <c r="I52" s="44" t="s">
        <v>23</v>
      </c>
      <c r="J52" s="63"/>
      <c r="K52" s="4">
        <f t="shared" si="1"/>
        <v>0</v>
      </c>
      <c r="L52" s="18">
        <f t="shared" si="2"/>
        <v>3</v>
      </c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37"/>
      <c r="Z52" s="63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3">
        <v>46105.0</v>
      </c>
      <c r="C53" s="12" t="s">
        <v>55</v>
      </c>
      <c r="D53" s="12" t="s">
        <v>89</v>
      </c>
      <c r="E53" s="44" t="s">
        <v>107</v>
      </c>
      <c r="F53" s="17">
        <v>3.0</v>
      </c>
      <c r="G53" s="92" t="s">
        <v>24</v>
      </c>
      <c r="H53" s="17">
        <v>2.0</v>
      </c>
      <c r="I53" s="44" t="s">
        <v>25</v>
      </c>
      <c r="J53" s="63"/>
      <c r="K53" s="4">
        <f t="shared" si="1"/>
        <v>3</v>
      </c>
      <c r="L53" s="18">
        <f t="shared" si="2"/>
        <v>0</v>
      </c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37"/>
      <c r="Z53" s="63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3">
        <v>46105.0</v>
      </c>
      <c r="C54" s="12" t="s">
        <v>35</v>
      </c>
      <c r="D54" s="12" t="s">
        <v>89</v>
      </c>
      <c r="E54" s="44" t="s">
        <v>36</v>
      </c>
      <c r="F54" s="17"/>
      <c r="G54" s="92" t="s">
        <v>24</v>
      </c>
      <c r="H54" s="17"/>
      <c r="I54" s="14" t="s">
        <v>43</v>
      </c>
      <c r="J54" s="63"/>
      <c r="K54" s="4" t="str">
        <f t="shared" si="1"/>
        <v/>
      </c>
      <c r="L54" s="18" t="str">
        <f t="shared" si="2"/>
        <v/>
      </c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37"/>
      <c r="Z54" s="63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3">
        <v>46111.0</v>
      </c>
      <c r="C55" s="12" t="s">
        <v>35</v>
      </c>
      <c r="D55" s="12" t="s">
        <v>89</v>
      </c>
      <c r="E55" s="44" t="s">
        <v>63</v>
      </c>
      <c r="F55" s="17">
        <v>0.0</v>
      </c>
      <c r="G55" s="92" t="s">
        <v>24</v>
      </c>
      <c r="H55" s="17">
        <v>8.0</v>
      </c>
      <c r="I55" s="44" t="s">
        <v>33</v>
      </c>
      <c r="J55" s="63"/>
      <c r="K55" s="4">
        <f t="shared" si="1"/>
        <v>0</v>
      </c>
      <c r="L55" s="18">
        <f t="shared" si="2"/>
        <v>3</v>
      </c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37"/>
      <c r="Z55" s="63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91"/>
      <c r="C56" s="92"/>
      <c r="D56" s="92"/>
      <c r="E56" s="44" t="s">
        <v>61</v>
      </c>
      <c r="F56" s="105"/>
      <c r="G56" s="92" t="s">
        <v>24</v>
      </c>
      <c r="H56" s="105"/>
      <c r="I56" s="44" t="s">
        <v>109</v>
      </c>
      <c r="J56" s="63"/>
      <c r="K56" s="4" t="str">
        <f t="shared" si="1"/>
        <v/>
      </c>
      <c r="L56" s="18" t="str">
        <f t="shared" si="2"/>
        <v/>
      </c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37"/>
      <c r="Z56" s="63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5">
        <v>9.0</v>
      </c>
      <c r="B57" s="43">
        <v>46133.0</v>
      </c>
      <c r="C57" s="66" t="s">
        <v>154</v>
      </c>
      <c r="D57" s="12" t="s">
        <v>22</v>
      </c>
      <c r="E57" s="44" t="s">
        <v>66</v>
      </c>
      <c r="F57" s="17">
        <v>5.0</v>
      </c>
      <c r="G57" s="92" t="s">
        <v>24</v>
      </c>
      <c r="H57" s="17">
        <v>0.0</v>
      </c>
      <c r="I57" s="44" t="s">
        <v>36</v>
      </c>
      <c r="J57" s="63"/>
      <c r="K57" s="4">
        <f t="shared" si="1"/>
        <v>3</v>
      </c>
      <c r="L57" s="18">
        <f t="shared" si="2"/>
        <v>0</v>
      </c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37"/>
      <c r="Z57" s="63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3">
        <v>46133.0</v>
      </c>
      <c r="C58" s="66" t="s">
        <v>55</v>
      </c>
      <c r="D58" s="12" t="s">
        <v>22</v>
      </c>
      <c r="E58" s="44" t="s">
        <v>31</v>
      </c>
      <c r="F58" s="17">
        <v>9.0</v>
      </c>
      <c r="G58" s="92" t="s">
        <v>24</v>
      </c>
      <c r="H58" s="17">
        <v>0.0</v>
      </c>
      <c r="I58" s="44" t="s">
        <v>61</v>
      </c>
      <c r="J58" s="63"/>
      <c r="K58" s="4">
        <f t="shared" si="1"/>
        <v>3</v>
      </c>
      <c r="L58" s="18">
        <f t="shared" si="2"/>
        <v>0</v>
      </c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37"/>
      <c r="Z58" s="63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3">
        <v>46133.0</v>
      </c>
      <c r="C59" s="66" t="s">
        <v>151</v>
      </c>
      <c r="D59" s="12" t="s">
        <v>22</v>
      </c>
      <c r="E59" s="44" t="s">
        <v>153</v>
      </c>
      <c r="F59" s="17">
        <v>1.0</v>
      </c>
      <c r="G59" s="92" t="s">
        <v>24</v>
      </c>
      <c r="H59" s="17">
        <v>1.0</v>
      </c>
      <c r="I59" s="44" t="s">
        <v>107</v>
      </c>
      <c r="J59" s="63"/>
      <c r="K59" s="4">
        <f t="shared" si="1"/>
        <v>1</v>
      </c>
      <c r="L59" s="18">
        <f t="shared" si="2"/>
        <v>1</v>
      </c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37"/>
      <c r="Z59" s="63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15"/>
      <c r="C60" s="98"/>
      <c r="D60" s="98"/>
      <c r="E60" s="14" t="s">
        <v>43</v>
      </c>
      <c r="F60" s="92"/>
      <c r="G60" s="92" t="s">
        <v>24</v>
      </c>
      <c r="H60" s="92"/>
      <c r="I60" s="116" t="s">
        <v>69</v>
      </c>
      <c r="J60" s="63"/>
      <c r="K60" s="4" t="str">
        <f t="shared" si="1"/>
        <v/>
      </c>
      <c r="L60" s="18" t="str">
        <f t="shared" si="2"/>
        <v/>
      </c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37"/>
      <c r="Z60" s="63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3">
        <v>46133.0</v>
      </c>
      <c r="C61" s="12" t="s">
        <v>49</v>
      </c>
      <c r="D61" s="12" t="s">
        <v>22</v>
      </c>
      <c r="E61" s="44" t="s">
        <v>109</v>
      </c>
      <c r="F61" s="17">
        <v>0.0</v>
      </c>
      <c r="G61" s="92" t="s">
        <v>24</v>
      </c>
      <c r="H61" s="17">
        <v>11.0</v>
      </c>
      <c r="I61" s="44" t="s">
        <v>33</v>
      </c>
      <c r="J61" s="63"/>
      <c r="K61" s="4">
        <f t="shared" si="1"/>
        <v>0</v>
      </c>
      <c r="L61" s="18">
        <f t="shared" si="2"/>
        <v>3</v>
      </c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37"/>
      <c r="Z61" s="63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3">
        <v>46133.0</v>
      </c>
      <c r="C62" s="66" t="s">
        <v>35</v>
      </c>
      <c r="D62" s="12" t="s">
        <v>22</v>
      </c>
      <c r="E62" s="44" t="s">
        <v>23</v>
      </c>
      <c r="F62" s="17">
        <v>3.0</v>
      </c>
      <c r="G62" s="92" t="s">
        <v>24</v>
      </c>
      <c r="H62" s="17">
        <v>0.0</v>
      </c>
      <c r="I62" s="44" t="s">
        <v>63</v>
      </c>
      <c r="J62" s="63"/>
      <c r="K62" s="4">
        <f t="shared" si="1"/>
        <v>3</v>
      </c>
      <c r="L62" s="18">
        <f t="shared" si="2"/>
        <v>0</v>
      </c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37"/>
      <c r="Z62" s="63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5">
        <v>10.0</v>
      </c>
      <c r="B63" s="43">
        <v>46146.0</v>
      </c>
      <c r="C63" s="66" t="s">
        <v>35</v>
      </c>
      <c r="D63" s="12" t="s">
        <v>89</v>
      </c>
      <c r="E63" s="44" t="s">
        <v>109</v>
      </c>
      <c r="F63" s="17">
        <v>1.0</v>
      </c>
      <c r="G63" s="92" t="s">
        <v>24</v>
      </c>
      <c r="H63" s="17">
        <v>10.0</v>
      </c>
      <c r="I63" s="44" t="s">
        <v>107</v>
      </c>
      <c r="J63" s="63"/>
      <c r="K63" s="4">
        <f t="shared" si="1"/>
        <v>0</v>
      </c>
      <c r="L63" s="18">
        <f t="shared" si="2"/>
        <v>3</v>
      </c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37"/>
      <c r="Z63" s="63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43">
        <v>46146.0</v>
      </c>
      <c r="C64" s="12" t="s">
        <v>151</v>
      </c>
      <c r="D64" s="12" t="s">
        <v>89</v>
      </c>
      <c r="E64" s="44" t="s">
        <v>23</v>
      </c>
      <c r="F64" s="17">
        <v>0.0</v>
      </c>
      <c r="G64" s="92" t="s">
        <v>24</v>
      </c>
      <c r="H64" s="17">
        <v>4.0</v>
      </c>
      <c r="I64" s="44" t="s">
        <v>66</v>
      </c>
      <c r="J64" s="63"/>
      <c r="K64" s="4">
        <f t="shared" si="1"/>
        <v>0</v>
      </c>
      <c r="L64" s="18">
        <f t="shared" si="2"/>
        <v>3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37"/>
      <c r="Z64" s="63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43">
        <v>46146.0</v>
      </c>
      <c r="C65" s="12" t="s">
        <v>154</v>
      </c>
      <c r="D65" s="12" t="s">
        <v>89</v>
      </c>
      <c r="E65" s="44" t="s">
        <v>61</v>
      </c>
      <c r="F65" s="17">
        <v>0.0</v>
      </c>
      <c r="G65" s="92" t="s">
        <v>24</v>
      </c>
      <c r="H65" s="17">
        <v>7.0</v>
      </c>
      <c r="I65" s="44" t="s">
        <v>65</v>
      </c>
      <c r="J65" s="63"/>
      <c r="K65" s="4">
        <f t="shared" si="1"/>
        <v>0</v>
      </c>
      <c r="L65" s="18">
        <f t="shared" si="2"/>
        <v>3</v>
      </c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37"/>
      <c r="Z65" s="63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91"/>
      <c r="C66" s="92"/>
      <c r="D66" s="92"/>
      <c r="E66" s="44" t="s">
        <v>63</v>
      </c>
      <c r="F66" s="92"/>
      <c r="G66" s="92" t="s">
        <v>24</v>
      </c>
      <c r="H66" s="92"/>
      <c r="I66" s="14" t="s">
        <v>43</v>
      </c>
      <c r="J66" s="63"/>
      <c r="K66" s="4" t="str">
        <f t="shared" si="1"/>
        <v/>
      </c>
      <c r="L66" s="18" t="str">
        <f t="shared" si="2"/>
        <v/>
      </c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37"/>
      <c r="Z66" s="63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5">
        <v>11.0</v>
      </c>
      <c r="B67" s="43">
        <v>46131.0</v>
      </c>
      <c r="C67" s="12" t="s">
        <v>55</v>
      </c>
      <c r="D67" s="12" t="s">
        <v>22</v>
      </c>
      <c r="E67" s="44" t="s">
        <v>66</v>
      </c>
      <c r="F67" s="17">
        <v>11.0</v>
      </c>
      <c r="G67" s="92" t="s">
        <v>24</v>
      </c>
      <c r="H67" s="17">
        <v>0.0</v>
      </c>
      <c r="I67" s="44" t="s">
        <v>153</v>
      </c>
      <c r="J67" s="63"/>
      <c r="K67" s="4">
        <f t="shared" si="1"/>
        <v>3</v>
      </c>
      <c r="L67" s="18">
        <f t="shared" si="2"/>
        <v>0</v>
      </c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37"/>
      <c r="Z67" s="63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25"/>
      <c r="B68" s="43">
        <v>46131.0</v>
      </c>
      <c r="C68" s="12" t="s">
        <v>151</v>
      </c>
      <c r="D68" s="12" t="s">
        <v>22</v>
      </c>
      <c r="E68" s="44" t="s">
        <v>107</v>
      </c>
      <c r="F68" s="17">
        <v>11.0</v>
      </c>
      <c r="G68" s="92" t="s">
        <v>24</v>
      </c>
      <c r="H68" s="17">
        <v>0.0</v>
      </c>
      <c r="I68" s="44" t="s">
        <v>63</v>
      </c>
      <c r="J68" s="63"/>
      <c r="K68" s="4">
        <f t="shared" si="1"/>
        <v>3</v>
      </c>
      <c r="L68" s="18">
        <f t="shared" si="2"/>
        <v>0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37"/>
      <c r="Z68" s="63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25"/>
      <c r="B69" s="43">
        <v>46131.0</v>
      </c>
      <c r="C69" s="12" t="s">
        <v>154</v>
      </c>
      <c r="D69" s="12" t="s">
        <v>22</v>
      </c>
      <c r="E69" s="44" t="s">
        <v>25</v>
      </c>
      <c r="F69" s="17">
        <v>2.0</v>
      </c>
      <c r="G69" s="92" t="s">
        <v>24</v>
      </c>
      <c r="H69" s="17">
        <v>1.0</v>
      </c>
      <c r="I69" s="44" t="s">
        <v>36</v>
      </c>
      <c r="J69" s="63"/>
      <c r="K69" s="4">
        <f t="shared" si="1"/>
        <v>3</v>
      </c>
      <c r="L69" s="18">
        <f t="shared" si="2"/>
        <v>0</v>
      </c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37"/>
      <c r="Z69" s="63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9"/>
      <c r="B70" s="43">
        <v>46146.0</v>
      </c>
      <c r="C70" s="12" t="s">
        <v>55</v>
      </c>
      <c r="D70" s="12" t="s">
        <v>89</v>
      </c>
      <c r="E70" s="44" t="s">
        <v>33</v>
      </c>
      <c r="F70" s="17">
        <v>1.0</v>
      </c>
      <c r="G70" s="92" t="s">
        <v>24</v>
      </c>
      <c r="H70" s="17">
        <v>3.0</v>
      </c>
      <c r="I70" s="44" t="s">
        <v>31</v>
      </c>
      <c r="J70" s="63"/>
      <c r="K70" s="4">
        <f t="shared" si="1"/>
        <v>0</v>
      </c>
      <c r="L70" s="18">
        <f t="shared" si="2"/>
        <v>3</v>
      </c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37"/>
      <c r="Z70" s="63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37"/>
      <c r="Z71" s="63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37"/>
      <c r="Z72" s="63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7" t="s">
        <v>161</v>
      </c>
      <c r="H73" s="2"/>
      <c r="I73" s="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37"/>
      <c r="Z73" s="63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37"/>
      <c r="Z74" s="63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8" t="s">
        <v>72</v>
      </c>
      <c r="B75" s="43">
        <v>46156.0</v>
      </c>
      <c r="C75" s="12" t="s">
        <v>49</v>
      </c>
      <c r="D75" s="12" t="s">
        <v>22</v>
      </c>
      <c r="E75" s="90" t="s">
        <v>66</v>
      </c>
      <c r="F75" s="31"/>
      <c r="G75" s="16" t="s">
        <v>24</v>
      </c>
      <c r="H75" s="31"/>
      <c r="I75" s="90" t="s">
        <v>107</v>
      </c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37"/>
      <c r="Z75" s="63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3">
        <v>46156.0</v>
      </c>
      <c r="C76" s="12" t="s">
        <v>21</v>
      </c>
      <c r="D76" s="12" t="s">
        <v>22</v>
      </c>
      <c r="E76" s="90" t="s">
        <v>65</v>
      </c>
      <c r="F76" s="31"/>
      <c r="G76" s="16" t="s">
        <v>24</v>
      </c>
      <c r="H76" s="31"/>
      <c r="I76" s="90" t="s">
        <v>36</v>
      </c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37"/>
      <c r="Z76" s="63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3">
        <v>46156.0</v>
      </c>
      <c r="C77" s="12" t="s">
        <v>30</v>
      </c>
      <c r="D77" s="12" t="s">
        <v>22</v>
      </c>
      <c r="E77" s="90" t="s">
        <v>23</v>
      </c>
      <c r="F77" s="31"/>
      <c r="G77" s="16" t="s">
        <v>24</v>
      </c>
      <c r="H77" s="31"/>
      <c r="I77" s="90" t="s">
        <v>33</v>
      </c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37"/>
      <c r="Z77" s="63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3">
        <v>46156.0</v>
      </c>
      <c r="C78" s="12" t="s">
        <v>35</v>
      </c>
      <c r="D78" s="12" t="s">
        <v>22</v>
      </c>
      <c r="E78" s="90" t="s">
        <v>31</v>
      </c>
      <c r="F78" s="31"/>
      <c r="G78" s="16" t="s">
        <v>24</v>
      </c>
      <c r="H78" s="31"/>
      <c r="I78" s="90" t="s">
        <v>25</v>
      </c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37"/>
      <c r="Z78" s="63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9" t="s">
        <v>73</v>
      </c>
      <c r="B79" s="43"/>
      <c r="C79" s="12"/>
      <c r="D79" s="12"/>
      <c r="E79" s="44" t="s">
        <v>74</v>
      </c>
      <c r="F79" s="31"/>
      <c r="G79" s="16" t="s">
        <v>24</v>
      </c>
      <c r="H79" s="31"/>
      <c r="I79" s="44" t="s">
        <v>75</v>
      </c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37"/>
      <c r="Z79" s="63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56"/>
      <c r="C80" s="31"/>
      <c r="D80" s="12"/>
      <c r="E80" s="51" t="s">
        <v>76</v>
      </c>
      <c r="F80" s="13"/>
      <c r="G80" s="16" t="s">
        <v>24</v>
      </c>
      <c r="H80" s="13"/>
      <c r="I80" s="44" t="s">
        <v>77</v>
      </c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37"/>
      <c r="Z80" s="63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60" t="s">
        <v>78</v>
      </c>
      <c r="B81" s="30"/>
      <c r="C81" s="31"/>
      <c r="D81" s="12"/>
      <c r="E81" s="44" t="s">
        <v>79</v>
      </c>
      <c r="F81" s="31"/>
      <c r="G81" s="16" t="s">
        <v>24</v>
      </c>
      <c r="H81" s="31"/>
      <c r="I81" s="61" t="s">
        <v>80</v>
      </c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37"/>
      <c r="Z81" s="63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60" t="s">
        <v>81</v>
      </c>
      <c r="B82" s="30"/>
      <c r="C82" s="31"/>
      <c r="D82" s="12"/>
      <c r="E82" s="44" t="s">
        <v>82</v>
      </c>
      <c r="F82" s="31"/>
      <c r="G82" s="16" t="s">
        <v>24</v>
      </c>
      <c r="H82" s="31"/>
      <c r="I82" s="44" t="s">
        <v>83</v>
      </c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37"/>
      <c r="Z82" s="63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101"/>
      <c r="B83" s="37"/>
      <c r="C83" s="37"/>
      <c r="D83" s="37"/>
      <c r="E83" s="37"/>
      <c r="F83" s="37"/>
      <c r="G83" s="37"/>
      <c r="H83" s="37"/>
      <c r="I83" s="37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37"/>
      <c r="Z83" s="63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101"/>
      <c r="B84" s="37"/>
      <c r="C84" s="37"/>
      <c r="D84" s="37"/>
      <c r="E84" s="37"/>
      <c r="F84" s="37"/>
      <c r="G84" s="37"/>
      <c r="H84" s="37"/>
      <c r="I84" s="37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37"/>
      <c r="Z84" s="63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101"/>
      <c r="B85" s="37"/>
      <c r="C85" s="37"/>
      <c r="D85" s="37"/>
      <c r="E85" s="37"/>
      <c r="F85" s="37"/>
      <c r="G85" s="37"/>
      <c r="H85" s="37"/>
      <c r="I85" s="37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37"/>
      <c r="Z85" s="63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101"/>
      <c r="B86" s="37"/>
      <c r="C86" s="37"/>
      <c r="D86" s="37"/>
      <c r="E86" s="37"/>
      <c r="F86" s="37"/>
      <c r="G86" s="37"/>
      <c r="H86" s="37"/>
      <c r="I86" s="37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37"/>
      <c r="Z86" s="63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101"/>
      <c r="B87" s="37"/>
      <c r="C87" s="37"/>
      <c r="D87" s="37"/>
      <c r="E87" s="37"/>
      <c r="F87" s="37"/>
      <c r="G87" s="37"/>
      <c r="H87" s="37"/>
      <c r="I87" s="37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37"/>
      <c r="Z87" s="63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101"/>
      <c r="B88" s="37"/>
      <c r="C88" s="37"/>
      <c r="D88" s="37"/>
      <c r="E88" s="37"/>
      <c r="F88" s="37"/>
      <c r="G88" s="37"/>
      <c r="H88" s="37"/>
      <c r="I88" s="37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37"/>
      <c r="Z88" s="63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101"/>
      <c r="B89" s="37"/>
      <c r="C89" s="37"/>
      <c r="D89" s="37"/>
      <c r="E89" s="37"/>
      <c r="F89" s="37"/>
      <c r="G89" s="37"/>
      <c r="H89" s="37"/>
      <c r="I89" s="37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37"/>
      <c r="Z89" s="63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101"/>
      <c r="B90" s="37"/>
      <c r="C90" s="37"/>
      <c r="D90" s="37"/>
      <c r="E90" s="37"/>
      <c r="F90" s="37"/>
      <c r="G90" s="37"/>
      <c r="H90" s="37"/>
      <c r="I90" s="37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37"/>
      <c r="Z90" s="63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101"/>
      <c r="B91" s="37"/>
      <c r="C91" s="37"/>
      <c r="D91" s="37"/>
      <c r="E91" s="37"/>
      <c r="F91" s="37"/>
      <c r="G91" s="37"/>
      <c r="H91" s="37"/>
      <c r="I91" s="37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37"/>
      <c r="Z91" s="63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101"/>
      <c r="B92" s="37"/>
      <c r="C92" s="37"/>
      <c r="D92" s="37"/>
      <c r="E92" s="37"/>
      <c r="F92" s="37"/>
      <c r="G92" s="37"/>
      <c r="H92" s="37"/>
      <c r="I92" s="37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37"/>
      <c r="Z92" s="63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101"/>
      <c r="B93" s="37"/>
      <c r="C93" s="37"/>
      <c r="D93" s="37"/>
      <c r="E93" s="37"/>
      <c r="F93" s="37"/>
      <c r="G93" s="37"/>
      <c r="H93" s="37"/>
      <c r="I93" s="37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37"/>
      <c r="Z93" s="63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101"/>
      <c r="B94" s="37"/>
      <c r="C94" s="37"/>
      <c r="D94" s="37"/>
      <c r="E94" s="37"/>
      <c r="F94" s="37"/>
      <c r="G94" s="37"/>
      <c r="H94" s="37"/>
      <c r="I94" s="37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37"/>
      <c r="Z94" s="63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101"/>
      <c r="B95" s="37"/>
      <c r="C95" s="37"/>
      <c r="D95" s="37"/>
      <c r="E95" s="37"/>
      <c r="F95" s="37"/>
      <c r="G95" s="37"/>
      <c r="H95" s="37"/>
      <c r="I95" s="37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37"/>
      <c r="Z95" s="63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101"/>
      <c r="B96" s="37"/>
      <c r="C96" s="37"/>
      <c r="D96" s="37"/>
      <c r="E96" s="37"/>
      <c r="F96" s="37"/>
      <c r="G96" s="37"/>
      <c r="H96" s="37"/>
      <c r="I96" s="37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37"/>
      <c r="Z96" s="63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101"/>
      <c r="B97" s="37"/>
      <c r="C97" s="37"/>
      <c r="D97" s="37"/>
      <c r="E97" s="37"/>
      <c r="F97" s="37"/>
      <c r="G97" s="37"/>
      <c r="H97" s="37"/>
      <c r="I97" s="37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37"/>
      <c r="Z97" s="63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101"/>
      <c r="B98" s="37"/>
      <c r="C98" s="37"/>
      <c r="D98" s="37"/>
      <c r="E98" s="37"/>
      <c r="F98" s="37"/>
      <c r="G98" s="37"/>
      <c r="H98" s="37"/>
      <c r="I98" s="37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37"/>
      <c r="Z98" s="63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101"/>
      <c r="B99" s="37"/>
      <c r="C99" s="37"/>
      <c r="D99" s="37"/>
      <c r="E99" s="37"/>
      <c r="F99" s="37"/>
      <c r="G99" s="37"/>
      <c r="H99" s="37"/>
      <c r="I99" s="37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37"/>
      <c r="Z99" s="63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101"/>
      <c r="B100" s="37"/>
      <c r="C100" s="37"/>
      <c r="D100" s="37"/>
      <c r="E100" s="37"/>
      <c r="F100" s="37"/>
      <c r="G100" s="37"/>
      <c r="H100" s="37"/>
      <c r="I100" s="37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37"/>
      <c r="Z100" s="63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101"/>
      <c r="B101" s="37"/>
      <c r="C101" s="37"/>
      <c r="D101" s="37"/>
      <c r="E101" s="37"/>
      <c r="F101" s="37"/>
      <c r="G101" s="37"/>
      <c r="H101" s="37"/>
      <c r="I101" s="37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37"/>
      <c r="Z101" s="63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101"/>
      <c r="B102" s="37"/>
      <c r="C102" s="37"/>
      <c r="D102" s="37"/>
      <c r="E102" s="37"/>
      <c r="F102" s="37"/>
      <c r="G102" s="37"/>
      <c r="H102" s="37"/>
      <c r="I102" s="37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37"/>
      <c r="Z102" s="63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101"/>
      <c r="B103" s="37"/>
      <c r="C103" s="37"/>
      <c r="D103" s="37"/>
      <c r="E103" s="37"/>
      <c r="F103" s="37"/>
      <c r="G103" s="37"/>
      <c r="H103" s="37"/>
      <c r="I103" s="37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37"/>
      <c r="Z103" s="63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101"/>
      <c r="B104" s="37"/>
      <c r="C104" s="37"/>
      <c r="D104" s="37"/>
      <c r="E104" s="37"/>
      <c r="F104" s="37"/>
      <c r="G104" s="37"/>
      <c r="H104" s="37"/>
      <c r="I104" s="37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37"/>
      <c r="Z104" s="63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101"/>
      <c r="B105" s="37"/>
      <c r="C105" s="37"/>
      <c r="D105" s="37"/>
      <c r="E105" s="37"/>
      <c r="F105" s="37"/>
      <c r="G105" s="37"/>
      <c r="H105" s="37"/>
      <c r="I105" s="37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37"/>
      <c r="Z105" s="63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101"/>
      <c r="B106" s="37"/>
      <c r="C106" s="37"/>
      <c r="D106" s="37"/>
      <c r="E106" s="37"/>
      <c r="F106" s="37"/>
      <c r="G106" s="37"/>
      <c r="H106" s="37"/>
      <c r="I106" s="37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37"/>
      <c r="Z106" s="63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101"/>
      <c r="B107" s="37"/>
      <c r="C107" s="37"/>
      <c r="D107" s="37"/>
      <c r="E107" s="37"/>
      <c r="F107" s="37"/>
      <c r="G107" s="37"/>
      <c r="H107" s="37"/>
      <c r="I107" s="37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37"/>
      <c r="Z107" s="63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101"/>
      <c r="B108" s="37"/>
      <c r="C108" s="37"/>
      <c r="D108" s="37"/>
      <c r="E108" s="37"/>
      <c r="F108" s="37"/>
      <c r="G108" s="37"/>
      <c r="H108" s="37"/>
      <c r="I108" s="37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37"/>
      <c r="Z108" s="63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101"/>
      <c r="B109" s="37"/>
      <c r="C109" s="37"/>
      <c r="D109" s="37"/>
      <c r="E109" s="37"/>
      <c r="F109" s="37"/>
      <c r="G109" s="37"/>
      <c r="H109" s="37"/>
      <c r="I109" s="37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37"/>
      <c r="Z109" s="63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101"/>
      <c r="B110" s="37"/>
      <c r="C110" s="37"/>
      <c r="D110" s="37"/>
      <c r="E110" s="37"/>
      <c r="F110" s="37"/>
      <c r="G110" s="37"/>
      <c r="H110" s="37"/>
      <c r="I110" s="37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37"/>
      <c r="Z110" s="63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101"/>
      <c r="B111" s="37"/>
      <c r="C111" s="37"/>
      <c r="D111" s="37"/>
      <c r="E111" s="37"/>
      <c r="F111" s="37"/>
      <c r="G111" s="37"/>
      <c r="H111" s="37"/>
      <c r="I111" s="37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37"/>
      <c r="Z111" s="63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101"/>
      <c r="B112" s="37"/>
      <c r="C112" s="37"/>
      <c r="D112" s="37"/>
      <c r="E112" s="37"/>
      <c r="F112" s="37"/>
      <c r="G112" s="37"/>
      <c r="H112" s="37"/>
      <c r="I112" s="37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37"/>
      <c r="Z112" s="63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101"/>
      <c r="B113" s="37"/>
      <c r="C113" s="37"/>
      <c r="D113" s="37"/>
      <c r="E113" s="37"/>
      <c r="F113" s="37"/>
      <c r="G113" s="37"/>
      <c r="H113" s="37"/>
      <c r="I113" s="37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37"/>
      <c r="Z113" s="63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101"/>
      <c r="B114" s="37"/>
      <c r="C114" s="37"/>
      <c r="D114" s="37"/>
      <c r="E114" s="37"/>
      <c r="F114" s="37"/>
      <c r="G114" s="37"/>
      <c r="H114" s="37"/>
      <c r="I114" s="37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37"/>
      <c r="Z114" s="63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101"/>
      <c r="B115" s="37"/>
      <c r="C115" s="37"/>
      <c r="D115" s="37"/>
      <c r="E115" s="37"/>
      <c r="F115" s="37"/>
      <c r="G115" s="37"/>
      <c r="H115" s="37"/>
      <c r="I115" s="37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37"/>
      <c r="Z115" s="63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101"/>
      <c r="B116" s="37"/>
      <c r="C116" s="37"/>
      <c r="D116" s="37"/>
      <c r="E116" s="37"/>
      <c r="F116" s="37"/>
      <c r="G116" s="37"/>
      <c r="H116" s="37"/>
      <c r="I116" s="37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37"/>
      <c r="Z116" s="63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101"/>
      <c r="B117" s="37"/>
      <c r="C117" s="37"/>
      <c r="D117" s="37"/>
      <c r="E117" s="37"/>
      <c r="F117" s="37"/>
      <c r="G117" s="37"/>
      <c r="H117" s="37"/>
      <c r="I117" s="37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37"/>
      <c r="Z117" s="63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101"/>
      <c r="B118" s="37"/>
      <c r="C118" s="37"/>
      <c r="D118" s="37"/>
      <c r="E118" s="37"/>
      <c r="F118" s="37"/>
      <c r="G118" s="37"/>
      <c r="H118" s="37"/>
      <c r="I118" s="37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37"/>
      <c r="Z118" s="63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101"/>
      <c r="B119" s="37"/>
      <c r="C119" s="37"/>
      <c r="D119" s="37"/>
      <c r="E119" s="37"/>
      <c r="F119" s="37"/>
      <c r="G119" s="37"/>
      <c r="H119" s="37"/>
      <c r="I119" s="37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37"/>
      <c r="Z119" s="63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101"/>
      <c r="B120" s="37"/>
      <c r="C120" s="37"/>
      <c r="D120" s="37"/>
      <c r="E120" s="37"/>
      <c r="F120" s="37"/>
      <c r="G120" s="37"/>
      <c r="H120" s="37"/>
      <c r="I120" s="37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37"/>
      <c r="Z120" s="63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101"/>
      <c r="B121" s="37"/>
      <c r="C121" s="37"/>
      <c r="D121" s="37"/>
      <c r="E121" s="37"/>
      <c r="F121" s="37"/>
      <c r="G121" s="37"/>
      <c r="H121" s="37"/>
      <c r="I121" s="37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37"/>
      <c r="Z121" s="63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101"/>
      <c r="B122" s="37"/>
      <c r="C122" s="37"/>
      <c r="D122" s="37"/>
      <c r="E122" s="37"/>
      <c r="F122" s="37"/>
      <c r="G122" s="37"/>
      <c r="H122" s="37"/>
      <c r="I122" s="37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37"/>
      <c r="Z122" s="63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101"/>
      <c r="B123" s="37"/>
      <c r="C123" s="37"/>
      <c r="D123" s="37"/>
      <c r="E123" s="37"/>
      <c r="F123" s="37"/>
      <c r="G123" s="37"/>
      <c r="H123" s="37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37"/>
      <c r="Z123" s="63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101"/>
      <c r="B124" s="37"/>
      <c r="C124" s="37"/>
      <c r="D124" s="37"/>
      <c r="E124" s="37"/>
      <c r="F124" s="37"/>
      <c r="G124" s="37"/>
      <c r="H124" s="37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37"/>
      <c r="Z124" s="63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101"/>
      <c r="B125" s="37"/>
      <c r="C125" s="37"/>
      <c r="D125" s="37"/>
      <c r="E125" s="37"/>
      <c r="F125" s="37"/>
      <c r="G125" s="37"/>
      <c r="H125" s="37"/>
      <c r="I125" s="37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37"/>
      <c r="Z125" s="63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101"/>
      <c r="B126" s="37"/>
      <c r="C126" s="37"/>
      <c r="D126" s="37"/>
      <c r="E126" s="37"/>
      <c r="F126" s="37"/>
      <c r="G126" s="37"/>
      <c r="H126" s="37"/>
      <c r="I126" s="37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37"/>
      <c r="Z126" s="63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101"/>
      <c r="B127" s="37"/>
      <c r="C127" s="37"/>
      <c r="D127" s="37"/>
      <c r="E127" s="37"/>
      <c r="F127" s="37"/>
      <c r="G127" s="37"/>
      <c r="H127" s="37"/>
      <c r="I127" s="37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37"/>
      <c r="Z127" s="63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101"/>
      <c r="B128" s="37"/>
      <c r="C128" s="37"/>
      <c r="D128" s="37"/>
      <c r="E128" s="37"/>
      <c r="F128" s="37"/>
      <c r="G128" s="37"/>
      <c r="H128" s="37"/>
      <c r="I128" s="37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37"/>
      <c r="Z128" s="63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101"/>
      <c r="B129" s="37"/>
      <c r="C129" s="37"/>
      <c r="D129" s="37"/>
      <c r="E129" s="37"/>
      <c r="F129" s="37"/>
      <c r="G129" s="37"/>
      <c r="H129" s="37"/>
      <c r="I129" s="37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37"/>
      <c r="Z129" s="63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101"/>
      <c r="B130" s="37"/>
      <c r="C130" s="37"/>
      <c r="D130" s="37"/>
      <c r="E130" s="37"/>
      <c r="F130" s="37"/>
      <c r="G130" s="37"/>
      <c r="H130" s="37"/>
      <c r="I130" s="37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37"/>
      <c r="Z130" s="63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101"/>
      <c r="B131" s="37"/>
      <c r="C131" s="37"/>
      <c r="D131" s="37"/>
      <c r="E131" s="37"/>
      <c r="F131" s="37"/>
      <c r="G131" s="37"/>
      <c r="H131" s="37"/>
      <c r="I131" s="37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37"/>
      <c r="Z131" s="63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101"/>
      <c r="B132" s="37"/>
      <c r="C132" s="37"/>
      <c r="D132" s="37"/>
      <c r="E132" s="37"/>
      <c r="F132" s="37"/>
      <c r="G132" s="37"/>
      <c r="H132" s="37"/>
      <c r="I132" s="37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37"/>
      <c r="Z132" s="63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101"/>
      <c r="B133" s="37"/>
      <c r="C133" s="37"/>
      <c r="D133" s="37"/>
      <c r="E133" s="37"/>
      <c r="F133" s="37"/>
      <c r="G133" s="37"/>
      <c r="H133" s="37"/>
      <c r="I133" s="37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37"/>
      <c r="Z133" s="63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101"/>
      <c r="B134" s="37"/>
      <c r="C134" s="37"/>
      <c r="D134" s="37"/>
      <c r="E134" s="37"/>
      <c r="F134" s="37"/>
      <c r="G134" s="37"/>
      <c r="H134" s="37"/>
      <c r="I134" s="37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37"/>
      <c r="Z134" s="63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101"/>
      <c r="B135" s="37"/>
      <c r="C135" s="37"/>
      <c r="D135" s="37"/>
      <c r="E135" s="37"/>
      <c r="F135" s="37"/>
      <c r="G135" s="37"/>
      <c r="H135" s="37"/>
      <c r="I135" s="37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37"/>
      <c r="Z135" s="63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101"/>
      <c r="B136" s="37"/>
      <c r="C136" s="37"/>
      <c r="D136" s="37"/>
      <c r="E136" s="37"/>
      <c r="F136" s="37"/>
      <c r="G136" s="37"/>
      <c r="H136" s="37"/>
      <c r="I136" s="37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37"/>
      <c r="Z136" s="63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101"/>
      <c r="B137" s="37"/>
      <c r="C137" s="37"/>
      <c r="D137" s="37"/>
      <c r="E137" s="37"/>
      <c r="F137" s="37"/>
      <c r="G137" s="37"/>
      <c r="H137" s="37"/>
      <c r="I137" s="37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37"/>
      <c r="Z137" s="63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101"/>
      <c r="B138" s="37"/>
      <c r="C138" s="37"/>
      <c r="D138" s="37"/>
      <c r="E138" s="37"/>
      <c r="F138" s="37"/>
      <c r="G138" s="37"/>
      <c r="H138" s="37"/>
      <c r="I138" s="37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37"/>
      <c r="Z138" s="63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101"/>
      <c r="B139" s="37"/>
      <c r="C139" s="37"/>
      <c r="D139" s="37"/>
      <c r="E139" s="37"/>
      <c r="F139" s="37"/>
      <c r="G139" s="37"/>
      <c r="H139" s="37"/>
      <c r="I139" s="37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37"/>
      <c r="Z139" s="63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101"/>
      <c r="B140" s="37"/>
      <c r="C140" s="37"/>
      <c r="D140" s="37"/>
      <c r="E140" s="37"/>
      <c r="F140" s="37"/>
      <c r="G140" s="37"/>
      <c r="H140" s="37"/>
      <c r="I140" s="37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37"/>
      <c r="Z140" s="63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101"/>
      <c r="B141" s="37"/>
      <c r="C141" s="37"/>
      <c r="D141" s="37"/>
      <c r="E141" s="37"/>
      <c r="F141" s="37"/>
      <c r="G141" s="37"/>
      <c r="H141" s="37"/>
      <c r="I141" s="37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37"/>
      <c r="Z141" s="63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101"/>
      <c r="B142" s="37"/>
      <c r="C142" s="37"/>
      <c r="D142" s="37"/>
      <c r="E142" s="37"/>
      <c r="F142" s="37"/>
      <c r="G142" s="37"/>
      <c r="H142" s="37"/>
      <c r="I142" s="37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37"/>
      <c r="Z142" s="63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101"/>
      <c r="B143" s="37"/>
      <c r="C143" s="37"/>
      <c r="D143" s="37"/>
      <c r="E143" s="37"/>
      <c r="F143" s="37"/>
      <c r="G143" s="37"/>
      <c r="H143" s="37"/>
      <c r="I143" s="37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37"/>
      <c r="Z143" s="63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101"/>
      <c r="B144" s="37"/>
      <c r="C144" s="37"/>
      <c r="D144" s="37"/>
      <c r="E144" s="37"/>
      <c r="F144" s="37"/>
      <c r="G144" s="37"/>
      <c r="H144" s="37"/>
      <c r="I144" s="37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37"/>
      <c r="Z144" s="63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101"/>
      <c r="B145" s="37"/>
      <c r="C145" s="37"/>
      <c r="D145" s="37"/>
      <c r="E145" s="37"/>
      <c r="F145" s="37"/>
      <c r="G145" s="37"/>
      <c r="H145" s="37"/>
      <c r="I145" s="37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37"/>
      <c r="Z145" s="63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101"/>
      <c r="B146" s="37"/>
      <c r="C146" s="37"/>
      <c r="D146" s="37"/>
      <c r="E146" s="37"/>
      <c r="F146" s="37"/>
      <c r="G146" s="37"/>
      <c r="H146" s="37"/>
      <c r="I146" s="37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37"/>
      <c r="Z146" s="63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101"/>
      <c r="B147" s="37"/>
      <c r="C147" s="37"/>
      <c r="D147" s="37"/>
      <c r="E147" s="37"/>
      <c r="F147" s="37"/>
      <c r="G147" s="37"/>
      <c r="H147" s="37"/>
      <c r="I147" s="37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37"/>
      <c r="Z147" s="63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101"/>
      <c r="B148" s="37"/>
      <c r="C148" s="37"/>
      <c r="D148" s="37"/>
      <c r="E148" s="37"/>
      <c r="F148" s="37"/>
      <c r="G148" s="37"/>
      <c r="H148" s="37"/>
      <c r="I148" s="37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37"/>
      <c r="Z148" s="63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101"/>
      <c r="B149" s="37"/>
      <c r="C149" s="37"/>
      <c r="D149" s="37"/>
      <c r="E149" s="37"/>
      <c r="F149" s="37"/>
      <c r="G149" s="37"/>
      <c r="H149" s="37"/>
      <c r="I149" s="37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37"/>
      <c r="Z149" s="63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101"/>
      <c r="B150" s="37"/>
      <c r="C150" s="37"/>
      <c r="D150" s="37"/>
      <c r="E150" s="37"/>
      <c r="F150" s="37"/>
      <c r="G150" s="37"/>
      <c r="H150" s="37"/>
      <c r="I150" s="37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37"/>
      <c r="Z150" s="63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101"/>
      <c r="B151" s="37"/>
      <c r="C151" s="37"/>
      <c r="D151" s="37"/>
      <c r="E151" s="37"/>
      <c r="F151" s="37"/>
      <c r="G151" s="37"/>
      <c r="H151" s="37"/>
      <c r="I151" s="37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37"/>
      <c r="Z151" s="63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101"/>
      <c r="B152" s="37"/>
      <c r="C152" s="37"/>
      <c r="D152" s="37"/>
      <c r="E152" s="37"/>
      <c r="F152" s="37"/>
      <c r="G152" s="37"/>
      <c r="H152" s="37"/>
      <c r="I152" s="37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37"/>
      <c r="Z152" s="63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101"/>
      <c r="B153" s="37"/>
      <c r="C153" s="37"/>
      <c r="D153" s="37"/>
      <c r="E153" s="37"/>
      <c r="F153" s="37"/>
      <c r="G153" s="37"/>
      <c r="H153" s="37"/>
      <c r="I153" s="37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37"/>
      <c r="Z153" s="63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101"/>
      <c r="B154" s="37"/>
      <c r="C154" s="37"/>
      <c r="D154" s="37"/>
      <c r="E154" s="37"/>
      <c r="F154" s="37"/>
      <c r="G154" s="37"/>
      <c r="H154" s="37"/>
      <c r="I154" s="37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37"/>
      <c r="Z154" s="63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101"/>
      <c r="B155" s="37"/>
      <c r="C155" s="37"/>
      <c r="D155" s="37"/>
      <c r="E155" s="37"/>
      <c r="F155" s="37"/>
      <c r="G155" s="37"/>
      <c r="H155" s="37"/>
      <c r="I155" s="37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37"/>
      <c r="Z155" s="63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101"/>
      <c r="B156" s="37"/>
      <c r="C156" s="37"/>
      <c r="D156" s="37"/>
      <c r="E156" s="37"/>
      <c r="F156" s="37"/>
      <c r="G156" s="37"/>
      <c r="H156" s="37"/>
      <c r="I156" s="37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37"/>
      <c r="Z156" s="63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101"/>
      <c r="B157" s="37"/>
      <c r="C157" s="37"/>
      <c r="D157" s="37"/>
      <c r="E157" s="37"/>
      <c r="F157" s="37"/>
      <c r="G157" s="37"/>
      <c r="H157" s="37"/>
      <c r="I157" s="37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37"/>
      <c r="Z157" s="63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101"/>
      <c r="B158" s="37"/>
      <c r="C158" s="37"/>
      <c r="D158" s="37"/>
      <c r="E158" s="37"/>
      <c r="F158" s="37"/>
      <c r="G158" s="37"/>
      <c r="H158" s="37"/>
      <c r="I158" s="37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37"/>
      <c r="Z158" s="63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101"/>
      <c r="B159" s="37"/>
      <c r="C159" s="37"/>
      <c r="D159" s="37"/>
      <c r="E159" s="37"/>
      <c r="F159" s="37"/>
      <c r="G159" s="37"/>
      <c r="H159" s="37"/>
      <c r="I159" s="37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37"/>
      <c r="Z159" s="63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101"/>
      <c r="B160" s="37"/>
      <c r="C160" s="37"/>
      <c r="D160" s="37"/>
      <c r="E160" s="37"/>
      <c r="F160" s="37"/>
      <c r="G160" s="37"/>
      <c r="H160" s="37"/>
      <c r="I160" s="37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37"/>
      <c r="Z160" s="63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101"/>
      <c r="B161" s="37"/>
      <c r="C161" s="37"/>
      <c r="D161" s="37"/>
      <c r="E161" s="37"/>
      <c r="F161" s="37"/>
      <c r="G161" s="37"/>
      <c r="H161" s="37"/>
      <c r="I161" s="37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37"/>
      <c r="Z161" s="63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101"/>
      <c r="B162" s="37"/>
      <c r="C162" s="37"/>
      <c r="D162" s="37"/>
      <c r="E162" s="37"/>
      <c r="F162" s="37"/>
      <c r="G162" s="37"/>
      <c r="H162" s="37"/>
      <c r="I162" s="37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37"/>
      <c r="Z162" s="63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101"/>
      <c r="B163" s="37"/>
      <c r="C163" s="37"/>
      <c r="D163" s="37"/>
      <c r="E163" s="37"/>
      <c r="F163" s="37"/>
      <c r="G163" s="37"/>
      <c r="H163" s="37"/>
      <c r="I163" s="37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37"/>
      <c r="Z163" s="63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101"/>
      <c r="B164" s="37"/>
      <c r="C164" s="37"/>
      <c r="D164" s="37"/>
      <c r="E164" s="37"/>
      <c r="F164" s="37"/>
      <c r="G164" s="37"/>
      <c r="H164" s="37"/>
      <c r="I164" s="37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37"/>
      <c r="Z164" s="63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101"/>
      <c r="B165" s="37"/>
      <c r="C165" s="37"/>
      <c r="D165" s="37"/>
      <c r="E165" s="37"/>
      <c r="F165" s="37"/>
      <c r="G165" s="37"/>
      <c r="H165" s="37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37"/>
      <c r="Z165" s="63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101"/>
      <c r="B166" s="37"/>
      <c r="C166" s="37"/>
      <c r="D166" s="37"/>
      <c r="E166" s="37"/>
      <c r="F166" s="37"/>
      <c r="G166" s="37"/>
      <c r="H166" s="37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37"/>
      <c r="Z166" s="63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101"/>
      <c r="B167" s="37"/>
      <c r="C167" s="37"/>
      <c r="D167" s="37"/>
      <c r="E167" s="37"/>
      <c r="F167" s="37"/>
      <c r="G167" s="37"/>
      <c r="H167" s="37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37"/>
      <c r="Z167" s="63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101"/>
      <c r="B168" s="37"/>
      <c r="C168" s="37"/>
      <c r="D168" s="37"/>
      <c r="E168" s="37"/>
      <c r="F168" s="37"/>
      <c r="G168" s="37"/>
      <c r="H168" s="37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37"/>
      <c r="Z168" s="63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101"/>
      <c r="B169" s="37"/>
      <c r="C169" s="37"/>
      <c r="D169" s="37"/>
      <c r="E169" s="37"/>
      <c r="F169" s="37"/>
      <c r="G169" s="37"/>
      <c r="H169" s="37"/>
      <c r="I169" s="37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37"/>
      <c r="Z169" s="63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101"/>
      <c r="B170" s="37"/>
      <c r="C170" s="37"/>
      <c r="D170" s="37"/>
      <c r="E170" s="37"/>
      <c r="F170" s="37"/>
      <c r="G170" s="37"/>
      <c r="H170" s="37"/>
      <c r="I170" s="37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37"/>
      <c r="Z170" s="63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101"/>
      <c r="B171" s="37"/>
      <c r="C171" s="37"/>
      <c r="D171" s="37"/>
      <c r="E171" s="37"/>
      <c r="F171" s="37"/>
      <c r="G171" s="37"/>
      <c r="H171" s="37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37"/>
      <c r="Z171" s="63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101"/>
      <c r="B172" s="37"/>
      <c r="C172" s="37"/>
      <c r="D172" s="37"/>
      <c r="E172" s="37"/>
      <c r="F172" s="37"/>
      <c r="G172" s="37"/>
      <c r="H172" s="37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37"/>
      <c r="Z172" s="63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101"/>
      <c r="B173" s="37"/>
      <c r="C173" s="37"/>
      <c r="D173" s="37"/>
      <c r="E173" s="37"/>
      <c r="F173" s="37"/>
      <c r="G173" s="37"/>
      <c r="H173" s="37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37"/>
      <c r="Z173" s="63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101"/>
      <c r="B174" s="37"/>
      <c r="C174" s="37"/>
      <c r="D174" s="37"/>
      <c r="E174" s="37"/>
      <c r="F174" s="37"/>
      <c r="G174" s="37"/>
      <c r="H174" s="37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37"/>
      <c r="Z174" s="63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101"/>
      <c r="B175" s="37"/>
      <c r="C175" s="37"/>
      <c r="D175" s="37"/>
      <c r="E175" s="37"/>
      <c r="F175" s="37"/>
      <c r="G175" s="37"/>
      <c r="H175" s="37"/>
      <c r="I175" s="37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37"/>
      <c r="Z175" s="63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101"/>
      <c r="B176" s="37"/>
      <c r="C176" s="37"/>
      <c r="D176" s="37"/>
      <c r="E176" s="37"/>
      <c r="F176" s="37"/>
      <c r="G176" s="37"/>
      <c r="H176" s="37"/>
      <c r="I176" s="37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37"/>
      <c r="Z176" s="63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101"/>
      <c r="B177" s="37"/>
      <c r="C177" s="37"/>
      <c r="D177" s="37"/>
      <c r="E177" s="37"/>
      <c r="F177" s="37"/>
      <c r="G177" s="37"/>
      <c r="H177" s="37"/>
      <c r="I177" s="37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37"/>
      <c r="Z177" s="63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101"/>
      <c r="B178" s="37"/>
      <c r="C178" s="37"/>
      <c r="D178" s="37"/>
      <c r="E178" s="37"/>
      <c r="F178" s="37"/>
      <c r="G178" s="37"/>
      <c r="H178" s="37"/>
      <c r="I178" s="37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37"/>
      <c r="Z178" s="63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101"/>
      <c r="B179" s="37"/>
      <c r="C179" s="37"/>
      <c r="D179" s="37"/>
      <c r="E179" s="37"/>
      <c r="F179" s="37"/>
      <c r="G179" s="37"/>
      <c r="H179" s="37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37"/>
      <c r="Z179" s="63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101"/>
      <c r="B180" s="37"/>
      <c r="C180" s="37"/>
      <c r="D180" s="37"/>
      <c r="E180" s="37"/>
      <c r="F180" s="37"/>
      <c r="G180" s="37"/>
      <c r="H180" s="37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37"/>
      <c r="Z180" s="63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101"/>
      <c r="B181" s="37"/>
      <c r="C181" s="37"/>
      <c r="D181" s="37"/>
      <c r="E181" s="37"/>
      <c r="F181" s="37"/>
      <c r="G181" s="37"/>
      <c r="H181" s="37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37"/>
      <c r="Z181" s="63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101"/>
      <c r="B182" s="37"/>
      <c r="C182" s="37"/>
      <c r="D182" s="37"/>
      <c r="E182" s="37"/>
      <c r="F182" s="37"/>
      <c r="G182" s="37"/>
      <c r="H182" s="37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37"/>
      <c r="Z182" s="63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101"/>
      <c r="B183" s="37"/>
      <c r="C183" s="37"/>
      <c r="D183" s="37"/>
      <c r="E183" s="37"/>
      <c r="F183" s="37"/>
      <c r="G183" s="37"/>
      <c r="H183" s="37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37"/>
      <c r="Z183" s="63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101"/>
      <c r="B184" s="37"/>
      <c r="C184" s="37"/>
      <c r="D184" s="37"/>
      <c r="E184" s="37"/>
      <c r="F184" s="37"/>
      <c r="G184" s="37"/>
      <c r="H184" s="37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37"/>
      <c r="Z184" s="63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101"/>
      <c r="B185" s="37"/>
      <c r="C185" s="37"/>
      <c r="D185" s="37"/>
      <c r="E185" s="37"/>
      <c r="F185" s="37"/>
      <c r="G185" s="37"/>
      <c r="H185" s="37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37"/>
      <c r="Z185" s="63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101"/>
      <c r="B186" s="37"/>
      <c r="C186" s="37"/>
      <c r="D186" s="37"/>
      <c r="E186" s="37"/>
      <c r="F186" s="37"/>
      <c r="G186" s="37"/>
      <c r="H186" s="37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37"/>
      <c r="Z186" s="63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101"/>
      <c r="B187" s="37"/>
      <c r="C187" s="37"/>
      <c r="D187" s="37"/>
      <c r="E187" s="37"/>
      <c r="F187" s="37"/>
      <c r="G187" s="37"/>
      <c r="H187" s="37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37"/>
      <c r="Z187" s="63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101"/>
      <c r="B188" s="37"/>
      <c r="C188" s="37"/>
      <c r="D188" s="37"/>
      <c r="E188" s="37"/>
      <c r="F188" s="37"/>
      <c r="G188" s="37"/>
      <c r="H188" s="37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37"/>
      <c r="Z188" s="63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101"/>
      <c r="B189" s="37"/>
      <c r="C189" s="37"/>
      <c r="D189" s="37"/>
      <c r="E189" s="37"/>
      <c r="F189" s="37"/>
      <c r="G189" s="37"/>
      <c r="H189" s="37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37"/>
      <c r="Z189" s="63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101"/>
      <c r="B190" s="37"/>
      <c r="C190" s="37"/>
      <c r="D190" s="37"/>
      <c r="E190" s="37"/>
      <c r="F190" s="37"/>
      <c r="G190" s="37"/>
      <c r="H190" s="37"/>
      <c r="I190" s="37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37"/>
      <c r="Z190" s="63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101"/>
      <c r="B191" s="37"/>
      <c r="C191" s="37"/>
      <c r="D191" s="37"/>
      <c r="E191" s="37"/>
      <c r="F191" s="37"/>
      <c r="G191" s="37"/>
      <c r="H191" s="37"/>
      <c r="I191" s="37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37"/>
      <c r="Z191" s="63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101"/>
      <c r="B192" s="37"/>
      <c r="C192" s="37"/>
      <c r="D192" s="37"/>
      <c r="E192" s="37"/>
      <c r="F192" s="37"/>
      <c r="G192" s="37"/>
      <c r="H192" s="37"/>
      <c r="I192" s="37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37"/>
      <c r="Z192" s="63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101"/>
      <c r="B193" s="37"/>
      <c r="C193" s="37"/>
      <c r="D193" s="37"/>
      <c r="E193" s="37"/>
      <c r="F193" s="37"/>
      <c r="G193" s="37"/>
      <c r="H193" s="37"/>
      <c r="I193" s="37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37"/>
      <c r="Z193" s="63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101"/>
      <c r="B194" s="37"/>
      <c r="C194" s="37"/>
      <c r="D194" s="37"/>
      <c r="E194" s="37"/>
      <c r="F194" s="37"/>
      <c r="G194" s="37"/>
      <c r="H194" s="37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37"/>
      <c r="Z194" s="63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101"/>
      <c r="B195" s="37"/>
      <c r="C195" s="37"/>
      <c r="D195" s="37"/>
      <c r="E195" s="37"/>
      <c r="F195" s="37"/>
      <c r="G195" s="37"/>
      <c r="H195" s="37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37"/>
      <c r="Z195" s="63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101"/>
      <c r="B196" s="37"/>
      <c r="C196" s="37"/>
      <c r="D196" s="37"/>
      <c r="E196" s="37"/>
      <c r="F196" s="37"/>
      <c r="G196" s="37"/>
      <c r="H196" s="37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37"/>
      <c r="Z196" s="63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101"/>
      <c r="B197" s="37"/>
      <c r="C197" s="37"/>
      <c r="D197" s="37"/>
      <c r="E197" s="37"/>
      <c r="F197" s="37"/>
      <c r="G197" s="37"/>
      <c r="H197" s="37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37"/>
      <c r="Z197" s="63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101"/>
      <c r="B198" s="37"/>
      <c r="C198" s="37"/>
      <c r="D198" s="37"/>
      <c r="E198" s="37"/>
      <c r="F198" s="37"/>
      <c r="G198" s="37"/>
      <c r="H198" s="37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37"/>
      <c r="Z198" s="63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101"/>
      <c r="B199" s="37"/>
      <c r="C199" s="37"/>
      <c r="D199" s="37"/>
      <c r="E199" s="37"/>
      <c r="F199" s="37"/>
      <c r="G199" s="37"/>
      <c r="H199" s="37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37"/>
      <c r="Z199" s="63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101"/>
      <c r="B200" s="37"/>
      <c r="C200" s="37"/>
      <c r="D200" s="37"/>
      <c r="E200" s="37"/>
      <c r="F200" s="37"/>
      <c r="G200" s="37"/>
      <c r="H200" s="37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37"/>
      <c r="Z200" s="63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101"/>
      <c r="B201" s="37"/>
      <c r="C201" s="37"/>
      <c r="D201" s="37"/>
      <c r="E201" s="37"/>
      <c r="F201" s="37"/>
      <c r="G201" s="37"/>
      <c r="H201" s="37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37"/>
      <c r="Z201" s="63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101"/>
      <c r="B202" s="37"/>
      <c r="C202" s="37"/>
      <c r="D202" s="37"/>
      <c r="E202" s="37"/>
      <c r="F202" s="37"/>
      <c r="G202" s="37"/>
      <c r="H202" s="37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37"/>
      <c r="Z202" s="63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101"/>
      <c r="B203" s="37"/>
      <c r="C203" s="37"/>
      <c r="D203" s="37"/>
      <c r="E203" s="37"/>
      <c r="F203" s="37"/>
      <c r="G203" s="37"/>
      <c r="H203" s="37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37"/>
      <c r="Z203" s="63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101"/>
      <c r="B204" s="37"/>
      <c r="C204" s="37"/>
      <c r="D204" s="37"/>
      <c r="E204" s="37"/>
      <c r="F204" s="37"/>
      <c r="G204" s="37"/>
      <c r="H204" s="37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37"/>
      <c r="Z204" s="63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101"/>
      <c r="B205" s="37"/>
      <c r="C205" s="37"/>
      <c r="D205" s="37"/>
      <c r="E205" s="37"/>
      <c r="F205" s="37"/>
      <c r="G205" s="37"/>
      <c r="H205" s="37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37"/>
      <c r="Z205" s="63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101"/>
      <c r="B206" s="37"/>
      <c r="C206" s="37"/>
      <c r="D206" s="37"/>
      <c r="E206" s="37"/>
      <c r="F206" s="37"/>
      <c r="G206" s="37"/>
      <c r="H206" s="37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37"/>
      <c r="Z206" s="63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101"/>
      <c r="B207" s="37"/>
      <c r="C207" s="37"/>
      <c r="D207" s="37"/>
      <c r="E207" s="37"/>
      <c r="F207" s="37"/>
      <c r="G207" s="37"/>
      <c r="H207" s="37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37"/>
      <c r="Z207" s="63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101"/>
      <c r="B208" s="37"/>
      <c r="C208" s="37"/>
      <c r="D208" s="37"/>
      <c r="E208" s="37"/>
      <c r="F208" s="37"/>
      <c r="G208" s="37"/>
      <c r="H208" s="37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37"/>
      <c r="Z208" s="63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101"/>
      <c r="B209" s="37"/>
      <c r="C209" s="37"/>
      <c r="D209" s="37"/>
      <c r="E209" s="37"/>
      <c r="F209" s="37"/>
      <c r="G209" s="37"/>
      <c r="H209" s="37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37"/>
      <c r="Z209" s="63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101"/>
      <c r="B210" s="37"/>
      <c r="C210" s="37"/>
      <c r="D210" s="37"/>
      <c r="E210" s="37"/>
      <c r="F210" s="37"/>
      <c r="G210" s="37"/>
      <c r="H210" s="37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37"/>
      <c r="Z210" s="63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101"/>
      <c r="B211" s="37"/>
      <c r="C211" s="37"/>
      <c r="D211" s="37"/>
      <c r="E211" s="37"/>
      <c r="F211" s="37"/>
      <c r="G211" s="37"/>
      <c r="H211" s="37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37"/>
      <c r="Z211" s="63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101"/>
      <c r="B212" s="37"/>
      <c r="C212" s="37"/>
      <c r="D212" s="37"/>
      <c r="E212" s="37"/>
      <c r="F212" s="37"/>
      <c r="G212" s="37"/>
      <c r="H212" s="37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37"/>
      <c r="Z212" s="63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101"/>
      <c r="B213" s="37"/>
      <c r="C213" s="37"/>
      <c r="D213" s="37"/>
      <c r="E213" s="37"/>
      <c r="F213" s="37"/>
      <c r="G213" s="37"/>
      <c r="H213" s="37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37"/>
      <c r="Z213" s="63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101"/>
      <c r="B214" s="37"/>
      <c r="C214" s="37"/>
      <c r="D214" s="37"/>
      <c r="E214" s="37"/>
      <c r="F214" s="37"/>
      <c r="G214" s="37"/>
      <c r="H214" s="37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37"/>
      <c r="Z214" s="63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101"/>
      <c r="B215" s="37"/>
      <c r="C215" s="37"/>
      <c r="D215" s="37"/>
      <c r="E215" s="37"/>
      <c r="F215" s="37"/>
      <c r="G215" s="37"/>
      <c r="H215" s="37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37"/>
      <c r="Z215" s="63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101"/>
      <c r="B216" s="37"/>
      <c r="C216" s="37"/>
      <c r="D216" s="37"/>
      <c r="E216" s="37"/>
      <c r="F216" s="37"/>
      <c r="G216" s="37"/>
      <c r="H216" s="37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37"/>
      <c r="Z216" s="63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101"/>
      <c r="B217" s="37"/>
      <c r="C217" s="37"/>
      <c r="D217" s="37"/>
      <c r="E217" s="37"/>
      <c r="F217" s="37"/>
      <c r="G217" s="37"/>
      <c r="H217" s="37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37"/>
      <c r="Z217" s="63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101"/>
      <c r="B218" s="37"/>
      <c r="C218" s="37"/>
      <c r="D218" s="37"/>
      <c r="E218" s="37"/>
      <c r="F218" s="37"/>
      <c r="G218" s="37"/>
      <c r="H218" s="37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37"/>
      <c r="Z218" s="63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101"/>
      <c r="B219" s="37"/>
      <c r="C219" s="37"/>
      <c r="D219" s="37"/>
      <c r="E219" s="37"/>
      <c r="F219" s="37"/>
      <c r="G219" s="37"/>
      <c r="H219" s="37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37"/>
      <c r="Z219" s="63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101"/>
      <c r="B220" s="37"/>
      <c r="C220" s="37"/>
      <c r="D220" s="37"/>
      <c r="E220" s="37"/>
      <c r="F220" s="37"/>
      <c r="G220" s="37"/>
      <c r="H220" s="37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37"/>
      <c r="Z220" s="63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101"/>
      <c r="B221" s="37"/>
      <c r="C221" s="37"/>
      <c r="D221" s="37"/>
      <c r="E221" s="37"/>
      <c r="F221" s="37"/>
      <c r="G221" s="37"/>
      <c r="H221" s="37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37"/>
      <c r="Z221" s="63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101"/>
      <c r="B222" s="37"/>
      <c r="C222" s="37"/>
      <c r="D222" s="37"/>
      <c r="E222" s="37"/>
      <c r="F222" s="37"/>
      <c r="G222" s="37"/>
      <c r="H222" s="37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37"/>
      <c r="Z222" s="63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101"/>
      <c r="B223" s="37"/>
      <c r="C223" s="37"/>
      <c r="D223" s="37"/>
      <c r="E223" s="37"/>
      <c r="F223" s="37"/>
      <c r="G223" s="37"/>
      <c r="H223" s="37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37"/>
      <c r="Z223" s="63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101"/>
      <c r="B224" s="37"/>
      <c r="C224" s="37"/>
      <c r="D224" s="37"/>
      <c r="E224" s="37"/>
      <c r="F224" s="37"/>
      <c r="G224" s="37"/>
      <c r="H224" s="37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37"/>
      <c r="Z224" s="63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101"/>
      <c r="B225" s="37"/>
      <c r="C225" s="37"/>
      <c r="D225" s="37"/>
      <c r="E225" s="37"/>
      <c r="F225" s="37"/>
      <c r="G225" s="37"/>
      <c r="H225" s="37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37"/>
      <c r="Z225" s="63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3"/>
      <c r="B226" s="63"/>
      <c r="C226" s="63"/>
      <c r="D226" s="63"/>
      <c r="E226" s="63"/>
      <c r="F226" s="37"/>
      <c r="G226" s="37"/>
      <c r="H226" s="37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  <c r="AM226" s="63"/>
      <c r="AN226" s="63"/>
      <c r="AO226" s="63"/>
      <c r="AP226" s="63"/>
      <c r="AQ226" s="63"/>
      <c r="AR226" s="63"/>
    </row>
    <row r="227" ht="15.75" customHeight="1">
      <c r="A227" s="63"/>
      <c r="B227" s="63"/>
      <c r="C227" s="63"/>
      <c r="D227" s="63"/>
      <c r="E227" s="63"/>
      <c r="F227" s="37"/>
      <c r="G227" s="37"/>
      <c r="H227" s="37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  <c r="AM227" s="63"/>
      <c r="AN227" s="63"/>
      <c r="AO227" s="63"/>
      <c r="AP227" s="63"/>
      <c r="AQ227" s="63"/>
      <c r="AR227" s="63"/>
    </row>
    <row r="228" ht="15.75" customHeight="1">
      <c r="A228" s="63"/>
      <c r="B228" s="63"/>
      <c r="C228" s="63"/>
      <c r="D228" s="63"/>
      <c r="E228" s="63"/>
      <c r="F228" s="37"/>
      <c r="G228" s="37"/>
      <c r="H228" s="37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  <c r="AM228" s="63"/>
      <c r="AN228" s="63"/>
      <c r="AO228" s="63"/>
      <c r="AP228" s="63"/>
      <c r="AQ228" s="63"/>
      <c r="AR228" s="63"/>
    </row>
    <row r="229" ht="15.75" customHeight="1">
      <c r="A229" s="63"/>
      <c r="B229" s="63"/>
      <c r="C229" s="63"/>
      <c r="D229" s="63"/>
      <c r="E229" s="63"/>
      <c r="F229" s="37"/>
      <c r="G229" s="37"/>
      <c r="H229" s="37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  <c r="AM229" s="63"/>
      <c r="AN229" s="63"/>
      <c r="AO229" s="63"/>
      <c r="AP229" s="63"/>
      <c r="AQ229" s="63"/>
      <c r="AR229" s="63"/>
    </row>
    <row r="230" ht="15.75" customHeight="1">
      <c r="A230" s="63"/>
      <c r="B230" s="63"/>
      <c r="C230" s="63"/>
      <c r="D230" s="63"/>
      <c r="E230" s="63"/>
      <c r="F230" s="37"/>
      <c r="G230" s="37"/>
      <c r="H230" s="37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  <c r="AM230" s="63"/>
      <c r="AN230" s="63"/>
      <c r="AO230" s="63"/>
      <c r="AP230" s="63"/>
      <c r="AQ230" s="63"/>
      <c r="AR230" s="63"/>
    </row>
    <row r="231" ht="15.75" customHeight="1">
      <c r="A231" s="63"/>
      <c r="B231" s="63"/>
      <c r="C231" s="63"/>
      <c r="D231" s="63"/>
      <c r="E231" s="63"/>
      <c r="F231" s="37"/>
      <c r="G231" s="37"/>
      <c r="H231" s="37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  <c r="AO231" s="63"/>
      <c r="AP231" s="63"/>
      <c r="AQ231" s="63"/>
      <c r="AR231" s="63"/>
    </row>
    <row r="232" ht="15.75" customHeight="1">
      <c r="A232" s="63"/>
      <c r="B232" s="63"/>
      <c r="C232" s="63"/>
      <c r="D232" s="63"/>
      <c r="E232" s="63"/>
      <c r="F232" s="37"/>
      <c r="G232" s="37"/>
      <c r="H232" s="37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  <c r="AM232" s="63"/>
      <c r="AN232" s="63"/>
      <c r="AO232" s="63"/>
      <c r="AP232" s="63"/>
      <c r="AQ232" s="63"/>
      <c r="AR232" s="63"/>
    </row>
    <row r="233" ht="15.75" customHeight="1">
      <c r="A233" s="63"/>
      <c r="B233" s="63"/>
      <c r="C233" s="63"/>
      <c r="D233" s="63"/>
      <c r="E233" s="63"/>
      <c r="F233" s="37"/>
      <c r="G233" s="37"/>
      <c r="H233" s="37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  <c r="AO233" s="63"/>
      <c r="AP233" s="63"/>
      <c r="AQ233" s="63"/>
      <c r="AR233" s="63"/>
    </row>
    <row r="234" ht="15.75" customHeight="1">
      <c r="A234" s="63"/>
      <c r="B234" s="63"/>
      <c r="C234" s="63"/>
      <c r="D234" s="63"/>
      <c r="E234" s="63"/>
      <c r="F234" s="37"/>
      <c r="G234" s="37"/>
      <c r="H234" s="37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  <c r="AO234" s="63"/>
      <c r="AP234" s="63"/>
      <c r="AQ234" s="63"/>
      <c r="AR234" s="63"/>
    </row>
    <row r="235" ht="15.75" customHeight="1">
      <c r="A235" s="63"/>
      <c r="B235" s="63"/>
      <c r="C235" s="63"/>
      <c r="D235" s="63"/>
      <c r="E235" s="63"/>
      <c r="F235" s="37"/>
      <c r="G235" s="37"/>
      <c r="H235" s="37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3"/>
      <c r="AP235" s="63"/>
      <c r="AQ235" s="63"/>
      <c r="AR235" s="63"/>
    </row>
    <row r="236" ht="15.75" customHeight="1">
      <c r="A236" s="63"/>
      <c r="B236" s="63"/>
      <c r="C236" s="63"/>
      <c r="D236" s="63"/>
      <c r="E236" s="63"/>
      <c r="F236" s="37"/>
      <c r="G236" s="37"/>
      <c r="H236" s="37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  <c r="AO236" s="63"/>
      <c r="AP236" s="63"/>
      <c r="AQ236" s="63"/>
      <c r="AR236" s="63"/>
    </row>
    <row r="237" ht="15.75" customHeight="1">
      <c r="A237" s="63"/>
      <c r="B237" s="63"/>
      <c r="C237" s="63"/>
      <c r="D237" s="63"/>
      <c r="E237" s="63"/>
      <c r="F237" s="37"/>
      <c r="G237" s="37"/>
      <c r="H237" s="37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3"/>
      <c r="AP237" s="63"/>
      <c r="AQ237" s="63"/>
      <c r="AR237" s="63"/>
    </row>
    <row r="238" ht="15.75" customHeight="1">
      <c r="A238" s="63"/>
      <c r="B238" s="63"/>
      <c r="C238" s="63"/>
      <c r="D238" s="63"/>
      <c r="E238" s="63"/>
      <c r="F238" s="37"/>
      <c r="G238" s="37"/>
      <c r="H238" s="37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  <c r="AO238" s="63"/>
      <c r="AP238" s="63"/>
      <c r="AQ238" s="63"/>
      <c r="AR238" s="63"/>
    </row>
    <row r="239" ht="15.75" customHeight="1">
      <c r="A239" s="63"/>
      <c r="B239" s="63"/>
      <c r="C239" s="63"/>
      <c r="D239" s="63"/>
      <c r="E239" s="63"/>
      <c r="F239" s="37"/>
      <c r="G239" s="37"/>
      <c r="H239" s="37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  <c r="AO239" s="63"/>
      <c r="AP239" s="63"/>
      <c r="AQ239" s="63"/>
      <c r="AR239" s="63"/>
    </row>
    <row r="240" ht="15.75" customHeight="1">
      <c r="A240" s="63"/>
      <c r="B240" s="63"/>
      <c r="C240" s="63"/>
      <c r="D240" s="63"/>
      <c r="E240" s="63"/>
      <c r="F240" s="37"/>
      <c r="G240" s="37"/>
      <c r="H240" s="37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  <c r="AO240" s="63"/>
      <c r="AP240" s="63"/>
      <c r="AQ240" s="63"/>
      <c r="AR240" s="63"/>
    </row>
    <row r="241" ht="15.75" customHeight="1">
      <c r="A241" s="63"/>
      <c r="B241" s="63"/>
      <c r="C241" s="63"/>
      <c r="D241" s="63"/>
      <c r="E241" s="63"/>
      <c r="F241" s="37"/>
      <c r="G241" s="37"/>
      <c r="H241" s="37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  <c r="AO241" s="63"/>
      <c r="AP241" s="63"/>
      <c r="AQ241" s="63"/>
      <c r="AR241" s="63"/>
    </row>
    <row r="242" ht="15.75" customHeight="1">
      <c r="A242" s="63"/>
      <c r="B242" s="63"/>
      <c r="C242" s="63"/>
      <c r="D242" s="63"/>
      <c r="E242" s="63"/>
      <c r="F242" s="37"/>
      <c r="G242" s="37"/>
      <c r="H242" s="37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  <c r="AO242" s="63"/>
      <c r="AP242" s="63"/>
      <c r="AQ242" s="63"/>
      <c r="AR242" s="63"/>
    </row>
    <row r="243" ht="15.75" customHeight="1">
      <c r="A243" s="63"/>
      <c r="B243" s="63"/>
      <c r="C243" s="63"/>
      <c r="D243" s="63"/>
      <c r="E243" s="63"/>
      <c r="F243" s="37"/>
      <c r="G243" s="37"/>
      <c r="H243" s="37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  <c r="AO243" s="63"/>
      <c r="AP243" s="63"/>
      <c r="AQ243" s="63"/>
      <c r="AR243" s="63"/>
    </row>
    <row r="244" ht="15.75" customHeight="1">
      <c r="A244" s="63"/>
      <c r="B244" s="63"/>
      <c r="C244" s="63"/>
      <c r="D244" s="63"/>
      <c r="E244" s="63"/>
      <c r="F244" s="37"/>
      <c r="G244" s="37"/>
      <c r="H244" s="37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  <c r="AO244" s="63"/>
      <c r="AP244" s="63"/>
      <c r="AQ244" s="63"/>
      <c r="AR244" s="63"/>
    </row>
    <row r="245" ht="15.75" customHeight="1">
      <c r="A245" s="63"/>
      <c r="B245" s="63"/>
      <c r="C245" s="63"/>
      <c r="D245" s="63"/>
      <c r="E245" s="63"/>
      <c r="F245" s="37"/>
      <c r="G245" s="37"/>
      <c r="H245" s="37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  <c r="AO245" s="63"/>
      <c r="AP245" s="63"/>
      <c r="AQ245" s="63"/>
      <c r="AR245" s="63"/>
    </row>
    <row r="246" ht="15.75" customHeight="1">
      <c r="A246" s="63"/>
      <c r="B246" s="63"/>
      <c r="C246" s="63"/>
      <c r="D246" s="63"/>
      <c r="E246" s="63"/>
      <c r="F246" s="37"/>
      <c r="G246" s="37"/>
      <c r="H246" s="37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  <c r="AO246" s="63"/>
      <c r="AP246" s="63"/>
      <c r="AQ246" s="63"/>
      <c r="AR246" s="63"/>
    </row>
    <row r="247" ht="15.75" customHeight="1">
      <c r="A247" s="63"/>
      <c r="B247" s="63"/>
      <c r="C247" s="63"/>
      <c r="D247" s="63"/>
      <c r="E247" s="63"/>
      <c r="F247" s="37"/>
      <c r="G247" s="37"/>
      <c r="H247" s="37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3"/>
      <c r="AP247" s="63"/>
      <c r="AQ247" s="63"/>
      <c r="AR247" s="63"/>
    </row>
    <row r="248" ht="15.75" customHeight="1">
      <c r="A248" s="63"/>
      <c r="B248" s="63"/>
      <c r="C248" s="63"/>
      <c r="D248" s="63"/>
      <c r="E248" s="63"/>
      <c r="F248" s="37"/>
      <c r="G248" s="37"/>
      <c r="H248" s="37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  <c r="AO248" s="63"/>
      <c r="AP248" s="63"/>
      <c r="AQ248" s="63"/>
      <c r="AR248" s="63"/>
    </row>
    <row r="249" ht="15.75" customHeight="1">
      <c r="A249" s="63"/>
      <c r="B249" s="63"/>
      <c r="C249" s="63"/>
      <c r="D249" s="63"/>
      <c r="E249" s="63"/>
      <c r="F249" s="37"/>
      <c r="G249" s="37"/>
      <c r="H249" s="37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3"/>
      <c r="AP249" s="63"/>
      <c r="AQ249" s="63"/>
      <c r="AR249" s="63"/>
    </row>
    <row r="250" ht="15.75" customHeight="1">
      <c r="A250" s="63"/>
      <c r="B250" s="63"/>
      <c r="C250" s="63"/>
      <c r="D250" s="63"/>
      <c r="E250" s="63"/>
      <c r="F250" s="37"/>
      <c r="G250" s="37"/>
      <c r="H250" s="37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  <c r="AO250" s="63"/>
      <c r="AP250" s="63"/>
      <c r="AQ250" s="63"/>
      <c r="AR250" s="63"/>
    </row>
    <row r="251" ht="15.75" customHeight="1">
      <c r="A251" s="63"/>
      <c r="B251" s="63"/>
      <c r="C251" s="63"/>
      <c r="D251" s="63"/>
      <c r="E251" s="63"/>
      <c r="F251" s="37"/>
      <c r="G251" s="37"/>
      <c r="H251" s="37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3"/>
      <c r="AP251" s="63"/>
      <c r="AQ251" s="63"/>
      <c r="AR251" s="63"/>
    </row>
    <row r="252" ht="15.75" customHeight="1">
      <c r="A252" s="63"/>
      <c r="B252" s="63"/>
      <c r="C252" s="63"/>
      <c r="D252" s="63"/>
      <c r="E252" s="63"/>
      <c r="F252" s="37"/>
      <c r="G252" s="37"/>
      <c r="H252" s="37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  <c r="AO252" s="63"/>
      <c r="AP252" s="63"/>
      <c r="AQ252" s="63"/>
      <c r="AR252" s="63"/>
    </row>
    <row r="253" ht="15.75" customHeight="1">
      <c r="A253" s="63"/>
      <c r="B253" s="63"/>
      <c r="C253" s="63"/>
      <c r="D253" s="63"/>
      <c r="E253" s="63"/>
      <c r="F253" s="37"/>
      <c r="G253" s="37"/>
      <c r="H253" s="37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3"/>
      <c r="AP253" s="63"/>
      <c r="AQ253" s="63"/>
      <c r="AR253" s="63"/>
    </row>
    <row r="254" ht="15.75" customHeight="1">
      <c r="A254" s="63"/>
      <c r="B254" s="63"/>
      <c r="C254" s="63"/>
      <c r="D254" s="63"/>
      <c r="E254" s="63"/>
      <c r="F254" s="37"/>
      <c r="G254" s="37"/>
      <c r="H254" s="37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  <c r="AO254" s="63"/>
      <c r="AP254" s="63"/>
      <c r="AQ254" s="63"/>
      <c r="AR254" s="63"/>
    </row>
    <row r="255" ht="15.75" customHeight="1">
      <c r="A255" s="63"/>
      <c r="B255" s="63"/>
      <c r="C255" s="63"/>
      <c r="D255" s="63"/>
      <c r="E255" s="63"/>
      <c r="F255" s="37"/>
      <c r="G255" s="37"/>
      <c r="H255" s="37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3"/>
      <c r="AP255" s="63"/>
      <c r="AQ255" s="63"/>
      <c r="AR255" s="63"/>
    </row>
    <row r="256" ht="15.75" customHeight="1">
      <c r="A256" s="63"/>
      <c r="B256" s="63"/>
      <c r="C256" s="63"/>
      <c r="D256" s="63"/>
      <c r="E256" s="63"/>
      <c r="F256" s="37"/>
      <c r="G256" s="37"/>
      <c r="H256" s="37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  <c r="AO256" s="63"/>
      <c r="AP256" s="63"/>
      <c r="AQ256" s="63"/>
      <c r="AR256" s="63"/>
    </row>
    <row r="257" ht="15.75" customHeight="1">
      <c r="A257" s="63"/>
      <c r="B257" s="63"/>
      <c r="C257" s="63"/>
      <c r="D257" s="63"/>
      <c r="E257" s="63"/>
      <c r="F257" s="37"/>
      <c r="G257" s="37"/>
      <c r="H257" s="37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3"/>
      <c r="AP257" s="63"/>
      <c r="AQ257" s="63"/>
      <c r="AR257" s="63"/>
    </row>
    <row r="258" ht="15.75" customHeight="1">
      <c r="A258" s="63"/>
      <c r="B258" s="63"/>
      <c r="C258" s="63"/>
      <c r="D258" s="63"/>
      <c r="E258" s="63"/>
      <c r="F258" s="37"/>
      <c r="G258" s="37"/>
      <c r="H258" s="37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  <c r="AO258" s="63"/>
      <c r="AP258" s="63"/>
      <c r="AQ258" s="63"/>
      <c r="AR258" s="63"/>
    </row>
    <row r="259" ht="15.75" customHeight="1">
      <c r="A259" s="63"/>
      <c r="B259" s="63"/>
      <c r="C259" s="63"/>
      <c r="D259" s="63"/>
      <c r="E259" s="63"/>
      <c r="F259" s="37"/>
      <c r="G259" s="37"/>
      <c r="H259" s="37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3"/>
      <c r="AP259" s="63"/>
      <c r="AQ259" s="63"/>
      <c r="AR259" s="63"/>
    </row>
    <row r="260" ht="15.75" customHeight="1">
      <c r="A260" s="63"/>
      <c r="B260" s="63"/>
      <c r="C260" s="63"/>
      <c r="D260" s="63"/>
      <c r="E260" s="63"/>
      <c r="F260" s="37"/>
      <c r="G260" s="37"/>
      <c r="H260" s="37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  <c r="AO260" s="63"/>
      <c r="AP260" s="63"/>
      <c r="AQ260" s="63"/>
      <c r="AR260" s="63"/>
    </row>
    <row r="261" ht="15.75" customHeight="1">
      <c r="A261" s="63"/>
      <c r="B261" s="63"/>
      <c r="C261" s="63"/>
      <c r="D261" s="63"/>
      <c r="E261" s="63"/>
      <c r="F261" s="37"/>
      <c r="G261" s="37"/>
      <c r="H261" s="37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3"/>
      <c r="AP261" s="63"/>
      <c r="AQ261" s="63"/>
      <c r="AR261" s="63"/>
    </row>
    <row r="262" ht="15.75" customHeight="1">
      <c r="A262" s="63"/>
      <c r="B262" s="63"/>
      <c r="C262" s="63"/>
      <c r="D262" s="63"/>
      <c r="E262" s="63"/>
      <c r="F262" s="37"/>
      <c r="G262" s="37"/>
      <c r="H262" s="37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  <c r="AO262" s="63"/>
      <c r="AP262" s="63"/>
      <c r="AQ262" s="63"/>
      <c r="AR262" s="63"/>
    </row>
    <row r="263" ht="15.75" customHeight="1">
      <c r="A263" s="63"/>
      <c r="B263" s="63"/>
      <c r="C263" s="63"/>
      <c r="D263" s="63"/>
      <c r="E263" s="63"/>
      <c r="F263" s="37"/>
      <c r="G263" s="37"/>
      <c r="H263" s="37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  <c r="AO263" s="63"/>
      <c r="AP263" s="63"/>
      <c r="AQ263" s="63"/>
      <c r="AR263" s="63"/>
    </row>
    <row r="264" ht="15.75" customHeight="1">
      <c r="A264" s="63"/>
      <c r="B264" s="63"/>
      <c r="C264" s="63"/>
      <c r="D264" s="63"/>
      <c r="E264" s="63"/>
      <c r="F264" s="37"/>
      <c r="G264" s="37"/>
      <c r="H264" s="37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  <c r="AO264" s="63"/>
      <c r="AP264" s="63"/>
      <c r="AQ264" s="63"/>
      <c r="AR264" s="63"/>
    </row>
    <row r="265" ht="15.75" customHeight="1">
      <c r="A265" s="63"/>
      <c r="B265" s="63"/>
      <c r="C265" s="63"/>
      <c r="D265" s="63"/>
      <c r="E265" s="63"/>
      <c r="F265" s="37"/>
      <c r="G265" s="37"/>
      <c r="H265" s="37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  <c r="AO265" s="63"/>
      <c r="AP265" s="63"/>
      <c r="AQ265" s="63"/>
      <c r="AR265" s="63"/>
    </row>
    <row r="266" ht="15.75" customHeight="1">
      <c r="A266" s="63"/>
      <c r="B266" s="63"/>
      <c r="C266" s="63"/>
      <c r="D266" s="63"/>
      <c r="E266" s="63"/>
      <c r="F266" s="37"/>
      <c r="G266" s="37"/>
      <c r="H266" s="37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  <c r="AO266" s="63"/>
      <c r="AP266" s="63"/>
      <c r="AQ266" s="63"/>
      <c r="AR266" s="63"/>
    </row>
    <row r="267" ht="15.75" customHeight="1">
      <c r="A267" s="63"/>
      <c r="B267" s="63"/>
      <c r="C267" s="63"/>
      <c r="D267" s="63"/>
      <c r="E267" s="63"/>
      <c r="F267" s="37"/>
      <c r="G267" s="37"/>
      <c r="H267" s="37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  <c r="AO267" s="63"/>
      <c r="AP267" s="63"/>
      <c r="AQ267" s="63"/>
      <c r="AR267" s="63"/>
    </row>
    <row r="268" ht="15.75" customHeight="1">
      <c r="A268" s="63"/>
      <c r="B268" s="63"/>
      <c r="C268" s="63"/>
      <c r="D268" s="63"/>
      <c r="E268" s="63"/>
      <c r="F268" s="37"/>
      <c r="G268" s="37"/>
      <c r="H268" s="37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  <c r="AO268" s="63"/>
      <c r="AP268" s="63"/>
      <c r="AQ268" s="63"/>
      <c r="AR268" s="63"/>
    </row>
    <row r="269" ht="15.75" customHeight="1">
      <c r="A269" s="63"/>
      <c r="B269" s="63"/>
      <c r="C269" s="63"/>
      <c r="D269" s="63"/>
      <c r="E269" s="63"/>
      <c r="F269" s="37"/>
      <c r="G269" s="37"/>
      <c r="H269" s="37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  <c r="AO269" s="63"/>
      <c r="AP269" s="63"/>
      <c r="AQ269" s="63"/>
      <c r="AR269" s="63"/>
    </row>
    <row r="270" ht="15.75" customHeight="1">
      <c r="A270" s="63"/>
      <c r="B270" s="63"/>
      <c r="C270" s="63"/>
      <c r="D270" s="63"/>
      <c r="E270" s="63"/>
      <c r="F270" s="37"/>
      <c r="G270" s="37"/>
      <c r="H270" s="37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  <c r="AO270" s="63"/>
      <c r="AP270" s="63"/>
      <c r="AQ270" s="63"/>
      <c r="AR270" s="63"/>
    </row>
    <row r="271" ht="15.75" customHeight="1">
      <c r="A271" s="63"/>
      <c r="B271" s="63"/>
      <c r="C271" s="63"/>
      <c r="D271" s="63"/>
      <c r="E271" s="63"/>
      <c r="F271" s="37"/>
      <c r="G271" s="37"/>
      <c r="H271" s="37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3"/>
      <c r="AP271" s="63"/>
      <c r="AQ271" s="63"/>
      <c r="AR271" s="63"/>
    </row>
    <row r="272" ht="15.75" customHeight="1">
      <c r="A272" s="63"/>
      <c r="B272" s="63"/>
      <c r="C272" s="63"/>
      <c r="D272" s="63"/>
      <c r="E272" s="63"/>
      <c r="F272" s="37"/>
      <c r="G272" s="37"/>
      <c r="H272" s="37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  <c r="AO272" s="63"/>
      <c r="AP272" s="63"/>
      <c r="AQ272" s="63"/>
      <c r="AR272" s="63"/>
    </row>
    <row r="273" ht="15.75" customHeight="1">
      <c r="A273" s="63"/>
      <c r="B273" s="63"/>
      <c r="C273" s="63"/>
      <c r="D273" s="63"/>
      <c r="E273" s="63"/>
      <c r="F273" s="37"/>
      <c r="G273" s="37"/>
      <c r="H273" s="37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  <c r="AO273" s="63"/>
      <c r="AP273" s="63"/>
      <c r="AQ273" s="63"/>
      <c r="AR273" s="63"/>
    </row>
    <row r="274" ht="15.75" customHeight="1">
      <c r="A274" s="63"/>
      <c r="B274" s="63"/>
      <c r="C274" s="63"/>
      <c r="D274" s="63"/>
      <c r="E274" s="63"/>
      <c r="F274" s="37"/>
      <c r="G274" s="37"/>
      <c r="H274" s="37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  <c r="AO274" s="63"/>
      <c r="AP274" s="63"/>
      <c r="AQ274" s="63"/>
      <c r="AR274" s="63"/>
    </row>
    <row r="275" ht="15.75" customHeight="1">
      <c r="A275" s="63"/>
      <c r="B275" s="63"/>
      <c r="C275" s="63"/>
      <c r="D275" s="63"/>
      <c r="E275" s="63"/>
      <c r="F275" s="37"/>
      <c r="G275" s="37"/>
      <c r="H275" s="37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  <c r="AO275" s="63"/>
      <c r="AP275" s="63"/>
      <c r="AQ275" s="63"/>
      <c r="AR275" s="63"/>
    </row>
    <row r="276" ht="15.75" customHeight="1">
      <c r="A276" s="63"/>
      <c r="B276" s="63"/>
      <c r="C276" s="63"/>
      <c r="D276" s="63"/>
      <c r="E276" s="63"/>
      <c r="F276" s="37"/>
      <c r="G276" s="37"/>
      <c r="H276" s="37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  <c r="AO276" s="63"/>
      <c r="AP276" s="63"/>
      <c r="AQ276" s="63"/>
      <c r="AR276" s="63"/>
    </row>
    <row r="277" ht="15.75" customHeight="1">
      <c r="A277" s="63"/>
      <c r="B277" s="63"/>
      <c r="C277" s="63"/>
      <c r="D277" s="63"/>
      <c r="E277" s="63"/>
      <c r="F277" s="37"/>
      <c r="G277" s="37"/>
      <c r="H277" s="37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  <c r="AO277" s="63"/>
      <c r="AP277" s="63"/>
      <c r="AQ277" s="63"/>
      <c r="AR277" s="63"/>
    </row>
    <row r="278" ht="15.75" customHeight="1">
      <c r="A278" s="63"/>
      <c r="B278" s="63"/>
      <c r="C278" s="63"/>
      <c r="D278" s="63"/>
      <c r="E278" s="63"/>
      <c r="F278" s="37"/>
      <c r="G278" s="37"/>
      <c r="H278" s="37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  <c r="AO278" s="63"/>
      <c r="AP278" s="63"/>
      <c r="AQ278" s="63"/>
      <c r="AR278" s="63"/>
    </row>
    <row r="279" ht="15.75" customHeight="1">
      <c r="A279" s="63"/>
      <c r="B279" s="63"/>
      <c r="C279" s="63"/>
      <c r="D279" s="63"/>
      <c r="E279" s="63"/>
      <c r="F279" s="37"/>
      <c r="G279" s="37"/>
      <c r="H279" s="37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  <c r="AO279" s="63"/>
      <c r="AP279" s="63"/>
      <c r="AQ279" s="63"/>
      <c r="AR279" s="63"/>
    </row>
    <row r="280" ht="15.75" customHeight="1">
      <c r="A280" s="63"/>
      <c r="B280" s="63"/>
      <c r="C280" s="63"/>
      <c r="D280" s="63"/>
      <c r="E280" s="63"/>
      <c r="F280" s="37"/>
      <c r="G280" s="37"/>
      <c r="H280" s="37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  <c r="AO280" s="63"/>
      <c r="AP280" s="63"/>
      <c r="AQ280" s="63"/>
      <c r="AR280" s="63"/>
    </row>
    <row r="281" ht="15.75" customHeight="1">
      <c r="A281" s="63"/>
      <c r="B281" s="63"/>
      <c r="C281" s="63"/>
      <c r="D281" s="63"/>
      <c r="E281" s="63"/>
      <c r="F281" s="37"/>
      <c r="G281" s="37"/>
      <c r="H281" s="37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  <c r="AO281" s="63"/>
      <c r="AP281" s="63"/>
      <c r="AQ281" s="63"/>
      <c r="AR281" s="63"/>
    </row>
    <row r="282" ht="15.75" customHeight="1">
      <c r="A282" s="63"/>
      <c r="B282" s="63"/>
      <c r="C282" s="63"/>
      <c r="D282" s="63"/>
      <c r="E282" s="63"/>
      <c r="F282" s="37"/>
      <c r="G282" s="37"/>
      <c r="H282" s="37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  <c r="AO282" s="63"/>
      <c r="AP282" s="63"/>
      <c r="AQ282" s="63"/>
      <c r="AR282" s="63"/>
    </row>
    <row r="283" ht="15.75" customHeight="1">
      <c r="A283" s="63"/>
      <c r="B283" s="63"/>
      <c r="C283" s="63"/>
      <c r="D283" s="63"/>
      <c r="E283" s="63"/>
      <c r="F283" s="37"/>
      <c r="G283" s="37"/>
      <c r="H283" s="37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  <c r="AO283" s="63"/>
      <c r="AP283" s="63"/>
      <c r="AQ283" s="63"/>
      <c r="AR283" s="63"/>
    </row>
    <row r="284" ht="15.75" customHeight="1">
      <c r="A284" s="63"/>
      <c r="B284" s="63"/>
      <c r="C284" s="63"/>
      <c r="D284" s="63"/>
      <c r="E284" s="63"/>
      <c r="F284" s="37"/>
      <c r="G284" s="37"/>
      <c r="H284" s="37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  <c r="AO284" s="63"/>
      <c r="AP284" s="63"/>
      <c r="AQ284" s="63"/>
      <c r="AR284" s="63"/>
    </row>
    <row r="285" ht="15.75" customHeight="1">
      <c r="A285" s="63"/>
      <c r="B285" s="63"/>
      <c r="C285" s="63"/>
      <c r="D285" s="63"/>
      <c r="E285" s="63"/>
      <c r="F285" s="37"/>
      <c r="G285" s="37"/>
      <c r="H285" s="37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  <c r="AO285" s="63"/>
      <c r="AP285" s="63"/>
      <c r="AQ285" s="63"/>
      <c r="AR285" s="63"/>
    </row>
    <row r="286" ht="15.75" customHeight="1">
      <c r="A286" s="63"/>
      <c r="B286" s="63"/>
      <c r="C286" s="63"/>
      <c r="D286" s="63"/>
      <c r="E286" s="63"/>
      <c r="F286" s="37"/>
      <c r="G286" s="37"/>
      <c r="H286" s="37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  <c r="AO286" s="63"/>
      <c r="AP286" s="63"/>
      <c r="AQ286" s="63"/>
      <c r="AR286" s="63"/>
    </row>
    <row r="287" ht="15.75" customHeight="1">
      <c r="A287" s="63"/>
      <c r="B287" s="63"/>
      <c r="C287" s="63"/>
      <c r="D287" s="63"/>
      <c r="E287" s="63"/>
      <c r="F287" s="37"/>
      <c r="G287" s="37"/>
      <c r="H287" s="37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  <c r="AO287" s="63"/>
      <c r="AP287" s="63"/>
      <c r="AQ287" s="63"/>
      <c r="AR287" s="63"/>
    </row>
    <row r="288" ht="15.75" customHeight="1">
      <c r="A288" s="63"/>
      <c r="B288" s="63"/>
      <c r="C288" s="63"/>
      <c r="D288" s="63"/>
      <c r="E288" s="63"/>
      <c r="F288" s="37"/>
      <c r="G288" s="37"/>
      <c r="H288" s="37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  <c r="AO288" s="63"/>
      <c r="AP288" s="63"/>
      <c r="AQ288" s="63"/>
      <c r="AR288" s="63"/>
    </row>
    <row r="289" ht="15.75" customHeight="1">
      <c r="A289" s="63"/>
      <c r="B289" s="63"/>
      <c r="C289" s="63"/>
      <c r="D289" s="63"/>
      <c r="E289" s="63"/>
      <c r="F289" s="37"/>
      <c r="G289" s="37"/>
      <c r="H289" s="37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3"/>
      <c r="AP289" s="63"/>
      <c r="AQ289" s="63"/>
      <c r="AR289" s="63"/>
    </row>
    <row r="290" ht="15.75" customHeight="1">
      <c r="A290" s="63"/>
      <c r="B290" s="63"/>
      <c r="C290" s="63"/>
      <c r="D290" s="63"/>
      <c r="E290" s="63"/>
      <c r="F290" s="37"/>
      <c r="G290" s="37"/>
      <c r="H290" s="37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  <c r="AO290" s="63"/>
      <c r="AP290" s="63"/>
      <c r="AQ290" s="63"/>
      <c r="AR290" s="63"/>
    </row>
    <row r="291" ht="15.75" customHeight="1">
      <c r="A291" s="63"/>
      <c r="B291" s="63"/>
      <c r="C291" s="63"/>
      <c r="D291" s="63"/>
      <c r="E291" s="63"/>
      <c r="F291" s="37"/>
      <c r="G291" s="37"/>
      <c r="H291" s="37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3"/>
      <c r="AP291" s="63"/>
      <c r="AQ291" s="63"/>
      <c r="AR291" s="63"/>
    </row>
    <row r="292" ht="15.75" customHeight="1">
      <c r="A292" s="63"/>
      <c r="B292" s="63"/>
      <c r="C292" s="63"/>
      <c r="D292" s="63"/>
      <c r="E292" s="63"/>
      <c r="F292" s="37"/>
      <c r="G292" s="37"/>
      <c r="H292" s="37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</row>
    <row r="293" ht="15.75" customHeight="1">
      <c r="A293" s="63"/>
      <c r="B293" s="63"/>
      <c r="C293" s="63"/>
      <c r="D293" s="63"/>
      <c r="E293" s="63"/>
      <c r="F293" s="37"/>
      <c r="G293" s="37"/>
      <c r="H293" s="37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3"/>
      <c r="AP293" s="63"/>
      <c r="AQ293" s="63"/>
      <c r="AR293" s="63"/>
    </row>
    <row r="294" ht="15.75" customHeight="1">
      <c r="A294" s="63"/>
      <c r="B294" s="63"/>
      <c r="C294" s="63"/>
      <c r="D294" s="63"/>
      <c r="E294" s="63"/>
      <c r="F294" s="37"/>
      <c r="G294" s="37"/>
      <c r="H294" s="37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  <c r="AO294" s="63"/>
      <c r="AP294" s="63"/>
      <c r="AQ294" s="63"/>
      <c r="AR294" s="63"/>
    </row>
    <row r="295" ht="15.75" customHeight="1">
      <c r="A295" s="63"/>
      <c r="B295" s="63"/>
      <c r="C295" s="63"/>
      <c r="D295" s="63"/>
      <c r="E295" s="63"/>
      <c r="F295" s="37"/>
      <c r="G295" s="37"/>
      <c r="H295" s="37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3"/>
      <c r="AP295" s="63"/>
      <c r="AQ295" s="63"/>
      <c r="AR295" s="63"/>
    </row>
    <row r="296" ht="15.75" customHeight="1">
      <c r="A296" s="63"/>
      <c r="B296" s="63"/>
      <c r="C296" s="63"/>
      <c r="D296" s="63"/>
      <c r="E296" s="63"/>
      <c r="F296" s="37"/>
      <c r="G296" s="37"/>
      <c r="H296" s="37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  <c r="AO296" s="63"/>
      <c r="AP296" s="63"/>
      <c r="AQ296" s="63"/>
      <c r="AR296" s="63"/>
    </row>
    <row r="297" ht="15.75" customHeight="1">
      <c r="A297" s="63"/>
      <c r="B297" s="63"/>
      <c r="C297" s="63"/>
      <c r="D297" s="63"/>
      <c r="E297" s="63"/>
      <c r="F297" s="37"/>
      <c r="G297" s="37"/>
      <c r="H297" s="37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3"/>
      <c r="AP297" s="63"/>
      <c r="AQ297" s="63"/>
      <c r="AR297" s="63"/>
    </row>
    <row r="298" ht="15.75" customHeight="1">
      <c r="A298" s="63"/>
      <c r="B298" s="63"/>
      <c r="C298" s="63"/>
      <c r="D298" s="63"/>
      <c r="E298" s="63"/>
      <c r="F298" s="37"/>
      <c r="G298" s="37"/>
      <c r="H298" s="37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  <c r="AO298" s="63"/>
      <c r="AP298" s="63"/>
      <c r="AQ298" s="63"/>
      <c r="AR298" s="63"/>
    </row>
    <row r="299" ht="15.75" customHeight="1">
      <c r="A299" s="63"/>
      <c r="B299" s="63"/>
      <c r="C299" s="63"/>
      <c r="D299" s="63"/>
      <c r="E299" s="63"/>
      <c r="F299" s="37"/>
      <c r="G299" s="37"/>
      <c r="H299" s="37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</row>
    <row r="300" ht="15.75" customHeight="1">
      <c r="A300" s="63"/>
      <c r="B300" s="63"/>
      <c r="C300" s="63"/>
      <c r="D300" s="63"/>
      <c r="E300" s="63"/>
      <c r="F300" s="37"/>
      <c r="G300" s="37"/>
      <c r="H300" s="37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</row>
    <row r="301" ht="15.75" customHeight="1">
      <c r="A301" s="63"/>
      <c r="B301" s="63"/>
      <c r="C301" s="63"/>
      <c r="D301" s="63"/>
      <c r="E301" s="63"/>
      <c r="F301" s="37"/>
      <c r="G301" s="37"/>
      <c r="H301" s="37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</row>
    <row r="302" ht="15.75" customHeight="1">
      <c r="A302" s="63"/>
      <c r="B302" s="63"/>
      <c r="C302" s="63"/>
      <c r="D302" s="63"/>
      <c r="E302" s="63"/>
      <c r="F302" s="37"/>
      <c r="G302" s="37"/>
      <c r="H302" s="37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</row>
    <row r="303" ht="15.75" customHeight="1">
      <c r="A303" s="63"/>
      <c r="B303" s="63"/>
      <c r="C303" s="63"/>
      <c r="D303" s="63"/>
      <c r="E303" s="63"/>
      <c r="F303" s="37"/>
      <c r="G303" s="37"/>
      <c r="H303" s="37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</row>
    <row r="304" ht="15.75" customHeight="1">
      <c r="A304" s="63"/>
      <c r="B304" s="63"/>
      <c r="C304" s="63"/>
      <c r="D304" s="63"/>
      <c r="E304" s="63"/>
      <c r="F304" s="37"/>
      <c r="G304" s="37"/>
      <c r="H304" s="37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  <c r="AO304" s="63"/>
      <c r="AP304" s="63"/>
      <c r="AQ304" s="63"/>
      <c r="AR304" s="63"/>
    </row>
    <row r="305" ht="15.75" customHeight="1">
      <c r="A305" s="63"/>
      <c r="B305" s="63"/>
      <c r="C305" s="63"/>
      <c r="D305" s="63"/>
      <c r="E305" s="63"/>
      <c r="F305" s="37"/>
      <c r="G305" s="37"/>
      <c r="H305" s="37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3"/>
      <c r="AP305" s="63"/>
      <c r="AQ305" s="63"/>
      <c r="AR305" s="63"/>
    </row>
    <row r="306" ht="15.75" customHeight="1">
      <c r="A306" s="63"/>
      <c r="B306" s="63"/>
      <c r="C306" s="63"/>
      <c r="D306" s="63"/>
      <c r="E306" s="63"/>
      <c r="F306" s="37"/>
      <c r="G306" s="37"/>
      <c r="H306" s="37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</row>
    <row r="307" ht="15.75" customHeight="1">
      <c r="A307" s="63"/>
      <c r="B307" s="63"/>
      <c r="C307" s="63"/>
      <c r="D307" s="63"/>
      <c r="E307" s="63"/>
      <c r="F307" s="37"/>
      <c r="G307" s="37"/>
      <c r="H307" s="37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3"/>
      <c r="AP307" s="63"/>
      <c r="AQ307" s="63"/>
      <c r="AR307" s="63"/>
    </row>
    <row r="308" ht="15.75" customHeight="1">
      <c r="A308" s="63"/>
      <c r="B308" s="63"/>
      <c r="C308" s="63"/>
      <c r="D308" s="63"/>
      <c r="E308" s="63"/>
      <c r="F308" s="37"/>
      <c r="G308" s="37"/>
      <c r="H308" s="37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  <c r="AO308" s="63"/>
      <c r="AP308" s="63"/>
      <c r="AQ308" s="63"/>
      <c r="AR308" s="63"/>
    </row>
    <row r="309" ht="15.75" customHeight="1">
      <c r="A309" s="63"/>
      <c r="B309" s="63"/>
      <c r="C309" s="63"/>
      <c r="D309" s="63"/>
      <c r="E309" s="63"/>
      <c r="F309" s="37"/>
      <c r="G309" s="37"/>
      <c r="H309" s="37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3"/>
      <c r="AP309" s="63"/>
      <c r="AQ309" s="63"/>
      <c r="AR309" s="63"/>
    </row>
    <row r="310" ht="15.75" customHeight="1">
      <c r="A310" s="63"/>
      <c r="B310" s="63"/>
      <c r="C310" s="63"/>
      <c r="D310" s="63"/>
      <c r="E310" s="63"/>
      <c r="F310" s="37"/>
      <c r="G310" s="37"/>
      <c r="H310" s="37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</row>
    <row r="311" ht="15.75" customHeight="1">
      <c r="A311" s="63"/>
      <c r="B311" s="63"/>
      <c r="C311" s="63"/>
      <c r="D311" s="63"/>
      <c r="E311" s="63"/>
      <c r="F311" s="37"/>
      <c r="G311" s="37"/>
      <c r="H311" s="37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3"/>
      <c r="AP311" s="63"/>
      <c r="AQ311" s="63"/>
      <c r="AR311" s="63"/>
    </row>
    <row r="312" ht="15.75" customHeight="1">
      <c r="A312" s="63"/>
      <c r="B312" s="63"/>
      <c r="C312" s="63"/>
      <c r="D312" s="63"/>
      <c r="E312" s="63"/>
      <c r="F312" s="37"/>
      <c r="G312" s="37"/>
      <c r="H312" s="37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</row>
    <row r="313" ht="15.75" customHeight="1">
      <c r="A313" s="63"/>
      <c r="B313" s="63"/>
      <c r="C313" s="63"/>
      <c r="D313" s="63"/>
      <c r="E313" s="63"/>
      <c r="F313" s="37"/>
      <c r="G313" s="37"/>
      <c r="H313" s="37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</row>
    <row r="314" ht="15.75" customHeight="1">
      <c r="A314" s="63"/>
      <c r="B314" s="63"/>
      <c r="C314" s="63"/>
      <c r="D314" s="63"/>
      <c r="E314" s="63"/>
      <c r="F314" s="37"/>
      <c r="G314" s="37"/>
      <c r="H314" s="37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</row>
    <row r="315" ht="15.75" customHeight="1">
      <c r="A315" s="63"/>
      <c r="B315" s="63"/>
      <c r="C315" s="63"/>
      <c r="D315" s="63"/>
      <c r="E315" s="63"/>
      <c r="F315" s="37"/>
      <c r="G315" s="37"/>
      <c r="H315" s="37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</row>
    <row r="316" ht="15.75" customHeight="1">
      <c r="A316" s="63"/>
      <c r="B316" s="63"/>
      <c r="C316" s="63"/>
      <c r="D316" s="63"/>
      <c r="E316" s="63"/>
      <c r="F316" s="37"/>
      <c r="G316" s="37"/>
      <c r="H316" s="37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</row>
    <row r="317" ht="15.75" customHeight="1">
      <c r="A317" s="63"/>
      <c r="B317" s="63"/>
      <c r="C317" s="63"/>
      <c r="D317" s="63"/>
      <c r="E317" s="63"/>
      <c r="F317" s="37"/>
      <c r="G317" s="37"/>
      <c r="H317" s="37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</row>
    <row r="318" ht="15.75" customHeight="1">
      <c r="A318" s="63"/>
      <c r="B318" s="63"/>
      <c r="C318" s="63"/>
      <c r="D318" s="63"/>
      <c r="E318" s="63"/>
      <c r="F318" s="37"/>
      <c r="G318" s="37"/>
      <c r="H318" s="37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</row>
    <row r="319" ht="15.75" customHeight="1">
      <c r="A319" s="63"/>
      <c r="B319" s="63"/>
      <c r="C319" s="63"/>
      <c r="D319" s="63"/>
      <c r="E319" s="63"/>
      <c r="F319" s="37"/>
      <c r="G319" s="37"/>
      <c r="H319" s="37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</row>
    <row r="320" ht="15.75" customHeight="1">
      <c r="A320" s="63"/>
      <c r="B320" s="63"/>
      <c r="C320" s="63"/>
      <c r="D320" s="63"/>
      <c r="E320" s="63"/>
      <c r="F320" s="37"/>
      <c r="G320" s="37"/>
      <c r="H320" s="37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</row>
    <row r="321" ht="15.75" customHeight="1">
      <c r="A321" s="63"/>
      <c r="B321" s="63"/>
      <c r="C321" s="63"/>
      <c r="D321" s="63"/>
      <c r="E321" s="63"/>
      <c r="F321" s="37"/>
      <c r="G321" s="37"/>
      <c r="H321" s="37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  <c r="AO321" s="63"/>
      <c r="AP321" s="63"/>
      <c r="AQ321" s="63"/>
      <c r="AR321" s="63"/>
    </row>
    <row r="322" ht="15.75" customHeight="1">
      <c r="A322" s="63"/>
      <c r="B322" s="63"/>
      <c r="C322" s="63"/>
      <c r="D322" s="63"/>
      <c r="E322" s="63"/>
      <c r="F322" s="37"/>
      <c r="G322" s="37"/>
      <c r="H322" s="37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</row>
    <row r="323" ht="15.75" customHeight="1">
      <c r="A323" s="63"/>
      <c r="B323" s="63"/>
      <c r="C323" s="63"/>
      <c r="D323" s="63"/>
      <c r="E323" s="63"/>
      <c r="F323" s="37"/>
      <c r="G323" s="37"/>
      <c r="H323" s="37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</row>
    <row r="324" ht="15.75" customHeight="1">
      <c r="A324" s="63"/>
      <c r="B324" s="63"/>
      <c r="C324" s="63"/>
      <c r="D324" s="63"/>
      <c r="E324" s="63"/>
      <c r="F324" s="37"/>
      <c r="G324" s="37"/>
      <c r="H324" s="37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</row>
    <row r="325" ht="15.75" customHeight="1">
      <c r="A325" s="63"/>
      <c r="B325" s="63"/>
      <c r="C325" s="63"/>
      <c r="D325" s="63"/>
      <c r="E325" s="63"/>
      <c r="F325" s="37"/>
      <c r="G325" s="37"/>
      <c r="H325" s="37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</row>
    <row r="326" ht="15.75" customHeight="1">
      <c r="A326" s="63"/>
      <c r="B326" s="63"/>
      <c r="C326" s="63"/>
      <c r="D326" s="63"/>
      <c r="E326" s="63"/>
      <c r="F326" s="37"/>
      <c r="G326" s="37"/>
      <c r="H326" s="37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</row>
    <row r="327" ht="15.75" customHeight="1">
      <c r="A327" s="63"/>
      <c r="B327" s="63"/>
      <c r="C327" s="63"/>
      <c r="D327" s="63"/>
      <c r="E327" s="63"/>
      <c r="F327" s="37"/>
      <c r="G327" s="37"/>
      <c r="H327" s="37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</row>
    <row r="328" ht="15.75" customHeight="1">
      <c r="A328" s="63"/>
      <c r="B328" s="63"/>
      <c r="C328" s="63"/>
      <c r="D328" s="63"/>
      <c r="E328" s="63"/>
      <c r="F328" s="37"/>
      <c r="G328" s="37"/>
      <c r="H328" s="37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</row>
    <row r="329" ht="15.75" customHeight="1">
      <c r="A329" s="63"/>
      <c r="B329" s="63"/>
      <c r="C329" s="63"/>
      <c r="D329" s="63"/>
      <c r="E329" s="63"/>
      <c r="F329" s="37"/>
      <c r="G329" s="37"/>
      <c r="H329" s="37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</row>
    <row r="330" ht="15.75" customHeight="1">
      <c r="A330" s="63"/>
      <c r="B330" s="63"/>
      <c r="C330" s="63"/>
      <c r="D330" s="63"/>
      <c r="E330" s="63"/>
      <c r="F330" s="37"/>
      <c r="G330" s="37"/>
      <c r="H330" s="37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</row>
    <row r="331" ht="15.75" customHeight="1">
      <c r="A331" s="63"/>
      <c r="B331" s="63"/>
      <c r="C331" s="63"/>
      <c r="D331" s="63"/>
      <c r="E331" s="63"/>
      <c r="F331" s="37"/>
      <c r="G331" s="37"/>
      <c r="H331" s="37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</row>
    <row r="332" ht="15.75" customHeight="1">
      <c r="A332" s="63"/>
      <c r="B332" s="63"/>
      <c r="C332" s="63"/>
      <c r="D332" s="63"/>
      <c r="E332" s="63"/>
      <c r="F332" s="37"/>
      <c r="G332" s="37"/>
      <c r="H332" s="37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</row>
    <row r="333" ht="15.75" customHeight="1">
      <c r="A333" s="63"/>
      <c r="B333" s="63"/>
      <c r="C333" s="63"/>
      <c r="D333" s="63"/>
      <c r="E333" s="63"/>
      <c r="F333" s="37"/>
      <c r="G333" s="37"/>
      <c r="H333" s="37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</row>
    <row r="334" ht="15.75" customHeight="1">
      <c r="A334" s="63"/>
      <c r="B334" s="63"/>
      <c r="C334" s="63"/>
      <c r="D334" s="63"/>
      <c r="E334" s="63"/>
      <c r="F334" s="37"/>
      <c r="G334" s="37"/>
      <c r="H334" s="37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</row>
    <row r="335" ht="15.75" customHeight="1">
      <c r="A335" s="63"/>
      <c r="B335" s="63"/>
      <c r="C335" s="63"/>
      <c r="D335" s="63"/>
      <c r="E335" s="63"/>
      <c r="F335" s="37"/>
      <c r="G335" s="37"/>
      <c r="H335" s="37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</row>
    <row r="336" ht="15.75" customHeight="1">
      <c r="A336" s="63"/>
      <c r="B336" s="63"/>
      <c r="C336" s="63"/>
      <c r="D336" s="63"/>
      <c r="E336" s="63"/>
      <c r="F336" s="37"/>
      <c r="G336" s="37"/>
      <c r="H336" s="37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</row>
    <row r="337" ht="15.75" customHeight="1">
      <c r="A337" s="63"/>
      <c r="B337" s="63"/>
      <c r="C337" s="63"/>
      <c r="D337" s="63"/>
      <c r="E337" s="63"/>
      <c r="F337" s="37"/>
      <c r="G337" s="37"/>
      <c r="H337" s="37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</row>
    <row r="338" ht="15.75" customHeight="1">
      <c r="A338" s="63"/>
      <c r="B338" s="63"/>
      <c r="C338" s="63"/>
      <c r="D338" s="63"/>
      <c r="E338" s="63"/>
      <c r="F338" s="37"/>
      <c r="G338" s="37"/>
      <c r="H338" s="37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</row>
    <row r="339" ht="15.75" customHeight="1">
      <c r="A339" s="63"/>
      <c r="B339" s="63"/>
      <c r="C339" s="63"/>
      <c r="D339" s="63"/>
      <c r="E339" s="63"/>
      <c r="F339" s="37"/>
      <c r="G339" s="37"/>
      <c r="H339" s="37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</row>
    <row r="340" ht="15.75" customHeight="1">
      <c r="A340" s="63"/>
      <c r="B340" s="63"/>
      <c r="C340" s="63"/>
      <c r="D340" s="63"/>
      <c r="E340" s="63"/>
      <c r="F340" s="37"/>
      <c r="G340" s="37"/>
      <c r="H340" s="37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</row>
    <row r="341" ht="15.75" customHeight="1">
      <c r="A341" s="63"/>
      <c r="B341" s="63"/>
      <c r="C341" s="63"/>
      <c r="D341" s="63"/>
      <c r="E341" s="63"/>
      <c r="F341" s="37"/>
      <c r="G341" s="37"/>
      <c r="H341" s="37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</row>
    <row r="342" ht="15.75" customHeight="1">
      <c r="A342" s="63"/>
      <c r="B342" s="63"/>
      <c r="C342" s="63"/>
      <c r="D342" s="63"/>
      <c r="E342" s="63"/>
      <c r="F342" s="37"/>
      <c r="G342" s="37"/>
      <c r="H342" s="37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</row>
    <row r="343" ht="15.75" customHeight="1">
      <c r="A343" s="63"/>
      <c r="B343" s="63"/>
      <c r="C343" s="63"/>
      <c r="D343" s="63"/>
      <c r="E343" s="63"/>
      <c r="F343" s="37"/>
      <c r="G343" s="37"/>
      <c r="H343" s="37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</row>
    <row r="344" ht="15.75" customHeight="1">
      <c r="A344" s="63"/>
      <c r="B344" s="63"/>
      <c r="C344" s="63"/>
      <c r="D344" s="63"/>
      <c r="E344" s="63"/>
      <c r="F344" s="37"/>
      <c r="G344" s="37"/>
      <c r="H344" s="37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</row>
    <row r="345" ht="15.75" customHeight="1">
      <c r="A345" s="63"/>
      <c r="B345" s="63"/>
      <c r="C345" s="63"/>
      <c r="D345" s="63"/>
      <c r="E345" s="63"/>
      <c r="F345" s="37"/>
      <c r="G345" s="37"/>
      <c r="H345" s="37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</row>
    <row r="346" ht="15.75" customHeight="1">
      <c r="A346" s="63"/>
      <c r="B346" s="63"/>
      <c r="C346" s="63"/>
      <c r="D346" s="63"/>
      <c r="E346" s="63"/>
      <c r="F346" s="37"/>
      <c r="G346" s="37"/>
      <c r="H346" s="37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</row>
    <row r="347" ht="15.75" customHeight="1">
      <c r="A347" s="63"/>
      <c r="B347" s="63"/>
      <c r="C347" s="63"/>
      <c r="D347" s="63"/>
      <c r="E347" s="63"/>
      <c r="F347" s="37"/>
      <c r="G347" s="37"/>
      <c r="H347" s="37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</row>
    <row r="348" ht="15.75" customHeight="1">
      <c r="A348" s="63"/>
      <c r="B348" s="63"/>
      <c r="C348" s="63"/>
      <c r="D348" s="63"/>
      <c r="E348" s="63"/>
      <c r="F348" s="37"/>
      <c r="G348" s="37"/>
      <c r="H348" s="37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</row>
    <row r="349" ht="15.75" customHeight="1">
      <c r="A349" s="63"/>
      <c r="B349" s="63"/>
      <c r="C349" s="63"/>
      <c r="D349" s="63"/>
      <c r="E349" s="63"/>
      <c r="F349" s="37"/>
      <c r="G349" s="37"/>
      <c r="H349" s="37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</row>
    <row r="350" ht="15.75" customHeight="1">
      <c r="A350" s="63"/>
      <c r="B350" s="63"/>
      <c r="C350" s="63"/>
      <c r="D350" s="63"/>
      <c r="E350" s="63"/>
      <c r="F350" s="37"/>
      <c r="G350" s="37"/>
      <c r="H350" s="37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</row>
    <row r="351" ht="15.75" customHeight="1">
      <c r="A351" s="63"/>
      <c r="B351" s="63"/>
      <c r="C351" s="63"/>
      <c r="D351" s="63"/>
      <c r="E351" s="63"/>
      <c r="F351" s="37"/>
      <c r="G351" s="37"/>
      <c r="H351" s="37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</row>
    <row r="352" ht="15.75" customHeight="1">
      <c r="A352" s="63"/>
      <c r="B352" s="63"/>
      <c r="C352" s="63"/>
      <c r="D352" s="63"/>
      <c r="E352" s="63"/>
      <c r="F352" s="37"/>
      <c r="G352" s="37"/>
      <c r="H352" s="37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</row>
    <row r="353" ht="15.75" customHeight="1">
      <c r="A353" s="63"/>
      <c r="B353" s="63"/>
      <c r="C353" s="63"/>
      <c r="D353" s="63"/>
      <c r="E353" s="63"/>
      <c r="F353" s="37"/>
      <c r="G353" s="37"/>
      <c r="H353" s="37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</row>
    <row r="354" ht="15.75" customHeight="1">
      <c r="A354" s="63"/>
      <c r="B354" s="63"/>
      <c r="C354" s="63"/>
      <c r="D354" s="63"/>
      <c r="E354" s="63"/>
      <c r="F354" s="37"/>
      <c r="G354" s="37"/>
      <c r="H354" s="37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</row>
    <row r="355" ht="15.75" customHeight="1">
      <c r="A355" s="63"/>
      <c r="B355" s="63"/>
      <c r="C355" s="63"/>
      <c r="D355" s="63"/>
      <c r="E355" s="63"/>
      <c r="F355" s="37"/>
      <c r="G355" s="37"/>
      <c r="H355" s="37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</row>
    <row r="356" ht="15.75" customHeight="1">
      <c r="A356" s="63"/>
      <c r="B356" s="63"/>
      <c r="C356" s="63"/>
      <c r="D356" s="63"/>
      <c r="E356" s="63"/>
      <c r="F356" s="37"/>
      <c r="G356" s="37"/>
      <c r="H356" s="37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</row>
    <row r="357" ht="15.75" customHeight="1">
      <c r="A357" s="63"/>
      <c r="B357" s="63"/>
      <c r="C357" s="63"/>
      <c r="D357" s="63"/>
      <c r="E357" s="63"/>
      <c r="F357" s="37"/>
      <c r="G357" s="37"/>
      <c r="H357" s="37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</row>
    <row r="358" ht="15.75" customHeight="1">
      <c r="A358" s="63"/>
      <c r="B358" s="63"/>
      <c r="C358" s="63"/>
      <c r="D358" s="63"/>
      <c r="E358" s="63"/>
      <c r="F358" s="37"/>
      <c r="G358" s="37"/>
      <c r="H358" s="37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</row>
    <row r="359" ht="15.75" customHeight="1">
      <c r="A359" s="63"/>
      <c r="B359" s="63"/>
      <c r="C359" s="63"/>
      <c r="D359" s="63"/>
      <c r="E359" s="63"/>
      <c r="F359" s="37"/>
      <c r="G359" s="37"/>
      <c r="H359" s="37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</row>
    <row r="360" ht="15.75" customHeight="1">
      <c r="A360" s="63"/>
      <c r="B360" s="63"/>
      <c r="C360" s="63"/>
      <c r="D360" s="63"/>
      <c r="E360" s="63"/>
      <c r="F360" s="37"/>
      <c r="G360" s="37"/>
      <c r="H360" s="37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</row>
    <row r="361" ht="15.75" customHeight="1">
      <c r="A361" s="63"/>
      <c r="B361" s="63"/>
      <c r="C361" s="63"/>
      <c r="D361" s="63"/>
      <c r="E361" s="63"/>
      <c r="F361" s="37"/>
      <c r="G361" s="37"/>
      <c r="H361" s="37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</row>
    <row r="362" ht="15.75" customHeight="1">
      <c r="A362" s="63"/>
      <c r="B362" s="63"/>
      <c r="C362" s="63"/>
      <c r="D362" s="63"/>
      <c r="E362" s="63"/>
      <c r="F362" s="37"/>
      <c r="G362" s="37"/>
      <c r="H362" s="37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</row>
    <row r="363" ht="15.75" customHeight="1">
      <c r="A363" s="63"/>
      <c r="B363" s="63"/>
      <c r="C363" s="63"/>
      <c r="D363" s="63"/>
      <c r="E363" s="63"/>
      <c r="F363" s="37"/>
      <c r="G363" s="37"/>
      <c r="H363" s="37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</row>
    <row r="364" ht="15.75" customHeight="1">
      <c r="A364" s="63"/>
      <c r="B364" s="63"/>
      <c r="C364" s="63"/>
      <c r="D364" s="63"/>
      <c r="E364" s="63"/>
      <c r="F364" s="37"/>
      <c r="G364" s="37"/>
      <c r="H364" s="37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</row>
    <row r="365" ht="15.75" customHeight="1">
      <c r="A365" s="63"/>
      <c r="B365" s="63"/>
      <c r="C365" s="63"/>
      <c r="D365" s="63"/>
      <c r="E365" s="63"/>
      <c r="F365" s="37"/>
      <c r="G365" s="37"/>
      <c r="H365" s="37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</row>
    <row r="366" ht="15.75" customHeight="1">
      <c r="A366" s="63"/>
      <c r="B366" s="63"/>
      <c r="C366" s="63"/>
      <c r="D366" s="63"/>
      <c r="E366" s="63"/>
      <c r="F366" s="37"/>
      <c r="G366" s="37"/>
      <c r="H366" s="37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</row>
    <row r="367" ht="15.75" customHeight="1">
      <c r="A367" s="63"/>
      <c r="B367" s="63"/>
      <c r="C367" s="63"/>
      <c r="D367" s="63"/>
      <c r="E367" s="63"/>
      <c r="F367" s="37"/>
      <c r="G367" s="37"/>
      <c r="H367" s="37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</row>
    <row r="368" ht="15.75" customHeight="1">
      <c r="A368" s="63"/>
      <c r="B368" s="63"/>
      <c r="C368" s="63"/>
      <c r="D368" s="63"/>
      <c r="E368" s="63"/>
      <c r="F368" s="37"/>
      <c r="G368" s="37"/>
      <c r="H368" s="37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</row>
    <row r="369" ht="15.75" customHeight="1">
      <c r="A369" s="63"/>
      <c r="B369" s="63"/>
      <c r="C369" s="63"/>
      <c r="D369" s="63"/>
      <c r="E369" s="63"/>
      <c r="F369" s="37"/>
      <c r="G369" s="37"/>
      <c r="H369" s="37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</row>
    <row r="370" ht="15.75" customHeight="1">
      <c r="A370" s="63"/>
      <c r="B370" s="63"/>
      <c r="C370" s="63"/>
      <c r="D370" s="63"/>
      <c r="E370" s="63"/>
      <c r="F370" s="37"/>
      <c r="G370" s="37"/>
      <c r="H370" s="37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</row>
    <row r="371" ht="15.75" customHeight="1">
      <c r="A371" s="63"/>
      <c r="B371" s="63"/>
      <c r="C371" s="63"/>
      <c r="D371" s="63"/>
      <c r="E371" s="63"/>
      <c r="F371" s="37"/>
      <c r="G371" s="37"/>
      <c r="H371" s="37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</row>
    <row r="372" ht="15.75" customHeight="1">
      <c r="A372" s="63"/>
      <c r="B372" s="63"/>
      <c r="C372" s="63"/>
      <c r="D372" s="63"/>
      <c r="E372" s="63"/>
      <c r="F372" s="37"/>
      <c r="G372" s="37"/>
      <c r="H372" s="37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</row>
    <row r="373" ht="15.75" customHeight="1">
      <c r="A373" s="63"/>
      <c r="B373" s="63"/>
      <c r="C373" s="63"/>
      <c r="D373" s="63"/>
      <c r="E373" s="63"/>
      <c r="F373" s="37"/>
      <c r="G373" s="37"/>
      <c r="H373" s="37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</row>
    <row r="374" ht="15.75" customHeight="1">
      <c r="A374" s="63"/>
      <c r="B374" s="63"/>
      <c r="C374" s="63"/>
      <c r="D374" s="63"/>
      <c r="E374" s="63"/>
      <c r="F374" s="37"/>
      <c r="G374" s="37"/>
      <c r="H374" s="37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</row>
    <row r="375" ht="15.75" customHeight="1">
      <c r="A375" s="63"/>
      <c r="B375" s="63"/>
      <c r="C375" s="63"/>
      <c r="D375" s="63"/>
      <c r="E375" s="63"/>
      <c r="F375" s="37"/>
      <c r="G375" s="37"/>
      <c r="H375" s="37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</row>
    <row r="376" ht="15.75" customHeight="1">
      <c r="A376" s="63"/>
      <c r="B376" s="63"/>
      <c r="C376" s="63"/>
      <c r="D376" s="63"/>
      <c r="E376" s="63"/>
      <c r="F376" s="37"/>
      <c r="G376" s="37"/>
      <c r="H376" s="37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</row>
    <row r="377" ht="15.75" customHeight="1">
      <c r="A377" s="63"/>
      <c r="B377" s="63"/>
      <c r="C377" s="63"/>
      <c r="D377" s="63"/>
      <c r="E377" s="63"/>
      <c r="F377" s="37"/>
      <c r="G377" s="37"/>
      <c r="H377" s="37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</row>
    <row r="378" ht="15.75" customHeight="1">
      <c r="A378" s="63"/>
      <c r="B378" s="63"/>
      <c r="C378" s="63"/>
      <c r="D378" s="63"/>
      <c r="E378" s="63"/>
      <c r="F378" s="37"/>
      <c r="G378" s="37"/>
      <c r="H378" s="37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</row>
    <row r="379" ht="15.75" customHeight="1">
      <c r="A379" s="63"/>
      <c r="B379" s="63"/>
      <c r="C379" s="63"/>
      <c r="D379" s="63"/>
      <c r="E379" s="63"/>
      <c r="F379" s="37"/>
      <c r="G379" s="37"/>
      <c r="H379" s="37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</row>
    <row r="380" ht="15.75" customHeight="1">
      <c r="A380" s="63"/>
      <c r="B380" s="63"/>
      <c r="C380" s="63"/>
      <c r="D380" s="63"/>
      <c r="E380" s="63"/>
      <c r="F380" s="37"/>
      <c r="G380" s="37"/>
      <c r="H380" s="37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</row>
    <row r="381" ht="15.75" customHeight="1">
      <c r="A381" s="63"/>
      <c r="B381" s="63"/>
      <c r="C381" s="63"/>
      <c r="D381" s="63"/>
      <c r="E381" s="63"/>
      <c r="F381" s="37"/>
      <c r="G381" s="37"/>
      <c r="H381" s="37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</row>
    <row r="382" ht="15.75" customHeight="1">
      <c r="A382" s="63"/>
      <c r="B382" s="63"/>
      <c r="C382" s="63"/>
      <c r="D382" s="63"/>
      <c r="E382" s="63"/>
      <c r="F382" s="37"/>
      <c r="G382" s="37"/>
      <c r="H382" s="37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</row>
    <row r="383" ht="15.75" customHeight="1">
      <c r="A383" s="63"/>
      <c r="B383" s="63"/>
      <c r="C383" s="63"/>
      <c r="D383" s="63"/>
      <c r="E383" s="63"/>
      <c r="F383" s="37"/>
      <c r="G383" s="37"/>
      <c r="H383" s="37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</row>
    <row r="384" ht="15.75" customHeight="1">
      <c r="A384" s="63"/>
      <c r="B384" s="63"/>
      <c r="C384" s="63"/>
      <c r="D384" s="63"/>
      <c r="E384" s="63"/>
      <c r="F384" s="37"/>
      <c r="G384" s="37"/>
      <c r="H384" s="37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</row>
    <row r="385" ht="15.75" customHeight="1">
      <c r="A385" s="63"/>
      <c r="B385" s="63"/>
      <c r="C385" s="63"/>
      <c r="D385" s="63"/>
      <c r="E385" s="63"/>
      <c r="F385" s="37"/>
      <c r="G385" s="37"/>
      <c r="H385" s="37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</row>
    <row r="386" ht="15.75" customHeight="1">
      <c r="A386" s="63"/>
      <c r="B386" s="63"/>
      <c r="C386" s="63"/>
      <c r="D386" s="63"/>
      <c r="E386" s="63"/>
      <c r="F386" s="37"/>
      <c r="G386" s="37"/>
      <c r="H386" s="37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</row>
    <row r="387" ht="15.75" customHeight="1">
      <c r="A387" s="63"/>
      <c r="B387" s="63"/>
      <c r="C387" s="63"/>
      <c r="D387" s="63"/>
      <c r="E387" s="63"/>
      <c r="F387" s="37"/>
      <c r="G387" s="37"/>
      <c r="H387" s="37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</row>
    <row r="388" ht="15.75" customHeight="1">
      <c r="A388" s="63"/>
      <c r="B388" s="63"/>
      <c r="C388" s="63"/>
      <c r="D388" s="63"/>
      <c r="E388" s="63"/>
      <c r="F388" s="37"/>
      <c r="G388" s="37"/>
      <c r="H388" s="37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</row>
    <row r="389" ht="15.75" customHeight="1">
      <c r="A389" s="63"/>
      <c r="B389" s="63"/>
      <c r="C389" s="63"/>
      <c r="D389" s="63"/>
      <c r="E389" s="63"/>
      <c r="F389" s="37"/>
      <c r="G389" s="37"/>
      <c r="H389" s="37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</row>
    <row r="390" ht="15.75" customHeight="1">
      <c r="A390" s="63"/>
      <c r="B390" s="63"/>
      <c r="C390" s="63"/>
      <c r="D390" s="63"/>
      <c r="E390" s="63"/>
      <c r="F390" s="37"/>
      <c r="G390" s="37"/>
      <c r="H390" s="37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</row>
    <row r="391" ht="15.75" customHeight="1">
      <c r="A391" s="63"/>
      <c r="B391" s="63"/>
      <c r="C391" s="63"/>
      <c r="D391" s="63"/>
      <c r="E391" s="63"/>
      <c r="F391" s="37"/>
      <c r="G391" s="37"/>
      <c r="H391" s="37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</row>
    <row r="392" ht="15.75" customHeight="1">
      <c r="A392" s="63"/>
      <c r="B392" s="63"/>
      <c r="C392" s="63"/>
      <c r="D392" s="63"/>
      <c r="E392" s="63"/>
      <c r="F392" s="37"/>
      <c r="G392" s="37"/>
      <c r="H392" s="37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</row>
    <row r="393" ht="15.75" customHeight="1">
      <c r="A393" s="63"/>
      <c r="B393" s="63"/>
      <c r="C393" s="63"/>
      <c r="D393" s="63"/>
      <c r="E393" s="63"/>
      <c r="F393" s="37"/>
      <c r="G393" s="37"/>
      <c r="H393" s="37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</row>
    <row r="394" ht="15.75" customHeight="1">
      <c r="A394" s="63"/>
      <c r="B394" s="63"/>
      <c r="C394" s="63"/>
      <c r="D394" s="63"/>
      <c r="E394" s="63"/>
      <c r="F394" s="37"/>
      <c r="G394" s="37"/>
      <c r="H394" s="37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</row>
    <row r="395" ht="15.75" customHeight="1">
      <c r="A395" s="63"/>
      <c r="B395" s="63"/>
      <c r="C395" s="63"/>
      <c r="D395" s="63"/>
      <c r="E395" s="63"/>
      <c r="F395" s="37"/>
      <c r="G395" s="37"/>
      <c r="H395" s="37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</row>
    <row r="396" ht="15.75" customHeight="1">
      <c r="A396" s="63"/>
      <c r="B396" s="63"/>
      <c r="C396" s="63"/>
      <c r="D396" s="63"/>
      <c r="E396" s="63"/>
      <c r="F396" s="37"/>
      <c r="G396" s="37"/>
      <c r="H396" s="37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</row>
    <row r="397" ht="15.75" customHeight="1">
      <c r="A397" s="63"/>
      <c r="B397" s="63"/>
      <c r="C397" s="63"/>
      <c r="D397" s="63"/>
      <c r="E397" s="63"/>
      <c r="F397" s="37"/>
      <c r="G397" s="37"/>
      <c r="H397" s="37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</row>
    <row r="398" ht="15.75" customHeight="1">
      <c r="A398" s="63"/>
      <c r="B398" s="63"/>
      <c r="C398" s="63"/>
      <c r="D398" s="63"/>
      <c r="E398" s="63"/>
      <c r="F398" s="37"/>
      <c r="G398" s="37"/>
      <c r="H398" s="37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</row>
    <row r="399" ht="15.75" customHeight="1">
      <c r="A399" s="63"/>
      <c r="B399" s="63"/>
      <c r="C399" s="63"/>
      <c r="D399" s="63"/>
      <c r="E399" s="63"/>
      <c r="F399" s="37"/>
      <c r="G399" s="37"/>
      <c r="H399" s="37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</row>
    <row r="400" ht="15.75" customHeight="1">
      <c r="A400" s="63"/>
      <c r="B400" s="63"/>
      <c r="C400" s="63"/>
      <c r="D400" s="63"/>
      <c r="E400" s="63"/>
      <c r="F400" s="37"/>
      <c r="G400" s="37"/>
      <c r="H400" s="37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</row>
    <row r="401" ht="15.75" customHeight="1">
      <c r="A401" s="63"/>
      <c r="B401" s="63"/>
      <c r="C401" s="63"/>
      <c r="D401" s="63"/>
      <c r="E401" s="63"/>
      <c r="F401" s="37"/>
      <c r="G401" s="37"/>
      <c r="H401" s="37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</row>
    <row r="402" ht="15.75" customHeight="1">
      <c r="A402" s="63"/>
      <c r="B402" s="63"/>
      <c r="C402" s="63"/>
      <c r="D402" s="63"/>
      <c r="E402" s="63"/>
      <c r="F402" s="37"/>
      <c r="G402" s="37"/>
      <c r="H402" s="37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</row>
    <row r="403" ht="15.75" customHeight="1">
      <c r="A403" s="63"/>
      <c r="B403" s="63"/>
      <c r="C403" s="63"/>
      <c r="D403" s="63"/>
      <c r="E403" s="63"/>
      <c r="F403" s="37"/>
      <c r="G403" s="37"/>
      <c r="H403" s="37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</row>
    <row r="404" ht="15.75" customHeight="1">
      <c r="A404" s="63"/>
      <c r="B404" s="63"/>
      <c r="C404" s="63"/>
      <c r="D404" s="63"/>
      <c r="E404" s="63"/>
      <c r="F404" s="37"/>
      <c r="G404" s="37"/>
      <c r="H404" s="37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</row>
    <row r="405" ht="15.75" customHeight="1">
      <c r="A405" s="63"/>
      <c r="B405" s="63"/>
      <c r="C405" s="63"/>
      <c r="D405" s="63"/>
      <c r="E405" s="63"/>
      <c r="F405" s="37"/>
      <c r="G405" s="37"/>
      <c r="H405" s="37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</row>
    <row r="406" ht="15.75" customHeight="1">
      <c r="A406" s="63"/>
      <c r="B406" s="63"/>
      <c r="C406" s="63"/>
      <c r="D406" s="63"/>
      <c r="E406" s="63"/>
      <c r="F406" s="37"/>
      <c r="G406" s="37"/>
      <c r="H406" s="37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</row>
    <row r="407" ht="15.75" customHeight="1">
      <c r="A407" s="63"/>
      <c r="B407" s="63"/>
      <c r="C407" s="63"/>
      <c r="D407" s="63"/>
      <c r="E407" s="63"/>
      <c r="F407" s="37"/>
      <c r="G407" s="37"/>
      <c r="H407" s="37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</row>
    <row r="408" ht="15.75" customHeight="1">
      <c r="A408" s="63"/>
      <c r="B408" s="63"/>
      <c r="C408" s="63"/>
      <c r="D408" s="63"/>
      <c r="E408" s="63"/>
      <c r="F408" s="37"/>
      <c r="G408" s="37"/>
      <c r="H408" s="37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</row>
    <row r="409" ht="15.75" customHeight="1">
      <c r="A409" s="63"/>
      <c r="B409" s="63"/>
      <c r="C409" s="63"/>
      <c r="D409" s="63"/>
      <c r="E409" s="63"/>
      <c r="F409" s="37"/>
      <c r="G409" s="37"/>
      <c r="H409" s="37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</row>
    <row r="410" ht="15.75" customHeight="1">
      <c r="A410" s="63"/>
      <c r="B410" s="63"/>
      <c r="C410" s="63"/>
      <c r="D410" s="63"/>
      <c r="E410" s="63"/>
      <c r="F410" s="37"/>
      <c r="G410" s="37"/>
      <c r="H410" s="37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</row>
    <row r="411" ht="15.75" customHeight="1">
      <c r="A411" s="63"/>
      <c r="B411" s="63"/>
      <c r="C411" s="63"/>
      <c r="D411" s="63"/>
      <c r="E411" s="63"/>
      <c r="F411" s="37"/>
      <c r="G411" s="37"/>
      <c r="H411" s="37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</row>
    <row r="412" ht="15.75" customHeight="1">
      <c r="A412" s="63"/>
      <c r="B412" s="63"/>
      <c r="C412" s="63"/>
      <c r="D412" s="63"/>
      <c r="E412" s="63"/>
      <c r="F412" s="37"/>
      <c r="G412" s="37"/>
      <c r="H412" s="37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</row>
    <row r="413" ht="15.75" customHeight="1">
      <c r="A413" s="63"/>
      <c r="B413" s="63"/>
      <c r="C413" s="63"/>
      <c r="D413" s="63"/>
      <c r="E413" s="63"/>
      <c r="F413" s="37"/>
      <c r="G413" s="37"/>
      <c r="H413" s="37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</row>
    <row r="414" ht="15.75" customHeight="1">
      <c r="A414" s="63"/>
      <c r="B414" s="63"/>
      <c r="C414" s="63"/>
      <c r="D414" s="63"/>
      <c r="E414" s="63"/>
      <c r="F414" s="37"/>
      <c r="G414" s="37"/>
      <c r="H414" s="37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</row>
    <row r="415" ht="15.75" customHeight="1">
      <c r="A415" s="63"/>
      <c r="B415" s="63"/>
      <c r="C415" s="63"/>
      <c r="D415" s="63"/>
      <c r="E415" s="63"/>
      <c r="F415" s="37"/>
      <c r="G415" s="37"/>
      <c r="H415" s="37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</row>
    <row r="416" ht="15.75" customHeight="1">
      <c r="A416" s="63"/>
      <c r="B416" s="63"/>
      <c r="C416" s="63"/>
      <c r="D416" s="63"/>
      <c r="E416" s="63"/>
      <c r="F416" s="37"/>
      <c r="G416" s="37"/>
      <c r="H416" s="37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</row>
    <row r="417" ht="15.75" customHeight="1">
      <c r="A417" s="63"/>
      <c r="B417" s="63"/>
      <c r="C417" s="63"/>
      <c r="D417" s="63"/>
      <c r="E417" s="63"/>
      <c r="F417" s="37"/>
      <c r="G417" s="37"/>
      <c r="H417" s="37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</row>
    <row r="418" ht="15.75" customHeight="1">
      <c r="A418" s="63"/>
      <c r="B418" s="63"/>
      <c r="C418" s="63"/>
      <c r="D418" s="63"/>
      <c r="E418" s="63"/>
      <c r="F418" s="37"/>
      <c r="G418" s="37"/>
      <c r="H418" s="37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</row>
    <row r="419" ht="15.75" customHeight="1">
      <c r="A419" s="63"/>
      <c r="B419" s="63"/>
      <c r="C419" s="63"/>
      <c r="D419" s="63"/>
      <c r="E419" s="63"/>
      <c r="F419" s="37"/>
      <c r="G419" s="37"/>
      <c r="H419" s="37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</row>
    <row r="420" ht="15.75" customHeight="1">
      <c r="A420" s="63"/>
      <c r="B420" s="63"/>
      <c r="C420" s="63"/>
      <c r="D420" s="63"/>
      <c r="E420" s="63"/>
      <c r="F420" s="37"/>
      <c r="G420" s="37"/>
      <c r="H420" s="37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</row>
    <row r="421" ht="15.75" customHeight="1">
      <c r="A421" s="63"/>
      <c r="B421" s="63"/>
      <c r="C421" s="63"/>
      <c r="D421" s="63"/>
      <c r="E421" s="63"/>
      <c r="F421" s="37"/>
      <c r="G421" s="37"/>
      <c r="H421" s="37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</row>
    <row r="422" ht="15.75" customHeight="1">
      <c r="A422" s="63"/>
      <c r="B422" s="63"/>
      <c r="C422" s="63"/>
      <c r="D422" s="63"/>
      <c r="E422" s="63"/>
      <c r="F422" s="37"/>
      <c r="G422" s="37"/>
      <c r="H422" s="37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</row>
    <row r="423" ht="15.75" customHeight="1">
      <c r="A423" s="63"/>
      <c r="B423" s="63"/>
      <c r="C423" s="63"/>
      <c r="D423" s="63"/>
      <c r="E423" s="63"/>
      <c r="F423" s="37"/>
      <c r="G423" s="37"/>
      <c r="H423" s="37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</row>
    <row r="424" ht="15.75" customHeight="1">
      <c r="A424" s="63"/>
      <c r="B424" s="63"/>
      <c r="C424" s="63"/>
      <c r="D424" s="63"/>
      <c r="E424" s="63"/>
      <c r="F424" s="37"/>
      <c r="G424" s="37"/>
      <c r="H424" s="37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</row>
    <row r="425" ht="15.75" customHeight="1">
      <c r="A425" s="63"/>
      <c r="B425" s="63"/>
      <c r="C425" s="63"/>
      <c r="D425" s="63"/>
      <c r="E425" s="63"/>
      <c r="F425" s="37"/>
      <c r="G425" s="37"/>
      <c r="H425" s="37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</row>
    <row r="426" ht="15.75" customHeight="1">
      <c r="A426" s="63"/>
      <c r="B426" s="63"/>
      <c r="C426" s="63"/>
      <c r="D426" s="63"/>
      <c r="E426" s="63"/>
      <c r="F426" s="37"/>
      <c r="G426" s="37"/>
      <c r="H426" s="37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</row>
    <row r="427" ht="15.75" customHeight="1">
      <c r="A427" s="63"/>
      <c r="B427" s="63"/>
      <c r="C427" s="63"/>
      <c r="D427" s="63"/>
      <c r="E427" s="63"/>
      <c r="F427" s="37"/>
      <c r="G427" s="37"/>
      <c r="H427" s="37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</row>
    <row r="428" ht="15.75" customHeight="1">
      <c r="A428" s="63"/>
      <c r="B428" s="63"/>
      <c r="C428" s="63"/>
      <c r="D428" s="63"/>
      <c r="E428" s="63"/>
      <c r="F428" s="37"/>
      <c r="G428" s="37"/>
      <c r="H428" s="37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</row>
    <row r="429" ht="15.75" customHeight="1">
      <c r="A429" s="63"/>
      <c r="B429" s="63"/>
      <c r="C429" s="63"/>
      <c r="D429" s="63"/>
      <c r="E429" s="63"/>
      <c r="F429" s="37"/>
      <c r="G429" s="37"/>
      <c r="H429" s="37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</row>
    <row r="430" ht="15.75" customHeight="1">
      <c r="A430" s="63"/>
      <c r="B430" s="63"/>
      <c r="C430" s="63"/>
      <c r="D430" s="63"/>
      <c r="E430" s="63"/>
      <c r="F430" s="37"/>
      <c r="G430" s="37"/>
      <c r="H430" s="37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</row>
    <row r="431" ht="15.75" customHeight="1">
      <c r="A431" s="63"/>
      <c r="B431" s="63"/>
      <c r="C431" s="63"/>
      <c r="D431" s="63"/>
      <c r="E431" s="63"/>
      <c r="F431" s="37"/>
      <c r="G431" s="37"/>
      <c r="H431" s="37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</row>
    <row r="432" ht="15.75" customHeight="1">
      <c r="A432" s="63"/>
      <c r="B432" s="63"/>
      <c r="C432" s="63"/>
      <c r="D432" s="63"/>
      <c r="E432" s="63"/>
      <c r="F432" s="37"/>
      <c r="G432" s="37"/>
      <c r="H432" s="37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</row>
    <row r="433" ht="15.75" customHeight="1">
      <c r="A433" s="63"/>
      <c r="B433" s="63"/>
      <c r="C433" s="63"/>
      <c r="D433" s="63"/>
      <c r="E433" s="63"/>
      <c r="F433" s="37"/>
      <c r="G433" s="37"/>
      <c r="H433" s="37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</row>
    <row r="434" ht="15.75" customHeight="1">
      <c r="A434" s="63"/>
      <c r="B434" s="63"/>
      <c r="C434" s="63"/>
      <c r="D434" s="63"/>
      <c r="E434" s="63"/>
      <c r="F434" s="37"/>
      <c r="G434" s="37"/>
      <c r="H434" s="37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</row>
    <row r="435" ht="15.75" customHeight="1">
      <c r="A435" s="63"/>
      <c r="B435" s="63"/>
      <c r="C435" s="63"/>
      <c r="D435" s="63"/>
      <c r="E435" s="63"/>
      <c r="F435" s="37"/>
      <c r="G435" s="37"/>
      <c r="H435" s="37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</row>
    <row r="436" ht="15.75" customHeight="1">
      <c r="A436" s="63"/>
      <c r="B436" s="63"/>
      <c r="C436" s="63"/>
      <c r="D436" s="63"/>
      <c r="E436" s="63"/>
      <c r="F436" s="37"/>
      <c r="G436" s="37"/>
      <c r="H436" s="37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</row>
    <row r="437" ht="15.75" customHeight="1">
      <c r="A437" s="63"/>
      <c r="B437" s="63"/>
      <c r="C437" s="63"/>
      <c r="D437" s="63"/>
      <c r="E437" s="63"/>
      <c r="F437" s="37"/>
      <c r="G437" s="37"/>
      <c r="H437" s="37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</row>
    <row r="438" ht="15.75" customHeight="1">
      <c r="A438" s="63"/>
      <c r="B438" s="63"/>
      <c r="C438" s="63"/>
      <c r="D438" s="63"/>
      <c r="E438" s="63"/>
      <c r="F438" s="37"/>
      <c r="G438" s="37"/>
      <c r="H438" s="37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</row>
    <row r="439" ht="15.75" customHeight="1">
      <c r="A439" s="63"/>
      <c r="B439" s="63"/>
      <c r="C439" s="63"/>
      <c r="D439" s="63"/>
      <c r="E439" s="63"/>
      <c r="F439" s="37"/>
      <c r="G439" s="37"/>
      <c r="H439" s="37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</row>
    <row r="440" ht="15.75" customHeight="1">
      <c r="A440" s="63"/>
      <c r="B440" s="63"/>
      <c r="C440" s="63"/>
      <c r="D440" s="63"/>
      <c r="E440" s="63"/>
      <c r="F440" s="37"/>
      <c r="G440" s="37"/>
      <c r="H440" s="37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</row>
    <row r="441" ht="15.75" customHeight="1">
      <c r="A441" s="63"/>
      <c r="B441" s="63"/>
      <c r="C441" s="63"/>
      <c r="D441" s="63"/>
      <c r="E441" s="63"/>
      <c r="F441" s="37"/>
      <c r="G441" s="37"/>
      <c r="H441" s="37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</row>
    <row r="442" ht="15.75" customHeight="1">
      <c r="A442" s="63"/>
      <c r="B442" s="63"/>
      <c r="C442" s="63"/>
      <c r="D442" s="63"/>
      <c r="E442" s="63"/>
      <c r="F442" s="37"/>
      <c r="G442" s="37"/>
      <c r="H442" s="37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</row>
    <row r="443" ht="15.75" customHeight="1">
      <c r="A443" s="63"/>
      <c r="B443" s="63"/>
      <c r="C443" s="63"/>
      <c r="D443" s="63"/>
      <c r="E443" s="63"/>
      <c r="F443" s="37"/>
      <c r="G443" s="37"/>
      <c r="H443" s="37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</row>
    <row r="444" ht="15.75" customHeight="1">
      <c r="A444" s="63"/>
      <c r="B444" s="63"/>
      <c r="C444" s="63"/>
      <c r="D444" s="63"/>
      <c r="E444" s="63"/>
      <c r="F444" s="37"/>
      <c r="G444" s="37"/>
      <c r="H444" s="37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</row>
    <row r="445" ht="15.75" customHeight="1">
      <c r="A445" s="63"/>
      <c r="B445" s="63"/>
      <c r="C445" s="63"/>
      <c r="D445" s="63"/>
      <c r="E445" s="63"/>
      <c r="F445" s="37"/>
      <c r="G445" s="37"/>
      <c r="H445" s="37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</row>
    <row r="446" ht="15.75" customHeight="1">
      <c r="A446" s="63"/>
      <c r="B446" s="63"/>
      <c r="C446" s="63"/>
      <c r="D446" s="63"/>
      <c r="E446" s="63"/>
      <c r="F446" s="37"/>
      <c r="G446" s="37"/>
      <c r="H446" s="37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</row>
    <row r="447" ht="15.75" customHeight="1">
      <c r="A447" s="63"/>
      <c r="B447" s="63"/>
      <c r="C447" s="63"/>
      <c r="D447" s="63"/>
      <c r="E447" s="63"/>
      <c r="F447" s="37"/>
      <c r="G447" s="37"/>
      <c r="H447" s="37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</row>
    <row r="448" ht="15.75" customHeight="1">
      <c r="A448" s="63"/>
      <c r="B448" s="63"/>
      <c r="C448" s="63"/>
      <c r="D448" s="63"/>
      <c r="E448" s="63"/>
      <c r="F448" s="37"/>
      <c r="G448" s="37"/>
      <c r="H448" s="37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</row>
    <row r="449" ht="15.75" customHeight="1">
      <c r="A449" s="63"/>
      <c r="B449" s="63"/>
      <c r="C449" s="63"/>
      <c r="D449" s="63"/>
      <c r="E449" s="63"/>
      <c r="F449" s="37"/>
      <c r="G449" s="37"/>
      <c r="H449" s="37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</row>
    <row r="450" ht="15.75" customHeight="1">
      <c r="A450" s="63"/>
      <c r="B450" s="63"/>
      <c r="C450" s="63"/>
      <c r="D450" s="63"/>
      <c r="E450" s="63"/>
      <c r="F450" s="37"/>
      <c r="G450" s="37"/>
      <c r="H450" s="37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</row>
    <row r="451" ht="15.75" customHeight="1">
      <c r="A451" s="63"/>
      <c r="B451" s="63"/>
      <c r="C451" s="63"/>
      <c r="D451" s="63"/>
      <c r="E451" s="63"/>
      <c r="F451" s="37"/>
      <c r="G451" s="37"/>
      <c r="H451" s="37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</row>
    <row r="452" ht="15.75" customHeight="1">
      <c r="A452" s="63"/>
      <c r="B452" s="63"/>
      <c r="C452" s="63"/>
      <c r="D452" s="63"/>
      <c r="E452" s="63"/>
      <c r="F452" s="37"/>
      <c r="G452" s="37"/>
      <c r="H452" s="37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</row>
    <row r="453" ht="15.75" customHeight="1">
      <c r="A453" s="63"/>
      <c r="B453" s="63"/>
      <c r="C453" s="63"/>
      <c r="D453" s="63"/>
      <c r="E453" s="63"/>
      <c r="F453" s="37"/>
      <c r="G453" s="37"/>
      <c r="H453" s="37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</row>
    <row r="454" ht="15.75" customHeight="1">
      <c r="A454" s="63"/>
      <c r="B454" s="63"/>
      <c r="C454" s="63"/>
      <c r="D454" s="63"/>
      <c r="E454" s="63"/>
      <c r="F454" s="37"/>
      <c r="G454" s="37"/>
      <c r="H454" s="37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</row>
    <row r="455" ht="15.75" customHeight="1">
      <c r="A455" s="63"/>
      <c r="B455" s="63"/>
      <c r="C455" s="63"/>
      <c r="D455" s="63"/>
      <c r="E455" s="63"/>
      <c r="F455" s="37"/>
      <c r="G455" s="37"/>
      <c r="H455" s="37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</row>
    <row r="456" ht="15.75" customHeight="1">
      <c r="A456" s="63"/>
      <c r="B456" s="63"/>
      <c r="C456" s="63"/>
      <c r="D456" s="63"/>
      <c r="E456" s="63"/>
      <c r="F456" s="37"/>
      <c r="G456" s="37"/>
      <c r="H456" s="37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</row>
    <row r="457" ht="15.75" customHeight="1">
      <c r="A457" s="63"/>
      <c r="B457" s="63"/>
      <c r="C457" s="63"/>
      <c r="D457" s="63"/>
      <c r="E457" s="63"/>
      <c r="F457" s="37"/>
      <c r="G457" s="37"/>
      <c r="H457" s="37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</row>
    <row r="458" ht="15.75" customHeight="1">
      <c r="A458" s="63"/>
      <c r="B458" s="63"/>
      <c r="C458" s="63"/>
      <c r="D458" s="63"/>
      <c r="E458" s="63"/>
      <c r="F458" s="37"/>
      <c r="G458" s="37"/>
      <c r="H458" s="37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</row>
    <row r="459" ht="15.75" customHeight="1">
      <c r="A459" s="63"/>
      <c r="B459" s="63"/>
      <c r="C459" s="63"/>
      <c r="D459" s="63"/>
      <c r="E459" s="63"/>
      <c r="F459" s="37"/>
      <c r="G459" s="37"/>
      <c r="H459" s="37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</row>
    <row r="460" ht="15.75" customHeight="1">
      <c r="A460" s="63"/>
      <c r="B460" s="63"/>
      <c r="C460" s="63"/>
      <c r="D460" s="63"/>
      <c r="E460" s="63"/>
      <c r="F460" s="37"/>
      <c r="G460" s="37"/>
      <c r="H460" s="37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</row>
    <row r="461" ht="15.75" customHeight="1">
      <c r="A461" s="63"/>
      <c r="B461" s="63"/>
      <c r="C461" s="63"/>
      <c r="D461" s="63"/>
      <c r="E461" s="63"/>
      <c r="F461" s="37"/>
      <c r="G461" s="37"/>
      <c r="H461" s="37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</row>
    <row r="462" ht="15.75" customHeight="1">
      <c r="A462" s="63"/>
      <c r="B462" s="63"/>
      <c r="C462" s="63"/>
      <c r="D462" s="63"/>
      <c r="E462" s="63"/>
      <c r="F462" s="37"/>
      <c r="G462" s="37"/>
      <c r="H462" s="37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</row>
    <row r="463" ht="15.75" customHeight="1">
      <c r="A463" s="63"/>
      <c r="B463" s="63"/>
      <c r="C463" s="63"/>
      <c r="D463" s="63"/>
      <c r="E463" s="63"/>
      <c r="F463" s="37"/>
      <c r="G463" s="37"/>
      <c r="H463" s="37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</row>
    <row r="464" ht="15.75" customHeight="1">
      <c r="A464" s="63"/>
      <c r="B464" s="63"/>
      <c r="C464" s="63"/>
      <c r="D464" s="63"/>
      <c r="E464" s="63"/>
      <c r="F464" s="37"/>
      <c r="G464" s="37"/>
      <c r="H464" s="37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</row>
    <row r="465" ht="15.75" customHeight="1">
      <c r="A465" s="63"/>
      <c r="B465" s="63"/>
      <c r="C465" s="63"/>
      <c r="D465" s="63"/>
      <c r="E465" s="63"/>
      <c r="F465" s="37"/>
      <c r="G465" s="37"/>
      <c r="H465" s="37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</row>
    <row r="466" ht="15.75" customHeight="1">
      <c r="A466" s="63"/>
      <c r="B466" s="63"/>
      <c r="C466" s="63"/>
      <c r="D466" s="63"/>
      <c r="E466" s="63"/>
      <c r="F466" s="37"/>
      <c r="G466" s="37"/>
      <c r="H466" s="37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</row>
    <row r="467" ht="15.75" customHeight="1">
      <c r="A467" s="63"/>
      <c r="B467" s="63"/>
      <c r="C467" s="63"/>
      <c r="D467" s="63"/>
      <c r="E467" s="63"/>
      <c r="F467" s="37"/>
      <c r="G467" s="37"/>
      <c r="H467" s="37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</row>
    <row r="468" ht="15.75" customHeight="1">
      <c r="A468" s="63"/>
      <c r="B468" s="63"/>
      <c r="C468" s="63"/>
      <c r="D468" s="63"/>
      <c r="E468" s="63"/>
      <c r="F468" s="37"/>
      <c r="G468" s="37"/>
      <c r="H468" s="37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</row>
    <row r="469" ht="15.75" customHeight="1">
      <c r="A469" s="63"/>
      <c r="B469" s="63"/>
      <c r="C469" s="63"/>
      <c r="D469" s="63"/>
      <c r="E469" s="63"/>
      <c r="F469" s="37"/>
      <c r="G469" s="37"/>
      <c r="H469" s="37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</row>
    <row r="470" ht="15.75" customHeight="1">
      <c r="A470" s="63"/>
      <c r="B470" s="63"/>
      <c r="C470" s="63"/>
      <c r="D470" s="63"/>
      <c r="E470" s="63"/>
      <c r="F470" s="37"/>
      <c r="G470" s="37"/>
      <c r="H470" s="37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</row>
    <row r="471" ht="15.75" customHeight="1">
      <c r="A471" s="63"/>
      <c r="B471" s="63"/>
      <c r="C471" s="63"/>
      <c r="D471" s="63"/>
      <c r="E471" s="63"/>
      <c r="F471" s="37"/>
      <c r="G471" s="37"/>
      <c r="H471" s="37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</row>
    <row r="472" ht="15.75" customHeight="1">
      <c r="A472" s="63"/>
      <c r="B472" s="63"/>
      <c r="C472" s="63"/>
      <c r="D472" s="63"/>
      <c r="E472" s="63"/>
      <c r="F472" s="37"/>
      <c r="G472" s="37"/>
      <c r="H472" s="37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</row>
    <row r="473" ht="15.75" customHeight="1">
      <c r="A473" s="63"/>
      <c r="B473" s="63"/>
      <c r="C473" s="63"/>
      <c r="D473" s="63"/>
      <c r="E473" s="63"/>
      <c r="F473" s="37"/>
      <c r="G473" s="37"/>
      <c r="H473" s="37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</row>
    <row r="474" ht="15.75" customHeight="1">
      <c r="A474" s="63"/>
      <c r="B474" s="63"/>
      <c r="C474" s="63"/>
      <c r="D474" s="63"/>
      <c r="E474" s="63"/>
      <c r="F474" s="37"/>
      <c r="G474" s="37"/>
      <c r="H474" s="37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</row>
    <row r="475" ht="15.75" customHeight="1">
      <c r="A475" s="63"/>
      <c r="B475" s="63"/>
      <c r="C475" s="63"/>
      <c r="D475" s="63"/>
      <c r="E475" s="63"/>
      <c r="F475" s="37"/>
      <c r="G475" s="37"/>
      <c r="H475" s="37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</row>
    <row r="476" ht="15.75" customHeight="1">
      <c r="A476" s="63"/>
      <c r="B476" s="63"/>
      <c r="C476" s="63"/>
      <c r="D476" s="63"/>
      <c r="E476" s="63"/>
      <c r="F476" s="37"/>
      <c r="G476" s="37"/>
      <c r="H476" s="37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</row>
    <row r="477" ht="15.75" customHeight="1">
      <c r="A477" s="63"/>
      <c r="B477" s="63"/>
      <c r="C477" s="63"/>
      <c r="D477" s="63"/>
      <c r="E477" s="63"/>
      <c r="F477" s="37"/>
      <c r="G477" s="37"/>
      <c r="H477" s="37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</row>
    <row r="478" ht="15.75" customHeight="1">
      <c r="A478" s="63"/>
      <c r="B478" s="63"/>
      <c r="C478" s="63"/>
      <c r="D478" s="63"/>
      <c r="E478" s="63"/>
      <c r="F478" s="37"/>
      <c r="G478" s="37"/>
      <c r="H478" s="37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</row>
    <row r="479" ht="15.75" customHeight="1">
      <c r="A479" s="63"/>
      <c r="B479" s="63"/>
      <c r="C479" s="63"/>
      <c r="D479" s="63"/>
      <c r="E479" s="63"/>
      <c r="F479" s="37"/>
      <c r="G479" s="37"/>
      <c r="H479" s="37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</row>
    <row r="480" ht="15.75" customHeight="1">
      <c r="A480" s="63"/>
      <c r="B480" s="63"/>
      <c r="C480" s="63"/>
      <c r="D480" s="63"/>
      <c r="E480" s="63"/>
      <c r="F480" s="37"/>
      <c r="G480" s="37"/>
      <c r="H480" s="37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</row>
    <row r="481" ht="15.75" customHeight="1">
      <c r="A481" s="63"/>
      <c r="B481" s="63"/>
      <c r="C481" s="63"/>
      <c r="D481" s="63"/>
      <c r="E481" s="63"/>
      <c r="F481" s="37"/>
      <c r="G481" s="37"/>
      <c r="H481" s="37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</row>
    <row r="482" ht="15.75" customHeight="1">
      <c r="A482" s="63"/>
      <c r="B482" s="63"/>
      <c r="C482" s="63"/>
      <c r="D482" s="63"/>
      <c r="E482" s="63"/>
      <c r="F482" s="37"/>
      <c r="G482" s="37"/>
      <c r="H482" s="37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</row>
    <row r="483" ht="15.75" customHeight="1">
      <c r="A483" s="63"/>
      <c r="B483" s="63"/>
      <c r="C483" s="63"/>
      <c r="D483" s="63"/>
      <c r="E483" s="63"/>
      <c r="F483" s="37"/>
      <c r="G483" s="37"/>
      <c r="H483" s="37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</row>
    <row r="484" ht="15.75" customHeight="1">
      <c r="A484" s="63"/>
      <c r="B484" s="63"/>
      <c r="C484" s="63"/>
      <c r="D484" s="63"/>
      <c r="E484" s="63"/>
      <c r="F484" s="37"/>
      <c r="G484" s="37"/>
      <c r="H484" s="37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</row>
    <row r="485" ht="15.75" customHeight="1">
      <c r="A485" s="63"/>
      <c r="B485" s="63"/>
      <c r="C485" s="63"/>
      <c r="D485" s="63"/>
      <c r="E485" s="63"/>
      <c r="F485" s="37"/>
      <c r="G485" s="37"/>
      <c r="H485" s="37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</row>
    <row r="486" ht="15.75" customHeight="1">
      <c r="A486" s="63"/>
      <c r="B486" s="63"/>
      <c r="C486" s="63"/>
      <c r="D486" s="63"/>
      <c r="E486" s="63"/>
      <c r="F486" s="37"/>
      <c r="G486" s="37"/>
      <c r="H486" s="37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</row>
    <row r="487" ht="15.75" customHeight="1">
      <c r="A487" s="63"/>
      <c r="B487" s="63"/>
      <c r="C487" s="63"/>
      <c r="D487" s="63"/>
      <c r="E487" s="63"/>
      <c r="F487" s="37"/>
      <c r="G487" s="37"/>
      <c r="H487" s="37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</row>
    <row r="488" ht="15.75" customHeight="1">
      <c r="A488" s="63"/>
      <c r="B488" s="63"/>
      <c r="C488" s="63"/>
      <c r="D488" s="63"/>
      <c r="E488" s="63"/>
      <c r="F488" s="37"/>
      <c r="G488" s="37"/>
      <c r="H488" s="37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</row>
    <row r="489" ht="15.75" customHeight="1">
      <c r="A489" s="63"/>
      <c r="B489" s="63"/>
      <c r="C489" s="63"/>
      <c r="D489" s="63"/>
      <c r="E489" s="63"/>
      <c r="F489" s="37"/>
      <c r="G489" s="37"/>
      <c r="H489" s="37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</row>
    <row r="490" ht="15.75" customHeight="1">
      <c r="A490" s="63"/>
      <c r="B490" s="63"/>
      <c r="C490" s="63"/>
      <c r="D490" s="63"/>
      <c r="E490" s="63"/>
      <c r="F490" s="37"/>
      <c r="G490" s="37"/>
      <c r="H490" s="37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</row>
    <row r="491" ht="15.75" customHeight="1">
      <c r="A491" s="63"/>
      <c r="B491" s="63"/>
      <c r="C491" s="63"/>
      <c r="D491" s="63"/>
      <c r="E491" s="63"/>
      <c r="F491" s="37"/>
      <c r="G491" s="37"/>
      <c r="H491" s="37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</row>
    <row r="492" ht="15.75" customHeight="1">
      <c r="A492" s="63"/>
      <c r="B492" s="63"/>
      <c r="C492" s="63"/>
      <c r="D492" s="63"/>
      <c r="E492" s="63"/>
      <c r="F492" s="37"/>
      <c r="G492" s="37"/>
      <c r="H492" s="37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</row>
    <row r="493" ht="15.75" customHeight="1">
      <c r="A493" s="63"/>
      <c r="B493" s="63"/>
      <c r="C493" s="63"/>
      <c r="D493" s="63"/>
      <c r="E493" s="63"/>
      <c r="F493" s="37"/>
      <c r="G493" s="37"/>
      <c r="H493" s="37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</row>
    <row r="494" ht="15.75" customHeight="1">
      <c r="A494" s="63"/>
      <c r="B494" s="63"/>
      <c r="C494" s="63"/>
      <c r="D494" s="63"/>
      <c r="E494" s="63"/>
      <c r="F494" s="37"/>
      <c r="G494" s="37"/>
      <c r="H494" s="37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</row>
    <row r="495" ht="15.75" customHeight="1">
      <c r="A495" s="63"/>
      <c r="B495" s="63"/>
      <c r="C495" s="63"/>
      <c r="D495" s="63"/>
      <c r="E495" s="63"/>
      <c r="F495" s="37"/>
      <c r="G495" s="37"/>
      <c r="H495" s="37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</row>
    <row r="496" ht="15.75" customHeight="1">
      <c r="A496" s="63"/>
      <c r="B496" s="63"/>
      <c r="C496" s="63"/>
      <c r="D496" s="63"/>
      <c r="E496" s="63"/>
      <c r="F496" s="37"/>
      <c r="G496" s="37"/>
      <c r="H496" s="37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</row>
    <row r="497" ht="15.75" customHeight="1">
      <c r="A497" s="63"/>
      <c r="B497" s="63"/>
      <c r="C497" s="63"/>
      <c r="D497" s="63"/>
      <c r="E497" s="63"/>
      <c r="F497" s="37"/>
      <c r="G497" s="37"/>
      <c r="H497" s="37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</row>
    <row r="498" ht="15.75" customHeight="1">
      <c r="A498" s="63"/>
      <c r="B498" s="63"/>
      <c r="C498" s="63"/>
      <c r="D498" s="63"/>
      <c r="E498" s="63"/>
      <c r="F498" s="37"/>
      <c r="G498" s="37"/>
      <c r="H498" s="37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</row>
    <row r="499" ht="15.75" customHeight="1">
      <c r="A499" s="63"/>
      <c r="B499" s="63"/>
      <c r="C499" s="63"/>
      <c r="D499" s="63"/>
      <c r="E499" s="63"/>
      <c r="F499" s="37"/>
      <c r="G499" s="37"/>
      <c r="H499" s="37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</row>
    <row r="500" ht="15.75" customHeight="1">
      <c r="A500" s="63"/>
      <c r="B500" s="63"/>
      <c r="C500" s="63"/>
      <c r="D500" s="63"/>
      <c r="E500" s="63"/>
      <c r="F500" s="37"/>
      <c r="G500" s="37"/>
      <c r="H500" s="37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</row>
    <row r="501" ht="15.75" customHeight="1">
      <c r="A501" s="63"/>
      <c r="B501" s="63"/>
      <c r="C501" s="63"/>
      <c r="D501" s="63"/>
      <c r="E501" s="63"/>
      <c r="F501" s="37"/>
      <c r="G501" s="37"/>
      <c r="H501" s="37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</row>
    <row r="502" ht="15.75" customHeight="1">
      <c r="A502" s="63"/>
      <c r="B502" s="63"/>
      <c r="C502" s="63"/>
      <c r="D502" s="63"/>
      <c r="E502" s="63"/>
      <c r="F502" s="37"/>
      <c r="G502" s="37"/>
      <c r="H502" s="37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</row>
    <row r="503" ht="15.75" customHeight="1">
      <c r="A503" s="63"/>
      <c r="B503" s="63"/>
      <c r="C503" s="63"/>
      <c r="D503" s="63"/>
      <c r="E503" s="63"/>
      <c r="F503" s="37"/>
      <c r="G503" s="37"/>
      <c r="H503" s="37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</row>
    <row r="504" ht="15.75" customHeight="1">
      <c r="A504" s="63"/>
      <c r="B504" s="63"/>
      <c r="C504" s="63"/>
      <c r="D504" s="63"/>
      <c r="E504" s="63"/>
      <c r="F504" s="37"/>
      <c r="G504" s="37"/>
      <c r="H504" s="37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</row>
    <row r="505" ht="15.75" customHeight="1">
      <c r="A505" s="63"/>
      <c r="B505" s="63"/>
      <c r="C505" s="63"/>
      <c r="D505" s="63"/>
      <c r="E505" s="63"/>
      <c r="F505" s="37"/>
      <c r="G505" s="37"/>
      <c r="H505" s="37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</row>
    <row r="506" ht="15.75" customHeight="1">
      <c r="A506" s="63"/>
      <c r="B506" s="63"/>
      <c r="C506" s="63"/>
      <c r="D506" s="63"/>
      <c r="E506" s="63"/>
      <c r="F506" s="37"/>
      <c r="G506" s="37"/>
      <c r="H506" s="37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</row>
    <row r="507" ht="15.75" customHeight="1">
      <c r="A507" s="63"/>
      <c r="B507" s="63"/>
      <c r="C507" s="63"/>
      <c r="D507" s="63"/>
      <c r="E507" s="63"/>
      <c r="F507" s="37"/>
      <c r="G507" s="37"/>
      <c r="H507" s="37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</row>
    <row r="508" ht="15.75" customHeight="1">
      <c r="A508" s="63"/>
      <c r="B508" s="63"/>
      <c r="C508" s="63"/>
      <c r="D508" s="63"/>
      <c r="E508" s="63"/>
      <c r="F508" s="37"/>
      <c r="G508" s="37"/>
      <c r="H508" s="37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</row>
    <row r="509" ht="15.75" customHeight="1">
      <c r="A509" s="63"/>
      <c r="B509" s="63"/>
      <c r="C509" s="63"/>
      <c r="D509" s="63"/>
      <c r="E509" s="63"/>
      <c r="F509" s="37"/>
      <c r="G509" s="37"/>
      <c r="H509" s="37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</row>
    <row r="510" ht="15.75" customHeight="1">
      <c r="A510" s="63"/>
      <c r="B510" s="63"/>
      <c r="C510" s="63"/>
      <c r="D510" s="63"/>
      <c r="E510" s="63"/>
      <c r="F510" s="37"/>
      <c r="G510" s="37"/>
      <c r="H510" s="37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</row>
    <row r="511" ht="15.75" customHeight="1">
      <c r="A511" s="63"/>
      <c r="B511" s="63"/>
      <c r="C511" s="63"/>
      <c r="D511" s="63"/>
      <c r="E511" s="63"/>
      <c r="F511" s="37"/>
      <c r="G511" s="37"/>
      <c r="H511" s="37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</row>
    <row r="512" ht="15.75" customHeight="1">
      <c r="A512" s="63"/>
      <c r="B512" s="63"/>
      <c r="C512" s="63"/>
      <c r="D512" s="63"/>
      <c r="E512" s="63"/>
      <c r="F512" s="37"/>
      <c r="G512" s="37"/>
      <c r="H512" s="37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</row>
    <row r="513" ht="15.75" customHeight="1">
      <c r="A513" s="63"/>
      <c r="B513" s="63"/>
      <c r="C513" s="63"/>
      <c r="D513" s="63"/>
      <c r="E513" s="63"/>
      <c r="F513" s="37"/>
      <c r="G513" s="37"/>
      <c r="H513" s="37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</row>
    <row r="514" ht="15.75" customHeight="1">
      <c r="A514" s="63"/>
      <c r="B514" s="63"/>
      <c r="C514" s="63"/>
      <c r="D514" s="63"/>
      <c r="E514" s="63"/>
      <c r="F514" s="37"/>
      <c r="G514" s="37"/>
      <c r="H514" s="37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</row>
    <row r="515" ht="15.75" customHeight="1">
      <c r="A515" s="63"/>
      <c r="B515" s="63"/>
      <c r="C515" s="63"/>
      <c r="D515" s="63"/>
      <c r="E515" s="63"/>
      <c r="F515" s="37"/>
      <c r="G515" s="37"/>
      <c r="H515" s="37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</row>
    <row r="516" ht="15.75" customHeight="1">
      <c r="A516" s="63"/>
      <c r="B516" s="63"/>
      <c r="C516" s="63"/>
      <c r="D516" s="63"/>
      <c r="E516" s="63"/>
      <c r="F516" s="37"/>
      <c r="G516" s="37"/>
      <c r="H516" s="37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</row>
    <row r="517" ht="15.75" customHeight="1">
      <c r="A517" s="63"/>
      <c r="B517" s="63"/>
      <c r="C517" s="63"/>
      <c r="D517" s="63"/>
      <c r="E517" s="63"/>
      <c r="F517" s="37"/>
      <c r="G517" s="37"/>
      <c r="H517" s="37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</row>
    <row r="518" ht="15.75" customHeight="1">
      <c r="A518" s="63"/>
      <c r="B518" s="63"/>
      <c r="C518" s="63"/>
      <c r="D518" s="63"/>
      <c r="E518" s="63"/>
      <c r="F518" s="37"/>
      <c r="G518" s="37"/>
      <c r="H518" s="37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</row>
    <row r="519" ht="15.75" customHeight="1">
      <c r="A519" s="63"/>
      <c r="B519" s="63"/>
      <c r="C519" s="63"/>
      <c r="D519" s="63"/>
      <c r="E519" s="63"/>
      <c r="F519" s="37"/>
      <c r="G519" s="37"/>
      <c r="H519" s="37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</row>
    <row r="520" ht="15.75" customHeight="1">
      <c r="A520" s="63"/>
      <c r="B520" s="63"/>
      <c r="C520" s="63"/>
      <c r="D520" s="63"/>
      <c r="E520" s="63"/>
      <c r="F520" s="37"/>
      <c r="G520" s="37"/>
      <c r="H520" s="37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</row>
    <row r="521" ht="15.75" customHeight="1">
      <c r="A521" s="63"/>
      <c r="B521" s="63"/>
      <c r="C521" s="63"/>
      <c r="D521" s="63"/>
      <c r="E521" s="63"/>
      <c r="F521" s="37"/>
      <c r="G521" s="37"/>
      <c r="H521" s="37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</row>
    <row r="522" ht="15.75" customHeight="1">
      <c r="A522" s="63"/>
      <c r="B522" s="63"/>
      <c r="C522" s="63"/>
      <c r="D522" s="63"/>
      <c r="E522" s="63"/>
      <c r="F522" s="37"/>
      <c r="G522" s="37"/>
      <c r="H522" s="37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</row>
    <row r="523" ht="15.75" customHeight="1">
      <c r="A523" s="63"/>
      <c r="B523" s="63"/>
      <c r="C523" s="63"/>
      <c r="D523" s="63"/>
      <c r="E523" s="63"/>
      <c r="F523" s="37"/>
      <c r="G523" s="37"/>
      <c r="H523" s="37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</row>
    <row r="524" ht="15.75" customHeight="1">
      <c r="A524" s="63"/>
      <c r="B524" s="63"/>
      <c r="C524" s="63"/>
      <c r="D524" s="63"/>
      <c r="E524" s="63"/>
      <c r="F524" s="37"/>
      <c r="G524" s="37"/>
      <c r="H524" s="37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</row>
    <row r="525" ht="15.75" customHeight="1">
      <c r="A525" s="63"/>
      <c r="B525" s="63"/>
      <c r="C525" s="63"/>
      <c r="D525" s="63"/>
      <c r="E525" s="63"/>
      <c r="F525" s="37"/>
      <c r="G525" s="37"/>
      <c r="H525" s="37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</row>
    <row r="526" ht="15.75" customHeight="1">
      <c r="A526" s="63"/>
      <c r="B526" s="63"/>
      <c r="C526" s="63"/>
      <c r="D526" s="63"/>
      <c r="E526" s="63"/>
      <c r="F526" s="37"/>
      <c r="G526" s="37"/>
      <c r="H526" s="37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</row>
    <row r="527" ht="15.75" customHeight="1">
      <c r="A527" s="63"/>
      <c r="B527" s="63"/>
      <c r="C527" s="63"/>
      <c r="D527" s="63"/>
      <c r="E527" s="63"/>
      <c r="F527" s="37"/>
      <c r="G527" s="37"/>
      <c r="H527" s="37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</row>
    <row r="528" ht="15.75" customHeight="1">
      <c r="A528" s="63"/>
      <c r="B528" s="63"/>
      <c r="C528" s="63"/>
      <c r="D528" s="63"/>
      <c r="E528" s="63"/>
      <c r="F528" s="37"/>
      <c r="G528" s="37"/>
      <c r="H528" s="37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</row>
    <row r="529" ht="15.75" customHeight="1">
      <c r="A529" s="63"/>
      <c r="B529" s="63"/>
      <c r="C529" s="63"/>
      <c r="D529" s="63"/>
      <c r="E529" s="63"/>
      <c r="F529" s="37"/>
      <c r="G529" s="37"/>
      <c r="H529" s="37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</row>
    <row r="530" ht="15.75" customHeight="1">
      <c r="A530" s="63"/>
      <c r="B530" s="63"/>
      <c r="C530" s="63"/>
      <c r="D530" s="63"/>
      <c r="E530" s="63"/>
      <c r="F530" s="37"/>
      <c r="G530" s="37"/>
      <c r="H530" s="37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</row>
    <row r="531" ht="15.75" customHeight="1">
      <c r="A531" s="63"/>
      <c r="B531" s="63"/>
      <c r="C531" s="63"/>
      <c r="D531" s="63"/>
      <c r="E531" s="63"/>
      <c r="F531" s="37"/>
      <c r="G531" s="37"/>
      <c r="H531" s="37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</row>
    <row r="532" ht="15.75" customHeight="1">
      <c r="A532" s="63"/>
      <c r="B532" s="63"/>
      <c r="C532" s="63"/>
      <c r="D532" s="63"/>
      <c r="E532" s="63"/>
      <c r="F532" s="37"/>
      <c r="G532" s="37"/>
      <c r="H532" s="37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</row>
    <row r="533" ht="15.75" customHeight="1">
      <c r="A533" s="63"/>
      <c r="B533" s="63"/>
      <c r="C533" s="63"/>
      <c r="D533" s="63"/>
      <c r="E533" s="63"/>
      <c r="F533" s="37"/>
      <c r="G533" s="37"/>
      <c r="H533" s="37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</row>
    <row r="534" ht="15.75" customHeight="1">
      <c r="A534" s="63"/>
      <c r="B534" s="63"/>
      <c r="C534" s="63"/>
      <c r="D534" s="63"/>
      <c r="E534" s="63"/>
      <c r="F534" s="37"/>
      <c r="G534" s="37"/>
      <c r="H534" s="37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</row>
    <row r="535" ht="15.75" customHeight="1">
      <c r="A535" s="63"/>
      <c r="B535" s="63"/>
      <c r="C535" s="63"/>
      <c r="D535" s="63"/>
      <c r="E535" s="63"/>
      <c r="F535" s="37"/>
      <c r="G535" s="37"/>
      <c r="H535" s="37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</row>
    <row r="536" ht="15.75" customHeight="1">
      <c r="A536" s="63"/>
      <c r="B536" s="63"/>
      <c r="C536" s="63"/>
      <c r="D536" s="63"/>
      <c r="E536" s="63"/>
      <c r="F536" s="37"/>
      <c r="G536" s="37"/>
      <c r="H536" s="37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</row>
    <row r="537" ht="15.75" customHeight="1">
      <c r="A537" s="63"/>
      <c r="B537" s="63"/>
      <c r="C537" s="63"/>
      <c r="D537" s="63"/>
      <c r="E537" s="63"/>
      <c r="F537" s="37"/>
      <c r="G537" s="37"/>
      <c r="H537" s="37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</row>
    <row r="538" ht="15.75" customHeight="1">
      <c r="A538" s="63"/>
      <c r="B538" s="63"/>
      <c r="C538" s="63"/>
      <c r="D538" s="63"/>
      <c r="E538" s="63"/>
      <c r="F538" s="37"/>
      <c r="G538" s="37"/>
      <c r="H538" s="37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</row>
    <row r="539" ht="15.75" customHeight="1">
      <c r="A539" s="63"/>
      <c r="B539" s="63"/>
      <c r="C539" s="63"/>
      <c r="D539" s="63"/>
      <c r="E539" s="63"/>
      <c r="F539" s="37"/>
      <c r="G539" s="37"/>
      <c r="H539" s="37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</row>
    <row r="540" ht="15.75" customHeight="1">
      <c r="A540" s="63"/>
      <c r="B540" s="63"/>
      <c r="C540" s="63"/>
      <c r="D540" s="63"/>
      <c r="E540" s="63"/>
      <c r="F540" s="37"/>
      <c r="G540" s="37"/>
      <c r="H540" s="37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</row>
    <row r="541" ht="15.75" customHeight="1">
      <c r="A541" s="63"/>
      <c r="B541" s="63"/>
      <c r="C541" s="63"/>
      <c r="D541" s="63"/>
      <c r="E541" s="63"/>
      <c r="F541" s="37"/>
      <c r="G541" s="37"/>
      <c r="H541" s="37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</row>
    <row r="542" ht="15.75" customHeight="1">
      <c r="A542" s="63"/>
      <c r="B542" s="63"/>
      <c r="C542" s="63"/>
      <c r="D542" s="63"/>
      <c r="E542" s="63"/>
      <c r="F542" s="37"/>
      <c r="G542" s="37"/>
      <c r="H542" s="37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</row>
    <row r="543" ht="15.75" customHeight="1">
      <c r="A543" s="63"/>
      <c r="B543" s="63"/>
      <c r="C543" s="63"/>
      <c r="D543" s="63"/>
      <c r="E543" s="63"/>
      <c r="F543" s="37"/>
      <c r="G543" s="37"/>
      <c r="H543" s="37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</row>
    <row r="544" ht="15.75" customHeight="1">
      <c r="A544" s="63"/>
      <c r="B544" s="63"/>
      <c r="C544" s="63"/>
      <c r="D544" s="63"/>
      <c r="E544" s="63"/>
      <c r="F544" s="37"/>
      <c r="G544" s="37"/>
      <c r="H544" s="37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</row>
    <row r="545" ht="15.75" customHeight="1">
      <c r="A545" s="63"/>
      <c r="B545" s="63"/>
      <c r="C545" s="63"/>
      <c r="D545" s="63"/>
      <c r="E545" s="63"/>
      <c r="F545" s="37"/>
      <c r="G545" s="37"/>
      <c r="H545" s="37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</row>
    <row r="546" ht="15.75" customHeight="1">
      <c r="A546" s="63"/>
      <c r="B546" s="63"/>
      <c r="C546" s="63"/>
      <c r="D546" s="63"/>
      <c r="E546" s="63"/>
      <c r="F546" s="37"/>
      <c r="G546" s="37"/>
      <c r="H546" s="37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</row>
    <row r="547" ht="15.75" customHeight="1">
      <c r="A547" s="63"/>
      <c r="B547" s="63"/>
      <c r="C547" s="63"/>
      <c r="D547" s="63"/>
      <c r="E547" s="63"/>
      <c r="F547" s="37"/>
      <c r="G547" s="37"/>
      <c r="H547" s="37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</row>
    <row r="548" ht="15.75" customHeight="1">
      <c r="A548" s="63"/>
      <c r="B548" s="63"/>
      <c r="C548" s="63"/>
      <c r="D548" s="63"/>
      <c r="E548" s="63"/>
      <c r="F548" s="37"/>
      <c r="G548" s="37"/>
      <c r="H548" s="37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</row>
    <row r="549" ht="15.75" customHeight="1">
      <c r="A549" s="63"/>
      <c r="B549" s="63"/>
      <c r="C549" s="63"/>
      <c r="D549" s="63"/>
      <c r="E549" s="63"/>
      <c r="F549" s="37"/>
      <c r="G549" s="37"/>
      <c r="H549" s="37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</row>
    <row r="550" ht="15.75" customHeight="1">
      <c r="A550" s="63"/>
      <c r="B550" s="63"/>
      <c r="C550" s="63"/>
      <c r="D550" s="63"/>
      <c r="E550" s="63"/>
      <c r="F550" s="37"/>
      <c r="G550" s="37"/>
      <c r="H550" s="37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</row>
    <row r="551" ht="15.75" customHeight="1">
      <c r="A551" s="63"/>
      <c r="B551" s="63"/>
      <c r="C551" s="63"/>
      <c r="D551" s="63"/>
      <c r="E551" s="63"/>
      <c r="F551" s="37"/>
      <c r="G551" s="37"/>
      <c r="H551" s="37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</row>
    <row r="552" ht="15.75" customHeight="1">
      <c r="A552" s="63"/>
      <c r="B552" s="63"/>
      <c r="C552" s="63"/>
      <c r="D552" s="63"/>
      <c r="E552" s="63"/>
      <c r="F552" s="37"/>
      <c r="G552" s="37"/>
      <c r="H552" s="37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</row>
    <row r="553" ht="15.75" customHeight="1">
      <c r="A553" s="63"/>
      <c r="B553" s="63"/>
      <c r="C553" s="63"/>
      <c r="D553" s="63"/>
      <c r="E553" s="63"/>
      <c r="F553" s="37"/>
      <c r="G553" s="37"/>
      <c r="H553" s="37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</row>
    <row r="554" ht="15.75" customHeight="1">
      <c r="A554" s="63"/>
      <c r="B554" s="63"/>
      <c r="C554" s="63"/>
      <c r="D554" s="63"/>
      <c r="E554" s="63"/>
      <c r="F554" s="37"/>
      <c r="G554" s="37"/>
      <c r="H554" s="37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</row>
    <row r="555" ht="15.75" customHeight="1">
      <c r="A555" s="63"/>
      <c r="B555" s="63"/>
      <c r="C555" s="63"/>
      <c r="D555" s="63"/>
      <c r="E555" s="63"/>
      <c r="F555" s="37"/>
      <c r="G555" s="37"/>
      <c r="H555" s="37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</row>
    <row r="556" ht="15.75" customHeight="1">
      <c r="A556" s="63"/>
      <c r="B556" s="63"/>
      <c r="C556" s="63"/>
      <c r="D556" s="63"/>
      <c r="E556" s="63"/>
      <c r="F556" s="37"/>
      <c r="G556" s="37"/>
      <c r="H556" s="37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</row>
    <row r="557" ht="15.75" customHeight="1">
      <c r="A557" s="63"/>
      <c r="B557" s="63"/>
      <c r="C557" s="63"/>
      <c r="D557" s="63"/>
      <c r="E557" s="63"/>
      <c r="F557" s="37"/>
      <c r="G557" s="37"/>
      <c r="H557" s="37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</row>
    <row r="558" ht="15.75" customHeight="1">
      <c r="A558" s="63"/>
      <c r="B558" s="63"/>
      <c r="C558" s="63"/>
      <c r="D558" s="63"/>
      <c r="E558" s="63"/>
      <c r="F558" s="37"/>
      <c r="G558" s="37"/>
      <c r="H558" s="37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</row>
    <row r="559" ht="15.75" customHeight="1">
      <c r="A559" s="63"/>
      <c r="B559" s="63"/>
      <c r="C559" s="63"/>
      <c r="D559" s="63"/>
      <c r="E559" s="63"/>
      <c r="F559" s="37"/>
      <c r="G559" s="37"/>
      <c r="H559" s="37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</row>
    <row r="560" ht="15.75" customHeight="1">
      <c r="A560" s="63"/>
      <c r="B560" s="63"/>
      <c r="C560" s="63"/>
      <c r="D560" s="63"/>
      <c r="E560" s="63"/>
      <c r="F560" s="37"/>
      <c r="G560" s="37"/>
      <c r="H560" s="37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</row>
    <row r="561" ht="15.75" customHeight="1">
      <c r="A561" s="63"/>
      <c r="B561" s="63"/>
      <c r="C561" s="63"/>
      <c r="D561" s="63"/>
      <c r="E561" s="63"/>
      <c r="F561" s="37"/>
      <c r="G561" s="37"/>
      <c r="H561" s="37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</row>
    <row r="562" ht="15.75" customHeight="1">
      <c r="A562" s="63"/>
      <c r="B562" s="63"/>
      <c r="C562" s="63"/>
      <c r="D562" s="63"/>
      <c r="E562" s="63"/>
      <c r="F562" s="37"/>
      <c r="G562" s="37"/>
      <c r="H562" s="37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</row>
    <row r="563" ht="15.75" customHeight="1">
      <c r="A563" s="63"/>
      <c r="B563" s="63"/>
      <c r="C563" s="63"/>
      <c r="D563" s="63"/>
      <c r="E563" s="63"/>
      <c r="F563" s="37"/>
      <c r="G563" s="37"/>
      <c r="H563" s="37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</row>
    <row r="564" ht="15.75" customHeight="1">
      <c r="A564" s="63"/>
      <c r="B564" s="63"/>
      <c r="C564" s="63"/>
      <c r="D564" s="63"/>
      <c r="E564" s="63"/>
      <c r="F564" s="37"/>
      <c r="G564" s="37"/>
      <c r="H564" s="37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</row>
    <row r="565" ht="15.75" customHeight="1">
      <c r="A565" s="63"/>
      <c r="B565" s="63"/>
      <c r="C565" s="63"/>
      <c r="D565" s="63"/>
      <c r="E565" s="63"/>
      <c r="F565" s="37"/>
      <c r="G565" s="37"/>
      <c r="H565" s="37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</row>
    <row r="566" ht="15.75" customHeight="1">
      <c r="A566" s="63"/>
      <c r="B566" s="63"/>
      <c r="C566" s="63"/>
      <c r="D566" s="63"/>
      <c r="E566" s="63"/>
      <c r="F566" s="37"/>
      <c r="G566" s="37"/>
      <c r="H566" s="37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</row>
    <row r="567" ht="15.75" customHeight="1">
      <c r="A567" s="63"/>
      <c r="B567" s="63"/>
      <c r="C567" s="63"/>
      <c r="D567" s="63"/>
      <c r="E567" s="63"/>
      <c r="F567" s="37"/>
      <c r="G567" s="37"/>
      <c r="H567" s="37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</row>
    <row r="568" ht="15.75" customHeight="1">
      <c r="A568" s="63"/>
      <c r="B568" s="63"/>
      <c r="C568" s="63"/>
      <c r="D568" s="63"/>
      <c r="E568" s="63"/>
      <c r="F568" s="37"/>
      <c r="G568" s="37"/>
      <c r="H568" s="37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</row>
    <row r="569" ht="15.75" customHeight="1">
      <c r="A569" s="63"/>
      <c r="B569" s="63"/>
      <c r="C569" s="63"/>
      <c r="D569" s="63"/>
      <c r="E569" s="63"/>
      <c r="F569" s="37"/>
      <c r="G569" s="37"/>
      <c r="H569" s="37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</row>
    <row r="570" ht="15.75" customHeight="1">
      <c r="A570" s="63"/>
      <c r="B570" s="63"/>
      <c r="C570" s="63"/>
      <c r="D570" s="63"/>
      <c r="E570" s="63"/>
      <c r="F570" s="37"/>
      <c r="G570" s="37"/>
      <c r="H570" s="37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</row>
    <row r="571" ht="15.75" customHeight="1">
      <c r="A571" s="63"/>
      <c r="B571" s="63"/>
      <c r="C571" s="63"/>
      <c r="D571" s="63"/>
      <c r="E571" s="63"/>
      <c r="F571" s="37"/>
      <c r="G571" s="37"/>
      <c r="H571" s="37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</row>
    <row r="572" ht="15.75" customHeight="1">
      <c r="A572" s="63"/>
      <c r="B572" s="63"/>
      <c r="C572" s="63"/>
      <c r="D572" s="63"/>
      <c r="E572" s="63"/>
      <c r="F572" s="37"/>
      <c r="G572" s="37"/>
      <c r="H572" s="37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</row>
    <row r="573" ht="15.75" customHeight="1">
      <c r="A573" s="63"/>
      <c r="B573" s="63"/>
      <c r="C573" s="63"/>
      <c r="D573" s="63"/>
      <c r="E573" s="63"/>
      <c r="F573" s="37"/>
      <c r="G573" s="37"/>
      <c r="H573" s="37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</row>
    <row r="574" ht="15.75" customHeight="1">
      <c r="A574" s="63"/>
      <c r="B574" s="63"/>
      <c r="C574" s="63"/>
      <c r="D574" s="63"/>
      <c r="E574" s="63"/>
      <c r="F574" s="37"/>
      <c r="G574" s="37"/>
      <c r="H574" s="37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</row>
    <row r="575" ht="15.75" customHeight="1">
      <c r="A575" s="63"/>
      <c r="B575" s="63"/>
      <c r="C575" s="63"/>
      <c r="D575" s="63"/>
      <c r="E575" s="63"/>
      <c r="F575" s="37"/>
      <c r="G575" s="37"/>
      <c r="H575" s="37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</row>
    <row r="576" ht="15.75" customHeight="1">
      <c r="A576" s="63"/>
      <c r="B576" s="63"/>
      <c r="C576" s="63"/>
      <c r="D576" s="63"/>
      <c r="E576" s="63"/>
      <c r="F576" s="37"/>
      <c r="G576" s="37"/>
      <c r="H576" s="37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</row>
    <row r="577" ht="15.75" customHeight="1">
      <c r="A577" s="63"/>
      <c r="B577" s="63"/>
      <c r="C577" s="63"/>
      <c r="D577" s="63"/>
      <c r="E577" s="63"/>
      <c r="F577" s="37"/>
      <c r="G577" s="37"/>
      <c r="H577" s="37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</row>
    <row r="578" ht="15.75" customHeight="1">
      <c r="A578" s="63"/>
      <c r="B578" s="63"/>
      <c r="C578" s="63"/>
      <c r="D578" s="63"/>
      <c r="E578" s="63"/>
      <c r="F578" s="37"/>
      <c r="G578" s="37"/>
      <c r="H578" s="37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</row>
    <row r="579" ht="15.75" customHeight="1">
      <c r="A579" s="63"/>
      <c r="B579" s="63"/>
      <c r="C579" s="63"/>
      <c r="D579" s="63"/>
      <c r="E579" s="63"/>
      <c r="F579" s="37"/>
      <c r="G579" s="37"/>
      <c r="H579" s="37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</row>
    <row r="580" ht="15.75" customHeight="1">
      <c r="A580" s="63"/>
      <c r="B580" s="63"/>
      <c r="C580" s="63"/>
      <c r="D580" s="63"/>
      <c r="E580" s="63"/>
      <c r="F580" s="37"/>
      <c r="G580" s="37"/>
      <c r="H580" s="37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</row>
    <row r="581" ht="15.75" customHeight="1">
      <c r="A581" s="63"/>
      <c r="B581" s="63"/>
      <c r="C581" s="63"/>
      <c r="D581" s="63"/>
      <c r="E581" s="63"/>
      <c r="F581" s="37"/>
      <c r="G581" s="37"/>
      <c r="H581" s="37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</row>
    <row r="582" ht="15.75" customHeight="1">
      <c r="A582" s="63"/>
      <c r="B582" s="63"/>
      <c r="C582" s="63"/>
      <c r="D582" s="63"/>
      <c r="E582" s="63"/>
      <c r="F582" s="37"/>
      <c r="G582" s="37"/>
      <c r="H582" s="37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</row>
    <row r="583" ht="15.75" customHeight="1">
      <c r="A583" s="63"/>
      <c r="B583" s="63"/>
      <c r="C583" s="63"/>
      <c r="D583" s="63"/>
      <c r="E583" s="63"/>
      <c r="F583" s="37"/>
      <c r="G583" s="37"/>
      <c r="H583" s="37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</row>
    <row r="584" ht="15.75" customHeight="1">
      <c r="A584" s="63"/>
      <c r="B584" s="63"/>
      <c r="C584" s="63"/>
      <c r="D584" s="63"/>
      <c r="E584" s="63"/>
      <c r="F584" s="37"/>
      <c r="G584" s="37"/>
      <c r="H584" s="37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</row>
    <row r="585" ht="15.75" customHeight="1">
      <c r="A585" s="63"/>
      <c r="B585" s="63"/>
      <c r="C585" s="63"/>
      <c r="D585" s="63"/>
      <c r="E585" s="63"/>
      <c r="F585" s="37"/>
      <c r="G585" s="37"/>
      <c r="H585" s="37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</row>
    <row r="586" ht="15.75" customHeight="1">
      <c r="A586" s="63"/>
      <c r="B586" s="63"/>
      <c r="C586" s="63"/>
      <c r="D586" s="63"/>
      <c r="E586" s="63"/>
      <c r="F586" s="37"/>
      <c r="G586" s="37"/>
      <c r="H586" s="37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</row>
    <row r="587" ht="15.75" customHeight="1">
      <c r="A587" s="63"/>
      <c r="B587" s="63"/>
      <c r="C587" s="63"/>
      <c r="D587" s="63"/>
      <c r="E587" s="63"/>
      <c r="F587" s="37"/>
      <c r="G587" s="37"/>
      <c r="H587" s="37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</row>
    <row r="588" ht="15.75" customHeight="1">
      <c r="A588" s="63"/>
      <c r="B588" s="63"/>
      <c r="C588" s="63"/>
      <c r="D588" s="63"/>
      <c r="E588" s="63"/>
      <c r="F588" s="37"/>
      <c r="G588" s="37"/>
      <c r="H588" s="37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</row>
    <row r="589" ht="15.75" customHeight="1">
      <c r="A589" s="63"/>
      <c r="B589" s="63"/>
      <c r="C589" s="63"/>
      <c r="D589" s="63"/>
      <c r="E589" s="63"/>
      <c r="F589" s="37"/>
      <c r="G589" s="37"/>
      <c r="H589" s="37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</row>
    <row r="590" ht="15.75" customHeight="1">
      <c r="A590" s="63"/>
      <c r="B590" s="63"/>
      <c r="C590" s="63"/>
      <c r="D590" s="63"/>
      <c r="E590" s="63"/>
      <c r="F590" s="37"/>
      <c r="G590" s="37"/>
      <c r="H590" s="37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</row>
    <row r="591" ht="15.75" customHeight="1">
      <c r="A591" s="63"/>
      <c r="B591" s="63"/>
      <c r="C591" s="63"/>
      <c r="D591" s="63"/>
      <c r="E591" s="63"/>
      <c r="F591" s="37"/>
      <c r="G591" s="37"/>
      <c r="H591" s="37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</row>
    <row r="592" ht="15.75" customHeight="1">
      <c r="A592" s="63"/>
      <c r="B592" s="63"/>
      <c r="C592" s="63"/>
      <c r="D592" s="63"/>
      <c r="E592" s="63"/>
      <c r="F592" s="37"/>
      <c r="G592" s="37"/>
      <c r="H592" s="37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</row>
    <row r="593" ht="15.75" customHeight="1">
      <c r="A593" s="63"/>
      <c r="B593" s="63"/>
      <c r="C593" s="63"/>
      <c r="D593" s="63"/>
      <c r="E593" s="63"/>
      <c r="F593" s="37"/>
      <c r="G593" s="37"/>
      <c r="H593" s="37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</row>
    <row r="594" ht="15.75" customHeight="1">
      <c r="A594" s="63"/>
      <c r="B594" s="63"/>
      <c r="C594" s="63"/>
      <c r="D594" s="63"/>
      <c r="E594" s="63"/>
      <c r="F594" s="37"/>
      <c r="G594" s="37"/>
      <c r="H594" s="37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</row>
    <row r="595" ht="15.75" customHeight="1">
      <c r="A595" s="63"/>
      <c r="B595" s="63"/>
      <c r="C595" s="63"/>
      <c r="D595" s="63"/>
      <c r="E595" s="63"/>
      <c r="F595" s="37"/>
      <c r="G595" s="37"/>
      <c r="H595" s="37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</row>
    <row r="596" ht="15.75" customHeight="1">
      <c r="A596" s="63"/>
      <c r="B596" s="63"/>
      <c r="C596" s="63"/>
      <c r="D596" s="63"/>
      <c r="E596" s="63"/>
      <c r="F596" s="37"/>
      <c r="G596" s="37"/>
      <c r="H596" s="37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</row>
    <row r="597" ht="15.75" customHeight="1">
      <c r="A597" s="63"/>
      <c r="B597" s="63"/>
      <c r="C597" s="63"/>
      <c r="D597" s="63"/>
      <c r="E597" s="63"/>
      <c r="F597" s="37"/>
      <c r="G597" s="37"/>
      <c r="H597" s="37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</row>
    <row r="598" ht="15.75" customHeight="1">
      <c r="A598" s="63"/>
      <c r="B598" s="63"/>
      <c r="C598" s="63"/>
      <c r="D598" s="63"/>
      <c r="E598" s="63"/>
      <c r="F598" s="37"/>
      <c r="G598" s="37"/>
      <c r="H598" s="37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</row>
    <row r="599" ht="15.75" customHeight="1">
      <c r="A599" s="63"/>
      <c r="B599" s="63"/>
      <c r="C599" s="63"/>
      <c r="D599" s="63"/>
      <c r="E599" s="63"/>
      <c r="F599" s="37"/>
      <c r="G599" s="37"/>
      <c r="H599" s="37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</row>
    <row r="600" ht="15.75" customHeight="1">
      <c r="A600" s="63"/>
      <c r="B600" s="63"/>
      <c r="C600" s="63"/>
      <c r="D600" s="63"/>
      <c r="E600" s="63"/>
      <c r="F600" s="37"/>
      <c r="G600" s="37"/>
      <c r="H600" s="37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</row>
    <row r="601" ht="15.75" customHeight="1">
      <c r="A601" s="63"/>
      <c r="B601" s="63"/>
      <c r="C601" s="63"/>
      <c r="D601" s="63"/>
      <c r="E601" s="63"/>
      <c r="F601" s="37"/>
      <c r="G601" s="37"/>
      <c r="H601" s="37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</row>
    <row r="602" ht="15.75" customHeight="1">
      <c r="A602" s="63"/>
      <c r="B602" s="63"/>
      <c r="C602" s="63"/>
      <c r="D602" s="63"/>
      <c r="E602" s="63"/>
      <c r="F602" s="37"/>
      <c r="G602" s="37"/>
      <c r="H602" s="37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</row>
    <row r="603" ht="15.75" customHeight="1">
      <c r="A603" s="63"/>
      <c r="B603" s="63"/>
      <c r="C603" s="63"/>
      <c r="D603" s="63"/>
      <c r="E603" s="63"/>
      <c r="F603" s="37"/>
      <c r="G603" s="37"/>
      <c r="H603" s="37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</row>
    <row r="604" ht="15.75" customHeight="1">
      <c r="A604" s="63"/>
      <c r="B604" s="63"/>
      <c r="C604" s="63"/>
      <c r="D604" s="63"/>
      <c r="E604" s="63"/>
      <c r="F604" s="37"/>
      <c r="G604" s="37"/>
      <c r="H604" s="37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</row>
    <row r="605" ht="15.75" customHeight="1">
      <c r="A605" s="63"/>
      <c r="B605" s="63"/>
      <c r="C605" s="63"/>
      <c r="D605" s="63"/>
      <c r="E605" s="63"/>
      <c r="F605" s="37"/>
      <c r="G605" s="37"/>
      <c r="H605" s="37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  <c r="AO605" s="63"/>
      <c r="AP605" s="63"/>
      <c r="AQ605" s="63"/>
      <c r="AR605" s="63"/>
    </row>
    <row r="606" ht="15.75" customHeight="1">
      <c r="A606" s="63"/>
      <c r="B606" s="63"/>
      <c r="C606" s="63"/>
      <c r="D606" s="63"/>
      <c r="E606" s="63"/>
      <c r="F606" s="37"/>
      <c r="G606" s="37"/>
      <c r="H606" s="37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  <c r="AO606" s="63"/>
      <c r="AP606" s="63"/>
      <c r="AQ606" s="63"/>
      <c r="AR606" s="63"/>
    </row>
    <row r="607" ht="15.75" customHeight="1">
      <c r="A607" s="63"/>
      <c r="B607" s="63"/>
      <c r="C607" s="63"/>
      <c r="D607" s="63"/>
      <c r="E607" s="63"/>
      <c r="F607" s="37"/>
      <c r="G607" s="37"/>
      <c r="H607" s="37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  <c r="AO607" s="63"/>
      <c r="AP607" s="63"/>
      <c r="AQ607" s="63"/>
      <c r="AR607" s="63"/>
    </row>
    <row r="608" ht="15.75" customHeight="1">
      <c r="A608" s="63"/>
      <c r="B608" s="63"/>
      <c r="C608" s="63"/>
      <c r="D608" s="63"/>
      <c r="E608" s="63"/>
      <c r="F608" s="37"/>
      <c r="G608" s="37"/>
      <c r="H608" s="37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  <c r="AO608" s="63"/>
      <c r="AP608" s="63"/>
      <c r="AQ608" s="63"/>
      <c r="AR608" s="63"/>
    </row>
    <row r="609" ht="15.75" customHeight="1">
      <c r="A609" s="63"/>
      <c r="B609" s="63"/>
      <c r="C609" s="63"/>
      <c r="D609" s="63"/>
      <c r="E609" s="63"/>
      <c r="F609" s="37"/>
      <c r="G609" s="37"/>
      <c r="H609" s="37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  <c r="AO609" s="63"/>
      <c r="AP609" s="63"/>
      <c r="AQ609" s="63"/>
      <c r="AR609" s="63"/>
    </row>
    <row r="610" ht="15.75" customHeight="1">
      <c r="A610" s="63"/>
      <c r="B610" s="63"/>
      <c r="C610" s="63"/>
      <c r="D610" s="63"/>
      <c r="E610" s="63"/>
      <c r="F610" s="37"/>
      <c r="G610" s="37"/>
      <c r="H610" s="37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</row>
    <row r="611" ht="15.75" customHeight="1">
      <c r="A611" s="63"/>
      <c r="B611" s="63"/>
      <c r="C611" s="63"/>
      <c r="D611" s="63"/>
      <c r="E611" s="63"/>
      <c r="F611" s="37"/>
      <c r="G611" s="37"/>
      <c r="H611" s="37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</row>
    <row r="612" ht="15.75" customHeight="1">
      <c r="A612" s="63"/>
      <c r="B612" s="63"/>
      <c r="C612" s="63"/>
      <c r="D612" s="63"/>
      <c r="E612" s="63"/>
      <c r="F612" s="37"/>
      <c r="G612" s="37"/>
      <c r="H612" s="37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63"/>
      <c r="AQ612" s="63"/>
      <c r="AR612" s="63"/>
    </row>
    <row r="613" ht="15.75" customHeight="1">
      <c r="A613" s="63"/>
      <c r="B613" s="63"/>
      <c r="C613" s="63"/>
      <c r="D613" s="63"/>
      <c r="E613" s="63"/>
      <c r="F613" s="37"/>
      <c r="G613" s="37"/>
      <c r="H613" s="37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</row>
    <row r="614" ht="15.75" customHeight="1">
      <c r="A614" s="63"/>
      <c r="B614" s="63"/>
      <c r="C614" s="63"/>
      <c r="D614" s="63"/>
      <c r="E614" s="63"/>
      <c r="F614" s="37"/>
      <c r="G614" s="37"/>
      <c r="H614" s="37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  <c r="AO614" s="63"/>
      <c r="AP614" s="63"/>
      <c r="AQ614" s="63"/>
      <c r="AR614" s="63"/>
    </row>
    <row r="615" ht="15.75" customHeight="1">
      <c r="A615" s="63"/>
      <c r="B615" s="63"/>
      <c r="C615" s="63"/>
      <c r="D615" s="63"/>
      <c r="E615" s="63"/>
      <c r="F615" s="37"/>
      <c r="G615" s="37"/>
      <c r="H615" s="37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  <c r="AO615" s="63"/>
      <c r="AP615" s="63"/>
      <c r="AQ615" s="63"/>
      <c r="AR615" s="63"/>
    </row>
    <row r="616" ht="15.75" customHeight="1">
      <c r="A616" s="63"/>
      <c r="B616" s="63"/>
      <c r="C616" s="63"/>
      <c r="D616" s="63"/>
      <c r="E616" s="63"/>
      <c r="F616" s="37"/>
      <c r="G616" s="37"/>
      <c r="H616" s="37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  <c r="AO616" s="63"/>
      <c r="AP616" s="63"/>
      <c r="AQ616" s="63"/>
      <c r="AR616" s="63"/>
    </row>
    <row r="617" ht="15.75" customHeight="1">
      <c r="A617" s="63"/>
      <c r="B617" s="63"/>
      <c r="C617" s="63"/>
      <c r="D617" s="63"/>
      <c r="E617" s="63"/>
      <c r="F617" s="37"/>
      <c r="G617" s="37"/>
      <c r="H617" s="37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  <c r="AO617" s="63"/>
      <c r="AP617" s="63"/>
      <c r="AQ617" s="63"/>
      <c r="AR617" s="63"/>
    </row>
    <row r="618" ht="15.75" customHeight="1">
      <c r="A618" s="63"/>
      <c r="B618" s="63"/>
      <c r="C618" s="63"/>
      <c r="D618" s="63"/>
      <c r="E618" s="63"/>
      <c r="F618" s="37"/>
      <c r="G618" s="37"/>
      <c r="H618" s="37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  <c r="AO618" s="63"/>
      <c r="AP618" s="63"/>
      <c r="AQ618" s="63"/>
      <c r="AR618" s="63"/>
    </row>
    <row r="619" ht="15.75" customHeight="1">
      <c r="A619" s="63"/>
      <c r="B619" s="63"/>
      <c r="C619" s="63"/>
      <c r="D619" s="63"/>
      <c r="E619" s="63"/>
      <c r="F619" s="37"/>
      <c r="G619" s="37"/>
      <c r="H619" s="37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  <c r="AO619" s="63"/>
      <c r="AP619" s="63"/>
      <c r="AQ619" s="63"/>
      <c r="AR619" s="63"/>
    </row>
    <row r="620" ht="15.75" customHeight="1">
      <c r="A620" s="63"/>
      <c r="B620" s="63"/>
      <c r="C620" s="63"/>
      <c r="D620" s="63"/>
      <c r="E620" s="63"/>
      <c r="F620" s="37"/>
      <c r="G620" s="37"/>
      <c r="H620" s="37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63"/>
      <c r="AR620" s="63"/>
    </row>
    <row r="621" ht="15.75" customHeight="1">
      <c r="A621" s="63"/>
      <c r="B621" s="63"/>
      <c r="C621" s="63"/>
      <c r="D621" s="63"/>
      <c r="E621" s="63"/>
      <c r="F621" s="37"/>
      <c r="G621" s="37"/>
      <c r="H621" s="37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  <c r="AO621" s="63"/>
      <c r="AP621" s="63"/>
      <c r="AQ621" s="63"/>
      <c r="AR621" s="63"/>
    </row>
    <row r="622" ht="15.75" customHeight="1">
      <c r="A622" s="63"/>
      <c r="B622" s="63"/>
      <c r="C622" s="63"/>
      <c r="D622" s="63"/>
      <c r="E622" s="63"/>
      <c r="F622" s="37"/>
      <c r="G622" s="37"/>
      <c r="H622" s="37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  <c r="AO622" s="63"/>
      <c r="AP622" s="63"/>
      <c r="AQ622" s="63"/>
      <c r="AR622" s="63"/>
    </row>
    <row r="623" ht="15.75" customHeight="1">
      <c r="A623" s="63"/>
      <c r="B623" s="63"/>
      <c r="C623" s="63"/>
      <c r="D623" s="63"/>
      <c r="E623" s="63"/>
      <c r="F623" s="37"/>
      <c r="G623" s="37"/>
      <c r="H623" s="37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63"/>
    </row>
    <row r="624" ht="15.75" customHeight="1">
      <c r="A624" s="63"/>
      <c r="B624" s="63"/>
      <c r="C624" s="63"/>
      <c r="D624" s="63"/>
      <c r="E624" s="63"/>
      <c r="F624" s="37"/>
      <c r="G624" s="37"/>
      <c r="H624" s="37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</row>
    <row r="625" ht="15.75" customHeight="1">
      <c r="A625" s="63"/>
      <c r="B625" s="63"/>
      <c r="C625" s="63"/>
      <c r="D625" s="63"/>
      <c r="E625" s="63"/>
      <c r="F625" s="37"/>
      <c r="G625" s="37"/>
      <c r="H625" s="37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</row>
    <row r="626" ht="15.75" customHeight="1">
      <c r="A626" s="63"/>
      <c r="B626" s="63"/>
      <c r="C626" s="63"/>
      <c r="D626" s="63"/>
      <c r="E626" s="63"/>
      <c r="F626" s="37"/>
      <c r="G626" s="37"/>
      <c r="H626" s="37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</row>
    <row r="627" ht="15.75" customHeight="1">
      <c r="A627" s="63"/>
      <c r="B627" s="63"/>
      <c r="C627" s="63"/>
      <c r="D627" s="63"/>
      <c r="E627" s="63"/>
      <c r="F627" s="37"/>
      <c r="G627" s="37"/>
      <c r="H627" s="37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  <c r="AO627" s="63"/>
      <c r="AP627" s="63"/>
      <c r="AQ627" s="63"/>
      <c r="AR627" s="63"/>
    </row>
    <row r="628" ht="15.75" customHeight="1">
      <c r="A628" s="63"/>
      <c r="B628" s="63"/>
      <c r="C628" s="63"/>
      <c r="D628" s="63"/>
      <c r="E628" s="63"/>
      <c r="F628" s="37"/>
      <c r="G628" s="37"/>
      <c r="H628" s="37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  <c r="AO628" s="63"/>
      <c r="AP628" s="63"/>
      <c r="AQ628" s="63"/>
      <c r="AR628" s="63"/>
    </row>
    <row r="629" ht="15.75" customHeight="1">
      <c r="A629" s="63"/>
      <c r="B629" s="63"/>
      <c r="C629" s="63"/>
      <c r="D629" s="63"/>
      <c r="E629" s="63"/>
      <c r="F629" s="37"/>
      <c r="G629" s="37"/>
      <c r="H629" s="37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  <c r="AO629" s="63"/>
      <c r="AP629" s="63"/>
      <c r="AQ629" s="63"/>
      <c r="AR629" s="63"/>
    </row>
    <row r="630" ht="15.75" customHeight="1">
      <c r="A630" s="63"/>
      <c r="B630" s="63"/>
      <c r="C630" s="63"/>
      <c r="D630" s="63"/>
      <c r="E630" s="63"/>
      <c r="F630" s="37"/>
      <c r="G630" s="37"/>
      <c r="H630" s="37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63"/>
      <c r="AQ630" s="63"/>
      <c r="AR630" s="63"/>
    </row>
    <row r="631" ht="15.75" customHeight="1">
      <c r="A631" s="63"/>
      <c r="B631" s="63"/>
      <c r="C631" s="63"/>
      <c r="D631" s="63"/>
      <c r="E631" s="63"/>
      <c r="F631" s="37"/>
      <c r="G631" s="37"/>
      <c r="H631" s="37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63"/>
      <c r="AQ631" s="63"/>
      <c r="AR631" s="63"/>
    </row>
    <row r="632" ht="15.75" customHeight="1">
      <c r="A632" s="63"/>
      <c r="B632" s="63"/>
      <c r="C632" s="63"/>
      <c r="D632" s="63"/>
      <c r="E632" s="63"/>
      <c r="F632" s="37"/>
      <c r="G632" s="37"/>
      <c r="H632" s="37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63"/>
      <c r="AQ632" s="63"/>
      <c r="AR632" s="63"/>
    </row>
    <row r="633" ht="15.75" customHeight="1">
      <c r="A633" s="63"/>
      <c r="B633" s="63"/>
      <c r="C633" s="63"/>
      <c r="D633" s="63"/>
      <c r="E633" s="63"/>
      <c r="F633" s="37"/>
      <c r="G633" s="37"/>
      <c r="H633" s="37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63"/>
      <c r="AQ633" s="63"/>
      <c r="AR633" s="63"/>
    </row>
    <row r="634" ht="15.75" customHeight="1">
      <c r="A634" s="63"/>
      <c r="B634" s="63"/>
      <c r="C634" s="63"/>
      <c r="D634" s="63"/>
      <c r="E634" s="63"/>
      <c r="F634" s="37"/>
      <c r="G634" s="37"/>
      <c r="H634" s="37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63"/>
      <c r="AQ634" s="63"/>
      <c r="AR634" s="63"/>
    </row>
    <row r="635" ht="15.75" customHeight="1">
      <c r="A635" s="63"/>
      <c r="B635" s="63"/>
      <c r="C635" s="63"/>
      <c r="D635" s="63"/>
      <c r="E635" s="63"/>
      <c r="F635" s="37"/>
      <c r="G635" s="37"/>
      <c r="H635" s="37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63"/>
      <c r="AQ635" s="63"/>
      <c r="AR635" s="63"/>
    </row>
    <row r="636" ht="15.75" customHeight="1">
      <c r="A636" s="63"/>
      <c r="B636" s="63"/>
      <c r="C636" s="63"/>
      <c r="D636" s="63"/>
      <c r="E636" s="63"/>
      <c r="F636" s="37"/>
      <c r="G636" s="37"/>
      <c r="H636" s="37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  <c r="AO636" s="63"/>
      <c r="AP636" s="63"/>
      <c r="AQ636" s="63"/>
      <c r="AR636" s="63"/>
    </row>
    <row r="637" ht="15.75" customHeight="1">
      <c r="A637" s="63"/>
      <c r="B637" s="63"/>
      <c r="C637" s="63"/>
      <c r="D637" s="63"/>
      <c r="E637" s="63"/>
      <c r="F637" s="37"/>
      <c r="G637" s="37"/>
      <c r="H637" s="37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  <c r="AO637" s="63"/>
      <c r="AP637" s="63"/>
      <c r="AQ637" s="63"/>
      <c r="AR637" s="63"/>
    </row>
    <row r="638" ht="15.75" customHeight="1">
      <c r="A638" s="63"/>
      <c r="B638" s="63"/>
      <c r="C638" s="63"/>
      <c r="D638" s="63"/>
      <c r="E638" s="63"/>
      <c r="F638" s="37"/>
      <c r="G638" s="37"/>
      <c r="H638" s="37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</row>
    <row r="639" ht="15.75" customHeight="1">
      <c r="A639" s="63"/>
      <c r="B639" s="63"/>
      <c r="C639" s="63"/>
      <c r="D639" s="63"/>
      <c r="E639" s="63"/>
      <c r="F639" s="37"/>
      <c r="G639" s="37"/>
      <c r="H639" s="37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</row>
    <row r="640" ht="15.75" customHeight="1">
      <c r="A640" s="63"/>
      <c r="B640" s="63"/>
      <c r="C640" s="63"/>
      <c r="D640" s="63"/>
      <c r="E640" s="63"/>
      <c r="F640" s="37"/>
      <c r="G640" s="37"/>
      <c r="H640" s="37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</row>
    <row r="641" ht="15.75" customHeight="1">
      <c r="A641" s="63"/>
      <c r="B641" s="63"/>
      <c r="C641" s="63"/>
      <c r="D641" s="63"/>
      <c r="E641" s="63"/>
      <c r="F641" s="37"/>
      <c r="G641" s="37"/>
      <c r="H641" s="37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</row>
    <row r="642" ht="15.75" customHeight="1">
      <c r="A642" s="63"/>
      <c r="B642" s="63"/>
      <c r="C642" s="63"/>
      <c r="D642" s="63"/>
      <c r="E642" s="63"/>
      <c r="F642" s="37"/>
      <c r="G642" s="37"/>
      <c r="H642" s="37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</row>
    <row r="643" ht="15.75" customHeight="1">
      <c r="A643" s="63"/>
      <c r="B643" s="63"/>
      <c r="C643" s="63"/>
      <c r="D643" s="63"/>
      <c r="E643" s="63"/>
      <c r="F643" s="37"/>
      <c r="G643" s="37"/>
      <c r="H643" s="37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  <c r="AO643" s="63"/>
      <c r="AP643" s="63"/>
      <c r="AQ643" s="63"/>
      <c r="AR643" s="63"/>
    </row>
    <row r="644" ht="15.75" customHeight="1">
      <c r="A644" s="63"/>
      <c r="B644" s="63"/>
      <c r="C644" s="63"/>
      <c r="D644" s="63"/>
      <c r="E644" s="63"/>
      <c r="F644" s="37"/>
      <c r="G644" s="37"/>
      <c r="H644" s="37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  <c r="AO644" s="63"/>
      <c r="AP644" s="63"/>
      <c r="AQ644" s="63"/>
      <c r="AR644" s="63"/>
    </row>
    <row r="645" ht="15.75" customHeight="1">
      <c r="A645" s="63"/>
      <c r="B645" s="63"/>
      <c r="C645" s="63"/>
      <c r="D645" s="63"/>
      <c r="E645" s="63"/>
      <c r="F645" s="37"/>
      <c r="G645" s="37"/>
      <c r="H645" s="37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</row>
    <row r="646" ht="15.75" customHeight="1">
      <c r="A646" s="63"/>
      <c r="B646" s="63"/>
      <c r="C646" s="63"/>
      <c r="D646" s="63"/>
      <c r="E646" s="63"/>
      <c r="F646" s="37"/>
      <c r="G646" s="37"/>
      <c r="H646" s="37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  <c r="AO646" s="63"/>
      <c r="AP646" s="63"/>
      <c r="AQ646" s="63"/>
      <c r="AR646" s="63"/>
    </row>
    <row r="647" ht="15.75" customHeight="1">
      <c r="A647" s="63"/>
      <c r="B647" s="63"/>
      <c r="C647" s="63"/>
      <c r="D647" s="63"/>
      <c r="E647" s="63"/>
      <c r="F647" s="37"/>
      <c r="G647" s="37"/>
      <c r="H647" s="37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</row>
    <row r="648" ht="15.75" customHeight="1">
      <c r="A648" s="63"/>
      <c r="B648" s="63"/>
      <c r="C648" s="63"/>
      <c r="D648" s="63"/>
      <c r="E648" s="63"/>
      <c r="F648" s="37"/>
      <c r="G648" s="37"/>
      <c r="H648" s="37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63"/>
    </row>
    <row r="649" ht="15.75" customHeight="1">
      <c r="A649" s="63"/>
      <c r="B649" s="63"/>
      <c r="C649" s="63"/>
      <c r="D649" s="63"/>
      <c r="E649" s="63"/>
      <c r="F649" s="37"/>
      <c r="G649" s="37"/>
      <c r="H649" s="37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</row>
    <row r="650" ht="15.75" customHeight="1">
      <c r="A650" s="63"/>
      <c r="B650" s="63"/>
      <c r="C650" s="63"/>
      <c r="D650" s="63"/>
      <c r="E650" s="63"/>
      <c r="F650" s="37"/>
      <c r="G650" s="37"/>
      <c r="H650" s="37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</row>
    <row r="651" ht="15.75" customHeight="1">
      <c r="A651" s="63"/>
      <c r="B651" s="63"/>
      <c r="C651" s="63"/>
      <c r="D651" s="63"/>
      <c r="E651" s="63"/>
      <c r="F651" s="37"/>
      <c r="G651" s="37"/>
      <c r="H651" s="37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</row>
    <row r="652" ht="15.75" customHeight="1">
      <c r="A652" s="63"/>
      <c r="B652" s="63"/>
      <c r="C652" s="63"/>
      <c r="D652" s="63"/>
      <c r="E652" s="63"/>
      <c r="F652" s="37"/>
      <c r="G652" s="37"/>
      <c r="H652" s="37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</row>
    <row r="653" ht="15.75" customHeight="1">
      <c r="A653" s="63"/>
      <c r="B653" s="63"/>
      <c r="C653" s="63"/>
      <c r="D653" s="63"/>
      <c r="E653" s="63"/>
      <c r="F653" s="37"/>
      <c r="G653" s="37"/>
      <c r="H653" s="37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  <c r="AO653" s="63"/>
      <c r="AP653" s="63"/>
      <c r="AQ653" s="63"/>
      <c r="AR653" s="63"/>
    </row>
    <row r="654" ht="15.75" customHeight="1">
      <c r="A654" s="63"/>
      <c r="B654" s="63"/>
      <c r="C654" s="63"/>
      <c r="D654" s="63"/>
      <c r="E654" s="63"/>
      <c r="F654" s="37"/>
      <c r="G654" s="37"/>
      <c r="H654" s="37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  <c r="AO654" s="63"/>
      <c r="AP654" s="63"/>
      <c r="AQ654" s="63"/>
      <c r="AR654" s="63"/>
    </row>
    <row r="655" ht="15.75" customHeight="1">
      <c r="A655" s="63"/>
      <c r="B655" s="63"/>
      <c r="C655" s="63"/>
      <c r="D655" s="63"/>
      <c r="E655" s="63"/>
      <c r="F655" s="37"/>
      <c r="G655" s="37"/>
      <c r="H655" s="37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63"/>
      <c r="AQ655" s="63"/>
      <c r="AR655" s="63"/>
    </row>
    <row r="656" ht="15.75" customHeight="1">
      <c r="A656" s="63"/>
      <c r="B656" s="63"/>
      <c r="C656" s="63"/>
      <c r="D656" s="63"/>
      <c r="E656" s="63"/>
      <c r="F656" s="37"/>
      <c r="G656" s="37"/>
      <c r="H656" s="37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63"/>
      <c r="AQ656" s="63"/>
      <c r="AR656" s="63"/>
    </row>
    <row r="657" ht="15.75" customHeight="1">
      <c r="A657" s="63"/>
      <c r="B657" s="63"/>
      <c r="C657" s="63"/>
      <c r="D657" s="63"/>
      <c r="E657" s="63"/>
      <c r="F657" s="37"/>
      <c r="G657" s="37"/>
      <c r="H657" s="37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63"/>
      <c r="AQ657" s="63"/>
      <c r="AR657" s="63"/>
    </row>
    <row r="658" ht="15.75" customHeight="1">
      <c r="A658" s="63"/>
      <c r="B658" s="63"/>
      <c r="C658" s="63"/>
      <c r="D658" s="63"/>
      <c r="E658" s="63"/>
      <c r="F658" s="37"/>
      <c r="G658" s="37"/>
      <c r="H658" s="37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63"/>
      <c r="AQ658" s="63"/>
      <c r="AR658" s="63"/>
    </row>
    <row r="659" ht="15.75" customHeight="1">
      <c r="A659" s="63"/>
      <c r="B659" s="63"/>
      <c r="C659" s="63"/>
      <c r="D659" s="63"/>
      <c r="E659" s="63"/>
      <c r="F659" s="37"/>
      <c r="G659" s="37"/>
      <c r="H659" s="37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  <c r="AO659" s="63"/>
      <c r="AP659" s="63"/>
      <c r="AQ659" s="63"/>
      <c r="AR659" s="63"/>
    </row>
    <row r="660" ht="15.75" customHeight="1">
      <c r="A660" s="63"/>
      <c r="B660" s="63"/>
      <c r="C660" s="63"/>
      <c r="D660" s="63"/>
      <c r="E660" s="63"/>
      <c r="F660" s="37"/>
      <c r="G660" s="37"/>
      <c r="H660" s="37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  <c r="AO660" s="63"/>
      <c r="AP660" s="63"/>
      <c r="AQ660" s="63"/>
      <c r="AR660" s="63"/>
    </row>
    <row r="661" ht="15.75" customHeight="1">
      <c r="A661" s="63"/>
      <c r="B661" s="63"/>
      <c r="C661" s="63"/>
      <c r="D661" s="63"/>
      <c r="E661" s="63"/>
      <c r="F661" s="37"/>
      <c r="G661" s="37"/>
      <c r="H661" s="37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  <c r="AO661" s="63"/>
      <c r="AP661" s="63"/>
      <c r="AQ661" s="63"/>
      <c r="AR661" s="63"/>
    </row>
    <row r="662" ht="15.75" customHeight="1">
      <c r="A662" s="63"/>
      <c r="B662" s="63"/>
      <c r="C662" s="63"/>
      <c r="D662" s="63"/>
      <c r="E662" s="63"/>
      <c r="F662" s="37"/>
      <c r="G662" s="37"/>
      <c r="H662" s="37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  <c r="AO662" s="63"/>
      <c r="AP662" s="63"/>
      <c r="AQ662" s="63"/>
      <c r="AR662" s="63"/>
    </row>
    <row r="663" ht="15.75" customHeight="1">
      <c r="A663" s="63"/>
      <c r="B663" s="63"/>
      <c r="C663" s="63"/>
      <c r="D663" s="63"/>
      <c r="E663" s="63"/>
      <c r="F663" s="37"/>
      <c r="G663" s="37"/>
      <c r="H663" s="37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  <c r="AO663" s="63"/>
      <c r="AP663" s="63"/>
      <c r="AQ663" s="63"/>
      <c r="AR663" s="63"/>
    </row>
    <row r="664" ht="15.75" customHeight="1">
      <c r="A664" s="63"/>
      <c r="B664" s="63"/>
      <c r="C664" s="63"/>
      <c r="D664" s="63"/>
      <c r="E664" s="63"/>
      <c r="F664" s="37"/>
      <c r="G664" s="37"/>
      <c r="H664" s="37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  <c r="AO664" s="63"/>
      <c r="AP664" s="63"/>
      <c r="AQ664" s="63"/>
      <c r="AR664" s="63"/>
    </row>
    <row r="665" ht="15.75" customHeight="1">
      <c r="A665" s="63"/>
      <c r="B665" s="63"/>
      <c r="C665" s="63"/>
      <c r="D665" s="63"/>
      <c r="E665" s="63"/>
      <c r="F665" s="37"/>
      <c r="G665" s="37"/>
      <c r="H665" s="37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</row>
    <row r="666" ht="15.75" customHeight="1">
      <c r="A666" s="63"/>
      <c r="B666" s="63"/>
      <c r="C666" s="63"/>
      <c r="D666" s="63"/>
      <c r="E666" s="63"/>
      <c r="F666" s="37"/>
      <c r="G666" s="37"/>
      <c r="H666" s="37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</row>
    <row r="667" ht="15.75" customHeight="1">
      <c r="A667" s="63"/>
      <c r="B667" s="63"/>
      <c r="C667" s="63"/>
      <c r="D667" s="63"/>
      <c r="E667" s="63"/>
      <c r="F667" s="37"/>
      <c r="G667" s="37"/>
      <c r="H667" s="37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</row>
    <row r="668" ht="15.75" customHeight="1">
      <c r="A668" s="63"/>
      <c r="B668" s="63"/>
      <c r="C668" s="63"/>
      <c r="D668" s="63"/>
      <c r="E668" s="63"/>
      <c r="F668" s="37"/>
      <c r="G668" s="37"/>
      <c r="H668" s="37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  <c r="AO668" s="63"/>
      <c r="AP668" s="63"/>
      <c r="AQ668" s="63"/>
      <c r="AR668" s="63"/>
    </row>
    <row r="669" ht="15.75" customHeight="1">
      <c r="A669" s="63"/>
      <c r="B669" s="63"/>
      <c r="C669" s="63"/>
      <c r="D669" s="63"/>
      <c r="E669" s="63"/>
      <c r="F669" s="37"/>
      <c r="G669" s="37"/>
      <c r="H669" s="37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  <c r="AO669" s="63"/>
      <c r="AP669" s="63"/>
      <c r="AQ669" s="63"/>
      <c r="AR669" s="63"/>
    </row>
    <row r="670" ht="15.75" customHeight="1">
      <c r="A670" s="63"/>
      <c r="B670" s="63"/>
      <c r="C670" s="63"/>
      <c r="D670" s="63"/>
      <c r="E670" s="63"/>
      <c r="F670" s="37"/>
      <c r="G670" s="37"/>
      <c r="H670" s="37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  <c r="AO670" s="63"/>
      <c r="AP670" s="63"/>
      <c r="AQ670" s="63"/>
      <c r="AR670" s="63"/>
    </row>
    <row r="671" ht="15.75" customHeight="1">
      <c r="A671" s="63"/>
      <c r="B671" s="63"/>
      <c r="C671" s="63"/>
      <c r="D671" s="63"/>
      <c r="E671" s="63"/>
      <c r="F671" s="37"/>
      <c r="G671" s="37"/>
      <c r="H671" s="37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  <c r="AO671" s="63"/>
      <c r="AP671" s="63"/>
      <c r="AQ671" s="63"/>
      <c r="AR671" s="63"/>
    </row>
    <row r="672" ht="15.75" customHeight="1">
      <c r="A672" s="63"/>
      <c r="B672" s="63"/>
      <c r="C672" s="63"/>
      <c r="D672" s="63"/>
      <c r="E672" s="63"/>
      <c r="F672" s="37"/>
      <c r="G672" s="37"/>
      <c r="H672" s="37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</row>
    <row r="673" ht="15.75" customHeight="1">
      <c r="A673" s="63"/>
      <c r="B673" s="63"/>
      <c r="C673" s="63"/>
      <c r="D673" s="63"/>
      <c r="E673" s="63"/>
      <c r="F673" s="37"/>
      <c r="G673" s="37"/>
      <c r="H673" s="37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  <c r="AO673" s="63"/>
      <c r="AP673" s="63"/>
      <c r="AQ673" s="63"/>
      <c r="AR673" s="63"/>
    </row>
    <row r="674" ht="15.75" customHeight="1">
      <c r="A674" s="63"/>
      <c r="B674" s="63"/>
      <c r="C674" s="63"/>
      <c r="D674" s="63"/>
      <c r="E674" s="63"/>
      <c r="F674" s="37"/>
      <c r="G674" s="37"/>
      <c r="H674" s="37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63"/>
      <c r="AQ674" s="63"/>
      <c r="AR674" s="63"/>
    </row>
    <row r="675" ht="15.75" customHeight="1">
      <c r="A675" s="63"/>
      <c r="B675" s="63"/>
      <c r="C675" s="63"/>
      <c r="D675" s="63"/>
      <c r="E675" s="63"/>
      <c r="F675" s="37"/>
      <c r="G675" s="37"/>
      <c r="H675" s="37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</row>
    <row r="676" ht="15.75" customHeight="1">
      <c r="A676" s="63"/>
      <c r="B676" s="63"/>
      <c r="C676" s="63"/>
      <c r="D676" s="63"/>
      <c r="E676" s="63"/>
      <c r="F676" s="37"/>
      <c r="G676" s="37"/>
      <c r="H676" s="37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  <c r="AO676" s="63"/>
      <c r="AP676" s="63"/>
      <c r="AQ676" s="63"/>
      <c r="AR676" s="63"/>
    </row>
    <row r="677" ht="15.75" customHeight="1">
      <c r="A677" s="63"/>
      <c r="B677" s="63"/>
      <c r="C677" s="63"/>
      <c r="D677" s="63"/>
      <c r="E677" s="63"/>
      <c r="F677" s="37"/>
      <c r="G677" s="37"/>
      <c r="H677" s="37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  <c r="AO677" s="63"/>
      <c r="AP677" s="63"/>
      <c r="AQ677" s="63"/>
      <c r="AR677" s="63"/>
    </row>
    <row r="678" ht="15.75" customHeight="1">
      <c r="A678" s="63"/>
      <c r="B678" s="63"/>
      <c r="C678" s="63"/>
      <c r="D678" s="63"/>
      <c r="E678" s="63"/>
      <c r="F678" s="37"/>
      <c r="G678" s="37"/>
      <c r="H678" s="37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  <c r="AO678" s="63"/>
      <c r="AP678" s="63"/>
      <c r="AQ678" s="63"/>
      <c r="AR678" s="63"/>
    </row>
    <row r="679" ht="15.75" customHeight="1">
      <c r="A679" s="63"/>
      <c r="B679" s="63"/>
      <c r="C679" s="63"/>
      <c r="D679" s="63"/>
      <c r="E679" s="63"/>
      <c r="F679" s="37"/>
      <c r="G679" s="37"/>
      <c r="H679" s="37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  <c r="AO679" s="63"/>
      <c r="AP679" s="63"/>
      <c r="AQ679" s="63"/>
      <c r="AR679" s="63"/>
    </row>
    <row r="680" ht="15.75" customHeight="1">
      <c r="A680" s="63"/>
      <c r="B680" s="63"/>
      <c r="C680" s="63"/>
      <c r="D680" s="63"/>
      <c r="E680" s="63"/>
      <c r="F680" s="37"/>
      <c r="G680" s="37"/>
      <c r="H680" s="37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  <c r="AO680" s="63"/>
      <c r="AP680" s="63"/>
      <c r="AQ680" s="63"/>
      <c r="AR680" s="63"/>
    </row>
    <row r="681" ht="15.75" customHeight="1">
      <c r="A681" s="63"/>
      <c r="B681" s="63"/>
      <c r="C681" s="63"/>
      <c r="D681" s="63"/>
      <c r="E681" s="63"/>
      <c r="F681" s="37"/>
      <c r="G681" s="37"/>
      <c r="H681" s="37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  <c r="AO681" s="63"/>
      <c r="AP681" s="63"/>
      <c r="AQ681" s="63"/>
      <c r="AR681" s="63"/>
    </row>
    <row r="682" ht="15.75" customHeight="1">
      <c r="A682" s="63"/>
      <c r="B682" s="63"/>
      <c r="C682" s="63"/>
      <c r="D682" s="63"/>
      <c r="E682" s="63"/>
      <c r="F682" s="37"/>
      <c r="G682" s="37"/>
      <c r="H682" s="37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  <c r="AO682" s="63"/>
      <c r="AP682" s="63"/>
      <c r="AQ682" s="63"/>
      <c r="AR682" s="63"/>
    </row>
    <row r="683" ht="15.75" customHeight="1">
      <c r="A683" s="63"/>
      <c r="B683" s="63"/>
      <c r="C683" s="63"/>
      <c r="D683" s="63"/>
      <c r="E683" s="63"/>
      <c r="F683" s="37"/>
      <c r="G683" s="37"/>
      <c r="H683" s="37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</row>
    <row r="684" ht="15.75" customHeight="1">
      <c r="A684" s="63"/>
      <c r="B684" s="63"/>
      <c r="C684" s="63"/>
      <c r="D684" s="63"/>
      <c r="E684" s="63"/>
      <c r="F684" s="37"/>
      <c r="G684" s="37"/>
      <c r="H684" s="37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</row>
    <row r="685" ht="15.75" customHeight="1">
      <c r="A685" s="63"/>
      <c r="B685" s="63"/>
      <c r="C685" s="63"/>
      <c r="D685" s="63"/>
      <c r="E685" s="63"/>
      <c r="F685" s="37"/>
      <c r="G685" s="37"/>
      <c r="H685" s="37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</row>
    <row r="686" ht="15.75" customHeight="1">
      <c r="A686" s="63"/>
      <c r="B686" s="63"/>
      <c r="C686" s="63"/>
      <c r="D686" s="63"/>
      <c r="E686" s="63"/>
      <c r="F686" s="37"/>
      <c r="G686" s="37"/>
      <c r="H686" s="37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  <c r="AO686" s="63"/>
      <c r="AP686" s="63"/>
      <c r="AQ686" s="63"/>
      <c r="AR686" s="63"/>
    </row>
    <row r="687" ht="15.75" customHeight="1">
      <c r="A687" s="63"/>
      <c r="B687" s="63"/>
      <c r="C687" s="63"/>
      <c r="D687" s="63"/>
      <c r="E687" s="63"/>
      <c r="F687" s="37"/>
      <c r="G687" s="37"/>
      <c r="H687" s="37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</row>
    <row r="688" ht="15.75" customHeight="1">
      <c r="A688" s="63"/>
      <c r="B688" s="63"/>
      <c r="C688" s="63"/>
      <c r="D688" s="63"/>
      <c r="E688" s="63"/>
      <c r="F688" s="37"/>
      <c r="G688" s="37"/>
      <c r="H688" s="37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</row>
    <row r="689" ht="15.75" customHeight="1">
      <c r="A689" s="63"/>
      <c r="B689" s="63"/>
      <c r="C689" s="63"/>
      <c r="D689" s="63"/>
      <c r="E689" s="63"/>
      <c r="F689" s="37"/>
      <c r="G689" s="37"/>
      <c r="H689" s="37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</row>
    <row r="690" ht="15.75" customHeight="1">
      <c r="A690" s="63"/>
      <c r="B690" s="63"/>
      <c r="C690" s="63"/>
      <c r="D690" s="63"/>
      <c r="E690" s="63"/>
      <c r="F690" s="37"/>
      <c r="G690" s="37"/>
      <c r="H690" s="37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</row>
    <row r="691" ht="15.75" customHeight="1">
      <c r="A691" s="63"/>
      <c r="B691" s="63"/>
      <c r="C691" s="63"/>
      <c r="D691" s="63"/>
      <c r="E691" s="63"/>
      <c r="F691" s="37"/>
      <c r="G691" s="37"/>
      <c r="H691" s="37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</row>
    <row r="692" ht="15.75" customHeight="1">
      <c r="A692" s="63"/>
      <c r="B692" s="63"/>
      <c r="C692" s="63"/>
      <c r="D692" s="63"/>
      <c r="E692" s="63"/>
      <c r="F692" s="37"/>
      <c r="G692" s="37"/>
      <c r="H692" s="37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  <c r="AO692" s="63"/>
      <c r="AP692" s="63"/>
      <c r="AQ692" s="63"/>
      <c r="AR692" s="63"/>
    </row>
    <row r="693" ht="15.75" customHeight="1">
      <c r="A693" s="63"/>
      <c r="B693" s="63"/>
      <c r="C693" s="63"/>
      <c r="D693" s="63"/>
      <c r="E693" s="63"/>
      <c r="F693" s="37"/>
      <c r="G693" s="37"/>
      <c r="H693" s="37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  <c r="AO693" s="63"/>
      <c r="AP693" s="63"/>
      <c r="AQ693" s="63"/>
      <c r="AR693" s="63"/>
    </row>
    <row r="694" ht="15.75" customHeight="1">
      <c r="A694" s="63"/>
      <c r="B694" s="63"/>
      <c r="C694" s="63"/>
      <c r="D694" s="63"/>
      <c r="E694" s="63"/>
      <c r="F694" s="37"/>
      <c r="G694" s="37"/>
      <c r="H694" s="37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  <c r="AO694" s="63"/>
      <c r="AP694" s="63"/>
      <c r="AQ694" s="63"/>
      <c r="AR694" s="63"/>
    </row>
    <row r="695" ht="15.75" customHeight="1">
      <c r="A695" s="63"/>
      <c r="B695" s="63"/>
      <c r="C695" s="63"/>
      <c r="D695" s="63"/>
      <c r="E695" s="63"/>
      <c r="F695" s="37"/>
      <c r="G695" s="37"/>
      <c r="H695" s="37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  <c r="AO695" s="63"/>
      <c r="AP695" s="63"/>
      <c r="AQ695" s="63"/>
      <c r="AR695" s="63"/>
    </row>
    <row r="696" ht="15.75" customHeight="1">
      <c r="A696" s="63"/>
      <c r="B696" s="63"/>
      <c r="C696" s="63"/>
      <c r="D696" s="63"/>
      <c r="E696" s="63"/>
      <c r="F696" s="37"/>
      <c r="G696" s="37"/>
      <c r="H696" s="37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</row>
    <row r="697" ht="15.75" customHeight="1">
      <c r="A697" s="63"/>
      <c r="B697" s="63"/>
      <c r="C697" s="63"/>
      <c r="D697" s="63"/>
      <c r="E697" s="63"/>
      <c r="F697" s="37"/>
      <c r="G697" s="37"/>
      <c r="H697" s="37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</row>
    <row r="698" ht="15.75" customHeight="1">
      <c r="A698" s="63"/>
      <c r="B698" s="63"/>
      <c r="C698" s="63"/>
      <c r="D698" s="63"/>
      <c r="E698" s="63"/>
      <c r="F698" s="37"/>
      <c r="G698" s="37"/>
      <c r="H698" s="37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  <c r="AO698" s="63"/>
      <c r="AP698" s="63"/>
      <c r="AQ698" s="63"/>
      <c r="AR698" s="63"/>
    </row>
    <row r="699" ht="15.75" customHeight="1">
      <c r="A699" s="63"/>
      <c r="B699" s="63"/>
      <c r="C699" s="63"/>
      <c r="D699" s="63"/>
      <c r="E699" s="63"/>
      <c r="F699" s="37"/>
      <c r="G699" s="37"/>
      <c r="H699" s="37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  <c r="AO699" s="63"/>
      <c r="AP699" s="63"/>
      <c r="AQ699" s="63"/>
      <c r="AR699" s="63"/>
    </row>
    <row r="700" ht="15.75" customHeight="1">
      <c r="A700" s="63"/>
      <c r="B700" s="63"/>
      <c r="C700" s="63"/>
      <c r="D700" s="63"/>
      <c r="E700" s="63"/>
      <c r="F700" s="37"/>
      <c r="G700" s="37"/>
      <c r="H700" s="37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</row>
    <row r="701" ht="15.75" customHeight="1">
      <c r="A701" s="63"/>
      <c r="B701" s="63"/>
      <c r="C701" s="63"/>
      <c r="D701" s="63"/>
      <c r="E701" s="63"/>
      <c r="F701" s="37"/>
      <c r="G701" s="37"/>
      <c r="H701" s="37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</row>
    <row r="702" ht="15.75" customHeight="1">
      <c r="A702" s="63"/>
      <c r="B702" s="63"/>
      <c r="C702" s="63"/>
      <c r="D702" s="63"/>
      <c r="E702" s="63"/>
      <c r="F702" s="37"/>
      <c r="G702" s="37"/>
      <c r="H702" s="37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</row>
    <row r="703" ht="15.75" customHeight="1">
      <c r="A703" s="63"/>
      <c r="B703" s="63"/>
      <c r="C703" s="63"/>
      <c r="D703" s="63"/>
      <c r="E703" s="63"/>
      <c r="F703" s="37"/>
      <c r="G703" s="37"/>
      <c r="H703" s="37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</row>
    <row r="704" ht="15.75" customHeight="1">
      <c r="A704" s="63"/>
      <c r="B704" s="63"/>
      <c r="C704" s="63"/>
      <c r="D704" s="63"/>
      <c r="E704" s="63"/>
      <c r="F704" s="37"/>
      <c r="G704" s="37"/>
      <c r="H704" s="37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</row>
    <row r="705" ht="15.75" customHeight="1">
      <c r="A705" s="63"/>
      <c r="B705" s="63"/>
      <c r="C705" s="63"/>
      <c r="D705" s="63"/>
      <c r="E705" s="63"/>
      <c r="F705" s="37"/>
      <c r="G705" s="37"/>
      <c r="H705" s="37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  <c r="AO705" s="63"/>
      <c r="AP705" s="63"/>
      <c r="AQ705" s="63"/>
      <c r="AR705" s="63"/>
    </row>
    <row r="706" ht="15.75" customHeight="1">
      <c r="A706" s="63"/>
      <c r="B706" s="63"/>
      <c r="C706" s="63"/>
      <c r="D706" s="63"/>
      <c r="E706" s="63"/>
      <c r="F706" s="37"/>
      <c r="G706" s="37"/>
      <c r="H706" s="37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  <c r="AO706" s="63"/>
      <c r="AP706" s="63"/>
      <c r="AQ706" s="63"/>
      <c r="AR706" s="63"/>
    </row>
    <row r="707" ht="15.75" customHeight="1">
      <c r="A707" s="63"/>
      <c r="B707" s="63"/>
      <c r="C707" s="63"/>
      <c r="D707" s="63"/>
      <c r="E707" s="63"/>
      <c r="F707" s="37"/>
      <c r="G707" s="37"/>
      <c r="H707" s="37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</row>
    <row r="708" ht="15.75" customHeight="1">
      <c r="A708" s="63"/>
      <c r="B708" s="63"/>
      <c r="C708" s="63"/>
      <c r="D708" s="63"/>
      <c r="E708" s="63"/>
      <c r="F708" s="37"/>
      <c r="G708" s="37"/>
      <c r="H708" s="37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63"/>
    </row>
    <row r="709" ht="15.75" customHeight="1">
      <c r="A709" s="63"/>
      <c r="B709" s="63"/>
      <c r="C709" s="63"/>
      <c r="D709" s="63"/>
      <c r="E709" s="63"/>
      <c r="F709" s="37"/>
      <c r="G709" s="37"/>
      <c r="H709" s="37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  <c r="AO709" s="63"/>
      <c r="AP709" s="63"/>
      <c r="AQ709" s="63"/>
      <c r="AR709" s="63"/>
    </row>
    <row r="710" ht="15.75" customHeight="1">
      <c r="A710" s="63"/>
      <c r="B710" s="63"/>
      <c r="C710" s="63"/>
      <c r="D710" s="63"/>
      <c r="E710" s="63"/>
      <c r="F710" s="37"/>
      <c r="G710" s="37"/>
      <c r="H710" s="37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  <c r="AO710" s="63"/>
      <c r="AP710" s="63"/>
      <c r="AQ710" s="63"/>
      <c r="AR710" s="63"/>
    </row>
    <row r="711" ht="15.75" customHeight="1">
      <c r="A711" s="63"/>
      <c r="B711" s="63"/>
      <c r="C711" s="63"/>
      <c r="D711" s="63"/>
      <c r="E711" s="63"/>
      <c r="F711" s="37"/>
      <c r="G711" s="37"/>
      <c r="H711" s="37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63"/>
      <c r="AQ711" s="63"/>
      <c r="AR711" s="63"/>
    </row>
    <row r="712" ht="15.75" customHeight="1">
      <c r="A712" s="63"/>
      <c r="B712" s="63"/>
      <c r="C712" s="63"/>
      <c r="D712" s="63"/>
      <c r="E712" s="63"/>
      <c r="F712" s="37"/>
      <c r="G712" s="37"/>
      <c r="H712" s="37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  <c r="AO712" s="63"/>
      <c r="AP712" s="63"/>
      <c r="AQ712" s="63"/>
      <c r="AR712" s="63"/>
    </row>
    <row r="713" ht="15.75" customHeight="1">
      <c r="A713" s="63"/>
      <c r="B713" s="63"/>
      <c r="C713" s="63"/>
      <c r="D713" s="63"/>
      <c r="E713" s="63"/>
      <c r="F713" s="37"/>
      <c r="G713" s="37"/>
      <c r="H713" s="37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  <c r="AO713" s="63"/>
      <c r="AP713" s="63"/>
      <c r="AQ713" s="63"/>
      <c r="AR713" s="63"/>
    </row>
    <row r="714" ht="15.75" customHeight="1">
      <c r="A714" s="63"/>
      <c r="B714" s="63"/>
      <c r="C714" s="63"/>
      <c r="D714" s="63"/>
      <c r="E714" s="63"/>
      <c r="F714" s="37"/>
      <c r="G714" s="37"/>
      <c r="H714" s="37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  <c r="AO714" s="63"/>
      <c r="AP714" s="63"/>
      <c r="AQ714" s="63"/>
      <c r="AR714" s="63"/>
    </row>
    <row r="715" ht="15.75" customHeight="1">
      <c r="A715" s="63"/>
      <c r="B715" s="63"/>
      <c r="C715" s="63"/>
      <c r="D715" s="63"/>
      <c r="E715" s="63"/>
      <c r="F715" s="37"/>
      <c r="G715" s="37"/>
      <c r="H715" s="37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  <c r="AO715" s="63"/>
      <c r="AP715" s="63"/>
      <c r="AQ715" s="63"/>
      <c r="AR715" s="63"/>
    </row>
    <row r="716" ht="15.75" customHeight="1">
      <c r="A716" s="63"/>
      <c r="B716" s="63"/>
      <c r="C716" s="63"/>
      <c r="D716" s="63"/>
      <c r="E716" s="63"/>
      <c r="F716" s="37"/>
      <c r="G716" s="37"/>
      <c r="H716" s="37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</row>
    <row r="717" ht="15.75" customHeight="1">
      <c r="A717" s="63"/>
      <c r="B717" s="63"/>
      <c r="C717" s="63"/>
      <c r="D717" s="63"/>
      <c r="E717" s="63"/>
      <c r="F717" s="37"/>
      <c r="G717" s="37"/>
      <c r="H717" s="37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</row>
    <row r="718" ht="15.75" customHeight="1">
      <c r="A718" s="63"/>
      <c r="B718" s="63"/>
      <c r="C718" s="63"/>
      <c r="D718" s="63"/>
      <c r="E718" s="63"/>
      <c r="F718" s="37"/>
      <c r="G718" s="37"/>
      <c r="H718" s="37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</row>
    <row r="719" ht="15.75" customHeight="1">
      <c r="A719" s="63"/>
      <c r="B719" s="63"/>
      <c r="C719" s="63"/>
      <c r="D719" s="63"/>
      <c r="E719" s="63"/>
      <c r="F719" s="37"/>
      <c r="G719" s="37"/>
      <c r="H719" s="37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</row>
    <row r="720" ht="15.75" customHeight="1">
      <c r="A720" s="63"/>
      <c r="B720" s="63"/>
      <c r="C720" s="63"/>
      <c r="D720" s="63"/>
      <c r="E720" s="63"/>
      <c r="F720" s="37"/>
      <c r="G720" s="37"/>
      <c r="H720" s="37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</row>
    <row r="721" ht="15.75" customHeight="1">
      <c r="A721" s="63"/>
      <c r="B721" s="63"/>
      <c r="C721" s="63"/>
      <c r="D721" s="63"/>
      <c r="E721" s="63"/>
      <c r="F721" s="37"/>
      <c r="G721" s="37"/>
      <c r="H721" s="37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  <c r="AO721" s="63"/>
      <c r="AP721" s="63"/>
      <c r="AQ721" s="63"/>
      <c r="AR721" s="63"/>
    </row>
    <row r="722" ht="15.75" customHeight="1">
      <c r="A722" s="63"/>
      <c r="B722" s="63"/>
      <c r="C722" s="63"/>
      <c r="D722" s="63"/>
      <c r="E722" s="63"/>
      <c r="F722" s="37"/>
      <c r="G722" s="37"/>
      <c r="H722" s="37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  <c r="AO722" s="63"/>
      <c r="AP722" s="63"/>
      <c r="AQ722" s="63"/>
      <c r="AR722" s="63"/>
    </row>
    <row r="723" ht="15.75" customHeight="1">
      <c r="A723" s="63"/>
      <c r="B723" s="63"/>
      <c r="C723" s="63"/>
      <c r="D723" s="63"/>
      <c r="E723" s="63"/>
      <c r="F723" s="37"/>
      <c r="G723" s="37"/>
      <c r="H723" s="37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  <c r="AO723" s="63"/>
      <c r="AP723" s="63"/>
      <c r="AQ723" s="63"/>
      <c r="AR723" s="63"/>
    </row>
    <row r="724" ht="15.75" customHeight="1">
      <c r="A724" s="63"/>
      <c r="B724" s="63"/>
      <c r="C724" s="63"/>
      <c r="D724" s="63"/>
      <c r="E724" s="63"/>
      <c r="F724" s="37"/>
      <c r="G724" s="37"/>
      <c r="H724" s="37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  <c r="AO724" s="63"/>
      <c r="AP724" s="63"/>
      <c r="AQ724" s="63"/>
      <c r="AR724" s="63"/>
    </row>
    <row r="725" ht="15.75" customHeight="1">
      <c r="A725" s="63"/>
      <c r="B725" s="63"/>
      <c r="C725" s="63"/>
      <c r="D725" s="63"/>
      <c r="E725" s="63"/>
      <c r="F725" s="37"/>
      <c r="G725" s="37"/>
      <c r="H725" s="37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</row>
    <row r="726" ht="15.75" customHeight="1">
      <c r="A726" s="63"/>
      <c r="B726" s="63"/>
      <c r="C726" s="63"/>
      <c r="D726" s="63"/>
      <c r="E726" s="63"/>
      <c r="F726" s="37"/>
      <c r="G726" s="37"/>
      <c r="H726" s="37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  <c r="AO726" s="63"/>
      <c r="AP726" s="63"/>
      <c r="AQ726" s="63"/>
      <c r="AR726" s="63"/>
    </row>
    <row r="727" ht="15.75" customHeight="1">
      <c r="A727" s="63"/>
      <c r="B727" s="63"/>
      <c r="C727" s="63"/>
      <c r="D727" s="63"/>
      <c r="E727" s="63"/>
      <c r="F727" s="37"/>
      <c r="G727" s="37"/>
      <c r="H727" s="37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  <c r="AO727" s="63"/>
      <c r="AP727" s="63"/>
      <c r="AQ727" s="63"/>
      <c r="AR727" s="63"/>
    </row>
    <row r="728" ht="15.75" customHeight="1">
      <c r="A728" s="63"/>
      <c r="B728" s="63"/>
      <c r="C728" s="63"/>
      <c r="D728" s="63"/>
      <c r="E728" s="63"/>
      <c r="F728" s="37"/>
      <c r="G728" s="37"/>
      <c r="H728" s="37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  <c r="AO728" s="63"/>
      <c r="AP728" s="63"/>
      <c r="AQ728" s="63"/>
      <c r="AR728" s="63"/>
    </row>
    <row r="729" ht="15.75" customHeight="1">
      <c r="A729" s="63"/>
      <c r="B729" s="63"/>
      <c r="C729" s="63"/>
      <c r="D729" s="63"/>
      <c r="E729" s="63"/>
      <c r="F729" s="37"/>
      <c r="G729" s="37"/>
      <c r="H729" s="37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  <c r="AO729" s="63"/>
      <c r="AP729" s="63"/>
      <c r="AQ729" s="63"/>
      <c r="AR729" s="63"/>
    </row>
    <row r="730" ht="15.75" customHeight="1">
      <c r="A730" s="63"/>
      <c r="B730" s="63"/>
      <c r="C730" s="63"/>
      <c r="D730" s="63"/>
      <c r="E730" s="63"/>
      <c r="F730" s="37"/>
      <c r="G730" s="37"/>
      <c r="H730" s="37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  <c r="AO730" s="63"/>
      <c r="AP730" s="63"/>
      <c r="AQ730" s="63"/>
      <c r="AR730" s="63"/>
    </row>
    <row r="731" ht="15.75" customHeight="1">
      <c r="A731" s="63"/>
      <c r="B731" s="63"/>
      <c r="C731" s="63"/>
      <c r="D731" s="63"/>
      <c r="E731" s="63"/>
      <c r="F731" s="37"/>
      <c r="G731" s="37"/>
      <c r="H731" s="37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  <c r="AO731" s="63"/>
      <c r="AP731" s="63"/>
      <c r="AQ731" s="63"/>
      <c r="AR731" s="63"/>
    </row>
    <row r="732" ht="15.75" customHeight="1">
      <c r="A732" s="63"/>
      <c r="B732" s="63"/>
      <c r="C732" s="63"/>
      <c r="D732" s="63"/>
      <c r="E732" s="63"/>
      <c r="F732" s="37"/>
      <c r="G732" s="37"/>
      <c r="H732" s="37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  <c r="AO732" s="63"/>
      <c r="AP732" s="63"/>
      <c r="AQ732" s="63"/>
      <c r="AR732" s="63"/>
    </row>
    <row r="733" ht="15.75" customHeight="1">
      <c r="A733" s="63"/>
      <c r="B733" s="63"/>
      <c r="C733" s="63"/>
      <c r="D733" s="63"/>
      <c r="E733" s="63"/>
      <c r="F733" s="37"/>
      <c r="G733" s="37"/>
      <c r="H733" s="37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  <c r="AO733" s="63"/>
      <c r="AP733" s="63"/>
      <c r="AQ733" s="63"/>
      <c r="AR733" s="63"/>
    </row>
    <row r="734" ht="15.75" customHeight="1">
      <c r="A734" s="63"/>
      <c r="B734" s="63"/>
      <c r="C734" s="63"/>
      <c r="D734" s="63"/>
      <c r="E734" s="63"/>
      <c r="F734" s="37"/>
      <c r="G734" s="37"/>
      <c r="H734" s="37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  <c r="AO734" s="63"/>
      <c r="AP734" s="63"/>
      <c r="AQ734" s="63"/>
      <c r="AR734" s="63"/>
    </row>
    <row r="735" ht="15.75" customHeight="1">
      <c r="A735" s="63"/>
      <c r="B735" s="63"/>
      <c r="C735" s="63"/>
      <c r="D735" s="63"/>
      <c r="E735" s="63"/>
      <c r="F735" s="37"/>
      <c r="G735" s="37"/>
      <c r="H735" s="37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  <c r="AO735" s="63"/>
      <c r="AP735" s="63"/>
      <c r="AQ735" s="63"/>
      <c r="AR735" s="63"/>
    </row>
    <row r="736" ht="15.75" customHeight="1">
      <c r="A736" s="63"/>
      <c r="B736" s="63"/>
      <c r="C736" s="63"/>
      <c r="D736" s="63"/>
      <c r="E736" s="63"/>
      <c r="F736" s="37"/>
      <c r="G736" s="37"/>
      <c r="H736" s="37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</row>
    <row r="737" ht="15.75" customHeight="1">
      <c r="A737" s="63"/>
      <c r="B737" s="63"/>
      <c r="C737" s="63"/>
      <c r="D737" s="63"/>
      <c r="E737" s="63"/>
      <c r="F737" s="37"/>
      <c r="G737" s="37"/>
      <c r="H737" s="37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63"/>
      <c r="AQ737" s="63"/>
      <c r="AR737" s="63"/>
    </row>
    <row r="738" ht="15.75" customHeight="1">
      <c r="A738" s="63"/>
      <c r="B738" s="63"/>
      <c r="C738" s="63"/>
      <c r="D738" s="63"/>
      <c r="E738" s="63"/>
      <c r="F738" s="37"/>
      <c r="G738" s="37"/>
      <c r="H738" s="37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  <c r="AO738" s="63"/>
      <c r="AP738" s="63"/>
      <c r="AQ738" s="63"/>
      <c r="AR738" s="63"/>
    </row>
    <row r="739" ht="15.75" customHeight="1">
      <c r="A739" s="63"/>
      <c r="B739" s="63"/>
      <c r="C739" s="63"/>
      <c r="D739" s="63"/>
      <c r="E739" s="63"/>
      <c r="F739" s="37"/>
      <c r="G739" s="37"/>
      <c r="H739" s="37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  <c r="AO739" s="63"/>
      <c r="AP739" s="63"/>
      <c r="AQ739" s="63"/>
      <c r="AR739" s="63"/>
    </row>
    <row r="740" ht="15.75" customHeight="1">
      <c r="A740" s="63"/>
      <c r="B740" s="63"/>
      <c r="C740" s="63"/>
      <c r="D740" s="63"/>
      <c r="E740" s="63"/>
      <c r="F740" s="37"/>
      <c r="G740" s="37"/>
      <c r="H740" s="37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</row>
    <row r="741" ht="15.75" customHeight="1">
      <c r="A741" s="63"/>
      <c r="B741" s="63"/>
      <c r="C741" s="63"/>
      <c r="D741" s="63"/>
      <c r="E741" s="63"/>
      <c r="F741" s="37"/>
      <c r="G741" s="37"/>
      <c r="H741" s="37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</row>
    <row r="742" ht="15.75" customHeight="1">
      <c r="A742" s="63"/>
      <c r="B742" s="63"/>
      <c r="C742" s="63"/>
      <c r="D742" s="63"/>
      <c r="E742" s="63"/>
      <c r="F742" s="37"/>
      <c r="G742" s="37"/>
      <c r="H742" s="37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</row>
    <row r="743" ht="15.75" customHeight="1">
      <c r="A743" s="63"/>
      <c r="B743" s="63"/>
      <c r="C743" s="63"/>
      <c r="D743" s="63"/>
      <c r="E743" s="63"/>
      <c r="F743" s="37"/>
      <c r="G743" s="37"/>
      <c r="H743" s="37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</row>
    <row r="744" ht="15.75" customHeight="1">
      <c r="A744" s="63"/>
      <c r="B744" s="63"/>
      <c r="C744" s="63"/>
      <c r="D744" s="63"/>
      <c r="E744" s="63"/>
      <c r="F744" s="37"/>
      <c r="G744" s="37"/>
      <c r="H744" s="37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</row>
    <row r="745" ht="15.75" customHeight="1">
      <c r="A745" s="63"/>
      <c r="B745" s="63"/>
      <c r="C745" s="63"/>
      <c r="D745" s="63"/>
      <c r="E745" s="63"/>
      <c r="F745" s="37"/>
      <c r="G745" s="37"/>
      <c r="H745" s="37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</row>
    <row r="746" ht="15.75" customHeight="1">
      <c r="A746" s="63"/>
      <c r="B746" s="63"/>
      <c r="C746" s="63"/>
      <c r="D746" s="63"/>
      <c r="E746" s="63"/>
      <c r="F746" s="37"/>
      <c r="G746" s="37"/>
      <c r="H746" s="37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</row>
    <row r="747" ht="15.75" customHeight="1">
      <c r="A747" s="63"/>
      <c r="B747" s="63"/>
      <c r="C747" s="63"/>
      <c r="D747" s="63"/>
      <c r="E747" s="63"/>
      <c r="F747" s="37"/>
      <c r="G747" s="37"/>
      <c r="H747" s="37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  <c r="AO747" s="63"/>
      <c r="AP747" s="63"/>
      <c r="AQ747" s="63"/>
      <c r="AR747" s="63"/>
    </row>
    <row r="748" ht="15.75" customHeight="1">
      <c r="A748" s="63"/>
      <c r="B748" s="63"/>
      <c r="C748" s="63"/>
      <c r="D748" s="63"/>
      <c r="E748" s="63"/>
      <c r="F748" s="37"/>
      <c r="G748" s="37"/>
      <c r="H748" s="37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  <c r="AO748" s="63"/>
      <c r="AP748" s="63"/>
      <c r="AQ748" s="63"/>
      <c r="AR748" s="63"/>
    </row>
    <row r="749" ht="15.75" customHeight="1">
      <c r="A749" s="63"/>
      <c r="B749" s="63"/>
      <c r="C749" s="63"/>
      <c r="D749" s="63"/>
      <c r="E749" s="63"/>
      <c r="F749" s="37"/>
      <c r="G749" s="37"/>
      <c r="H749" s="37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  <c r="AO749" s="63"/>
      <c r="AP749" s="63"/>
      <c r="AQ749" s="63"/>
      <c r="AR749" s="63"/>
    </row>
    <row r="750" ht="15.75" customHeight="1">
      <c r="A750" s="63"/>
      <c r="B750" s="63"/>
      <c r="C750" s="63"/>
      <c r="D750" s="63"/>
      <c r="E750" s="63"/>
      <c r="F750" s="37"/>
      <c r="G750" s="37"/>
      <c r="H750" s="37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  <c r="AO750" s="63"/>
      <c r="AP750" s="63"/>
      <c r="AQ750" s="63"/>
      <c r="AR750" s="63"/>
    </row>
    <row r="751" ht="15.75" customHeight="1">
      <c r="A751" s="63"/>
      <c r="B751" s="63"/>
      <c r="C751" s="63"/>
      <c r="D751" s="63"/>
      <c r="E751" s="63"/>
      <c r="F751" s="37"/>
      <c r="G751" s="37"/>
      <c r="H751" s="37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  <c r="AO751" s="63"/>
      <c r="AP751" s="63"/>
      <c r="AQ751" s="63"/>
      <c r="AR751" s="63"/>
    </row>
    <row r="752" ht="15.75" customHeight="1">
      <c r="A752" s="63"/>
      <c r="B752" s="63"/>
      <c r="C752" s="63"/>
      <c r="D752" s="63"/>
      <c r="E752" s="63"/>
      <c r="F752" s="37"/>
      <c r="G752" s="37"/>
      <c r="H752" s="37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  <c r="AO752" s="63"/>
      <c r="AP752" s="63"/>
      <c r="AQ752" s="63"/>
      <c r="AR752" s="63"/>
    </row>
    <row r="753" ht="15.75" customHeight="1">
      <c r="A753" s="63"/>
      <c r="B753" s="63"/>
      <c r="C753" s="63"/>
      <c r="D753" s="63"/>
      <c r="E753" s="63"/>
      <c r="F753" s="37"/>
      <c r="G753" s="37"/>
      <c r="H753" s="37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  <c r="AO753" s="63"/>
      <c r="AP753" s="63"/>
      <c r="AQ753" s="63"/>
      <c r="AR753" s="63"/>
    </row>
    <row r="754" ht="15.75" customHeight="1">
      <c r="A754" s="63"/>
      <c r="B754" s="63"/>
      <c r="C754" s="63"/>
      <c r="D754" s="63"/>
      <c r="E754" s="63"/>
      <c r="F754" s="37"/>
      <c r="G754" s="37"/>
      <c r="H754" s="37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  <c r="AO754" s="63"/>
      <c r="AP754" s="63"/>
      <c r="AQ754" s="63"/>
      <c r="AR754" s="63"/>
    </row>
    <row r="755" ht="15.75" customHeight="1">
      <c r="A755" s="63"/>
      <c r="B755" s="63"/>
      <c r="C755" s="63"/>
      <c r="D755" s="63"/>
      <c r="E755" s="63"/>
      <c r="F755" s="37"/>
      <c r="G755" s="37"/>
      <c r="H755" s="37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  <c r="AO755" s="63"/>
      <c r="AP755" s="63"/>
      <c r="AQ755" s="63"/>
      <c r="AR755" s="63"/>
    </row>
    <row r="756" ht="15.75" customHeight="1">
      <c r="A756" s="63"/>
      <c r="B756" s="63"/>
      <c r="C756" s="63"/>
      <c r="D756" s="63"/>
      <c r="E756" s="63"/>
      <c r="F756" s="37"/>
      <c r="G756" s="37"/>
      <c r="H756" s="37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63"/>
      <c r="AR756" s="63"/>
    </row>
    <row r="757" ht="15.75" customHeight="1">
      <c r="A757" s="63"/>
      <c r="B757" s="63"/>
      <c r="C757" s="63"/>
      <c r="D757" s="63"/>
      <c r="E757" s="63"/>
      <c r="F757" s="37"/>
      <c r="G757" s="37"/>
      <c r="H757" s="37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63"/>
      <c r="AR757" s="63"/>
    </row>
    <row r="758" ht="15.75" customHeight="1">
      <c r="A758" s="63"/>
      <c r="B758" s="63"/>
      <c r="C758" s="63"/>
      <c r="D758" s="63"/>
      <c r="E758" s="63"/>
      <c r="F758" s="37"/>
      <c r="G758" s="37"/>
      <c r="H758" s="37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63"/>
      <c r="AR758" s="63"/>
    </row>
    <row r="759" ht="15.75" customHeight="1">
      <c r="A759" s="63"/>
      <c r="B759" s="63"/>
      <c r="C759" s="63"/>
      <c r="D759" s="63"/>
      <c r="E759" s="63"/>
      <c r="F759" s="37"/>
      <c r="G759" s="37"/>
      <c r="H759" s="37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63"/>
      <c r="AR759" s="63"/>
    </row>
    <row r="760" ht="15.75" customHeight="1">
      <c r="A760" s="63"/>
      <c r="B760" s="63"/>
      <c r="C760" s="63"/>
      <c r="D760" s="63"/>
      <c r="E760" s="63"/>
      <c r="F760" s="37"/>
      <c r="G760" s="37"/>
      <c r="H760" s="37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63"/>
      <c r="AR760" s="63"/>
    </row>
    <row r="761" ht="15.75" customHeight="1">
      <c r="A761" s="63"/>
      <c r="B761" s="63"/>
      <c r="C761" s="63"/>
      <c r="D761" s="63"/>
      <c r="E761" s="63"/>
      <c r="F761" s="37"/>
      <c r="G761" s="37"/>
      <c r="H761" s="37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  <c r="AO761" s="63"/>
      <c r="AP761" s="63"/>
      <c r="AQ761" s="63"/>
      <c r="AR761" s="63"/>
    </row>
    <row r="762" ht="15.75" customHeight="1">
      <c r="A762" s="63"/>
      <c r="B762" s="63"/>
      <c r="C762" s="63"/>
      <c r="D762" s="63"/>
      <c r="E762" s="63"/>
      <c r="F762" s="37"/>
      <c r="G762" s="37"/>
      <c r="H762" s="37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</row>
    <row r="763" ht="15.75" customHeight="1">
      <c r="A763" s="63"/>
      <c r="B763" s="63"/>
      <c r="C763" s="63"/>
      <c r="D763" s="63"/>
      <c r="E763" s="63"/>
      <c r="F763" s="37"/>
      <c r="G763" s="37"/>
      <c r="H763" s="37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</row>
    <row r="764" ht="15.75" customHeight="1">
      <c r="A764" s="63"/>
      <c r="B764" s="63"/>
      <c r="C764" s="63"/>
      <c r="D764" s="63"/>
      <c r="E764" s="63"/>
      <c r="F764" s="37"/>
      <c r="G764" s="37"/>
      <c r="H764" s="37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</row>
    <row r="765" ht="15.75" customHeight="1">
      <c r="A765" s="63"/>
      <c r="B765" s="63"/>
      <c r="C765" s="63"/>
      <c r="D765" s="63"/>
      <c r="E765" s="63"/>
      <c r="F765" s="37"/>
      <c r="G765" s="37"/>
      <c r="H765" s="37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</row>
    <row r="766" ht="15.75" customHeight="1">
      <c r="A766" s="63"/>
      <c r="B766" s="63"/>
      <c r="C766" s="63"/>
      <c r="D766" s="63"/>
      <c r="E766" s="63"/>
      <c r="F766" s="37"/>
      <c r="G766" s="37"/>
      <c r="H766" s="37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</row>
    <row r="767" ht="15.75" customHeight="1">
      <c r="A767" s="63"/>
      <c r="B767" s="63"/>
      <c r="C767" s="63"/>
      <c r="D767" s="63"/>
      <c r="E767" s="63"/>
      <c r="F767" s="37"/>
      <c r="G767" s="37"/>
      <c r="H767" s="37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  <c r="AO767" s="63"/>
      <c r="AP767" s="63"/>
      <c r="AQ767" s="63"/>
      <c r="AR767" s="63"/>
    </row>
    <row r="768" ht="15.75" customHeight="1">
      <c r="A768" s="63"/>
      <c r="B768" s="63"/>
      <c r="C768" s="63"/>
      <c r="D768" s="63"/>
      <c r="E768" s="63"/>
      <c r="F768" s="37"/>
      <c r="G768" s="37"/>
      <c r="H768" s="37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  <c r="AO768" s="63"/>
      <c r="AP768" s="63"/>
      <c r="AQ768" s="63"/>
      <c r="AR768" s="63"/>
    </row>
    <row r="769" ht="15.75" customHeight="1">
      <c r="A769" s="63"/>
      <c r="B769" s="63"/>
      <c r="C769" s="63"/>
      <c r="D769" s="63"/>
      <c r="E769" s="63"/>
      <c r="F769" s="37"/>
      <c r="G769" s="37"/>
      <c r="H769" s="37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  <c r="AO769" s="63"/>
      <c r="AP769" s="63"/>
      <c r="AQ769" s="63"/>
      <c r="AR769" s="63"/>
    </row>
    <row r="770" ht="15.75" customHeight="1">
      <c r="A770" s="63"/>
      <c r="B770" s="63"/>
      <c r="C770" s="63"/>
      <c r="D770" s="63"/>
      <c r="E770" s="63"/>
      <c r="F770" s="37"/>
      <c r="G770" s="37"/>
      <c r="H770" s="37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  <c r="AO770" s="63"/>
      <c r="AP770" s="63"/>
      <c r="AQ770" s="63"/>
      <c r="AR770" s="63"/>
    </row>
    <row r="771" ht="15.75" customHeight="1">
      <c r="A771" s="63"/>
      <c r="B771" s="63"/>
      <c r="C771" s="63"/>
      <c r="D771" s="63"/>
      <c r="E771" s="63"/>
      <c r="F771" s="37"/>
      <c r="G771" s="37"/>
      <c r="H771" s="37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  <c r="AO771" s="63"/>
      <c r="AP771" s="63"/>
      <c r="AQ771" s="63"/>
      <c r="AR771" s="63"/>
    </row>
    <row r="772" ht="15.75" customHeight="1">
      <c r="A772" s="63"/>
      <c r="B772" s="63"/>
      <c r="C772" s="63"/>
      <c r="D772" s="63"/>
      <c r="E772" s="63"/>
      <c r="F772" s="37"/>
      <c r="G772" s="37"/>
      <c r="H772" s="37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  <c r="AO772" s="63"/>
      <c r="AP772" s="63"/>
      <c r="AQ772" s="63"/>
      <c r="AR772" s="63"/>
    </row>
    <row r="773" ht="15.75" customHeight="1">
      <c r="A773" s="63"/>
      <c r="B773" s="63"/>
      <c r="C773" s="63"/>
      <c r="D773" s="63"/>
      <c r="E773" s="63"/>
      <c r="F773" s="37"/>
      <c r="G773" s="37"/>
      <c r="H773" s="37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</row>
    <row r="774" ht="15.75" customHeight="1">
      <c r="A774" s="63"/>
      <c r="B774" s="63"/>
      <c r="C774" s="63"/>
      <c r="D774" s="63"/>
      <c r="E774" s="63"/>
      <c r="F774" s="37"/>
      <c r="G774" s="37"/>
      <c r="H774" s="37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  <c r="AO774" s="63"/>
      <c r="AP774" s="63"/>
      <c r="AQ774" s="63"/>
      <c r="AR774" s="63"/>
    </row>
    <row r="775" ht="15.75" customHeight="1">
      <c r="A775" s="63"/>
      <c r="B775" s="63"/>
      <c r="C775" s="63"/>
      <c r="D775" s="63"/>
      <c r="E775" s="63"/>
      <c r="F775" s="37"/>
      <c r="G775" s="37"/>
      <c r="H775" s="37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  <c r="AO775" s="63"/>
      <c r="AP775" s="63"/>
      <c r="AQ775" s="63"/>
      <c r="AR775" s="63"/>
    </row>
    <row r="776" ht="15.75" customHeight="1">
      <c r="A776" s="63"/>
      <c r="B776" s="63"/>
      <c r="C776" s="63"/>
      <c r="D776" s="63"/>
      <c r="E776" s="63"/>
      <c r="F776" s="37"/>
      <c r="G776" s="37"/>
      <c r="H776" s="37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  <c r="AO776" s="63"/>
      <c r="AP776" s="63"/>
      <c r="AQ776" s="63"/>
      <c r="AR776" s="63"/>
    </row>
    <row r="777" ht="15.75" customHeight="1">
      <c r="A777" s="63"/>
      <c r="B777" s="63"/>
      <c r="C777" s="63"/>
      <c r="D777" s="63"/>
      <c r="E777" s="63"/>
      <c r="F777" s="37"/>
      <c r="G777" s="37"/>
      <c r="H777" s="37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  <c r="AO777" s="63"/>
      <c r="AP777" s="63"/>
      <c r="AQ777" s="63"/>
      <c r="AR777" s="63"/>
    </row>
    <row r="778" ht="15.75" customHeight="1">
      <c r="A778" s="63"/>
      <c r="B778" s="63"/>
      <c r="C778" s="63"/>
      <c r="D778" s="63"/>
      <c r="E778" s="63"/>
      <c r="F778" s="37"/>
      <c r="G778" s="37"/>
      <c r="H778" s="37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</row>
    <row r="779" ht="15.75" customHeight="1">
      <c r="A779" s="63"/>
      <c r="B779" s="63"/>
      <c r="C779" s="63"/>
      <c r="D779" s="63"/>
      <c r="E779" s="63"/>
      <c r="F779" s="37"/>
      <c r="G779" s="37"/>
      <c r="H779" s="37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  <c r="AO779" s="63"/>
      <c r="AP779" s="63"/>
      <c r="AQ779" s="63"/>
      <c r="AR779" s="63"/>
    </row>
    <row r="780" ht="15.75" customHeight="1">
      <c r="A780" s="63"/>
      <c r="B780" s="63"/>
      <c r="C780" s="63"/>
      <c r="D780" s="63"/>
      <c r="E780" s="63"/>
      <c r="F780" s="37"/>
      <c r="G780" s="37"/>
      <c r="H780" s="37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63"/>
      <c r="AQ780" s="63"/>
      <c r="AR780" s="63"/>
    </row>
    <row r="781" ht="15.75" customHeight="1">
      <c r="A781" s="63"/>
      <c r="B781" s="63"/>
      <c r="C781" s="63"/>
      <c r="D781" s="63"/>
      <c r="E781" s="63"/>
      <c r="F781" s="37"/>
      <c r="G781" s="37"/>
      <c r="H781" s="37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63"/>
      <c r="AQ781" s="63"/>
      <c r="AR781" s="63"/>
    </row>
    <row r="782" ht="15.75" customHeight="1">
      <c r="A782" s="63"/>
      <c r="B782" s="63"/>
      <c r="C782" s="63"/>
      <c r="D782" s="63"/>
      <c r="E782" s="63"/>
      <c r="F782" s="37"/>
      <c r="G782" s="37"/>
      <c r="H782" s="37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  <c r="AO782" s="63"/>
      <c r="AP782" s="63"/>
      <c r="AQ782" s="63"/>
      <c r="AR782" s="63"/>
    </row>
    <row r="783" ht="15.75" customHeight="1">
      <c r="A783" s="63"/>
      <c r="B783" s="63"/>
      <c r="C783" s="63"/>
      <c r="D783" s="63"/>
      <c r="E783" s="63"/>
      <c r="F783" s="37"/>
      <c r="G783" s="37"/>
      <c r="H783" s="37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</row>
    <row r="784" ht="15.75" customHeight="1">
      <c r="A784" s="63"/>
      <c r="B784" s="63"/>
      <c r="C784" s="63"/>
      <c r="D784" s="63"/>
      <c r="E784" s="63"/>
      <c r="F784" s="37"/>
      <c r="G784" s="37"/>
      <c r="H784" s="37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</row>
    <row r="785" ht="15.75" customHeight="1">
      <c r="A785" s="63"/>
      <c r="B785" s="63"/>
      <c r="C785" s="63"/>
      <c r="D785" s="63"/>
      <c r="E785" s="63"/>
      <c r="F785" s="37"/>
      <c r="G785" s="37"/>
      <c r="H785" s="37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</row>
    <row r="786" ht="15.75" customHeight="1">
      <c r="A786" s="63"/>
      <c r="B786" s="63"/>
      <c r="C786" s="63"/>
      <c r="D786" s="63"/>
      <c r="E786" s="63"/>
      <c r="F786" s="37"/>
      <c r="G786" s="37"/>
      <c r="H786" s="37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  <c r="AO786" s="63"/>
      <c r="AP786" s="63"/>
      <c r="AQ786" s="63"/>
      <c r="AR786" s="63"/>
    </row>
    <row r="787" ht="15.75" customHeight="1">
      <c r="A787" s="63"/>
      <c r="B787" s="63"/>
      <c r="C787" s="63"/>
      <c r="D787" s="63"/>
      <c r="E787" s="63"/>
      <c r="F787" s="37"/>
      <c r="G787" s="37"/>
      <c r="H787" s="37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  <c r="AO787" s="63"/>
      <c r="AP787" s="63"/>
      <c r="AQ787" s="63"/>
      <c r="AR787" s="63"/>
    </row>
    <row r="788" ht="15.75" customHeight="1">
      <c r="A788" s="63"/>
      <c r="B788" s="63"/>
      <c r="C788" s="63"/>
      <c r="D788" s="63"/>
      <c r="E788" s="63"/>
      <c r="F788" s="37"/>
      <c r="G788" s="37"/>
      <c r="H788" s="37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  <c r="AO788" s="63"/>
      <c r="AP788" s="63"/>
      <c r="AQ788" s="63"/>
      <c r="AR788" s="63"/>
    </row>
    <row r="789" ht="15.75" customHeight="1">
      <c r="A789" s="63"/>
      <c r="B789" s="63"/>
      <c r="C789" s="63"/>
      <c r="D789" s="63"/>
      <c r="E789" s="63"/>
      <c r="F789" s="37"/>
      <c r="G789" s="37"/>
      <c r="H789" s="37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</row>
    <row r="790" ht="15.75" customHeight="1">
      <c r="A790" s="63"/>
      <c r="B790" s="63"/>
      <c r="C790" s="63"/>
      <c r="D790" s="63"/>
      <c r="E790" s="63"/>
      <c r="F790" s="37"/>
      <c r="G790" s="37"/>
      <c r="H790" s="37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  <c r="AO790" s="63"/>
      <c r="AP790" s="63"/>
      <c r="AQ790" s="63"/>
      <c r="AR790" s="63"/>
    </row>
    <row r="791" ht="15.75" customHeight="1">
      <c r="A791" s="63"/>
      <c r="B791" s="63"/>
      <c r="C791" s="63"/>
      <c r="D791" s="63"/>
      <c r="E791" s="63"/>
      <c r="F791" s="37"/>
      <c r="G791" s="37"/>
      <c r="H791" s="37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  <c r="AO791" s="63"/>
      <c r="AP791" s="63"/>
      <c r="AQ791" s="63"/>
      <c r="AR791" s="63"/>
    </row>
    <row r="792" ht="15.75" customHeight="1">
      <c r="A792" s="63"/>
      <c r="B792" s="63"/>
      <c r="C792" s="63"/>
      <c r="D792" s="63"/>
      <c r="E792" s="63"/>
      <c r="F792" s="37"/>
      <c r="G792" s="37"/>
      <c r="H792" s="37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  <c r="AO792" s="63"/>
      <c r="AP792" s="63"/>
      <c r="AQ792" s="63"/>
      <c r="AR792" s="63"/>
    </row>
    <row r="793" ht="15.75" customHeight="1">
      <c r="A793" s="63"/>
      <c r="B793" s="63"/>
      <c r="C793" s="63"/>
      <c r="D793" s="63"/>
      <c r="E793" s="63"/>
      <c r="F793" s="37"/>
      <c r="G793" s="37"/>
      <c r="H793" s="37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  <c r="AO793" s="63"/>
      <c r="AP793" s="63"/>
      <c r="AQ793" s="63"/>
      <c r="AR793" s="63"/>
    </row>
    <row r="794" ht="15.75" customHeight="1">
      <c r="A794" s="63"/>
      <c r="B794" s="63"/>
      <c r="C794" s="63"/>
      <c r="D794" s="63"/>
      <c r="E794" s="63"/>
      <c r="F794" s="37"/>
      <c r="G794" s="37"/>
      <c r="H794" s="37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</row>
    <row r="795" ht="15.75" customHeight="1">
      <c r="A795" s="63"/>
      <c r="B795" s="63"/>
      <c r="C795" s="63"/>
      <c r="D795" s="63"/>
      <c r="E795" s="63"/>
      <c r="F795" s="37"/>
      <c r="G795" s="37"/>
      <c r="H795" s="37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</row>
    <row r="796" ht="15.75" customHeight="1">
      <c r="A796" s="63"/>
      <c r="B796" s="63"/>
      <c r="C796" s="63"/>
      <c r="D796" s="63"/>
      <c r="E796" s="63"/>
      <c r="F796" s="37"/>
      <c r="G796" s="37"/>
      <c r="H796" s="37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  <c r="AO796" s="63"/>
      <c r="AP796" s="63"/>
      <c r="AQ796" s="63"/>
      <c r="AR796" s="63"/>
    </row>
    <row r="797" ht="15.75" customHeight="1">
      <c r="A797" s="63"/>
      <c r="B797" s="63"/>
      <c r="C797" s="63"/>
      <c r="D797" s="63"/>
      <c r="E797" s="63"/>
      <c r="F797" s="37"/>
      <c r="G797" s="37"/>
      <c r="H797" s="37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  <c r="AO797" s="63"/>
      <c r="AP797" s="63"/>
      <c r="AQ797" s="63"/>
      <c r="AR797" s="63"/>
    </row>
    <row r="798" ht="15.75" customHeight="1">
      <c r="A798" s="63"/>
      <c r="B798" s="63"/>
      <c r="C798" s="63"/>
      <c r="D798" s="63"/>
      <c r="E798" s="63"/>
      <c r="F798" s="37"/>
      <c r="G798" s="37"/>
      <c r="H798" s="37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  <c r="AN798" s="63"/>
      <c r="AO798" s="63"/>
      <c r="AP798" s="63"/>
      <c r="AQ798" s="63"/>
      <c r="AR798" s="63"/>
    </row>
    <row r="799" ht="15.75" customHeight="1">
      <c r="A799" s="63"/>
      <c r="B799" s="63"/>
      <c r="C799" s="63"/>
      <c r="D799" s="63"/>
      <c r="E799" s="63"/>
      <c r="F799" s="37"/>
      <c r="G799" s="37"/>
      <c r="H799" s="37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63"/>
      <c r="AR799" s="63"/>
    </row>
    <row r="800" ht="15.75" customHeight="1">
      <c r="A800" s="63"/>
      <c r="B800" s="63"/>
      <c r="C800" s="63"/>
      <c r="D800" s="63"/>
      <c r="E800" s="63"/>
      <c r="F800" s="37"/>
      <c r="G800" s="37"/>
      <c r="H800" s="37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  <c r="AN800" s="63"/>
      <c r="AO800" s="63"/>
      <c r="AP800" s="63"/>
      <c r="AQ800" s="63"/>
      <c r="AR800" s="63"/>
    </row>
    <row r="801" ht="15.75" customHeight="1">
      <c r="A801" s="63"/>
      <c r="B801" s="63"/>
      <c r="C801" s="63"/>
      <c r="D801" s="63"/>
      <c r="E801" s="63"/>
      <c r="F801" s="37"/>
      <c r="G801" s="37"/>
      <c r="H801" s="37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  <c r="AN801" s="63"/>
      <c r="AO801" s="63"/>
      <c r="AP801" s="63"/>
      <c r="AQ801" s="63"/>
      <c r="AR801" s="63"/>
    </row>
    <row r="802" ht="15.75" customHeight="1">
      <c r="A802" s="63"/>
      <c r="B802" s="63"/>
      <c r="C802" s="63"/>
      <c r="D802" s="63"/>
      <c r="E802" s="63"/>
      <c r="F802" s="37"/>
      <c r="G802" s="37"/>
      <c r="H802" s="37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63"/>
      <c r="AQ802" s="63"/>
      <c r="AR802" s="63"/>
    </row>
    <row r="803" ht="15.75" customHeight="1">
      <c r="A803" s="63"/>
      <c r="B803" s="63"/>
      <c r="C803" s="63"/>
      <c r="D803" s="63"/>
      <c r="E803" s="63"/>
      <c r="F803" s="37"/>
      <c r="G803" s="37"/>
      <c r="H803" s="37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63"/>
      <c r="AQ803" s="63"/>
      <c r="AR803" s="63"/>
    </row>
    <row r="804" ht="15.75" customHeight="1">
      <c r="A804" s="63"/>
      <c r="B804" s="63"/>
      <c r="C804" s="63"/>
      <c r="D804" s="63"/>
      <c r="E804" s="63"/>
      <c r="F804" s="37"/>
      <c r="G804" s="37"/>
      <c r="H804" s="37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  <c r="AN804" s="63"/>
      <c r="AO804" s="63"/>
      <c r="AP804" s="63"/>
      <c r="AQ804" s="63"/>
      <c r="AR804" s="63"/>
    </row>
    <row r="805" ht="15.75" customHeight="1">
      <c r="A805" s="63"/>
      <c r="B805" s="63"/>
      <c r="C805" s="63"/>
      <c r="D805" s="63"/>
      <c r="E805" s="63"/>
      <c r="F805" s="37"/>
      <c r="G805" s="37"/>
      <c r="H805" s="37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  <c r="AN805" s="63"/>
      <c r="AO805" s="63"/>
      <c r="AP805" s="63"/>
      <c r="AQ805" s="63"/>
      <c r="AR805" s="63"/>
    </row>
    <row r="806" ht="15.75" customHeight="1">
      <c r="A806" s="63"/>
      <c r="B806" s="63"/>
      <c r="C806" s="63"/>
      <c r="D806" s="63"/>
      <c r="E806" s="63"/>
      <c r="F806" s="37"/>
      <c r="G806" s="37"/>
      <c r="H806" s="37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  <c r="AN806" s="63"/>
      <c r="AO806" s="63"/>
      <c r="AP806" s="63"/>
      <c r="AQ806" s="63"/>
      <c r="AR806" s="63"/>
    </row>
    <row r="807" ht="15.75" customHeight="1">
      <c r="A807" s="63"/>
      <c r="B807" s="63"/>
      <c r="C807" s="63"/>
      <c r="D807" s="63"/>
      <c r="E807" s="63"/>
      <c r="F807" s="37"/>
      <c r="G807" s="37"/>
      <c r="H807" s="37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</row>
    <row r="808" ht="15.75" customHeight="1">
      <c r="A808" s="63"/>
      <c r="B808" s="63"/>
      <c r="C808" s="63"/>
      <c r="D808" s="63"/>
      <c r="E808" s="63"/>
      <c r="F808" s="37"/>
      <c r="G808" s="37"/>
      <c r="H808" s="37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  <c r="AN808" s="63"/>
      <c r="AO808" s="63"/>
      <c r="AP808" s="63"/>
      <c r="AQ808" s="63"/>
      <c r="AR808" s="63"/>
    </row>
    <row r="809" ht="15.75" customHeight="1">
      <c r="A809" s="63"/>
      <c r="B809" s="63"/>
      <c r="C809" s="63"/>
      <c r="D809" s="63"/>
      <c r="E809" s="63"/>
      <c r="F809" s="37"/>
      <c r="G809" s="37"/>
      <c r="H809" s="37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  <c r="AN809" s="63"/>
      <c r="AO809" s="63"/>
      <c r="AP809" s="63"/>
      <c r="AQ809" s="63"/>
      <c r="AR809" s="63"/>
    </row>
    <row r="810" ht="15.75" customHeight="1">
      <c r="A810" s="63"/>
      <c r="B810" s="63"/>
      <c r="C810" s="63"/>
      <c r="D810" s="63"/>
      <c r="E810" s="63"/>
      <c r="F810" s="37"/>
      <c r="G810" s="37"/>
      <c r="H810" s="37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  <c r="AN810" s="63"/>
      <c r="AO810" s="63"/>
      <c r="AP810" s="63"/>
      <c r="AQ810" s="63"/>
      <c r="AR810" s="63"/>
    </row>
    <row r="811" ht="15.75" customHeight="1">
      <c r="A811" s="63"/>
      <c r="B811" s="63"/>
      <c r="C811" s="63"/>
      <c r="D811" s="63"/>
      <c r="E811" s="63"/>
      <c r="F811" s="37"/>
      <c r="G811" s="37"/>
      <c r="H811" s="37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  <c r="AN811" s="63"/>
      <c r="AO811" s="63"/>
      <c r="AP811" s="63"/>
      <c r="AQ811" s="63"/>
      <c r="AR811" s="63"/>
    </row>
    <row r="812" ht="15.75" customHeight="1">
      <c r="A812" s="63"/>
      <c r="B812" s="63"/>
      <c r="C812" s="63"/>
      <c r="D812" s="63"/>
      <c r="E812" s="63"/>
      <c r="F812" s="37"/>
      <c r="G812" s="37"/>
      <c r="H812" s="37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  <c r="AN812" s="63"/>
      <c r="AO812" s="63"/>
      <c r="AP812" s="63"/>
      <c r="AQ812" s="63"/>
      <c r="AR812" s="63"/>
    </row>
    <row r="813" ht="15.75" customHeight="1">
      <c r="A813" s="63"/>
      <c r="B813" s="63"/>
      <c r="C813" s="63"/>
      <c r="D813" s="63"/>
      <c r="E813" s="63"/>
      <c r="F813" s="37"/>
      <c r="G813" s="37"/>
      <c r="H813" s="37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  <c r="AN813" s="63"/>
      <c r="AO813" s="63"/>
      <c r="AP813" s="63"/>
      <c r="AQ813" s="63"/>
      <c r="AR813" s="63"/>
    </row>
    <row r="814" ht="15.75" customHeight="1">
      <c r="A814" s="63"/>
      <c r="B814" s="63"/>
      <c r="C814" s="63"/>
      <c r="D814" s="63"/>
      <c r="E814" s="63"/>
      <c r="F814" s="37"/>
      <c r="G814" s="37"/>
      <c r="H814" s="37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63"/>
      <c r="AQ814" s="63"/>
      <c r="AR814" s="63"/>
    </row>
    <row r="815" ht="15.75" customHeight="1">
      <c r="A815" s="63"/>
      <c r="B815" s="63"/>
      <c r="C815" s="63"/>
      <c r="D815" s="63"/>
      <c r="E815" s="63"/>
      <c r="F815" s="37"/>
      <c r="G815" s="37"/>
      <c r="H815" s="37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  <c r="AN815" s="63"/>
      <c r="AO815" s="63"/>
      <c r="AP815" s="63"/>
      <c r="AQ815" s="63"/>
      <c r="AR815" s="63"/>
    </row>
    <row r="816" ht="15.75" customHeight="1">
      <c r="A816" s="63"/>
      <c r="B816" s="63"/>
      <c r="C816" s="63"/>
      <c r="D816" s="63"/>
      <c r="E816" s="63"/>
      <c r="F816" s="37"/>
      <c r="G816" s="37"/>
      <c r="H816" s="37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  <c r="AN816" s="63"/>
      <c r="AO816" s="63"/>
      <c r="AP816" s="63"/>
      <c r="AQ816" s="63"/>
      <c r="AR816" s="63"/>
    </row>
    <row r="817" ht="15.75" customHeight="1">
      <c r="A817" s="63"/>
      <c r="B817" s="63"/>
      <c r="C817" s="63"/>
      <c r="D817" s="63"/>
      <c r="E817" s="63"/>
      <c r="F817" s="37"/>
      <c r="G817" s="37"/>
      <c r="H817" s="37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  <c r="AN817" s="63"/>
      <c r="AO817" s="63"/>
      <c r="AP817" s="63"/>
      <c r="AQ817" s="63"/>
      <c r="AR817" s="63"/>
    </row>
    <row r="818" ht="15.75" customHeight="1">
      <c r="A818" s="63"/>
      <c r="B818" s="63"/>
      <c r="C818" s="63"/>
      <c r="D818" s="63"/>
      <c r="E818" s="63"/>
      <c r="F818" s="37"/>
      <c r="G818" s="37"/>
      <c r="H818" s="37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  <c r="AN818" s="63"/>
      <c r="AO818" s="63"/>
      <c r="AP818" s="63"/>
      <c r="AQ818" s="63"/>
      <c r="AR818" s="63"/>
    </row>
    <row r="819" ht="15.75" customHeight="1">
      <c r="A819" s="63"/>
      <c r="B819" s="63"/>
      <c r="C819" s="63"/>
      <c r="D819" s="63"/>
      <c r="E819" s="63"/>
      <c r="F819" s="37"/>
      <c r="G819" s="37"/>
      <c r="H819" s="37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  <c r="AN819" s="63"/>
      <c r="AO819" s="63"/>
      <c r="AP819" s="63"/>
      <c r="AQ819" s="63"/>
      <c r="AR819" s="63"/>
    </row>
    <row r="820" ht="15.75" customHeight="1">
      <c r="A820" s="63"/>
      <c r="B820" s="63"/>
      <c r="C820" s="63"/>
      <c r="D820" s="63"/>
      <c r="E820" s="63"/>
      <c r="F820" s="37"/>
      <c r="G820" s="37"/>
      <c r="H820" s="37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</row>
    <row r="821" ht="15.75" customHeight="1">
      <c r="A821" s="63"/>
      <c r="B821" s="63"/>
      <c r="C821" s="63"/>
      <c r="D821" s="63"/>
      <c r="E821" s="63"/>
      <c r="F821" s="37"/>
      <c r="G821" s="37"/>
      <c r="H821" s="37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</row>
    <row r="822" ht="15.75" customHeight="1">
      <c r="A822" s="63"/>
      <c r="B822" s="63"/>
      <c r="C822" s="63"/>
      <c r="D822" s="63"/>
      <c r="E822" s="63"/>
      <c r="F822" s="37"/>
      <c r="G822" s="37"/>
      <c r="H822" s="37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</row>
    <row r="823" ht="15.75" customHeight="1">
      <c r="A823" s="63"/>
      <c r="B823" s="63"/>
      <c r="C823" s="63"/>
      <c r="D823" s="63"/>
      <c r="E823" s="63"/>
      <c r="F823" s="37"/>
      <c r="G823" s="37"/>
      <c r="H823" s="37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  <c r="AN823" s="63"/>
      <c r="AO823" s="63"/>
      <c r="AP823" s="63"/>
      <c r="AQ823" s="63"/>
      <c r="AR823" s="63"/>
    </row>
    <row r="824" ht="15.75" customHeight="1">
      <c r="A824" s="63"/>
      <c r="B824" s="63"/>
      <c r="C824" s="63"/>
      <c r="D824" s="63"/>
      <c r="E824" s="63"/>
      <c r="F824" s="37"/>
      <c r="G824" s="37"/>
      <c r="H824" s="37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  <c r="AN824" s="63"/>
      <c r="AO824" s="63"/>
      <c r="AP824" s="63"/>
      <c r="AQ824" s="63"/>
      <c r="AR824" s="63"/>
    </row>
    <row r="825" ht="15.75" customHeight="1">
      <c r="A825" s="63"/>
      <c r="B825" s="63"/>
      <c r="C825" s="63"/>
      <c r="D825" s="63"/>
      <c r="E825" s="63"/>
      <c r="F825" s="37"/>
      <c r="G825" s="37"/>
      <c r="H825" s="37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  <c r="AN825" s="63"/>
      <c r="AO825" s="63"/>
      <c r="AP825" s="63"/>
      <c r="AQ825" s="63"/>
      <c r="AR825" s="63"/>
    </row>
    <row r="826" ht="15.75" customHeight="1">
      <c r="A826" s="63"/>
      <c r="B826" s="63"/>
      <c r="C826" s="63"/>
      <c r="D826" s="63"/>
      <c r="E826" s="63"/>
      <c r="F826" s="37"/>
      <c r="G826" s="37"/>
      <c r="H826" s="37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  <c r="AN826" s="63"/>
      <c r="AO826" s="63"/>
      <c r="AP826" s="63"/>
      <c r="AQ826" s="63"/>
      <c r="AR826" s="63"/>
    </row>
    <row r="827" ht="15.75" customHeight="1">
      <c r="A827" s="63"/>
      <c r="B827" s="63"/>
      <c r="C827" s="63"/>
      <c r="D827" s="63"/>
      <c r="E827" s="63"/>
      <c r="F827" s="37"/>
      <c r="G827" s="37"/>
      <c r="H827" s="37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  <c r="AN827" s="63"/>
      <c r="AO827" s="63"/>
      <c r="AP827" s="63"/>
      <c r="AQ827" s="63"/>
      <c r="AR827" s="63"/>
    </row>
    <row r="828" ht="15.75" customHeight="1">
      <c r="A828" s="63"/>
      <c r="B828" s="63"/>
      <c r="C828" s="63"/>
      <c r="D828" s="63"/>
      <c r="E828" s="63"/>
      <c r="F828" s="37"/>
      <c r="G828" s="37"/>
      <c r="H828" s="37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  <c r="AN828" s="63"/>
      <c r="AO828" s="63"/>
      <c r="AP828" s="63"/>
      <c r="AQ828" s="63"/>
      <c r="AR828" s="63"/>
    </row>
    <row r="829" ht="15.75" customHeight="1">
      <c r="A829" s="63"/>
      <c r="B829" s="63"/>
      <c r="C829" s="63"/>
      <c r="D829" s="63"/>
      <c r="E829" s="63"/>
      <c r="F829" s="37"/>
      <c r="G829" s="37"/>
      <c r="H829" s="37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  <c r="AN829" s="63"/>
      <c r="AO829" s="63"/>
      <c r="AP829" s="63"/>
      <c r="AQ829" s="63"/>
      <c r="AR829" s="63"/>
    </row>
    <row r="830" ht="15.75" customHeight="1">
      <c r="A830" s="63"/>
      <c r="B830" s="63"/>
      <c r="C830" s="63"/>
      <c r="D830" s="63"/>
      <c r="E830" s="63"/>
      <c r="F830" s="37"/>
      <c r="G830" s="37"/>
      <c r="H830" s="37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</row>
    <row r="831" ht="15.75" customHeight="1">
      <c r="A831" s="63"/>
      <c r="B831" s="63"/>
      <c r="C831" s="63"/>
      <c r="D831" s="63"/>
      <c r="E831" s="63"/>
      <c r="F831" s="37"/>
      <c r="G831" s="37"/>
      <c r="H831" s="37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</row>
    <row r="832" ht="15.75" customHeight="1">
      <c r="A832" s="63"/>
      <c r="B832" s="63"/>
      <c r="C832" s="63"/>
      <c r="D832" s="63"/>
      <c r="E832" s="63"/>
      <c r="F832" s="37"/>
      <c r="G832" s="37"/>
      <c r="H832" s="37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  <c r="AN832" s="63"/>
      <c r="AO832" s="63"/>
      <c r="AP832" s="63"/>
      <c r="AQ832" s="63"/>
      <c r="AR832" s="63"/>
    </row>
    <row r="833" ht="15.75" customHeight="1">
      <c r="A833" s="63"/>
      <c r="B833" s="63"/>
      <c r="C833" s="63"/>
      <c r="D833" s="63"/>
      <c r="E833" s="63"/>
      <c r="F833" s="37"/>
      <c r="G833" s="37"/>
      <c r="H833" s="37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</row>
    <row r="834" ht="15.75" customHeight="1">
      <c r="A834" s="63"/>
      <c r="B834" s="63"/>
      <c r="C834" s="63"/>
      <c r="D834" s="63"/>
      <c r="E834" s="63"/>
      <c r="F834" s="37"/>
      <c r="G834" s="37"/>
      <c r="H834" s="37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</row>
    <row r="835" ht="15.75" customHeight="1">
      <c r="A835" s="63"/>
      <c r="B835" s="63"/>
      <c r="C835" s="63"/>
      <c r="D835" s="63"/>
      <c r="E835" s="63"/>
      <c r="F835" s="37"/>
      <c r="G835" s="37"/>
      <c r="H835" s="37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</row>
    <row r="836" ht="15.75" customHeight="1">
      <c r="A836" s="63"/>
      <c r="B836" s="63"/>
      <c r="C836" s="63"/>
      <c r="D836" s="63"/>
      <c r="E836" s="63"/>
      <c r="F836" s="37"/>
      <c r="G836" s="37"/>
      <c r="H836" s="37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</row>
    <row r="837" ht="15.75" customHeight="1">
      <c r="A837" s="63"/>
      <c r="B837" s="63"/>
      <c r="C837" s="63"/>
      <c r="D837" s="63"/>
      <c r="E837" s="63"/>
      <c r="F837" s="37"/>
      <c r="G837" s="37"/>
      <c r="H837" s="37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  <c r="AN837" s="63"/>
      <c r="AO837" s="63"/>
      <c r="AP837" s="63"/>
      <c r="AQ837" s="63"/>
      <c r="AR837" s="63"/>
    </row>
    <row r="838" ht="15.75" customHeight="1">
      <c r="A838" s="63"/>
      <c r="B838" s="63"/>
      <c r="C838" s="63"/>
      <c r="D838" s="63"/>
      <c r="E838" s="63"/>
      <c r="F838" s="37"/>
      <c r="G838" s="37"/>
      <c r="H838" s="37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  <c r="AN838" s="63"/>
      <c r="AO838" s="63"/>
      <c r="AP838" s="63"/>
      <c r="AQ838" s="63"/>
      <c r="AR838" s="63"/>
    </row>
    <row r="839" ht="15.75" customHeight="1">
      <c r="A839" s="63"/>
      <c r="B839" s="63"/>
      <c r="C839" s="63"/>
      <c r="D839" s="63"/>
      <c r="E839" s="63"/>
      <c r="F839" s="37"/>
      <c r="G839" s="37"/>
      <c r="H839" s="37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  <c r="AN839" s="63"/>
      <c r="AO839" s="63"/>
      <c r="AP839" s="63"/>
      <c r="AQ839" s="63"/>
      <c r="AR839" s="63"/>
    </row>
    <row r="840" ht="15.75" customHeight="1">
      <c r="A840" s="63"/>
      <c r="B840" s="63"/>
      <c r="C840" s="63"/>
      <c r="D840" s="63"/>
      <c r="E840" s="63"/>
      <c r="F840" s="37"/>
      <c r="G840" s="37"/>
      <c r="H840" s="37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  <c r="AN840" s="63"/>
      <c r="AO840" s="63"/>
      <c r="AP840" s="63"/>
      <c r="AQ840" s="63"/>
      <c r="AR840" s="63"/>
    </row>
    <row r="841" ht="15.75" customHeight="1">
      <c r="A841" s="63"/>
      <c r="B841" s="63"/>
      <c r="C841" s="63"/>
      <c r="D841" s="63"/>
      <c r="E841" s="63"/>
      <c r="F841" s="37"/>
      <c r="G841" s="37"/>
      <c r="H841" s="37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  <c r="AN841" s="63"/>
      <c r="AO841" s="63"/>
      <c r="AP841" s="63"/>
      <c r="AQ841" s="63"/>
      <c r="AR841" s="63"/>
    </row>
    <row r="842" ht="15.75" customHeight="1">
      <c r="A842" s="63"/>
      <c r="B842" s="63"/>
      <c r="C842" s="63"/>
      <c r="D842" s="63"/>
      <c r="E842" s="63"/>
      <c r="F842" s="37"/>
      <c r="G842" s="37"/>
      <c r="H842" s="37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  <c r="AN842" s="63"/>
      <c r="AO842" s="63"/>
      <c r="AP842" s="63"/>
      <c r="AQ842" s="63"/>
      <c r="AR842" s="63"/>
    </row>
    <row r="843" ht="15.75" customHeight="1">
      <c r="A843" s="63"/>
      <c r="B843" s="63"/>
      <c r="C843" s="63"/>
      <c r="D843" s="63"/>
      <c r="E843" s="63"/>
      <c r="F843" s="37"/>
      <c r="G843" s="37"/>
      <c r="H843" s="37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</row>
    <row r="844" ht="15.75" customHeight="1">
      <c r="A844" s="63"/>
      <c r="B844" s="63"/>
      <c r="C844" s="63"/>
      <c r="D844" s="63"/>
      <c r="E844" s="63"/>
      <c r="F844" s="37"/>
      <c r="G844" s="37"/>
      <c r="H844" s="37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</row>
    <row r="845" ht="15.75" customHeight="1">
      <c r="A845" s="63"/>
      <c r="B845" s="63"/>
      <c r="C845" s="63"/>
      <c r="D845" s="63"/>
      <c r="E845" s="63"/>
      <c r="F845" s="37"/>
      <c r="G845" s="37"/>
      <c r="H845" s="37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  <c r="AN845" s="63"/>
      <c r="AO845" s="63"/>
      <c r="AP845" s="63"/>
      <c r="AQ845" s="63"/>
      <c r="AR845" s="63"/>
    </row>
    <row r="846" ht="15.75" customHeight="1">
      <c r="A846" s="63"/>
      <c r="B846" s="63"/>
      <c r="C846" s="63"/>
      <c r="D846" s="63"/>
      <c r="E846" s="63"/>
      <c r="F846" s="37"/>
      <c r="G846" s="37"/>
      <c r="H846" s="37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</row>
    <row r="847" ht="15.75" customHeight="1">
      <c r="A847" s="63"/>
      <c r="B847" s="63"/>
      <c r="C847" s="63"/>
      <c r="D847" s="63"/>
      <c r="E847" s="63"/>
      <c r="F847" s="37"/>
      <c r="G847" s="37"/>
      <c r="H847" s="37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  <c r="AN847" s="63"/>
      <c r="AO847" s="63"/>
      <c r="AP847" s="63"/>
      <c r="AQ847" s="63"/>
      <c r="AR847" s="63"/>
    </row>
    <row r="848" ht="15.75" customHeight="1">
      <c r="A848" s="63"/>
      <c r="B848" s="63"/>
      <c r="C848" s="63"/>
      <c r="D848" s="63"/>
      <c r="E848" s="63"/>
      <c r="F848" s="37"/>
      <c r="G848" s="37"/>
      <c r="H848" s="37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  <c r="AN848" s="63"/>
      <c r="AO848" s="63"/>
      <c r="AP848" s="63"/>
      <c r="AQ848" s="63"/>
      <c r="AR848" s="63"/>
    </row>
    <row r="849" ht="15.75" customHeight="1">
      <c r="A849" s="63"/>
      <c r="B849" s="63"/>
      <c r="C849" s="63"/>
      <c r="D849" s="63"/>
      <c r="E849" s="63"/>
      <c r="F849" s="37"/>
      <c r="G849" s="37"/>
      <c r="H849" s="37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  <c r="AN849" s="63"/>
      <c r="AO849" s="63"/>
      <c r="AP849" s="63"/>
      <c r="AQ849" s="63"/>
      <c r="AR849" s="63"/>
    </row>
    <row r="850" ht="15.75" customHeight="1">
      <c r="A850" s="63"/>
      <c r="B850" s="63"/>
      <c r="C850" s="63"/>
      <c r="D850" s="63"/>
      <c r="E850" s="63"/>
      <c r="F850" s="37"/>
      <c r="G850" s="37"/>
      <c r="H850" s="37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  <c r="AN850" s="63"/>
      <c r="AO850" s="63"/>
      <c r="AP850" s="63"/>
      <c r="AQ850" s="63"/>
      <c r="AR850" s="63"/>
    </row>
    <row r="851" ht="15.75" customHeight="1">
      <c r="A851" s="63"/>
      <c r="B851" s="63"/>
      <c r="C851" s="63"/>
      <c r="D851" s="63"/>
      <c r="E851" s="63"/>
      <c r="F851" s="37"/>
      <c r="G851" s="37"/>
      <c r="H851" s="37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</row>
    <row r="852" ht="15.75" customHeight="1">
      <c r="A852" s="63"/>
      <c r="B852" s="63"/>
      <c r="C852" s="63"/>
      <c r="D852" s="63"/>
      <c r="E852" s="63"/>
      <c r="F852" s="37"/>
      <c r="G852" s="37"/>
      <c r="H852" s="37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</row>
    <row r="853" ht="15.75" customHeight="1">
      <c r="A853" s="63"/>
      <c r="B853" s="63"/>
      <c r="C853" s="63"/>
      <c r="D853" s="63"/>
      <c r="E853" s="63"/>
      <c r="F853" s="37"/>
      <c r="G853" s="37"/>
      <c r="H853" s="37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</row>
    <row r="854" ht="15.75" customHeight="1">
      <c r="A854" s="63"/>
      <c r="B854" s="63"/>
      <c r="C854" s="63"/>
      <c r="D854" s="63"/>
      <c r="E854" s="63"/>
      <c r="F854" s="37"/>
      <c r="G854" s="37"/>
      <c r="H854" s="37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</row>
    <row r="855" ht="15.75" customHeight="1">
      <c r="A855" s="63"/>
      <c r="B855" s="63"/>
      <c r="C855" s="63"/>
      <c r="D855" s="63"/>
      <c r="E855" s="63"/>
      <c r="F855" s="37"/>
      <c r="G855" s="37"/>
      <c r="H855" s="37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  <c r="AN855" s="63"/>
      <c r="AO855" s="63"/>
      <c r="AP855" s="63"/>
      <c r="AQ855" s="63"/>
      <c r="AR855" s="63"/>
    </row>
    <row r="856" ht="15.75" customHeight="1">
      <c r="A856" s="63"/>
      <c r="B856" s="63"/>
      <c r="C856" s="63"/>
      <c r="D856" s="63"/>
      <c r="E856" s="63"/>
      <c r="F856" s="37"/>
      <c r="G856" s="37"/>
      <c r="H856" s="37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  <c r="AN856" s="63"/>
      <c r="AO856" s="63"/>
      <c r="AP856" s="63"/>
      <c r="AQ856" s="63"/>
      <c r="AR856" s="63"/>
    </row>
    <row r="857" ht="15.75" customHeight="1">
      <c r="A857" s="63"/>
      <c r="B857" s="63"/>
      <c r="C857" s="63"/>
      <c r="D857" s="63"/>
      <c r="E857" s="63"/>
      <c r="F857" s="37"/>
      <c r="G857" s="37"/>
      <c r="H857" s="37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  <c r="AN857" s="63"/>
      <c r="AO857" s="63"/>
      <c r="AP857" s="63"/>
      <c r="AQ857" s="63"/>
      <c r="AR857" s="63"/>
    </row>
    <row r="858" ht="15.75" customHeight="1">
      <c r="A858" s="63"/>
      <c r="B858" s="63"/>
      <c r="C858" s="63"/>
      <c r="D858" s="63"/>
      <c r="E858" s="63"/>
      <c r="F858" s="37"/>
      <c r="G858" s="37"/>
      <c r="H858" s="37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</row>
    <row r="859" ht="15.75" customHeight="1">
      <c r="A859" s="63"/>
      <c r="B859" s="63"/>
      <c r="C859" s="63"/>
      <c r="D859" s="63"/>
      <c r="E859" s="63"/>
      <c r="F859" s="37"/>
      <c r="G859" s="37"/>
      <c r="H859" s="37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</row>
    <row r="860" ht="15.75" customHeight="1">
      <c r="A860" s="63"/>
      <c r="B860" s="63"/>
      <c r="C860" s="63"/>
      <c r="D860" s="63"/>
      <c r="E860" s="63"/>
      <c r="F860" s="37"/>
      <c r="G860" s="37"/>
      <c r="H860" s="37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</row>
    <row r="861" ht="15.75" customHeight="1">
      <c r="A861" s="63"/>
      <c r="B861" s="63"/>
      <c r="C861" s="63"/>
      <c r="D861" s="63"/>
      <c r="E861" s="63"/>
      <c r="F861" s="37"/>
      <c r="G861" s="37"/>
      <c r="H861" s="37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  <c r="AN861" s="63"/>
      <c r="AO861" s="63"/>
      <c r="AP861" s="63"/>
      <c r="AQ861" s="63"/>
      <c r="AR861" s="63"/>
    </row>
    <row r="862" ht="15.75" customHeight="1">
      <c r="A862" s="63"/>
      <c r="B862" s="63"/>
      <c r="C862" s="63"/>
      <c r="D862" s="63"/>
      <c r="E862" s="63"/>
      <c r="F862" s="37"/>
      <c r="G862" s="37"/>
      <c r="H862" s="37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  <c r="AN862" s="63"/>
      <c r="AO862" s="63"/>
      <c r="AP862" s="63"/>
      <c r="AQ862" s="63"/>
      <c r="AR862" s="63"/>
    </row>
    <row r="863" ht="15.75" customHeight="1">
      <c r="A863" s="63"/>
      <c r="B863" s="63"/>
      <c r="C863" s="63"/>
      <c r="D863" s="63"/>
      <c r="E863" s="63"/>
      <c r="F863" s="37"/>
      <c r="G863" s="37"/>
      <c r="H863" s="37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  <c r="AN863" s="63"/>
      <c r="AO863" s="63"/>
      <c r="AP863" s="63"/>
      <c r="AQ863" s="63"/>
      <c r="AR863" s="63"/>
    </row>
    <row r="864" ht="15.75" customHeight="1">
      <c r="A864" s="63"/>
      <c r="B864" s="63"/>
      <c r="C864" s="63"/>
      <c r="D864" s="63"/>
      <c r="E864" s="63"/>
      <c r="F864" s="37"/>
      <c r="G864" s="37"/>
      <c r="H864" s="37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  <c r="AN864" s="63"/>
      <c r="AO864" s="63"/>
      <c r="AP864" s="63"/>
      <c r="AQ864" s="63"/>
      <c r="AR864" s="63"/>
    </row>
    <row r="865" ht="15.75" customHeight="1">
      <c r="A865" s="63"/>
      <c r="B865" s="63"/>
      <c r="C865" s="63"/>
      <c r="D865" s="63"/>
      <c r="E865" s="63"/>
      <c r="F865" s="37"/>
      <c r="G865" s="37"/>
      <c r="H865" s="37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  <c r="AN865" s="63"/>
      <c r="AO865" s="63"/>
      <c r="AP865" s="63"/>
      <c r="AQ865" s="63"/>
      <c r="AR865" s="63"/>
    </row>
    <row r="866" ht="15.75" customHeight="1">
      <c r="A866" s="63"/>
      <c r="B866" s="63"/>
      <c r="C866" s="63"/>
      <c r="D866" s="63"/>
      <c r="E866" s="63"/>
      <c r="F866" s="37"/>
      <c r="G866" s="37"/>
      <c r="H866" s="37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  <c r="AN866" s="63"/>
      <c r="AO866" s="63"/>
      <c r="AP866" s="63"/>
      <c r="AQ866" s="63"/>
      <c r="AR866" s="63"/>
    </row>
    <row r="867" ht="15.75" customHeight="1">
      <c r="A867" s="63"/>
      <c r="B867" s="63"/>
      <c r="C867" s="63"/>
      <c r="D867" s="63"/>
      <c r="E867" s="63"/>
      <c r="F867" s="37"/>
      <c r="G867" s="37"/>
      <c r="H867" s="37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  <c r="AN867" s="63"/>
      <c r="AO867" s="63"/>
      <c r="AP867" s="63"/>
      <c r="AQ867" s="63"/>
      <c r="AR867" s="63"/>
    </row>
    <row r="868" ht="15.75" customHeight="1">
      <c r="A868" s="63"/>
      <c r="B868" s="63"/>
      <c r="C868" s="63"/>
      <c r="D868" s="63"/>
      <c r="E868" s="63"/>
      <c r="F868" s="37"/>
      <c r="G868" s="37"/>
      <c r="H868" s="37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  <c r="AN868" s="63"/>
      <c r="AO868" s="63"/>
      <c r="AP868" s="63"/>
      <c r="AQ868" s="63"/>
      <c r="AR868" s="63"/>
    </row>
    <row r="869" ht="15.75" customHeight="1">
      <c r="A869" s="63"/>
      <c r="B869" s="63"/>
      <c r="C869" s="63"/>
      <c r="D869" s="63"/>
      <c r="E869" s="63"/>
      <c r="F869" s="37"/>
      <c r="G869" s="37"/>
      <c r="H869" s="37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</row>
    <row r="870" ht="15.75" customHeight="1">
      <c r="A870" s="63"/>
      <c r="B870" s="63"/>
      <c r="C870" s="63"/>
      <c r="D870" s="63"/>
      <c r="E870" s="63"/>
      <c r="F870" s="37"/>
      <c r="G870" s="37"/>
      <c r="H870" s="37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</row>
    <row r="871" ht="15.75" customHeight="1">
      <c r="A871" s="63"/>
      <c r="B871" s="63"/>
      <c r="C871" s="63"/>
      <c r="D871" s="63"/>
      <c r="E871" s="63"/>
      <c r="F871" s="37"/>
      <c r="G871" s="37"/>
      <c r="H871" s="37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  <c r="AN871" s="63"/>
      <c r="AO871" s="63"/>
      <c r="AP871" s="63"/>
      <c r="AQ871" s="63"/>
      <c r="AR871" s="63"/>
    </row>
    <row r="872" ht="15.75" customHeight="1">
      <c r="A872" s="63"/>
      <c r="B872" s="63"/>
      <c r="C872" s="63"/>
      <c r="D872" s="63"/>
      <c r="E872" s="63"/>
      <c r="F872" s="37"/>
      <c r="G872" s="37"/>
      <c r="H872" s="37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</row>
    <row r="873" ht="15.75" customHeight="1">
      <c r="A873" s="63"/>
      <c r="B873" s="63"/>
      <c r="C873" s="63"/>
      <c r="D873" s="63"/>
      <c r="E873" s="63"/>
      <c r="F873" s="37"/>
      <c r="G873" s="37"/>
      <c r="H873" s="37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63"/>
      <c r="AR873" s="63"/>
    </row>
    <row r="874" ht="15.75" customHeight="1">
      <c r="A874" s="63"/>
      <c r="B874" s="63"/>
      <c r="C874" s="63"/>
      <c r="D874" s="63"/>
      <c r="E874" s="63"/>
      <c r="F874" s="37"/>
      <c r="G874" s="37"/>
      <c r="H874" s="37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63"/>
    </row>
    <row r="875" ht="15.75" customHeight="1">
      <c r="A875" s="63"/>
      <c r="B875" s="63"/>
      <c r="C875" s="63"/>
      <c r="D875" s="63"/>
      <c r="E875" s="63"/>
      <c r="F875" s="37"/>
      <c r="G875" s="37"/>
      <c r="H875" s="37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63"/>
    </row>
    <row r="876" ht="15.75" customHeight="1">
      <c r="A876" s="63"/>
      <c r="B876" s="63"/>
      <c r="C876" s="63"/>
      <c r="D876" s="63"/>
      <c r="E876" s="63"/>
      <c r="F876" s="37"/>
      <c r="G876" s="37"/>
      <c r="H876" s="37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63"/>
    </row>
    <row r="877" ht="15.75" customHeight="1">
      <c r="A877" s="63"/>
      <c r="B877" s="63"/>
      <c r="C877" s="63"/>
      <c r="D877" s="63"/>
      <c r="E877" s="63"/>
      <c r="F877" s="37"/>
      <c r="G877" s="37"/>
      <c r="H877" s="37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63"/>
    </row>
    <row r="878" ht="15.75" customHeight="1">
      <c r="A878" s="63"/>
      <c r="B878" s="63"/>
      <c r="C878" s="63"/>
      <c r="D878" s="63"/>
      <c r="E878" s="63"/>
      <c r="F878" s="37"/>
      <c r="G878" s="37"/>
      <c r="H878" s="37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</row>
    <row r="879" ht="15.75" customHeight="1">
      <c r="A879" s="63"/>
      <c r="B879" s="63"/>
      <c r="C879" s="63"/>
      <c r="D879" s="63"/>
      <c r="E879" s="63"/>
      <c r="F879" s="37"/>
      <c r="G879" s="37"/>
      <c r="H879" s="37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  <c r="AN879" s="63"/>
      <c r="AO879" s="63"/>
      <c r="AP879" s="63"/>
      <c r="AQ879" s="63"/>
      <c r="AR879" s="63"/>
    </row>
    <row r="880" ht="15.75" customHeight="1">
      <c r="A880" s="63"/>
      <c r="B880" s="63"/>
      <c r="C880" s="63"/>
      <c r="D880" s="63"/>
      <c r="E880" s="63"/>
      <c r="F880" s="37"/>
      <c r="G880" s="37"/>
      <c r="H880" s="37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  <c r="AN880" s="63"/>
      <c r="AO880" s="63"/>
      <c r="AP880" s="63"/>
      <c r="AQ880" s="63"/>
      <c r="AR880" s="63"/>
    </row>
    <row r="881" ht="15.75" customHeight="1">
      <c r="A881" s="63"/>
      <c r="B881" s="63"/>
      <c r="C881" s="63"/>
      <c r="D881" s="63"/>
      <c r="E881" s="63"/>
      <c r="F881" s="37"/>
      <c r="G881" s="37"/>
      <c r="H881" s="37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63"/>
      <c r="AQ881" s="63"/>
      <c r="AR881" s="63"/>
    </row>
    <row r="882" ht="15.75" customHeight="1">
      <c r="A882" s="63"/>
      <c r="B882" s="63"/>
      <c r="C882" s="63"/>
      <c r="D882" s="63"/>
      <c r="E882" s="63"/>
      <c r="F882" s="37"/>
      <c r="G882" s="37"/>
      <c r="H882" s="37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</row>
    <row r="883" ht="15.75" customHeight="1">
      <c r="A883" s="63"/>
      <c r="B883" s="63"/>
      <c r="C883" s="63"/>
      <c r="D883" s="63"/>
      <c r="E883" s="63"/>
      <c r="F883" s="37"/>
      <c r="G883" s="37"/>
      <c r="H883" s="37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  <c r="AN883" s="63"/>
      <c r="AO883" s="63"/>
      <c r="AP883" s="63"/>
      <c r="AQ883" s="63"/>
      <c r="AR883" s="63"/>
    </row>
    <row r="884" ht="15.75" customHeight="1">
      <c r="A884" s="63"/>
      <c r="B884" s="63"/>
      <c r="C884" s="63"/>
      <c r="D884" s="63"/>
      <c r="E884" s="63"/>
      <c r="F884" s="37"/>
      <c r="G884" s="37"/>
      <c r="H884" s="37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  <c r="AN884" s="63"/>
      <c r="AO884" s="63"/>
      <c r="AP884" s="63"/>
      <c r="AQ884" s="63"/>
      <c r="AR884" s="63"/>
    </row>
    <row r="885" ht="15.75" customHeight="1">
      <c r="A885" s="63"/>
      <c r="B885" s="63"/>
      <c r="C885" s="63"/>
      <c r="D885" s="63"/>
      <c r="E885" s="63"/>
      <c r="F885" s="37"/>
      <c r="G885" s="37"/>
      <c r="H885" s="37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  <c r="AN885" s="63"/>
      <c r="AO885" s="63"/>
      <c r="AP885" s="63"/>
      <c r="AQ885" s="63"/>
      <c r="AR885" s="63"/>
    </row>
    <row r="886" ht="15.75" customHeight="1">
      <c r="A886" s="63"/>
      <c r="B886" s="63"/>
      <c r="C886" s="63"/>
      <c r="D886" s="63"/>
      <c r="E886" s="63"/>
      <c r="F886" s="37"/>
      <c r="G886" s="37"/>
      <c r="H886" s="37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  <c r="AN886" s="63"/>
      <c r="AO886" s="63"/>
      <c r="AP886" s="63"/>
      <c r="AQ886" s="63"/>
      <c r="AR886" s="63"/>
    </row>
    <row r="887" ht="15.75" customHeight="1">
      <c r="A887" s="63"/>
      <c r="B887" s="63"/>
      <c r="C887" s="63"/>
      <c r="D887" s="63"/>
      <c r="E887" s="63"/>
      <c r="F887" s="37"/>
      <c r="G887" s="37"/>
      <c r="H887" s="37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  <c r="AN887" s="63"/>
      <c r="AO887" s="63"/>
      <c r="AP887" s="63"/>
      <c r="AQ887" s="63"/>
      <c r="AR887" s="63"/>
    </row>
    <row r="888" ht="15.75" customHeight="1">
      <c r="A888" s="63"/>
      <c r="B888" s="63"/>
      <c r="C888" s="63"/>
      <c r="D888" s="63"/>
      <c r="E888" s="63"/>
      <c r="F888" s="37"/>
      <c r="G888" s="37"/>
      <c r="H888" s="37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  <c r="AN888" s="63"/>
      <c r="AO888" s="63"/>
      <c r="AP888" s="63"/>
      <c r="AQ888" s="63"/>
      <c r="AR888" s="63"/>
    </row>
    <row r="889" ht="15.75" customHeight="1">
      <c r="A889" s="63"/>
      <c r="B889" s="63"/>
      <c r="C889" s="63"/>
      <c r="D889" s="63"/>
      <c r="E889" s="63"/>
      <c r="F889" s="37"/>
      <c r="G889" s="37"/>
      <c r="H889" s="37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  <c r="AN889" s="63"/>
      <c r="AO889" s="63"/>
      <c r="AP889" s="63"/>
      <c r="AQ889" s="63"/>
      <c r="AR889" s="63"/>
    </row>
    <row r="890" ht="15.75" customHeight="1">
      <c r="A890" s="63"/>
      <c r="B890" s="63"/>
      <c r="C890" s="63"/>
      <c r="D890" s="63"/>
      <c r="E890" s="63"/>
      <c r="F890" s="37"/>
      <c r="G890" s="37"/>
      <c r="H890" s="37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</row>
    <row r="891" ht="15.75" customHeight="1">
      <c r="A891" s="63"/>
      <c r="B891" s="63"/>
      <c r="C891" s="63"/>
      <c r="D891" s="63"/>
      <c r="E891" s="63"/>
      <c r="F891" s="37"/>
      <c r="G891" s="37"/>
      <c r="H891" s="37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</row>
    <row r="892" ht="15.75" customHeight="1">
      <c r="A892" s="63"/>
      <c r="B892" s="63"/>
      <c r="C892" s="63"/>
      <c r="D892" s="63"/>
      <c r="E892" s="63"/>
      <c r="F892" s="37"/>
      <c r="G892" s="37"/>
      <c r="H892" s="37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</row>
    <row r="893" ht="15.75" customHeight="1">
      <c r="A893" s="63"/>
      <c r="B893" s="63"/>
      <c r="C893" s="63"/>
      <c r="D893" s="63"/>
      <c r="E893" s="63"/>
      <c r="F893" s="37"/>
      <c r="G893" s="37"/>
      <c r="H893" s="37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</row>
    <row r="894" ht="15.75" customHeight="1">
      <c r="A894" s="63"/>
      <c r="B894" s="63"/>
      <c r="C894" s="63"/>
      <c r="D894" s="63"/>
      <c r="E894" s="63"/>
      <c r="F894" s="37"/>
      <c r="G894" s="37"/>
      <c r="H894" s="37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  <c r="AN894" s="63"/>
      <c r="AO894" s="63"/>
      <c r="AP894" s="63"/>
      <c r="AQ894" s="63"/>
      <c r="AR894" s="63"/>
    </row>
    <row r="895" ht="15.75" customHeight="1">
      <c r="A895" s="63"/>
      <c r="B895" s="63"/>
      <c r="C895" s="63"/>
      <c r="D895" s="63"/>
      <c r="E895" s="63"/>
      <c r="F895" s="37"/>
      <c r="G895" s="37"/>
      <c r="H895" s="37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  <c r="AN895" s="63"/>
      <c r="AO895" s="63"/>
      <c r="AP895" s="63"/>
      <c r="AQ895" s="63"/>
      <c r="AR895" s="63"/>
    </row>
    <row r="896" ht="15.75" customHeight="1">
      <c r="A896" s="63"/>
      <c r="B896" s="63"/>
      <c r="C896" s="63"/>
      <c r="D896" s="63"/>
      <c r="E896" s="63"/>
      <c r="F896" s="37"/>
      <c r="G896" s="37"/>
      <c r="H896" s="37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</row>
    <row r="897" ht="15.75" customHeight="1">
      <c r="A897" s="63"/>
      <c r="B897" s="63"/>
      <c r="C897" s="63"/>
      <c r="D897" s="63"/>
      <c r="E897" s="63"/>
      <c r="F897" s="37"/>
      <c r="G897" s="37"/>
      <c r="H897" s="37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  <c r="AN897" s="63"/>
      <c r="AO897" s="63"/>
      <c r="AP897" s="63"/>
      <c r="AQ897" s="63"/>
      <c r="AR897" s="63"/>
    </row>
    <row r="898" ht="15.75" customHeight="1">
      <c r="A898" s="63"/>
      <c r="B898" s="63"/>
      <c r="C898" s="63"/>
      <c r="D898" s="63"/>
      <c r="E898" s="63"/>
      <c r="F898" s="37"/>
      <c r="G898" s="37"/>
      <c r="H898" s="37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</row>
    <row r="899" ht="15.75" customHeight="1">
      <c r="A899" s="63"/>
      <c r="B899" s="63"/>
      <c r="C899" s="63"/>
      <c r="D899" s="63"/>
      <c r="E899" s="63"/>
      <c r="F899" s="37"/>
      <c r="G899" s="37"/>
      <c r="H899" s="37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</row>
    <row r="900" ht="15.75" customHeight="1">
      <c r="A900" s="63"/>
      <c r="B900" s="63"/>
      <c r="C900" s="63"/>
      <c r="D900" s="63"/>
      <c r="E900" s="63"/>
      <c r="F900" s="37"/>
      <c r="G900" s="37"/>
      <c r="H900" s="37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</row>
    <row r="901" ht="15.75" customHeight="1">
      <c r="A901" s="63"/>
      <c r="B901" s="63"/>
      <c r="C901" s="63"/>
      <c r="D901" s="63"/>
      <c r="E901" s="63"/>
      <c r="F901" s="37"/>
      <c r="G901" s="37"/>
      <c r="H901" s="37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</row>
    <row r="902" ht="15.75" customHeight="1">
      <c r="A902" s="63"/>
      <c r="B902" s="63"/>
      <c r="C902" s="63"/>
      <c r="D902" s="63"/>
      <c r="E902" s="63"/>
      <c r="F902" s="37"/>
      <c r="G902" s="37"/>
      <c r="H902" s="37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  <c r="AN902" s="63"/>
      <c r="AO902" s="63"/>
      <c r="AP902" s="63"/>
      <c r="AQ902" s="63"/>
      <c r="AR902" s="63"/>
    </row>
    <row r="903" ht="15.75" customHeight="1">
      <c r="A903" s="63"/>
      <c r="B903" s="63"/>
      <c r="C903" s="63"/>
      <c r="D903" s="63"/>
      <c r="E903" s="63"/>
      <c r="F903" s="37"/>
      <c r="G903" s="37"/>
      <c r="H903" s="37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  <c r="AN903" s="63"/>
      <c r="AO903" s="63"/>
      <c r="AP903" s="63"/>
      <c r="AQ903" s="63"/>
      <c r="AR903" s="63"/>
    </row>
    <row r="904" ht="15.75" customHeight="1">
      <c r="A904" s="63"/>
      <c r="B904" s="63"/>
      <c r="C904" s="63"/>
      <c r="D904" s="63"/>
      <c r="E904" s="63"/>
      <c r="F904" s="37"/>
      <c r="G904" s="37"/>
      <c r="H904" s="37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  <c r="AN904" s="63"/>
      <c r="AO904" s="63"/>
      <c r="AP904" s="63"/>
      <c r="AQ904" s="63"/>
      <c r="AR904" s="63"/>
    </row>
    <row r="905" ht="15.75" customHeight="1">
      <c r="A905" s="63"/>
      <c r="B905" s="63"/>
      <c r="C905" s="63"/>
      <c r="D905" s="63"/>
      <c r="E905" s="63"/>
      <c r="F905" s="37"/>
      <c r="G905" s="37"/>
      <c r="H905" s="37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</row>
    <row r="906" ht="15.75" customHeight="1">
      <c r="A906" s="63"/>
      <c r="B906" s="63"/>
      <c r="C906" s="63"/>
      <c r="D906" s="63"/>
      <c r="E906" s="63"/>
      <c r="F906" s="37"/>
      <c r="G906" s="37"/>
      <c r="H906" s="37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</row>
    <row r="907" ht="15.75" customHeight="1">
      <c r="A907" s="63"/>
      <c r="B907" s="63"/>
      <c r="C907" s="63"/>
      <c r="D907" s="63"/>
      <c r="E907" s="63"/>
      <c r="F907" s="37"/>
      <c r="G907" s="37"/>
      <c r="H907" s="37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</row>
    <row r="908" ht="15.75" customHeight="1">
      <c r="A908" s="63"/>
      <c r="B908" s="63"/>
      <c r="C908" s="63"/>
      <c r="D908" s="63"/>
      <c r="E908" s="63"/>
      <c r="F908" s="37"/>
      <c r="G908" s="37"/>
      <c r="H908" s="37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</row>
    <row r="909" ht="15.75" customHeight="1">
      <c r="A909" s="63"/>
      <c r="B909" s="63"/>
      <c r="C909" s="63"/>
      <c r="D909" s="63"/>
      <c r="E909" s="63"/>
      <c r="F909" s="37"/>
      <c r="G909" s="37"/>
      <c r="H909" s="37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</row>
    <row r="910" ht="15.75" customHeight="1">
      <c r="A910" s="63"/>
      <c r="B910" s="63"/>
      <c r="C910" s="63"/>
      <c r="D910" s="63"/>
      <c r="E910" s="63"/>
      <c r="F910" s="37"/>
      <c r="G910" s="37"/>
      <c r="H910" s="37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  <c r="AN910" s="63"/>
      <c r="AO910" s="63"/>
      <c r="AP910" s="63"/>
      <c r="AQ910" s="63"/>
      <c r="AR910" s="63"/>
    </row>
    <row r="911" ht="15.75" customHeight="1">
      <c r="A911" s="63"/>
      <c r="B911" s="63"/>
      <c r="C911" s="63"/>
      <c r="D911" s="63"/>
      <c r="E911" s="63"/>
      <c r="F911" s="37"/>
      <c r="G911" s="37"/>
      <c r="H911" s="37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  <c r="AN911" s="63"/>
      <c r="AO911" s="63"/>
      <c r="AP911" s="63"/>
      <c r="AQ911" s="63"/>
      <c r="AR911" s="63"/>
    </row>
    <row r="912" ht="15.75" customHeight="1">
      <c r="A912" s="63"/>
      <c r="B912" s="63"/>
      <c r="C912" s="63"/>
      <c r="D912" s="63"/>
      <c r="E912" s="63"/>
      <c r="F912" s="37"/>
      <c r="G912" s="37"/>
      <c r="H912" s="37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  <c r="AN912" s="63"/>
      <c r="AO912" s="63"/>
      <c r="AP912" s="63"/>
      <c r="AQ912" s="63"/>
      <c r="AR912" s="63"/>
    </row>
    <row r="913" ht="15.75" customHeight="1">
      <c r="A913" s="63"/>
      <c r="B913" s="63"/>
      <c r="C913" s="63"/>
      <c r="D913" s="63"/>
      <c r="E913" s="63"/>
      <c r="F913" s="37"/>
      <c r="G913" s="37"/>
      <c r="H913" s="37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  <c r="AN913" s="63"/>
      <c r="AO913" s="63"/>
      <c r="AP913" s="63"/>
      <c r="AQ913" s="63"/>
      <c r="AR913" s="63"/>
    </row>
    <row r="914" ht="15.75" customHeight="1">
      <c r="A914" s="63"/>
      <c r="B914" s="63"/>
      <c r="C914" s="63"/>
      <c r="D914" s="63"/>
      <c r="E914" s="63"/>
      <c r="F914" s="37"/>
      <c r="G914" s="37"/>
      <c r="H914" s="37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</row>
    <row r="915" ht="15.75" customHeight="1">
      <c r="A915" s="63"/>
      <c r="B915" s="63"/>
      <c r="C915" s="63"/>
      <c r="D915" s="63"/>
      <c r="E915" s="63"/>
      <c r="F915" s="37"/>
      <c r="G915" s="37"/>
      <c r="H915" s="37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</row>
    <row r="916" ht="15.75" customHeight="1">
      <c r="A916" s="63"/>
      <c r="B916" s="63"/>
      <c r="C916" s="63"/>
      <c r="D916" s="63"/>
      <c r="E916" s="63"/>
      <c r="F916" s="37"/>
      <c r="G916" s="37"/>
      <c r="H916" s="37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</row>
    <row r="917" ht="15.75" customHeight="1">
      <c r="A917" s="63"/>
      <c r="B917" s="63"/>
      <c r="C917" s="63"/>
      <c r="D917" s="63"/>
      <c r="E917" s="63"/>
      <c r="F917" s="37"/>
      <c r="G917" s="37"/>
      <c r="H917" s="37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  <c r="AN917" s="63"/>
      <c r="AO917" s="63"/>
      <c r="AP917" s="63"/>
      <c r="AQ917" s="63"/>
      <c r="AR917" s="63"/>
    </row>
    <row r="918" ht="15.75" customHeight="1">
      <c r="A918" s="63"/>
      <c r="B918" s="63"/>
      <c r="C918" s="63"/>
      <c r="D918" s="63"/>
      <c r="E918" s="63"/>
      <c r="F918" s="37"/>
      <c r="G918" s="37"/>
      <c r="H918" s="37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  <c r="AN918" s="63"/>
      <c r="AO918" s="63"/>
      <c r="AP918" s="63"/>
      <c r="AQ918" s="63"/>
      <c r="AR918" s="63"/>
    </row>
    <row r="919" ht="15.75" customHeight="1">
      <c r="A919" s="63"/>
      <c r="B919" s="63"/>
      <c r="C919" s="63"/>
      <c r="D919" s="63"/>
      <c r="E919" s="63"/>
      <c r="F919" s="37"/>
      <c r="G919" s="37"/>
      <c r="H919" s="37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  <c r="AN919" s="63"/>
      <c r="AO919" s="63"/>
      <c r="AP919" s="63"/>
      <c r="AQ919" s="63"/>
      <c r="AR919" s="63"/>
    </row>
    <row r="920" ht="15.75" customHeight="1">
      <c r="A920" s="63"/>
      <c r="B920" s="63"/>
      <c r="C920" s="63"/>
      <c r="D920" s="63"/>
      <c r="E920" s="63"/>
      <c r="F920" s="37"/>
      <c r="G920" s="37"/>
      <c r="H920" s="37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</row>
    <row r="921" ht="15.75" customHeight="1">
      <c r="A921" s="63"/>
      <c r="B921" s="63"/>
      <c r="C921" s="63"/>
      <c r="D921" s="63"/>
      <c r="E921" s="63"/>
      <c r="F921" s="37"/>
      <c r="G921" s="37"/>
      <c r="H921" s="37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</row>
    <row r="922" ht="15.75" customHeight="1">
      <c r="A922" s="63"/>
      <c r="B922" s="63"/>
      <c r="C922" s="63"/>
      <c r="D922" s="63"/>
      <c r="E922" s="63"/>
      <c r="F922" s="37"/>
      <c r="G922" s="37"/>
      <c r="H922" s="37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  <c r="AN922" s="63"/>
      <c r="AO922" s="63"/>
      <c r="AP922" s="63"/>
      <c r="AQ922" s="63"/>
      <c r="AR922" s="63"/>
    </row>
    <row r="923" ht="15.75" customHeight="1">
      <c r="A923" s="63"/>
      <c r="B923" s="63"/>
      <c r="C923" s="63"/>
      <c r="D923" s="63"/>
      <c r="E923" s="63"/>
      <c r="F923" s="37"/>
      <c r="G923" s="37"/>
      <c r="H923" s="37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  <c r="AN923" s="63"/>
      <c r="AO923" s="63"/>
      <c r="AP923" s="63"/>
      <c r="AQ923" s="63"/>
      <c r="AR923" s="63"/>
    </row>
    <row r="924" ht="15.75" customHeight="1">
      <c r="A924" s="63"/>
      <c r="B924" s="63"/>
      <c r="C924" s="63"/>
      <c r="D924" s="63"/>
      <c r="E924" s="63"/>
      <c r="F924" s="37"/>
      <c r="G924" s="37"/>
      <c r="H924" s="37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</row>
    <row r="925" ht="15.75" customHeight="1">
      <c r="A925" s="63"/>
      <c r="B925" s="63"/>
      <c r="C925" s="63"/>
      <c r="D925" s="63"/>
      <c r="E925" s="63"/>
      <c r="F925" s="37"/>
      <c r="G925" s="37"/>
      <c r="H925" s="37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</row>
    <row r="926" ht="15.75" customHeight="1">
      <c r="A926" s="63"/>
      <c r="B926" s="63"/>
      <c r="C926" s="63"/>
      <c r="D926" s="63"/>
      <c r="E926" s="63"/>
      <c r="F926" s="37"/>
      <c r="G926" s="37"/>
      <c r="H926" s="37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</row>
    <row r="927" ht="15.75" customHeight="1">
      <c r="A927" s="63"/>
      <c r="B927" s="63"/>
      <c r="C927" s="63"/>
      <c r="D927" s="63"/>
      <c r="E927" s="63"/>
      <c r="F927" s="37"/>
      <c r="G927" s="37"/>
      <c r="H927" s="37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</row>
    <row r="928" ht="15.75" customHeight="1">
      <c r="A928" s="63"/>
      <c r="B928" s="63"/>
      <c r="C928" s="63"/>
      <c r="D928" s="63"/>
      <c r="E928" s="63"/>
      <c r="F928" s="37"/>
      <c r="G928" s="37"/>
      <c r="H928" s="37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</row>
    <row r="929" ht="15.75" customHeight="1">
      <c r="A929" s="63"/>
      <c r="B929" s="63"/>
      <c r="C929" s="63"/>
      <c r="D929" s="63"/>
      <c r="E929" s="63"/>
      <c r="F929" s="37"/>
      <c r="G929" s="37"/>
      <c r="H929" s="37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</row>
    <row r="930" ht="15.75" customHeight="1">
      <c r="A930" s="63"/>
      <c r="B930" s="63"/>
      <c r="C930" s="63"/>
      <c r="D930" s="63"/>
      <c r="E930" s="63"/>
      <c r="F930" s="37"/>
      <c r="G930" s="37"/>
      <c r="H930" s="37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  <c r="AN930" s="63"/>
      <c r="AO930" s="63"/>
      <c r="AP930" s="63"/>
      <c r="AQ930" s="63"/>
      <c r="AR930" s="63"/>
    </row>
    <row r="931" ht="15.75" customHeight="1">
      <c r="A931" s="63"/>
      <c r="B931" s="63"/>
      <c r="C931" s="63"/>
      <c r="D931" s="63"/>
      <c r="E931" s="63"/>
      <c r="F931" s="37"/>
      <c r="G931" s="37"/>
      <c r="H931" s="37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  <c r="AN931" s="63"/>
      <c r="AO931" s="63"/>
      <c r="AP931" s="63"/>
      <c r="AQ931" s="63"/>
      <c r="AR931" s="63"/>
    </row>
    <row r="932" ht="15.75" customHeight="1">
      <c r="A932" s="63"/>
      <c r="B932" s="63"/>
      <c r="C932" s="63"/>
      <c r="D932" s="63"/>
      <c r="E932" s="63"/>
      <c r="F932" s="37"/>
      <c r="G932" s="37"/>
      <c r="H932" s="37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  <c r="AN932" s="63"/>
      <c r="AO932" s="63"/>
      <c r="AP932" s="63"/>
      <c r="AQ932" s="63"/>
      <c r="AR932" s="63"/>
    </row>
    <row r="933" ht="15.75" customHeight="1">
      <c r="A933" s="63"/>
      <c r="B933" s="63"/>
      <c r="C933" s="63"/>
      <c r="D933" s="63"/>
      <c r="E933" s="63"/>
      <c r="F933" s="37"/>
      <c r="G933" s="37"/>
      <c r="H933" s="37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  <c r="AN933" s="63"/>
      <c r="AO933" s="63"/>
      <c r="AP933" s="63"/>
      <c r="AQ933" s="63"/>
      <c r="AR933" s="63"/>
    </row>
    <row r="934" ht="15.75" customHeight="1">
      <c r="A934" s="63"/>
      <c r="B934" s="63"/>
      <c r="C934" s="63"/>
      <c r="D934" s="63"/>
      <c r="E934" s="63"/>
      <c r="F934" s="37"/>
      <c r="G934" s="37"/>
      <c r="H934" s="37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  <c r="AN934" s="63"/>
      <c r="AO934" s="63"/>
      <c r="AP934" s="63"/>
      <c r="AQ934" s="63"/>
      <c r="AR934" s="63"/>
    </row>
    <row r="935" ht="15.75" customHeight="1">
      <c r="A935" s="63"/>
      <c r="B935" s="63"/>
      <c r="C935" s="63"/>
      <c r="D935" s="63"/>
      <c r="E935" s="63"/>
      <c r="F935" s="37"/>
      <c r="G935" s="37"/>
      <c r="H935" s="37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  <c r="AN935" s="63"/>
      <c r="AO935" s="63"/>
      <c r="AP935" s="63"/>
      <c r="AQ935" s="63"/>
      <c r="AR935" s="63"/>
    </row>
    <row r="936" ht="15.75" customHeight="1">
      <c r="A936" s="63"/>
      <c r="B936" s="63"/>
      <c r="C936" s="63"/>
      <c r="D936" s="63"/>
      <c r="E936" s="63"/>
      <c r="F936" s="37"/>
      <c r="G936" s="37"/>
      <c r="H936" s="37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  <c r="AN936" s="63"/>
      <c r="AO936" s="63"/>
      <c r="AP936" s="63"/>
      <c r="AQ936" s="63"/>
      <c r="AR936" s="63"/>
    </row>
    <row r="937" ht="15.75" customHeight="1">
      <c r="A937" s="63"/>
      <c r="B937" s="63"/>
      <c r="C937" s="63"/>
      <c r="D937" s="63"/>
      <c r="E937" s="63"/>
      <c r="F937" s="37"/>
      <c r="G937" s="37"/>
      <c r="H937" s="37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</row>
    <row r="938" ht="15.75" customHeight="1">
      <c r="A938" s="63"/>
      <c r="B938" s="63"/>
      <c r="C938" s="63"/>
      <c r="D938" s="63"/>
      <c r="E938" s="63"/>
      <c r="F938" s="37"/>
      <c r="G938" s="37"/>
      <c r="H938" s="37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  <c r="AN938" s="63"/>
      <c r="AO938" s="63"/>
      <c r="AP938" s="63"/>
      <c r="AQ938" s="63"/>
      <c r="AR938" s="63"/>
    </row>
    <row r="939" ht="15.75" customHeight="1">
      <c r="A939" s="63"/>
      <c r="B939" s="63"/>
      <c r="C939" s="63"/>
      <c r="D939" s="63"/>
      <c r="E939" s="63"/>
      <c r="F939" s="37"/>
      <c r="G939" s="37"/>
      <c r="H939" s="37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  <c r="AN939" s="63"/>
      <c r="AO939" s="63"/>
      <c r="AP939" s="63"/>
      <c r="AQ939" s="63"/>
      <c r="AR939" s="63"/>
    </row>
    <row r="940" ht="15.75" customHeight="1">
      <c r="A940" s="63"/>
      <c r="B940" s="63"/>
      <c r="C940" s="63"/>
      <c r="D940" s="63"/>
      <c r="E940" s="63"/>
      <c r="F940" s="37"/>
      <c r="G940" s="37"/>
      <c r="H940" s="37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  <c r="AN940" s="63"/>
      <c r="AO940" s="63"/>
      <c r="AP940" s="63"/>
      <c r="AQ940" s="63"/>
      <c r="AR940" s="63"/>
    </row>
    <row r="941" ht="15.75" customHeight="1">
      <c r="A941" s="63"/>
      <c r="B941" s="63"/>
      <c r="C941" s="63"/>
      <c r="D941" s="63"/>
      <c r="E941" s="63"/>
      <c r="F941" s="37"/>
      <c r="G941" s="37"/>
      <c r="H941" s="37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  <c r="AN941" s="63"/>
      <c r="AO941" s="63"/>
      <c r="AP941" s="63"/>
      <c r="AQ941" s="63"/>
      <c r="AR941" s="63"/>
    </row>
    <row r="942" ht="15.75" customHeight="1">
      <c r="A942" s="63"/>
      <c r="B942" s="63"/>
      <c r="C942" s="63"/>
      <c r="D942" s="63"/>
      <c r="E942" s="63"/>
      <c r="F942" s="37"/>
      <c r="G942" s="37"/>
      <c r="H942" s="37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  <c r="AN942" s="63"/>
      <c r="AO942" s="63"/>
      <c r="AP942" s="63"/>
      <c r="AQ942" s="63"/>
      <c r="AR942" s="63"/>
    </row>
    <row r="943" ht="15.75" customHeight="1">
      <c r="A943" s="63"/>
      <c r="B943" s="63"/>
      <c r="C943" s="63"/>
      <c r="D943" s="63"/>
      <c r="E943" s="63"/>
      <c r="F943" s="37"/>
      <c r="G943" s="37"/>
      <c r="H943" s="37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</row>
    <row r="944" ht="15.75" customHeight="1">
      <c r="A944" s="63"/>
      <c r="B944" s="63"/>
      <c r="C944" s="63"/>
      <c r="D944" s="63"/>
      <c r="E944" s="63"/>
      <c r="F944" s="37"/>
      <c r="G944" s="37"/>
      <c r="H944" s="37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</row>
    <row r="945" ht="15.75" customHeight="1">
      <c r="A945" s="63"/>
      <c r="B945" s="63"/>
      <c r="C945" s="63"/>
      <c r="D945" s="63"/>
      <c r="E945" s="63"/>
      <c r="F945" s="37"/>
      <c r="G945" s="37"/>
      <c r="H945" s="37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  <c r="AN945" s="63"/>
      <c r="AO945" s="63"/>
      <c r="AP945" s="63"/>
      <c r="AQ945" s="63"/>
      <c r="AR945" s="63"/>
    </row>
    <row r="946" ht="15.75" customHeight="1">
      <c r="A946" s="63"/>
      <c r="B946" s="63"/>
      <c r="C946" s="63"/>
      <c r="D946" s="63"/>
      <c r="E946" s="63"/>
      <c r="F946" s="37"/>
      <c r="G946" s="37"/>
      <c r="H946" s="37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  <c r="AN946" s="63"/>
      <c r="AO946" s="63"/>
      <c r="AP946" s="63"/>
      <c r="AQ946" s="63"/>
      <c r="AR946" s="63"/>
    </row>
    <row r="947" ht="15.75" customHeight="1">
      <c r="A947" s="63"/>
      <c r="B947" s="63"/>
      <c r="C947" s="63"/>
      <c r="D947" s="63"/>
      <c r="E947" s="63"/>
      <c r="F947" s="37"/>
      <c r="G947" s="37"/>
      <c r="H947" s="37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  <c r="AN947" s="63"/>
      <c r="AO947" s="63"/>
      <c r="AP947" s="63"/>
      <c r="AQ947" s="63"/>
      <c r="AR947" s="63"/>
    </row>
    <row r="948" ht="15.75" customHeight="1">
      <c r="A948" s="63"/>
      <c r="B948" s="63"/>
      <c r="C948" s="63"/>
      <c r="D948" s="63"/>
      <c r="E948" s="63"/>
      <c r="F948" s="37"/>
      <c r="G948" s="37"/>
      <c r="H948" s="37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  <c r="AN948" s="63"/>
      <c r="AO948" s="63"/>
      <c r="AP948" s="63"/>
      <c r="AQ948" s="63"/>
      <c r="AR948" s="63"/>
    </row>
    <row r="949" ht="15.75" customHeight="1">
      <c r="A949" s="63"/>
      <c r="B949" s="63"/>
      <c r="C949" s="63"/>
      <c r="D949" s="63"/>
      <c r="E949" s="63"/>
      <c r="F949" s="37"/>
      <c r="G949" s="37"/>
      <c r="H949" s="37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  <c r="AN949" s="63"/>
      <c r="AO949" s="63"/>
      <c r="AP949" s="63"/>
      <c r="AQ949" s="63"/>
      <c r="AR949" s="63"/>
    </row>
    <row r="950" ht="15.75" customHeight="1">
      <c r="A950" s="63"/>
      <c r="B950" s="63"/>
      <c r="C950" s="63"/>
      <c r="D950" s="63"/>
      <c r="E950" s="63"/>
      <c r="F950" s="37"/>
      <c r="G950" s="37"/>
      <c r="H950" s="37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  <c r="AN950" s="63"/>
      <c r="AO950" s="63"/>
      <c r="AP950" s="63"/>
      <c r="AQ950" s="63"/>
      <c r="AR950" s="63"/>
    </row>
    <row r="951" ht="15.75" customHeight="1">
      <c r="A951" s="63"/>
      <c r="B951" s="63"/>
      <c r="C951" s="63"/>
      <c r="D951" s="63"/>
      <c r="E951" s="63"/>
      <c r="F951" s="37"/>
      <c r="G951" s="37"/>
      <c r="H951" s="37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  <c r="AN951" s="63"/>
      <c r="AO951" s="63"/>
      <c r="AP951" s="63"/>
      <c r="AQ951" s="63"/>
      <c r="AR951" s="63"/>
    </row>
    <row r="952" ht="15.75" customHeight="1">
      <c r="A952" s="63"/>
      <c r="B952" s="63"/>
      <c r="C952" s="63"/>
      <c r="D952" s="63"/>
      <c r="E952" s="63"/>
      <c r="F952" s="37"/>
      <c r="G952" s="37"/>
      <c r="H952" s="37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  <c r="AN952" s="63"/>
      <c r="AO952" s="63"/>
      <c r="AP952" s="63"/>
      <c r="AQ952" s="63"/>
      <c r="AR952" s="63"/>
    </row>
    <row r="953" ht="15.75" customHeight="1">
      <c r="A953" s="63"/>
      <c r="B953" s="63"/>
      <c r="C953" s="63"/>
      <c r="D953" s="63"/>
      <c r="E953" s="63"/>
      <c r="F953" s="37"/>
      <c r="G953" s="37"/>
      <c r="H953" s="37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  <c r="AN953" s="63"/>
      <c r="AO953" s="63"/>
      <c r="AP953" s="63"/>
      <c r="AQ953" s="63"/>
      <c r="AR953" s="63"/>
    </row>
    <row r="954" ht="15.75" customHeight="1">
      <c r="A954" s="63"/>
      <c r="B954" s="63"/>
      <c r="C954" s="63"/>
      <c r="D954" s="63"/>
      <c r="E954" s="63"/>
      <c r="F954" s="37"/>
      <c r="G954" s="37"/>
      <c r="H954" s="37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63"/>
    </row>
    <row r="955" ht="15.75" customHeight="1">
      <c r="A955" s="63"/>
      <c r="B955" s="63"/>
      <c r="C955" s="63"/>
      <c r="D955" s="63"/>
      <c r="E955" s="63"/>
      <c r="F955" s="37"/>
      <c r="G955" s="37"/>
      <c r="H955" s="37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</row>
    <row r="956" ht="15.75" customHeight="1">
      <c r="A956" s="63"/>
      <c r="B956" s="63"/>
      <c r="C956" s="63"/>
      <c r="D956" s="63"/>
      <c r="E956" s="63"/>
      <c r="F956" s="37"/>
      <c r="G956" s="37"/>
      <c r="H956" s="37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</row>
    <row r="957" ht="15.75" customHeight="1">
      <c r="A957" s="63"/>
      <c r="B957" s="63"/>
      <c r="C957" s="63"/>
      <c r="D957" s="63"/>
      <c r="E957" s="63"/>
      <c r="F957" s="37"/>
      <c r="G957" s="37"/>
      <c r="H957" s="37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  <c r="AN957" s="63"/>
      <c r="AO957" s="63"/>
      <c r="AP957" s="63"/>
      <c r="AQ957" s="63"/>
      <c r="AR957" s="63"/>
    </row>
    <row r="958" ht="15.75" customHeight="1">
      <c r="A958" s="63"/>
      <c r="B958" s="63"/>
      <c r="C958" s="63"/>
      <c r="D958" s="63"/>
      <c r="E958" s="63"/>
      <c r="F958" s="37"/>
      <c r="G958" s="37"/>
      <c r="H958" s="37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</row>
    <row r="959" ht="15.75" customHeight="1">
      <c r="A959" s="63"/>
      <c r="B959" s="63"/>
      <c r="C959" s="63"/>
      <c r="D959" s="63"/>
      <c r="E959" s="63"/>
      <c r="F959" s="37"/>
      <c r="G959" s="37"/>
      <c r="H959" s="37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  <c r="AN959" s="63"/>
      <c r="AO959" s="63"/>
      <c r="AP959" s="63"/>
      <c r="AQ959" s="63"/>
      <c r="AR959" s="63"/>
    </row>
    <row r="960" ht="15.75" customHeight="1">
      <c r="A960" s="63"/>
      <c r="B960" s="63"/>
      <c r="C960" s="63"/>
      <c r="D960" s="63"/>
      <c r="E960" s="63"/>
      <c r="F960" s="37"/>
      <c r="G960" s="37"/>
      <c r="H960" s="37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  <c r="AN960" s="63"/>
      <c r="AO960" s="63"/>
      <c r="AP960" s="63"/>
      <c r="AQ960" s="63"/>
      <c r="AR960" s="63"/>
    </row>
    <row r="961" ht="15.75" customHeight="1">
      <c r="A961" s="63"/>
      <c r="B961" s="63"/>
      <c r="C961" s="63"/>
      <c r="D961" s="63"/>
      <c r="E961" s="63"/>
      <c r="F961" s="37"/>
      <c r="G961" s="37"/>
      <c r="H961" s="37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  <c r="AN961" s="63"/>
      <c r="AO961" s="63"/>
      <c r="AP961" s="63"/>
      <c r="AQ961" s="63"/>
      <c r="AR961" s="63"/>
    </row>
    <row r="962" ht="15.75" customHeight="1">
      <c r="A962" s="63"/>
      <c r="B962" s="63"/>
      <c r="C962" s="63"/>
      <c r="D962" s="63"/>
      <c r="E962" s="63"/>
      <c r="F962" s="37"/>
      <c r="G962" s="37"/>
      <c r="H962" s="37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63"/>
    </row>
    <row r="963" ht="15.75" customHeight="1">
      <c r="A963" s="63"/>
      <c r="B963" s="63"/>
      <c r="C963" s="63"/>
      <c r="D963" s="63"/>
      <c r="E963" s="63"/>
      <c r="F963" s="37"/>
      <c r="G963" s="37"/>
      <c r="H963" s="37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63"/>
    </row>
  </sheetData>
  <mergeCells count="20">
    <mergeCell ref="A1:G1"/>
    <mergeCell ref="F2:H2"/>
    <mergeCell ref="A3:A9"/>
    <mergeCell ref="A10:A16"/>
    <mergeCell ref="Y18:AA18"/>
    <mergeCell ref="Y19:AA26"/>
    <mergeCell ref="AB19:AC26"/>
    <mergeCell ref="A63:A66"/>
    <mergeCell ref="A67:A70"/>
    <mergeCell ref="A73:G73"/>
    <mergeCell ref="F74:H74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0" max="30" width="15.63"/>
    <col customWidth="1" min="31" max="31" width="17.5"/>
    <col customWidth="1" min="32" max="32" width="21.63"/>
    <col hidden="1" min="40" max="40" width="12.63"/>
  </cols>
  <sheetData>
    <row r="1" ht="15.75" customHeight="1">
      <c r="A1" s="119" t="s">
        <v>162</v>
      </c>
      <c r="H1" s="63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37"/>
      <c r="AN1" s="37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7" t="s">
        <v>20</v>
      </c>
      <c r="X2" s="63"/>
      <c r="Y2" s="6" t="s">
        <v>20</v>
      </c>
      <c r="Z2" s="8"/>
      <c r="AA2" s="32"/>
      <c r="AB2" s="32"/>
      <c r="AC2" s="32"/>
      <c r="AD2" s="63"/>
      <c r="AE2" s="120" t="s">
        <v>163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164</v>
      </c>
      <c r="D3" s="12" t="s">
        <v>22</v>
      </c>
      <c r="E3" s="17" t="s">
        <v>36</v>
      </c>
      <c r="F3" s="17">
        <v>3.0</v>
      </c>
      <c r="G3" s="92" t="s">
        <v>24</v>
      </c>
      <c r="H3" s="17">
        <v>5.0</v>
      </c>
      <c r="I3" s="17" t="s">
        <v>33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21" t="s">
        <v>36</v>
      </c>
      <c r="P3" s="18">
        <f t="shared" ref="P3:P14" si="3">SUMIF(E$3:E$68,O3,K$3:K$68)+SUMIF(I$3:I$68,O3,L$3:L$68)</f>
        <v>6</v>
      </c>
      <c r="Q3" s="18">
        <f t="shared" ref="Q3:Q14" si="4">COUNTIFS(E$3:E$68,O3,K$3:K$68,3)+COUNTIFS(I$3:I$68,O3,L$3:L$68,3)</f>
        <v>2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9</v>
      </c>
      <c r="T3" s="18">
        <f t="shared" ref="T3:T14" si="7">SUMIF(E$3:E$68,O3,F$3:F$68)+SUMIF(I$3:I$68,O3,H$3:H$68)</f>
        <v>26</v>
      </c>
      <c r="U3" s="20">
        <f t="shared" ref="U3:U14" si="8">SUMIF(E$3:E$68,O3,H$3:H$68)+SUMIF(I$3:I$68,O3,F$3:F$68)</f>
        <v>52</v>
      </c>
      <c r="V3" s="18">
        <f t="shared" ref="V3:V14" si="9">T3-U3</f>
        <v>-26</v>
      </c>
      <c r="W3" s="63"/>
      <c r="X3" s="63"/>
      <c r="Y3" s="69" t="s">
        <v>26</v>
      </c>
      <c r="Z3" s="69" t="s">
        <v>13</v>
      </c>
      <c r="AA3" s="122"/>
      <c r="AB3" s="122"/>
      <c r="AC3" s="122"/>
      <c r="AD3" s="63"/>
      <c r="AE3" s="22" t="s">
        <v>29</v>
      </c>
      <c r="AF3" s="23" t="str">
        <f t="array" ref="AF3:AN14">SORT(O3:W14,2,FALSE,9,FALSE,8,FALSE())</f>
        <v>Eng. Mecânica</v>
      </c>
      <c r="AG3" s="23">
        <v>30.0</v>
      </c>
      <c r="AH3" s="23">
        <v>10.0</v>
      </c>
      <c r="AI3" s="23">
        <v>0.0</v>
      </c>
      <c r="AJ3" s="23">
        <v>1.0</v>
      </c>
      <c r="AK3" s="23">
        <v>45.0</v>
      </c>
      <c r="AL3" s="23">
        <v>16.0</v>
      </c>
      <c r="AM3" s="23">
        <v>29.0</v>
      </c>
      <c r="AN3" s="18"/>
    </row>
    <row r="4" ht="15.75" customHeight="1">
      <c r="A4" s="25"/>
      <c r="B4" s="11">
        <v>45945.0</v>
      </c>
      <c r="C4" s="12" t="s">
        <v>54</v>
      </c>
      <c r="D4" s="12" t="s">
        <v>22</v>
      </c>
      <c r="E4" s="17" t="s">
        <v>23</v>
      </c>
      <c r="F4" s="17">
        <v>4.0</v>
      </c>
      <c r="G4" s="92" t="s">
        <v>24</v>
      </c>
      <c r="H4" s="17">
        <v>2.0</v>
      </c>
      <c r="I4" s="17" t="s">
        <v>110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21" t="s">
        <v>165</v>
      </c>
      <c r="P4" s="18">
        <f t="shared" si="3"/>
        <v>23</v>
      </c>
      <c r="Q4" s="18">
        <f t="shared" si="4"/>
        <v>7</v>
      </c>
      <c r="R4" s="18">
        <f t="shared" si="5"/>
        <v>2</v>
      </c>
      <c r="S4" s="20">
        <f t="shared" si="6"/>
        <v>2</v>
      </c>
      <c r="T4" s="18">
        <f t="shared" si="7"/>
        <v>43</v>
      </c>
      <c r="U4" s="20">
        <f t="shared" si="8"/>
        <v>28</v>
      </c>
      <c r="V4" s="18">
        <f t="shared" si="9"/>
        <v>15</v>
      </c>
      <c r="W4" s="63"/>
      <c r="X4" s="63"/>
      <c r="Y4" s="28" t="s">
        <v>66</v>
      </c>
      <c r="Z4" s="28">
        <v>3.0</v>
      </c>
      <c r="AA4" s="95"/>
      <c r="AB4" s="95"/>
      <c r="AC4" s="95"/>
      <c r="AD4" s="63"/>
      <c r="AE4" s="22" t="s">
        <v>34</v>
      </c>
      <c r="AF4" s="23" t="s">
        <v>165</v>
      </c>
      <c r="AG4" s="23">
        <v>23.0</v>
      </c>
      <c r="AH4" s="23">
        <v>7.0</v>
      </c>
      <c r="AI4" s="23">
        <v>2.0</v>
      </c>
      <c r="AJ4" s="23">
        <v>2.0</v>
      </c>
      <c r="AK4" s="23">
        <v>43.0</v>
      </c>
      <c r="AL4" s="23">
        <v>28.0</v>
      </c>
      <c r="AM4" s="23">
        <v>15.0</v>
      </c>
      <c r="AN4" s="18"/>
    </row>
    <row r="5" ht="15.75" customHeight="1">
      <c r="A5" s="25"/>
      <c r="B5" s="11">
        <v>45945.0</v>
      </c>
      <c r="C5" s="12" t="s">
        <v>51</v>
      </c>
      <c r="D5" s="12" t="s">
        <v>22</v>
      </c>
      <c r="E5" s="17" t="s">
        <v>166</v>
      </c>
      <c r="F5" s="17">
        <v>1.0</v>
      </c>
      <c r="G5" s="92" t="s">
        <v>24</v>
      </c>
      <c r="H5" s="17">
        <v>1.0</v>
      </c>
      <c r="I5" s="17" t="s">
        <v>167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33</v>
      </c>
      <c r="P5" s="18">
        <f t="shared" si="3"/>
        <v>30</v>
      </c>
      <c r="Q5" s="18">
        <f t="shared" si="4"/>
        <v>10</v>
      </c>
      <c r="R5" s="18">
        <f t="shared" si="5"/>
        <v>0</v>
      </c>
      <c r="S5" s="20">
        <f t="shared" si="6"/>
        <v>1</v>
      </c>
      <c r="T5" s="18">
        <f t="shared" si="7"/>
        <v>45</v>
      </c>
      <c r="U5" s="20">
        <f t="shared" si="8"/>
        <v>16</v>
      </c>
      <c r="V5" s="18">
        <f t="shared" si="9"/>
        <v>29</v>
      </c>
      <c r="W5" s="63"/>
      <c r="X5" s="63"/>
      <c r="Y5" s="28" t="s">
        <v>36</v>
      </c>
      <c r="Z5" s="28">
        <v>0.0</v>
      </c>
      <c r="AA5" s="95"/>
      <c r="AB5" s="95"/>
      <c r="AC5" s="95"/>
      <c r="AD5" s="63"/>
      <c r="AE5" s="22" t="s">
        <v>38</v>
      </c>
      <c r="AF5" s="23" t="s">
        <v>25</v>
      </c>
      <c r="AG5" s="23">
        <v>22.0</v>
      </c>
      <c r="AH5" s="23">
        <v>7.0</v>
      </c>
      <c r="AI5" s="23">
        <v>1.0</v>
      </c>
      <c r="AJ5" s="23">
        <v>3.0</v>
      </c>
      <c r="AK5" s="23">
        <v>39.0</v>
      </c>
      <c r="AL5" s="23">
        <v>18.0</v>
      </c>
      <c r="AM5" s="23">
        <v>21.0</v>
      </c>
      <c r="AN5" s="18"/>
    </row>
    <row r="6" ht="15.75" customHeight="1">
      <c r="A6" s="25"/>
      <c r="B6" s="11">
        <v>45945.0</v>
      </c>
      <c r="C6" s="12" t="s">
        <v>55</v>
      </c>
      <c r="D6" s="12" t="s">
        <v>22</v>
      </c>
      <c r="E6" s="17" t="s">
        <v>25</v>
      </c>
      <c r="F6" s="17">
        <v>2.0</v>
      </c>
      <c r="G6" s="92" t="s">
        <v>24</v>
      </c>
      <c r="H6" s="17">
        <v>1.0</v>
      </c>
      <c r="I6" s="17" t="s">
        <v>66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45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11</v>
      </c>
      <c r="T6" s="18">
        <f t="shared" si="7"/>
        <v>8</v>
      </c>
      <c r="U6" s="20">
        <f t="shared" si="8"/>
        <v>75</v>
      </c>
      <c r="V6" s="18">
        <f t="shared" si="9"/>
        <v>-67</v>
      </c>
      <c r="W6" s="63"/>
      <c r="X6" s="63"/>
      <c r="Y6" s="63"/>
      <c r="Z6" s="63"/>
      <c r="AA6" s="63"/>
      <c r="AB6" s="63"/>
      <c r="AC6" s="63"/>
      <c r="AD6" s="63"/>
      <c r="AE6" s="22" t="s">
        <v>41</v>
      </c>
      <c r="AF6" s="23" t="s">
        <v>110</v>
      </c>
      <c r="AG6" s="23">
        <v>20.0</v>
      </c>
      <c r="AH6" s="23">
        <v>6.0</v>
      </c>
      <c r="AI6" s="23">
        <v>2.0</v>
      </c>
      <c r="AJ6" s="23">
        <v>3.0</v>
      </c>
      <c r="AK6" s="23">
        <v>36.0</v>
      </c>
      <c r="AL6" s="23">
        <v>23.0</v>
      </c>
      <c r="AM6" s="23">
        <v>13.0</v>
      </c>
      <c r="AN6" s="18"/>
    </row>
    <row r="7" ht="15.75" customHeight="1">
      <c r="A7" s="25"/>
      <c r="B7" s="11">
        <v>45945.0</v>
      </c>
      <c r="C7" s="12" t="s">
        <v>52</v>
      </c>
      <c r="D7" s="12" t="s">
        <v>22</v>
      </c>
      <c r="E7" s="17" t="s">
        <v>45</v>
      </c>
      <c r="F7" s="17">
        <v>1.0</v>
      </c>
      <c r="G7" s="92" t="s">
        <v>24</v>
      </c>
      <c r="H7" s="17">
        <v>4.0</v>
      </c>
      <c r="I7" s="17" t="s">
        <v>107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21" t="s">
        <v>110</v>
      </c>
      <c r="P7" s="18">
        <f t="shared" si="3"/>
        <v>20</v>
      </c>
      <c r="Q7" s="18">
        <f t="shared" si="4"/>
        <v>6</v>
      </c>
      <c r="R7" s="18">
        <f t="shared" si="5"/>
        <v>2</v>
      </c>
      <c r="S7" s="20">
        <f t="shared" si="6"/>
        <v>3</v>
      </c>
      <c r="T7" s="18">
        <f t="shared" si="7"/>
        <v>36</v>
      </c>
      <c r="U7" s="20">
        <f t="shared" si="8"/>
        <v>23</v>
      </c>
      <c r="V7" s="18">
        <f t="shared" si="9"/>
        <v>13</v>
      </c>
      <c r="W7" s="63"/>
      <c r="X7" s="63"/>
      <c r="Y7" s="63"/>
      <c r="Z7" s="63"/>
      <c r="AA7" s="63"/>
      <c r="AB7" s="63"/>
      <c r="AC7" s="63"/>
      <c r="AD7" s="63"/>
      <c r="AE7" s="22" t="s">
        <v>44</v>
      </c>
      <c r="AF7" s="23" t="s">
        <v>107</v>
      </c>
      <c r="AG7" s="23">
        <v>18.0</v>
      </c>
      <c r="AH7" s="23">
        <v>5.0</v>
      </c>
      <c r="AI7" s="23">
        <v>3.0</v>
      </c>
      <c r="AJ7" s="23">
        <v>3.0</v>
      </c>
      <c r="AK7" s="23">
        <v>29.0</v>
      </c>
      <c r="AL7" s="23">
        <v>27.0</v>
      </c>
      <c r="AM7" s="23">
        <v>2.0</v>
      </c>
      <c r="AN7" s="18"/>
    </row>
    <row r="8" ht="15.75" customHeight="1">
      <c r="A8" s="29"/>
      <c r="B8" s="11">
        <v>45945.0</v>
      </c>
      <c r="C8" s="12" t="s">
        <v>53</v>
      </c>
      <c r="D8" s="12" t="s">
        <v>22</v>
      </c>
      <c r="E8" s="44" t="s">
        <v>168</v>
      </c>
      <c r="F8" s="17">
        <v>2.0</v>
      </c>
      <c r="G8" s="92" t="s">
        <v>24</v>
      </c>
      <c r="H8" s="17">
        <v>3.0</v>
      </c>
      <c r="I8" s="44" t="s">
        <v>165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25</v>
      </c>
      <c r="P8" s="18">
        <f t="shared" si="3"/>
        <v>22</v>
      </c>
      <c r="Q8" s="18">
        <f t="shared" si="4"/>
        <v>7</v>
      </c>
      <c r="R8" s="18">
        <f t="shared" si="5"/>
        <v>1</v>
      </c>
      <c r="S8" s="20">
        <f t="shared" si="6"/>
        <v>3</v>
      </c>
      <c r="T8" s="18">
        <f t="shared" si="7"/>
        <v>39</v>
      </c>
      <c r="U8" s="20">
        <f t="shared" si="8"/>
        <v>18</v>
      </c>
      <c r="V8" s="18">
        <f t="shared" si="9"/>
        <v>21</v>
      </c>
      <c r="W8" s="63"/>
      <c r="X8" s="63"/>
      <c r="Y8" s="63"/>
      <c r="Z8" s="63"/>
      <c r="AA8" s="63"/>
      <c r="AB8" s="63"/>
      <c r="AC8" s="63"/>
      <c r="AD8" s="63"/>
      <c r="AE8" s="52">
        <v>6.0</v>
      </c>
      <c r="AF8" s="23" t="s">
        <v>167</v>
      </c>
      <c r="AG8" s="23">
        <v>17.0</v>
      </c>
      <c r="AH8" s="23">
        <v>5.0</v>
      </c>
      <c r="AI8" s="23">
        <v>2.0</v>
      </c>
      <c r="AJ8" s="23">
        <v>4.0</v>
      </c>
      <c r="AK8" s="23">
        <v>33.0</v>
      </c>
      <c r="AL8" s="23">
        <v>28.0</v>
      </c>
      <c r="AM8" s="23">
        <v>5.0</v>
      </c>
      <c r="AN8" s="18"/>
    </row>
    <row r="9" ht="15.75" customHeight="1">
      <c r="A9" s="10">
        <v>2.0</v>
      </c>
      <c r="B9" s="11">
        <v>45959.0</v>
      </c>
      <c r="C9" s="12" t="s">
        <v>169</v>
      </c>
      <c r="D9" s="12" t="s">
        <v>89</v>
      </c>
      <c r="E9" s="17" t="s">
        <v>33</v>
      </c>
      <c r="F9" s="17">
        <v>6.0</v>
      </c>
      <c r="G9" s="92" t="s">
        <v>24</v>
      </c>
      <c r="H9" s="17">
        <v>0.0</v>
      </c>
      <c r="I9" s="17" t="s">
        <v>168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21" t="s">
        <v>167</v>
      </c>
      <c r="P9" s="18">
        <f t="shared" si="3"/>
        <v>17</v>
      </c>
      <c r="Q9" s="18">
        <f t="shared" si="4"/>
        <v>5</v>
      </c>
      <c r="R9" s="18">
        <f t="shared" si="5"/>
        <v>2</v>
      </c>
      <c r="S9" s="20">
        <f t="shared" si="6"/>
        <v>4</v>
      </c>
      <c r="T9" s="18">
        <f t="shared" si="7"/>
        <v>33</v>
      </c>
      <c r="U9" s="20">
        <f t="shared" si="8"/>
        <v>28</v>
      </c>
      <c r="V9" s="18">
        <f t="shared" si="9"/>
        <v>5</v>
      </c>
      <c r="W9" s="63"/>
      <c r="X9" s="63"/>
      <c r="Y9" s="6" t="s">
        <v>20</v>
      </c>
      <c r="Z9" s="7"/>
      <c r="AA9" s="7"/>
      <c r="AB9" s="7"/>
      <c r="AC9" s="8"/>
      <c r="AD9" s="63"/>
      <c r="AE9" s="22">
        <v>7.0</v>
      </c>
      <c r="AF9" s="23" t="s">
        <v>66</v>
      </c>
      <c r="AG9" s="23">
        <v>16.0</v>
      </c>
      <c r="AH9" s="23">
        <v>4.0</v>
      </c>
      <c r="AI9" s="23">
        <v>4.0</v>
      </c>
      <c r="AJ9" s="23">
        <v>3.0</v>
      </c>
      <c r="AK9" s="23">
        <v>49.0</v>
      </c>
      <c r="AL9" s="23">
        <v>30.0</v>
      </c>
      <c r="AM9" s="23">
        <v>19.0</v>
      </c>
      <c r="AN9" s="18"/>
    </row>
    <row r="10" ht="15.75" customHeight="1">
      <c r="A10" s="25"/>
      <c r="B10" s="11">
        <v>45959.0</v>
      </c>
      <c r="C10" s="12" t="s">
        <v>160</v>
      </c>
      <c r="D10" s="12" t="s">
        <v>89</v>
      </c>
      <c r="E10" s="17" t="s">
        <v>110</v>
      </c>
      <c r="F10" s="17">
        <v>2.0</v>
      </c>
      <c r="G10" s="92" t="s">
        <v>24</v>
      </c>
      <c r="H10" s="17">
        <v>1.0</v>
      </c>
      <c r="I10" s="17" t="s">
        <v>36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21" t="s">
        <v>166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5</v>
      </c>
      <c r="T10" s="18">
        <f t="shared" si="7"/>
        <v>35</v>
      </c>
      <c r="U10" s="20">
        <f t="shared" si="8"/>
        <v>37</v>
      </c>
      <c r="V10" s="18">
        <f t="shared" si="9"/>
        <v>-2</v>
      </c>
      <c r="W10" s="63"/>
      <c r="X10" s="63"/>
      <c r="Y10" s="69" t="s">
        <v>26</v>
      </c>
      <c r="Z10" s="69" t="s">
        <v>13</v>
      </c>
      <c r="AA10" s="69" t="s">
        <v>27</v>
      </c>
      <c r="AB10" s="69" t="s">
        <v>28</v>
      </c>
      <c r="AC10" s="69" t="s">
        <v>19</v>
      </c>
      <c r="AD10" s="63"/>
      <c r="AE10" s="22">
        <v>8.0</v>
      </c>
      <c r="AF10" s="23" t="s">
        <v>23</v>
      </c>
      <c r="AG10" s="23">
        <v>16.0</v>
      </c>
      <c r="AH10" s="23">
        <v>5.0</v>
      </c>
      <c r="AI10" s="23">
        <v>1.0</v>
      </c>
      <c r="AJ10" s="23">
        <v>5.0</v>
      </c>
      <c r="AK10" s="23">
        <v>37.0</v>
      </c>
      <c r="AL10" s="23">
        <v>34.0</v>
      </c>
      <c r="AM10" s="23">
        <v>3.0</v>
      </c>
      <c r="AN10" s="18"/>
    </row>
    <row r="11" ht="15.75" customHeight="1">
      <c r="A11" s="25"/>
      <c r="B11" s="11">
        <v>45959.0</v>
      </c>
      <c r="C11" s="12" t="s">
        <v>154</v>
      </c>
      <c r="D11" s="12" t="s">
        <v>89</v>
      </c>
      <c r="E11" s="17" t="s">
        <v>167</v>
      </c>
      <c r="F11" s="17">
        <v>2.0</v>
      </c>
      <c r="G11" s="92" t="s">
        <v>24</v>
      </c>
      <c r="H11" s="17">
        <v>0.0</v>
      </c>
      <c r="I11" s="17" t="s">
        <v>23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66</v>
      </c>
      <c r="P11" s="18">
        <f t="shared" si="3"/>
        <v>16</v>
      </c>
      <c r="Q11" s="18">
        <f t="shared" si="4"/>
        <v>4</v>
      </c>
      <c r="R11" s="18">
        <f t="shared" si="5"/>
        <v>4</v>
      </c>
      <c r="S11" s="20">
        <f t="shared" si="6"/>
        <v>3</v>
      </c>
      <c r="T11" s="18">
        <f t="shared" si="7"/>
        <v>49</v>
      </c>
      <c r="U11" s="20">
        <f t="shared" si="8"/>
        <v>30</v>
      </c>
      <c r="V11" s="18">
        <f t="shared" si="9"/>
        <v>19</v>
      </c>
      <c r="W11" s="63"/>
      <c r="X11" s="63"/>
      <c r="Y11" s="72" t="s">
        <v>23</v>
      </c>
      <c r="Z11" s="72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3"/>
      <c r="AE11" s="73" t="s">
        <v>96</v>
      </c>
      <c r="AF11" s="23" t="s">
        <v>166</v>
      </c>
      <c r="AG11" s="23">
        <v>12.0</v>
      </c>
      <c r="AH11" s="23">
        <v>3.0</v>
      </c>
      <c r="AI11" s="23">
        <v>3.0</v>
      </c>
      <c r="AJ11" s="23">
        <v>5.0</v>
      </c>
      <c r="AK11" s="23">
        <v>35.0</v>
      </c>
      <c r="AL11" s="23">
        <v>37.0</v>
      </c>
      <c r="AM11" s="23">
        <v>-2.0</v>
      </c>
      <c r="AN11" s="18"/>
    </row>
    <row r="12" ht="15.75" customHeight="1">
      <c r="A12" s="25"/>
      <c r="B12" s="11">
        <v>45960.0</v>
      </c>
      <c r="C12" s="12" t="s">
        <v>49</v>
      </c>
      <c r="D12" s="12" t="s">
        <v>22</v>
      </c>
      <c r="E12" s="17" t="s">
        <v>66</v>
      </c>
      <c r="F12" s="17">
        <v>3.0</v>
      </c>
      <c r="G12" s="92" t="s">
        <v>24</v>
      </c>
      <c r="H12" s="17">
        <v>3.0</v>
      </c>
      <c r="I12" s="17" t="s">
        <v>166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21" t="s">
        <v>23</v>
      </c>
      <c r="P12" s="18">
        <f t="shared" si="3"/>
        <v>16</v>
      </c>
      <c r="Q12" s="18">
        <f t="shared" si="4"/>
        <v>5</v>
      </c>
      <c r="R12" s="18">
        <f t="shared" si="5"/>
        <v>1</v>
      </c>
      <c r="S12" s="20">
        <f t="shared" si="6"/>
        <v>5</v>
      </c>
      <c r="T12" s="18">
        <f t="shared" si="7"/>
        <v>37</v>
      </c>
      <c r="U12" s="20">
        <f t="shared" si="8"/>
        <v>34</v>
      </c>
      <c r="V12" s="18">
        <f t="shared" si="9"/>
        <v>3</v>
      </c>
      <c r="W12" s="63"/>
      <c r="X12" s="63"/>
      <c r="Y12" s="28" t="s">
        <v>170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3"/>
      <c r="AE12" s="76">
        <v>10.0</v>
      </c>
      <c r="AF12" s="23" t="s">
        <v>168</v>
      </c>
      <c r="AG12" s="23">
        <v>9.0</v>
      </c>
      <c r="AH12" s="23">
        <v>3.0</v>
      </c>
      <c r="AI12" s="23">
        <v>0.0</v>
      </c>
      <c r="AJ12" s="23">
        <v>8.0</v>
      </c>
      <c r="AK12" s="23">
        <v>30.0</v>
      </c>
      <c r="AL12" s="23">
        <v>42.0</v>
      </c>
      <c r="AM12" s="23">
        <v>-12.0</v>
      </c>
      <c r="AN12" s="18"/>
    </row>
    <row r="13" ht="15.75" customHeight="1">
      <c r="A13" s="25"/>
      <c r="B13" s="11">
        <v>45960.0</v>
      </c>
      <c r="C13" s="12" t="s">
        <v>21</v>
      </c>
      <c r="D13" s="12" t="s">
        <v>22</v>
      </c>
      <c r="E13" s="17" t="s">
        <v>107</v>
      </c>
      <c r="F13" s="17">
        <v>3.0</v>
      </c>
      <c r="G13" s="92" t="s">
        <v>24</v>
      </c>
      <c r="H13" s="17">
        <v>2.0</v>
      </c>
      <c r="I13" s="17" t="s">
        <v>25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21" t="s">
        <v>107</v>
      </c>
      <c r="P13" s="18">
        <f t="shared" si="3"/>
        <v>18</v>
      </c>
      <c r="Q13" s="18">
        <f t="shared" si="4"/>
        <v>5</v>
      </c>
      <c r="R13" s="18">
        <f t="shared" si="5"/>
        <v>3</v>
      </c>
      <c r="S13" s="20">
        <f t="shared" si="6"/>
        <v>3</v>
      </c>
      <c r="T13" s="18">
        <f t="shared" si="7"/>
        <v>29</v>
      </c>
      <c r="U13" s="20">
        <f t="shared" si="8"/>
        <v>27</v>
      </c>
      <c r="V13" s="18">
        <f t="shared" si="9"/>
        <v>2</v>
      </c>
      <c r="W13" s="63"/>
      <c r="X13" s="63"/>
      <c r="Y13" s="63"/>
      <c r="Z13" s="63"/>
      <c r="AA13" s="63"/>
      <c r="AB13" s="63"/>
      <c r="AC13" s="63"/>
      <c r="AD13" s="63"/>
      <c r="AE13" s="123">
        <v>11.0</v>
      </c>
      <c r="AF13" s="48" t="s">
        <v>36</v>
      </c>
      <c r="AG13" s="23">
        <v>6.0</v>
      </c>
      <c r="AH13" s="23">
        <v>2.0</v>
      </c>
      <c r="AI13" s="23">
        <v>0.0</v>
      </c>
      <c r="AJ13" s="23">
        <v>9.0</v>
      </c>
      <c r="AK13" s="23">
        <v>26.0</v>
      </c>
      <c r="AL13" s="23">
        <v>52.0</v>
      </c>
      <c r="AM13" s="23">
        <v>-26.0</v>
      </c>
      <c r="AN13" s="18"/>
    </row>
    <row r="14" ht="15.75" customHeight="1">
      <c r="A14" s="29"/>
      <c r="B14" s="11">
        <v>45960.0</v>
      </c>
      <c r="C14" s="12" t="s">
        <v>30</v>
      </c>
      <c r="D14" s="12" t="s">
        <v>22</v>
      </c>
      <c r="E14" s="44" t="s">
        <v>165</v>
      </c>
      <c r="F14" s="17">
        <v>3.0</v>
      </c>
      <c r="G14" s="92" t="s">
        <v>24</v>
      </c>
      <c r="H14" s="17">
        <v>0.0</v>
      </c>
      <c r="I14" s="44" t="s">
        <v>45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21" t="s">
        <v>168</v>
      </c>
      <c r="P14" s="18">
        <f t="shared" si="3"/>
        <v>9</v>
      </c>
      <c r="Q14" s="18">
        <f t="shared" si="4"/>
        <v>3</v>
      </c>
      <c r="R14" s="18">
        <f t="shared" si="5"/>
        <v>0</v>
      </c>
      <c r="S14" s="20">
        <f t="shared" si="6"/>
        <v>8</v>
      </c>
      <c r="T14" s="18">
        <f t="shared" si="7"/>
        <v>30</v>
      </c>
      <c r="U14" s="20">
        <f t="shared" si="8"/>
        <v>42</v>
      </c>
      <c r="V14" s="18">
        <f t="shared" si="9"/>
        <v>-12</v>
      </c>
      <c r="W14" s="63"/>
      <c r="X14" s="63"/>
      <c r="Y14" s="63"/>
      <c r="Z14" s="63"/>
      <c r="AA14" s="63"/>
      <c r="AB14" s="63"/>
      <c r="AC14" s="63"/>
      <c r="AD14" s="63"/>
      <c r="AE14" s="123">
        <v>12.0</v>
      </c>
      <c r="AF14" s="92" t="s">
        <v>45</v>
      </c>
      <c r="AG14" s="23">
        <v>0.0</v>
      </c>
      <c r="AH14" s="23">
        <v>0.0</v>
      </c>
      <c r="AI14" s="23">
        <v>0.0</v>
      </c>
      <c r="AJ14" s="23">
        <v>11.0</v>
      </c>
      <c r="AK14" s="23">
        <v>8.0</v>
      </c>
      <c r="AL14" s="23">
        <v>75.0</v>
      </c>
      <c r="AM14" s="23">
        <v>-67.0</v>
      </c>
      <c r="AN14" s="18"/>
    </row>
    <row r="15" ht="15.75" customHeight="1">
      <c r="A15" s="10">
        <v>3.0</v>
      </c>
      <c r="B15" s="11">
        <v>45974.0</v>
      </c>
      <c r="C15" s="12" t="s">
        <v>35</v>
      </c>
      <c r="D15" s="12" t="s">
        <v>22</v>
      </c>
      <c r="E15" s="17" t="s">
        <v>33</v>
      </c>
      <c r="F15" s="17">
        <v>5.0</v>
      </c>
      <c r="G15" s="92" t="s">
        <v>24</v>
      </c>
      <c r="H15" s="17">
        <v>0.0</v>
      </c>
      <c r="I15" s="17" t="s">
        <v>110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3"/>
      <c r="X15" s="63"/>
      <c r="Y15" s="63"/>
      <c r="Z15" s="63"/>
      <c r="AA15" s="63"/>
      <c r="AB15" s="63"/>
      <c r="AC15" s="63"/>
      <c r="AD15" s="63"/>
      <c r="AE15" s="35" t="s">
        <v>171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30</v>
      </c>
      <c r="D16" s="12" t="s">
        <v>22</v>
      </c>
      <c r="E16" s="17" t="s">
        <v>36</v>
      </c>
      <c r="F16" s="17">
        <v>0.0</v>
      </c>
      <c r="G16" s="92" t="s">
        <v>24</v>
      </c>
      <c r="H16" s="17">
        <v>8.0</v>
      </c>
      <c r="I16" s="17" t="s">
        <v>167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3"/>
      <c r="X16" s="63"/>
      <c r="Y16" s="63"/>
      <c r="Z16" s="63"/>
      <c r="AA16" s="63"/>
      <c r="AB16" s="63"/>
      <c r="AC16" s="63"/>
      <c r="AD16" s="63"/>
      <c r="AE16" s="79"/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30</v>
      </c>
      <c r="D17" s="12" t="s">
        <v>22</v>
      </c>
      <c r="E17" s="17" t="s">
        <v>23</v>
      </c>
      <c r="F17" s="17">
        <v>4.0</v>
      </c>
      <c r="G17" s="92" t="s">
        <v>24</v>
      </c>
      <c r="H17" s="17">
        <v>5.0</v>
      </c>
      <c r="I17" s="17" t="s">
        <v>66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63"/>
      <c r="AB17" s="63"/>
      <c r="AC17" s="63"/>
      <c r="AD17" s="63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55</v>
      </c>
      <c r="D18" s="12" t="s">
        <v>89</v>
      </c>
      <c r="E18" s="17" t="s">
        <v>166</v>
      </c>
      <c r="F18" s="17">
        <v>2.0</v>
      </c>
      <c r="G18" s="92" t="s">
        <v>24</v>
      </c>
      <c r="H18" s="17">
        <v>2.0</v>
      </c>
      <c r="I18" s="17" t="s">
        <v>107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63"/>
      <c r="AB18" s="63"/>
      <c r="AC18" s="63"/>
      <c r="AD18" s="63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35</v>
      </c>
      <c r="D19" s="12" t="s">
        <v>22</v>
      </c>
      <c r="E19" s="44" t="s">
        <v>25</v>
      </c>
      <c r="F19" s="17">
        <v>0.0</v>
      </c>
      <c r="G19" s="92" t="s">
        <v>24</v>
      </c>
      <c r="H19" s="17">
        <v>3.0</v>
      </c>
      <c r="I19" s="44" t="s">
        <v>165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63"/>
      <c r="Z19" s="63"/>
      <c r="AA19" s="63"/>
      <c r="AB19" s="63"/>
      <c r="AC19" s="63"/>
      <c r="AD19" s="63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52</v>
      </c>
      <c r="D20" s="12" t="s">
        <v>89</v>
      </c>
      <c r="E20" s="17" t="s">
        <v>168</v>
      </c>
      <c r="F20" s="17">
        <v>10.0</v>
      </c>
      <c r="G20" s="92" t="s">
        <v>24</v>
      </c>
      <c r="H20" s="17">
        <v>1.0</v>
      </c>
      <c r="I20" s="17" t="s">
        <v>45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Y20" s="63"/>
      <c r="Z20" s="63"/>
      <c r="AA20" s="63"/>
      <c r="AB20" s="63"/>
      <c r="AC20" s="63"/>
      <c r="AD20" s="63"/>
      <c r="AJ20" s="4"/>
      <c r="AK20" s="4"/>
      <c r="AL20" s="4"/>
      <c r="AM20" s="4"/>
      <c r="AN20" s="4"/>
    </row>
    <row r="21" ht="15.75" customHeight="1">
      <c r="A21" s="10">
        <v>4.0</v>
      </c>
      <c r="B21" s="43">
        <v>45980.0</v>
      </c>
      <c r="C21" s="12" t="s">
        <v>35</v>
      </c>
      <c r="D21" s="12" t="s">
        <v>22</v>
      </c>
      <c r="E21" s="17" t="s">
        <v>110</v>
      </c>
      <c r="F21" s="17">
        <v>3.0</v>
      </c>
      <c r="G21" s="92" t="s">
        <v>24</v>
      </c>
      <c r="H21" s="17">
        <v>0.0</v>
      </c>
      <c r="I21" s="17" t="s">
        <v>168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Y21" s="63"/>
      <c r="Z21" s="63"/>
      <c r="AA21" s="63"/>
      <c r="AB21" s="63"/>
      <c r="AC21" s="63"/>
      <c r="AD21" s="63"/>
      <c r="AJ21" s="4"/>
      <c r="AK21" s="4"/>
      <c r="AL21" s="4"/>
      <c r="AM21" s="4"/>
      <c r="AN21" s="4"/>
    </row>
    <row r="22" ht="15.75" customHeight="1">
      <c r="A22" s="25"/>
      <c r="B22" s="43">
        <v>45980.0</v>
      </c>
      <c r="C22" s="12" t="s">
        <v>30</v>
      </c>
      <c r="D22" s="12" t="s">
        <v>22</v>
      </c>
      <c r="E22" s="17" t="s">
        <v>167</v>
      </c>
      <c r="F22" s="17">
        <v>2.0</v>
      </c>
      <c r="G22" s="92" t="s">
        <v>24</v>
      </c>
      <c r="H22" s="17">
        <v>4.0</v>
      </c>
      <c r="I22" s="17" t="s">
        <v>33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63"/>
      <c r="AB22" s="63"/>
      <c r="AC22" s="63"/>
      <c r="AD22" s="63"/>
      <c r="AJ22" s="4"/>
      <c r="AK22" s="4"/>
      <c r="AL22" s="4"/>
      <c r="AM22" s="4"/>
      <c r="AN22" s="4"/>
    </row>
    <row r="23" ht="15.75" customHeight="1">
      <c r="A23" s="25"/>
      <c r="B23" s="43">
        <v>45979.0</v>
      </c>
      <c r="C23" s="12" t="s">
        <v>49</v>
      </c>
      <c r="D23" s="12" t="s">
        <v>22</v>
      </c>
      <c r="E23" s="17" t="s">
        <v>66</v>
      </c>
      <c r="F23" s="17">
        <v>8.0</v>
      </c>
      <c r="G23" s="92" t="s">
        <v>24</v>
      </c>
      <c r="H23" s="17">
        <v>2.0</v>
      </c>
      <c r="I23" s="17" t="s">
        <v>36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63"/>
      <c r="AB23" s="63"/>
      <c r="AC23" s="63"/>
      <c r="AD23" s="63"/>
      <c r="AJ23" s="4"/>
      <c r="AK23" s="4"/>
      <c r="AL23" s="4"/>
      <c r="AM23" s="4"/>
      <c r="AN23" s="4"/>
    </row>
    <row r="24" ht="15.75" customHeight="1">
      <c r="A24" s="25"/>
      <c r="B24" s="43">
        <v>45979.0</v>
      </c>
      <c r="C24" s="12" t="s">
        <v>21</v>
      </c>
      <c r="D24" s="12" t="s">
        <v>22</v>
      </c>
      <c r="E24" s="17" t="s">
        <v>107</v>
      </c>
      <c r="F24" s="17">
        <v>1.0</v>
      </c>
      <c r="G24" s="92" t="s">
        <v>24</v>
      </c>
      <c r="H24" s="17">
        <v>0.0</v>
      </c>
      <c r="I24" s="17" t="s">
        <v>23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63"/>
      <c r="AB24" s="63"/>
      <c r="AC24" s="63"/>
      <c r="AD24" s="63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3">
        <v>45979.0</v>
      </c>
      <c r="C25" s="12" t="s">
        <v>30</v>
      </c>
      <c r="D25" s="12" t="s">
        <v>22</v>
      </c>
      <c r="E25" s="44" t="s">
        <v>165</v>
      </c>
      <c r="F25" s="17">
        <v>5.0</v>
      </c>
      <c r="G25" s="92" t="s">
        <v>24</v>
      </c>
      <c r="H25" s="17">
        <v>1.0</v>
      </c>
      <c r="I25" s="44" t="s">
        <v>166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63"/>
      <c r="AB25" s="63"/>
      <c r="AC25" s="63"/>
      <c r="AD25" s="63"/>
      <c r="AE25" s="35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3">
        <v>45979.0</v>
      </c>
      <c r="C26" s="12" t="s">
        <v>35</v>
      </c>
      <c r="D26" s="12" t="s">
        <v>22</v>
      </c>
      <c r="E26" s="17" t="s">
        <v>45</v>
      </c>
      <c r="F26" s="17">
        <v>1.0</v>
      </c>
      <c r="G26" s="92" t="s">
        <v>24</v>
      </c>
      <c r="H26" s="17">
        <v>12.0</v>
      </c>
      <c r="I26" s="17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63"/>
      <c r="AB26" s="63"/>
      <c r="AC26" s="63"/>
      <c r="AD26" s="63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3">
        <v>46008.0</v>
      </c>
      <c r="C27" s="12" t="s">
        <v>35</v>
      </c>
      <c r="D27" s="12" t="s">
        <v>22</v>
      </c>
      <c r="E27" s="17" t="s">
        <v>110</v>
      </c>
      <c r="F27" s="17">
        <v>6.0</v>
      </c>
      <c r="G27" s="92" t="s">
        <v>24</v>
      </c>
      <c r="H27" s="17">
        <v>2.0</v>
      </c>
      <c r="I27" s="17" t="s">
        <v>167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63"/>
      <c r="AB27" s="63"/>
      <c r="AC27" s="63"/>
      <c r="AD27" s="63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3">
        <v>45995.0</v>
      </c>
      <c r="C28" s="12" t="s">
        <v>21</v>
      </c>
      <c r="D28" s="12" t="s">
        <v>22</v>
      </c>
      <c r="E28" s="17" t="s">
        <v>33</v>
      </c>
      <c r="F28" s="17">
        <v>2.0</v>
      </c>
      <c r="G28" s="92" t="s">
        <v>24</v>
      </c>
      <c r="H28" s="17">
        <v>1.0</v>
      </c>
      <c r="I28" s="17" t="s">
        <v>66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63"/>
      <c r="AB28" s="63"/>
      <c r="AC28" s="63"/>
      <c r="AD28" s="63"/>
      <c r="AE28" s="35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3">
        <v>46079.0</v>
      </c>
      <c r="C29" s="12" t="s">
        <v>52</v>
      </c>
      <c r="D29" s="12" t="s">
        <v>89</v>
      </c>
      <c r="E29" s="17" t="s">
        <v>36</v>
      </c>
      <c r="F29" s="17">
        <v>1.0</v>
      </c>
      <c r="G29" s="92" t="s">
        <v>24</v>
      </c>
      <c r="H29" s="17">
        <v>2.0</v>
      </c>
      <c r="I29" s="17" t="s">
        <v>107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63"/>
      <c r="AB29" s="63"/>
      <c r="AC29" s="63"/>
      <c r="AD29" s="63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3">
        <v>45995.0</v>
      </c>
      <c r="C30" s="12" t="s">
        <v>35</v>
      </c>
      <c r="D30" s="12" t="s">
        <v>22</v>
      </c>
      <c r="E30" s="44" t="s">
        <v>23</v>
      </c>
      <c r="F30" s="17">
        <v>2.0</v>
      </c>
      <c r="G30" s="92" t="s">
        <v>24</v>
      </c>
      <c r="H30" s="17">
        <v>2.0</v>
      </c>
      <c r="I30" s="44" t="s">
        <v>165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63"/>
      <c r="AB30" s="63"/>
      <c r="AC30" s="63"/>
      <c r="AD30" s="63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3">
        <v>46083.0</v>
      </c>
      <c r="C31" s="12" t="s">
        <v>55</v>
      </c>
      <c r="D31" s="12" t="s">
        <v>89</v>
      </c>
      <c r="E31" s="17" t="s">
        <v>166</v>
      </c>
      <c r="F31" s="17">
        <v>7.0</v>
      </c>
      <c r="G31" s="92" t="s">
        <v>24</v>
      </c>
      <c r="H31" s="17">
        <v>1.0</v>
      </c>
      <c r="I31" s="17" t="s">
        <v>45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3"/>
      <c r="X31" s="63"/>
      <c r="Y31" s="63"/>
      <c r="Z31" s="63"/>
      <c r="AA31" s="63"/>
      <c r="AB31" s="63"/>
      <c r="AC31" s="63"/>
      <c r="AD31" s="63"/>
      <c r="AE31" s="35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3">
        <v>45995.0</v>
      </c>
      <c r="C32" s="12" t="s">
        <v>35</v>
      </c>
      <c r="D32" s="12" t="s">
        <v>22</v>
      </c>
      <c r="E32" s="17" t="s">
        <v>168</v>
      </c>
      <c r="F32" s="17">
        <v>6.0</v>
      </c>
      <c r="G32" s="92" t="s">
        <v>24</v>
      </c>
      <c r="H32" s="17">
        <v>3.0</v>
      </c>
      <c r="I32" s="17" t="s">
        <v>25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3"/>
      <c r="X32" s="63"/>
      <c r="Y32" s="63"/>
      <c r="Z32" s="63"/>
      <c r="AA32" s="63"/>
      <c r="AB32" s="63"/>
      <c r="AC32" s="63"/>
      <c r="AD32" s="63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3">
        <v>46075.0</v>
      </c>
      <c r="C33" s="12" t="s">
        <v>121</v>
      </c>
      <c r="D33" s="12" t="s">
        <v>89</v>
      </c>
      <c r="E33" s="17" t="s">
        <v>167</v>
      </c>
      <c r="F33" s="17">
        <v>2.0</v>
      </c>
      <c r="G33" s="92" t="s">
        <v>24</v>
      </c>
      <c r="H33" s="17">
        <v>0.0</v>
      </c>
      <c r="I33" s="17" t="s">
        <v>168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3"/>
      <c r="X33" s="63"/>
      <c r="Y33" s="63"/>
      <c r="Z33" s="63"/>
      <c r="AA33" s="63"/>
      <c r="AB33" s="63"/>
      <c r="AC33" s="63"/>
      <c r="AD33" s="63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3">
        <v>46075.0</v>
      </c>
      <c r="C34" s="12" t="s">
        <v>156</v>
      </c>
      <c r="D34" s="12" t="s">
        <v>89</v>
      </c>
      <c r="E34" s="17" t="s">
        <v>66</v>
      </c>
      <c r="F34" s="17">
        <v>2.0</v>
      </c>
      <c r="G34" s="92" t="s">
        <v>24</v>
      </c>
      <c r="H34" s="17">
        <v>2.0</v>
      </c>
      <c r="I34" s="17" t="s">
        <v>110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3"/>
      <c r="X34" s="63"/>
      <c r="Y34" s="63"/>
      <c r="Z34" s="63"/>
      <c r="AA34" s="63"/>
      <c r="AB34" s="63"/>
      <c r="AC34" s="63"/>
      <c r="AD34" s="63"/>
      <c r="AE34" s="35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3">
        <v>46075.0</v>
      </c>
      <c r="C35" s="12" t="s">
        <v>169</v>
      </c>
      <c r="D35" s="12" t="s">
        <v>89</v>
      </c>
      <c r="E35" s="17" t="s">
        <v>107</v>
      </c>
      <c r="F35" s="17">
        <v>0.0</v>
      </c>
      <c r="G35" s="92" t="s">
        <v>24</v>
      </c>
      <c r="H35" s="17">
        <v>3.0</v>
      </c>
      <c r="I35" s="17" t="s">
        <v>33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3"/>
      <c r="X35" s="63"/>
      <c r="Y35" s="63"/>
      <c r="Z35" s="63"/>
      <c r="AA35" s="63"/>
      <c r="AB35" s="63"/>
      <c r="AC35" s="63"/>
      <c r="AD35" s="63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3">
        <v>46075.0</v>
      </c>
      <c r="C36" s="39" t="s">
        <v>160</v>
      </c>
      <c r="D36" s="12" t="s">
        <v>89</v>
      </c>
      <c r="E36" s="44" t="s">
        <v>165</v>
      </c>
      <c r="F36" s="17">
        <v>4.0</v>
      </c>
      <c r="G36" s="92" t="s">
        <v>24</v>
      </c>
      <c r="H36" s="17">
        <v>2.0</v>
      </c>
      <c r="I36" s="44" t="s">
        <v>36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3"/>
      <c r="X36" s="63"/>
      <c r="Y36" s="63"/>
      <c r="Z36" s="63"/>
      <c r="AA36" s="63"/>
      <c r="AB36" s="63"/>
      <c r="AC36" s="63"/>
      <c r="AD36" s="63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3">
        <v>46075.0</v>
      </c>
      <c r="C37" s="12" t="s">
        <v>154</v>
      </c>
      <c r="D37" s="12" t="s">
        <v>89</v>
      </c>
      <c r="E37" s="17" t="s">
        <v>45</v>
      </c>
      <c r="F37" s="17">
        <v>1.0</v>
      </c>
      <c r="G37" s="92" t="s">
        <v>24</v>
      </c>
      <c r="H37" s="17">
        <v>8.0</v>
      </c>
      <c r="I37" s="17" t="s">
        <v>23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3"/>
      <c r="X37" s="63"/>
      <c r="Y37" s="63"/>
      <c r="Z37" s="63"/>
      <c r="AA37" s="63"/>
      <c r="AB37" s="63"/>
      <c r="AC37" s="63"/>
      <c r="AD37" s="63"/>
      <c r="AJ37" s="4"/>
      <c r="AK37" s="4"/>
      <c r="AL37" s="4"/>
      <c r="AM37" s="4"/>
      <c r="AN37" s="4"/>
    </row>
    <row r="38" ht="15.75" customHeight="1">
      <c r="A38" s="29"/>
      <c r="B38" s="43">
        <v>46075.0</v>
      </c>
      <c r="C38" s="39" t="s">
        <v>152</v>
      </c>
      <c r="D38" s="12" t="s">
        <v>89</v>
      </c>
      <c r="E38" s="17" t="s">
        <v>25</v>
      </c>
      <c r="F38" s="17">
        <v>4.0</v>
      </c>
      <c r="G38" s="92" t="s">
        <v>24</v>
      </c>
      <c r="H38" s="17">
        <v>1.0</v>
      </c>
      <c r="I38" s="17" t="s">
        <v>166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3"/>
      <c r="X38" s="63"/>
      <c r="Y38" s="63"/>
      <c r="Z38" s="63"/>
      <c r="AA38" s="63"/>
      <c r="AB38" s="63"/>
      <c r="AC38" s="63"/>
      <c r="AD38" s="63"/>
      <c r="AJ38" s="4"/>
      <c r="AK38" s="4"/>
      <c r="AL38" s="4"/>
      <c r="AM38" s="4"/>
      <c r="AN38" s="4"/>
    </row>
    <row r="39" ht="15.75" customHeight="1">
      <c r="A39" s="10">
        <v>7.0</v>
      </c>
      <c r="B39" s="43">
        <v>46084.0</v>
      </c>
      <c r="C39" s="12" t="s">
        <v>55</v>
      </c>
      <c r="D39" s="12" t="s">
        <v>89</v>
      </c>
      <c r="E39" s="17" t="s">
        <v>167</v>
      </c>
      <c r="F39" s="17">
        <v>6.0</v>
      </c>
      <c r="G39" s="92" t="s">
        <v>24</v>
      </c>
      <c r="H39" s="17">
        <v>5.0</v>
      </c>
      <c r="I39" s="17" t="s">
        <v>66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3"/>
      <c r="X39" s="63"/>
      <c r="Y39" s="63"/>
      <c r="Z39" s="63"/>
      <c r="AA39" s="63"/>
      <c r="AB39" s="63"/>
      <c r="AC39" s="63"/>
      <c r="AD39" s="63"/>
      <c r="AJ39" s="4"/>
      <c r="AK39" s="4"/>
      <c r="AL39" s="4"/>
      <c r="AM39" s="4"/>
      <c r="AN39" s="4"/>
    </row>
    <row r="40" ht="15.75" customHeight="1">
      <c r="A40" s="25"/>
      <c r="B40" s="43">
        <v>46084.0</v>
      </c>
      <c r="C40" s="12" t="s">
        <v>52</v>
      </c>
      <c r="D40" s="12" t="s">
        <v>89</v>
      </c>
      <c r="E40" s="17" t="s">
        <v>110</v>
      </c>
      <c r="F40" s="17">
        <v>3.0</v>
      </c>
      <c r="G40" s="92" t="s">
        <v>24</v>
      </c>
      <c r="H40" s="17">
        <v>0.0</v>
      </c>
      <c r="I40" s="14" t="s">
        <v>107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3"/>
      <c r="X40" s="63"/>
      <c r="Y40" s="63"/>
      <c r="Z40" s="63"/>
      <c r="AA40" s="63"/>
      <c r="AB40" s="63"/>
      <c r="AC40" s="63"/>
      <c r="AD40" s="63"/>
      <c r="AJ40" s="4"/>
      <c r="AK40" s="4"/>
      <c r="AL40" s="4"/>
      <c r="AM40" s="4"/>
      <c r="AN40" s="4"/>
    </row>
    <row r="41" ht="15.75" customHeight="1">
      <c r="A41" s="25"/>
      <c r="B41" s="43">
        <v>46084.0</v>
      </c>
      <c r="C41" s="12" t="s">
        <v>53</v>
      </c>
      <c r="D41" s="12" t="s">
        <v>89</v>
      </c>
      <c r="E41" s="44" t="s">
        <v>33</v>
      </c>
      <c r="F41" s="17">
        <v>4.0</v>
      </c>
      <c r="G41" s="92" t="s">
        <v>24</v>
      </c>
      <c r="H41" s="17">
        <v>3.0</v>
      </c>
      <c r="I41" s="44" t="s">
        <v>165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3"/>
      <c r="X41" s="63"/>
      <c r="Y41" s="63"/>
      <c r="Z41" s="63"/>
      <c r="AA41" s="63"/>
      <c r="AB41" s="63"/>
      <c r="AC41" s="63"/>
      <c r="AD41" s="63"/>
      <c r="AJ41" s="4"/>
      <c r="AK41" s="4"/>
      <c r="AL41" s="4"/>
      <c r="AM41" s="4"/>
      <c r="AN41" s="4"/>
    </row>
    <row r="42" ht="15.75" customHeight="1">
      <c r="A42" s="25"/>
      <c r="B42" s="43">
        <v>46086.0</v>
      </c>
      <c r="C42" s="12" t="s">
        <v>55</v>
      </c>
      <c r="D42" s="12" t="s">
        <v>89</v>
      </c>
      <c r="E42" s="17" t="s">
        <v>36</v>
      </c>
      <c r="F42" s="17">
        <v>5.0</v>
      </c>
      <c r="G42" s="92" t="s">
        <v>24</v>
      </c>
      <c r="H42" s="17">
        <v>3.0</v>
      </c>
      <c r="I42" s="17" t="s">
        <v>45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3"/>
      <c r="X42" s="63"/>
      <c r="Y42" s="63"/>
      <c r="Z42" s="63"/>
      <c r="AA42" s="63"/>
      <c r="AB42" s="63"/>
      <c r="AC42" s="63"/>
      <c r="AD42" s="63"/>
      <c r="AJ42" s="4"/>
      <c r="AK42" s="4"/>
      <c r="AL42" s="4"/>
      <c r="AM42" s="4"/>
      <c r="AN42" s="4"/>
    </row>
    <row r="43" ht="15.75" customHeight="1">
      <c r="A43" s="25"/>
      <c r="B43" s="43">
        <v>46086.0</v>
      </c>
      <c r="C43" s="12" t="s">
        <v>52</v>
      </c>
      <c r="D43" s="12" t="s">
        <v>89</v>
      </c>
      <c r="E43" s="17" t="s">
        <v>23</v>
      </c>
      <c r="F43" s="17">
        <v>1.0</v>
      </c>
      <c r="G43" s="92" t="s">
        <v>24</v>
      </c>
      <c r="H43" s="17">
        <v>4.0</v>
      </c>
      <c r="I43" s="17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3"/>
      <c r="X43" s="63"/>
      <c r="Y43" s="63"/>
      <c r="Z43" s="63"/>
      <c r="AA43" s="63"/>
      <c r="AB43" s="63"/>
      <c r="AC43" s="63"/>
      <c r="AD43" s="63"/>
      <c r="AJ43" s="4"/>
      <c r="AK43" s="4"/>
      <c r="AL43" s="4"/>
      <c r="AM43" s="4"/>
      <c r="AN43" s="4"/>
    </row>
    <row r="44" ht="15.75" customHeight="1">
      <c r="A44" s="29"/>
      <c r="B44" s="43">
        <v>46086.0</v>
      </c>
      <c r="C44" s="12" t="s">
        <v>53</v>
      </c>
      <c r="D44" s="12" t="s">
        <v>89</v>
      </c>
      <c r="E44" s="17" t="s">
        <v>168</v>
      </c>
      <c r="F44" s="17">
        <v>2.0</v>
      </c>
      <c r="G44" s="92" t="s">
        <v>24</v>
      </c>
      <c r="H44" s="17">
        <v>4.0</v>
      </c>
      <c r="I44" s="17" t="s">
        <v>166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3"/>
      <c r="X44" s="63"/>
      <c r="Y44" s="63"/>
      <c r="Z44" s="63"/>
      <c r="AA44" s="63"/>
      <c r="AB44" s="63"/>
      <c r="AC44" s="63"/>
      <c r="AD44" s="63"/>
      <c r="AJ44" s="4"/>
      <c r="AK44" s="4"/>
      <c r="AL44" s="4"/>
      <c r="AM44" s="4"/>
      <c r="AN44" s="4"/>
    </row>
    <row r="45" ht="15.75" customHeight="1">
      <c r="A45" s="10">
        <v>8.0</v>
      </c>
      <c r="B45" s="43">
        <v>46092.0</v>
      </c>
      <c r="C45" s="12" t="s">
        <v>55</v>
      </c>
      <c r="D45" s="12" t="s">
        <v>89</v>
      </c>
      <c r="E45" s="17" t="s">
        <v>66</v>
      </c>
      <c r="F45" s="17">
        <v>6.0</v>
      </c>
      <c r="G45" s="92" t="s">
        <v>24</v>
      </c>
      <c r="H45" s="17">
        <v>2.0</v>
      </c>
      <c r="I45" s="17" t="s">
        <v>168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3"/>
      <c r="X45" s="63"/>
      <c r="Y45" s="63"/>
      <c r="Z45" s="63"/>
      <c r="AA45" s="63"/>
      <c r="AB45" s="63"/>
      <c r="AC45" s="63"/>
      <c r="AD45" s="63"/>
      <c r="AJ45" s="4"/>
      <c r="AK45" s="4"/>
      <c r="AL45" s="4"/>
      <c r="AM45" s="4"/>
      <c r="AN45" s="4"/>
    </row>
    <row r="46" ht="15.75" customHeight="1">
      <c r="A46" s="25"/>
      <c r="B46" s="43">
        <v>46092.0</v>
      </c>
      <c r="C46" s="12" t="s">
        <v>52</v>
      </c>
      <c r="D46" s="12" t="s">
        <v>89</v>
      </c>
      <c r="E46" s="17" t="s">
        <v>107</v>
      </c>
      <c r="F46" s="17">
        <v>3.0</v>
      </c>
      <c r="G46" s="92" t="s">
        <v>24</v>
      </c>
      <c r="H46" s="17">
        <v>3.0</v>
      </c>
      <c r="I46" s="17" t="s">
        <v>167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3"/>
      <c r="X46" s="63"/>
      <c r="Y46" s="63"/>
      <c r="Z46" s="63"/>
      <c r="AA46" s="63"/>
      <c r="AB46" s="63"/>
      <c r="AC46" s="63"/>
      <c r="AD46" s="63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3">
        <v>46092.0</v>
      </c>
      <c r="C47" s="12" t="s">
        <v>53</v>
      </c>
      <c r="D47" s="12" t="s">
        <v>89</v>
      </c>
      <c r="E47" s="44" t="s">
        <v>165</v>
      </c>
      <c r="F47" s="17">
        <v>3.0</v>
      </c>
      <c r="G47" s="92" t="s">
        <v>24</v>
      </c>
      <c r="H47" s="17">
        <v>0.0</v>
      </c>
      <c r="I47" s="17" t="s">
        <v>110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3"/>
      <c r="X47" s="63"/>
      <c r="Y47" s="63"/>
      <c r="Z47" s="63"/>
      <c r="AA47" s="63"/>
      <c r="AB47" s="63"/>
      <c r="AC47" s="63"/>
      <c r="AD47" s="63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3">
        <v>46100.0</v>
      </c>
      <c r="C48" s="12" t="s">
        <v>55</v>
      </c>
      <c r="D48" s="12" t="s">
        <v>89</v>
      </c>
      <c r="E48" s="44" t="s">
        <v>45</v>
      </c>
      <c r="F48" s="17">
        <v>0.0</v>
      </c>
      <c r="G48" s="92" t="s">
        <v>24</v>
      </c>
      <c r="H48" s="17">
        <v>2.0</v>
      </c>
      <c r="I48" s="44" t="s">
        <v>33</v>
      </c>
      <c r="J48" s="63"/>
      <c r="K48" s="4">
        <f t="shared" si="1"/>
        <v>0</v>
      </c>
      <c r="L48" s="18">
        <f t="shared" si="2"/>
        <v>3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3">
        <v>46100.0</v>
      </c>
      <c r="C49" s="12" t="s">
        <v>52</v>
      </c>
      <c r="D49" s="12" t="s">
        <v>89</v>
      </c>
      <c r="E49" s="17" t="s">
        <v>25</v>
      </c>
      <c r="F49" s="17">
        <v>5.0</v>
      </c>
      <c r="G49" s="92" t="s">
        <v>24</v>
      </c>
      <c r="H49" s="17">
        <v>0.0</v>
      </c>
      <c r="I49" s="17" t="s">
        <v>36</v>
      </c>
      <c r="J49" s="63"/>
      <c r="K49" s="4">
        <f t="shared" si="1"/>
        <v>3</v>
      </c>
      <c r="L49" s="18">
        <f t="shared" si="2"/>
        <v>0</v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3">
        <v>46100.0</v>
      </c>
      <c r="C50" s="12" t="s">
        <v>53</v>
      </c>
      <c r="D50" s="12" t="s">
        <v>89</v>
      </c>
      <c r="E50" s="17" t="s">
        <v>166</v>
      </c>
      <c r="F50" s="17">
        <v>3.0</v>
      </c>
      <c r="G50" s="92" t="s">
        <v>24</v>
      </c>
      <c r="H50" s="17">
        <v>5.0</v>
      </c>
      <c r="I50" s="17" t="s">
        <v>23</v>
      </c>
      <c r="J50" s="63"/>
      <c r="K50" s="4">
        <f t="shared" si="1"/>
        <v>0</v>
      </c>
      <c r="L50" s="18">
        <f t="shared" si="2"/>
        <v>3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  <c r="AB50" s="63"/>
      <c r="AC50" s="63"/>
      <c r="AD50" s="63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3">
        <v>46097.0</v>
      </c>
      <c r="C51" s="12" t="s">
        <v>55</v>
      </c>
      <c r="D51" s="12" t="s">
        <v>89</v>
      </c>
      <c r="E51" s="17" t="s">
        <v>66</v>
      </c>
      <c r="F51" s="17">
        <v>3.0</v>
      </c>
      <c r="G51" s="92" t="s">
        <v>24</v>
      </c>
      <c r="H51" s="17">
        <v>3.0</v>
      </c>
      <c r="I51" s="17" t="s">
        <v>107</v>
      </c>
      <c r="J51" s="63"/>
      <c r="K51" s="4">
        <f t="shared" si="1"/>
        <v>1</v>
      </c>
      <c r="L51" s="18">
        <f t="shared" si="2"/>
        <v>1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3"/>
      <c r="AB51" s="63"/>
      <c r="AC51" s="63"/>
      <c r="AD51" s="63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3">
        <v>46097.0</v>
      </c>
      <c r="C52" s="12" t="s">
        <v>52</v>
      </c>
      <c r="D52" s="12" t="s">
        <v>89</v>
      </c>
      <c r="E52" s="44" t="s">
        <v>167</v>
      </c>
      <c r="F52" s="17">
        <v>3.0</v>
      </c>
      <c r="G52" s="92" t="s">
        <v>24</v>
      </c>
      <c r="H52" s="17">
        <v>7.0</v>
      </c>
      <c r="I52" s="44" t="s">
        <v>165</v>
      </c>
      <c r="J52" s="63"/>
      <c r="K52" s="4">
        <f t="shared" si="1"/>
        <v>0</v>
      </c>
      <c r="L52" s="18">
        <f t="shared" si="2"/>
        <v>3</v>
      </c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63"/>
      <c r="AB52" s="63"/>
      <c r="AC52" s="63"/>
      <c r="AD52" s="63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3">
        <v>46106.0</v>
      </c>
      <c r="C53" s="12" t="s">
        <v>53</v>
      </c>
      <c r="D53" s="12" t="s">
        <v>89</v>
      </c>
      <c r="E53" s="17" t="s">
        <v>110</v>
      </c>
      <c r="F53" s="17">
        <v>10.0</v>
      </c>
      <c r="G53" s="92" t="s">
        <v>24</v>
      </c>
      <c r="H53" s="17">
        <v>0.0</v>
      </c>
      <c r="I53" s="17" t="s">
        <v>45</v>
      </c>
      <c r="J53" s="63"/>
      <c r="K53" s="4">
        <f t="shared" si="1"/>
        <v>3</v>
      </c>
      <c r="L53" s="18">
        <f t="shared" si="2"/>
        <v>0</v>
      </c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3">
        <v>46106.0</v>
      </c>
      <c r="C54" s="12" t="s">
        <v>52</v>
      </c>
      <c r="D54" s="12" t="s">
        <v>89</v>
      </c>
      <c r="E54" s="17" t="s">
        <v>33</v>
      </c>
      <c r="F54" s="17">
        <v>0.0</v>
      </c>
      <c r="G54" s="92" t="s">
        <v>24</v>
      </c>
      <c r="H54" s="17">
        <v>4.0</v>
      </c>
      <c r="I54" s="17" t="s">
        <v>25</v>
      </c>
      <c r="J54" s="63"/>
      <c r="K54" s="4">
        <f t="shared" si="1"/>
        <v>0</v>
      </c>
      <c r="L54" s="18">
        <f t="shared" si="2"/>
        <v>3</v>
      </c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3">
        <v>46107.0</v>
      </c>
      <c r="C55" s="12" t="s">
        <v>169</v>
      </c>
      <c r="D55" s="12" t="s">
        <v>89</v>
      </c>
      <c r="E55" s="17" t="s">
        <v>36</v>
      </c>
      <c r="F55" s="17">
        <v>3.0</v>
      </c>
      <c r="G55" s="92" t="s">
        <v>24</v>
      </c>
      <c r="H55" s="17">
        <v>7.0</v>
      </c>
      <c r="I55" s="17" t="s">
        <v>166</v>
      </c>
      <c r="J55" s="63"/>
      <c r="K55" s="4">
        <f t="shared" si="1"/>
        <v>0</v>
      </c>
      <c r="L55" s="18">
        <f t="shared" si="2"/>
        <v>3</v>
      </c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63"/>
      <c r="AB55" s="63"/>
      <c r="AC55" s="63"/>
      <c r="AD55" s="63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3">
        <v>46104.0</v>
      </c>
      <c r="C56" s="12" t="s">
        <v>53</v>
      </c>
      <c r="D56" s="12" t="s">
        <v>89</v>
      </c>
      <c r="E56" s="17" t="s">
        <v>168</v>
      </c>
      <c r="F56" s="17">
        <v>2.0</v>
      </c>
      <c r="G56" s="92" t="s">
        <v>24</v>
      </c>
      <c r="H56" s="17">
        <v>6.0</v>
      </c>
      <c r="I56" s="17" t="s">
        <v>23</v>
      </c>
      <c r="J56" s="63"/>
      <c r="K56" s="4">
        <f t="shared" si="1"/>
        <v>0</v>
      </c>
      <c r="L56" s="18">
        <f t="shared" si="2"/>
        <v>3</v>
      </c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63"/>
      <c r="AB56" s="63"/>
      <c r="AC56" s="63"/>
      <c r="AD56" s="63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43">
        <v>46127.0</v>
      </c>
      <c r="C57" s="12" t="s">
        <v>52</v>
      </c>
      <c r="D57" s="12" t="s">
        <v>89</v>
      </c>
      <c r="E57" s="17" t="s">
        <v>168</v>
      </c>
      <c r="F57" s="17">
        <v>3.0</v>
      </c>
      <c r="G57" s="92" t="s">
        <v>24</v>
      </c>
      <c r="H57" s="17">
        <v>1.0</v>
      </c>
      <c r="I57" s="17" t="s">
        <v>107</v>
      </c>
      <c r="J57" s="63"/>
      <c r="K57" s="4">
        <f t="shared" si="1"/>
        <v>3</v>
      </c>
      <c r="L57" s="18">
        <f t="shared" si="2"/>
        <v>0</v>
      </c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43">
        <v>46127.0</v>
      </c>
      <c r="C58" s="12" t="s">
        <v>51</v>
      </c>
      <c r="D58" s="12" t="s">
        <v>89</v>
      </c>
      <c r="E58" s="44" t="s">
        <v>165</v>
      </c>
      <c r="F58" s="17">
        <v>4.0</v>
      </c>
      <c r="G58" s="92" t="s">
        <v>24</v>
      </c>
      <c r="H58" s="17">
        <v>4.0</v>
      </c>
      <c r="I58" s="44" t="s">
        <v>66</v>
      </c>
      <c r="J58" s="63"/>
      <c r="K58" s="4">
        <f t="shared" si="1"/>
        <v>1</v>
      </c>
      <c r="L58" s="18">
        <f t="shared" si="2"/>
        <v>1</v>
      </c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43">
        <v>46127.0</v>
      </c>
      <c r="C59" s="12" t="s">
        <v>164</v>
      </c>
      <c r="D59" s="12" t="s">
        <v>22</v>
      </c>
      <c r="E59" s="17" t="s">
        <v>45</v>
      </c>
      <c r="F59" s="17">
        <v>0.0</v>
      </c>
      <c r="G59" s="92" t="s">
        <v>24</v>
      </c>
      <c r="H59" s="17">
        <v>3.0</v>
      </c>
      <c r="I59" s="17" t="s">
        <v>167</v>
      </c>
      <c r="J59" s="63"/>
      <c r="K59" s="4">
        <f t="shared" si="1"/>
        <v>0</v>
      </c>
      <c r="L59" s="18">
        <f t="shared" si="2"/>
        <v>3</v>
      </c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  <c r="AB59" s="63"/>
      <c r="AC59" s="63"/>
      <c r="AD59" s="63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43">
        <v>46127.0</v>
      </c>
      <c r="C60" s="12" t="s">
        <v>55</v>
      </c>
      <c r="D60" s="12" t="s">
        <v>89</v>
      </c>
      <c r="E60" s="17" t="s">
        <v>25</v>
      </c>
      <c r="F60" s="17">
        <v>1.0</v>
      </c>
      <c r="G60" s="92" t="s">
        <v>24</v>
      </c>
      <c r="H60" s="17">
        <v>1.0</v>
      </c>
      <c r="I60" s="17" t="s">
        <v>110</v>
      </c>
      <c r="J60" s="63"/>
      <c r="K60" s="4">
        <f t="shared" si="1"/>
        <v>1</v>
      </c>
      <c r="L60" s="18">
        <f t="shared" si="2"/>
        <v>1</v>
      </c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  <c r="AB60" s="63"/>
      <c r="AC60" s="63"/>
      <c r="AD60" s="63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43">
        <v>46127.0</v>
      </c>
      <c r="C61" s="12" t="s">
        <v>54</v>
      </c>
      <c r="D61" s="12" t="s">
        <v>22</v>
      </c>
      <c r="E61" s="17" t="s">
        <v>166</v>
      </c>
      <c r="F61" s="17">
        <v>1.0</v>
      </c>
      <c r="G61" s="92" t="s">
        <v>24</v>
      </c>
      <c r="H61" s="17">
        <v>4.0</v>
      </c>
      <c r="I61" s="17" t="s">
        <v>33</v>
      </c>
      <c r="J61" s="63"/>
      <c r="K61" s="4">
        <f t="shared" si="1"/>
        <v>0</v>
      </c>
      <c r="L61" s="18">
        <f t="shared" si="2"/>
        <v>3</v>
      </c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43">
        <v>46127.0</v>
      </c>
      <c r="C62" s="12" t="s">
        <v>53</v>
      </c>
      <c r="D62" s="12" t="s">
        <v>89</v>
      </c>
      <c r="E62" s="17" t="s">
        <v>23</v>
      </c>
      <c r="F62" s="17">
        <v>5.0</v>
      </c>
      <c r="G62" s="92" t="s">
        <v>24</v>
      </c>
      <c r="H62" s="17">
        <v>2.0</v>
      </c>
      <c r="I62" s="17" t="s">
        <v>36</v>
      </c>
      <c r="J62" s="63"/>
      <c r="K62" s="4">
        <f t="shared" si="1"/>
        <v>3</v>
      </c>
      <c r="L62" s="18">
        <f t="shared" si="2"/>
        <v>0</v>
      </c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  <c r="AB62" s="63"/>
      <c r="AC62" s="63"/>
      <c r="AD62" s="63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43">
        <v>46131.0</v>
      </c>
      <c r="C63" s="12" t="s">
        <v>51</v>
      </c>
      <c r="D63" s="12" t="s">
        <v>22</v>
      </c>
      <c r="E63" s="44" t="s">
        <v>107</v>
      </c>
      <c r="F63" s="17">
        <v>10.0</v>
      </c>
      <c r="G63" s="92" t="s">
        <v>24</v>
      </c>
      <c r="H63" s="17">
        <v>6.0</v>
      </c>
      <c r="I63" s="44" t="s">
        <v>165</v>
      </c>
      <c r="J63" s="63"/>
      <c r="K63" s="4">
        <f t="shared" si="1"/>
        <v>3</v>
      </c>
      <c r="L63" s="18">
        <f t="shared" si="2"/>
        <v>0</v>
      </c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43">
        <v>46134.0</v>
      </c>
      <c r="C64" s="12" t="s">
        <v>51</v>
      </c>
      <c r="D64" s="12" t="s">
        <v>89</v>
      </c>
      <c r="E64" s="44" t="s">
        <v>66</v>
      </c>
      <c r="F64" s="17">
        <v>11.0</v>
      </c>
      <c r="G64" s="92" t="s">
        <v>24</v>
      </c>
      <c r="H64" s="17">
        <v>0.0</v>
      </c>
      <c r="I64" s="44" t="s">
        <v>45</v>
      </c>
      <c r="J64" s="63"/>
      <c r="K64" s="4">
        <f t="shared" si="1"/>
        <v>3</v>
      </c>
      <c r="L64" s="18">
        <f t="shared" si="2"/>
        <v>0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43">
        <v>46134.0</v>
      </c>
      <c r="C65" s="12" t="s">
        <v>55</v>
      </c>
      <c r="D65" s="12" t="s">
        <v>89</v>
      </c>
      <c r="E65" s="44" t="s">
        <v>167</v>
      </c>
      <c r="F65" s="17">
        <v>1.0</v>
      </c>
      <c r="G65" s="92" t="s">
        <v>24</v>
      </c>
      <c r="H65" s="17">
        <v>2.0</v>
      </c>
      <c r="I65" s="44" t="s">
        <v>25</v>
      </c>
      <c r="J65" s="63"/>
      <c r="K65" s="4">
        <f t="shared" si="1"/>
        <v>0</v>
      </c>
      <c r="L65" s="18">
        <f t="shared" si="2"/>
        <v>3</v>
      </c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43">
        <v>46134.0</v>
      </c>
      <c r="C66" s="12" t="s">
        <v>164</v>
      </c>
      <c r="D66" s="12" t="s">
        <v>22</v>
      </c>
      <c r="E66" s="17" t="s">
        <v>110</v>
      </c>
      <c r="F66" s="17">
        <v>7.0</v>
      </c>
      <c r="G66" s="92" t="s">
        <v>24</v>
      </c>
      <c r="H66" s="17">
        <v>5.0</v>
      </c>
      <c r="I66" s="44" t="s">
        <v>166</v>
      </c>
      <c r="J66" s="63"/>
      <c r="K66" s="4">
        <f t="shared" si="1"/>
        <v>3</v>
      </c>
      <c r="L66" s="18">
        <f t="shared" si="2"/>
        <v>0</v>
      </c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43">
        <v>46134.0</v>
      </c>
      <c r="C67" s="12" t="s">
        <v>52</v>
      </c>
      <c r="D67" s="12" t="s">
        <v>89</v>
      </c>
      <c r="E67" s="44" t="s">
        <v>33</v>
      </c>
      <c r="F67" s="17">
        <v>10.0</v>
      </c>
      <c r="G67" s="92" t="s">
        <v>24</v>
      </c>
      <c r="H67" s="17">
        <v>2.0</v>
      </c>
      <c r="I67" s="44" t="s">
        <v>23</v>
      </c>
      <c r="J67" s="63"/>
      <c r="K67" s="4">
        <f t="shared" si="1"/>
        <v>3</v>
      </c>
      <c r="L67" s="18">
        <f t="shared" si="2"/>
        <v>0</v>
      </c>
      <c r="M67" s="63"/>
      <c r="N67" s="63"/>
      <c r="O67" s="63"/>
      <c r="P67" s="63"/>
      <c r="Q67" s="63"/>
      <c r="R67" s="4"/>
      <c r="S67" s="4"/>
      <c r="T67" s="4"/>
      <c r="U67" s="4"/>
      <c r="V67" s="4"/>
      <c r="W67" s="63"/>
      <c r="X67" s="63"/>
      <c r="Y67" s="63"/>
      <c r="Z67" s="63"/>
      <c r="AA67" s="63"/>
      <c r="AB67" s="63"/>
      <c r="AC67" s="63"/>
      <c r="AD67" s="63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43">
        <v>46134.0</v>
      </c>
      <c r="C68" s="12" t="s">
        <v>53</v>
      </c>
      <c r="D68" s="12" t="s">
        <v>89</v>
      </c>
      <c r="E68" s="44" t="s">
        <v>36</v>
      </c>
      <c r="F68" s="17">
        <v>7.0</v>
      </c>
      <c r="G68" s="92" t="s">
        <v>24</v>
      </c>
      <c r="H68" s="17">
        <v>3.0</v>
      </c>
      <c r="I68" s="44" t="s">
        <v>168</v>
      </c>
      <c r="J68" s="63"/>
      <c r="K68" s="4">
        <f t="shared" si="1"/>
        <v>3</v>
      </c>
      <c r="L68" s="18">
        <f t="shared" si="2"/>
        <v>0</v>
      </c>
      <c r="M68" s="63"/>
      <c r="N68" s="63"/>
      <c r="O68" s="63"/>
      <c r="P68" s="63"/>
      <c r="Q68" s="63"/>
      <c r="R68" s="4"/>
      <c r="S68" s="4"/>
      <c r="T68" s="4"/>
      <c r="U68" s="4"/>
      <c r="V68" s="4"/>
      <c r="W68" s="63"/>
      <c r="X68" s="63"/>
      <c r="Y68" s="63"/>
      <c r="Z68" s="63"/>
      <c r="AA68" s="63"/>
      <c r="AB68" s="63"/>
      <c r="AC68" s="63"/>
      <c r="AD68" s="63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3"/>
      <c r="B69" s="63"/>
      <c r="C69" s="63"/>
      <c r="D69" s="63"/>
      <c r="E69" s="37"/>
      <c r="F69" s="63"/>
      <c r="G69" s="63"/>
      <c r="H69" s="63"/>
      <c r="I69" s="37"/>
      <c r="J69" s="63"/>
      <c r="K69" s="63"/>
      <c r="L69" s="63"/>
      <c r="M69" s="63"/>
      <c r="N69" s="63"/>
      <c r="O69" s="63"/>
      <c r="P69" s="63"/>
      <c r="Q69" s="63"/>
      <c r="R69" s="4"/>
      <c r="S69" s="4"/>
      <c r="T69" s="4"/>
      <c r="U69" s="4"/>
      <c r="V69" s="4"/>
      <c r="W69" s="63"/>
      <c r="X69" s="63"/>
      <c r="Y69" s="63"/>
      <c r="Z69" s="63"/>
      <c r="AA69" s="63"/>
      <c r="AB69" s="63"/>
      <c r="AC69" s="63"/>
      <c r="AD69" s="63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3"/>
      <c r="B70" s="63"/>
      <c r="C70" s="63"/>
      <c r="D70" s="63"/>
      <c r="E70" s="37"/>
      <c r="F70" s="63"/>
      <c r="G70" s="63"/>
      <c r="H70" s="63"/>
      <c r="I70" s="37"/>
      <c r="J70" s="63"/>
      <c r="K70" s="63"/>
      <c r="L70" s="63"/>
      <c r="M70" s="63"/>
      <c r="N70" s="63"/>
      <c r="O70" s="63"/>
      <c r="P70" s="63"/>
      <c r="Q70" s="63"/>
      <c r="R70" s="4"/>
      <c r="S70" s="4"/>
      <c r="T70" s="4"/>
      <c r="U70" s="4"/>
      <c r="V70" s="4"/>
      <c r="W70" s="63"/>
      <c r="X70" s="63"/>
      <c r="Y70" s="63"/>
      <c r="Z70" s="63"/>
      <c r="AA70" s="63"/>
      <c r="AB70" s="63"/>
      <c r="AC70" s="63"/>
      <c r="AD70" s="63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3"/>
      <c r="B71" s="63"/>
      <c r="C71" s="63"/>
      <c r="D71" s="63"/>
      <c r="E71" s="37"/>
      <c r="F71" s="63"/>
      <c r="G71" s="63"/>
      <c r="H71" s="63"/>
      <c r="I71" s="37"/>
      <c r="J71" s="63"/>
      <c r="K71" s="63"/>
      <c r="L71" s="63"/>
      <c r="M71" s="63"/>
      <c r="N71" s="63"/>
      <c r="O71" s="63"/>
      <c r="P71" s="63"/>
      <c r="Q71" s="63"/>
      <c r="R71" s="4"/>
      <c r="S71" s="4"/>
      <c r="T71" s="4"/>
      <c r="U71" s="4"/>
      <c r="V71" s="4"/>
      <c r="W71" s="63"/>
      <c r="X71" s="63"/>
      <c r="Y71" s="63"/>
      <c r="Z71" s="63"/>
      <c r="AA71" s="63"/>
      <c r="AB71" s="63"/>
      <c r="AC71" s="63"/>
      <c r="AD71" s="63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3"/>
      <c r="B72" s="63"/>
      <c r="C72" s="63"/>
      <c r="D72" s="63"/>
      <c r="E72" s="37"/>
      <c r="F72" s="63"/>
      <c r="G72" s="63"/>
      <c r="H72" s="63"/>
      <c r="I72" s="37"/>
      <c r="J72" s="63"/>
      <c r="K72" s="63"/>
      <c r="L72" s="63"/>
      <c r="M72" s="63"/>
      <c r="N72" s="63"/>
      <c r="O72" s="63"/>
      <c r="P72" s="63"/>
      <c r="Q72" s="63"/>
      <c r="R72" s="4"/>
      <c r="S72" s="4"/>
      <c r="T72" s="4"/>
      <c r="U72" s="4"/>
      <c r="V72" s="4"/>
      <c r="W72" s="63"/>
      <c r="X72" s="63"/>
      <c r="Y72" s="63"/>
      <c r="Z72" s="63"/>
      <c r="AA72" s="63"/>
      <c r="AB72" s="63"/>
      <c r="AC72" s="63"/>
      <c r="AD72" s="63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19" t="s">
        <v>172</v>
      </c>
      <c r="H73" s="63"/>
      <c r="I73" s="37"/>
      <c r="J73" s="63"/>
      <c r="K73" s="63"/>
      <c r="L73" s="63"/>
      <c r="M73" s="63"/>
      <c r="N73" s="63"/>
      <c r="O73" s="63"/>
      <c r="P73" s="63"/>
      <c r="Q73" s="63"/>
      <c r="R73" s="4"/>
      <c r="S73" s="4"/>
      <c r="T73" s="4"/>
      <c r="U73" s="4"/>
      <c r="V73" s="4"/>
      <c r="W73" s="63"/>
      <c r="X73" s="63"/>
      <c r="Y73" s="63"/>
      <c r="Z73" s="63"/>
      <c r="AA73" s="63"/>
      <c r="AB73" s="63"/>
      <c r="AC73" s="63"/>
      <c r="AD73" s="63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63"/>
      <c r="X74" s="63"/>
      <c r="Y74" s="63"/>
      <c r="Z74" s="63"/>
      <c r="AA74" s="63"/>
      <c r="AB74" s="63"/>
      <c r="AC74" s="63"/>
      <c r="AD74" s="63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52</v>
      </c>
      <c r="D75" s="39" t="s">
        <v>89</v>
      </c>
      <c r="E75" s="44" t="s">
        <v>109</v>
      </c>
      <c r="F75" s="44">
        <v>3.0</v>
      </c>
      <c r="G75" s="92" t="s">
        <v>24</v>
      </c>
      <c r="H75" s="44">
        <v>1.0</v>
      </c>
      <c r="I75" s="44" t="s">
        <v>112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106" t="s">
        <v>112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6</v>
      </c>
      <c r="T75" s="18">
        <f t="shared" ref="T75:T83" si="17">SUMIF(E$75:E$119,O75,F$75:F$119)+SUMIF(I$75:I$119,O75,H$75:H$119)</f>
        <v>13</v>
      </c>
      <c r="U75" s="20">
        <f t="shared" ref="U75:U83" si="18">SUMIF(E$75:E$119,O75,H$75:H$119)+SUMIF(I$75:I$119,O75,F$75:F$119)</f>
        <v>35</v>
      </c>
      <c r="V75" s="18">
        <f t="shared" ref="V75:V83" si="19">T75-U75</f>
        <v>-22</v>
      </c>
      <c r="W75" s="63"/>
      <c r="X75" s="63"/>
      <c r="Y75" s="63"/>
      <c r="Z75" s="63"/>
      <c r="AA75" s="63"/>
      <c r="AB75" s="63"/>
      <c r="AC75" s="63"/>
      <c r="AD75" s="63"/>
      <c r="AE75" s="45" t="s">
        <v>29</v>
      </c>
      <c r="AF75" s="23" t="str">
        <f t="array" ref="AF75:AN83">SORT(O75:W83,2,FALSE,9,FALSE,8,FALSE())</f>
        <v>Eng. Informática</v>
      </c>
      <c r="AG75" s="23">
        <v>18.0</v>
      </c>
      <c r="AH75" s="23">
        <v>6.0</v>
      </c>
      <c r="AI75" s="23">
        <v>0.0</v>
      </c>
      <c r="AJ75" s="23">
        <v>2.0</v>
      </c>
      <c r="AK75" s="23">
        <v>44.0</v>
      </c>
      <c r="AL75" s="23">
        <v>12.0</v>
      </c>
      <c r="AM75" s="23">
        <v>32.0</v>
      </c>
      <c r="AN75" s="18"/>
    </row>
    <row r="76" ht="15.75" customHeight="1">
      <c r="A76" s="25"/>
      <c r="B76" s="11">
        <v>45943.0</v>
      </c>
      <c r="C76" s="12" t="s">
        <v>53</v>
      </c>
      <c r="D76" s="39" t="s">
        <v>89</v>
      </c>
      <c r="E76" s="44" t="s">
        <v>67</v>
      </c>
      <c r="F76" s="44">
        <v>0.0</v>
      </c>
      <c r="G76" s="92" t="s">
        <v>24</v>
      </c>
      <c r="H76" s="44">
        <v>4.0</v>
      </c>
      <c r="I76" s="44" t="s">
        <v>43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106" t="s">
        <v>109</v>
      </c>
      <c r="P76" s="18">
        <f t="shared" si="13"/>
        <v>15</v>
      </c>
      <c r="Q76" s="18">
        <f t="shared" si="14"/>
        <v>5</v>
      </c>
      <c r="R76" s="20">
        <f t="shared" si="15"/>
        <v>0</v>
      </c>
      <c r="S76" s="20">
        <f t="shared" si="16"/>
        <v>3</v>
      </c>
      <c r="T76" s="18">
        <f t="shared" si="17"/>
        <v>23</v>
      </c>
      <c r="U76" s="20">
        <f t="shared" si="18"/>
        <v>21</v>
      </c>
      <c r="V76" s="18">
        <f t="shared" si="19"/>
        <v>2</v>
      </c>
      <c r="W76" s="63"/>
      <c r="X76" s="63"/>
      <c r="Y76" s="63"/>
      <c r="Z76" s="63"/>
      <c r="AA76" s="63"/>
      <c r="AB76" s="63"/>
      <c r="AC76" s="63"/>
      <c r="AD76" s="63"/>
      <c r="AE76" s="124" t="s">
        <v>111</v>
      </c>
      <c r="AF76" s="23" t="s">
        <v>32</v>
      </c>
      <c r="AG76" s="23">
        <v>18.0</v>
      </c>
      <c r="AH76" s="23">
        <v>6.0</v>
      </c>
      <c r="AI76" s="23">
        <v>0.0</v>
      </c>
      <c r="AJ76" s="23">
        <v>2.0</v>
      </c>
      <c r="AK76" s="23">
        <v>46.0</v>
      </c>
      <c r="AL76" s="23">
        <v>19.0</v>
      </c>
      <c r="AM76" s="23">
        <v>27.0</v>
      </c>
      <c r="AN76" s="18"/>
    </row>
    <row r="77" ht="15.75" customHeight="1">
      <c r="A77" s="25"/>
      <c r="B77" s="11">
        <v>45943.0</v>
      </c>
      <c r="C77" s="12" t="s">
        <v>51</v>
      </c>
      <c r="D77" s="39" t="s">
        <v>89</v>
      </c>
      <c r="E77" s="44" t="s">
        <v>32</v>
      </c>
      <c r="F77" s="44">
        <v>12.0</v>
      </c>
      <c r="G77" s="92" t="s">
        <v>24</v>
      </c>
      <c r="H77" s="44">
        <v>1.0</v>
      </c>
      <c r="I77" s="44" t="s">
        <v>68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106" t="s">
        <v>67</v>
      </c>
      <c r="P77" s="18">
        <f t="shared" si="13"/>
        <v>13</v>
      </c>
      <c r="Q77" s="18">
        <f t="shared" si="14"/>
        <v>4</v>
      </c>
      <c r="R77" s="20">
        <f t="shared" si="15"/>
        <v>1</v>
      </c>
      <c r="S77" s="20">
        <f t="shared" si="16"/>
        <v>3</v>
      </c>
      <c r="T77" s="18">
        <f t="shared" si="17"/>
        <v>32</v>
      </c>
      <c r="U77" s="20">
        <f t="shared" si="18"/>
        <v>26</v>
      </c>
      <c r="V77" s="18">
        <f t="shared" si="19"/>
        <v>6</v>
      </c>
      <c r="W77" s="63"/>
      <c r="X77" s="63"/>
      <c r="Y77" s="63"/>
      <c r="Z77" s="63"/>
      <c r="AA77" s="63"/>
      <c r="AB77" s="63"/>
      <c r="AC77" s="63"/>
      <c r="AD77" s="63"/>
      <c r="AE77" s="22">
        <v>3.0</v>
      </c>
      <c r="AF77" s="23" t="s">
        <v>63</v>
      </c>
      <c r="AG77" s="23">
        <v>15.0</v>
      </c>
      <c r="AH77" s="23">
        <v>5.0</v>
      </c>
      <c r="AI77" s="23">
        <v>0.0</v>
      </c>
      <c r="AJ77" s="23">
        <v>3.0</v>
      </c>
      <c r="AK77" s="23">
        <v>41.0</v>
      </c>
      <c r="AL77" s="23">
        <v>23.0</v>
      </c>
      <c r="AM77" s="23">
        <v>18.0</v>
      </c>
      <c r="AN77" s="18"/>
    </row>
    <row r="78" ht="15.75" customHeight="1">
      <c r="A78" s="25"/>
      <c r="B78" s="11">
        <v>45943.0</v>
      </c>
      <c r="C78" s="12" t="s">
        <v>55</v>
      </c>
      <c r="D78" s="39" t="s">
        <v>89</v>
      </c>
      <c r="E78" s="44" t="s">
        <v>63</v>
      </c>
      <c r="F78" s="44">
        <v>12.0</v>
      </c>
      <c r="G78" s="92" t="s">
        <v>24</v>
      </c>
      <c r="H78" s="44">
        <v>3.0</v>
      </c>
      <c r="I78" s="44" t="s">
        <v>173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106" t="s">
        <v>32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2</v>
      </c>
      <c r="T78" s="18">
        <f t="shared" si="17"/>
        <v>46</v>
      </c>
      <c r="U78" s="20">
        <f t="shared" si="18"/>
        <v>19</v>
      </c>
      <c r="V78" s="18">
        <f t="shared" si="19"/>
        <v>27</v>
      </c>
      <c r="W78" s="63"/>
      <c r="X78" s="63"/>
      <c r="Y78" s="63"/>
      <c r="Z78" s="63"/>
      <c r="AA78" s="63"/>
      <c r="AB78" s="63"/>
      <c r="AC78" s="63"/>
      <c r="AD78" s="63"/>
      <c r="AE78" s="22">
        <v>4.0</v>
      </c>
      <c r="AF78" s="23" t="s">
        <v>109</v>
      </c>
      <c r="AG78" s="23">
        <v>15.0</v>
      </c>
      <c r="AH78" s="23">
        <v>5.0</v>
      </c>
      <c r="AI78" s="23">
        <v>0.0</v>
      </c>
      <c r="AJ78" s="23">
        <v>3.0</v>
      </c>
      <c r="AK78" s="23">
        <v>23.0</v>
      </c>
      <c r="AL78" s="23">
        <v>21.0</v>
      </c>
      <c r="AM78" s="23">
        <v>2.0</v>
      </c>
      <c r="AN78" s="18"/>
    </row>
    <row r="79" ht="15.75" customHeight="1">
      <c r="A79" s="25"/>
      <c r="B79" s="125"/>
      <c r="C79" s="92"/>
      <c r="D79" s="67"/>
      <c r="E79" s="44" t="s">
        <v>59</v>
      </c>
      <c r="F79" s="67"/>
      <c r="G79" s="92" t="s">
        <v>24</v>
      </c>
      <c r="H79" s="67"/>
      <c r="I79" s="44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106" t="s">
        <v>63</v>
      </c>
      <c r="P79" s="18">
        <f t="shared" si="13"/>
        <v>15</v>
      </c>
      <c r="Q79" s="18">
        <f t="shared" si="14"/>
        <v>5</v>
      </c>
      <c r="R79" s="20">
        <f t="shared" si="15"/>
        <v>0</v>
      </c>
      <c r="S79" s="20">
        <f t="shared" si="16"/>
        <v>3</v>
      </c>
      <c r="T79" s="18">
        <f t="shared" si="17"/>
        <v>41</v>
      </c>
      <c r="U79" s="20">
        <f t="shared" si="18"/>
        <v>23</v>
      </c>
      <c r="V79" s="18">
        <f t="shared" si="19"/>
        <v>18</v>
      </c>
      <c r="W79" s="63"/>
      <c r="X79" s="63"/>
      <c r="Y79" s="63"/>
      <c r="Z79" s="63"/>
      <c r="AA79" s="63"/>
      <c r="AB79" s="63"/>
      <c r="AC79" s="63"/>
      <c r="AD79" s="63"/>
      <c r="AE79" s="22">
        <v>5.0</v>
      </c>
      <c r="AF79" s="23" t="s">
        <v>67</v>
      </c>
      <c r="AG79" s="23">
        <v>13.0</v>
      </c>
      <c r="AH79" s="23">
        <v>4.0</v>
      </c>
      <c r="AI79" s="23">
        <v>1.0</v>
      </c>
      <c r="AJ79" s="23">
        <v>3.0</v>
      </c>
      <c r="AK79" s="23">
        <v>32.0</v>
      </c>
      <c r="AL79" s="23">
        <v>26.0</v>
      </c>
      <c r="AM79" s="23">
        <v>6.0</v>
      </c>
      <c r="AN79" s="18"/>
    </row>
    <row r="80" ht="15.75" customHeight="1">
      <c r="A80" s="10">
        <v>2.0</v>
      </c>
      <c r="B80" s="126">
        <v>45957.0</v>
      </c>
      <c r="C80" s="39" t="s">
        <v>51</v>
      </c>
      <c r="D80" s="39" t="s">
        <v>89</v>
      </c>
      <c r="E80" s="44" t="s">
        <v>112</v>
      </c>
      <c r="F80" s="44">
        <v>3.0</v>
      </c>
      <c r="G80" s="92" t="s">
        <v>24</v>
      </c>
      <c r="H80" s="44">
        <v>3.0</v>
      </c>
      <c r="I80" s="44" t="s">
        <v>67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106" t="s">
        <v>59</v>
      </c>
      <c r="P80" s="18">
        <f t="shared" si="13"/>
        <v>7</v>
      </c>
      <c r="Q80" s="18">
        <f t="shared" si="14"/>
        <v>2</v>
      </c>
      <c r="R80" s="20">
        <f t="shared" si="15"/>
        <v>1</v>
      </c>
      <c r="S80" s="20">
        <f t="shared" si="16"/>
        <v>5</v>
      </c>
      <c r="T80" s="18">
        <f t="shared" si="17"/>
        <v>27</v>
      </c>
      <c r="U80" s="20">
        <f t="shared" si="18"/>
        <v>36</v>
      </c>
      <c r="V80" s="18">
        <f t="shared" si="19"/>
        <v>-9</v>
      </c>
      <c r="W80" s="63"/>
      <c r="X80" s="63"/>
      <c r="Y80" s="63"/>
      <c r="Z80" s="63"/>
      <c r="AA80" s="63"/>
      <c r="AB80" s="63"/>
      <c r="AC80" s="63"/>
      <c r="AD80" s="63"/>
      <c r="AE80" s="22">
        <v>6.0</v>
      </c>
      <c r="AF80" s="23" t="s">
        <v>68</v>
      </c>
      <c r="AG80" s="23">
        <v>9.0</v>
      </c>
      <c r="AH80" s="23">
        <v>3.0</v>
      </c>
      <c r="AI80" s="23">
        <v>0.0</v>
      </c>
      <c r="AJ80" s="23">
        <v>5.0</v>
      </c>
      <c r="AK80" s="23">
        <v>17.0</v>
      </c>
      <c r="AL80" s="23">
        <v>36.0</v>
      </c>
      <c r="AM80" s="23">
        <v>-19.0</v>
      </c>
      <c r="AN80" s="18"/>
    </row>
    <row r="81" ht="15.75" customHeight="1">
      <c r="A81" s="25"/>
      <c r="B81" s="97"/>
      <c r="C81" s="98"/>
      <c r="D81" s="94"/>
      <c r="E81" s="44">
        <v>0.0</v>
      </c>
      <c r="F81" s="67"/>
      <c r="G81" s="92" t="s">
        <v>24</v>
      </c>
      <c r="H81" s="67"/>
      <c r="I81" s="44" t="s">
        <v>109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106" t="s">
        <v>173</v>
      </c>
      <c r="P81" s="18">
        <f t="shared" si="13"/>
        <v>7</v>
      </c>
      <c r="Q81" s="18">
        <f t="shared" si="14"/>
        <v>2</v>
      </c>
      <c r="R81" s="20">
        <f t="shared" si="15"/>
        <v>1</v>
      </c>
      <c r="S81" s="20">
        <f t="shared" si="16"/>
        <v>5</v>
      </c>
      <c r="T81" s="18">
        <f t="shared" si="17"/>
        <v>12</v>
      </c>
      <c r="U81" s="20">
        <f t="shared" si="18"/>
        <v>47</v>
      </c>
      <c r="V81" s="18">
        <f t="shared" si="19"/>
        <v>-35</v>
      </c>
      <c r="W81" s="63"/>
      <c r="X81" s="63"/>
      <c r="Y81" s="63"/>
      <c r="Z81" s="63"/>
      <c r="AA81" s="63"/>
      <c r="AB81" s="63"/>
      <c r="AC81" s="63"/>
      <c r="AD81" s="63"/>
      <c r="AE81" s="22">
        <v>7.0</v>
      </c>
      <c r="AF81" s="23" t="s">
        <v>59</v>
      </c>
      <c r="AG81" s="23">
        <v>7.0</v>
      </c>
      <c r="AH81" s="23">
        <v>2.0</v>
      </c>
      <c r="AI81" s="23">
        <v>1.0</v>
      </c>
      <c r="AJ81" s="23">
        <v>5.0</v>
      </c>
      <c r="AK81" s="23">
        <v>27.0</v>
      </c>
      <c r="AL81" s="23">
        <v>36.0</v>
      </c>
      <c r="AM81" s="23">
        <v>-9.0</v>
      </c>
      <c r="AN81" s="18"/>
    </row>
    <row r="82" ht="15.75" customHeight="1">
      <c r="A82" s="25"/>
      <c r="B82" s="126">
        <v>45957.0</v>
      </c>
      <c r="C82" s="12" t="s">
        <v>55</v>
      </c>
      <c r="D82" s="39" t="s">
        <v>89</v>
      </c>
      <c r="E82" s="44" t="s">
        <v>43</v>
      </c>
      <c r="F82" s="44">
        <v>2.0</v>
      </c>
      <c r="G82" s="92" t="s">
        <v>24</v>
      </c>
      <c r="H82" s="44">
        <v>4.0</v>
      </c>
      <c r="I82" s="44" t="s">
        <v>32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106" t="s">
        <v>68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17</v>
      </c>
      <c r="U82" s="20">
        <f t="shared" si="18"/>
        <v>36</v>
      </c>
      <c r="V82" s="18">
        <f t="shared" si="19"/>
        <v>-19</v>
      </c>
      <c r="W82" s="63"/>
      <c r="X82" s="63"/>
      <c r="Y82" s="63"/>
      <c r="Z82" s="63"/>
      <c r="AA82" s="63"/>
      <c r="AB82" s="63"/>
      <c r="AC82" s="63"/>
      <c r="AD82" s="63"/>
      <c r="AE82" s="22">
        <v>8.0</v>
      </c>
      <c r="AF82" s="23" t="s">
        <v>173</v>
      </c>
      <c r="AG82" s="23">
        <v>7.0</v>
      </c>
      <c r="AH82" s="23">
        <v>2.0</v>
      </c>
      <c r="AI82" s="23">
        <v>1.0</v>
      </c>
      <c r="AJ82" s="23">
        <v>5.0</v>
      </c>
      <c r="AK82" s="23">
        <v>12.0</v>
      </c>
      <c r="AL82" s="23">
        <v>47.0</v>
      </c>
      <c r="AM82" s="23">
        <v>-35.0</v>
      </c>
      <c r="AN82" s="18"/>
    </row>
    <row r="83" ht="15.75" customHeight="1">
      <c r="A83" s="25"/>
      <c r="B83" s="126">
        <v>45957.0</v>
      </c>
      <c r="C83" s="12" t="s">
        <v>52</v>
      </c>
      <c r="D83" s="39" t="s">
        <v>89</v>
      </c>
      <c r="E83" s="44" t="s">
        <v>68</v>
      </c>
      <c r="F83" s="44">
        <v>4.0</v>
      </c>
      <c r="G83" s="92" t="s">
        <v>24</v>
      </c>
      <c r="H83" s="44">
        <v>9.0</v>
      </c>
      <c r="I83" s="44" t="s">
        <v>63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106" t="s">
        <v>43</v>
      </c>
      <c r="P83" s="18">
        <f t="shared" si="13"/>
        <v>18</v>
      </c>
      <c r="Q83" s="18">
        <f t="shared" si="14"/>
        <v>6</v>
      </c>
      <c r="R83" s="20">
        <f t="shared" si="15"/>
        <v>0</v>
      </c>
      <c r="S83" s="20">
        <f t="shared" si="16"/>
        <v>2</v>
      </c>
      <c r="T83" s="18">
        <f t="shared" si="17"/>
        <v>44</v>
      </c>
      <c r="U83" s="20">
        <f t="shared" si="18"/>
        <v>12</v>
      </c>
      <c r="V83" s="18">
        <f t="shared" si="19"/>
        <v>32</v>
      </c>
      <c r="W83" s="63"/>
      <c r="X83" s="63"/>
      <c r="Y83" s="63"/>
      <c r="Z83" s="63"/>
      <c r="AA83" s="63"/>
      <c r="AB83" s="63"/>
      <c r="AC83" s="63"/>
      <c r="AD83" s="63"/>
      <c r="AE83" s="22">
        <v>9.0</v>
      </c>
      <c r="AF83" s="23" t="s">
        <v>112</v>
      </c>
      <c r="AG83" s="23">
        <v>4.0</v>
      </c>
      <c r="AH83" s="23">
        <v>1.0</v>
      </c>
      <c r="AI83" s="23">
        <v>1.0</v>
      </c>
      <c r="AJ83" s="23">
        <v>6.0</v>
      </c>
      <c r="AK83" s="23">
        <v>13.0</v>
      </c>
      <c r="AL83" s="48">
        <v>35.0</v>
      </c>
      <c r="AM83" s="48">
        <v>-22.0</v>
      </c>
      <c r="AN83" s="18"/>
    </row>
    <row r="84" ht="15.75" customHeight="1">
      <c r="A84" s="25"/>
      <c r="B84" s="126">
        <v>45957.0</v>
      </c>
      <c r="C84" s="12" t="s">
        <v>53</v>
      </c>
      <c r="D84" s="39" t="s">
        <v>89</v>
      </c>
      <c r="E84" s="44" t="s">
        <v>173</v>
      </c>
      <c r="F84" s="44">
        <v>2.0</v>
      </c>
      <c r="G84" s="92" t="s">
        <v>24</v>
      </c>
      <c r="H84" s="44">
        <v>2.0</v>
      </c>
      <c r="I84" s="44" t="s">
        <v>59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3"/>
      <c r="X84" s="63"/>
      <c r="Y84" s="63"/>
      <c r="Z84" s="63"/>
      <c r="AA84" s="63"/>
      <c r="AB84" s="63"/>
      <c r="AC84" s="63"/>
      <c r="AD84" s="63"/>
      <c r="AE84" s="35" t="s">
        <v>174</v>
      </c>
      <c r="AH84" s="32"/>
      <c r="AI84" s="32"/>
      <c r="AJ84" s="32"/>
      <c r="AK84" s="32"/>
      <c r="AL84" s="127"/>
      <c r="AM84" s="127"/>
      <c r="AN84" s="18"/>
    </row>
    <row r="85" ht="15.75" customHeight="1">
      <c r="A85" s="10">
        <v>3.0</v>
      </c>
      <c r="B85" s="11">
        <v>45974.0</v>
      </c>
      <c r="C85" s="39" t="s">
        <v>21</v>
      </c>
      <c r="D85" s="39" t="s">
        <v>22</v>
      </c>
      <c r="E85" s="44" t="s">
        <v>32</v>
      </c>
      <c r="F85" s="44">
        <v>5.0</v>
      </c>
      <c r="G85" s="92" t="s">
        <v>24</v>
      </c>
      <c r="H85" s="44">
        <v>4.0</v>
      </c>
      <c r="I85" s="44" t="s">
        <v>112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3"/>
      <c r="X85" s="63"/>
      <c r="Y85" s="63"/>
      <c r="Z85" s="63"/>
      <c r="AA85" s="63"/>
      <c r="AB85" s="63"/>
      <c r="AC85" s="63"/>
      <c r="AD85" s="63"/>
      <c r="AE85" s="79" t="s">
        <v>175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26">
        <v>45973.0</v>
      </c>
      <c r="C86" s="12" t="s">
        <v>54</v>
      </c>
      <c r="D86" s="39" t="s">
        <v>22</v>
      </c>
      <c r="E86" s="44" t="s">
        <v>67</v>
      </c>
      <c r="F86" s="44">
        <v>8.0</v>
      </c>
      <c r="G86" s="92" t="s">
        <v>24</v>
      </c>
      <c r="H86" s="44">
        <v>5.0</v>
      </c>
      <c r="I86" s="44" t="s">
        <v>109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3"/>
      <c r="X86" s="63"/>
      <c r="Y86" s="63"/>
      <c r="Z86" s="63"/>
      <c r="AA86" s="63"/>
      <c r="AB86" s="63"/>
      <c r="AC86" s="63"/>
      <c r="AD86" s="63"/>
      <c r="AJ86" s="18"/>
      <c r="AK86" s="18"/>
      <c r="AL86" s="18"/>
      <c r="AM86" s="18"/>
      <c r="AN86" s="4"/>
    </row>
    <row r="87" ht="15.75" customHeight="1">
      <c r="A87" s="25"/>
      <c r="B87" s="126">
        <v>45974.0</v>
      </c>
      <c r="C87" s="39" t="s">
        <v>49</v>
      </c>
      <c r="D87" s="39" t="s">
        <v>22</v>
      </c>
      <c r="E87" s="44" t="s">
        <v>63</v>
      </c>
      <c r="F87" s="44">
        <v>3.0</v>
      </c>
      <c r="G87" s="92" t="s">
        <v>24</v>
      </c>
      <c r="H87" s="44">
        <v>2.0</v>
      </c>
      <c r="I87" s="44" t="s">
        <v>43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3"/>
      <c r="X87" s="63"/>
      <c r="Y87" s="63"/>
      <c r="Z87" s="63"/>
      <c r="AA87" s="63"/>
      <c r="AB87" s="63"/>
      <c r="AC87" s="63"/>
      <c r="AD87" s="63"/>
      <c r="AJ87" s="4"/>
      <c r="AK87" s="4"/>
      <c r="AL87" s="4"/>
      <c r="AM87" s="4"/>
      <c r="AN87" s="4"/>
    </row>
    <row r="88" ht="15.75" customHeight="1">
      <c r="A88" s="25"/>
      <c r="B88" s="126">
        <v>45973.0</v>
      </c>
      <c r="C88" s="39" t="s">
        <v>164</v>
      </c>
      <c r="D88" s="39" t="s">
        <v>22</v>
      </c>
      <c r="E88" s="44" t="s">
        <v>59</v>
      </c>
      <c r="F88" s="44">
        <v>5.0</v>
      </c>
      <c r="G88" s="92" t="s">
        <v>24</v>
      </c>
      <c r="H88" s="44">
        <v>6.0</v>
      </c>
      <c r="I88" s="44" t="s">
        <v>68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3"/>
      <c r="X88" s="63"/>
      <c r="Y88" s="63"/>
      <c r="Z88" s="63"/>
      <c r="AA88" s="63"/>
      <c r="AB88" s="63"/>
      <c r="AC88" s="63"/>
      <c r="AD88" s="63"/>
      <c r="AE88" s="81" t="s">
        <v>103</v>
      </c>
      <c r="AF88" s="82"/>
      <c r="AG88" s="82"/>
      <c r="AH88" s="82"/>
      <c r="AI88" s="82"/>
      <c r="AJ88" s="82"/>
      <c r="AK88" s="82"/>
      <c r="AL88" s="82"/>
      <c r="AM88" s="83"/>
      <c r="AN88" s="4"/>
    </row>
    <row r="89" ht="15.75" customHeight="1">
      <c r="A89" s="25"/>
      <c r="B89" s="125"/>
      <c r="C89" s="92"/>
      <c r="D89" s="92"/>
      <c r="E89" s="44">
        <v>0.0</v>
      </c>
      <c r="F89" s="67"/>
      <c r="G89" s="92" t="s">
        <v>24</v>
      </c>
      <c r="H89" s="67"/>
      <c r="I89" s="44" t="s">
        <v>173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3"/>
      <c r="X89" s="63"/>
      <c r="Y89" s="63"/>
      <c r="Z89" s="63"/>
      <c r="AA89" s="63"/>
      <c r="AB89" s="63"/>
      <c r="AC89" s="63"/>
      <c r="AD89" s="63"/>
      <c r="AE89" s="84"/>
      <c r="AF89" s="85"/>
      <c r="AG89" s="85"/>
      <c r="AH89" s="85"/>
      <c r="AI89" s="85"/>
      <c r="AJ89" s="85"/>
      <c r="AK89" s="85"/>
      <c r="AL89" s="85"/>
      <c r="AM89" s="86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39" t="s">
        <v>22</v>
      </c>
      <c r="E90" s="44" t="s">
        <v>112</v>
      </c>
      <c r="F90" s="44">
        <v>0.0</v>
      </c>
      <c r="G90" s="92" t="s">
        <v>24</v>
      </c>
      <c r="H90" s="44">
        <v>10.0</v>
      </c>
      <c r="I90" s="44" t="s">
        <v>63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3"/>
      <c r="R90" s="4"/>
      <c r="S90" s="4"/>
      <c r="T90" s="4"/>
      <c r="U90" s="4"/>
      <c r="V90" s="4"/>
      <c r="W90" s="63"/>
      <c r="X90" s="63"/>
      <c r="Y90" s="63"/>
      <c r="Z90" s="63"/>
      <c r="AA90" s="63"/>
      <c r="AB90" s="63"/>
      <c r="AC90" s="63"/>
      <c r="AD90" s="63"/>
      <c r="AE90" s="5" t="s">
        <v>11</v>
      </c>
      <c r="AF90" s="5" t="s">
        <v>12</v>
      </c>
      <c r="AG90" s="5" t="s">
        <v>13</v>
      </c>
      <c r="AH90" s="5" t="s">
        <v>14</v>
      </c>
      <c r="AI90" s="5" t="s">
        <v>15</v>
      </c>
      <c r="AJ90" s="5" t="s">
        <v>16</v>
      </c>
      <c r="AK90" s="5" t="s">
        <v>17</v>
      </c>
      <c r="AL90" s="5" t="s">
        <v>18</v>
      </c>
      <c r="AM90" s="5" t="s">
        <v>19</v>
      </c>
      <c r="AN90" s="37"/>
    </row>
    <row r="91" ht="15.75" customHeight="1">
      <c r="A91" s="25"/>
      <c r="B91" s="11">
        <v>45992.0</v>
      </c>
      <c r="C91" s="12" t="s">
        <v>35</v>
      </c>
      <c r="D91" s="39" t="s">
        <v>22</v>
      </c>
      <c r="E91" s="44" t="s">
        <v>109</v>
      </c>
      <c r="F91" s="44">
        <v>2.0</v>
      </c>
      <c r="G91" s="92" t="s">
        <v>24</v>
      </c>
      <c r="H91" s="44">
        <v>8.0</v>
      </c>
      <c r="I91" s="44" t="s">
        <v>32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3"/>
      <c r="X91" s="63"/>
      <c r="Y91" s="63"/>
      <c r="Z91" s="63"/>
      <c r="AA91" s="63"/>
      <c r="AB91" s="63"/>
      <c r="AC91" s="63"/>
      <c r="AD91" s="63"/>
      <c r="AE91" s="45" t="s">
        <v>29</v>
      </c>
      <c r="AF91" s="23" t="s">
        <v>32</v>
      </c>
      <c r="AG91" s="23">
        <v>18.0</v>
      </c>
      <c r="AH91" s="23">
        <v>6.0</v>
      </c>
      <c r="AI91" s="23">
        <v>0.0</v>
      </c>
      <c r="AJ91" s="23">
        <v>2.0</v>
      </c>
      <c r="AK91" s="61">
        <v>46.0</v>
      </c>
      <c r="AL91" s="61">
        <v>19.0</v>
      </c>
      <c r="AM91" s="61">
        <v>27.0</v>
      </c>
      <c r="AN91" s="4"/>
    </row>
    <row r="92" ht="15.75" customHeight="1">
      <c r="A92" s="25"/>
      <c r="B92" s="128"/>
      <c r="C92" s="98"/>
      <c r="D92" s="92"/>
      <c r="E92" s="44" t="s">
        <v>67</v>
      </c>
      <c r="F92" s="67"/>
      <c r="G92" s="92" t="s">
        <v>24</v>
      </c>
      <c r="H92" s="67"/>
      <c r="I92" s="44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3"/>
      <c r="X92" s="63"/>
      <c r="Y92" s="63"/>
      <c r="Z92" s="63"/>
      <c r="AA92" s="63"/>
      <c r="AB92" s="63"/>
      <c r="AC92" s="63"/>
      <c r="AD92" s="63"/>
      <c r="AE92" s="124" t="s">
        <v>111</v>
      </c>
      <c r="AF92" s="23" t="s">
        <v>43</v>
      </c>
      <c r="AG92" s="23">
        <v>18.0</v>
      </c>
      <c r="AH92" s="23">
        <v>6.0</v>
      </c>
      <c r="AI92" s="23">
        <v>0.0</v>
      </c>
      <c r="AJ92" s="23">
        <v>2.0</v>
      </c>
      <c r="AK92" s="23">
        <v>44.0</v>
      </c>
      <c r="AL92" s="23">
        <v>12.0</v>
      </c>
      <c r="AM92" s="23">
        <v>32.0</v>
      </c>
      <c r="AN92" s="4"/>
    </row>
    <row r="93" ht="15.75" customHeight="1">
      <c r="A93" s="25"/>
      <c r="B93" s="11">
        <v>45992.0</v>
      </c>
      <c r="C93" s="12" t="s">
        <v>49</v>
      </c>
      <c r="D93" s="39" t="s">
        <v>22</v>
      </c>
      <c r="E93" s="44" t="s">
        <v>43</v>
      </c>
      <c r="F93" s="44">
        <v>7.0</v>
      </c>
      <c r="G93" s="92" t="s">
        <v>24</v>
      </c>
      <c r="H93" s="44">
        <v>2.0</v>
      </c>
      <c r="I93" s="44" t="s">
        <v>59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3"/>
      <c r="X93" s="63"/>
      <c r="Y93" s="63"/>
      <c r="Z93" s="63"/>
      <c r="AA93" s="63"/>
      <c r="AB93" s="63"/>
      <c r="AC93" s="63"/>
      <c r="AD93" s="63"/>
      <c r="AE93" s="22">
        <v>3.0</v>
      </c>
      <c r="AF93" s="23" t="s">
        <v>109</v>
      </c>
      <c r="AG93" s="23">
        <v>15.0</v>
      </c>
      <c r="AH93" s="23">
        <v>5.0</v>
      </c>
      <c r="AI93" s="23">
        <v>0.0</v>
      </c>
      <c r="AJ93" s="23">
        <v>3.0</v>
      </c>
      <c r="AK93" s="23">
        <v>23.0</v>
      </c>
      <c r="AL93" s="23">
        <v>21.0</v>
      </c>
      <c r="AM93" s="23">
        <v>2.0</v>
      </c>
      <c r="AN93" s="4"/>
    </row>
    <row r="94" ht="15.75" customHeight="1">
      <c r="A94" s="25"/>
      <c r="B94" s="11">
        <v>45992.0</v>
      </c>
      <c r="C94" s="39" t="s">
        <v>21</v>
      </c>
      <c r="D94" s="39" t="s">
        <v>22</v>
      </c>
      <c r="E94" s="44" t="s">
        <v>68</v>
      </c>
      <c r="F94" s="44">
        <v>2.0</v>
      </c>
      <c r="G94" s="92" t="s">
        <v>24</v>
      </c>
      <c r="H94" s="44">
        <v>0.0</v>
      </c>
      <c r="I94" s="44" t="s">
        <v>173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3"/>
      <c r="X94" s="63"/>
      <c r="Y94" s="63"/>
      <c r="Z94" s="63"/>
      <c r="AA94" s="63"/>
      <c r="AB94" s="63"/>
      <c r="AC94" s="63"/>
      <c r="AD94" s="63"/>
      <c r="AE94" s="22">
        <v>4.0</v>
      </c>
      <c r="AF94" s="23" t="s">
        <v>63</v>
      </c>
      <c r="AG94" s="23">
        <v>15.0</v>
      </c>
      <c r="AH94" s="23">
        <v>5.0</v>
      </c>
      <c r="AI94" s="23">
        <v>0.0</v>
      </c>
      <c r="AJ94" s="23">
        <v>3.0</v>
      </c>
      <c r="AK94" s="23">
        <v>41.0</v>
      </c>
      <c r="AL94" s="23">
        <v>23.0</v>
      </c>
      <c r="AM94" s="23">
        <v>18.0</v>
      </c>
      <c r="AN94" s="4"/>
    </row>
    <row r="95" ht="15.75" customHeight="1">
      <c r="A95" s="10">
        <v>5.0</v>
      </c>
      <c r="B95" s="11">
        <v>46063.0</v>
      </c>
      <c r="C95" s="12" t="s">
        <v>55</v>
      </c>
      <c r="D95" s="39" t="s">
        <v>89</v>
      </c>
      <c r="E95" s="44" t="s">
        <v>59</v>
      </c>
      <c r="F95" s="44">
        <v>2.0</v>
      </c>
      <c r="G95" s="92" t="s">
        <v>24</v>
      </c>
      <c r="H95" s="44">
        <v>3.0</v>
      </c>
      <c r="I95" s="44" t="s">
        <v>112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3"/>
      <c r="X95" s="63"/>
      <c r="Y95" s="63"/>
      <c r="Z95" s="63"/>
      <c r="AA95" s="63"/>
      <c r="AB95" s="63"/>
      <c r="AC95" s="63"/>
      <c r="AD95" s="63"/>
      <c r="AE95" s="22">
        <v>5.0</v>
      </c>
      <c r="AF95" s="23" t="s">
        <v>67</v>
      </c>
      <c r="AG95" s="23">
        <v>13.0</v>
      </c>
      <c r="AH95" s="23">
        <v>4.0</v>
      </c>
      <c r="AI95" s="23">
        <v>1.0</v>
      </c>
      <c r="AJ95" s="23">
        <v>3.0</v>
      </c>
      <c r="AK95" s="23">
        <v>32.0</v>
      </c>
      <c r="AL95" s="23">
        <v>26.0</v>
      </c>
      <c r="AM95" s="23">
        <v>6.0</v>
      </c>
      <c r="AN95" s="4"/>
    </row>
    <row r="96" ht="15.75" customHeight="1">
      <c r="A96" s="25"/>
      <c r="B96" s="11">
        <v>46063.0</v>
      </c>
      <c r="C96" s="12" t="s">
        <v>52</v>
      </c>
      <c r="D96" s="39" t="s">
        <v>89</v>
      </c>
      <c r="E96" s="44" t="s">
        <v>63</v>
      </c>
      <c r="F96" s="44">
        <v>0.0</v>
      </c>
      <c r="G96" s="92" t="s">
        <v>24</v>
      </c>
      <c r="H96" s="44">
        <v>1.0</v>
      </c>
      <c r="I96" s="44" t="s">
        <v>109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3"/>
      <c r="S96" s="63"/>
      <c r="T96" s="63"/>
      <c r="U96" s="63"/>
      <c r="V96" s="63"/>
      <c r="W96" s="63"/>
      <c r="X96" s="63"/>
      <c r="Y96" s="63"/>
      <c r="Z96" s="63"/>
      <c r="AA96" s="63"/>
      <c r="AB96" s="63"/>
      <c r="AC96" s="63"/>
      <c r="AD96" s="63"/>
      <c r="AE96" s="22">
        <v>6.0</v>
      </c>
      <c r="AF96" s="23" t="s">
        <v>68</v>
      </c>
      <c r="AG96" s="23">
        <v>9.0</v>
      </c>
      <c r="AH96" s="23">
        <v>3.0</v>
      </c>
      <c r="AI96" s="23">
        <v>0.0</v>
      </c>
      <c r="AJ96" s="23">
        <v>5.0</v>
      </c>
      <c r="AK96" s="23">
        <v>17.0</v>
      </c>
      <c r="AL96" s="23">
        <v>36.0</v>
      </c>
      <c r="AM96" s="23">
        <v>-19.0</v>
      </c>
      <c r="AN96" s="4"/>
    </row>
    <row r="97" ht="15.75" customHeight="1">
      <c r="A97" s="25"/>
      <c r="B97" s="11">
        <v>46063.0</v>
      </c>
      <c r="C97" s="12" t="s">
        <v>53</v>
      </c>
      <c r="D97" s="39" t="s">
        <v>89</v>
      </c>
      <c r="E97" s="44" t="s">
        <v>32</v>
      </c>
      <c r="F97" s="44">
        <v>4.0</v>
      </c>
      <c r="G97" s="92" t="s">
        <v>24</v>
      </c>
      <c r="H97" s="44">
        <v>1.0</v>
      </c>
      <c r="I97" s="44" t="s">
        <v>67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22">
        <v>7.0</v>
      </c>
      <c r="AF97" s="23" t="s">
        <v>59</v>
      </c>
      <c r="AG97" s="23">
        <v>7.0</v>
      </c>
      <c r="AH97" s="23">
        <v>2.0</v>
      </c>
      <c r="AI97" s="23">
        <v>1.0</v>
      </c>
      <c r="AJ97" s="23">
        <v>5.0</v>
      </c>
      <c r="AK97" s="23">
        <v>27.0</v>
      </c>
      <c r="AL97" s="23">
        <v>36.0</v>
      </c>
      <c r="AM97" s="23">
        <v>-9.0</v>
      </c>
      <c r="AN97" s="4"/>
    </row>
    <row r="98" ht="15.75" customHeight="1">
      <c r="A98" s="25"/>
      <c r="B98" s="11">
        <v>46076.0</v>
      </c>
      <c r="C98" s="12" t="s">
        <v>55</v>
      </c>
      <c r="D98" s="39" t="s">
        <v>89</v>
      </c>
      <c r="E98" s="44" t="s">
        <v>173</v>
      </c>
      <c r="F98" s="44">
        <v>0.0</v>
      </c>
      <c r="G98" s="92" t="s">
        <v>24</v>
      </c>
      <c r="H98" s="44">
        <v>15.0</v>
      </c>
      <c r="I98" s="44" t="s">
        <v>43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3"/>
      <c r="S98" s="63"/>
      <c r="T98" s="63"/>
      <c r="U98" s="63"/>
      <c r="V98" s="63"/>
      <c r="W98" s="63"/>
      <c r="X98" s="63"/>
      <c r="Y98" s="63"/>
      <c r="Z98" s="63"/>
      <c r="AA98" s="63"/>
      <c r="AB98" s="63"/>
      <c r="AC98" s="63"/>
      <c r="AD98" s="63"/>
      <c r="AE98" s="22">
        <v>8.0</v>
      </c>
      <c r="AF98" s="23" t="s">
        <v>173</v>
      </c>
      <c r="AG98" s="23">
        <v>7.0</v>
      </c>
      <c r="AH98" s="23">
        <v>2.0</v>
      </c>
      <c r="AI98" s="23">
        <v>1.0</v>
      </c>
      <c r="AJ98" s="23">
        <v>5.0</v>
      </c>
      <c r="AK98" s="23">
        <v>12.0</v>
      </c>
      <c r="AL98" s="23">
        <v>47.0</v>
      </c>
      <c r="AM98" s="23">
        <v>-35.0</v>
      </c>
      <c r="AN98" s="4"/>
    </row>
    <row r="99" ht="15.75" customHeight="1">
      <c r="A99" s="25"/>
      <c r="B99" s="125"/>
      <c r="C99" s="92"/>
      <c r="D99" s="92"/>
      <c r="E99" s="44">
        <v>0.0</v>
      </c>
      <c r="F99" s="67"/>
      <c r="G99" s="92" t="s">
        <v>24</v>
      </c>
      <c r="H99" s="67"/>
      <c r="I99" s="44" t="s">
        <v>68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22">
        <v>9.0</v>
      </c>
      <c r="AF99" s="23" t="s">
        <v>112</v>
      </c>
      <c r="AG99" s="23">
        <v>4.0</v>
      </c>
      <c r="AH99" s="23">
        <v>1.0</v>
      </c>
      <c r="AI99" s="23">
        <v>1.0</v>
      </c>
      <c r="AJ99" s="23">
        <v>6.0</v>
      </c>
      <c r="AK99" s="23">
        <v>13.0</v>
      </c>
      <c r="AL99" s="48">
        <v>35.0</v>
      </c>
      <c r="AM99" s="48">
        <v>-22.0</v>
      </c>
      <c r="AN99" s="4"/>
    </row>
    <row r="100" ht="15.75" customHeight="1">
      <c r="A100" s="10">
        <v>6.0</v>
      </c>
      <c r="B100" s="11">
        <v>46083.0</v>
      </c>
      <c r="C100" s="12" t="s">
        <v>52</v>
      </c>
      <c r="D100" s="39" t="s">
        <v>89</v>
      </c>
      <c r="E100" s="44" t="s">
        <v>112</v>
      </c>
      <c r="F100" s="44">
        <v>1.0</v>
      </c>
      <c r="G100" s="92" t="s">
        <v>24</v>
      </c>
      <c r="H100" s="44">
        <v>2.0</v>
      </c>
      <c r="I100" s="44" t="s">
        <v>173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3"/>
      <c r="S100" s="63"/>
      <c r="T100" s="63"/>
      <c r="U100" s="63"/>
      <c r="V100" s="63"/>
      <c r="W100" s="63"/>
      <c r="X100" s="63"/>
      <c r="Y100" s="63"/>
      <c r="Z100" s="63"/>
      <c r="AA100" s="63"/>
      <c r="AB100" s="63"/>
      <c r="AC100" s="63"/>
      <c r="AD100" s="63"/>
      <c r="AE100" s="35" t="s">
        <v>176</v>
      </c>
      <c r="AH100" s="32"/>
      <c r="AI100" s="32"/>
      <c r="AJ100" s="32"/>
      <c r="AK100" s="32"/>
      <c r="AL100" s="127"/>
      <c r="AM100" s="127"/>
      <c r="AN100" s="4"/>
    </row>
    <row r="101" ht="15.75" customHeight="1">
      <c r="A101" s="25"/>
      <c r="B101" s="11">
        <v>46076.0</v>
      </c>
      <c r="C101" s="12" t="s">
        <v>52</v>
      </c>
      <c r="D101" s="39" t="s">
        <v>89</v>
      </c>
      <c r="E101" s="44" t="s">
        <v>109</v>
      </c>
      <c r="F101" s="44">
        <v>5.0</v>
      </c>
      <c r="G101" s="92" t="s">
        <v>24</v>
      </c>
      <c r="H101" s="44">
        <v>1.0</v>
      </c>
      <c r="I101" s="44" t="s">
        <v>59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79" t="s">
        <v>175</v>
      </c>
      <c r="AH101" s="18"/>
      <c r="AI101" s="18"/>
      <c r="AJ101" s="18"/>
      <c r="AK101" s="18"/>
      <c r="AL101" s="18"/>
      <c r="AM101" s="18"/>
      <c r="AN101" s="4"/>
    </row>
    <row r="102" ht="15.75" customHeight="1">
      <c r="A102" s="25"/>
      <c r="B102" s="11">
        <v>46076.0</v>
      </c>
      <c r="C102" s="12" t="s">
        <v>53</v>
      </c>
      <c r="D102" s="39" t="s">
        <v>89</v>
      </c>
      <c r="E102" s="44" t="s">
        <v>67</v>
      </c>
      <c r="F102" s="44">
        <v>2.0</v>
      </c>
      <c r="G102" s="92" t="s">
        <v>24</v>
      </c>
      <c r="H102" s="44">
        <v>0.0</v>
      </c>
      <c r="I102" s="44" t="s">
        <v>63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63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7"/>
      <c r="C103" s="94"/>
      <c r="D103" s="94"/>
      <c r="E103" s="44" t="s">
        <v>32</v>
      </c>
      <c r="F103" s="67"/>
      <c r="G103" s="92" t="s">
        <v>24</v>
      </c>
      <c r="H103" s="67"/>
      <c r="I103" s="44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63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53</v>
      </c>
      <c r="D104" s="39" t="s">
        <v>89</v>
      </c>
      <c r="E104" s="44" t="s">
        <v>43</v>
      </c>
      <c r="F104" s="44">
        <v>4.0</v>
      </c>
      <c r="G104" s="92" t="s">
        <v>24</v>
      </c>
      <c r="H104" s="44">
        <v>1.0</v>
      </c>
      <c r="I104" s="44" t="s">
        <v>68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26">
        <v>46098.0</v>
      </c>
      <c r="C105" s="12" t="s">
        <v>55</v>
      </c>
      <c r="D105" s="39" t="s">
        <v>89</v>
      </c>
      <c r="E105" s="44" t="s">
        <v>68</v>
      </c>
      <c r="F105" s="44">
        <v>3.0</v>
      </c>
      <c r="G105" s="92" t="s">
        <v>24</v>
      </c>
      <c r="H105" s="44">
        <v>0.0</v>
      </c>
      <c r="I105" s="14" t="s">
        <v>112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26">
        <v>46098.0</v>
      </c>
      <c r="C106" s="39" t="s">
        <v>53</v>
      </c>
      <c r="D106" s="39" t="s">
        <v>89</v>
      </c>
      <c r="E106" s="14" t="s">
        <v>173</v>
      </c>
      <c r="F106" s="44">
        <v>0.0</v>
      </c>
      <c r="G106" s="92" t="s">
        <v>24</v>
      </c>
      <c r="H106" s="44">
        <v>3.0</v>
      </c>
      <c r="I106" s="44" t="s">
        <v>109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4"/>
      <c r="AG106" s="63"/>
      <c r="AH106" s="37"/>
      <c r="AJ106" s="4"/>
      <c r="AK106" s="4"/>
      <c r="AL106" s="4"/>
      <c r="AM106" s="4"/>
      <c r="AN106" s="4"/>
    </row>
    <row r="107" ht="15.75" customHeight="1">
      <c r="A107" s="25"/>
      <c r="B107" s="126">
        <v>46097.0</v>
      </c>
      <c r="C107" s="12" t="s">
        <v>53</v>
      </c>
      <c r="D107" s="39" t="s">
        <v>89</v>
      </c>
      <c r="E107" s="44" t="s">
        <v>59</v>
      </c>
      <c r="F107" s="44">
        <v>8.0</v>
      </c>
      <c r="G107" s="92" t="s">
        <v>24</v>
      </c>
      <c r="H107" s="44">
        <v>5.0</v>
      </c>
      <c r="I107" s="44" t="s">
        <v>67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G107" s="63"/>
      <c r="AJ107" s="4"/>
      <c r="AK107" s="4"/>
      <c r="AL107" s="4"/>
      <c r="AM107" s="4"/>
      <c r="AN107" s="4"/>
    </row>
    <row r="108" ht="15.75" customHeight="1">
      <c r="A108" s="25"/>
      <c r="B108" s="126">
        <v>46098.0</v>
      </c>
      <c r="C108" s="12" t="s">
        <v>52</v>
      </c>
      <c r="D108" s="39" t="s">
        <v>89</v>
      </c>
      <c r="E108" s="44" t="s">
        <v>63</v>
      </c>
      <c r="F108" s="44">
        <v>2.0</v>
      </c>
      <c r="G108" s="92" t="s">
        <v>24</v>
      </c>
      <c r="H108" s="44">
        <v>8.0</v>
      </c>
      <c r="I108" s="44" t="s">
        <v>32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G108" s="63"/>
      <c r="AJ108" s="4"/>
      <c r="AK108" s="4"/>
      <c r="AL108" s="4"/>
      <c r="AM108" s="4"/>
      <c r="AN108" s="4"/>
    </row>
    <row r="109" ht="15.75" customHeight="1">
      <c r="A109" s="25"/>
      <c r="B109" s="125"/>
      <c r="C109" s="92"/>
      <c r="D109" s="92"/>
      <c r="E109" s="44">
        <v>0.0</v>
      </c>
      <c r="F109" s="67"/>
      <c r="G109" s="92" t="s">
        <v>24</v>
      </c>
      <c r="H109" s="67"/>
      <c r="I109" s="44" t="s">
        <v>43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G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">
        <v>46128.0</v>
      </c>
      <c r="C110" s="12" t="s">
        <v>51</v>
      </c>
      <c r="D110" s="39" t="s">
        <v>89</v>
      </c>
      <c r="E110" s="44" t="s">
        <v>112</v>
      </c>
      <c r="F110" s="44">
        <v>1.0</v>
      </c>
      <c r="G110" s="92" t="s">
        <v>24</v>
      </c>
      <c r="H110" s="44">
        <v>7.0</v>
      </c>
      <c r="I110" s="44" t="s">
        <v>43</v>
      </c>
      <c r="J110" s="4"/>
      <c r="K110" s="4">
        <f t="shared" si="11"/>
        <v>0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3"/>
      <c r="X110" s="63"/>
      <c r="Y110" s="63"/>
      <c r="Z110" s="63"/>
      <c r="AA110" s="63"/>
      <c r="AB110" s="63"/>
      <c r="AC110" s="63"/>
      <c r="AD110" s="63"/>
      <c r="AG110" s="4"/>
      <c r="AJ110" s="4"/>
      <c r="AK110" s="4"/>
      <c r="AL110" s="4"/>
      <c r="AM110" s="4"/>
      <c r="AN110" s="4"/>
    </row>
    <row r="111" ht="15.75" customHeight="1">
      <c r="A111" s="25"/>
      <c r="B111" s="11">
        <v>46128.0</v>
      </c>
      <c r="C111" s="12" t="s">
        <v>55</v>
      </c>
      <c r="D111" s="39" t="s">
        <v>89</v>
      </c>
      <c r="E111" s="44" t="s">
        <v>109</v>
      </c>
      <c r="F111" s="44">
        <v>3.0</v>
      </c>
      <c r="G111" s="92" t="s">
        <v>24</v>
      </c>
      <c r="H111" s="44">
        <v>0.0</v>
      </c>
      <c r="I111" s="44" t="s">
        <v>68</v>
      </c>
      <c r="J111" s="4"/>
      <c r="K111" s="4">
        <f t="shared" si="11"/>
        <v>3</v>
      </c>
      <c r="L111" s="18">
        <f t="shared" si="12"/>
        <v>0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3"/>
      <c r="X111" s="63"/>
      <c r="Y111" s="63"/>
      <c r="Z111" s="63"/>
      <c r="AA111" s="63"/>
      <c r="AB111" s="63"/>
      <c r="AC111" s="63"/>
      <c r="AD111" s="63"/>
      <c r="AE111" s="63"/>
      <c r="AF111" s="63"/>
      <c r="AG111" s="4"/>
      <c r="AJ111" s="4"/>
      <c r="AK111" s="4"/>
      <c r="AL111" s="4"/>
      <c r="AM111" s="4"/>
      <c r="AN111" s="4"/>
    </row>
    <row r="112" ht="15.75" customHeight="1">
      <c r="A112" s="25"/>
      <c r="B112" s="11">
        <v>46128.0</v>
      </c>
      <c r="C112" s="12" t="s">
        <v>52</v>
      </c>
      <c r="D112" s="39" t="s">
        <v>89</v>
      </c>
      <c r="E112" s="44" t="s">
        <v>67</v>
      </c>
      <c r="F112" s="44">
        <v>10.0</v>
      </c>
      <c r="G112" s="92" t="s">
        <v>24</v>
      </c>
      <c r="H112" s="44">
        <v>2.0</v>
      </c>
      <c r="I112" s="44" t="s">
        <v>173</v>
      </c>
      <c r="J112" s="4"/>
      <c r="K112" s="4">
        <f t="shared" si="11"/>
        <v>3</v>
      </c>
      <c r="L112" s="18">
        <f t="shared" si="12"/>
        <v>0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3"/>
      <c r="X112" s="63"/>
      <c r="Y112" s="63"/>
      <c r="Z112" s="63"/>
      <c r="AA112" s="63"/>
      <c r="AB112" s="63"/>
      <c r="AC112" s="63"/>
      <c r="AD112" s="63"/>
      <c r="AE112" s="4"/>
      <c r="AF112" s="4"/>
      <c r="AG112" s="4"/>
      <c r="AJ112" s="4"/>
      <c r="AK112" s="4"/>
      <c r="AL112" s="4"/>
      <c r="AM112" s="4"/>
      <c r="AN112" s="4"/>
    </row>
    <row r="113" ht="15.75" customHeight="1">
      <c r="A113" s="25"/>
      <c r="B113" s="11">
        <v>46128.0</v>
      </c>
      <c r="C113" s="12" t="s">
        <v>53</v>
      </c>
      <c r="D113" s="39" t="s">
        <v>89</v>
      </c>
      <c r="E113" s="44" t="s">
        <v>32</v>
      </c>
      <c r="F113" s="44">
        <v>3.0</v>
      </c>
      <c r="G113" s="92" t="s">
        <v>24</v>
      </c>
      <c r="H113" s="44">
        <v>4.0</v>
      </c>
      <c r="I113" s="44" t="s">
        <v>59</v>
      </c>
      <c r="J113" s="4"/>
      <c r="K113" s="4">
        <f t="shared" si="11"/>
        <v>0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3"/>
      <c r="X113" s="63"/>
      <c r="Y113" s="63"/>
      <c r="Z113" s="63"/>
      <c r="AA113" s="63"/>
      <c r="AB113" s="63"/>
      <c r="AC113" s="63"/>
      <c r="AD113" s="63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25"/>
      <c r="C114" s="92"/>
      <c r="D114" s="92"/>
      <c r="E114" s="44" t="s">
        <v>63</v>
      </c>
      <c r="F114" s="67"/>
      <c r="G114" s="92" t="s">
        <v>24</v>
      </c>
      <c r="H114" s="67"/>
      <c r="I114" s="44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3"/>
      <c r="X114" s="63"/>
      <c r="Y114" s="63"/>
      <c r="Z114" s="63"/>
      <c r="AA114" s="63"/>
      <c r="AB114" s="63"/>
      <c r="AC114" s="63"/>
      <c r="AD114" s="63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25"/>
      <c r="C115" s="92"/>
      <c r="D115" s="92"/>
      <c r="E115" s="44">
        <v>0.0</v>
      </c>
      <c r="F115" s="67"/>
      <c r="G115" s="92" t="s">
        <v>24</v>
      </c>
      <c r="H115" s="67"/>
      <c r="I115" s="44" t="s">
        <v>112</v>
      </c>
      <c r="J115" s="63"/>
      <c r="K115" s="4" t="str">
        <f t="shared" si="11"/>
        <v/>
      </c>
      <c r="L115" s="18" t="str">
        <f t="shared" si="12"/>
        <v/>
      </c>
      <c r="M115" s="63"/>
      <c r="N115" s="63"/>
      <c r="O115" s="63"/>
      <c r="P115" s="63"/>
      <c r="Q115" s="63"/>
      <c r="R115" s="4"/>
      <c r="S115" s="4"/>
      <c r="T115" s="4"/>
      <c r="U115" s="4"/>
      <c r="V115" s="4"/>
      <c r="W115" s="63"/>
      <c r="X115" s="63"/>
      <c r="Y115" s="63"/>
      <c r="Z115" s="63"/>
      <c r="AA115" s="63"/>
      <c r="AB115" s="63"/>
      <c r="AC115" s="63"/>
      <c r="AD115" s="63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1">
        <v>46147.0</v>
      </c>
      <c r="C116" s="39" t="s">
        <v>55</v>
      </c>
      <c r="D116" s="39" t="s">
        <v>89</v>
      </c>
      <c r="E116" s="44" t="s">
        <v>43</v>
      </c>
      <c r="F116" s="44">
        <v>3.0</v>
      </c>
      <c r="G116" s="92" t="s">
        <v>24</v>
      </c>
      <c r="H116" s="44">
        <v>1.0</v>
      </c>
      <c r="I116" s="44" t="s">
        <v>109</v>
      </c>
      <c r="J116" s="63"/>
      <c r="K116" s="4">
        <f t="shared" si="11"/>
        <v>3</v>
      </c>
      <c r="L116" s="18">
        <f t="shared" si="12"/>
        <v>0</v>
      </c>
      <c r="M116" s="63"/>
      <c r="N116" s="63"/>
      <c r="O116" s="63"/>
      <c r="P116" s="63"/>
      <c r="Q116" s="63"/>
      <c r="R116" s="4"/>
      <c r="S116" s="4"/>
      <c r="T116" s="4"/>
      <c r="U116" s="4"/>
      <c r="V116" s="4"/>
      <c r="W116" s="63"/>
      <c r="X116" s="63"/>
      <c r="Y116" s="63"/>
      <c r="Z116" s="63"/>
      <c r="AA116" s="63"/>
      <c r="AB116" s="63"/>
      <c r="AC116" s="63"/>
      <c r="AD116" s="63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1">
        <v>46149.0</v>
      </c>
      <c r="C117" s="12" t="s">
        <v>154</v>
      </c>
      <c r="D117" s="39" t="s">
        <v>89</v>
      </c>
      <c r="E117" s="14" t="s">
        <v>68</v>
      </c>
      <c r="F117" s="44">
        <v>0.0</v>
      </c>
      <c r="G117" s="92" t="s">
        <v>24</v>
      </c>
      <c r="H117" s="44">
        <v>3.0</v>
      </c>
      <c r="I117" s="44" t="s">
        <v>67</v>
      </c>
      <c r="J117" s="63"/>
      <c r="K117" s="4">
        <f t="shared" si="11"/>
        <v>0</v>
      </c>
      <c r="L117" s="18">
        <f t="shared" si="12"/>
        <v>3</v>
      </c>
      <c r="M117" s="63"/>
      <c r="N117" s="63"/>
      <c r="O117" s="63"/>
      <c r="P117" s="63"/>
      <c r="Q117" s="63"/>
      <c r="R117" s="4"/>
      <c r="S117" s="4"/>
      <c r="T117" s="4"/>
      <c r="U117" s="4"/>
      <c r="V117" s="4"/>
      <c r="W117" s="63"/>
      <c r="X117" s="63"/>
      <c r="Y117" s="63"/>
      <c r="Z117" s="63"/>
      <c r="AA117" s="63"/>
      <c r="AB117" s="63"/>
      <c r="AC117" s="63"/>
      <c r="AD117" s="63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1">
        <v>46147.0</v>
      </c>
      <c r="C118" s="12" t="s">
        <v>52</v>
      </c>
      <c r="D118" s="39" t="s">
        <v>89</v>
      </c>
      <c r="E118" s="44" t="s">
        <v>173</v>
      </c>
      <c r="F118" s="44">
        <v>3.0</v>
      </c>
      <c r="G118" s="92" t="s">
        <v>24</v>
      </c>
      <c r="H118" s="44">
        <v>2.0</v>
      </c>
      <c r="I118" s="17" t="s">
        <v>32</v>
      </c>
      <c r="J118" s="63"/>
      <c r="K118" s="4">
        <f t="shared" si="11"/>
        <v>3</v>
      </c>
      <c r="L118" s="18">
        <f t="shared" si="12"/>
        <v>0</v>
      </c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  <c r="AN118" s="37"/>
    </row>
    <row r="119" ht="15.75" customHeight="1">
      <c r="A119" s="29"/>
      <c r="B119" s="11">
        <v>46147.0</v>
      </c>
      <c r="C119" s="12" t="s">
        <v>53</v>
      </c>
      <c r="D119" s="39" t="s">
        <v>89</v>
      </c>
      <c r="E119" s="44" t="s">
        <v>59</v>
      </c>
      <c r="F119" s="44">
        <v>3.0</v>
      </c>
      <c r="G119" s="92" t="s">
        <v>24</v>
      </c>
      <c r="H119" s="44">
        <v>5.0</v>
      </c>
      <c r="I119" s="44" t="s">
        <v>63</v>
      </c>
      <c r="J119" s="63"/>
      <c r="K119" s="4">
        <f t="shared" si="11"/>
        <v>0</v>
      </c>
      <c r="L119" s="18">
        <f t="shared" si="12"/>
        <v>3</v>
      </c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  <c r="AN119" s="37"/>
    </row>
    <row r="120" ht="15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  <c r="AM120" s="63"/>
      <c r="AN120" s="4"/>
    </row>
    <row r="121" ht="15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  <c r="AN121" s="4"/>
    </row>
    <row r="122" ht="15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  <c r="AM122" s="63"/>
      <c r="AN122" s="4"/>
    </row>
    <row r="123" ht="15.75" customHeight="1">
      <c r="A123" s="63"/>
      <c r="B123" s="63"/>
      <c r="C123" s="63"/>
      <c r="D123" s="63"/>
      <c r="E123" s="37"/>
      <c r="F123" s="63"/>
      <c r="G123" s="63"/>
      <c r="H123" s="63"/>
      <c r="I123" s="37"/>
      <c r="J123" s="63"/>
      <c r="K123" s="63"/>
      <c r="L123" s="63"/>
      <c r="M123" s="63"/>
      <c r="N123" s="63"/>
      <c r="O123" s="63"/>
      <c r="P123" s="63"/>
      <c r="Q123" s="63"/>
      <c r="R123" s="4"/>
      <c r="S123" s="4"/>
      <c r="T123" s="4"/>
      <c r="U123" s="4"/>
      <c r="V123" s="4"/>
      <c r="W123" s="63"/>
      <c r="X123" s="63"/>
      <c r="Y123" s="63"/>
      <c r="Z123" s="63"/>
      <c r="AA123" s="63"/>
      <c r="AB123" s="63"/>
      <c r="AC123" s="63"/>
      <c r="AD123" s="63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19" t="s">
        <v>177</v>
      </c>
      <c r="H124" s="63"/>
      <c r="I124" s="37"/>
      <c r="J124" s="63"/>
      <c r="K124" s="63"/>
      <c r="L124" s="63"/>
      <c r="M124" s="63"/>
      <c r="N124" s="63"/>
      <c r="O124" s="63"/>
      <c r="P124" s="63"/>
      <c r="Q124" s="63"/>
      <c r="R124" s="4"/>
      <c r="S124" s="4"/>
      <c r="T124" s="4"/>
      <c r="U124" s="4"/>
      <c r="V124" s="4"/>
      <c r="W124" s="63"/>
      <c r="X124" s="63"/>
      <c r="Y124" s="63"/>
      <c r="Z124" s="63"/>
      <c r="AA124" s="63"/>
      <c r="AB124" s="63"/>
      <c r="AC124" s="63"/>
      <c r="AD124" s="63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63"/>
      <c r="X125" s="63"/>
      <c r="Y125" s="63"/>
      <c r="Z125" s="63"/>
      <c r="AA125" s="63"/>
      <c r="AB125" s="63"/>
      <c r="AC125" s="63"/>
      <c r="AD125" s="63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126">
        <v>45945.0</v>
      </c>
      <c r="C126" s="12" t="s">
        <v>55</v>
      </c>
      <c r="D126" s="12" t="s">
        <v>89</v>
      </c>
      <c r="E126" s="44" t="s">
        <v>65</v>
      </c>
      <c r="F126" s="44">
        <v>5.0</v>
      </c>
      <c r="G126" s="92" t="s">
        <v>24</v>
      </c>
      <c r="H126" s="44">
        <v>0.0</v>
      </c>
      <c r="I126" s="44" t="s">
        <v>178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106" t="s">
        <v>178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66</v>
      </c>
      <c r="V126" s="18">
        <f t="shared" ref="V126:V134" si="28">T126-U126</f>
        <v>-49</v>
      </c>
      <c r="W126" s="63"/>
      <c r="X126" s="63"/>
      <c r="Y126" s="63"/>
      <c r="Z126" s="63"/>
      <c r="AA126" s="63"/>
      <c r="AB126" s="63"/>
      <c r="AC126" s="63"/>
      <c r="AD126" s="63"/>
      <c r="AE126" s="45" t="s">
        <v>29</v>
      </c>
      <c r="AF126" s="23" t="str">
        <f t="array" ref="AF126:AN134">SORT(O126:W135,2,FALSE,9,FALSE,8,FALSE())</f>
        <v>EGI B</v>
      </c>
      <c r="AG126" s="23">
        <v>24.0</v>
      </c>
      <c r="AH126" s="23">
        <v>8.0</v>
      </c>
      <c r="AI126" s="23">
        <v>0.0</v>
      </c>
      <c r="AJ126" s="23">
        <v>0.0</v>
      </c>
      <c r="AK126" s="23">
        <v>46.0</v>
      </c>
      <c r="AL126" s="23">
        <v>18.0</v>
      </c>
      <c r="AM126" s="23">
        <v>28.0</v>
      </c>
      <c r="AN126" s="18"/>
    </row>
    <row r="127" ht="15.75" customHeight="1">
      <c r="A127" s="25"/>
      <c r="B127" s="126">
        <v>45952.0</v>
      </c>
      <c r="C127" s="12" t="s">
        <v>160</v>
      </c>
      <c r="D127" s="12" t="s">
        <v>89</v>
      </c>
      <c r="E127" s="44" t="s">
        <v>113</v>
      </c>
      <c r="F127" s="44">
        <v>3.0</v>
      </c>
      <c r="G127" s="92" t="s">
        <v>24</v>
      </c>
      <c r="H127" s="44">
        <v>6.0</v>
      </c>
      <c r="I127" s="44" t="s">
        <v>127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106" t="s">
        <v>65</v>
      </c>
      <c r="P127" s="18">
        <f t="shared" si="22"/>
        <v>15</v>
      </c>
      <c r="Q127" s="18">
        <f t="shared" si="23"/>
        <v>5</v>
      </c>
      <c r="R127" s="20">
        <f t="shared" si="24"/>
        <v>0</v>
      </c>
      <c r="S127" s="20">
        <f t="shared" si="25"/>
        <v>3</v>
      </c>
      <c r="T127" s="18">
        <f t="shared" si="26"/>
        <v>39</v>
      </c>
      <c r="U127" s="20">
        <f t="shared" si="27"/>
        <v>20</v>
      </c>
      <c r="V127" s="18">
        <f t="shared" si="28"/>
        <v>19</v>
      </c>
      <c r="W127" s="63"/>
      <c r="X127" s="63"/>
      <c r="Y127" s="63"/>
      <c r="Z127" s="63"/>
      <c r="AA127" s="63"/>
      <c r="AB127" s="63"/>
      <c r="AC127" s="63"/>
      <c r="AD127" s="63"/>
      <c r="AE127" s="124" t="s">
        <v>111</v>
      </c>
      <c r="AF127" s="23" t="s">
        <v>60</v>
      </c>
      <c r="AG127" s="23">
        <v>18.0</v>
      </c>
      <c r="AH127" s="23">
        <v>6.0</v>
      </c>
      <c r="AI127" s="23">
        <v>0.0</v>
      </c>
      <c r="AJ127" s="23">
        <v>2.0</v>
      </c>
      <c r="AK127" s="23">
        <v>55.0</v>
      </c>
      <c r="AL127" s="23">
        <v>16.0</v>
      </c>
      <c r="AM127" s="23">
        <v>39.0</v>
      </c>
      <c r="AN127" s="18"/>
    </row>
    <row r="128" ht="15.75" customHeight="1">
      <c r="A128" s="25"/>
      <c r="B128" s="126">
        <v>45945.0</v>
      </c>
      <c r="C128" s="39" t="s">
        <v>52</v>
      </c>
      <c r="D128" s="12" t="s">
        <v>89</v>
      </c>
      <c r="E128" s="44" t="s">
        <v>143</v>
      </c>
      <c r="F128" s="44">
        <v>1.0</v>
      </c>
      <c r="G128" s="92" t="s">
        <v>24</v>
      </c>
      <c r="H128" s="44">
        <v>2.0</v>
      </c>
      <c r="I128" s="44" t="s">
        <v>61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106" t="s">
        <v>113</v>
      </c>
      <c r="P128" s="18">
        <f t="shared" si="22"/>
        <v>12</v>
      </c>
      <c r="Q128" s="18">
        <f t="shared" si="23"/>
        <v>4</v>
      </c>
      <c r="R128" s="20">
        <f t="shared" si="24"/>
        <v>0</v>
      </c>
      <c r="S128" s="20">
        <f t="shared" si="25"/>
        <v>4</v>
      </c>
      <c r="T128" s="18">
        <f t="shared" si="26"/>
        <v>24</v>
      </c>
      <c r="U128" s="20">
        <f t="shared" si="27"/>
        <v>21</v>
      </c>
      <c r="V128" s="18">
        <f t="shared" si="28"/>
        <v>3</v>
      </c>
      <c r="W128" s="63"/>
      <c r="X128" s="63"/>
      <c r="Y128" s="63"/>
      <c r="Z128" s="63"/>
      <c r="AA128" s="63"/>
      <c r="AB128" s="63"/>
      <c r="AC128" s="63"/>
      <c r="AD128" s="63"/>
      <c r="AE128" s="22">
        <v>3.0</v>
      </c>
      <c r="AF128" s="23" t="s">
        <v>127</v>
      </c>
      <c r="AG128" s="23">
        <v>18.0</v>
      </c>
      <c r="AH128" s="23">
        <v>6.0</v>
      </c>
      <c r="AI128" s="23">
        <v>0.0</v>
      </c>
      <c r="AJ128" s="23">
        <v>2.0</v>
      </c>
      <c r="AK128" s="23">
        <v>42.0</v>
      </c>
      <c r="AL128" s="23">
        <v>18.0</v>
      </c>
      <c r="AM128" s="23">
        <v>24.0</v>
      </c>
      <c r="AN128" s="18"/>
    </row>
    <row r="129" ht="15.75" customHeight="1">
      <c r="A129" s="25"/>
      <c r="B129" s="126">
        <v>45945.0</v>
      </c>
      <c r="C129" s="12" t="s">
        <v>53</v>
      </c>
      <c r="D129" s="12" t="s">
        <v>89</v>
      </c>
      <c r="E129" s="44" t="s">
        <v>60</v>
      </c>
      <c r="F129" s="44">
        <v>3.0</v>
      </c>
      <c r="G129" s="92" t="s">
        <v>24</v>
      </c>
      <c r="H129" s="44">
        <v>5.0</v>
      </c>
      <c r="I129" s="44" t="s">
        <v>179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106" t="s">
        <v>143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7</v>
      </c>
      <c r="T129" s="18">
        <f t="shared" si="26"/>
        <v>8</v>
      </c>
      <c r="U129" s="20">
        <f t="shared" si="27"/>
        <v>55</v>
      </c>
      <c r="V129" s="18">
        <f t="shared" si="28"/>
        <v>-47</v>
      </c>
      <c r="W129" s="63"/>
      <c r="X129" s="63"/>
      <c r="Y129" s="63"/>
      <c r="Z129" s="63"/>
      <c r="AA129" s="63"/>
      <c r="AB129" s="63"/>
      <c r="AC129" s="63"/>
      <c r="AD129" s="63"/>
      <c r="AE129" s="22">
        <v>4.0</v>
      </c>
      <c r="AF129" s="23" t="s">
        <v>65</v>
      </c>
      <c r="AG129" s="23">
        <v>15.0</v>
      </c>
      <c r="AH129" s="23">
        <v>5.0</v>
      </c>
      <c r="AI129" s="23">
        <v>0.0</v>
      </c>
      <c r="AJ129" s="23">
        <v>3.0</v>
      </c>
      <c r="AK129" s="23">
        <v>39.0</v>
      </c>
      <c r="AL129" s="23">
        <v>20.0</v>
      </c>
      <c r="AM129" s="23">
        <v>19.0</v>
      </c>
      <c r="AN129" s="18"/>
    </row>
    <row r="130" ht="15.75" customHeight="1">
      <c r="A130" s="25"/>
      <c r="B130" s="125"/>
      <c r="C130" s="92"/>
      <c r="D130" s="67"/>
      <c r="E130" s="44" t="s">
        <v>180</v>
      </c>
      <c r="F130" s="67"/>
      <c r="G130" s="92" t="s">
        <v>24</v>
      </c>
      <c r="H130" s="67"/>
      <c r="I130" s="44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106" t="s">
        <v>60</v>
      </c>
      <c r="P130" s="18">
        <f t="shared" si="22"/>
        <v>18</v>
      </c>
      <c r="Q130" s="18">
        <f t="shared" si="23"/>
        <v>6</v>
      </c>
      <c r="R130" s="20">
        <f t="shared" si="24"/>
        <v>0</v>
      </c>
      <c r="S130" s="20">
        <f t="shared" si="25"/>
        <v>2</v>
      </c>
      <c r="T130" s="18">
        <f t="shared" si="26"/>
        <v>55</v>
      </c>
      <c r="U130" s="20">
        <f t="shared" si="27"/>
        <v>16</v>
      </c>
      <c r="V130" s="18">
        <f t="shared" si="28"/>
        <v>39</v>
      </c>
      <c r="W130" s="63"/>
      <c r="X130" s="63"/>
      <c r="Y130" s="63"/>
      <c r="Z130" s="63"/>
      <c r="AA130" s="63"/>
      <c r="AB130" s="63"/>
      <c r="AC130" s="63"/>
      <c r="AD130" s="63"/>
      <c r="AE130" s="22">
        <v>5.0</v>
      </c>
      <c r="AF130" s="23" t="s">
        <v>113</v>
      </c>
      <c r="AG130" s="23">
        <v>12.0</v>
      </c>
      <c r="AH130" s="23">
        <v>4.0</v>
      </c>
      <c r="AI130" s="23">
        <v>0.0</v>
      </c>
      <c r="AJ130" s="23">
        <v>4.0</v>
      </c>
      <c r="AK130" s="23">
        <v>24.0</v>
      </c>
      <c r="AL130" s="23">
        <v>21.0</v>
      </c>
      <c r="AM130" s="23">
        <v>3.0</v>
      </c>
      <c r="AN130" s="18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4" t="s">
        <v>178</v>
      </c>
      <c r="F131" s="44">
        <v>0.0</v>
      </c>
      <c r="G131" s="92" t="s">
        <v>24</v>
      </c>
      <c r="H131" s="44">
        <v>3.0</v>
      </c>
      <c r="I131" s="44" t="s">
        <v>113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106" t="s">
        <v>180</v>
      </c>
      <c r="P131" s="18">
        <f t="shared" si="22"/>
        <v>12</v>
      </c>
      <c r="Q131" s="18">
        <f t="shared" si="23"/>
        <v>4</v>
      </c>
      <c r="R131" s="20">
        <f t="shared" si="24"/>
        <v>0</v>
      </c>
      <c r="S131" s="20">
        <f t="shared" si="25"/>
        <v>4</v>
      </c>
      <c r="T131" s="18">
        <f t="shared" si="26"/>
        <v>37</v>
      </c>
      <c r="U131" s="20">
        <f t="shared" si="27"/>
        <v>36</v>
      </c>
      <c r="V131" s="18">
        <f t="shared" si="28"/>
        <v>1</v>
      </c>
      <c r="W131" s="63"/>
      <c r="X131" s="63"/>
      <c r="Y131" s="63"/>
      <c r="Z131" s="63"/>
      <c r="AA131" s="63"/>
      <c r="AB131" s="63"/>
      <c r="AC131" s="63"/>
      <c r="AD131" s="63"/>
      <c r="AE131" s="22">
        <v>6.0</v>
      </c>
      <c r="AF131" s="23" t="s">
        <v>180</v>
      </c>
      <c r="AG131" s="23">
        <v>12.0</v>
      </c>
      <c r="AH131" s="23">
        <v>4.0</v>
      </c>
      <c r="AI131" s="23">
        <v>0.0</v>
      </c>
      <c r="AJ131" s="23">
        <v>4.0</v>
      </c>
      <c r="AK131" s="23">
        <v>37.0</v>
      </c>
      <c r="AL131" s="23">
        <v>36.0</v>
      </c>
      <c r="AM131" s="23">
        <v>1.0</v>
      </c>
      <c r="AN131" s="18"/>
    </row>
    <row r="132" ht="15.75" customHeight="1">
      <c r="A132" s="25"/>
      <c r="B132" s="128"/>
      <c r="C132" s="98"/>
      <c r="D132" s="98"/>
      <c r="E132" s="44">
        <v>0.0</v>
      </c>
      <c r="F132" s="67"/>
      <c r="G132" s="92" t="s">
        <v>24</v>
      </c>
      <c r="H132" s="67"/>
      <c r="I132" s="44" t="s">
        <v>65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106" t="s">
        <v>179</v>
      </c>
      <c r="P132" s="18">
        <f t="shared" si="22"/>
        <v>24</v>
      </c>
      <c r="Q132" s="18">
        <f t="shared" si="23"/>
        <v>8</v>
      </c>
      <c r="R132" s="20">
        <f t="shared" si="24"/>
        <v>0</v>
      </c>
      <c r="S132" s="20">
        <f t="shared" si="25"/>
        <v>0</v>
      </c>
      <c r="T132" s="18">
        <f t="shared" si="26"/>
        <v>46</v>
      </c>
      <c r="U132" s="20">
        <f t="shared" si="27"/>
        <v>18</v>
      </c>
      <c r="V132" s="18">
        <f t="shared" si="28"/>
        <v>28</v>
      </c>
      <c r="W132" s="63"/>
      <c r="X132" s="63"/>
      <c r="Y132" s="63"/>
      <c r="Z132" s="63"/>
      <c r="AA132" s="63"/>
      <c r="AB132" s="63"/>
      <c r="AC132" s="63"/>
      <c r="AD132" s="63"/>
      <c r="AE132" s="22">
        <v>7.0</v>
      </c>
      <c r="AF132" s="23" t="s">
        <v>178</v>
      </c>
      <c r="AG132" s="23">
        <v>4.0</v>
      </c>
      <c r="AH132" s="23">
        <v>1.0</v>
      </c>
      <c r="AI132" s="23">
        <v>1.0</v>
      </c>
      <c r="AJ132" s="23">
        <v>6.0</v>
      </c>
      <c r="AK132" s="23">
        <v>17.0</v>
      </c>
      <c r="AL132" s="23">
        <v>66.0</v>
      </c>
      <c r="AM132" s="23">
        <v>-49.0</v>
      </c>
      <c r="AN132" s="18"/>
    </row>
    <row r="133" ht="15.75" customHeight="1">
      <c r="A133" s="25"/>
      <c r="B133" s="11">
        <v>45953.0</v>
      </c>
      <c r="C133" s="39" t="s">
        <v>21</v>
      </c>
      <c r="D133" s="12" t="s">
        <v>22</v>
      </c>
      <c r="E133" s="44" t="s">
        <v>127</v>
      </c>
      <c r="F133" s="44">
        <v>6.0</v>
      </c>
      <c r="G133" s="92" t="s">
        <v>24</v>
      </c>
      <c r="H133" s="44">
        <v>1.0</v>
      </c>
      <c r="I133" s="44" t="s">
        <v>143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106" t="s">
        <v>61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7</v>
      </c>
      <c r="T133" s="18">
        <f t="shared" si="26"/>
        <v>20</v>
      </c>
      <c r="U133" s="20">
        <f t="shared" si="27"/>
        <v>38</v>
      </c>
      <c r="V133" s="18">
        <f t="shared" si="28"/>
        <v>-18</v>
      </c>
      <c r="W133" s="63"/>
      <c r="X133" s="63"/>
      <c r="Y133" s="63"/>
      <c r="Z133" s="63"/>
      <c r="AA133" s="63"/>
      <c r="AB133" s="63"/>
      <c r="AC133" s="63"/>
      <c r="AD133" s="63"/>
      <c r="AE133" s="22">
        <v>8.0</v>
      </c>
      <c r="AF133" s="23" t="s">
        <v>61</v>
      </c>
      <c r="AG133" s="23">
        <v>3.0</v>
      </c>
      <c r="AH133" s="23">
        <v>1.0</v>
      </c>
      <c r="AI133" s="23">
        <v>0.0</v>
      </c>
      <c r="AJ133" s="23">
        <v>7.0</v>
      </c>
      <c r="AK133" s="23">
        <v>20.0</v>
      </c>
      <c r="AL133" s="23">
        <v>38.0</v>
      </c>
      <c r="AM133" s="23">
        <v>-18.0</v>
      </c>
      <c r="AN133" s="18"/>
    </row>
    <row r="134" ht="15.75" customHeight="1">
      <c r="A134" s="25"/>
      <c r="B134" s="11">
        <v>45958.0</v>
      </c>
      <c r="C134" s="12" t="s">
        <v>55</v>
      </c>
      <c r="D134" s="12" t="s">
        <v>89</v>
      </c>
      <c r="E134" s="44" t="s">
        <v>61</v>
      </c>
      <c r="F134" s="44">
        <v>2.0</v>
      </c>
      <c r="G134" s="92" t="s">
        <v>24</v>
      </c>
      <c r="H134" s="44">
        <v>3.0</v>
      </c>
      <c r="I134" s="44" t="s">
        <v>60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106" t="s">
        <v>127</v>
      </c>
      <c r="P134" s="18">
        <f t="shared" si="22"/>
        <v>18</v>
      </c>
      <c r="Q134" s="18">
        <f t="shared" si="23"/>
        <v>6</v>
      </c>
      <c r="R134" s="20">
        <f t="shared" si="24"/>
        <v>0</v>
      </c>
      <c r="S134" s="20">
        <f t="shared" si="25"/>
        <v>2</v>
      </c>
      <c r="T134" s="18">
        <f t="shared" si="26"/>
        <v>42</v>
      </c>
      <c r="U134" s="20">
        <f t="shared" si="27"/>
        <v>18</v>
      </c>
      <c r="V134" s="18">
        <f t="shared" si="28"/>
        <v>24</v>
      </c>
      <c r="W134" s="63"/>
      <c r="X134" s="63"/>
      <c r="Y134" s="63"/>
      <c r="Z134" s="63"/>
      <c r="AA134" s="63"/>
      <c r="AB134" s="63"/>
      <c r="AC134" s="63"/>
      <c r="AD134" s="63"/>
      <c r="AE134" s="22">
        <v>9.0</v>
      </c>
      <c r="AF134" s="23" t="s">
        <v>143</v>
      </c>
      <c r="AG134" s="23">
        <v>1.0</v>
      </c>
      <c r="AH134" s="23">
        <v>0.0</v>
      </c>
      <c r="AI134" s="23">
        <v>1.0</v>
      </c>
      <c r="AJ134" s="23">
        <v>7.0</v>
      </c>
      <c r="AK134" s="23">
        <v>8.0</v>
      </c>
      <c r="AL134" s="23">
        <v>55.0</v>
      </c>
      <c r="AM134" s="23">
        <v>-47.0</v>
      </c>
      <c r="AN134" s="18"/>
    </row>
    <row r="135" ht="15.75" customHeight="1">
      <c r="A135" s="25"/>
      <c r="B135" s="11">
        <v>45958.0</v>
      </c>
      <c r="C135" s="39" t="s">
        <v>52</v>
      </c>
      <c r="D135" s="12" t="s">
        <v>89</v>
      </c>
      <c r="E135" s="44" t="s">
        <v>179</v>
      </c>
      <c r="F135" s="44">
        <v>5.0</v>
      </c>
      <c r="G135" s="92" t="s">
        <v>24</v>
      </c>
      <c r="H135" s="44">
        <v>2.0</v>
      </c>
      <c r="I135" s="44" t="s">
        <v>180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3"/>
      <c r="X135" s="63"/>
      <c r="Y135" s="63"/>
      <c r="Z135" s="63"/>
      <c r="AA135" s="63"/>
      <c r="AB135" s="63"/>
      <c r="AC135" s="63"/>
      <c r="AD135" s="63"/>
      <c r="AE135" s="35" t="s">
        <v>181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4" t="s">
        <v>143</v>
      </c>
      <c r="F136" s="44">
        <v>2.0</v>
      </c>
      <c r="G136" s="92" t="s">
        <v>24</v>
      </c>
      <c r="H136" s="44">
        <v>2.0</v>
      </c>
      <c r="I136" s="44" t="s">
        <v>178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3"/>
      <c r="X136" s="63"/>
      <c r="Y136" s="63"/>
      <c r="Z136" s="63"/>
      <c r="AA136" s="63"/>
      <c r="AB136" s="63"/>
      <c r="AC136" s="63"/>
      <c r="AD136" s="63"/>
      <c r="AE136" s="79" t="s">
        <v>175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21</v>
      </c>
      <c r="D137" s="12" t="s">
        <v>22</v>
      </c>
      <c r="E137" s="44" t="s">
        <v>113</v>
      </c>
      <c r="F137" s="44">
        <v>3.0</v>
      </c>
      <c r="G137" s="92" t="s">
        <v>24</v>
      </c>
      <c r="H137" s="44">
        <v>4.0</v>
      </c>
      <c r="I137" s="44" t="s">
        <v>65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3"/>
      <c r="X137" s="63"/>
      <c r="Y137" s="63"/>
      <c r="Z137" s="63"/>
      <c r="AA137" s="63"/>
      <c r="AB137" s="63"/>
      <c r="AC137" s="63"/>
      <c r="AD137" s="63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49</v>
      </c>
      <c r="D138" s="12" t="s">
        <v>22</v>
      </c>
      <c r="E138" s="44" t="s">
        <v>60</v>
      </c>
      <c r="F138" s="44">
        <v>3.0</v>
      </c>
      <c r="G138" s="92" t="s">
        <v>24</v>
      </c>
      <c r="H138" s="44">
        <v>4.0</v>
      </c>
      <c r="I138" s="44" t="s">
        <v>127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3"/>
      <c r="X138" s="63"/>
      <c r="Y138" s="63"/>
      <c r="Z138" s="63"/>
      <c r="AA138" s="63"/>
      <c r="AB138" s="63"/>
      <c r="AC138" s="63"/>
      <c r="AD138" s="63"/>
      <c r="AE138" s="81" t="s">
        <v>103</v>
      </c>
      <c r="AF138" s="82"/>
      <c r="AG138" s="82"/>
      <c r="AH138" s="82"/>
      <c r="AI138" s="82"/>
      <c r="AJ138" s="82"/>
      <c r="AK138" s="82"/>
      <c r="AL138" s="82"/>
      <c r="AM138" s="83"/>
      <c r="AN138" s="4"/>
    </row>
    <row r="139" ht="15.75" customHeight="1">
      <c r="A139" s="25"/>
      <c r="B139" s="11">
        <v>45972.0</v>
      </c>
      <c r="C139" s="39" t="s">
        <v>21</v>
      </c>
      <c r="D139" s="12" t="s">
        <v>22</v>
      </c>
      <c r="E139" s="44" t="s">
        <v>180</v>
      </c>
      <c r="F139" s="44">
        <v>6.0</v>
      </c>
      <c r="G139" s="92" t="s">
        <v>24</v>
      </c>
      <c r="H139" s="44">
        <v>5.0</v>
      </c>
      <c r="I139" s="44" t="s">
        <v>61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3"/>
      <c r="X139" s="63"/>
      <c r="Y139" s="63"/>
      <c r="Z139" s="63"/>
      <c r="AA139" s="63"/>
      <c r="AB139" s="63"/>
      <c r="AC139" s="63"/>
      <c r="AD139" s="63"/>
      <c r="AE139" s="84"/>
      <c r="AF139" s="85"/>
      <c r="AG139" s="85"/>
      <c r="AH139" s="85"/>
      <c r="AI139" s="85"/>
      <c r="AJ139" s="85"/>
      <c r="AK139" s="85"/>
      <c r="AL139" s="85"/>
      <c r="AM139" s="86"/>
      <c r="AN139" s="4"/>
    </row>
    <row r="140" ht="15.75" customHeight="1">
      <c r="A140" s="25"/>
      <c r="B140" s="125"/>
      <c r="C140" s="92"/>
      <c r="D140" s="92"/>
      <c r="E140" s="44">
        <v>0.0</v>
      </c>
      <c r="F140" s="67"/>
      <c r="G140" s="92" t="s">
        <v>24</v>
      </c>
      <c r="H140" s="67"/>
      <c r="I140" s="44" t="s">
        <v>179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3"/>
      <c r="X140" s="63"/>
      <c r="Y140" s="63"/>
      <c r="Z140" s="63"/>
      <c r="AA140" s="63"/>
      <c r="AB140" s="63"/>
      <c r="AC140" s="63"/>
      <c r="AD140" s="63"/>
      <c r="AE140" s="5" t="s">
        <v>11</v>
      </c>
      <c r="AF140" s="5" t="s">
        <v>12</v>
      </c>
      <c r="AG140" s="5" t="s">
        <v>13</v>
      </c>
      <c r="AH140" s="5" t="s">
        <v>14</v>
      </c>
      <c r="AI140" s="5" t="s">
        <v>15</v>
      </c>
      <c r="AJ140" s="5" t="s">
        <v>16</v>
      </c>
      <c r="AK140" s="5" t="s">
        <v>17</v>
      </c>
      <c r="AL140" s="5" t="s">
        <v>18</v>
      </c>
      <c r="AM140" s="5" t="s">
        <v>19</v>
      </c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4" t="s">
        <v>178</v>
      </c>
      <c r="F141" s="12">
        <v>0.0</v>
      </c>
      <c r="G141" s="92" t="s">
        <v>24</v>
      </c>
      <c r="H141" s="44">
        <v>22.0</v>
      </c>
      <c r="I141" s="44" t="s">
        <v>60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3"/>
      <c r="R141" s="4"/>
      <c r="S141" s="4"/>
      <c r="T141" s="4"/>
      <c r="U141" s="4"/>
      <c r="V141" s="4"/>
      <c r="W141" s="63"/>
      <c r="X141" s="63"/>
      <c r="Y141" s="63"/>
      <c r="Z141" s="63"/>
      <c r="AA141" s="63"/>
      <c r="AB141" s="63"/>
      <c r="AC141" s="63"/>
      <c r="AD141" s="63"/>
      <c r="AE141" s="129"/>
      <c r="AF141" s="23" t="s">
        <v>179</v>
      </c>
      <c r="AG141" s="23">
        <v>24.0</v>
      </c>
      <c r="AH141" s="23">
        <v>8.0</v>
      </c>
      <c r="AI141" s="23">
        <v>0.0</v>
      </c>
      <c r="AJ141" s="23">
        <v>0.0</v>
      </c>
      <c r="AK141" s="23">
        <v>46.0</v>
      </c>
      <c r="AL141" s="23">
        <v>18.0</v>
      </c>
      <c r="AM141" s="23">
        <v>28.0</v>
      </c>
      <c r="AN141" s="37"/>
    </row>
    <row r="142" ht="15.75" customHeight="1">
      <c r="A142" s="25"/>
      <c r="B142" s="11">
        <v>46364.0</v>
      </c>
      <c r="C142" s="39" t="s">
        <v>21</v>
      </c>
      <c r="D142" s="12" t="s">
        <v>22</v>
      </c>
      <c r="E142" s="44" t="s">
        <v>65</v>
      </c>
      <c r="F142" s="12">
        <v>15.0</v>
      </c>
      <c r="G142" s="92" t="s">
        <v>24</v>
      </c>
      <c r="H142" s="44">
        <v>1.0</v>
      </c>
      <c r="I142" s="44" t="s">
        <v>143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3"/>
      <c r="X142" s="63"/>
      <c r="Y142" s="63"/>
      <c r="Z142" s="63"/>
      <c r="AA142" s="63"/>
      <c r="AB142" s="63"/>
      <c r="AC142" s="63"/>
      <c r="AD142" s="63"/>
      <c r="AE142" s="45" t="s">
        <v>29</v>
      </c>
      <c r="AF142" s="23" t="s">
        <v>127</v>
      </c>
      <c r="AG142" s="23">
        <v>18.0</v>
      </c>
      <c r="AH142" s="23">
        <v>6.0</v>
      </c>
      <c r="AI142" s="23">
        <v>0.0</v>
      </c>
      <c r="AJ142" s="23">
        <v>2.0</v>
      </c>
      <c r="AK142" s="23">
        <v>42.0</v>
      </c>
      <c r="AL142" s="23">
        <v>18.0</v>
      </c>
      <c r="AM142" s="23">
        <v>24.0</v>
      </c>
      <c r="AN142" s="4"/>
    </row>
    <row r="143" ht="15.75" customHeight="1">
      <c r="A143" s="25"/>
      <c r="B143" s="128"/>
      <c r="C143" s="98"/>
      <c r="D143" s="98"/>
      <c r="E143" s="44" t="s">
        <v>113</v>
      </c>
      <c r="F143" s="98"/>
      <c r="G143" s="92" t="s">
        <v>24</v>
      </c>
      <c r="H143" s="67"/>
      <c r="I143" s="44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3"/>
      <c r="X143" s="63"/>
      <c r="Y143" s="63"/>
      <c r="Z143" s="63"/>
      <c r="AA143" s="63"/>
      <c r="AB143" s="63"/>
      <c r="AC143" s="63"/>
      <c r="AD143" s="63"/>
      <c r="AE143" s="124" t="s">
        <v>111</v>
      </c>
      <c r="AF143" s="23" t="s">
        <v>60</v>
      </c>
      <c r="AG143" s="23">
        <v>18.0</v>
      </c>
      <c r="AH143" s="23">
        <v>6.0</v>
      </c>
      <c r="AI143" s="23">
        <v>0.0</v>
      </c>
      <c r="AJ143" s="23">
        <v>2.0</v>
      </c>
      <c r="AK143" s="23">
        <v>55.0</v>
      </c>
      <c r="AL143" s="23">
        <v>16.0</v>
      </c>
      <c r="AM143" s="23">
        <v>39.0</v>
      </c>
      <c r="AN143" s="4"/>
    </row>
    <row r="144" ht="15.75" customHeight="1">
      <c r="A144" s="25"/>
      <c r="B144" s="11">
        <v>46364.0</v>
      </c>
      <c r="C144" s="12" t="s">
        <v>30</v>
      </c>
      <c r="D144" s="12" t="s">
        <v>22</v>
      </c>
      <c r="E144" s="44" t="s">
        <v>127</v>
      </c>
      <c r="F144" s="12">
        <v>6.0</v>
      </c>
      <c r="G144" s="92" t="s">
        <v>24</v>
      </c>
      <c r="H144" s="44">
        <v>3.0</v>
      </c>
      <c r="I144" s="44" t="s">
        <v>180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3"/>
      <c r="X144" s="63"/>
      <c r="Y144" s="63"/>
      <c r="Z144" s="63"/>
      <c r="AA144" s="63"/>
      <c r="AB144" s="63"/>
      <c r="AC144" s="63"/>
      <c r="AD144" s="63"/>
      <c r="AE144" s="52">
        <v>3.0</v>
      </c>
      <c r="AF144" s="23" t="s">
        <v>65</v>
      </c>
      <c r="AG144" s="23">
        <v>15.0</v>
      </c>
      <c r="AH144" s="23">
        <v>5.0</v>
      </c>
      <c r="AI144" s="23">
        <v>0.0</v>
      </c>
      <c r="AJ144" s="23">
        <v>3.0</v>
      </c>
      <c r="AK144" s="23">
        <v>39.0</v>
      </c>
      <c r="AL144" s="23">
        <v>20.0</v>
      </c>
      <c r="AM144" s="23">
        <v>19.0</v>
      </c>
      <c r="AN144" s="4"/>
    </row>
    <row r="145" ht="15.75" customHeight="1">
      <c r="A145" s="25"/>
      <c r="B145" s="11">
        <v>46364.0</v>
      </c>
      <c r="C145" s="12" t="s">
        <v>35</v>
      </c>
      <c r="D145" s="12" t="s">
        <v>22</v>
      </c>
      <c r="E145" s="44" t="s">
        <v>61</v>
      </c>
      <c r="F145" s="12">
        <v>3.0</v>
      </c>
      <c r="G145" s="92" t="s">
        <v>24</v>
      </c>
      <c r="H145" s="44">
        <v>6.0</v>
      </c>
      <c r="I145" s="44" t="s">
        <v>179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3"/>
      <c r="X145" s="63"/>
      <c r="Y145" s="63"/>
      <c r="Z145" s="63"/>
      <c r="AA145" s="63"/>
      <c r="AB145" s="63"/>
      <c r="AC145" s="63"/>
      <c r="AD145" s="63"/>
      <c r="AE145" s="52">
        <v>4.0</v>
      </c>
      <c r="AF145" s="23" t="s">
        <v>113</v>
      </c>
      <c r="AG145" s="23">
        <v>12.0</v>
      </c>
      <c r="AH145" s="23">
        <v>4.0</v>
      </c>
      <c r="AI145" s="23">
        <v>0.0</v>
      </c>
      <c r="AJ145" s="23">
        <v>4.0</v>
      </c>
      <c r="AK145" s="23">
        <v>24.0</v>
      </c>
      <c r="AL145" s="23">
        <v>21.0</v>
      </c>
      <c r="AM145" s="23">
        <v>3.0</v>
      </c>
      <c r="AN145" s="4"/>
    </row>
    <row r="146" ht="15.75" customHeight="1">
      <c r="A146" s="10">
        <v>5.0</v>
      </c>
      <c r="B146" s="11">
        <v>46064.0</v>
      </c>
      <c r="C146" s="12" t="s">
        <v>55</v>
      </c>
      <c r="D146" s="12" t="s">
        <v>89</v>
      </c>
      <c r="E146" s="44" t="s">
        <v>180</v>
      </c>
      <c r="F146" s="44">
        <v>8.0</v>
      </c>
      <c r="G146" s="92" t="s">
        <v>24</v>
      </c>
      <c r="H146" s="44">
        <v>4.0</v>
      </c>
      <c r="I146" s="44" t="s">
        <v>178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3"/>
      <c r="X146" s="63"/>
      <c r="Y146" s="63"/>
      <c r="Z146" s="63"/>
      <c r="AA146" s="63"/>
      <c r="AB146" s="63"/>
      <c r="AC146" s="63"/>
      <c r="AD146" s="63"/>
      <c r="AE146" s="52">
        <v>5.0</v>
      </c>
      <c r="AF146" s="23" t="s">
        <v>180</v>
      </c>
      <c r="AG146" s="23">
        <v>12.0</v>
      </c>
      <c r="AH146" s="23">
        <v>4.0</v>
      </c>
      <c r="AI146" s="23">
        <v>0.0</v>
      </c>
      <c r="AJ146" s="23">
        <v>4.0</v>
      </c>
      <c r="AK146" s="23">
        <v>37.0</v>
      </c>
      <c r="AL146" s="23">
        <v>36.0</v>
      </c>
      <c r="AM146" s="23">
        <v>1.0</v>
      </c>
      <c r="AN146" s="4"/>
    </row>
    <row r="147" ht="15.75" customHeight="1">
      <c r="A147" s="25"/>
      <c r="B147" s="11">
        <v>46077.0</v>
      </c>
      <c r="C147" s="12" t="s">
        <v>55</v>
      </c>
      <c r="D147" s="12" t="s">
        <v>89</v>
      </c>
      <c r="E147" s="44" t="s">
        <v>60</v>
      </c>
      <c r="F147" s="44">
        <v>5.0</v>
      </c>
      <c r="G147" s="92" t="s">
        <v>24</v>
      </c>
      <c r="H147" s="44">
        <v>3.0</v>
      </c>
      <c r="I147" s="44" t="s">
        <v>65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3"/>
      <c r="S147" s="63"/>
      <c r="T147" s="63"/>
      <c r="U147" s="63"/>
      <c r="V147" s="63"/>
      <c r="W147" s="63"/>
      <c r="X147" s="63"/>
      <c r="Y147" s="63"/>
      <c r="Z147" s="63"/>
      <c r="AA147" s="63"/>
      <c r="AB147" s="63"/>
      <c r="AC147" s="63"/>
      <c r="AD147" s="63"/>
      <c r="AE147" s="52">
        <v>6.0</v>
      </c>
      <c r="AF147" s="23" t="s">
        <v>178</v>
      </c>
      <c r="AG147" s="23">
        <v>4.0</v>
      </c>
      <c r="AH147" s="23">
        <v>1.0</v>
      </c>
      <c r="AI147" s="23">
        <v>1.0</v>
      </c>
      <c r="AJ147" s="23">
        <v>6.0</v>
      </c>
      <c r="AK147" s="23">
        <v>17.0</v>
      </c>
      <c r="AL147" s="23">
        <v>66.0</v>
      </c>
      <c r="AM147" s="23">
        <v>-49.0</v>
      </c>
      <c r="AN147" s="4"/>
    </row>
    <row r="148" ht="15.75" customHeight="1">
      <c r="A148" s="25"/>
      <c r="B148" s="11">
        <v>46077.0</v>
      </c>
      <c r="C148" s="39" t="s">
        <v>52</v>
      </c>
      <c r="D148" s="12" t="s">
        <v>89</v>
      </c>
      <c r="E148" s="44" t="s">
        <v>143</v>
      </c>
      <c r="F148" s="44">
        <v>1.0</v>
      </c>
      <c r="G148" s="92" t="s">
        <v>24</v>
      </c>
      <c r="H148" s="44">
        <v>5.0</v>
      </c>
      <c r="I148" s="44" t="s">
        <v>113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3"/>
      <c r="S148" s="63"/>
      <c r="T148" s="63"/>
      <c r="U148" s="63"/>
      <c r="V148" s="63"/>
      <c r="W148" s="63"/>
      <c r="X148" s="63"/>
      <c r="Y148" s="63"/>
      <c r="Z148" s="63"/>
      <c r="AA148" s="63"/>
      <c r="AB148" s="63"/>
      <c r="AC148" s="63"/>
      <c r="AD148" s="63"/>
      <c r="AE148" s="52">
        <v>7.0</v>
      </c>
      <c r="AF148" s="23" t="s">
        <v>61</v>
      </c>
      <c r="AG148" s="23">
        <v>3.0</v>
      </c>
      <c r="AH148" s="23">
        <v>1.0</v>
      </c>
      <c r="AI148" s="23">
        <v>0.0</v>
      </c>
      <c r="AJ148" s="23">
        <v>7.0</v>
      </c>
      <c r="AK148" s="23">
        <v>20.0</v>
      </c>
      <c r="AL148" s="23">
        <v>38.0</v>
      </c>
      <c r="AM148" s="23">
        <v>-18.0</v>
      </c>
      <c r="AN148" s="4"/>
    </row>
    <row r="149" ht="15.75" customHeight="1">
      <c r="A149" s="25"/>
      <c r="B149" s="11">
        <v>46064.0</v>
      </c>
      <c r="C149" s="39" t="s">
        <v>52</v>
      </c>
      <c r="D149" s="12" t="s">
        <v>89</v>
      </c>
      <c r="E149" s="44" t="s">
        <v>179</v>
      </c>
      <c r="F149" s="44">
        <v>3.0</v>
      </c>
      <c r="G149" s="92" t="s">
        <v>24</v>
      </c>
      <c r="H149" s="44">
        <v>1.0</v>
      </c>
      <c r="I149" s="44" t="s">
        <v>127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3"/>
      <c r="S149" s="63"/>
      <c r="T149" s="63"/>
      <c r="U149" s="63"/>
      <c r="V149" s="63"/>
      <c r="W149" s="63"/>
      <c r="X149" s="63"/>
      <c r="Y149" s="63"/>
      <c r="Z149" s="63"/>
      <c r="AA149" s="63"/>
      <c r="AB149" s="63"/>
      <c r="AC149" s="63"/>
      <c r="AD149" s="63"/>
      <c r="AE149" s="52">
        <v>8.0</v>
      </c>
      <c r="AF149" s="23" t="s">
        <v>143</v>
      </c>
      <c r="AG149" s="23">
        <v>1.0</v>
      </c>
      <c r="AH149" s="23">
        <v>0.0</v>
      </c>
      <c r="AI149" s="23">
        <v>1.0</v>
      </c>
      <c r="AJ149" s="23">
        <v>7.0</v>
      </c>
      <c r="AK149" s="23">
        <v>8.0</v>
      </c>
      <c r="AL149" s="23">
        <v>55.0</v>
      </c>
      <c r="AM149" s="23">
        <v>-47.0</v>
      </c>
      <c r="AN149" s="4"/>
    </row>
    <row r="150" ht="15.75" customHeight="1">
      <c r="A150" s="25"/>
      <c r="B150" s="125"/>
      <c r="C150" s="92"/>
      <c r="D150" s="92"/>
      <c r="E150" s="44">
        <v>0.0</v>
      </c>
      <c r="F150" s="67"/>
      <c r="G150" s="92" t="s">
        <v>24</v>
      </c>
      <c r="H150" s="67"/>
      <c r="I150" s="44" t="s">
        <v>61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63"/>
      <c r="AE150" s="35" t="s">
        <v>182</v>
      </c>
      <c r="AH150" s="32"/>
      <c r="AI150" s="32"/>
      <c r="AJ150" s="32"/>
      <c r="AK150" s="32"/>
      <c r="AL150" s="32"/>
      <c r="AM150" s="32"/>
      <c r="AN150" s="4"/>
    </row>
    <row r="151" ht="15.75" customHeight="1">
      <c r="A151" s="10">
        <v>6.0</v>
      </c>
      <c r="B151" s="11">
        <v>46089.0</v>
      </c>
      <c r="C151" s="39" t="s">
        <v>51</v>
      </c>
      <c r="D151" s="12" t="s">
        <v>89</v>
      </c>
      <c r="E151" s="44" t="s">
        <v>178</v>
      </c>
      <c r="F151" s="44">
        <v>3.0</v>
      </c>
      <c r="G151" s="92" t="s">
        <v>24</v>
      </c>
      <c r="H151" s="44">
        <v>11.0</v>
      </c>
      <c r="I151" s="44" t="s">
        <v>179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63"/>
      <c r="AE151" s="79" t="s">
        <v>175</v>
      </c>
      <c r="AH151" s="18"/>
      <c r="AI151" s="18"/>
      <c r="AJ151" s="18"/>
      <c r="AK151" s="18"/>
      <c r="AL151" s="18"/>
      <c r="AM151" s="18"/>
      <c r="AN151" s="4"/>
    </row>
    <row r="152" ht="15.75" customHeight="1">
      <c r="A152" s="25"/>
      <c r="B152" s="11">
        <v>46089.0</v>
      </c>
      <c r="C152" s="12" t="s">
        <v>55</v>
      </c>
      <c r="D152" s="12" t="s">
        <v>89</v>
      </c>
      <c r="E152" s="44" t="s">
        <v>65</v>
      </c>
      <c r="F152" s="44">
        <v>4.0</v>
      </c>
      <c r="G152" s="92" t="s">
        <v>24</v>
      </c>
      <c r="H152" s="44">
        <v>6.0</v>
      </c>
      <c r="I152" s="44" t="s">
        <v>180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63"/>
      <c r="AE152" s="4"/>
      <c r="AG152" s="63"/>
      <c r="AH152" s="37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52</v>
      </c>
      <c r="D153" s="12" t="s">
        <v>89</v>
      </c>
      <c r="E153" s="44" t="s">
        <v>113</v>
      </c>
      <c r="F153" s="44">
        <v>0.0</v>
      </c>
      <c r="G153" s="92" t="s">
        <v>24</v>
      </c>
      <c r="H153" s="44">
        <v>2.0</v>
      </c>
      <c r="I153" s="44" t="s">
        <v>60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63"/>
      <c r="AG153" s="63"/>
      <c r="AJ153" s="4"/>
      <c r="AK153" s="4"/>
      <c r="AL153" s="4"/>
      <c r="AM153" s="4"/>
      <c r="AN153" s="4"/>
    </row>
    <row r="154" ht="15.75" customHeight="1">
      <c r="A154" s="25"/>
      <c r="B154" s="128"/>
      <c r="C154" s="94"/>
      <c r="D154" s="98"/>
      <c r="E154" s="44" t="s">
        <v>143</v>
      </c>
      <c r="F154" s="67"/>
      <c r="G154" s="92" t="s">
        <v>24</v>
      </c>
      <c r="H154" s="67"/>
      <c r="I154" s="44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63"/>
      <c r="AG154" s="63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53</v>
      </c>
      <c r="D155" s="12" t="s">
        <v>89</v>
      </c>
      <c r="E155" s="44" t="s">
        <v>127</v>
      </c>
      <c r="F155" s="44">
        <v>7.0</v>
      </c>
      <c r="G155" s="92" t="s">
        <v>24</v>
      </c>
      <c r="H155" s="44">
        <v>2.0</v>
      </c>
      <c r="I155" s="44" t="s">
        <v>61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63"/>
      <c r="AG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55</v>
      </c>
      <c r="D156" s="12" t="s">
        <v>89</v>
      </c>
      <c r="E156" s="44" t="s">
        <v>61</v>
      </c>
      <c r="F156" s="44">
        <v>4.0</v>
      </c>
      <c r="G156" s="92" t="s">
        <v>24</v>
      </c>
      <c r="H156" s="44">
        <v>8.0</v>
      </c>
      <c r="I156" s="44" t="s">
        <v>178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63"/>
      <c r="AG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55</v>
      </c>
      <c r="D157" s="12" t="s">
        <v>89</v>
      </c>
      <c r="E157" s="44" t="s">
        <v>179</v>
      </c>
      <c r="F157" s="44">
        <v>3.0</v>
      </c>
      <c r="G157" s="92" t="s">
        <v>24</v>
      </c>
      <c r="H157" s="44">
        <v>2.0</v>
      </c>
      <c r="I157" s="44" t="s">
        <v>65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63"/>
      <c r="AE157" s="63"/>
      <c r="AF157" s="63"/>
      <c r="AG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6" t="s">
        <v>53</v>
      </c>
      <c r="D158" s="12" t="s">
        <v>89</v>
      </c>
      <c r="E158" s="44" t="s">
        <v>180</v>
      </c>
      <c r="F158" s="44">
        <v>1.0</v>
      </c>
      <c r="G158" s="92" t="s">
        <v>24</v>
      </c>
      <c r="H158" s="44">
        <v>3.0</v>
      </c>
      <c r="I158" s="44" t="s">
        <v>113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63"/>
      <c r="AE158" s="4"/>
      <c r="AF158" s="4"/>
      <c r="AG158" s="4"/>
      <c r="AJ158" s="4"/>
      <c r="AK158" s="4"/>
      <c r="AL158" s="4"/>
      <c r="AM158" s="4"/>
      <c r="AN158" s="4"/>
    </row>
    <row r="159" ht="15.75" customHeight="1">
      <c r="A159" s="25"/>
      <c r="B159" s="11">
        <v>46149.0</v>
      </c>
      <c r="C159" s="39" t="s">
        <v>52</v>
      </c>
      <c r="D159" s="12" t="s">
        <v>89</v>
      </c>
      <c r="E159" s="44" t="s">
        <v>60</v>
      </c>
      <c r="F159" s="44">
        <v>9.0</v>
      </c>
      <c r="G159" s="92" t="s">
        <v>24</v>
      </c>
      <c r="H159" s="44">
        <v>0.0</v>
      </c>
      <c r="I159" s="44" t="s">
        <v>143</v>
      </c>
      <c r="J159" s="4"/>
      <c r="K159" s="4">
        <f t="shared" si="20"/>
        <v>3</v>
      </c>
      <c r="L159" s="18">
        <f t="shared" si="21"/>
        <v>0</v>
      </c>
      <c r="M159" s="4"/>
      <c r="N159" s="4"/>
      <c r="O159" s="4"/>
      <c r="P159" s="4"/>
      <c r="Q159" s="4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63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25"/>
      <c r="C160" s="92"/>
      <c r="D160" s="92"/>
      <c r="E160" s="44">
        <v>0.0</v>
      </c>
      <c r="F160" s="67"/>
      <c r="G160" s="92" t="s">
        <v>24</v>
      </c>
      <c r="H160" s="67"/>
      <c r="I160" s="44" t="s">
        <v>127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63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">
        <v>46126.0</v>
      </c>
      <c r="C161" s="12" t="s">
        <v>55</v>
      </c>
      <c r="D161" s="12" t="s">
        <v>89</v>
      </c>
      <c r="E161" s="44" t="s">
        <v>178</v>
      </c>
      <c r="F161" s="44">
        <v>0.0</v>
      </c>
      <c r="G161" s="92" t="s">
        <v>24</v>
      </c>
      <c r="H161" s="44">
        <v>11.0</v>
      </c>
      <c r="I161" s="44" t="s">
        <v>127</v>
      </c>
      <c r="J161" s="4"/>
      <c r="K161" s="4">
        <f t="shared" si="20"/>
        <v>0</v>
      </c>
      <c r="L161" s="18">
        <f t="shared" si="21"/>
        <v>3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3"/>
      <c r="X161" s="63"/>
      <c r="Y161" s="63"/>
      <c r="Z161" s="63"/>
      <c r="AA161" s="63"/>
      <c r="AB161" s="63"/>
      <c r="AC161" s="63"/>
      <c r="AD161" s="63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">
        <v>46126.0</v>
      </c>
      <c r="C162" s="39" t="s">
        <v>52</v>
      </c>
      <c r="D162" s="12" t="s">
        <v>89</v>
      </c>
      <c r="E162" s="44" t="s">
        <v>65</v>
      </c>
      <c r="F162" s="44">
        <v>3.0</v>
      </c>
      <c r="G162" s="92" t="s">
        <v>24</v>
      </c>
      <c r="H162" s="44">
        <v>1.0</v>
      </c>
      <c r="I162" s="44" t="s">
        <v>61</v>
      </c>
      <c r="J162" s="4"/>
      <c r="K162" s="4">
        <f t="shared" si="20"/>
        <v>3</v>
      </c>
      <c r="L162" s="18">
        <f t="shared" si="21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3"/>
      <c r="X162" s="63"/>
      <c r="Y162" s="63"/>
      <c r="Z162" s="63"/>
      <c r="AA162" s="63"/>
      <c r="AB162" s="63"/>
      <c r="AC162" s="63"/>
      <c r="AD162" s="63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">
        <v>46126.0</v>
      </c>
      <c r="C163" s="66" t="s">
        <v>53</v>
      </c>
      <c r="D163" s="12" t="s">
        <v>89</v>
      </c>
      <c r="E163" s="44" t="s">
        <v>113</v>
      </c>
      <c r="F163" s="44">
        <v>3.0</v>
      </c>
      <c r="G163" s="92" t="s">
        <v>24</v>
      </c>
      <c r="H163" s="44">
        <v>6.0</v>
      </c>
      <c r="I163" s="44" t="s">
        <v>179</v>
      </c>
      <c r="J163" s="4"/>
      <c r="K163" s="4">
        <f t="shared" si="20"/>
        <v>0</v>
      </c>
      <c r="L163" s="18">
        <f t="shared" si="21"/>
        <v>3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3"/>
      <c r="X163" s="63"/>
      <c r="Y163" s="63"/>
      <c r="Z163" s="63"/>
      <c r="AA163" s="63"/>
      <c r="AB163" s="63"/>
      <c r="AC163" s="63"/>
      <c r="AD163" s="63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">
        <v>46127.0</v>
      </c>
      <c r="C164" s="12" t="s">
        <v>183</v>
      </c>
      <c r="D164" s="12" t="s">
        <v>22</v>
      </c>
      <c r="E164" s="44" t="s">
        <v>143</v>
      </c>
      <c r="F164" s="44">
        <v>1.0</v>
      </c>
      <c r="G164" s="92" t="s">
        <v>24</v>
      </c>
      <c r="H164" s="44">
        <v>9.0</v>
      </c>
      <c r="I164" s="44" t="s">
        <v>180</v>
      </c>
      <c r="J164" s="4"/>
      <c r="K164" s="4">
        <f t="shared" si="20"/>
        <v>0</v>
      </c>
      <c r="L164" s="18">
        <f t="shared" si="21"/>
        <v>3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3"/>
      <c r="X164" s="63"/>
      <c r="Y164" s="63"/>
      <c r="Z164" s="63"/>
      <c r="AA164" s="63"/>
      <c r="AB164" s="63"/>
      <c r="AC164" s="63"/>
      <c r="AD164" s="63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1"/>
      <c r="C165" s="92"/>
      <c r="D165" s="12"/>
      <c r="E165" s="44" t="s">
        <v>60</v>
      </c>
      <c r="F165" s="67"/>
      <c r="G165" s="92" t="s">
        <v>24</v>
      </c>
      <c r="H165" s="67"/>
      <c r="I165" s="44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3"/>
      <c r="X165" s="63"/>
      <c r="Y165" s="63"/>
      <c r="Z165" s="63"/>
      <c r="AA165" s="63"/>
      <c r="AB165" s="63"/>
      <c r="AC165" s="63"/>
      <c r="AD165" s="63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25"/>
      <c r="C166" s="92"/>
      <c r="D166" s="92"/>
      <c r="E166" s="44">
        <v>0.0</v>
      </c>
      <c r="F166" s="67"/>
      <c r="G166" s="92" t="s">
        <v>24</v>
      </c>
      <c r="H166" s="67"/>
      <c r="I166" s="44" t="s">
        <v>178</v>
      </c>
      <c r="J166" s="63"/>
      <c r="K166" s="4" t="str">
        <f t="shared" si="20"/>
        <v/>
      </c>
      <c r="L166" s="18" t="str">
        <f t="shared" si="21"/>
        <v/>
      </c>
      <c r="M166" s="63"/>
      <c r="N166" s="63"/>
      <c r="O166" s="63"/>
      <c r="P166" s="63"/>
      <c r="Q166" s="63"/>
      <c r="R166" s="4"/>
      <c r="S166" s="4"/>
      <c r="T166" s="4"/>
      <c r="U166" s="4"/>
      <c r="V166" s="4"/>
      <c r="W166" s="63"/>
      <c r="X166" s="63"/>
      <c r="Y166" s="63"/>
      <c r="Z166" s="63"/>
      <c r="AA166" s="63"/>
      <c r="AB166" s="63"/>
      <c r="AC166" s="63"/>
      <c r="AD166" s="63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">
        <v>46132.0</v>
      </c>
      <c r="C167" s="12" t="s">
        <v>55</v>
      </c>
      <c r="D167" s="12" t="s">
        <v>89</v>
      </c>
      <c r="E167" s="44" t="s">
        <v>127</v>
      </c>
      <c r="F167" s="44">
        <v>1.0</v>
      </c>
      <c r="G167" s="92" t="s">
        <v>24</v>
      </c>
      <c r="H167" s="44">
        <v>3.0</v>
      </c>
      <c r="I167" s="44" t="s">
        <v>65</v>
      </c>
      <c r="J167" s="63"/>
      <c r="K167" s="4">
        <f t="shared" si="20"/>
        <v>0</v>
      </c>
      <c r="L167" s="18">
        <f t="shared" si="21"/>
        <v>3</v>
      </c>
      <c r="M167" s="63"/>
      <c r="N167" s="63"/>
      <c r="O167" s="63"/>
      <c r="P167" s="63"/>
      <c r="Q167" s="63"/>
      <c r="R167" s="4"/>
      <c r="S167" s="4"/>
      <c r="T167" s="4"/>
      <c r="U167" s="4"/>
      <c r="V167" s="4"/>
      <c r="W167" s="63"/>
      <c r="X167" s="63"/>
      <c r="Y167" s="63"/>
      <c r="Z167" s="63"/>
      <c r="AA167" s="63"/>
      <c r="AB167" s="63"/>
      <c r="AC167" s="63"/>
      <c r="AD167" s="63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1">
        <v>46153.0</v>
      </c>
      <c r="C168" s="12" t="s">
        <v>55</v>
      </c>
      <c r="D168" s="12" t="s">
        <v>22</v>
      </c>
      <c r="E168" s="44" t="s">
        <v>61</v>
      </c>
      <c r="F168" s="44">
        <v>1.0</v>
      </c>
      <c r="G168" s="92" t="s">
        <v>24</v>
      </c>
      <c r="H168" s="44">
        <v>4.0</v>
      </c>
      <c r="I168" s="44" t="s">
        <v>113</v>
      </c>
      <c r="J168" s="63"/>
      <c r="K168" s="4">
        <f t="shared" si="20"/>
        <v>0</v>
      </c>
      <c r="L168" s="18">
        <f t="shared" si="21"/>
        <v>3</v>
      </c>
      <c r="M168" s="63"/>
      <c r="N168" s="63"/>
      <c r="O168" s="63"/>
      <c r="P168" s="63"/>
      <c r="Q168" s="63"/>
      <c r="R168" s="4"/>
      <c r="S168" s="4"/>
      <c r="T168" s="4"/>
      <c r="U168" s="4"/>
      <c r="V168" s="4"/>
      <c r="W168" s="63"/>
      <c r="X168" s="63"/>
      <c r="Y168" s="63"/>
      <c r="Z168" s="63"/>
      <c r="AA168" s="63"/>
      <c r="AB168" s="63"/>
      <c r="AC168" s="63"/>
      <c r="AD168" s="63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1">
        <v>46153.0</v>
      </c>
      <c r="C169" s="12" t="s">
        <v>52</v>
      </c>
      <c r="D169" s="12" t="s">
        <v>22</v>
      </c>
      <c r="E169" s="44" t="s">
        <v>179</v>
      </c>
      <c r="F169" s="44">
        <v>7.0</v>
      </c>
      <c r="G169" s="92" t="s">
        <v>24</v>
      </c>
      <c r="H169" s="44">
        <v>1.0</v>
      </c>
      <c r="I169" s="17" t="s">
        <v>143</v>
      </c>
      <c r="J169" s="63"/>
      <c r="K169" s="4">
        <f t="shared" si="20"/>
        <v>3</v>
      </c>
      <c r="L169" s="18">
        <f t="shared" si="21"/>
        <v>0</v>
      </c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63"/>
      <c r="AE169" s="63"/>
      <c r="AF169" s="63"/>
      <c r="AG169" s="63"/>
      <c r="AH169" s="63"/>
      <c r="AI169" s="63"/>
      <c r="AJ169" s="63"/>
      <c r="AK169" s="63"/>
      <c r="AL169" s="63"/>
      <c r="AM169" s="63"/>
      <c r="AN169" s="37"/>
    </row>
    <row r="170" ht="15.75" customHeight="1">
      <c r="A170" s="29"/>
      <c r="B170" s="11">
        <v>46153.0</v>
      </c>
      <c r="C170" s="12" t="s">
        <v>53</v>
      </c>
      <c r="D170" s="12" t="s">
        <v>22</v>
      </c>
      <c r="E170" s="44" t="s">
        <v>180</v>
      </c>
      <c r="F170" s="44">
        <v>2.0</v>
      </c>
      <c r="G170" s="92" t="s">
        <v>24</v>
      </c>
      <c r="H170" s="44">
        <v>8.0</v>
      </c>
      <c r="I170" s="44" t="s">
        <v>60</v>
      </c>
      <c r="J170" s="63"/>
      <c r="K170" s="4">
        <f t="shared" si="20"/>
        <v>0</v>
      </c>
      <c r="L170" s="18">
        <f t="shared" si="21"/>
        <v>3</v>
      </c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63"/>
      <c r="AE170" s="63"/>
      <c r="AF170" s="63"/>
      <c r="AG170" s="63"/>
      <c r="AH170" s="63"/>
      <c r="AI170" s="63"/>
      <c r="AJ170" s="63"/>
      <c r="AK170" s="63"/>
      <c r="AL170" s="63"/>
      <c r="AM170" s="63"/>
      <c r="AN170" s="37"/>
    </row>
    <row r="171" ht="15.75" customHeight="1">
      <c r="A171" s="63"/>
      <c r="B171" s="63"/>
      <c r="C171" s="63"/>
      <c r="D171" s="63"/>
      <c r="E171" s="37"/>
      <c r="F171" s="63"/>
      <c r="G171" s="63"/>
      <c r="H171" s="63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63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3"/>
      <c r="B172" s="63"/>
      <c r="C172" s="63"/>
      <c r="D172" s="63"/>
      <c r="E172" s="37"/>
      <c r="F172" s="63"/>
      <c r="G172" s="63"/>
      <c r="H172" s="63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63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3"/>
      <c r="B173" s="63"/>
      <c r="C173" s="63"/>
      <c r="D173" s="63"/>
      <c r="E173" s="37"/>
      <c r="F173" s="63"/>
      <c r="G173" s="63"/>
      <c r="H173" s="63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63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3"/>
      <c r="B174" s="63"/>
      <c r="C174" s="63"/>
      <c r="D174" s="63"/>
      <c r="E174" s="37"/>
      <c r="F174" s="63"/>
      <c r="G174" s="63"/>
      <c r="H174" s="63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63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30" t="s">
        <v>184</v>
      </c>
      <c r="H175" s="63"/>
      <c r="I175" s="37"/>
      <c r="J175" s="63"/>
      <c r="K175" s="63"/>
      <c r="L175" s="63"/>
      <c r="M175" s="63"/>
      <c r="N175" s="63"/>
      <c r="O175" s="63"/>
      <c r="P175" s="63"/>
      <c r="Q175" s="63"/>
      <c r="R175" s="4"/>
      <c r="S175" s="4"/>
      <c r="T175" s="4"/>
      <c r="U175" s="4"/>
      <c r="V175" s="4"/>
      <c r="W175" s="63"/>
      <c r="X175" s="63"/>
      <c r="Y175" s="63"/>
      <c r="Z175" s="63"/>
      <c r="AA175" s="63"/>
      <c r="AB175" s="63"/>
      <c r="AC175" s="63"/>
      <c r="AD175" s="63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63"/>
      <c r="X176" s="63"/>
      <c r="Y176" s="63"/>
      <c r="Z176" s="63"/>
      <c r="AA176" s="63"/>
      <c r="AB176" s="63"/>
      <c r="AC176" s="63"/>
      <c r="AD176" s="63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55</v>
      </c>
      <c r="D177" s="12" t="s">
        <v>89</v>
      </c>
      <c r="E177" s="44" t="s">
        <v>31</v>
      </c>
      <c r="F177" s="44">
        <v>2.0</v>
      </c>
      <c r="G177" s="92" t="s">
        <v>24</v>
      </c>
      <c r="H177" s="44">
        <v>4.0</v>
      </c>
      <c r="I177" s="44" t="s">
        <v>39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106" t="s">
        <v>39</v>
      </c>
      <c r="P177" s="18">
        <f t="shared" ref="P177:P186" si="31">SUMIF(E$177:E$221,O177,K$177:K$221)+SUMIF(I$177:I$221,O177,L$177:L$221)</f>
        <v>21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3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56</v>
      </c>
      <c r="U177" s="20">
        <f t="shared" ref="U177:U186" si="36">SUMIF(E$177:E$221,O177,H$177:H$221)+SUMIF(I$177:I$221,O177,F$177:F$221)</f>
        <v>16</v>
      </c>
      <c r="V177" s="18">
        <f t="shared" ref="V177:V186" si="37">T177-U177</f>
        <v>40</v>
      </c>
      <c r="W177" s="63"/>
      <c r="X177" s="63"/>
      <c r="Y177" s="63"/>
      <c r="Z177" s="63"/>
      <c r="AA177" s="63"/>
      <c r="AB177" s="63"/>
      <c r="AC177" s="63"/>
      <c r="AD177" s="63"/>
      <c r="AE177" s="45" t="s">
        <v>29</v>
      </c>
      <c r="AF177" s="23" t="str">
        <f t="array" ref="AF177:AN186">SORT(O177:W186,2,FALSE,9,FALSE,8,FALSE())</f>
        <v>ECT</v>
      </c>
      <c r="AG177" s="23">
        <v>21.0</v>
      </c>
      <c r="AH177" s="23">
        <v>6.0</v>
      </c>
      <c r="AI177" s="23">
        <v>3.0</v>
      </c>
      <c r="AJ177" s="23">
        <v>0.0</v>
      </c>
      <c r="AK177" s="23">
        <v>56.0</v>
      </c>
      <c r="AL177" s="23">
        <v>16.0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52</v>
      </c>
      <c r="D178" s="12" t="s">
        <v>89</v>
      </c>
      <c r="E178" s="44" t="s">
        <v>58</v>
      </c>
      <c r="F178" s="44">
        <v>2.0</v>
      </c>
      <c r="G178" s="92" t="s">
        <v>24</v>
      </c>
      <c r="H178" s="44">
        <v>2.0</v>
      </c>
      <c r="I178" s="44" t="s">
        <v>42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106" t="s">
        <v>31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4</v>
      </c>
      <c r="T178" s="18">
        <f t="shared" si="35"/>
        <v>25</v>
      </c>
      <c r="U178" s="20">
        <f t="shared" si="36"/>
        <v>30</v>
      </c>
      <c r="V178" s="18">
        <f t="shared" si="37"/>
        <v>-5</v>
      </c>
      <c r="W178" s="63"/>
      <c r="X178" s="63"/>
      <c r="Y178" s="63"/>
      <c r="Z178" s="63"/>
      <c r="AA178" s="63"/>
      <c r="AB178" s="63"/>
      <c r="AC178" s="63"/>
      <c r="AD178" s="63"/>
      <c r="AE178" s="124" t="s">
        <v>111</v>
      </c>
      <c r="AF178" s="23" t="s">
        <v>42</v>
      </c>
      <c r="AG178" s="23">
        <v>20.0</v>
      </c>
      <c r="AH178" s="23">
        <v>6.0</v>
      </c>
      <c r="AI178" s="23">
        <v>2.0</v>
      </c>
      <c r="AJ178" s="23">
        <v>1.0</v>
      </c>
      <c r="AK178" s="23">
        <v>49.0</v>
      </c>
      <c r="AL178" s="23">
        <v>24.0</v>
      </c>
      <c r="AM178" s="23">
        <v>25.0</v>
      </c>
      <c r="AN178" s="18"/>
    </row>
    <row r="179" ht="15.75" customHeight="1">
      <c r="A179" s="25"/>
      <c r="B179" s="11">
        <v>45944.0</v>
      </c>
      <c r="C179" s="12" t="s">
        <v>53</v>
      </c>
      <c r="D179" s="12" t="s">
        <v>89</v>
      </c>
      <c r="E179" s="44" t="s">
        <v>125</v>
      </c>
      <c r="F179" s="44">
        <v>1.0</v>
      </c>
      <c r="G179" s="92" t="s">
        <v>24</v>
      </c>
      <c r="H179" s="44">
        <v>1.0</v>
      </c>
      <c r="I179" s="44" t="s">
        <v>153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106" t="s">
        <v>58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5</v>
      </c>
      <c r="T179" s="18">
        <f t="shared" si="35"/>
        <v>27</v>
      </c>
      <c r="U179" s="20">
        <f t="shared" si="36"/>
        <v>34</v>
      </c>
      <c r="V179" s="18">
        <f t="shared" si="37"/>
        <v>-7</v>
      </c>
      <c r="W179" s="63"/>
      <c r="X179" s="63"/>
      <c r="Y179" s="63"/>
      <c r="Z179" s="63"/>
      <c r="AA179" s="63"/>
      <c r="AB179" s="63"/>
      <c r="AC179" s="63"/>
      <c r="AD179" s="63"/>
      <c r="AE179" s="22">
        <v>3.0</v>
      </c>
      <c r="AF179" s="23" t="s">
        <v>185</v>
      </c>
      <c r="AG179" s="23">
        <v>16.0</v>
      </c>
      <c r="AH179" s="23">
        <v>5.0</v>
      </c>
      <c r="AI179" s="23">
        <v>1.0</v>
      </c>
      <c r="AJ179" s="23">
        <v>3.0</v>
      </c>
      <c r="AK179" s="23">
        <v>38.0</v>
      </c>
      <c r="AL179" s="23">
        <v>21.0</v>
      </c>
      <c r="AM179" s="23">
        <v>17.0</v>
      </c>
      <c r="AN179" s="18"/>
    </row>
    <row r="180" ht="15.75" customHeight="1">
      <c r="A180" s="25"/>
      <c r="B180" s="11">
        <v>45952.0</v>
      </c>
      <c r="C180" s="12" t="s">
        <v>169</v>
      </c>
      <c r="D180" s="12" t="s">
        <v>89</v>
      </c>
      <c r="E180" s="44" t="s">
        <v>37</v>
      </c>
      <c r="F180" s="44">
        <v>0.0</v>
      </c>
      <c r="G180" s="92" t="s">
        <v>24</v>
      </c>
      <c r="H180" s="44">
        <v>3.0</v>
      </c>
      <c r="I180" s="44" t="s">
        <v>185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106" t="s">
        <v>125</v>
      </c>
      <c r="P180" s="18">
        <f t="shared" si="31"/>
        <v>14</v>
      </c>
      <c r="Q180" s="18">
        <f t="shared" si="32"/>
        <v>4</v>
      </c>
      <c r="R180" s="20">
        <f t="shared" si="33"/>
        <v>2</v>
      </c>
      <c r="S180" s="20">
        <f t="shared" si="34"/>
        <v>3</v>
      </c>
      <c r="T180" s="18">
        <f t="shared" si="35"/>
        <v>21</v>
      </c>
      <c r="U180" s="20">
        <f t="shared" si="36"/>
        <v>19</v>
      </c>
      <c r="V180" s="18">
        <f t="shared" si="37"/>
        <v>2</v>
      </c>
      <c r="W180" s="63"/>
      <c r="X180" s="63"/>
      <c r="Y180" s="63"/>
      <c r="Z180" s="63"/>
      <c r="AA180" s="63"/>
      <c r="AB180" s="63"/>
      <c r="AC180" s="63"/>
      <c r="AD180" s="63"/>
      <c r="AE180" s="22">
        <v>4.0</v>
      </c>
      <c r="AF180" s="23" t="s">
        <v>90</v>
      </c>
      <c r="AG180" s="23">
        <v>16.0</v>
      </c>
      <c r="AH180" s="23">
        <v>5.0</v>
      </c>
      <c r="AI180" s="23">
        <v>1.0</v>
      </c>
      <c r="AJ180" s="23">
        <v>3.0</v>
      </c>
      <c r="AK180" s="23">
        <v>37.0</v>
      </c>
      <c r="AL180" s="23">
        <v>21.0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51</v>
      </c>
      <c r="D181" s="12" t="s">
        <v>89</v>
      </c>
      <c r="E181" s="44" t="s">
        <v>64</v>
      </c>
      <c r="F181" s="44">
        <v>2.0</v>
      </c>
      <c r="G181" s="92" t="s">
        <v>24</v>
      </c>
      <c r="H181" s="44">
        <v>1.0</v>
      </c>
      <c r="I181" s="44" t="s">
        <v>90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106" t="s">
        <v>37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9</v>
      </c>
      <c r="T181" s="18">
        <f t="shared" si="35"/>
        <v>15</v>
      </c>
      <c r="U181" s="20">
        <f t="shared" si="36"/>
        <v>83</v>
      </c>
      <c r="V181" s="18">
        <f t="shared" si="37"/>
        <v>-68</v>
      </c>
      <c r="W181" s="63"/>
      <c r="X181" s="63"/>
      <c r="Y181" s="63"/>
      <c r="Z181" s="63"/>
      <c r="AA181" s="63"/>
      <c r="AB181" s="63"/>
      <c r="AC181" s="63"/>
      <c r="AD181" s="63"/>
      <c r="AE181" s="22">
        <v>5.0</v>
      </c>
      <c r="AF181" s="23" t="s">
        <v>153</v>
      </c>
      <c r="AG181" s="23">
        <v>16.0</v>
      </c>
      <c r="AH181" s="23">
        <v>5.0</v>
      </c>
      <c r="AI181" s="23">
        <v>1.0</v>
      </c>
      <c r="AJ181" s="23">
        <v>3.0</v>
      </c>
      <c r="AK181" s="23">
        <v>35.0</v>
      </c>
      <c r="AL181" s="23">
        <v>25.0</v>
      </c>
      <c r="AM181" s="23">
        <v>10.0</v>
      </c>
      <c r="AN181" s="18"/>
    </row>
    <row r="182" ht="15.75" customHeight="1">
      <c r="A182" s="10">
        <v>2.0</v>
      </c>
      <c r="B182" s="11">
        <v>45956.0</v>
      </c>
      <c r="C182" s="12" t="s">
        <v>54</v>
      </c>
      <c r="D182" s="39" t="s">
        <v>22</v>
      </c>
      <c r="E182" s="44" t="s">
        <v>39</v>
      </c>
      <c r="F182" s="44">
        <v>6.0</v>
      </c>
      <c r="G182" s="92" t="s">
        <v>24</v>
      </c>
      <c r="H182" s="44">
        <v>1.0</v>
      </c>
      <c r="I182" s="44" t="s">
        <v>58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106" t="s">
        <v>64</v>
      </c>
      <c r="P182" s="18">
        <f t="shared" si="31"/>
        <v>6</v>
      </c>
      <c r="Q182" s="18">
        <f t="shared" si="32"/>
        <v>2</v>
      </c>
      <c r="R182" s="20">
        <f t="shared" si="33"/>
        <v>0</v>
      </c>
      <c r="S182" s="20">
        <f t="shared" si="34"/>
        <v>7</v>
      </c>
      <c r="T182" s="18">
        <f t="shared" si="35"/>
        <v>25</v>
      </c>
      <c r="U182" s="20">
        <f t="shared" si="36"/>
        <v>55</v>
      </c>
      <c r="V182" s="18">
        <f t="shared" si="37"/>
        <v>-30</v>
      </c>
      <c r="W182" s="63"/>
      <c r="X182" s="63"/>
      <c r="Y182" s="63"/>
      <c r="Z182" s="63"/>
      <c r="AA182" s="63"/>
      <c r="AB182" s="63"/>
      <c r="AC182" s="63"/>
      <c r="AD182" s="63"/>
      <c r="AE182" s="22">
        <v>6.0</v>
      </c>
      <c r="AF182" s="23" t="s">
        <v>125</v>
      </c>
      <c r="AG182" s="23">
        <v>14.0</v>
      </c>
      <c r="AH182" s="23">
        <v>4.0</v>
      </c>
      <c r="AI182" s="23">
        <v>2.0</v>
      </c>
      <c r="AJ182" s="23">
        <v>3.0</v>
      </c>
      <c r="AK182" s="23">
        <v>21.0</v>
      </c>
      <c r="AL182" s="23">
        <v>19.0</v>
      </c>
      <c r="AM182" s="23">
        <v>2.0</v>
      </c>
      <c r="AN182" s="18"/>
    </row>
    <row r="183" ht="15.75" customHeight="1">
      <c r="A183" s="25"/>
      <c r="B183" s="11">
        <v>45956.0</v>
      </c>
      <c r="C183" s="12" t="s">
        <v>51</v>
      </c>
      <c r="D183" s="39" t="s">
        <v>22</v>
      </c>
      <c r="E183" s="44" t="s">
        <v>90</v>
      </c>
      <c r="F183" s="44">
        <v>3.0</v>
      </c>
      <c r="G183" s="92" t="s">
        <v>24</v>
      </c>
      <c r="H183" s="44">
        <v>2.0</v>
      </c>
      <c r="I183" s="44" t="s">
        <v>31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106" t="s">
        <v>185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3</v>
      </c>
      <c r="T183" s="18">
        <f t="shared" si="35"/>
        <v>38</v>
      </c>
      <c r="U183" s="20">
        <f t="shared" si="36"/>
        <v>21</v>
      </c>
      <c r="V183" s="18">
        <f t="shared" si="37"/>
        <v>17</v>
      </c>
      <c r="W183" s="63"/>
      <c r="X183" s="63"/>
      <c r="Y183" s="63"/>
      <c r="Z183" s="63"/>
      <c r="AA183" s="63"/>
      <c r="AB183" s="63"/>
      <c r="AC183" s="63"/>
      <c r="AD183" s="63"/>
      <c r="AE183" s="22">
        <v>7.0</v>
      </c>
      <c r="AF183" s="23" t="s">
        <v>31</v>
      </c>
      <c r="AG183" s="23">
        <v>11.0</v>
      </c>
      <c r="AH183" s="23">
        <v>3.0</v>
      </c>
      <c r="AI183" s="23">
        <v>2.0</v>
      </c>
      <c r="AJ183" s="23">
        <v>4.0</v>
      </c>
      <c r="AK183" s="23">
        <v>25.0</v>
      </c>
      <c r="AL183" s="23">
        <v>30.0</v>
      </c>
      <c r="AM183" s="23">
        <v>-5.0</v>
      </c>
      <c r="AN183" s="18"/>
    </row>
    <row r="184" ht="15.75" customHeight="1">
      <c r="A184" s="25"/>
      <c r="B184" s="11">
        <v>45956.0</v>
      </c>
      <c r="C184" s="39" t="s">
        <v>55</v>
      </c>
      <c r="D184" s="39" t="s">
        <v>22</v>
      </c>
      <c r="E184" s="44" t="s">
        <v>42</v>
      </c>
      <c r="F184" s="44">
        <v>3.0</v>
      </c>
      <c r="G184" s="92" t="s">
        <v>24</v>
      </c>
      <c r="H184" s="44">
        <v>2.0</v>
      </c>
      <c r="I184" s="44" t="s">
        <v>125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106" t="s">
        <v>153</v>
      </c>
      <c r="P184" s="18">
        <f t="shared" si="31"/>
        <v>16</v>
      </c>
      <c r="Q184" s="18">
        <f t="shared" si="32"/>
        <v>5</v>
      </c>
      <c r="R184" s="20">
        <f t="shared" si="33"/>
        <v>1</v>
      </c>
      <c r="S184" s="20">
        <f t="shared" si="34"/>
        <v>3</v>
      </c>
      <c r="T184" s="18">
        <f t="shared" si="35"/>
        <v>35</v>
      </c>
      <c r="U184" s="20">
        <f t="shared" si="36"/>
        <v>25</v>
      </c>
      <c r="V184" s="18">
        <f t="shared" si="37"/>
        <v>10</v>
      </c>
      <c r="W184" s="63"/>
      <c r="X184" s="63"/>
      <c r="Y184" s="63"/>
      <c r="Z184" s="63"/>
      <c r="AA184" s="63"/>
      <c r="AB184" s="63"/>
      <c r="AC184" s="63"/>
      <c r="AD184" s="63"/>
      <c r="AE184" s="22">
        <v>8.0</v>
      </c>
      <c r="AF184" s="23" t="s">
        <v>58</v>
      </c>
      <c r="AG184" s="23">
        <v>8.0</v>
      </c>
      <c r="AH184" s="23">
        <v>2.0</v>
      </c>
      <c r="AI184" s="23">
        <v>2.0</v>
      </c>
      <c r="AJ184" s="23">
        <v>5.0</v>
      </c>
      <c r="AK184" s="23">
        <v>27.0</v>
      </c>
      <c r="AL184" s="23">
        <v>34.0</v>
      </c>
      <c r="AM184" s="23">
        <v>-7.0</v>
      </c>
      <c r="AN184" s="18"/>
    </row>
    <row r="185" ht="15.75" customHeight="1">
      <c r="A185" s="25"/>
      <c r="B185" s="11">
        <v>45956.0</v>
      </c>
      <c r="C185" s="12" t="s">
        <v>52</v>
      </c>
      <c r="D185" s="39" t="s">
        <v>22</v>
      </c>
      <c r="E185" s="44" t="s">
        <v>153</v>
      </c>
      <c r="F185" s="44">
        <v>7.0</v>
      </c>
      <c r="G185" s="92" t="s">
        <v>24</v>
      </c>
      <c r="H185" s="44">
        <v>0.0</v>
      </c>
      <c r="I185" s="44" t="s">
        <v>37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106" t="s">
        <v>42</v>
      </c>
      <c r="P185" s="18">
        <f t="shared" si="31"/>
        <v>20</v>
      </c>
      <c r="Q185" s="18">
        <f t="shared" si="32"/>
        <v>6</v>
      </c>
      <c r="R185" s="20">
        <f t="shared" si="33"/>
        <v>2</v>
      </c>
      <c r="S185" s="20">
        <f t="shared" si="34"/>
        <v>1</v>
      </c>
      <c r="T185" s="18">
        <f t="shared" si="35"/>
        <v>49</v>
      </c>
      <c r="U185" s="20">
        <f t="shared" si="36"/>
        <v>24</v>
      </c>
      <c r="V185" s="18">
        <f t="shared" si="37"/>
        <v>25</v>
      </c>
      <c r="W185" s="63"/>
      <c r="X185" s="63"/>
      <c r="Y185" s="63"/>
      <c r="Z185" s="63"/>
      <c r="AA185" s="63"/>
      <c r="AB185" s="63"/>
      <c r="AC185" s="63"/>
      <c r="AD185" s="63"/>
      <c r="AE185" s="22">
        <v>9.0</v>
      </c>
      <c r="AF185" s="23" t="s">
        <v>64</v>
      </c>
      <c r="AG185" s="23">
        <v>6.0</v>
      </c>
      <c r="AH185" s="23">
        <v>2.0</v>
      </c>
      <c r="AI185" s="23">
        <v>0.0</v>
      </c>
      <c r="AJ185" s="23">
        <v>7.0</v>
      </c>
      <c r="AK185" s="23">
        <v>25.0</v>
      </c>
      <c r="AL185" s="23">
        <v>55.0</v>
      </c>
      <c r="AM185" s="23">
        <v>-30.0</v>
      </c>
      <c r="AN185" s="18"/>
    </row>
    <row r="186" ht="15.75" customHeight="1">
      <c r="A186" s="25"/>
      <c r="B186" s="11">
        <v>45956.0</v>
      </c>
      <c r="C186" s="39" t="s">
        <v>53</v>
      </c>
      <c r="D186" s="39" t="s">
        <v>22</v>
      </c>
      <c r="E186" s="44" t="s">
        <v>185</v>
      </c>
      <c r="F186" s="44">
        <v>13.0</v>
      </c>
      <c r="G186" s="92" t="s">
        <v>24</v>
      </c>
      <c r="H186" s="44">
        <v>0.0</v>
      </c>
      <c r="I186" s="44" t="s">
        <v>64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106" t="s">
        <v>90</v>
      </c>
      <c r="P186" s="18">
        <f t="shared" si="31"/>
        <v>16</v>
      </c>
      <c r="Q186" s="18">
        <f t="shared" si="32"/>
        <v>5</v>
      </c>
      <c r="R186" s="20">
        <f t="shared" si="33"/>
        <v>1</v>
      </c>
      <c r="S186" s="20">
        <f t="shared" si="34"/>
        <v>3</v>
      </c>
      <c r="T186" s="18">
        <f t="shared" si="35"/>
        <v>37</v>
      </c>
      <c r="U186" s="20">
        <f t="shared" si="36"/>
        <v>21</v>
      </c>
      <c r="V186" s="18">
        <f t="shared" si="37"/>
        <v>16</v>
      </c>
      <c r="W186" s="63"/>
      <c r="X186" s="63"/>
      <c r="Y186" s="63"/>
      <c r="Z186" s="63"/>
      <c r="AA186" s="63"/>
      <c r="AB186" s="63"/>
      <c r="AC186" s="63"/>
      <c r="AD186" s="63"/>
      <c r="AE186" s="22">
        <v>10.0</v>
      </c>
      <c r="AF186" s="23" t="s">
        <v>37</v>
      </c>
      <c r="AG186" s="23">
        <v>0.0</v>
      </c>
      <c r="AH186" s="23">
        <v>0.0</v>
      </c>
      <c r="AI186" s="23">
        <v>0.0</v>
      </c>
      <c r="AJ186" s="23">
        <v>9.0</v>
      </c>
      <c r="AK186" s="23">
        <v>15.0</v>
      </c>
      <c r="AL186" s="23">
        <v>83.0</v>
      </c>
      <c r="AM186" s="23">
        <v>-68.0</v>
      </c>
      <c r="AN186" s="18"/>
    </row>
    <row r="187" ht="15.75" customHeight="1">
      <c r="A187" s="10">
        <v>3.0</v>
      </c>
      <c r="B187" s="126">
        <v>45965.0</v>
      </c>
      <c r="C187" s="39" t="s">
        <v>49</v>
      </c>
      <c r="D187" s="39" t="s">
        <v>22</v>
      </c>
      <c r="E187" s="44" t="s">
        <v>125</v>
      </c>
      <c r="F187" s="44">
        <v>0.0</v>
      </c>
      <c r="G187" s="92" t="s">
        <v>24</v>
      </c>
      <c r="H187" s="44">
        <v>2.0</v>
      </c>
      <c r="I187" s="44" t="s">
        <v>39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3"/>
      <c r="X187" s="63"/>
      <c r="Y187" s="63"/>
      <c r="Z187" s="63"/>
      <c r="AA187" s="63"/>
      <c r="AB187" s="63"/>
      <c r="AC187" s="63"/>
      <c r="AD187" s="63"/>
      <c r="AE187" s="35" t="s">
        <v>186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26">
        <v>45965.0</v>
      </c>
      <c r="C188" s="39" t="s">
        <v>21</v>
      </c>
      <c r="D188" s="39" t="s">
        <v>22</v>
      </c>
      <c r="E188" s="44" t="s">
        <v>58</v>
      </c>
      <c r="F188" s="44">
        <v>2.0</v>
      </c>
      <c r="G188" s="92" t="s">
        <v>24</v>
      </c>
      <c r="H188" s="44">
        <v>2.0</v>
      </c>
      <c r="I188" s="44" t="s">
        <v>31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3"/>
      <c r="X188" s="63"/>
      <c r="Y188" s="63"/>
      <c r="Z188" s="63"/>
      <c r="AA188" s="63"/>
      <c r="AB188" s="63"/>
      <c r="AC188" s="63"/>
      <c r="AD188" s="63"/>
      <c r="AE188" s="79" t="s">
        <v>175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26">
        <v>45966.0</v>
      </c>
      <c r="C189" s="39" t="s">
        <v>156</v>
      </c>
      <c r="D189" s="12" t="s">
        <v>89</v>
      </c>
      <c r="E189" s="44" t="s">
        <v>37</v>
      </c>
      <c r="F189" s="44">
        <v>1.0</v>
      </c>
      <c r="G189" s="92" t="s">
        <v>24</v>
      </c>
      <c r="H189" s="44">
        <v>9.0</v>
      </c>
      <c r="I189" s="44" t="s">
        <v>42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3"/>
      <c r="X189" s="63"/>
      <c r="Y189" s="63"/>
      <c r="Z189" s="63"/>
      <c r="AA189" s="63"/>
      <c r="AB189" s="63"/>
      <c r="AC189" s="63"/>
      <c r="AD189" s="63"/>
      <c r="AJ189" s="4"/>
      <c r="AK189" s="4"/>
      <c r="AL189" s="4"/>
      <c r="AM189" s="4"/>
      <c r="AN189" s="4"/>
    </row>
    <row r="190" ht="15.75" customHeight="1">
      <c r="A190" s="25"/>
      <c r="B190" s="126">
        <v>45964.0</v>
      </c>
      <c r="C190" s="39" t="s">
        <v>35</v>
      </c>
      <c r="D190" s="12" t="s">
        <v>89</v>
      </c>
      <c r="E190" s="44" t="s">
        <v>64</v>
      </c>
      <c r="F190" s="44">
        <v>1.0</v>
      </c>
      <c r="G190" s="92" t="s">
        <v>24</v>
      </c>
      <c r="H190" s="44">
        <v>6.0</v>
      </c>
      <c r="I190" s="44" t="s">
        <v>153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3"/>
      <c r="X190" s="63"/>
      <c r="Y190" s="63"/>
      <c r="Z190" s="63"/>
      <c r="AA190" s="63"/>
      <c r="AB190" s="63"/>
      <c r="AC190" s="63"/>
      <c r="AD190" s="63"/>
      <c r="AJ190" s="4"/>
      <c r="AK190" s="4"/>
      <c r="AL190" s="4"/>
      <c r="AM190" s="4"/>
      <c r="AN190" s="4"/>
    </row>
    <row r="191" ht="15.75" customHeight="1">
      <c r="A191" s="25"/>
      <c r="B191" s="126">
        <v>45966.0</v>
      </c>
      <c r="C191" s="39" t="s">
        <v>169</v>
      </c>
      <c r="D191" s="12" t="s">
        <v>89</v>
      </c>
      <c r="E191" s="44" t="s">
        <v>90</v>
      </c>
      <c r="F191" s="44">
        <v>1.0</v>
      </c>
      <c r="G191" s="92" t="s">
        <v>24</v>
      </c>
      <c r="H191" s="44">
        <v>2.0</v>
      </c>
      <c r="I191" s="44" t="s">
        <v>185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3"/>
      <c r="X191" s="63"/>
      <c r="Y191" s="63"/>
      <c r="Z191" s="63"/>
      <c r="AA191" s="63"/>
      <c r="AB191" s="63"/>
      <c r="AC191" s="63"/>
      <c r="AD191" s="63"/>
      <c r="AE191" s="131" t="s">
        <v>103</v>
      </c>
      <c r="AF191" s="82"/>
      <c r="AG191" s="82"/>
      <c r="AH191" s="82"/>
      <c r="AI191" s="82"/>
      <c r="AJ191" s="82"/>
      <c r="AK191" s="82"/>
      <c r="AL191" s="82"/>
      <c r="AM191" s="83"/>
      <c r="AN191" s="4"/>
    </row>
    <row r="192" ht="15.75" customHeight="1">
      <c r="A192" s="10">
        <v>4.0</v>
      </c>
      <c r="B192" s="11">
        <v>46065.0</v>
      </c>
      <c r="C192" s="39" t="s">
        <v>49</v>
      </c>
      <c r="D192" s="39" t="s">
        <v>22</v>
      </c>
      <c r="E192" s="44" t="s">
        <v>39</v>
      </c>
      <c r="F192" s="44">
        <v>24.0</v>
      </c>
      <c r="G192" s="92" t="s">
        <v>24</v>
      </c>
      <c r="H192" s="44">
        <v>1.0</v>
      </c>
      <c r="I192" s="44" t="s">
        <v>37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3"/>
      <c r="R192" s="4"/>
      <c r="S192" s="4"/>
      <c r="T192" s="4"/>
      <c r="U192" s="4"/>
      <c r="V192" s="4"/>
      <c r="W192" s="63"/>
      <c r="X192" s="63"/>
      <c r="Y192" s="63"/>
      <c r="Z192" s="63"/>
      <c r="AA192" s="63"/>
      <c r="AB192" s="63"/>
      <c r="AC192" s="63"/>
      <c r="AD192" s="63"/>
      <c r="AE192" s="84"/>
      <c r="AF192" s="85"/>
      <c r="AG192" s="85"/>
      <c r="AH192" s="85"/>
      <c r="AI192" s="85"/>
      <c r="AJ192" s="85"/>
      <c r="AK192" s="85"/>
      <c r="AL192" s="85"/>
      <c r="AM192" s="86"/>
      <c r="AN192" s="37"/>
    </row>
    <row r="193" ht="15.75" customHeight="1">
      <c r="A193" s="25"/>
      <c r="B193" s="11">
        <v>46065.0</v>
      </c>
      <c r="C193" s="12" t="s">
        <v>52</v>
      </c>
      <c r="D193" s="12" t="s">
        <v>89</v>
      </c>
      <c r="E193" s="44" t="s">
        <v>31</v>
      </c>
      <c r="F193" s="44">
        <v>3.0</v>
      </c>
      <c r="G193" s="92" t="s">
        <v>24</v>
      </c>
      <c r="H193" s="44">
        <v>3.0</v>
      </c>
      <c r="I193" s="44" t="s">
        <v>125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3"/>
      <c r="X193" s="63"/>
      <c r="Y193" s="63"/>
      <c r="Z193" s="63"/>
      <c r="AA193" s="63"/>
      <c r="AB193" s="63"/>
      <c r="AC193" s="63"/>
      <c r="AD193" s="63"/>
      <c r="AE193" s="5" t="s">
        <v>11</v>
      </c>
      <c r="AF193" s="5" t="s">
        <v>12</v>
      </c>
      <c r="AG193" s="5" t="s">
        <v>13</v>
      </c>
      <c r="AH193" s="5" t="s">
        <v>14</v>
      </c>
      <c r="AI193" s="5" t="s">
        <v>15</v>
      </c>
      <c r="AJ193" s="5" t="s">
        <v>16</v>
      </c>
      <c r="AK193" s="5" t="s">
        <v>17</v>
      </c>
      <c r="AL193" s="5" t="s">
        <v>18</v>
      </c>
      <c r="AM193" s="5" t="s">
        <v>19</v>
      </c>
      <c r="AN193" s="4"/>
    </row>
    <row r="194" ht="15.75" customHeight="1">
      <c r="A194" s="25"/>
      <c r="B194" s="11">
        <v>46065.0</v>
      </c>
      <c r="C194" s="12" t="s">
        <v>53</v>
      </c>
      <c r="D194" s="12" t="s">
        <v>89</v>
      </c>
      <c r="E194" s="44" t="s">
        <v>58</v>
      </c>
      <c r="F194" s="44">
        <v>4.0</v>
      </c>
      <c r="G194" s="92" t="s">
        <v>24</v>
      </c>
      <c r="H194" s="44">
        <v>5.0</v>
      </c>
      <c r="I194" s="44" t="s">
        <v>90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3"/>
      <c r="X194" s="63"/>
      <c r="Y194" s="63"/>
      <c r="Z194" s="63"/>
      <c r="AA194" s="63"/>
      <c r="AB194" s="63"/>
      <c r="AC194" s="63"/>
      <c r="AD194" s="63"/>
      <c r="AE194" s="45" t="s">
        <v>29</v>
      </c>
      <c r="AF194" s="23" t="s">
        <v>39</v>
      </c>
      <c r="AG194" s="23">
        <v>21.0</v>
      </c>
      <c r="AH194" s="23">
        <v>6.0</v>
      </c>
      <c r="AI194" s="23">
        <v>3.0</v>
      </c>
      <c r="AJ194" s="23">
        <v>0.0</v>
      </c>
      <c r="AK194" s="23">
        <v>56.0</v>
      </c>
      <c r="AL194" s="23">
        <v>16.0</v>
      </c>
      <c r="AM194" s="23">
        <v>40.0</v>
      </c>
      <c r="AN194" s="4"/>
    </row>
    <row r="195" ht="15.75" customHeight="1">
      <c r="A195" s="25"/>
      <c r="B195" s="11">
        <v>46064.0</v>
      </c>
      <c r="C195" s="12" t="s">
        <v>53</v>
      </c>
      <c r="D195" s="12" t="s">
        <v>89</v>
      </c>
      <c r="E195" s="44" t="s">
        <v>42</v>
      </c>
      <c r="F195" s="44">
        <v>10.0</v>
      </c>
      <c r="G195" s="92" t="s">
        <v>24</v>
      </c>
      <c r="H195" s="44">
        <v>3.0</v>
      </c>
      <c r="I195" s="44" t="s">
        <v>64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3"/>
      <c r="X195" s="63"/>
      <c r="Y195" s="63"/>
      <c r="Z195" s="63"/>
      <c r="AA195" s="63"/>
      <c r="AB195" s="63"/>
      <c r="AC195" s="63"/>
      <c r="AD195" s="63"/>
      <c r="AE195" s="124" t="s">
        <v>111</v>
      </c>
      <c r="AF195" s="23" t="s">
        <v>42</v>
      </c>
      <c r="AG195" s="23">
        <v>20.0</v>
      </c>
      <c r="AH195" s="23">
        <v>6.0</v>
      </c>
      <c r="AI195" s="23">
        <v>2.0</v>
      </c>
      <c r="AJ195" s="23">
        <v>1.0</v>
      </c>
      <c r="AK195" s="23">
        <v>49.0</v>
      </c>
      <c r="AL195" s="23">
        <v>24.0</v>
      </c>
      <c r="AM195" s="23">
        <v>25.0</v>
      </c>
      <c r="AN195" s="4"/>
    </row>
    <row r="196" ht="15.75" customHeight="1">
      <c r="A196" s="25"/>
      <c r="B196" s="11">
        <v>46065.0</v>
      </c>
      <c r="C196" s="12" t="s">
        <v>55</v>
      </c>
      <c r="D196" s="12" t="s">
        <v>89</v>
      </c>
      <c r="E196" s="44" t="s">
        <v>153</v>
      </c>
      <c r="F196" s="44">
        <v>5.0</v>
      </c>
      <c r="G196" s="92" t="s">
        <v>24</v>
      </c>
      <c r="H196" s="44">
        <v>2.0</v>
      </c>
      <c r="I196" s="44" t="s">
        <v>185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3"/>
      <c r="X196" s="63"/>
      <c r="Y196" s="63"/>
      <c r="Z196" s="63"/>
      <c r="AA196" s="63"/>
      <c r="AB196" s="63"/>
      <c r="AC196" s="63"/>
      <c r="AD196" s="63"/>
      <c r="AE196" s="22">
        <v>3.0</v>
      </c>
      <c r="AF196" s="23" t="s">
        <v>153</v>
      </c>
      <c r="AG196" s="23">
        <v>16.0</v>
      </c>
      <c r="AH196" s="23">
        <v>5.0</v>
      </c>
      <c r="AI196" s="23">
        <v>1.0</v>
      </c>
      <c r="AJ196" s="23">
        <v>3.0</v>
      </c>
      <c r="AK196" s="23">
        <v>35.0</v>
      </c>
      <c r="AL196" s="23">
        <v>25.0</v>
      </c>
      <c r="AM196" s="23">
        <v>10.0</v>
      </c>
      <c r="AN196" s="4"/>
    </row>
    <row r="197" ht="15.75" customHeight="1">
      <c r="A197" s="10">
        <v>5.0</v>
      </c>
      <c r="B197" s="11">
        <v>46077.0</v>
      </c>
      <c r="C197" s="12" t="s">
        <v>53</v>
      </c>
      <c r="D197" s="12" t="s">
        <v>89</v>
      </c>
      <c r="E197" s="44" t="s">
        <v>64</v>
      </c>
      <c r="F197" s="44">
        <v>2.0</v>
      </c>
      <c r="G197" s="92" t="s">
        <v>24</v>
      </c>
      <c r="H197" s="44">
        <v>5.0</v>
      </c>
      <c r="I197" s="44" t="s">
        <v>39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3"/>
      <c r="X197" s="63"/>
      <c r="Y197" s="63"/>
      <c r="Z197" s="63"/>
      <c r="AA197" s="63"/>
      <c r="AB197" s="63"/>
      <c r="AC197" s="63"/>
      <c r="AD197" s="63"/>
      <c r="AE197" s="22">
        <v>4.0</v>
      </c>
      <c r="AF197" s="23" t="s">
        <v>90</v>
      </c>
      <c r="AG197" s="23">
        <v>16.0</v>
      </c>
      <c r="AH197" s="23">
        <v>5.0</v>
      </c>
      <c r="AI197" s="23">
        <v>1.0</v>
      </c>
      <c r="AJ197" s="23">
        <v>3.0</v>
      </c>
      <c r="AK197" s="23">
        <v>37.0</v>
      </c>
      <c r="AL197" s="23">
        <v>21.0</v>
      </c>
      <c r="AM197" s="23">
        <v>16.0</v>
      </c>
      <c r="AN197" s="4"/>
    </row>
    <row r="198" ht="15.75" customHeight="1">
      <c r="A198" s="25"/>
      <c r="B198" s="11">
        <v>46078.0</v>
      </c>
      <c r="C198" s="12" t="s">
        <v>55</v>
      </c>
      <c r="D198" s="12" t="s">
        <v>89</v>
      </c>
      <c r="E198" s="44" t="s">
        <v>37</v>
      </c>
      <c r="F198" s="44">
        <v>2.0</v>
      </c>
      <c r="G198" s="92" t="s">
        <v>24</v>
      </c>
      <c r="H198" s="44">
        <v>6.0</v>
      </c>
      <c r="I198" s="44" t="s">
        <v>31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63"/>
      <c r="AE198" s="22">
        <v>5.0</v>
      </c>
      <c r="AF198" s="23" t="s">
        <v>185</v>
      </c>
      <c r="AG198" s="23">
        <v>16.0</v>
      </c>
      <c r="AH198" s="23">
        <v>5.0</v>
      </c>
      <c r="AI198" s="23">
        <v>1.0</v>
      </c>
      <c r="AJ198" s="23">
        <v>3.0</v>
      </c>
      <c r="AK198" s="23">
        <v>38.0</v>
      </c>
      <c r="AL198" s="23">
        <v>21.0</v>
      </c>
      <c r="AM198" s="23">
        <v>17.0</v>
      </c>
      <c r="AN198" s="4"/>
    </row>
    <row r="199" ht="15.75" customHeight="1">
      <c r="A199" s="25"/>
      <c r="B199" s="11">
        <v>46078.0</v>
      </c>
      <c r="C199" s="39" t="s">
        <v>52</v>
      </c>
      <c r="D199" s="12" t="s">
        <v>89</v>
      </c>
      <c r="E199" s="44" t="s">
        <v>125</v>
      </c>
      <c r="F199" s="44">
        <v>3.0</v>
      </c>
      <c r="G199" s="92" t="s">
        <v>24</v>
      </c>
      <c r="H199" s="44">
        <v>2.0</v>
      </c>
      <c r="I199" s="44" t="s">
        <v>58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63"/>
      <c r="AE199" s="22">
        <v>6.0</v>
      </c>
      <c r="AF199" s="23" t="s">
        <v>125</v>
      </c>
      <c r="AG199" s="23">
        <v>14.0</v>
      </c>
      <c r="AH199" s="23">
        <v>4.0</v>
      </c>
      <c r="AI199" s="23">
        <v>2.0</v>
      </c>
      <c r="AJ199" s="23">
        <v>3.0</v>
      </c>
      <c r="AK199" s="23">
        <v>21.0</v>
      </c>
      <c r="AL199" s="23">
        <v>19.0</v>
      </c>
      <c r="AM199" s="23">
        <v>2.0</v>
      </c>
      <c r="AN199" s="4"/>
    </row>
    <row r="200" ht="15.75" customHeight="1">
      <c r="A200" s="25"/>
      <c r="B200" s="11">
        <v>46078.0</v>
      </c>
      <c r="C200" s="12" t="s">
        <v>53</v>
      </c>
      <c r="D200" s="12" t="s">
        <v>89</v>
      </c>
      <c r="E200" s="44" t="s">
        <v>185</v>
      </c>
      <c r="F200" s="44">
        <v>5.0</v>
      </c>
      <c r="G200" s="92" t="s">
        <v>24</v>
      </c>
      <c r="H200" s="44">
        <v>3.0</v>
      </c>
      <c r="I200" s="44" t="s">
        <v>42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63"/>
      <c r="AE200" s="22">
        <v>7.0</v>
      </c>
      <c r="AF200" s="23" t="s">
        <v>31</v>
      </c>
      <c r="AG200" s="23">
        <v>11.0</v>
      </c>
      <c r="AH200" s="23">
        <v>3.0</v>
      </c>
      <c r="AI200" s="23">
        <v>2.0</v>
      </c>
      <c r="AJ200" s="23">
        <v>4.0</v>
      </c>
      <c r="AK200" s="23">
        <v>25.0</v>
      </c>
      <c r="AL200" s="23">
        <v>30.0</v>
      </c>
      <c r="AM200" s="23">
        <v>-5.0</v>
      </c>
      <c r="AN200" s="4"/>
    </row>
    <row r="201" ht="15.75" customHeight="1">
      <c r="A201" s="25"/>
      <c r="B201" s="11">
        <v>46079.0</v>
      </c>
      <c r="C201" s="12" t="s">
        <v>55</v>
      </c>
      <c r="D201" s="12" t="s">
        <v>89</v>
      </c>
      <c r="E201" s="44" t="s">
        <v>90</v>
      </c>
      <c r="F201" s="44">
        <v>2.0</v>
      </c>
      <c r="G201" s="92" t="s">
        <v>24</v>
      </c>
      <c r="H201" s="44">
        <v>0.0</v>
      </c>
      <c r="I201" s="44" t="s">
        <v>153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63"/>
      <c r="AE201" s="22">
        <v>8.0</v>
      </c>
      <c r="AF201" s="23" t="s">
        <v>58</v>
      </c>
      <c r="AG201" s="23">
        <v>8.0</v>
      </c>
      <c r="AH201" s="23">
        <v>2.0</v>
      </c>
      <c r="AI201" s="23">
        <v>2.0</v>
      </c>
      <c r="AJ201" s="23">
        <v>5.0</v>
      </c>
      <c r="AK201" s="23">
        <v>27.0</v>
      </c>
      <c r="AL201" s="23">
        <v>34.0</v>
      </c>
      <c r="AM201" s="23">
        <v>-7.0</v>
      </c>
      <c r="AN201" s="4"/>
    </row>
    <row r="202" ht="15.75" customHeight="1">
      <c r="A202" s="10">
        <v>6.0</v>
      </c>
      <c r="B202" s="11">
        <v>46090.0</v>
      </c>
      <c r="C202" s="12" t="s">
        <v>55</v>
      </c>
      <c r="D202" s="12" t="s">
        <v>89</v>
      </c>
      <c r="E202" s="44" t="s">
        <v>39</v>
      </c>
      <c r="F202" s="44">
        <v>3.0</v>
      </c>
      <c r="G202" s="92" t="s">
        <v>24</v>
      </c>
      <c r="H202" s="44">
        <v>3.0</v>
      </c>
      <c r="I202" s="44" t="s">
        <v>185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63"/>
      <c r="AE202" s="22">
        <v>9.0</v>
      </c>
      <c r="AF202" s="23" t="s">
        <v>64</v>
      </c>
      <c r="AG202" s="23">
        <v>6.0</v>
      </c>
      <c r="AH202" s="23">
        <v>2.0</v>
      </c>
      <c r="AI202" s="23">
        <v>0.0</v>
      </c>
      <c r="AJ202" s="23">
        <v>7.0</v>
      </c>
      <c r="AK202" s="23">
        <v>25.0</v>
      </c>
      <c r="AL202" s="23">
        <v>55.0</v>
      </c>
      <c r="AM202" s="23">
        <v>-30.0</v>
      </c>
      <c r="AN202" s="4"/>
    </row>
    <row r="203" ht="15.75" customHeight="1">
      <c r="A203" s="25"/>
      <c r="B203" s="11">
        <v>46090.0</v>
      </c>
      <c r="C203" s="39" t="s">
        <v>52</v>
      </c>
      <c r="D203" s="12" t="s">
        <v>89</v>
      </c>
      <c r="E203" s="44" t="s">
        <v>31</v>
      </c>
      <c r="F203" s="44">
        <v>4.0</v>
      </c>
      <c r="G203" s="92" t="s">
        <v>24</v>
      </c>
      <c r="H203" s="44">
        <v>1.0</v>
      </c>
      <c r="I203" s="44" t="s">
        <v>64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63"/>
      <c r="AE203" s="22">
        <v>10.0</v>
      </c>
      <c r="AF203" s="23" t="s">
        <v>37</v>
      </c>
      <c r="AG203" s="23">
        <v>0.0</v>
      </c>
      <c r="AH203" s="23">
        <v>0.0</v>
      </c>
      <c r="AI203" s="23">
        <v>0.0</v>
      </c>
      <c r="AJ203" s="23">
        <v>9.0</v>
      </c>
      <c r="AK203" s="23">
        <v>15.0</v>
      </c>
      <c r="AL203" s="23">
        <v>83.0</v>
      </c>
      <c r="AM203" s="23">
        <v>-68.0</v>
      </c>
      <c r="AN203" s="4"/>
    </row>
    <row r="204" ht="15.75" customHeight="1">
      <c r="A204" s="25"/>
      <c r="B204" s="11">
        <v>46090.0</v>
      </c>
      <c r="C204" s="12" t="s">
        <v>53</v>
      </c>
      <c r="D204" s="12" t="s">
        <v>89</v>
      </c>
      <c r="E204" s="44" t="s">
        <v>58</v>
      </c>
      <c r="F204" s="44">
        <v>3.0</v>
      </c>
      <c r="G204" s="92" t="s">
        <v>24</v>
      </c>
      <c r="H204" s="44">
        <v>2.0</v>
      </c>
      <c r="I204" s="44" t="s">
        <v>37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63"/>
      <c r="AE204" s="35" t="s">
        <v>187</v>
      </c>
      <c r="AH204" s="18"/>
      <c r="AI204" s="18"/>
      <c r="AJ204" s="18"/>
      <c r="AK204" s="18"/>
      <c r="AL204" s="18"/>
      <c r="AM204" s="18"/>
      <c r="AN204" s="4"/>
    </row>
    <row r="205" ht="15.75" customHeight="1">
      <c r="A205" s="25"/>
      <c r="B205" s="11">
        <v>46085.0</v>
      </c>
      <c r="C205" s="12" t="s">
        <v>118</v>
      </c>
      <c r="D205" s="39" t="s">
        <v>22</v>
      </c>
      <c r="E205" s="44" t="s">
        <v>125</v>
      </c>
      <c r="F205" s="44">
        <v>2.0</v>
      </c>
      <c r="G205" s="92" t="s">
        <v>24</v>
      </c>
      <c r="H205" s="44">
        <v>4.0</v>
      </c>
      <c r="I205" s="44" t="s">
        <v>90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63"/>
      <c r="AE205" s="79" t="s">
        <v>175</v>
      </c>
      <c r="AH205" s="18"/>
      <c r="AI205" s="18"/>
      <c r="AJ205" s="18"/>
      <c r="AK205" s="18"/>
      <c r="AL205" s="18"/>
      <c r="AM205" s="18"/>
      <c r="AN205" s="4"/>
    </row>
    <row r="206" ht="15.75" customHeight="1">
      <c r="A206" s="25"/>
      <c r="B206" s="11">
        <v>46085.0</v>
      </c>
      <c r="C206" s="12" t="s">
        <v>121</v>
      </c>
      <c r="D206" s="39" t="s">
        <v>22</v>
      </c>
      <c r="E206" s="44" t="s">
        <v>42</v>
      </c>
      <c r="F206" s="44">
        <v>8.0</v>
      </c>
      <c r="G206" s="92" t="s">
        <v>24</v>
      </c>
      <c r="H206" s="44">
        <v>3.0</v>
      </c>
      <c r="I206" s="44" t="s">
        <v>153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63"/>
      <c r="AE206" s="4"/>
      <c r="AF206" s="4"/>
      <c r="AG206" s="4"/>
      <c r="AH206" s="37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39" t="s">
        <v>22</v>
      </c>
      <c r="E207" s="44" t="s">
        <v>153</v>
      </c>
      <c r="F207" s="44">
        <v>0.0</v>
      </c>
      <c r="G207" s="92" t="s">
        <v>24</v>
      </c>
      <c r="H207" s="44">
        <v>5.0</v>
      </c>
      <c r="I207" s="44" t="s">
        <v>39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63"/>
      <c r="AE207" s="4"/>
      <c r="AG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35</v>
      </c>
      <c r="D208" s="39" t="s">
        <v>22</v>
      </c>
      <c r="E208" s="44" t="s">
        <v>185</v>
      </c>
      <c r="F208" s="44">
        <v>2.0</v>
      </c>
      <c r="G208" s="92" t="s">
        <v>24</v>
      </c>
      <c r="H208" s="44">
        <v>3.0</v>
      </c>
      <c r="I208" s="44" t="s">
        <v>31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63"/>
      <c r="AG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55</v>
      </c>
      <c r="D209" s="12" t="s">
        <v>89</v>
      </c>
      <c r="E209" s="44" t="s">
        <v>64</v>
      </c>
      <c r="F209" s="44">
        <v>3.0</v>
      </c>
      <c r="G209" s="92" t="s">
        <v>24</v>
      </c>
      <c r="H209" s="44">
        <v>7.0</v>
      </c>
      <c r="I209" s="44" t="s">
        <v>58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63"/>
      <c r="AG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52</v>
      </c>
      <c r="D210" s="12" t="s">
        <v>89</v>
      </c>
      <c r="E210" s="44" t="s">
        <v>37</v>
      </c>
      <c r="F210" s="44">
        <v>0.0</v>
      </c>
      <c r="G210" s="92" t="s">
        <v>24</v>
      </c>
      <c r="H210" s="44">
        <v>3.0</v>
      </c>
      <c r="I210" s="44" t="s">
        <v>125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63"/>
      <c r="AG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53</v>
      </c>
      <c r="D211" s="12" t="s">
        <v>89</v>
      </c>
      <c r="E211" s="44" t="s">
        <v>90</v>
      </c>
      <c r="F211" s="44">
        <v>2.0</v>
      </c>
      <c r="G211" s="92" t="s">
        <v>24</v>
      </c>
      <c r="H211" s="44">
        <v>4.0</v>
      </c>
      <c r="I211" s="44" t="s">
        <v>42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63"/>
      <c r="AG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30</v>
      </c>
      <c r="D212" s="39" t="s">
        <v>22</v>
      </c>
      <c r="E212" s="44" t="s">
        <v>39</v>
      </c>
      <c r="F212" s="44">
        <v>5.0</v>
      </c>
      <c r="G212" s="92" t="s">
        <v>24</v>
      </c>
      <c r="H212" s="44">
        <v>5.0</v>
      </c>
      <c r="I212" s="44" t="s">
        <v>42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3"/>
      <c r="X212" s="63"/>
      <c r="Y212" s="63"/>
      <c r="Z212" s="63"/>
      <c r="AA212" s="63"/>
      <c r="AB212" s="63"/>
      <c r="AC212" s="63"/>
      <c r="AD212" s="63"/>
      <c r="AE212" s="4"/>
      <c r="AF212" s="4"/>
      <c r="AG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35</v>
      </c>
      <c r="D213" s="39" t="s">
        <v>22</v>
      </c>
      <c r="E213" s="44" t="s">
        <v>31</v>
      </c>
      <c r="F213" s="44">
        <v>2.0</v>
      </c>
      <c r="G213" s="92" t="s">
        <v>24</v>
      </c>
      <c r="H213" s="44">
        <v>8.0</v>
      </c>
      <c r="I213" s="44" t="s">
        <v>153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3"/>
      <c r="X213" s="63"/>
      <c r="Y213" s="63"/>
      <c r="Z213" s="63"/>
      <c r="AA213" s="63"/>
      <c r="AB213" s="63"/>
      <c r="AC213" s="63"/>
      <c r="AD213" s="63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55</v>
      </c>
      <c r="D214" s="12" t="s">
        <v>89</v>
      </c>
      <c r="E214" s="44" t="s">
        <v>58</v>
      </c>
      <c r="F214" s="44">
        <v>2.0</v>
      </c>
      <c r="G214" s="92" t="s">
        <v>24</v>
      </c>
      <c r="H214" s="44">
        <v>6.0</v>
      </c>
      <c r="I214" s="44" t="s">
        <v>185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3"/>
      <c r="X214" s="63"/>
      <c r="Y214" s="63"/>
      <c r="Z214" s="63"/>
      <c r="AA214" s="63"/>
      <c r="AB214" s="63"/>
      <c r="AC214" s="63"/>
      <c r="AD214" s="63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52</v>
      </c>
      <c r="D215" s="12" t="s">
        <v>89</v>
      </c>
      <c r="E215" s="44" t="s">
        <v>125</v>
      </c>
      <c r="F215" s="44">
        <v>3.0</v>
      </c>
      <c r="G215" s="92" t="s">
        <v>24</v>
      </c>
      <c r="H215" s="44">
        <v>2.0</v>
      </c>
      <c r="I215" s="44" t="s">
        <v>64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3"/>
      <c r="X215" s="63"/>
      <c r="Y215" s="63"/>
      <c r="Z215" s="63"/>
      <c r="AA215" s="63"/>
      <c r="AB215" s="63"/>
      <c r="AC215" s="63"/>
      <c r="AD215" s="63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53</v>
      </c>
      <c r="D216" s="12" t="s">
        <v>89</v>
      </c>
      <c r="E216" s="44" t="s">
        <v>37</v>
      </c>
      <c r="F216" s="44">
        <v>3.0</v>
      </c>
      <c r="G216" s="92" t="s">
        <v>24</v>
      </c>
      <c r="H216" s="44">
        <v>17.0</v>
      </c>
      <c r="I216" s="44" t="s">
        <v>90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3"/>
      <c r="X216" s="63"/>
      <c r="Y216" s="63"/>
      <c r="Z216" s="63"/>
      <c r="AA216" s="63"/>
      <c r="AB216" s="63"/>
      <c r="AC216" s="63"/>
      <c r="AD216" s="63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53</v>
      </c>
      <c r="D217" s="12" t="s">
        <v>89</v>
      </c>
      <c r="E217" s="44" t="s">
        <v>90</v>
      </c>
      <c r="F217" s="44">
        <v>2.0</v>
      </c>
      <c r="G217" s="92" t="s">
        <v>24</v>
      </c>
      <c r="H217" s="44">
        <v>2.0</v>
      </c>
      <c r="I217" s="44" t="s">
        <v>39</v>
      </c>
      <c r="J217" s="63"/>
      <c r="K217" s="4">
        <f t="shared" si="29"/>
        <v>1</v>
      </c>
      <c r="L217" s="18">
        <f t="shared" si="30"/>
        <v>1</v>
      </c>
      <c r="M217" s="63"/>
      <c r="N217" s="63"/>
      <c r="O217" s="63"/>
      <c r="P217" s="63"/>
      <c r="Q217" s="63"/>
      <c r="R217" s="4"/>
      <c r="S217" s="4"/>
      <c r="T217" s="4"/>
      <c r="U217" s="4"/>
      <c r="V217" s="4"/>
      <c r="W217" s="63"/>
      <c r="X217" s="63"/>
      <c r="Y217" s="63"/>
      <c r="Z217" s="63"/>
      <c r="AA217" s="63"/>
      <c r="AB217" s="63"/>
      <c r="AC217" s="63"/>
      <c r="AD217" s="63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52</v>
      </c>
      <c r="D218" s="12" t="s">
        <v>89</v>
      </c>
      <c r="E218" s="44" t="s">
        <v>42</v>
      </c>
      <c r="F218" s="44">
        <v>5.0</v>
      </c>
      <c r="G218" s="92" t="s">
        <v>24</v>
      </c>
      <c r="H218" s="44">
        <v>1.0</v>
      </c>
      <c r="I218" s="44" t="s">
        <v>31</v>
      </c>
      <c r="J218" s="63"/>
      <c r="K218" s="4">
        <f t="shared" si="29"/>
        <v>3</v>
      </c>
      <c r="L218" s="18">
        <f t="shared" si="30"/>
        <v>0</v>
      </c>
      <c r="M218" s="63"/>
      <c r="N218" s="63"/>
      <c r="O218" s="63"/>
      <c r="P218" s="63"/>
      <c r="Q218" s="63"/>
      <c r="R218" s="4"/>
      <c r="S218" s="4"/>
      <c r="T218" s="4"/>
      <c r="U218" s="4"/>
      <c r="V218" s="4"/>
      <c r="W218" s="63"/>
      <c r="X218" s="63"/>
      <c r="Y218" s="63"/>
      <c r="Z218" s="63"/>
      <c r="AA218" s="63"/>
      <c r="AB218" s="63"/>
      <c r="AC218" s="63"/>
      <c r="AD218" s="63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53</v>
      </c>
      <c r="D219" s="12" t="s">
        <v>89</v>
      </c>
      <c r="E219" s="44" t="s">
        <v>153</v>
      </c>
      <c r="F219" s="44">
        <v>5.0</v>
      </c>
      <c r="G219" s="92" t="s">
        <v>24</v>
      </c>
      <c r="H219" s="44">
        <v>4.0</v>
      </c>
      <c r="I219" s="44" t="s">
        <v>58</v>
      </c>
      <c r="J219" s="63"/>
      <c r="K219" s="4">
        <f t="shared" si="29"/>
        <v>3</v>
      </c>
      <c r="L219" s="18">
        <f t="shared" si="30"/>
        <v>0</v>
      </c>
      <c r="M219" s="63"/>
      <c r="N219" s="63"/>
      <c r="O219" s="63"/>
      <c r="P219" s="63"/>
      <c r="Q219" s="63"/>
      <c r="R219" s="4"/>
      <c r="S219" s="4"/>
      <c r="T219" s="4"/>
      <c r="U219" s="4"/>
      <c r="V219" s="4"/>
      <c r="W219" s="63"/>
      <c r="X219" s="63"/>
      <c r="Y219" s="63"/>
      <c r="Z219" s="63"/>
      <c r="AA219" s="63"/>
      <c r="AB219" s="63"/>
      <c r="AC219" s="63"/>
      <c r="AD219" s="63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55</v>
      </c>
      <c r="D220" s="12" t="s">
        <v>89</v>
      </c>
      <c r="E220" s="44" t="s">
        <v>185</v>
      </c>
      <c r="F220" s="44">
        <v>2.0</v>
      </c>
      <c r="G220" s="92" t="s">
        <v>24</v>
      </c>
      <c r="H220" s="44">
        <v>4.0</v>
      </c>
      <c r="I220" s="17" t="s">
        <v>125</v>
      </c>
      <c r="J220" s="63"/>
      <c r="K220" s="4">
        <f t="shared" si="29"/>
        <v>0</v>
      </c>
      <c r="L220" s="18">
        <f t="shared" si="30"/>
        <v>3</v>
      </c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63"/>
      <c r="AE220" s="63"/>
      <c r="AF220" s="63"/>
      <c r="AG220" s="63"/>
      <c r="AH220" s="63"/>
      <c r="AI220" s="63"/>
      <c r="AJ220" s="63"/>
      <c r="AK220" s="63"/>
      <c r="AL220" s="63"/>
      <c r="AM220" s="63"/>
      <c r="AN220" s="37"/>
    </row>
    <row r="221" ht="15.75" customHeight="1">
      <c r="A221" s="29"/>
      <c r="B221" s="11">
        <v>46133.0</v>
      </c>
      <c r="C221" s="12" t="s">
        <v>52</v>
      </c>
      <c r="D221" s="12" t="s">
        <v>89</v>
      </c>
      <c r="E221" s="44" t="s">
        <v>64</v>
      </c>
      <c r="F221" s="44">
        <v>11.0</v>
      </c>
      <c r="G221" s="92" t="s">
        <v>24</v>
      </c>
      <c r="H221" s="44">
        <v>6.0</v>
      </c>
      <c r="I221" s="44" t="s">
        <v>37</v>
      </c>
      <c r="J221" s="63"/>
      <c r="K221" s="4">
        <f t="shared" si="29"/>
        <v>3</v>
      </c>
      <c r="L221" s="18">
        <f t="shared" si="30"/>
        <v>0</v>
      </c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63"/>
      <c r="AE221" s="63"/>
      <c r="AF221" s="63"/>
      <c r="AG221" s="63"/>
      <c r="AH221" s="63"/>
      <c r="AI221" s="63"/>
      <c r="AJ221" s="63"/>
      <c r="AK221" s="63"/>
      <c r="AL221" s="63"/>
      <c r="AM221" s="63"/>
      <c r="AN221" s="37"/>
    </row>
    <row r="222" ht="15.75" customHeight="1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63"/>
      <c r="AE222" s="63"/>
      <c r="AF222" s="63"/>
      <c r="AG222" s="63"/>
      <c r="AH222" s="63"/>
      <c r="AI222" s="63"/>
      <c r="AJ222" s="63"/>
      <c r="AK222" s="63"/>
      <c r="AL222" s="63"/>
      <c r="AM222" s="63"/>
      <c r="AN222" s="63"/>
    </row>
    <row r="223" ht="15.75" customHeight="1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63"/>
      <c r="AE223" s="63"/>
      <c r="AF223" s="63"/>
      <c r="AG223" s="63"/>
      <c r="AH223" s="63"/>
      <c r="AI223" s="63"/>
      <c r="AJ223" s="63"/>
      <c r="AK223" s="63"/>
      <c r="AL223" s="63"/>
      <c r="AM223" s="63"/>
      <c r="AN223" s="63"/>
    </row>
    <row r="224" ht="15.75" customHeight="1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63"/>
      <c r="AE224" s="63"/>
      <c r="AF224" s="63"/>
      <c r="AG224" s="63"/>
      <c r="AH224" s="63"/>
      <c r="AI224" s="63"/>
      <c r="AJ224" s="63"/>
      <c r="AK224" s="63"/>
      <c r="AL224" s="63"/>
      <c r="AM224" s="63"/>
      <c r="AN224" s="63"/>
    </row>
    <row r="225" ht="15.75" customHeight="1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63"/>
      <c r="AE225" s="63"/>
      <c r="AF225" s="63"/>
      <c r="AG225" s="63"/>
      <c r="AH225" s="63"/>
      <c r="AI225" s="63"/>
      <c r="AJ225" s="63"/>
      <c r="AK225" s="63"/>
      <c r="AL225" s="63"/>
      <c r="AM225" s="63"/>
      <c r="AN225" s="63"/>
    </row>
    <row r="226" ht="15.75" customHeight="1">
      <c r="A226" s="57" t="s">
        <v>188</v>
      </c>
      <c r="H226" s="2"/>
      <c r="I226" s="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  <c r="AM226" s="63"/>
      <c r="AN226" s="63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  <c r="AM227" s="63"/>
      <c r="AN227" s="63"/>
    </row>
    <row r="228" ht="15.75" customHeight="1">
      <c r="A228" s="58" t="s">
        <v>73</v>
      </c>
      <c r="B228" s="43"/>
      <c r="C228" s="12"/>
      <c r="D228" s="12"/>
      <c r="E228" s="44" t="s">
        <v>166</v>
      </c>
      <c r="F228" s="13"/>
      <c r="G228" s="16" t="s">
        <v>24</v>
      </c>
      <c r="H228" s="13"/>
      <c r="I228" s="44" t="s">
        <v>60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  <c r="AM228" s="63"/>
      <c r="AN228" s="63"/>
    </row>
    <row r="229" ht="15.75" customHeight="1">
      <c r="A229" s="29"/>
      <c r="B229" s="43"/>
      <c r="C229" s="12"/>
      <c r="D229" s="12"/>
      <c r="E229" s="44" t="s">
        <v>43</v>
      </c>
      <c r="F229" s="13"/>
      <c r="G229" s="16" t="s">
        <v>24</v>
      </c>
      <c r="H229" s="13"/>
      <c r="I229" s="44" t="s">
        <v>42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  <c r="AM229" s="63"/>
      <c r="AN229" s="63"/>
    </row>
    <row r="230" ht="15.75" customHeight="1">
      <c r="A230" s="102" t="s">
        <v>81</v>
      </c>
      <c r="B230" s="43"/>
      <c r="C230" s="12"/>
      <c r="D230" s="12"/>
      <c r="E230" s="44" t="s">
        <v>82</v>
      </c>
      <c r="F230" s="13"/>
      <c r="G230" s="16" t="s">
        <v>24</v>
      </c>
      <c r="H230" s="13"/>
      <c r="I230" s="44" t="s">
        <v>83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  <c r="AM230" s="63"/>
      <c r="AN230" s="63"/>
    </row>
    <row r="231" ht="15.75" customHeight="1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</row>
    <row r="232" ht="15.75" customHeight="1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  <c r="AM232" s="63"/>
      <c r="AN232" s="63"/>
    </row>
    <row r="233" ht="15.75" customHeight="1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</row>
    <row r="234" ht="15.75" customHeight="1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</row>
    <row r="235" ht="15.75" customHeight="1">
      <c r="A235" s="57" t="s">
        <v>189</v>
      </c>
      <c r="H235" s="2"/>
      <c r="I235" s="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</row>
    <row r="237" ht="15.75" customHeight="1">
      <c r="A237" s="58" t="s">
        <v>72</v>
      </c>
      <c r="B237" s="43"/>
      <c r="C237" s="12"/>
      <c r="D237" s="12"/>
      <c r="E237" s="44" t="s">
        <v>33</v>
      </c>
      <c r="F237" s="31"/>
      <c r="G237" s="16" t="s">
        <v>24</v>
      </c>
      <c r="H237" s="31"/>
      <c r="I237" s="44" t="s">
        <v>39</v>
      </c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</row>
    <row r="238" ht="15.75" customHeight="1">
      <c r="A238" s="25"/>
      <c r="B238" s="43"/>
      <c r="C238" s="12"/>
      <c r="D238" s="12"/>
      <c r="E238" s="44" t="s">
        <v>165</v>
      </c>
      <c r="F238" s="31"/>
      <c r="G238" s="16" t="s">
        <v>24</v>
      </c>
      <c r="H238" s="31"/>
      <c r="I238" s="44" t="s">
        <v>127</v>
      </c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</row>
    <row r="239" ht="15.75" customHeight="1">
      <c r="A239" s="25"/>
      <c r="B239" s="43"/>
      <c r="C239" s="12"/>
      <c r="D239" s="12"/>
      <c r="E239" s="44" t="s">
        <v>25</v>
      </c>
      <c r="F239" s="31"/>
      <c r="G239" s="16" t="s">
        <v>24</v>
      </c>
      <c r="H239" s="31"/>
      <c r="I239" s="44" t="s">
        <v>32</v>
      </c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</row>
    <row r="240" ht="15.75" customHeight="1">
      <c r="A240" s="29"/>
      <c r="B240" s="43"/>
      <c r="C240" s="12"/>
      <c r="D240" s="12"/>
      <c r="E240" s="44" t="s">
        <v>110</v>
      </c>
      <c r="F240" s="31"/>
      <c r="G240" s="16" t="s">
        <v>24</v>
      </c>
      <c r="H240" s="31"/>
      <c r="I240" s="44" t="s">
        <v>107</v>
      </c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</row>
    <row r="241" ht="15.75" customHeight="1">
      <c r="A241" s="59" t="s">
        <v>73</v>
      </c>
      <c r="B241" s="43"/>
      <c r="C241" s="12"/>
      <c r="D241" s="12"/>
      <c r="E241" s="44" t="s">
        <v>74</v>
      </c>
      <c r="F241" s="31"/>
      <c r="G241" s="16" t="s">
        <v>24</v>
      </c>
      <c r="H241" s="31"/>
      <c r="I241" s="44" t="s">
        <v>75</v>
      </c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</row>
    <row r="242" ht="15.75" customHeight="1">
      <c r="A242" s="25"/>
      <c r="B242" s="56"/>
      <c r="C242" s="31"/>
      <c r="D242" s="12"/>
      <c r="E242" s="51" t="s">
        <v>76</v>
      </c>
      <c r="F242" s="13"/>
      <c r="G242" s="16" t="s">
        <v>24</v>
      </c>
      <c r="H242" s="13"/>
      <c r="I242" s="44" t="s">
        <v>77</v>
      </c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</row>
    <row r="243" ht="15.75" customHeight="1">
      <c r="A243" s="60" t="s">
        <v>78</v>
      </c>
      <c r="B243" s="30"/>
      <c r="C243" s="31"/>
      <c r="D243" s="12"/>
      <c r="E243" s="44" t="s">
        <v>79</v>
      </c>
      <c r="F243" s="31"/>
      <c r="G243" s="16" t="s">
        <v>24</v>
      </c>
      <c r="H243" s="31"/>
      <c r="I243" s="61" t="s">
        <v>80</v>
      </c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</row>
    <row r="244" ht="15.75" customHeight="1">
      <c r="A244" s="60" t="s">
        <v>81</v>
      </c>
      <c r="B244" s="30"/>
      <c r="C244" s="31"/>
      <c r="D244" s="12"/>
      <c r="E244" s="44" t="s">
        <v>82</v>
      </c>
      <c r="F244" s="31"/>
      <c r="G244" s="16" t="s">
        <v>24</v>
      </c>
      <c r="H244" s="31"/>
      <c r="I244" s="44" t="s">
        <v>83</v>
      </c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</row>
    <row r="245" ht="15.75" customHeight="1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</row>
    <row r="246" ht="15.75" customHeight="1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</row>
    <row r="247" ht="15.75" customHeight="1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</row>
    <row r="248" ht="15.75" customHeight="1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</row>
    <row r="249" ht="15.75" customHeight="1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</row>
    <row r="250" ht="15.75" customHeight="1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</row>
    <row r="251" ht="15.75" customHeight="1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</row>
    <row r="252" ht="15.75" customHeight="1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</row>
    <row r="253" ht="15.75" customHeight="1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</row>
    <row r="254" ht="15.75" customHeight="1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</row>
    <row r="255" ht="15.75" customHeight="1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</row>
    <row r="256" ht="15.75" customHeight="1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</row>
    <row r="257" ht="15.75" customHeight="1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</row>
    <row r="258" ht="15.75" customHeight="1">
      <c r="A258" s="63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</row>
    <row r="259" ht="15.75" customHeight="1">
      <c r="A259" s="63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</row>
    <row r="260" ht="15.75" customHeight="1">
      <c r="A260" s="63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</row>
    <row r="261" ht="15.75" customHeight="1">
      <c r="A261" s="63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</row>
    <row r="262" ht="15.75" customHeight="1">
      <c r="A262" s="63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</row>
    <row r="263" ht="15.75" customHeight="1">
      <c r="A263" s="63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</row>
    <row r="264" ht="15.75" customHeight="1">
      <c r="A264" s="63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</row>
    <row r="265" ht="15.75" customHeight="1">
      <c r="A265" s="63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</row>
    <row r="266" ht="15.75" customHeight="1">
      <c r="A266" s="63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</row>
    <row r="267" ht="15.75" customHeight="1">
      <c r="A267" s="63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</row>
    <row r="268" ht="15.75" customHeight="1">
      <c r="A268" s="63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</row>
    <row r="269" ht="15.75" customHeight="1">
      <c r="A269" s="63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</row>
    <row r="270" ht="15.75" customHeight="1">
      <c r="A270" s="63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</row>
    <row r="271" ht="15.75" customHeight="1">
      <c r="A271" s="63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</row>
    <row r="272" ht="15.75" customHeight="1">
      <c r="A272" s="63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</row>
    <row r="273" ht="15.75" customHeight="1">
      <c r="A273" s="63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</row>
    <row r="274" ht="15.75" customHeight="1">
      <c r="A274" s="63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</row>
    <row r="275" ht="15.75" customHeight="1">
      <c r="A275" s="63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</row>
    <row r="276" ht="15.75" customHeight="1">
      <c r="A276" s="63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</row>
    <row r="277" ht="15.75" customHeight="1">
      <c r="A277" s="63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</row>
    <row r="278" ht="15.75" customHeight="1">
      <c r="A278" s="63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</row>
    <row r="279" ht="15.75" customHeight="1">
      <c r="A279" s="63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</row>
    <row r="280" ht="15.75" customHeight="1">
      <c r="A280" s="63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</row>
    <row r="281" ht="15.75" customHeight="1">
      <c r="A281" s="63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</row>
    <row r="282" ht="15.75" customHeight="1">
      <c r="A282" s="63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</row>
    <row r="283" ht="15.75" customHeight="1">
      <c r="A283" s="63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</row>
    <row r="284" ht="15.75" customHeight="1">
      <c r="A284" s="63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</row>
    <row r="285" ht="15.75" customHeight="1">
      <c r="A285" s="63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</row>
    <row r="286" ht="15.75" customHeight="1">
      <c r="A286" s="63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</row>
    <row r="287" ht="15.75" customHeight="1">
      <c r="A287" s="63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</row>
    <row r="288" ht="15.75" customHeight="1">
      <c r="A288" s="63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</row>
    <row r="289" ht="15.75" customHeight="1">
      <c r="A289" s="63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</row>
    <row r="290" ht="15.75" customHeight="1">
      <c r="A290" s="63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</row>
    <row r="291" ht="15.75" customHeight="1">
      <c r="A291" s="63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</row>
    <row r="292" ht="15.75" customHeight="1">
      <c r="A292" s="63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</row>
    <row r="293" ht="15.75" customHeight="1">
      <c r="A293" s="63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</row>
    <row r="294" ht="15.75" customHeight="1">
      <c r="A294" s="63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</row>
    <row r="295" ht="15.75" customHeight="1">
      <c r="A295" s="63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</row>
    <row r="296" ht="15.75" customHeight="1">
      <c r="A296" s="63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</row>
    <row r="297" ht="15.75" customHeight="1">
      <c r="A297" s="63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</row>
    <row r="298" ht="15.75" customHeight="1">
      <c r="A298" s="63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</row>
    <row r="299" ht="15.75" customHeight="1">
      <c r="A299" s="63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</row>
    <row r="300" ht="15.75" customHeight="1">
      <c r="A300" s="63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</row>
    <row r="301" ht="15.75" customHeight="1">
      <c r="A301" s="63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</row>
    <row r="302" ht="15.75" customHeight="1">
      <c r="A302" s="63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</row>
    <row r="303" ht="15.75" customHeight="1">
      <c r="A303" s="63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</row>
    <row r="304" ht="15.75" customHeight="1">
      <c r="A304" s="63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</row>
    <row r="305" ht="15.75" customHeight="1">
      <c r="A305" s="63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</row>
    <row r="306" ht="15.75" customHeight="1">
      <c r="A306" s="63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</row>
    <row r="307" ht="15.75" customHeight="1">
      <c r="A307" s="63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</row>
    <row r="308" ht="15.75" customHeight="1">
      <c r="A308" s="63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</row>
    <row r="309" ht="15.75" customHeight="1">
      <c r="A309" s="63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</row>
    <row r="310" ht="15.75" customHeight="1">
      <c r="A310" s="63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</row>
    <row r="311" ht="15.75" customHeight="1">
      <c r="A311" s="63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</row>
    <row r="312" ht="15.75" customHeight="1">
      <c r="A312" s="63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</row>
    <row r="313" ht="15.75" customHeight="1">
      <c r="A313" s="63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</row>
    <row r="314" ht="15.75" customHeight="1">
      <c r="A314" s="63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</row>
    <row r="315" ht="15.75" customHeight="1">
      <c r="A315" s="63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</row>
    <row r="316" ht="15.75" customHeight="1">
      <c r="A316" s="63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</row>
    <row r="317" ht="15.75" customHeight="1">
      <c r="A317" s="63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</row>
    <row r="318" ht="15.75" customHeight="1">
      <c r="A318" s="63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</row>
    <row r="319" ht="15.75" customHeight="1">
      <c r="A319" s="63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</row>
    <row r="320" ht="15.75" customHeight="1">
      <c r="A320" s="63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</row>
    <row r="321" ht="15.75" customHeight="1">
      <c r="A321" s="63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</row>
  </sheetData>
  <mergeCells count="85">
    <mergeCell ref="A85:A89"/>
    <mergeCell ref="A90:A94"/>
    <mergeCell ref="A95:A99"/>
    <mergeCell ref="A100:A104"/>
    <mergeCell ref="A105:A109"/>
    <mergeCell ref="A110:A114"/>
    <mergeCell ref="A115:A119"/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2:A196"/>
    <mergeCell ref="A197:A201"/>
    <mergeCell ref="A202:A206"/>
    <mergeCell ref="A212:A216"/>
    <mergeCell ref="AE205:AG205"/>
    <mergeCell ref="AE207:AF211"/>
    <mergeCell ref="AE152:AF156"/>
    <mergeCell ref="AH152:AI158"/>
    <mergeCell ref="AE187:AG187"/>
    <mergeCell ref="AE188:AG188"/>
    <mergeCell ref="AE191:AM192"/>
    <mergeCell ref="AE204:AG204"/>
    <mergeCell ref="AH206:AI212"/>
    <mergeCell ref="Y9:AC9"/>
    <mergeCell ref="AE15:AG15"/>
    <mergeCell ref="AH16:AI23"/>
    <mergeCell ref="AE17:AG24"/>
    <mergeCell ref="AE25:AG25"/>
    <mergeCell ref="AE28:AG28"/>
    <mergeCell ref="AE31:AG31"/>
    <mergeCell ref="AE34:AG34"/>
    <mergeCell ref="A1:G1"/>
    <mergeCell ref="AE1:AM1"/>
    <mergeCell ref="F2:H2"/>
    <mergeCell ref="Y2:Z2"/>
    <mergeCell ref="A3:A8"/>
    <mergeCell ref="A9:A14"/>
    <mergeCell ref="AE16:AG16"/>
    <mergeCell ref="A57:A62"/>
    <mergeCell ref="A63:A68"/>
    <mergeCell ref="A73:G73"/>
    <mergeCell ref="F74:H74"/>
    <mergeCell ref="A15:A20"/>
    <mergeCell ref="A21:A26"/>
    <mergeCell ref="A27:A32"/>
    <mergeCell ref="A33:A38"/>
    <mergeCell ref="A39:A44"/>
    <mergeCell ref="A45:A50"/>
    <mergeCell ref="A51:A56"/>
    <mergeCell ref="A207:A211"/>
    <mergeCell ref="A75:A79"/>
    <mergeCell ref="A80:A84"/>
    <mergeCell ref="AE84:AG84"/>
    <mergeCell ref="AE85:AG85"/>
    <mergeCell ref="AE88:AM89"/>
    <mergeCell ref="AE100:AG100"/>
    <mergeCell ref="AE101:AG101"/>
    <mergeCell ref="A124:G124"/>
    <mergeCell ref="F125:H125"/>
    <mergeCell ref="AE106:AF110"/>
    <mergeCell ref="AH106:AI112"/>
    <mergeCell ref="AE135:AG135"/>
    <mergeCell ref="AE136:AG136"/>
    <mergeCell ref="AE138:AM139"/>
    <mergeCell ref="AE150:AG150"/>
    <mergeCell ref="AE151:AG15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22.88"/>
    <col hidden="1" min="16" max="25" width="12.63"/>
    <col customWidth="1" min="27" max="27" width="17.7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2" t="s">
        <v>190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8" t="s">
        <v>11</v>
      </c>
      <c r="O2" s="18" t="s">
        <v>12</v>
      </c>
      <c r="P2" s="18" t="s">
        <v>13</v>
      </c>
      <c r="Q2" s="18" t="s">
        <v>14</v>
      </c>
      <c r="R2" s="18" t="s">
        <v>15</v>
      </c>
      <c r="S2" s="18" t="s">
        <v>16</v>
      </c>
      <c r="T2" s="18" t="s">
        <v>17</v>
      </c>
      <c r="U2" s="18" t="s">
        <v>18</v>
      </c>
      <c r="V2" s="18" t="s">
        <v>19</v>
      </c>
      <c r="W2" s="2"/>
      <c r="X2" s="132" t="s">
        <v>20</v>
      </c>
      <c r="Y2" s="8"/>
      <c r="Z2" s="2"/>
      <c r="AA2" s="120" t="s">
        <v>163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55</v>
      </c>
      <c r="D3" s="12" t="s">
        <v>191</v>
      </c>
      <c r="E3" s="44" t="s">
        <v>110</v>
      </c>
      <c r="F3" s="17">
        <v>2.0</v>
      </c>
      <c r="G3" s="92" t="s">
        <v>24</v>
      </c>
      <c r="H3" s="133">
        <v>0.0</v>
      </c>
      <c r="I3" s="44" t="s">
        <v>58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21" t="s">
        <v>110</v>
      </c>
      <c r="P3" s="134">
        <f t="shared" ref="P3:P14" si="3">SUMIF(E$3:E$68,O3,K$3:K$68)+SUMIF(I$3:I$68,O3,L$3:L$68)</f>
        <v>21</v>
      </c>
      <c r="Q3" s="134">
        <f t="shared" ref="Q3:Q14" si="4">COUNTIFS(E$3:E$68,O3,K$3:K$68,3)+COUNTIFS(I$3:I$68,O3,L$3:L$68,3)</f>
        <v>7</v>
      </c>
      <c r="R3" s="134">
        <f t="shared" ref="R3:R14" si="5">COUNTIFS(E$3:E$68,O3,K$3:K$68,1)+COUNTIFS(I$3:I$68,O3,L$3:L$68,1)</f>
        <v>0</v>
      </c>
      <c r="S3" s="135">
        <f t="shared" ref="S3:S14" si="6">COUNTIFS(E$3:E$68,O3,K$3:K$68,0)+COUNTIFS(I$3:I$68,O3,L$3:L$68,0)</f>
        <v>3</v>
      </c>
      <c r="T3" s="134">
        <f t="shared" ref="T3:T14" si="7">SUMIF(E$3:E$68,O3,F$3:F$68)+SUMIF(I$3:I$68,O3,H$3:H$68)</f>
        <v>29</v>
      </c>
      <c r="U3" s="135">
        <f t="shared" ref="U3:U14" si="8">SUMIF(E$3:E$68,O3,H$3:H$68)+SUMIF(I$3:I$68,O3,F$3:F$68)</f>
        <v>18</v>
      </c>
      <c r="V3" s="134">
        <f t="shared" ref="V3:V14" si="9">T3-U3</f>
        <v>11</v>
      </c>
      <c r="W3" s="2"/>
      <c r="X3" s="136" t="s">
        <v>26</v>
      </c>
      <c r="Y3" s="136" t="s">
        <v>13</v>
      </c>
      <c r="Z3" s="2"/>
      <c r="AA3" s="22" t="s">
        <v>29</v>
      </c>
      <c r="AB3" s="28" t="str">
        <f t="array" ref="AB3:AI14">SORT(O3:V14,2,FALSE,9,FALSE,8,FALSE())</f>
        <v>Fisioterapia</v>
      </c>
      <c r="AC3" s="28">
        <v>28.0</v>
      </c>
      <c r="AD3" s="28">
        <v>9.0</v>
      </c>
      <c r="AE3" s="28">
        <v>1.0</v>
      </c>
      <c r="AF3" s="28">
        <v>0.0</v>
      </c>
      <c r="AG3" s="28">
        <v>38.0</v>
      </c>
      <c r="AH3" s="28">
        <v>8.0</v>
      </c>
      <c r="AI3" s="28">
        <v>30.0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52</v>
      </c>
      <c r="D4" s="12" t="s">
        <v>191</v>
      </c>
      <c r="E4" s="44" t="s">
        <v>39</v>
      </c>
      <c r="F4" s="17">
        <v>1.0</v>
      </c>
      <c r="G4" s="92" t="s">
        <v>24</v>
      </c>
      <c r="H4" s="133">
        <v>2.0</v>
      </c>
      <c r="I4" s="44" t="s">
        <v>63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21" t="s">
        <v>33</v>
      </c>
      <c r="P4" s="134">
        <f t="shared" si="3"/>
        <v>22</v>
      </c>
      <c r="Q4" s="134">
        <f t="shared" si="4"/>
        <v>7</v>
      </c>
      <c r="R4" s="134">
        <f t="shared" si="5"/>
        <v>1</v>
      </c>
      <c r="S4" s="135">
        <f t="shared" si="6"/>
        <v>2</v>
      </c>
      <c r="T4" s="134">
        <f t="shared" si="7"/>
        <v>36</v>
      </c>
      <c r="U4" s="135">
        <f t="shared" si="8"/>
        <v>12</v>
      </c>
      <c r="V4" s="134">
        <f t="shared" si="9"/>
        <v>24</v>
      </c>
      <c r="W4" s="2"/>
      <c r="X4" s="137" t="s">
        <v>25</v>
      </c>
      <c r="Y4" s="137">
        <v>3.0</v>
      </c>
      <c r="Z4" s="2"/>
      <c r="AA4" s="22" t="s">
        <v>34</v>
      </c>
      <c r="AB4" s="28" t="s">
        <v>25</v>
      </c>
      <c r="AC4" s="28">
        <v>25.0</v>
      </c>
      <c r="AD4" s="28">
        <v>8.0</v>
      </c>
      <c r="AE4" s="28">
        <v>1.0</v>
      </c>
      <c r="AF4" s="28">
        <v>1.0</v>
      </c>
      <c r="AG4" s="28">
        <v>27.0</v>
      </c>
      <c r="AH4" s="28">
        <v>7.0</v>
      </c>
      <c r="AI4" s="28">
        <v>20.0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26">
        <v>45950.0</v>
      </c>
      <c r="C5" s="12" t="s">
        <v>53</v>
      </c>
      <c r="D5" s="12" t="s">
        <v>191</v>
      </c>
      <c r="E5" s="44" t="s">
        <v>23</v>
      </c>
      <c r="F5" s="17">
        <v>1.0</v>
      </c>
      <c r="G5" s="92" t="s">
        <v>24</v>
      </c>
      <c r="H5" s="133">
        <v>1.0</v>
      </c>
      <c r="I5" s="44" t="s">
        <v>37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58</v>
      </c>
      <c r="P5" s="134">
        <f t="shared" si="3"/>
        <v>1</v>
      </c>
      <c r="Q5" s="134">
        <f t="shared" si="4"/>
        <v>0</v>
      </c>
      <c r="R5" s="134">
        <f t="shared" si="5"/>
        <v>1</v>
      </c>
      <c r="S5" s="135">
        <f t="shared" si="6"/>
        <v>9</v>
      </c>
      <c r="T5" s="134">
        <f t="shared" si="7"/>
        <v>6</v>
      </c>
      <c r="U5" s="135">
        <f t="shared" si="8"/>
        <v>27</v>
      </c>
      <c r="V5" s="134">
        <f t="shared" si="9"/>
        <v>-21</v>
      </c>
      <c r="W5" s="2"/>
      <c r="X5" s="137" t="s">
        <v>165</v>
      </c>
      <c r="Y5" s="137">
        <v>0.0</v>
      </c>
      <c r="Z5" s="2"/>
      <c r="AA5" s="22" t="s">
        <v>38</v>
      </c>
      <c r="AB5" s="28" t="s">
        <v>33</v>
      </c>
      <c r="AC5" s="28">
        <v>22.0</v>
      </c>
      <c r="AD5" s="28">
        <v>7.0</v>
      </c>
      <c r="AE5" s="28">
        <v>1.0</v>
      </c>
      <c r="AF5" s="28">
        <v>2.0</v>
      </c>
      <c r="AG5" s="28">
        <v>36.0</v>
      </c>
      <c r="AH5" s="28">
        <v>12.0</v>
      </c>
      <c r="AI5" s="28">
        <v>24.0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52</v>
      </c>
      <c r="D6" s="12" t="s">
        <v>191</v>
      </c>
      <c r="E6" s="44" t="s">
        <v>25</v>
      </c>
      <c r="F6" s="17">
        <v>2.0</v>
      </c>
      <c r="G6" s="92" t="s">
        <v>24</v>
      </c>
      <c r="H6" s="133">
        <v>1.0</v>
      </c>
      <c r="I6" s="44" t="s">
        <v>36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66</v>
      </c>
      <c r="P6" s="134">
        <f t="shared" si="3"/>
        <v>4</v>
      </c>
      <c r="Q6" s="134">
        <f t="shared" si="4"/>
        <v>1</v>
      </c>
      <c r="R6" s="134">
        <f t="shared" si="5"/>
        <v>1</v>
      </c>
      <c r="S6" s="135">
        <f t="shared" si="6"/>
        <v>8</v>
      </c>
      <c r="T6" s="134">
        <f t="shared" si="7"/>
        <v>11</v>
      </c>
      <c r="U6" s="135">
        <f t="shared" si="8"/>
        <v>35</v>
      </c>
      <c r="V6" s="134">
        <f t="shared" si="9"/>
        <v>-24</v>
      </c>
      <c r="W6" s="2"/>
      <c r="X6" s="2"/>
      <c r="Y6" s="2"/>
      <c r="Z6" s="2"/>
      <c r="AA6" s="22" t="s">
        <v>41</v>
      </c>
      <c r="AB6" s="28" t="s">
        <v>110</v>
      </c>
      <c r="AC6" s="28">
        <v>21.0</v>
      </c>
      <c r="AD6" s="28">
        <v>7.0</v>
      </c>
      <c r="AE6" s="28">
        <v>0.0</v>
      </c>
      <c r="AF6" s="28">
        <v>3.0</v>
      </c>
      <c r="AG6" s="28">
        <v>29.0</v>
      </c>
      <c r="AH6" s="28">
        <v>18.0</v>
      </c>
      <c r="AI6" s="28">
        <v>11.0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53</v>
      </c>
      <c r="D7" s="12" t="s">
        <v>191</v>
      </c>
      <c r="E7" s="44" t="s">
        <v>66</v>
      </c>
      <c r="F7" s="17"/>
      <c r="G7" s="92" t="s">
        <v>24</v>
      </c>
      <c r="H7" s="133"/>
      <c r="I7" s="14" t="s">
        <v>165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21" t="s">
        <v>63</v>
      </c>
      <c r="P7" s="134">
        <f t="shared" si="3"/>
        <v>12</v>
      </c>
      <c r="Q7" s="134">
        <f t="shared" si="4"/>
        <v>4</v>
      </c>
      <c r="R7" s="134">
        <f t="shared" si="5"/>
        <v>0</v>
      </c>
      <c r="S7" s="135">
        <f t="shared" si="6"/>
        <v>6</v>
      </c>
      <c r="T7" s="134">
        <f t="shared" si="7"/>
        <v>17</v>
      </c>
      <c r="U7" s="135">
        <f t="shared" si="8"/>
        <v>46</v>
      </c>
      <c r="V7" s="134">
        <f t="shared" si="9"/>
        <v>-29</v>
      </c>
      <c r="W7" s="2"/>
      <c r="X7" s="2"/>
      <c r="Y7" s="2"/>
      <c r="Z7" s="2"/>
      <c r="AA7" s="22" t="s">
        <v>44</v>
      </c>
      <c r="AB7" s="28" t="s">
        <v>37</v>
      </c>
      <c r="AC7" s="28">
        <v>18.0</v>
      </c>
      <c r="AD7" s="28">
        <v>5.0</v>
      </c>
      <c r="AE7" s="28">
        <v>3.0</v>
      </c>
      <c r="AF7" s="28">
        <v>2.0</v>
      </c>
      <c r="AG7" s="28">
        <v>24.0</v>
      </c>
      <c r="AH7" s="28">
        <v>16.0</v>
      </c>
      <c r="AI7" s="28">
        <v>8.0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3">
        <v>45952.0</v>
      </c>
      <c r="C8" s="12" t="s">
        <v>53</v>
      </c>
      <c r="D8" s="12" t="s">
        <v>191</v>
      </c>
      <c r="E8" s="44" t="s">
        <v>107</v>
      </c>
      <c r="F8" s="15">
        <v>1.0</v>
      </c>
      <c r="G8" s="92" t="s">
        <v>24</v>
      </c>
      <c r="H8" s="17">
        <v>2.0</v>
      </c>
      <c r="I8" s="44" t="s">
        <v>33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25</v>
      </c>
      <c r="P8" s="134">
        <f t="shared" si="3"/>
        <v>25</v>
      </c>
      <c r="Q8" s="134">
        <f t="shared" si="4"/>
        <v>8</v>
      </c>
      <c r="R8" s="134">
        <f t="shared" si="5"/>
        <v>1</v>
      </c>
      <c r="S8" s="135">
        <f t="shared" si="6"/>
        <v>1</v>
      </c>
      <c r="T8" s="134">
        <f t="shared" si="7"/>
        <v>27</v>
      </c>
      <c r="U8" s="135">
        <f t="shared" si="8"/>
        <v>7</v>
      </c>
      <c r="V8" s="134">
        <f t="shared" si="9"/>
        <v>20</v>
      </c>
      <c r="W8" s="2"/>
      <c r="X8" s="2"/>
      <c r="Y8" s="2"/>
      <c r="Z8" s="2"/>
      <c r="AA8" s="22" t="s">
        <v>47</v>
      </c>
      <c r="AB8" s="28" t="s">
        <v>36</v>
      </c>
      <c r="AC8" s="28">
        <v>12.0</v>
      </c>
      <c r="AD8" s="28">
        <v>3.0</v>
      </c>
      <c r="AE8" s="28">
        <v>3.0</v>
      </c>
      <c r="AF8" s="28">
        <v>4.0</v>
      </c>
      <c r="AG8" s="28">
        <v>23.0</v>
      </c>
      <c r="AH8" s="28">
        <v>23.0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3">
        <v>45971.0</v>
      </c>
      <c r="C9" s="12" t="s">
        <v>55</v>
      </c>
      <c r="D9" s="12" t="s">
        <v>191</v>
      </c>
      <c r="E9" s="44" t="s">
        <v>58</v>
      </c>
      <c r="F9" s="15">
        <v>0.0</v>
      </c>
      <c r="G9" s="92" t="s">
        <v>24</v>
      </c>
      <c r="H9" s="133">
        <v>1.0</v>
      </c>
      <c r="I9" s="44" t="s">
        <v>107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21" t="s">
        <v>37</v>
      </c>
      <c r="P9" s="134">
        <f t="shared" si="3"/>
        <v>18</v>
      </c>
      <c r="Q9" s="134">
        <f t="shared" si="4"/>
        <v>5</v>
      </c>
      <c r="R9" s="134">
        <f t="shared" si="5"/>
        <v>3</v>
      </c>
      <c r="S9" s="135">
        <f t="shared" si="6"/>
        <v>2</v>
      </c>
      <c r="T9" s="134">
        <f t="shared" si="7"/>
        <v>24</v>
      </c>
      <c r="U9" s="135">
        <f t="shared" si="8"/>
        <v>16</v>
      </c>
      <c r="V9" s="134">
        <f t="shared" si="9"/>
        <v>8</v>
      </c>
      <c r="W9" s="2"/>
      <c r="X9" s="2"/>
      <c r="Y9" s="2"/>
      <c r="Z9" s="2"/>
      <c r="AA9" s="22">
        <v>7.0</v>
      </c>
      <c r="AB9" s="28" t="s">
        <v>63</v>
      </c>
      <c r="AC9" s="28">
        <v>12.0</v>
      </c>
      <c r="AD9" s="28">
        <v>4.0</v>
      </c>
      <c r="AE9" s="28">
        <v>0.0</v>
      </c>
      <c r="AF9" s="28">
        <v>6.0</v>
      </c>
      <c r="AG9" s="28">
        <v>17.0</v>
      </c>
      <c r="AH9" s="28">
        <v>46.0</v>
      </c>
      <c r="AI9" s="28">
        <v>-29.0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3">
        <v>45994.0</v>
      </c>
      <c r="C10" s="12" t="s">
        <v>160</v>
      </c>
      <c r="D10" s="12" t="s">
        <v>191</v>
      </c>
      <c r="E10" s="44" t="s">
        <v>63</v>
      </c>
      <c r="F10" s="15">
        <v>1.0</v>
      </c>
      <c r="G10" s="92" t="s">
        <v>24</v>
      </c>
      <c r="H10" s="133">
        <v>8.0</v>
      </c>
      <c r="I10" s="44" t="s">
        <v>110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21" t="s">
        <v>23</v>
      </c>
      <c r="P10" s="134">
        <f t="shared" si="3"/>
        <v>28</v>
      </c>
      <c r="Q10" s="134">
        <f t="shared" si="4"/>
        <v>9</v>
      </c>
      <c r="R10" s="134">
        <f t="shared" si="5"/>
        <v>1</v>
      </c>
      <c r="S10" s="135">
        <f t="shared" si="6"/>
        <v>0</v>
      </c>
      <c r="T10" s="134">
        <f t="shared" si="7"/>
        <v>38</v>
      </c>
      <c r="U10" s="135">
        <f t="shared" si="8"/>
        <v>8</v>
      </c>
      <c r="V10" s="134">
        <f t="shared" si="9"/>
        <v>30</v>
      </c>
      <c r="W10" s="2"/>
      <c r="X10" s="2"/>
      <c r="Y10" s="2"/>
      <c r="Z10" s="2"/>
      <c r="AA10" s="22">
        <v>8.0</v>
      </c>
      <c r="AB10" s="28" t="s">
        <v>39</v>
      </c>
      <c r="AC10" s="28">
        <v>10.0</v>
      </c>
      <c r="AD10" s="28">
        <v>3.0</v>
      </c>
      <c r="AE10" s="28">
        <v>1.0</v>
      </c>
      <c r="AF10" s="28">
        <v>6.0</v>
      </c>
      <c r="AG10" s="28">
        <v>12.0</v>
      </c>
      <c r="AH10" s="28">
        <v>14.0</v>
      </c>
      <c r="AI10" s="28">
        <v>-2.0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3">
        <v>45964.0</v>
      </c>
      <c r="C11" s="12" t="s">
        <v>192</v>
      </c>
      <c r="D11" s="12" t="s">
        <v>191</v>
      </c>
      <c r="E11" s="44" t="s">
        <v>37</v>
      </c>
      <c r="F11" s="15">
        <v>3.0</v>
      </c>
      <c r="G11" s="92" t="s">
        <v>24</v>
      </c>
      <c r="H11" s="133">
        <v>1.0</v>
      </c>
      <c r="I11" s="44" t="s">
        <v>39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36</v>
      </c>
      <c r="P11" s="134">
        <f t="shared" si="3"/>
        <v>12</v>
      </c>
      <c r="Q11" s="134">
        <f t="shared" si="4"/>
        <v>3</v>
      </c>
      <c r="R11" s="134">
        <f t="shared" si="5"/>
        <v>3</v>
      </c>
      <c r="S11" s="135">
        <f t="shared" si="6"/>
        <v>4</v>
      </c>
      <c r="T11" s="134">
        <f t="shared" si="7"/>
        <v>23</v>
      </c>
      <c r="U11" s="135">
        <f t="shared" si="8"/>
        <v>23</v>
      </c>
      <c r="V11" s="134">
        <f t="shared" si="9"/>
        <v>0</v>
      </c>
      <c r="W11" s="2"/>
      <c r="X11" s="2"/>
      <c r="Y11" s="2"/>
      <c r="Z11" s="2"/>
      <c r="AA11" s="124" t="s">
        <v>96</v>
      </c>
      <c r="AB11" s="28" t="s">
        <v>107</v>
      </c>
      <c r="AC11" s="28">
        <v>6.0</v>
      </c>
      <c r="AD11" s="28">
        <v>2.0</v>
      </c>
      <c r="AE11" s="28">
        <v>0.0</v>
      </c>
      <c r="AF11" s="28">
        <v>8.0</v>
      </c>
      <c r="AG11" s="28">
        <v>12.0</v>
      </c>
      <c r="AH11" s="28">
        <v>29.0</v>
      </c>
      <c r="AI11" s="28">
        <v>-17.0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45964.0</v>
      </c>
      <c r="C12" s="39" t="s">
        <v>193</v>
      </c>
      <c r="D12" s="12" t="s">
        <v>191</v>
      </c>
      <c r="E12" s="44" t="s">
        <v>36</v>
      </c>
      <c r="F12" s="17">
        <v>0.0</v>
      </c>
      <c r="G12" s="92" t="s">
        <v>24</v>
      </c>
      <c r="H12" s="133">
        <v>4.0</v>
      </c>
      <c r="I12" s="44" t="s">
        <v>23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21" t="s">
        <v>39</v>
      </c>
      <c r="P12" s="134">
        <f t="shared" si="3"/>
        <v>10</v>
      </c>
      <c r="Q12" s="134">
        <f t="shared" si="4"/>
        <v>3</v>
      </c>
      <c r="R12" s="134">
        <f t="shared" si="5"/>
        <v>1</v>
      </c>
      <c r="S12" s="135">
        <f t="shared" si="6"/>
        <v>6</v>
      </c>
      <c r="T12" s="134">
        <f t="shared" si="7"/>
        <v>12</v>
      </c>
      <c r="U12" s="135">
        <f t="shared" si="8"/>
        <v>14</v>
      </c>
      <c r="V12" s="134">
        <f t="shared" si="9"/>
        <v>-2</v>
      </c>
      <c r="W12" s="2"/>
      <c r="X12" s="2"/>
      <c r="Y12" s="2"/>
      <c r="Z12" s="2"/>
      <c r="AA12" s="76">
        <v>10.0</v>
      </c>
      <c r="AB12" s="28" t="s">
        <v>66</v>
      </c>
      <c r="AC12" s="28">
        <v>4.0</v>
      </c>
      <c r="AD12" s="28">
        <v>1.0</v>
      </c>
      <c r="AE12" s="28">
        <v>1.0</v>
      </c>
      <c r="AF12" s="28">
        <v>8.0</v>
      </c>
      <c r="AG12" s="28">
        <v>11.0</v>
      </c>
      <c r="AH12" s="28">
        <v>35.0</v>
      </c>
      <c r="AI12" s="28">
        <v>-24.0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194</v>
      </c>
      <c r="D13" s="12" t="s">
        <v>191</v>
      </c>
      <c r="E13" s="14" t="s">
        <v>165</v>
      </c>
      <c r="F13" s="17"/>
      <c r="G13" s="92" t="s">
        <v>24</v>
      </c>
      <c r="H13" s="133"/>
      <c r="I13" s="44" t="s">
        <v>25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21" t="s">
        <v>165</v>
      </c>
      <c r="P13" s="134">
        <f t="shared" si="3"/>
        <v>0</v>
      </c>
      <c r="Q13" s="134">
        <f t="shared" si="4"/>
        <v>0</v>
      </c>
      <c r="R13" s="134">
        <f t="shared" si="5"/>
        <v>0</v>
      </c>
      <c r="S13" s="135">
        <f t="shared" si="6"/>
        <v>0</v>
      </c>
      <c r="T13" s="134">
        <f t="shared" si="7"/>
        <v>0</v>
      </c>
      <c r="U13" s="135">
        <f t="shared" si="8"/>
        <v>0</v>
      </c>
      <c r="V13" s="134">
        <f t="shared" si="9"/>
        <v>0</v>
      </c>
      <c r="W13" s="2"/>
      <c r="X13" s="2"/>
      <c r="Y13" s="2"/>
      <c r="Z13" s="2"/>
      <c r="AA13" s="76">
        <v>11.0</v>
      </c>
      <c r="AB13" s="28" t="s">
        <v>58</v>
      </c>
      <c r="AC13" s="28">
        <v>1.0</v>
      </c>
      <c r="AD13" s="28">
        <v>0.0</v>
      </c>
      <c r="AE13" s="28">
        <v>1.0</v>
      </c>
      <c r="AF13" s="28">
        <v>9.0</v>
      </c>
      <c r="AG13" s="28">
        <v>6.0</v>
      </c>
      <c r="AH13" s="28">
        <v>27.0</v>
      </c>
      <c r="AI13" s="28">
        <v>-21.0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154</v>
      </c>
      <c r="D14" s="12" t="s">
        <v>191</v>
      </c>
      <c r="E14" s="44" t="s">
        <v>33</v>
      </c>
      <c r="F14" s="17">
        <v>6.0</v>
      </c>
      <c r="G14" s="92" t="s">
        <v>24</v>
      </c>
      <c r="H14" s="133">
        <v>1.0</v>
      </c>
      <c r="I14" s="44" t="s">
        <v>66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21" t="s">
        <v>107</v>
      </c>
      <c r="P14" s="134">
        <f t="shared" si="3"/>
        <v>6</v>
      </c>
      <c r="Q14" s="134">
        <f t="shared" si="4"/>
        <v>2</v>
      </c>
      <c r="R14" s="134">
        <f t="shared" si="5"/>
        <v>0</v>
      </c>
      <c r="S14" s="135">
        <f t="shared" si="6"/>
        <v>8</v>
      </c>
      <c r="T14" s="134">
        <f t="shared" si="7"/>
        <v>12</v>
      </c>
      <c r="U14" s="135">
        <f t="shared" si="8"/>
        <v>29</v>
      </c>
      <c r="V14" s="134">
        <f t="shared" si="9"/>
        <v>-17</v>
      </c>
      <c r="W14" s="2"/>
      <c r="X14" s="2"/>
      <c r="Y14" s="2"/>
      <c r="Z14" s="2"/>
      <c r="AA14" s="76">
        <v>12.0</v>
      </c>
      <c r="AB14" s="28" t="s">
        <v>165</v>
      </c>
      <c r="AC14" s="28">
        <v>0.0</v>
      </c>
      <c r="AD14" s="28">
        <v>0.0</v>
      </c>
      <c r="AE14" s="28">
        <v>0.0</v>
      </c>
      <c r="AF14" s="28">
        <v>0.0</v>
      </c>
      <c r="AG14" s="28">
        <v>0.0</v>
      </c>
      <c r="AH14" s="28">
        <v>0.0</v>
      </c>
      <c r="AI14" s="28">
        <v>0.0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52</v>
      </c>
      <c r="D15" s="12" t="s">
        <v>191</v>
      </c>
      <c r="E15" s="44" t="s">
        <v>58</v>
      </c>
      <c r="F15" s="17">
        <v>1.0</v>
      </c>
      <c r="G15" s="92" t="s">
        <v>24</v>
      </c>
      <c r="H15" s="133">
        <v>3.0</v>
      </c>
      <c r="I15" s="44" t="s">
        <v>63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195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52</v>
      </c>
      <c r="D16" s="12" t="s">
        <v>191</v>
      </c>
      <c r="E16" s="44" t="s">
        <v>110</v>
      </c>
      <c r="F16" s="17">
        <v>1.0</v>
      </c>
      <c r="G16" s="92" t="s">
        <v>24</v>
      </c>
      <c r="H16" s="133">
        <v>0.0</v>
      </c>
      <c r="I16" s="44" t="s">
        <v>37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9" t="s">
        <v>101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55</v>
      </c>
      <c r="D17" s="12" t="s">
        <v>191</v>
      </c>
      <c r="E17" s="44" t="s">
        <v>39</v>
      </c>
      <c r="F17" s="17">
        <v>1.0</v>
      </c>
      <c r="G17" s="92" t="s">
        <v>24</v>
      </c>
      <c r="H17" s="133">
        <v>0.0</v>
      </c>
      <c r="I17" s="44" t="s">
        <v>36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192</v>
      </c>
      <c r="D18" s="12" t="s">
        <v>191</v>
      </c>
      <c r="E18" s="44" t="s">
        <v>23</v>
      </c>
      <c r="F18" s="14"/>
      <c r="G18" s="92" t="s">
        <v>24</v>
      </c>
      <c r="H18" s="133"/>
      <c r="I18" s="14" t="s">
        <v>165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3">
        <v>45986.0</v>
      </c>
      <c r="C19" s="39" t="s">
        <v>193</v>
      </c>
      <c r="D19" s="12" t="s">
        <v>191</v>
      </c>
      <c r="E19" s="44" t="s">
        <v>25</v>
      </c>
      <c r="F19" s="17">
        <v>2.0</v>
      </c>
      <c r="G19" s="92" t="s">
        <v>24</v>
      </c>
      <c r="H19" s="133">
        <v>1.0</v>
      </c>
      <c r="I19" s="44" t="s">
        <v>33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3">
        <v>45986.0</v>
      </c>
      <c r="C20" s="12" t="s">
        <v>194</v>
      </c>
      <c r="D20" s="12" t="s">
        <v>191</v>
      </c>
      <c r="E20" s="44" t="s">
        <v>107</v>
      </c>
      <c r="F20" s="17">
        <v>5.0</v>
      </c>
      <c r="G20" s="92" t="s">
        <v>24</v>
      </c>
      <c r="H20" s="133">
        <v>1.0</v>
      </c>
      <c r="I20" s="44" t="s">
        <v>66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89">
        <v>46000.0</v>
      </c>
      <c r="C21" s="12" t="s">
        <v>55</v>
      </c>
      <c r="D21" s="12" t="s">
        <v>191</v>
      </c>
      <c r="E21" s="44" t="s">
        <v>63</v>
      </c>
      <c r="F21" s="17">
        <v>4.0</v>
      </c>
      <c r="G21" s="92" t="s">
        <v>24</v>
      </c>
      <c r="H21" s="133">
        <v>1.0</v>
      </c>
      <c r="I21" s="44" t="s">
        <v>107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89">
        <v>46078.0</v>
      </c>
      <c r="C22" s="12" t="s">
        <v>169</v>
      </c>
      <c r="D22" s="12" t="s">
        <v>191</v>
      </c>
      <c r="E22" s="44" t="s">
        <v>37</v>
      </c>
      <c r="F22" s="17">
        <v>5.0</v>
      </c>
      <c r="G22" s="92" t="s">
        <v>24</v>
      </c>
      <c r="H22" s="133">
        <v>3.0</v>
      </c>
      <c r="I22" s="44" t="s">
        <v>58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89">
        <v>46078.0</v>
      </c>
      <c r="C23" s="12" t="s">
        <v>160</v>
      </c>
      <c r="D23" s="12" t="s">
        <v>191</v>
      </c>
      <c r="E23" s="44" t="s">
        <v>36</v>
      </c>
      <c r="F23" s="17">
        <v>1.0</v>
      </c>
      <c r="G23" s="92" t="s">
        <v>24</v>
      </c>
      <c r="H23" s="133">
        <v>7.0</v>
      </c>
      <c r="I23" s="44" t="s">
        <v>110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89">
        <v>46000.0</v>
      </c>
      <c r="C24" s="39" t="s">
        <v>53</v>
      </c>
      <c r="D24" s="12" t="s">
        <v>191</v>
      </c>
      <c r="E24" s="14" t="s">
        <v>165</v>
      </c>
      <c r="F24" s="17"/>
      <c r="G24" s="92" t="s">
        <v>24</v>
      </c>
      <c r="H24" s="133"/>
      <c r="I24" s="44" t="s">
        <v>39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89">
        <v>46078.0</v>
      </c>
      <c r="C25" s="12" t="s">
        <v>154</v>
      </c>
      <c r="D25" s="12" t="s">
        <v>191</v>
      </c>
      <c r="E25" s="44" t="s">
        <v>33</v>
      </c>
      <c r="F25" s="17">
        <v>1.0</v>
      </c>
      <c r="G25" s="92" t="s">
        <v>24</v>
      </c>
      <c r="H25" s="133">
        <v>2.0</v>
      </c>
      <c r="I25" s="44" t="s">
        <v>23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89">
        <v>46000.0</v>
      </c>
      <c r="C26" s="12" t="s">
        <v>52</v>
      </c>
      <c r="D26" s="12" t="s">
        <v>191</v>
      </c>
      <c r="E26" s="44" t="s">
        <v>66</v>
      </c>
      <c r="F26" s="17">
        <v>1.0</v>
      </c>
      <c r="G26" s="92" t="s">
        <v>24</v>
      </c>
      <c r="H26" s="133">
        <v>4.0</v>
      </c>
      <c r="I26" s="44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3">
        <v>46083.0</v>
      </c>
      <c r="C27" s="12" t="s">
        <v>55</v>
      </c>
      <c r="D27" s="12" t="s">
        <v>191</v>
      </c>
      <c r="E27" s="44" t="s">
        <v>63</v>
      </c>
      <c r="F27" s="17">
        <v>1.0</v>
      </c>
      <c r="G27" s="92" t="s">
        <v>24</v>
      </c>
      <c r="H27" s="133">
        <v>3.0</v>
      </c>
      <c r="I27" s="44" t="s">
        <v>37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46083.0</v>
      </c>
      <c r="C28" s="39" t="s">
        <v>52</v>
      </c>
      <c r="D28" s="12" t="s">
        <v>191</v>
      </c>
      <c r="E28" s="44" t="s">
        <v>58</v>
      </c>
      <c r="F28" s="17">
        <v>1.0</v>
      </c>
      <c r="G28" s="92" t="s">
        <v>24</v>
      </c>
      <c r="H28" s="133">
        <v>3.0</v>
      </c>
      <c r="I28" s="44" t="s">
        <v>36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46083.0</v>
      </c>
      <c r="C29" s="12" t="s">
        <v>53</v>
      </c>
      <c r="D29" s="12" t="s">
        <v>191</v>
      </c>
      <c r="E29" s="44" t="s">
        <v>110</v>
      </c>
      <c r="F29" s="17"/>
      <c r="G29" s="92" t="s">
        <v>24</v>
      </c>
      <c r="H29" s="133"/>
      <c r="I29" s="14" t="s">
        <v>165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46085.0</v>
      </c>
      <c r="C30" s="12" t="s">
        <v>53</v>
      </c>
      <c r="D30" s="12" t="s">
        <v>191</v>
      </c>
      <c r="E30" s="44" t="s">
        <v>39</v>
      </c>
      <c r="F30" s="17">
        <v>1.0</v>
      </c>
      <c r="G30" s="92" t="s">
        <v>24</v>
      </c>
      <c r="H30" s="133">
        <v>3.0</v>
      </c>
      <c r="I30" s="44" t="s">
        <v>33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3">
        <v>46085.0</v>
      </c>
      <c r="C31" s="39" t="s">
        <v>52</v>
      </c>
      <c r="D31" s="12" t="s">
        <v>191</v>
      </c>
      <c r="E31" s="44" t="s">
        <v>23</v>
      </c>
      <c r="F31" s="17">
        <v>3.0</v>
      </c>
      <c r="G31" s="92" t="s">
        <v>24</v>
      </c>
      <c r="H31" s="133">
        <v>0.0</v>
      </c>
      <c r="I31" s="44" t="s">
        <v>66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3">
        <v>46085.0</v>
      </c>
      <c r="C32" s="12" t="s">
        <v>55</v>
      </c>
      <c r="D32" s="12" t="s">
        <v>191</v>
      </c>
      <c r="E32" s="55" t="s">
        <v>107</v>
      </c>
      <c r="F32" s="17">
        <v>0.0</v>
      </c>
      <c r="G32" s="92" t="s">
        <v>24</v>
      </c>
      <c r="H32" s="133">
        <v>3.0</v>
      </c>
      <c r="I32" s="44" t="s">
        <v>25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3">
        <v>46093.0</v>
      </c>
      <c r="C33" s="12" t="s">
        <v>55</v>
      </c>
      <c r="D33" s="12" t="s">
        <v>191</v>
      </c>
      <c r="E33" s="44" t="s">
        <v>37</v>
      </c>
      <c r="F33" s="17">
        <v>5.0</v>
      </c>
      <c r="G33" s="92" t="s">
        <v>24</v>
      </c>
      <c r="H33" s="133">
        <v>0.0</v>
      </c>
      <c r="I33" s="44" t="s">
        <v>107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46092.0</v>
      </c>
      <c r="C34" s="39" t="s">
        <v>52</v>
      </c>
      <c r="D34" s="12" t="s">
        <v>191</v>
      </c>
      <c r="E34" s="44" t="s">
        <v>36</v>
      </c>
      <c r="F34" s="17">
        <v>7.0</v>
      </c>
      <c r="G34" s="92" t="s">
        <v>24</v>
      </c>
      <c r="H34" s="133">
        <v>1.0</v>
      </c>
      <c r="I34" s="44" t="s">
        <v>63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46092.0</v>
      </c>
      <c r="C35" s="12" t="s">
        <v>53</v>
      </c>
      <c r="D35" s="12" t="s">
        <v>191</v>
      </c>
      <c r="E35" s="14" t="s">
        <v>165</v>
      </c>
      <c r="F35" s="17"/>
      <c r="G35" s="92" t="s">
        <v>24</v>
      </c>
      <c r="H35" s="133"/>
      <c r="I35" s="44" t="s">
        <v>58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46107.0</v>
      </c>
      <c r="C36" s="39" t="s">
        <v>52</v>
      </c>
      <c r="D36" s="12" t="s">
        <v>191</v>
      </c>
      <c r="E36" s="44" t="s">
        <v>33</v>
      </c>
      <c r="F36" s="17">
        <v>3.0</v>
      </c>
      <c r="G36" s="92" t="s">
        <v>24</v>
      </c>
      <c r="H36" s="133">
        <v>0.0</v>
      </c>
      <c r="I36" s="44" t="s">
        <v>110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46091.0</v>
      </c>
      <c r="C37" s="39" t="s">
        <v>55</v>
      </c>
      <c r="D37" s="12" t="s">
        <v>191</v>
      </c>
      <c r="E37" s="44" t="s">
        <v>66</v>
      </c>
      <c r="F37" s="17">
        <v>1.0</v>
      </c>
      <c r="G37" s="92" t="s">
        <v>24</v>
      </c>
      <c r="H37" s="133">
        <v>3.0</v>
      </c>
      <c r="I37" s="44" t="s">
        <v>39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3">
        <v>46091.0</v>
      </c>
      <c r="C38" s="12" t="s">
        <v>53</v>
      </c>
      <c r="D38" s="12" t="s">
        <v>191</v>
      </c>
      <c r="E38" s="44" t="s">
        <v>25</v>
      </c>
      <c r="F38" s="17">
        <v>0.0</v>
      </c>
      <c r="G38" s="92" t="s">
        <v>24</v>
      </c>
      <c r="H38" s="133">
        <v>2.0</v>
      </c>
      <c r="I38" s="44" t="s">
        <v>23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3">
        <v>46098.0</v>
      </c>
      <c r="C39" s="12" t="s">
        <v>55</v>
      </c>
      <c r="D39" s="12" t="s">
        <v>191</v>
      </c>
      <c r="E39" s="44" t="s">
        <v>37</v>
      </c>
      <c r="F39" s="17">
        <v>2.0</v>
      </c>
      <c r="G39" s="92" t="s">
        <v>24</v>
      </c>
      <c r="H39" s="133">
        <v>2.0</v>
      </c>
      <c r="I39" s="44" t="s">
        <v>36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46100.0</v>
      </c>
      <c r="C40" s="12" t="s">
        <v>53</v>
      </c>
      <c r="D40" s="12" t="s">
        <v>191</v>
      </c>
      <c r="E40" s="44" t="s">
        <v>63</v>
      </c>
      <c r="F40" s="92"/>
      <c r="G40" s="92" t="s">
        <v>24</v>
      </c>
      <c r="H40" s="138"/>
      <c r="I40" s="14" t="s">
        <v>165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46098.0</v>
      </c>
      <c r="C41" s="39" t="s">
        <v>52</v>
      </c>
      <c r="D41" s="12" t="s">
        <v>191</v>
      </c>
      <c r="E41" s="44" t="s">
        <v>58</v>
      </c>
      <c r="F41" s="17">
        <v>0.0</v>
      </c>
      <c r="G41" s="92" t="s">
        <v>24</v>
      </c>
      <c r="H41" s="133">
        <v>4.0</v>
      </c>
      <c r="I41" s="44" t="s">
        <v>33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46098.0</v>
      </c>
      <c r="C42" s="12" t="s">
        <v>53</v>
      </c>
      <c r="D42" s="12" t="s">
        <v>191</v>
      </c>
      <c r="E42" s="44" t="s">
        <v>110</v>
      </c>
      <c r="F42" s="17">
        <v>6.0</v>
      </c>
      <c r="G42" s="92" t="s">
        <v>24</v>
      </c>
      <c r="H42" s="133">
        <v>2.0</v>
      </c>
      <c r="I42" s="44" t="s">
        <v>66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46104.0</v>
      </c>
      <c r="C43" s="12" t="s">
        <v>55</v>
      </c>
      <c r="D43" s="12" t="s">
        <v>191</v>
      </c>
      <c r="E43" s="44" t="s">
        <v>39</v>
      </c>
      <c r="F43" s="17">
        <v>1.0</v>
      </c>
      <c r="G43" s="92" t="s">
        <v>24</v>
      </c>
      <c r="H43" s="133">
        <v>2.0</v>
      </c>
      <c r="I43" s="44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43">
        <v>46125.0</v>
      </c>
      <c r="C44" s="12" t="s">
        <v>53</v>
      </c>
      <c r="D44" s="12" t="s">
        <v>191</v>
      </c>
      <c r="E44" s="44" t="s">
        <v>107</v>
      </c>
      <c r="F44" s="17">
        <v>2.0</v>
      </c>
      <c r="G44" s="92" t="s">
        <v>24</v>
      </c>
      <c r="H44" s="133">
        <v>4.0</v>
      </c>
      <c r="I44" s="44" t="s">
        <v>23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3">
        <v>46106.0</v>
      </c>
      <c r="C45" s="12" t="s">
        <v>53</v>
      </c>
      <c r="D45" s="12" t="s">
        <v>191</v>
      </c>
      <c r="E45" s="44" t="s">
        <v>36</v>
      </c>
      <c r="F45" s="17">
        <v>5.0</v>
      </c>
      <c r="G45" s="92" t="s">
        <v>24</v>
      </c>
      <c r="H45" s="133">
        <v>1.0</v>
      </c>
      <c r="I45" s="44" t="s">
        <v>107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46105.0</v>
      </c>
      <c r="C46" s="39" t="s">
        <v>52</v>
      </c>
      <c r="D46" s="12" t="s">
        <v>191</v>
      </c>
      <c r="E46" s="14" t="s">
        <v>165</v>
      </c>
      <c r="F46" s="92"/>
      <c r="G46" s="92" t="s">
        <v>24</v>
      </c>
      <c r="H46" s="138"/>
      <c r="I46" s="44" t="s">
        <v>37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46105.0</v>
      </c>
      <c r="C47" s="12" t="s">
        <v>53</v>
      </c>
      <c r="D47" s="12" t="s">
        <v>191</v>
      </c>
      <c r="E47" s="44" t="s">
        <v>33</v>
      </c>
      <c r="F47" s="17">
        <v>8.0</v>
      </c>
      <c r="G47" s="92" t="s">
        <v>24</v>
      </c>
      <c r="H47" s="133">
        <v>2.0</v>
      </c>
      <c r="I47" s="44" t="s">
        <v>63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3">
        <v>46106.0</v>
      </c>
      <c r="C48" s="12" t="s">
        <v>55</v>
      </c>
      <c r="D48" s="12" t="s">
        <v>191</v>
      </c>
      <c r="E48" s="44" t="s">
        <v>66</v>
      </c>
      <c r="F48" s="17">
        <v>3.0</v>
      </c>
      <c r="G48" s="92" t="s">
        <v>24</v>
      </c>
      <c r="H48" s="133">
        <v>0.0</v>
      </c>
      <c r="I48" s="44" t="s">
        <v>58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46125.0</v>
      </c>
      <c r="C49" s="12" t="s">
        <v>52</v>
      </c>
      <c r="D49" s="12" t="s">
        <v>191</v>
      </c>
      <c r="E49" s="44" t="s">
        <v>25</v>
      </c>
      <c r="F49" s="17">
        <v>7.0</v>
      </c>
      <c r="G49" s="92" t="s">
        <v>24</v>
      </c>
      <c r="H49" s="133">
        <v>0.0</v>
      </c>
      <c r="I49" s="44" t="s">
        <v>110</v>
      </c>
      <c r="J49" s="37"/>
      <c r="K49" s="4">
        <f t="shared" si="1"/>
        <v>3</v>
      </c>
      <c r="L49" s="18">
        <f t="shared" si="2"/>
        <v>0</v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3">
        <v>46106.0</v>
      </c>
      <c r="C50" s="39" t="s">
        <v>52</v>
      </c>
      <c r="D50" s="12" t="s">
        <v>191</v>
      </c>
      <c r="E50" s="44" t="s">
        <v>23</v>
      </c>
      <c r="F50" s="17">
        <v>2.0</v>
      </c>
      <c r="G50" s="92" t="s">
        <v>24</v>
      </c>
      <c r="H50" s="133">
        <v>1.0</v>
      </c>
      <c r="I50" s="44" t="s">
        <v>39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6"/>
      <c r="C51" s="16"/>
      <c r="D51" s="139"/>
      <c r="E51" s="44" t="s">
        <v>36</v>
      </c>
      <c r="F51" s="92"/>
      <c r="G51" s="92" t="s">
        <v>24</v>
      </c>
      <c r="H51" s="138"/>
      <c r="I51" s="14" t="s">
        <v>165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43">
        <v>46126.0</v>
      </c>
      <c r="C52" s="39" t="s">
        <v>53</v>
      </c>
      <c r="D52" s="12" t="s">
        <v>191</v>
      </c>
      <c r="E52" s="44" t="s">
        <v>37</v>
      </c>
      <c r="F52" s="17">
        <v>1.0</v>
      </c>
      <c r="G52" s="92" t="s">
        <v>24</v>
      </c>
      <c r="H52" s="133">
        <v>6.0</v>
      </c>
      <c r="I52" s="44" t="s">
        <v>33</v>
      </c>
      <c r="J52" s="37"/>
      <c r="K52" s="4">
        <f t="shared" si="1"/>
        <v>0</v>
      </c>
      <c r="L52" s="18">
        <f t="shared" si="2"/>
        <v>3</v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43">
        <v>46125.0</v>
      </c>
      <c r="C53" s="12" t="s">
        <v>55</v>
      </c>
      <c r="D53" s="12" t="s">
        <v>191</v>
      </c>
      <c r="E53" s="44" t="s">
        <v>63</v>
      </c>
      <c r="F53" s="17">
        <v>3.0</v>
      </c>
      <c r="G53" s="92" t="s">
        <v>24</v>
      </c>
      <c r="H53" s="133">
        <v>0.0</v>
      </c>
      <c r="I53" s="44" t="s">
        <v>66</v>
      </c>
      <c r="J53" s="37"/>
      <c r="K53" s="4">
        <f t="shared" si="1"/>
        <v>3</v>
      </c>
      <c r="L53" s="18">
        <f t="shared" si="2"/>
        <v>0</v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43">
        <v>46128.0</v>
      </c>
      <c r="C54" s="12" t="s">
        <v>52</v>
      </c>
      <c r="D54" s="12" t="s">
        <v>191</v>
      </c>
      <c r="E54" s="44" t="s">
        <v>58</v>
      </c>
      <c r="F54" s="17">
        <v>0.0</v>
      </c>
      <c r="G54" s="92" t="s">
        <v>24</v>
      </c>
      <c r="H54" s="133">
        <v>3.0</v>
      </c>
      <c r="I54" s="44" t="s">
        <v>25</v>
      </c>
      <c r="J54" s="2"/>
      <c r="K54" s="4">
        <f t="shared" si="1"/>
        <v>0</v>
      </c>
      <c r="L54" s="18">
        <f t="shared" si="2"/>
        <v>3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43">
        <v>46128.0</v>
      </c>
      <c r="C55" s="12" t="s">
        <v>53</v>
      </c>
      <c r="D55" s="12" t="s">
        <v>191</v>
      </c>
      <c r="E55" s="44" t="s">
        <v>110</v>
      </c>
      <c r="F55" s="17">
        <v>2.0</v>
      </c>
      <c r="G55" s="92" t="s">
        <v>24</v>
      </c>
      <c r="H55" s="133">
        <v>3.0</v>
      </c>
      <c r="I55" s="44" t="s">
        <v>23</v>
      </c>
      <c r="J55" s="2"/>
      <c r="K55" s="4">
        <f t="shared" si="1"/>
        <v>0</v>
      </c>
      <c r="L55" s="18">
        <f t="shared" si="2"/>
        <v>3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43">
        <v>46128.0</v>
      </c>
      <c r="C56" s="39" t="s">
        <v>55</v>
      </c>
      <c r="D56" s="12" t="s">
        <v>191</v>
      </c>
      <c r="E56" s="14" t="s">
        <v>107</v>
      </c>
      <c r="F56" s="17">
        <v>0.0</v>
      </c>
      <c r="G56" s="92" t="s">
        <v>24</v>
      </c>
      <c r="H56" s="133">
        <v>3.0</v>
      </c>
      <c r="I56" s="44" t="s">
        <v>39</v>
      </c>
      <c r="J56" s="2"/>
      <c r="K56" s="4">
        <f t="shared" si="1"/>
        <v>0</v>
      </c>
      <c r="L56" s="18">
        <f t="shared" si="2"/>
        <v>3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6"/>
      <c r="C57" s="31"/>
      <c r="D57" s="139"/>
      <c r="E57" s="44" t="s">
        <v>107</v>
      </c>
      <c r="F57" s="31"/>
      <c r="G57" s="92" t="s">
        <v>24</v>
      </c>
      <c r="H57" s="138"/>
      <c r="I57" s="14" t="s">
        <v>165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43">
        <v>46135.0</v>
      </c>
      <c r="C58" s="12" t="s">
        <v>53</v>
      </c>
      <c r="D58" s="12" t="s">
        <v>191</v>
      </c>
      <c r="E58" s="44" t="s">
        <v>33</v>
      </c>
      <c r="F58" s="15">
        <v>2.0</v>
      </c>
      <c r="G58" s="92" t="s">
        <v>24</v>
      </c>
      <c r="H58" s="133">
        <v>2.0</v>
      </c>
      <c r="I58" s="44" t="s">
        <v>36</v>
      </c>
      <c r="J58" s="2"/>
      <c r="K58" s="4">
        <f t="shared" si="1"/>
        <v>1</v>
      </c>
      <c r="L58" s="18">
        <f t="shared" si="2"/>
        <v>1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43">
        <v>46135.0</v>
      </c>
      <c r="C59" s="12" t="s">
        <v>55</v>
      </c>
      <c r="D59" s="12" t="s">
        <v>191</v>
      </c>
      <c r="E59" s="44" t="s">
        <v>66</v>
      </c>
      <c r="F59" s="13">
        <v>0.0</v>
      </c>
      <c r="G59" s="92" t="s">
        <v>24</v>
      </c>
      <c r="H59" s="133">
        <v>3.0</v>
      </c>
      <c r="I59" s="44" t="s">
        <v>37</v>
      </c>
      <c r="J59" s="2"/>
      <c r="K59" s="4">
        <f t="shared" si="1"/>
        <v>0</v>
      </c>
      <c r="L59" s="18">
        <f t="shared" si="2"/>
        <v>3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43">
        <v>46133.0</v>
      </c>
      <c r="C60" s="12" t="s">
        <v>55</v>
      </c>
      <c r="D60" s="12" t="s">
        <v>191</v>
      </c>
      <c r="E60" s="44" t="s">
        <v>25</v>
      </c>
      <c r="F60" s="13">
        <v>3.0</v>
      </c>
      <c r="G60" s="92" t="s">
        <v>24</v>
      </c>
      <c r="H60" s="133">
        <v>0.0</v>
      </c>
      <c r="I60" s="44" t="s">
        <v>63</v>
      </c>
      <c r="J60" s="2"/>
      <c r="K60" s="4">
        <f t="shared" si="1"/>
        <v>3</v>
      </c>
      <c r="L60" s="18">
        <f t="shared" si="2"/>
        <v>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43">
        <v>46133.0</v>
      </c>
      <c r="C61" s="12" t="s">
        <v>52</v>
      </c>
      <c r="D61" s="12" t="s">
        <v>191</v>
      </c>
      <c r="E61" s="44" t="s">
        <v>23</v>
      </c>
      <c r="F61" s="13">
        <v>3.0</v>
      </c>
      <c r="G61" s="92" t="s">
        <v>24</v>
      </c>
      <c r="H61" s="133">
        <v>1.0</v>
      </c>
      <c r="I61" s="44" t="s">
        <v>58</v>
      </c>
      <c r="J61" s="2"/>
      <c r="K61" s="4">
        <f t="shared" si="1"/>
        <v>3</v>
      </c>
      <c r="L61" s="18">
        <f t="shared" si="2"/>
        <v>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43">
        <v>46135.0</v>
      </c>
      <c r="C62" s="12" t="s">
        <v>52</v>
      </c>
      <c r="D62" s="12" t="s">
        <v>191</v>
      </c>
      <c r="E62" s="44" t="s">
        <v>39</v>
      </c>
      <c r="F62" s="13">
        <v>0.0</v>
      </c>
      <c r="G62" s="92" t="s">
        <v>24</v>
      </c>
      <c r="H62" s="133">
        <v>1.0</v>
      </c>
      <c r="I62" s="44" t="s">
        <v>110</v>
      </c>
      <c r="J62" s="2"/>
      <c r="K62" s="4">
        <f t="shared" si="1"/>
        <v>0</v>
      </c>
      <c r="L62" s="18">
        <f t="shared" si="2"/>
        <v>3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6"/>
      <c r="C63" s="31"/>
      <c r="D63" s="31"/>
      <c r="E63" s="14" t="s">
        <v>165</v>
      </c>
      <c r="F63" s="92"/>
      <c r="G63" s="92" t="s">
        <v>24</v>
      </c>
      <c r="H63" s="138"/>
      <c r="I63" s="44" t="s">
        <v>33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89">
        <v>46149.0</v>
      </c>
      <c r="C64" s="12" t="s">
        <v>55</v>
      </c>
      <c r="D64" s="12" t="s">
        <v>191</v>
      </c>
      <c r="E64" s="44" t="s">
        <v>36</v>
      </c>
      <c r="F64" s="17">
        <v>2.0</v>
      </c>
      <c r="G64" s="92" t="s">
        <v>24</v>
      </c>
      <c r="H64" s="133">
        <v>2.0</v>
      </c>
      <c r="I64" s="44" t="s">
        <v>66</v>
      </c>
      <c r="J64" s="2"/>
      <c r="K64" s="4">
        <f t="shared" si="1"/>
        <v>1</v>
      </c>
      <c r="L64" s="18">
        <f t="shared" si="2"/>
        <v>1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43">
        <v>46147.0</v>
      </c>
      <c r="C65" s="12" t="s">
        <v>52</v>
      </c>
      <c r="D65" s="12" t="s">
        <v>191</v>
      </c>
      <c r="E65" s="44" t="s">
        <v>37</v>
      </c>
      <c r="F65" s="17">
        <v>1.0</v>
      </c>
      <c r="G65" s="92" t="s">
        <v>24</v>
      </c>
      <c r="H65" s="133">
        <v>1.0</v>
      </c>
      <c r="I65" s="44" t="s">
        <v>25</v>
      </c>
      <c r="J65" s="2"/>
      <c r="K65" s="4">
        <f t="shared" si="1"/>
        <v>1</v>
      </c>
      <c r="L65" s="18">
        <f t="shared" si="2"/>
        <v>1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43">
        <v>46146.0</v>
      </c>
      <c r="C66" s="12" t="s">
        <v>52</v>
      </c>
      <c r="D66" s="12" t="s">
        <v>191</v>
      </c>
      <c r="E66" s="44" t="s">
        <v>63</v>
      </c>
      <c r="F66" s="17">
        <v>0.0</v>
      </c>
      <c r="G66" s="92" t="s">
        <v>24</v>
      </c>
      <c r="H66" s="133">
        <v>14.0</v>
      </c>
      <c r="I66" s="44" t="s">
        <v>23</v>
      </c>
      <c r="J66" s="2"/>
      <c r="K66" s="4">
        <f t="shared" si="1"/>
        <v>0</v>
      </c>
      <c r="L66" s="18">
        <f t="shared" si="2"/>
        <v>3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43">
        <v>46147.0</v>
      </c>
      <c r="C67" s="12" t="s">
        <v>55</v>
      </c>
      <c r="D67" s="12" t="s">
        <v>191</v>
      </c>
      <c r="E67" s="44" t="s">
        <v>58</v>
      </c>
      <c r="F67" s="17">
        <v>0.0</v>
      </c>
      <c r="G67" s="92" t="s">
        <v>24</v>
      </c>
      <c r="H67" s="133">
        <v>0.0</v>
      </c>
      <c r="I67" s="44" t="s">
        <v>39</v>
      </c>
      <c r="J67" s="2"/>
      <c r="K67" s="4">
        <f t="shared" si="1"/>
        <v>1</v>
      </c>
      <c r="L67" s="18">
        <f t="shared" si="2"/>
        <v>1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43">
        <v>46146.0</v>
      </c>
      <c r="C68" s="12" t="s">
        <v>55</v>
      </c>
      <c r="D68" s="12" t="s">
        <v>191</v>
      </c>
      <c r="E68" s="44" t="s">
        <v>110</v>
      </c>
      <c r="F68" s="17">
        <v>2.0</v>
      </c>
      <c r="G68" s="92" t="s">
        <v>24</v>
      </c>
      <c r="H68" s="133">
        <v>1.0</v>
      </c>
      <c r="I68" s="44" t="s">
        <v>107</v>
      </c>
      <c r="J68" s="2"/>
      <c r="K68" s="4">
        <f t="shared" si="1"/>
        <v>3</v>
      </c>
      <c r="L68" s="18">
        <f t="shared" si="2"/>
        <v>0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101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2" t="s">
        <v>196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4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26">
        <v>45952.0</v>
      </c>
      <c r="C75" s="39" t="s">
        <v>51</v>
      </c>
      <c r="D75" s="39" t="s">
        <v>191</v>
      </c>
      <c r="E75" s="17" t="s">
        <v>61</v>
      </c>
      <c r="F75" s="90">
        <v>1.0</v>
      </c>
      <c r="G75" s="92" t="s">
        <v>24</v>
      </c>
      <c r="H75" s="90">
        <v>5.0</v>
      </c>
      <c r="I75" s="17" t="s">
        <v>197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0" t="s">
        <v>197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5" t="s">
        <v>29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1.0</v>
      </c>
      <c r="AG75" s="23">
        <v>22.0</v>
      </c>
      <c r="AH75" s="24">
        <v>7.0</v>
      </c>
      <c r="AI75" s="23">
        <v>15.0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26">
        <v>45952.0</v>
      </c>
      <c r="C76" s="39" t="s">
        <v>55</v>
      </c>
      <c r="D76" s="39" t="s">
        <v>191</v>
      </c>
      <c r="E76" s="17" t="s">
        <v>32</v>
      </c>
      <c r="F76" s="90"/>
      <c r="G76" s="92" t="s">
        <v>24</v>
      </c>
      <c r="H76" s="90"/>
      <c r="I76" s="14" t="s">
        <v>45</v>
      </c>
      <c r="J76" s="4"/>
      <c r="K76" s="4" t="str">
        <f t="shared" si="10"/>
        <v/>
      </c>
      <c r="L76" s="18" t="str">
        <f t="shared" si="11"/>
        <v/>
      </c>
      <c r="M76" s="4"/>
      <c r="N76" s="18">
        <v>2.0</v>
      </c>
      <c r="O76" s="50" t="s">
        <v>61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6</v>
      </c>
      <c r="T76" s="18">
        <f t="shared" si="16"/>
        <v>4</v>
      </c>
      <c r="U76" s="20">
        <f t="shared" si="17"/>
        <v>30</v>
      </c>
      <c r="V76" s="18">
        <f t="shared" si="18"/>
        <v>-26</v>
      </c>
      <c r="W76" s="2"/>
      <c r="X76" s="2"/>
      <c r="Y76" s="2"/>
      <c r="Z76" s="2"/>
      <c r="AA76" s="124" t="s">
        <v>111</v>
      </c>
      <c r="AB76" s="23" t="s">
        <v>93</v>
      </c>
      <c r="AC76" s="23">
        <v>13.0</v>
      </c>
      <c r="AD76" s="23">
        <v>4.0</v>
      </c>
      <c r="AE76" s="23">
        <v>1.0</v>
      </c>
      <c r="AF76" s="23">
        <v>1.0</v>
      </c>
      <c r="AG76" s="23">
        <v>25.0</v>
      </c>
      <c r="AH76" s="24">
        <v>7.0</v>
      </c>
      <c r="AI76" s="23">
        <v>18.0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26">
        <v>45950.0</v>
      </c>
      <c r="C77" s="39" t="s">
        <v>55</v>
      </c>
      <c r="D77" s="39" t="s">
        <v>191</v>
      </c>
      <c r="E77" s="44" t="s">
        <v>43</v>
      </c>
      <c r="F77" s="90">
        <v>1.0</v>
      </c>
      <c r="G77" s="92" t="s">
        <v>24</v>
      </c>
      <c r="H77" s="90">
        <v>4.0</v>
      </c>
      <c r="I77" s="44" t="s">
        <v>93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0" t="s">
        <v>127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125</v>
      </c>
      <c r="AC77" s="23">
        <v>11.0</v>
      </c>
      <c r="AD77" s="23">
        <v>3.0</v>
      </c>
      <c r="AE77" s="23">
        <v>2.0</v>
      </c>
      <c r="AF77" s="23">
        <v>1.0</v>
      </c>
      <c r="AG77" s="23">
        <v>19.0</v>
      </c>
      <c r="AH77" s="24">
        <v>8.0</v>
      </c>
      <c r="AI77" s="23">
        <v>11.0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55</v>
      </c>
      <c r="D78" s="39" t="s">
        <v>191</v>
      </c>
      <c r="E78" s="17" t="s">
        <v>125</v>
      </c>
      <c r="F78" s="90">
        <v>7.0</v>
      </c>
      <c r="G78" s="92"/>
      <c r="H78" s="90">
        <v>2.0</v>
      </c>
      <c r="I78" s="44" t="s">
        <v>127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0" t="s">
        <v>32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1</v>
      </c>
      <c r="T78" s="18">
        <f t="shared" si="16"/>
        <v>22</v>
      </c>
      <c r="U78" s="20">
        <f t="shared" si="17"/>
        <v>7</v>
      </c>
      <c r="V78" s="18">
        <f t="shared" si="18"/>
        <v>15</v>
      </c>
      <c r="W78" s="2"/>
      <c r="X78" s="2"/>
      <c r="Y78" s="2"/>
      <c r="Z78" s="2"/>
      <c r="AA78" s="22">
        <v>4.0</v>
      </c>
      <c r="AB78" s="23" t="s">
        <v>127</v>
      </c>
      <c r="AC78" s="23">
        <v>9.0</v>
      </c>
      <c r="AD78" s="23">
        <v>3.0</v>
      </c>
      <c r="AE78" s="23">
        <v>0.0</v>
      </c>
      <c r="AF78" s="23">
        <v>3.0</v>
      </c>
      <c r="AG78" s="23">
        <v>18.0</v>
      </c>
      <c r="AH78" s="24">
        <v>19.0</v>
      </c>
      <c r="AI78" s="23">
        <v>-1.0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26">
        <v>45979.0</v>
      </c>
      <c r="C79" s="12" t="s">
        <v>52</v>
      </c>
      <c r="D79" s="39" t="s">
        <v>191</v>
      </c>
      <c r="E79" s="17" t="s">
        <v>197</v>
      </c>
      <c r="F79" s="90">
        <v>1.0</v>
      </c>
      <c r="G79" s="92"/>
      <c r="H79" s="90">
        <v>12.0</v>
      </c>
      <c r="I79" s="17" t="s">
        <v>32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0" t="s">
        <v>43</v>
      </c>
      <c r="P79" s="18">
        <f t="shared" si="12"/>
        <v>4</v>
      </c>
      <c r="Q79" s="18">
        <f t="shared" si="13"/>
        <v>1</v>
      </c>
      <c r="R79" s="18">
        <f t="shared" si="14"/>
        <v>1</v>
      </c>
      <c r="S79" s="20">
        <f t="shared" si="15"/>
        <v>4</v>
      </c>
      <c r="T79" s="18">
        <f t="shared" si="16"/>
        <v>8</v>
      </c>
      <c r="U79" s="20">
        <f t="shared" si="17"/>
        <v>16</v>
      </c>
      <c r="V79" s="18">
        <f t="shared" si="18"/>
        <v>-8</v>
      </c>
      <c r="W79" s="2"/>
      <c r="X79" s="2"/>
      <c r="Y79" s="2"/>
      <c r="Z79" s="2"/>
      <c r="AA79" s="22">
        <v>5.0</v>
      </c>
      <c r="AB79" s="23" t="s">
        <v>197</v>
      </c>
      <c r="AC79" s="23">
        <v>8.0</v>
      </c>
      <c r="AD79" s="23">
        <v>2.0</v>
      </c>
      <c r="AE79" s="23">
        <v>2.0</v>
      </c>
      <c r="AF79" s="23">
        <v>2.0</v>
      </c>
      <c r="AG79" s="23">
        <v>17.0</v>
      </c>
      <c r="AH79" s="24">
        <v>26.0</v>
      </c>
      <c r="AI79" s="23">
        <v>-9.0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26"/>
      <c r="C80" s="12"/>
      <c r="D80" s="39" t="s">
        <v>191</v>
      </c>
      <c r="E80" s="44" t="s">
        <v>127</v>
      </c>
      <c r="F80" s="15">
        <v>7.0</v>
      </c>
      <c r="G80" s="92" t="s">
        <v>24</v>
      </c>
      <c r="H80" s="90">
        <v>2.0</v>
      </c>
      <c r="I80" s="44" t="s">
        <v>61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0" t="s">
        <v>125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1</v>
      </c>
      <c r="T80" s="18">
        <f t="shared" si="16"/>
        <v>19</v>
      </c>
      <c r="U80" s="20">
        <f t="shared" si="17"/>
        <v>8</v>
      </c>
      <c r="V80" s="18">
        <f t="shared" si="18"/>
        <v>11</v>
      </c>
      <c r="W80" s="2"/>
      <c r="X80" s="2"/>
      <c r="Y80" s="2"/>
      <c r="Z80" s="2"/>
      <c r="AA80" s="22">
        <v>6.0</v>
      </c>
      <c r="AB80" s="23" t="s">
        <v>43</v>
      </c>
      <c r="AC80" s="23">
        <v>4.0</v>
      </c>
      <c r="AD80" s="23">
        <v>1.0</v>
      </c>
      <c r="AE80" s="23">
        <v>1.0</v>
      </c>
      <c r="AF80" s="23">
        <v>4.0</v>
      </c>
      <c r="AG80" s="23">
        <v>8.0</v>
      </c>
      <c r="AH80" s="24">
        <v>16.0</v>
      </c>
      <c r="AI80" s="23">
        <v>-8.0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40">
        <v>45972.0</v>
      </c>
      <c r="C81" s="15" t="s">
        <v>53</v>
      </c>
      <c r="D81" s="39" t="s">
        <v>191</v>
      </c>
      <c r="E81" s="14" t="s">
        <v>45</v>
      </c>
      <c r="F81" s="15"/>
      <c r="G81" s="92" t="s">
        <v>24</v>
      </c>
      <c r="H81" s="90"/>
      <c r="I81" s="17" t="s">
        <v>43</v>
      </c>
      <c r="J81" s="4"/>
      <c r="K81" s="4" t="str">
        <f t="shared" si="10"/>
        <v/>
      </c>
      <c r="L81" s="18" t="str">
        <f t="shared" si="11"/>
        <v/>
      </c>
      <c r="M81" s="4"/>
      <c r="N81" s="18">
        <v>7.0</v>
      </c>
      <c r="O81" s="50" t="s">
        <v>93</v>
      </c>
      <c r="P81" s="18">
        <f t="shared" si="12"/>
        <v>13</v>
      </c>
      <c r="Q81" s="18">
        <f t="shared" si="13"/>
        <v>4</v>
      </c>
      <c r="R81" s="18">
        <f t="shared" si="14"/>
        <v>1</v>
      </c>
      <c r="S81" s="20">
        <f t="shared" si="15"/>
        <v>1</v>
      </c>
      <c r="T81" s="18">
        <f t="shared" si="16"/>
        <v>25</v>
      </c>
      <c r="U81" s="20">
        <f t="shared" si="17"/>
        <v>7</v>
      </c>
      <c r="V81" s="18">
        <f t="shared" si="18"/>
        <v>18</v>
      </c>
      <c r="W81" s="2"/>
      <c r="X81" s="2"/>
      <c r="Y81" s="2"/>
      <c r="Z81" s="2"/>
      <c r="AA81" s="22">
        <v>7.0</v>
      </c>
      <c r="AB81" s="23" t="s">
        <v>45</v>
      </c>
      <c r="AC81" s="23">
        <v>0.0</v>
      </c>
      <c r="AD81" s="23">
        <v>0.0</v>
      </c>
      <c r="AE81" s="23">
        <v>0.0</v>
      </c>
      <c r="AF81" s="23">
        <v>0.0</v>
      </c>
      <c r="AG81" s="23">
        <v>0.0</v>
      </c>
      <c r="AH81" s="24">
        <v>0.0</v>
      </c>
      <c r="AI81" s="23">
        <v>0.0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40">
        <v>45972.0</v>
      </c>
      <c r="C82" s="15" t="s">
        <v>52</v>
      </c>
      <c r="D82" s="39" t="s">
        <v>191</v>
      </c>
      <c r="E82" s="17" t="s">
        <v>93</v>
      </c>
      <c r="F82" s="15">
        <v>1.0</v>
      </c>
      <c r="G82" s="92" t="s">
        <v>24</v>
      </c>
      <c r="H82" s="90">
        <v>1.0</v>
      </c>
      <c r="I82" s="17" t="s">
        <v>125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0" t="s">
        <v>45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0</v>
      </c>
      <c r="T82" s="18">
        <f t="shared" si="16"/>
        <v>0</v>
      </c>
      <c r="U82" s="20">
        <f t="shared" si="17"/>
        <v>0</v>
      </c>
      <c r="V82" s="18">
        <f t="shared" si="18"/>
        <v>0</v>
      </c>
      <c r="W82" s="2"/>
      <c r="X82" s="2"/>
      <c r="Y82" s="2"/>
      <c r="Z82" s="2"/>
      <c r="AA82" s="22">
        <v>8.0</v>
      </c>
      <c r="AB82" s="23" t="s">
        <v>61</v>
      </c>
      <c r="AC82" s="23">
        <v>0.0</v>
      </c>
      <c r="AD82" s="23">
        <v>0.0</v>
      </c>
      <c r="AE82" s="23">
        <v>0.0</v>
      </c>
      <c r="AF82" s="23">
        <v>6.0</v>
      </c>
      <c r="AG82" s="23">
        <v>4.0</v>
      </c>
      <c r="AH82" s="24">
        <v>30.0</v>
      </c>
      <c r="AI82" s="23">
        <v>-26.0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55</v>
      </c>
      <c r="D83" s="39" t="s">
        <v>191</v>
      </c>
      <c r="E83" s="17" t="s">
        <v>43</v>
      </c>
      <c r="F83" s="15">
        <v>3.0</v>
      </c>
      <c r="G83" s="92" t="s">
        <v>24</v>
      </c>
      <c r="H83" s="90">
        <v>3.0</v>
      </c>
      <c r="I83" s="17" t="s">
        <v>197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0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198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52</v>
      </c>
      <c r="D84" s="39" t="s">
        <v>191</v>
      </c>
      <c r="E84" s="17" t="s">
        <v>32</v>
      </c>
      <c r="F84" s="15">
        <v>4.0</v>
      </c>
      <c r="G84" s="92" t="s">
        <v>24</v>
      </c>
      <c r="H84" s="90">
        <v>0.0</v>
      </c>
      <c r="I84" s="17" t="s">
        <v>61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79" t="s">
        <v>101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169</v>
      </c>
      <c r="D85" s="39" t="s">
        <v>191</v>
      </c>
      <c r="E85" s="17" t="s">
        <v>125</v>
      </c>
      <c r="F85" s="90"/>
      <c r="G85" s="92" t="s">
        <v>24</v>
      </c>
      <c r="H85" s="90"/>
      <c r="I85" s="14" t="s">
        <v>45</v>
      </c>
      <c r="J85" s="4"/>
      <c r="K85" s="4" t="str">
        <f t="shared" si="10"/>
        <v/>
      </c>
      <c r="L85" s="18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169</v>
      </c>
      <c r="D86" s="39" t="s">
        <v>191</v>
      </c>
      <c r="E86" s="44" t="s">
        <v>127</v>
      </c>
      <c r="F86" s="90">
        <v>1.0</v>
      </c>
      <c r="G86" s="92" t="s">
        <v>24</v>
      </c>
      <c r="H86" s="90">
        <v>5.0</v>
      </c>
      <c r="I86" s="17" t="s">
        <v>93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55</v>
      </c>
      <c r="D87" s="39" t="s">
        <v>191</v>
      </c>
      <c r="E87" s="17" t="s">
        <v>197</v>
      </c>
      <c r="F87" s="90">
        <v>3.0</v>
      </c>
      <c r="G87" s="92" t="s">
        <v>24</v>
      </c>
      <c r="H87" s="90">
        <v>3.0</v>
      </c>
      <c r="I87" s="17" t="s">
        <v>125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55</v>
      </c>
      <c r="D88" s="39" t="s">
        <v>191</v>
      </c>
      <c r="E88" s="17" t="s">
        <v>61</v>
      </c>
      <c r="F88" s="90">
        <v>1.0</v>
      </c>
      <c r="G88" s="92" t="s">
        <v>24</v>
      </c>
      <c r="H88" s="90">
        <v>2.0</v>
      </c>
      <c r="I88" s="17" t="s">
        <v>43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55</v>
      </c>
      <c r="D89" s="39" t="s">
        <v>191</v>
      </c>
      <c r="E89" s="44" t="s">
        <v>32</v>
      </c>
      <c r="F89" s="90">
        <v>2.0</v>
      </c>
      <c r="G89" s="92" t="s">
        <v>24</v>
      </c>
      <c r="H89" s="90">
        <v>1.0</v>
      </c>
      <c r="I89" s="44" t="s">
        <v>127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41"/>
      <c r="C90" s="16"/>
      <c r="D90" s="16"/>
      <c r="E90" s="14" t="s">
        <v>45</v>
      </c>
      <c r="F90" s="142"/>
      <c r="G90" s="92" t="s">
        <v>24</v>
      </c>
      <c r="H90" s="142"/>
      <c r="I90" s="17" t="s">
        <v>93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43">
        <v>5.0</v>
      </c>
      <c r="B91" s="11">
        <v>46084.0</v>
      </c>
      <c r="C91" s="12" t="s">
        <v>52</v>
      </c>
      <c r="D91" s="39" t="s">
        <v>191</v>
      </c>
      <c r="E91" s="17" t="s">
        <v>93</v>
      </c>
      <c r="F91" s="90">
        <v>3.0</v>
      </c>
      <c r="G91" s="92" t="s">
        <v>24</v>
      </c>
      <c r="H91" s="90">
        <v>4.0</v>
      </c>
      <c r="I91" s="17" t="s">
        <v>197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53</v>
      </c>
      <c r="D92" s="39" t="s">
        <v>191</v>
      </c>
      <c r="E92" s="17" t="s">
        <v>125</v>
      </c>
      <c r="F92" s="90">
        <v>4.0</v>
      </c>
      <c r="G92" s="92" t="s">
        <v>24</v>
      </c>
      <c r="H92" s="90">
        <v>0.0</v>
      </c>
      <c r="I92" s="17" t="s">
        <v>61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52</v>
      </c>
      <c r="D93" s="39" t="s">
        <v>191</v>
      </c>
      <c r="E93" s="17" t="s">
        <v>43</v>
      </c>
      <c r="F93" s="90">
        <v>0.0</v>
      </c>
      <c r="G93" s="92" t="s">
        <v>24</v>
      </c>
      <c r="H93" s="90">
        <v>2.0</v>
      </c>
      <c r="I93" s="17" t="s">
        <v>32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4" t="s">
        <v>127</v>
      </c>
      <c r="F94" s="142"/>
      <c r="G94" s="92" t="s">
        <v>24</v>
      </c>
      <c r="H94" s="142"/>
      <c r="I94" s="14" t="s">
        <v>45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5">
        <v>6.0</v>
      </c>
      <c r="B95" s="141"/>
      <c r="C95" s="16"/>
      <c r="D95" s="139"/>
      <c r="E95" s="17" t="s">
        <v>197</v>
      </c>
      <c r="F95" s="142"/>
      <c r="G95" s="92" t="s">
        <v>24</v>
      </c>
      <c r="H95" s="142"/>
      <c r="I95" s="14" t="s">
        <v>45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1">
        <v>46127.0</v>
      </c>
      <c r="C96" s="12" t="s">
        <v>154</v>
      </c>
      <c r="D96" s="39" t="s">
        <v>191</v>
      </c>
      <c r="E96" s="17" t="s">
        <v>61</v>
      </c>
      <c r="F96" s="90">
        <v>0.0</v>
      </c>
      <c r="G96" s="92" t="s">
        <v>24</v>
      </c>
      <c r="H96" s="90">
        <v>8.0</v>
      </c>
      <c r="I96" s="17" t="s">
        <v>93</v>
      </c>
      <c r="J96" s="4"/>
      <c r="K96" s="4">
        <f t="shared" si="10"/>
        <v>0</v>
      </c>
      <c r="L96" s="18">
        <f t="shared" si="11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1">
        <v>46127.0</v>
      </c>
      <c r="C97" s="12" t="s">
        <v>152</v>
      </c>
      <c r="D97" s="39" t="s">
        <v>191</v>
      </c>
      <c r="E97" s="17" t="s">
        <v>32</v>
      </c>
      <c r="F97" s="90">
        <v>2.0</v>
      </c>
      <c r="G97" s="92" t="s">
        <v>24</v>
      </c>
      <c r="H97" s="90">
        <v>1.0</v>
      </c>
      <c r="I97" s="17" t="s">
        <v>125</v>
      </c>
      <c r="J97" s="4"/>
      <c r="K97" s="4">
        <f t="shared" si="10"/>
        <v>3</v>
      </c>
      <c r="L97" s="18">
        <f t="shared" si="11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53</v>
      </c>
      <c r="D98" s="39" t="s">
        <v>191</v>
      </c>
      <c r="E98" s="44" t="s">
        <v>43</v>
      </c>
      <c r="F98" s="90">
        <v>2.0</v>
      </c>
      <c r="G98" s="92" t="s">
        <v>24</v>
      </c>
      <c r="H98" s="90">
        <v>3.0</v>
      </c>
      <c r="I98" s="44" t="s">
        <v>127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5">
        <v>7.0</v>
      </c>
      <c r="B99" s="126">
        <v>46111.0</v>
      </c>
      <c r="C99" s="39" t="s">
        <v>52</v>
      </c>
      <c r="D99" s="39" t="s">
        <v>191</v>
      </c>
      <c r="E99" s="44" t="s">
        <v>127</v>
      </c>
      <c r="F99" s="90">
        <v>4.0</v>
      </c>
      <c r="G99" s="92" t="s">
        <v>24</v>
      </c>
      <c r="H99" s="90">
        <v>1.0</v>
      </c>
      <c r="I99" s="44" t="s">
        <v>197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41"/>
      <c r="C100" s="16"/>
      <c r="D100" s="139"/>
      <c r="E100" s="14" t="s">
        <v>45</v>
      </c>
      <c r="F100" s="142"/>
      <c r="G100" s="92" t="s">
        <v>24</v>
      </c>
      <c r="H100" s="142"/>
      <c r="I100" s="44" t="s">
        <v>61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1">
        <v>46132.0</v>
      </c>
      <c r="C101" s="12" t="s">
        <v>52</v>
      </c>
      <c r="D101" s="39" t="s">
        <v>191</v>
      </c>
      <c r="E101" s="17" t="s">
        <v>93</v>
      </c>
      <c r="F101" s="90">
        <v>4.0</v>
      </c>
      <c r="G101" s="92" t="s">
        <v>24</v>
      </c>
      <c r="H101" s="90">
        <v>0.0</v>
      </c>
      <c r="I101" s="17" t="s">
        <v>32</v>
      </c>
      <c r="J101" s="4"/>
      <c r="K101" s="4">
        <f t="shared" si="10"/>
        <v>3</v>
      </c>
      <c r="L101" s="18">
        <f t="shared" si="11"/>
        <v>0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1">
        <v>46132.0</v>
      </c>
      <c r="C102" s="12" t="s">
        <v>55</v>
      </c>
      <c r="D102" s="39" t="s">
        <v>191</v>
      </c>
      <c r="E102" s="17" t="s">
        <v>125</v>
      </c>
      <c r="F102" s="90">
        <v>3.0</v>
      </c>
      <c r="G102" s="92" t="s">
        <v>24</v>
      </c>
      <c r="H102" s="90">
        <v>0.0</v>
      </c>
      <c r="I102" s="17" t="s">
        <v>43</v>
      </c>
      <c r="J102" s="4"/>
      <c r="K102" s="4">
        <f t="shared" si="10"/>
        <v>3</v>
      </c>
      <c r="L102" s="18">
        <f t="shared" si="11"/>
        <v>0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2" t="s">
        <v>199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4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26">
        <v>45953.0</v>
      </c>
      <c r="C111" s="39" t="s">
        <v>55</v>
      </c>
      <c r="D111" s="39" t="s">
        <v>191</v>
      </c>
      <c r="E111" s="17" t="s">
        <v>42</v>
      </c>
      <c r="F111" s="90">
        <v>1.0</v>
      </c>
      <c r="G111" s="92" t="s">
        <v>24</v>
      </c>
      <c r="H111" s="90">
        <v>3.0</v>
      </c>
      <c r="I111" s="17" t="s">
        <v>65</v>
      </c>
      <c r="J111" s="4"/>
      <c r="K111" s="4">
        <f t="shared" ref="K111:K160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0" t="s">
        <v>65</v>
      </c>
      <c r="P111" s="18">
        <f t="shared" ref="P111:P119" si="21">SUMIF(E$111:E$155,O111,K$111:K$155)+SUMIF(I$111:I$155,O111,L$111:L$155)</f>
        <v>7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1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17</v>
      </c>
      <c r="U111" s="20">
        <f t="shared" ref="U111:U119" si="26">SUMIF(E$111:E$155,O111,H$111:H$155)+SUMIF(I$111:I$155,O111,F$111:F$155)</f>
        <v>23</v>
      </c>
      <c r="V111" s="18">
        <f t="shared" ref="V111:V119" si="27">T111-U111</f>
        <v>-6</v>
      </c>
      <c r="W111" s="2"/>
      <c r="X111" s="2"/>
      <c r="Y111" s="2"/>
      <c r="Z111" s="2"/>
      <c r="AA111" s="45" t="s">
        <v>29</v>
      </c>
      <c r="AB111" s="23" t="str">
        <f t="array" ref="AB111:AI119">SORT(O111:V119,2,FALSE,8,FALSE)</f>
        <v>Eng. Civil</v>
      </c>
      <c r="AC111" s="23">
        <v>24.0</v>
      </c>
      <c r="AD111" s="23">
        <v>8.0</v>
      </c>
      <c r="AE111" s="23">
        <v>0.0</v>
      </c>
      <c r="AF111" s="23">
        <v>0.0</v>
      </c>
      <c r="AG111" s="23">
        <v>42.0</v>
      </c>
      <c r="AH111" s="24">
        <v>16.0</v>
      </c>
      <c r="AI111" s="23">
        <v>26.0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26">
        <v>45953.0</v>
      </c>
      <c r="C112" s="39" t="s">
        <v>52</v>
      </c>
      <c r="D112" s="39" t="s">
        <v>191</v>
      </c>
      <c r="E112" s="17" t="s">
        <v>60</v>
      </c>
      <c r="F112" s="90">
        <v>7.0</v>
      </c>
      <c r="G112" s="92" t="s">
        <v>24</v>
      </c>
      <c r="H112" s="90">
        <v>0.0</v>
      </c>
      <c r="I112" s="17" t="s">
        <v>109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0" t="s">
        <v>42</v>
      </c>
      <c r="P112" s="18">
        <f t="shared" si="21"/>
        <v>9</v>
      </c>
      <c r="Q112" s="18">
        <f t="shared" si="22"/>
        <v>3</v>
      </c>
      <c r="R112" s="20">
        <f t="shared" si="23"/>
        <v>0</v>
      </c>
      <c r="S112" s="20">
        <f t="shared" si="24"/>
        <v>5</v>
      </c>
      <c r="T112" s="18">
        <f t="shared" si="25"/>
        <v>29</v>
      </c>
      <c r="U112" s="20">
        <f t="shared" si="26"/>
        <v>31</v>
      </c>
      <c r="V112" s="18">
        <f t="shared" si="27"/>
        <v>-2</v>
      </c>
      <c r="W112" s="2"/>
      <c r="X112" s="2"/>
      <c r="Y112" s="2"/>
      <c r="Z112" s="2"/>
      <c r="AA112" s="124" t="s">
        <v>111</v>
      </c>
      <c r="AB112" s="23" t="s">
        <v>153</v>
      </c>
      <c r="AC112" s="23">
        <v>21.0</v>
      </c>
      <c r="AD112" s="23">
        <v>7.0</v>
      </c>
      <c r="AE112" s="23">
        <v>0.0</v>
      </c>
      <c r="AF112" s="23">
        <v>1.0</v>
      </c>
      <c r="AG112" s="23">
        <v>39.0</v>
      </c>
      <c r="AH112" s="24">
        <v>13.0</v>
      </c>
      <c r="AI112" s="23">
        <v>26.0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26">
        <v>45953.0</v>
      </c>
      <c r="C113" s="39" t="s">
        <v>53</v>
      </c>
      <c r="D113" s="39" t="s">
        <v>191</v>
      </c>
      <c r="E113" s="17" t="s">
        <v>166</v>
      </c>
      <c r="F113" s="90">
        <v>6.0</v>
      </c>
      <c r="G113" s="92" t="s">
        <v>24</v>
      </c>
      <c r="H113" s="90">
        <v>0.0</v>
      </c>
      <c r="I113" s="17" t="s">
        <v>64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0" t="s">
        <v>60</v>
      </c>
      <c r="P113" s="18">
        <f t="shared" si="21"/>
        <v>18</v>
      </c>
      <c r="Q113" s="18">
        <f t="shared" si="22"/>
        <v>6</v>
      </c>
      <c r="R113" s="20">
        <f t="shared" si="23"/>
        <v>0</v>
      </c>
      <c r="S113" s="20">
        <f t="shared" si="24"/>
        <v>2</v>
      </c>
      <c r="T113" s="18">
        <f t="shared" si="25"/>
        <v>41</v>
      </c>
      <c r="U113" s="20">
        <f t="shared" si="26"/>
        <v>17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60</v>
      </c>
      <c r="AC113" s="23">
        <v>18.0</v>
      </c>
      <c r="AD113" s="23">
        <v>6.0</v>
      </c>
      <c r="AE113" s="23">
        <v>0.0</v>
      </c>
      <c r="AF113" s="23">
        <v>2.0</v>
      </c>
      <c r="AG113" s="23">
        <v>41.0</v>
      </c>
      <c r="AH113" s="24">
        <v>17.0</v>
      </c>
      <c r="AI113" s="23">
        <v>24.0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26">
        <v>45950.0</v>
      </c>
      <c r="C114" s="39" t="s">
        <v>52</v>
      </c>
      <c r="D114" s="39" t="s">
        <v>191</v>
      </c>
      <c r="E114" s="44" t="s">
        <v>31</v>
      </c>
      <c r="F114" s="90">
        <v>4.0</v>
      </c>
      <c r="G114" s="92" t="s">
        <v>24</v>
      </c>
      <c r="H114" s="90">
        <v>3.0</v>
      </c>
      <c r="I114" s="44" t="s">
        <v>153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0" t="s">
        <v>166</v>
      </c>
      <c r="P114" s="18">
        <f t="shared" si="21"/>
        <v>15</v>
      </c>
      <c r="Q114" s="18">
        <f t="shared" si="22"/>
        <v>5</v>
      </c>
      <c r="R114" s="20">
        <f t="shared" si="23"/>
        <v>0</v>
      </c>
      <c r="S114" s="20">
        <f t="shared" si="24"/>
        <v>3</v>
      </c>
      <c r="T114" s="18">
        <f t="shared" si="25"/>
        <v>26</v>
      </c>
      <c r="U114" s="20">
        <f t="shared" si="26"/>
        <v>15</v>
      </c>
      <c r="V114" s="18">
        <f t="shared" si="27"/>
        <v>11</v>
      </c>
      <c r="W114" s="2"/>
      <c r="X114" s="2"/>
      <c r="Y114" s="2"/>
      <c r="Z114" s="2"/>
      <c r="AA114" s="22">
        <v>4.0</v>
      </c>
      <c r="AB114" s="23" t="s">
        <v>166</v>
      </c>
      <c r="AC114" s="23">
        <v>15.0</v>
      </c>
      <c r="AD114" s="23">
        <v>5.0</v>
      </c>
      <c r="AE114" s="23">
        <v>0.0</v>
      </c>
      <c r="AF114" s="23">
        <v>3.0</v>
      </c>
      <c r="AG114" s="23">
        <v>26.0</v>
      </c>
      <c r="AH114" s="24">
        <v>15.0</v>
      </c>
      <c r="AI114" s="23">
        <v>11.0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39"/>
      <c r="E115" s="17" t="s">
        <v>59</v>
      </c>
      <c r="F115" s="142"/>
      <c r="G115" s="92" t="s">
        <v>24</v>
      </c>
      <c r="H115" s="142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0" t="s">
        <v>31</v>
      </c>
      <c r="P115" s="18">
        <f t="shared" si="21"/>
        <v>24</v>
      </c>
      <c r="Q115" s="18">
        <f t="shared" si="22"/>
        <v>8</v>
      </c>
      <c r="R115" s="20">
        <f t="shared" si="23"/>
        <v>0</v>
      </c>
      <c r="S115" s="20">
        <f t="shared" si="24"/>
        <v>0</v>
      </c>
      <c r="T115" s="18">
        <f t="shared" si="25"/>
        <v>42</v>
      </c>
      <c r="U115" s="20">
        <f t="shared" si="26"/>
        <v>16</v>
      </c>
      <c r="V115" s="18">
        <f t="shared" si="27"/>
        <v>26</v>
      </c>
      <c r="W115" s="2"/>
      <c r="X115" s="2"/>
      <c r="Y115" s="2"/>
      <c r="Z115" s="2"/>
      <c r="AA115" s="22">
        <v>5.0</v>
      </c>
      <c r="AB115" s="23" t="s">
        <v>42</v>
      </c>
      <c r="AC115" s="23">
        <v>9.0</v>
      </c>
      <c r="AD115" s="23">
        <v>3.0</v>
      </c>
      <c r="AE115" s="23">
        <v>0.0</v>
      </c>
      <c r="AF115" s="23">
        <v>5.0</v>
      </c>
      <c r="AG115" s="23">
        <v>29.0</v>
      </c>
      <c r="AH115" s="24">
        <v>31.0</v>
      </c>
      <c r="AI115" s="23">
        <v>-2.0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26">
        <v>45971.0</v>
      </c>
      <c r="C116" s="12" t="s">
        <v>52</v>
      </c>
      <c r="D116" s="39" t="s">
        <v>191</v>
      </c>
      <c r="E116" s="44" t="s">
        <v>65</v>
      </c>
      <c r="F116" s="15">
        <v>0.0</v>
      </c>
      <c r="G116" s="92" t="s">
        <v>24</v>
      </c>
      <c r="H116" s="90">
        <v>7.0</v>
      </c>
      <c r="I116" s="44" t="s">
        <v>60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0" t="s">
        <v>59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7</v>
      </c>
      <c r="T116" s="18">
        <f t="shared" si="25"/>
        <v>9</v>
      </c>
      <c r="U116" s="20">
        <f t="shared" si="26"/>
        <v>33</v>
      </c>
      <c r="V116" s="18">
        <f t="shared" si="27"/>
        <v>-24</v>
      </c>
      <c r="W116" s="2"/>
      <c r="X116" s="2"/>
      <c r="Y116" s="2"/>
      <c r="Z116" s="2"/>
      <c r="AA116" s="22">
        <v>6.0</v>
      </c>
      <c r="AB116" s="23" t="s">
        <v>64</v>
      </c>
      <c r="AC116" s="23">
        <v>9.0</v>
      </c>
      <c r="AD116" s="23">
        <v>3.0</v>
      </c>
      <c r="AE116" s="23">
        <v>0.0</v>
      </c>
      <c r="AF116" s="23">
        <v>5.0</v>
      </c>
      <c r="AG116" s="23">
        <v>18.0</v>
      </c>
      <c r="AH116" s="24">
        <v>45.0</v>
      </c>
      <c r="AI116" s="23">
        <v>-27.0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7"/>
      <c r="C117" s="98"/>
      <c r="D117" s="94"/>
      <c r="E117" s="17">
        <v>0.0</v>
      </c>
      <c r="F117" s="16"/>
      <c r="G117" s="92" t="s">
        <v>24</v>
      </c>
      <c r="H117" s="142"/>
      <c r="I117" s="17" t="s">
        <v>42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0" t="s">
        <v>153</v>
      </c>
      <c r="P117" s="18">
        <f t="shared" si="21"/>
        <v>21</v>
      </c>
      <c r="Q117" s="18">
        <f t="shared" si="22"/>
        <v>7</v>
      </c>
      <c r="R117" s="20">
        <f t="shared" si="23"/>
        <v>0</v>
      </c>
      <c r="S117" s="20">
        <f t="shared" si="24"/>
        <v>1</v>
      </c>
      <c r="T117" s="18">
        <f t="shared" si="25"/>
        <v>39</v>
      </c>
      <c r="U117" s="20">
        <f t="shared" si="26"/>
        <v>13</v>
      </c>
      <c r="V117" s="18">
        <f t="shared" si="27"/>
        <v>26</v>
      </c>
      <c r="W117" s="2"/>
      <c r="X117" s="2"/>
      <c r="Y117" s="2"/>
      <c r="Z117" s="2"/>
      <c r="AA117" s="22">
        <v>7.0</v>
      </c>
      <c r="AB117" s="23" t="s">
        <v>65</v>
      </c>
      <c r="AC117" s="23">
        <v>7.0</v>
      </c>
      <c r="AD117" s="23">
        <v>2.0</v>
      </c>
      <c r="AE117" s="23">
        <v>1.0</v>
      </c>
      <c r="AF117" s="23">
        <v>5.0</v>
      </c>
      <c r="AG117" s="23">
        <v>17.0</v>
      </c>
      <c r="AH117" s="24">
        <v>23.0</v>
      </c>
      <c r="AI117" s="23">
        <v>-6.0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26">
        <v>45965.0</v>
      </c>
      <c r="C118" s="39" t="s">
        <v>55</v>
      </c>
      <c r="D118" s="39" t="s">
        <v>191</v>
      </c>
      <c r="E118" s="17" t="s">
        <v>109</v>
      </c>
      <c r="F118" s="15">
        <v>1.0</v>
      </c>
      <c r="G118" s="92" t="s">
        <v>24</v>
      </c>
      <c r="H118" s="90">
        <v>4.0</v>
      </c>
      <c r="I118" s="17" t="s">
        <v>166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0" t="s">
        <v>64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5</v>
      </c>
      <c r="T118" s="18">
        <f t="shared" si="25"/>
        <v>18</v>
      </c>
      <c r="U118" s="20">
        <f t="shared" si="26"/>
        <v>45</v>
      </c>
      <c r="V118" s="18">
        <f t="shared" si="27"/>
        <v>-27</v>
      </c>
      <c r="W118" s="2"/>
      <c r="X118" s="2"/>
      <c r="Y118" s="2"/>
      <c r="Z118" s="2"/>
      <c r="AA118" s="22">
        <v>8.0</v>
      </c>
      <c r="AB118" s="23" t="s">
        <v>109</v>
      </c>
      <c r="AC118" s="23">
        <v>2.0</v>
      </c>
      <c r="AD118" s="23">
        <v>0.0</v>
      </c>
      <c r="AE118" s="23">
        <v>2.0</v>
      </c>
      <c r="AF118" s="23">
        <v>6.0</v>
      </c>
      <c r="AG118" s="23">
        <v>13.0</v>
      </c>
      <c r="AH118" s="24">
        <v>41.0</v>
      </c>
      <c r="AI118" s="23">
        <v>-28.0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26">
        <v>45972.0</v>
      </c>
      <c r="C119" s="12" t="s">
        <v>55</v>
      </c>
      <c r="D119" s="39" t="s">
        <v>191</v>
      </c>
      <c r="E119" s="17" t="s">
        <v>64</v>
      </c>
      <c r="F119" s="15">
        <v>0.0</v>
      </c>
      <c r="G119" s="92" t="s">
        <v>24</v>
      </c>
      <c r="H119" s="90">
        <v>7.0</v>
      </c>
      <c r="I119" s="17" t="s">
        <v>31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0" t="s">
        <v>109</v>
      </c>
      <c r="P119" s="18">
        <f t="shared" si="21"/>
        <v>2</v>
      </c>
      <c r="Q119" s="18">
        <f t="shared" si="22"/>
        <v>0</v>
      </c>
      <c r="R119" s="20">
        <f t="shared" si="23"/>
        <v>2</v>
      </c>
      <c r="S119" s="20">
        <f t="shared" si="24"/>
        <v>6</v>
      </c>
      <c r="T119" s="18">
        <f t="shared" si="25"/>
        <v>13</v>
      </c>
      <c r="U119" s="20">
        <f t="shared" si="26"/>
        <v>41</v>
      </c>
      <c r="V119" s="18">
        <f t="shared" si="27"/>
        <v>-28</v>
      </c>
      <c r="W119" s="2"/>
      <c r="X119" s="2"/>
      <c r="Y119" s="2"/>
      <c r="Z119" s="2"/>
      <c r="AA119" s="22">
        <v>9.0</v>
      </c>
      <c r="AB119" s="23" t="s">
        <v>59</v>
      </c>
      <c r="AC119" s="23">
        <v>1.0</v>
      </c>
      <c r="AD119" s="28">
        <v>0.0</v>
      </c>
      <c r="AE119" s="28">
        <v>1.0</v>
      </c>
      <c r="AF119" s="28">
        <v>7.0</v>
      </c>
      <c r="AG119" s="28">
        <v>9.0</v>
      </c>
      <c r="AH119" s="28">
        <v>33.0</v>
      </c>
      <c r="AI119" s="28">
        <v>-24.0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26">
        <v>45965.0</v>
      </c>
      <c r="C120" s="39" t="s">
        <v>52</v>
      </c>
      <c r="D120" s="39" t="s">
        <v>191</v>
      </c>
      <c r="E120" s="17" t="s">
        <v>153</v>
      </c>
      <c r="F120" s="15">
        <v>6.0</v>
      </c>
      <c r="G120" s="92" t="s">
        <v>24</v>
      </c>
      <c r="H120" s="90">
        <v>2.0</v>
      </c>
      <c r="I120" s="17" t="s">
        <v>59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44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200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55</v>
      </c>
      <c r="D121" s="39" t="s">
        <v>191</v>
      </c>
      <c r="E121" s="17" t="s">
        <v>166</v>
      </c>
      <c r="F121" s="90">
        <v>2.0</v>
      </c>
      <c r="G121" s="92" t="s">
        <v>24</v>
      </c>
      <c r="H121" s="90">
        <v>1.0</v>
      </c>
      <c r="I121" s="17" t="s">
        <v>65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79" t="s">
        <v>101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52</v>
      </c>
      <c r="D122" s="39" t="s">
        <v>191</v>
      </c>
      <c r="E122" s="44" t="s">
        <v>60</v>
      </c>
      <c r="F122" s="90">
        <v>7.0</v>
      </c>
      <c r="G122" s="92" t="s">
        <v>24</v>
      </c>
      <c r="H122" s="90">
        <v>0.0</v>
      </c>
      <c r="I122" s="44" t="s">
        <v>42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55</v>
      </c>
      <c r="D123" s="39" t="s">
        <v>191</v>
      </c>
      <c r="E123" s="17" t="s">
        <v>31</v>
      </c>
      <c r="F123" s="90">
        <v>4.0</v>
      </c>
      <c r="G123" s="92" t="s">
        <v>24</v>
      </c>
      <c r="H123" s="90">
        <v>3.0</v>
      </c>
      <c r="I123" s="17" t="s">
        <v>109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53</v>
      </c>
      <c r="D124" s="39" t="s">
        <v>191</v>
      </c>
      <c r="E124" s="17" t="s">
        <v>59</v>
      </c>
      <c r="F124" s="90">
        <v>2.0</v>
      </c>
      <c r="G124" s="92" t="s">
        <v>24</v>
      </c>
      <c r="H124" s="90">
        <v>3.0</v>
      </c>
      <c r="I124" s="17" t="s">
        <v>64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39"/>
      <c r="E125" s="44">
        <v>0.0</v>
      </c>
      <c r="F125" s="142"/>
      <c r="G125" s="92" t="s">
        <v>24</v>
      </c>
      <c r="H125" s="142"/>
      <c r="I125" s="44" t="s">
        <v>153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53</v>
      </c>
      <c r="D126" s="39" t="s">
        <v>191</v>
      </c>
      <c r="E126" s="17" t="s">
        <v>65</v>
      </c>
      <c r="F126" s="90">
        <v>3.0</v>
      </c>
      <c r="G126" s="92" t="s">
        <v>24</v>
      </c>
      <c r="H126" s="90">
        <v>5.0</v>
      </c>
      <c r="I126" s="17" t="s">
        <v>31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183</v>
      </c>
      <c r="D127" s="39" t="s">
        <v>191</v>
      </c>
      <c r="E127" s="17" t="s">
        <v>42</v>
      </c>
      <c r="F127" s="90">
        <v>0.0</v>
      </c>
      <c r="G127" s="92" t="s">
        <v>24</v>
      </c>
      <c r="H127" s="90">
        <v>8.0</v>
      </c>
      <c r="I127" s="17" t="s">
        <v>166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7"/>
      <c r="C128" s="94"/>
      <c r="D128" s="39" t="s">
        <v>191</v>
      </c>
      <c r="E128" s="17" t="s">
        <v>60</v>
      </c>
      <c r="F128" s="142"/>
      <c r="G128" s="92" t="s">
        <v>24</v>
      </c>
      <c r="H128" s="142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164</v>
      </c>
      <c r="D129" s="39" t="s">
        <v>191</v>
      </c>
      <c r="E129" s="17" t="s">
        <v>109</v>
      </c>
      <c r="F129" s="90">
        <v>2.0</v>
      </c>
      <c r="G129" s="92" t="s">
        <v>24</v>
      </c>
      <c r="H129" s="90">
        <v>2.0</v>
      </c>
      <c r="I129" s="17" t="s">
        <v>59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53</v>
      </c>
      <c r="D130" s="39" t="s">
        <v>191</v>
      </c>
      <c r="E130" s="44" t="s">
        <v>64</v>
      </c>
      <c r="F130" s="90">
        <v>0.0</v>
      </c>
      <c r="G130" s="92" t="s">
        <v>24</v>
      </c>
      <c r="H130" s="90">
        <v>4.0</v>
      </c>
      <c r="I130" s="44" t="s">
        <v>153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53</v>
      </c>
      <c r="D131" s="39" t="s">
        <v>191</v>
      </c>
      <c r="E131" s="17" t="s">
        <v>59</v>
      </c>
      <c r="F131" s="90">
        <v>0.0</v>
      </c>
      <c r="G131" s="92" t="s">
        <v>24</v>
      </c>
      <c r="H131" s="90">
        <v>6.0</v>
      </c>
      <c r="I131" s="17" t="s">
        <v>65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26">
        <v>46104.0</v>
      </c>
      <c r="C132" s="39" t="s">
        <v>52</v>
      </c>
      <c r="D132" s="39" t="s">
        <v>191</v>
      </c>
      <c r="E132" s="17" t="s">
        <v>31</v>
      </c>
      <c r="F132" s="90">
        <v>2.0</v>
      </c>
      <c r="G132" s="92" t="s">
        <v>24</v>
      </c>
      <c r="H132" s="90">
        <v>1.0</v>
      </c>
      <c r="I132" s="17" t="s">
        <v>42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53</v>
      </c>
      <c r="D133" s="39" t="s">
        <v>191</v>
      </c>
      <c r="E133" s="17" t="s">
        <v>166</v>
      </c>
      <c r="F133" s="90">
        <v>1.0</v>
      </c>
      <c r="G133" s="92" t="s">
        <v>24</v>
      </c>
      <c r="H133" s="90">
        <v>4.0</v>
      </c>
      <c r="I133" s="17" t="s">
        <v>60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52</v>
      </c>
      <c r="D134" s="39" t="s">
        <v>191</v>
      </c>
      <c r="E134" s="44" t="s">
        <v>153</v>
      </c>
      <c r="F134" s="90">
        <v>6.0</v>
      </c>
      <c r="G134" s="92" t="s">
        <v>24</v>
      </c>
      <c r="H134" s="90">
        <v>3.0</v>
      </c>
      <c r="I134" s="44" t="s">
        <v>109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41"/>
      <c r="C135" s="31"/>
      <c r="D135" s="139"/>
      <c r="E135" s="44">
        <v>0.0</v>
      </c>
      <c r="F135" s="142"/>
      <c r="G135" s="92" t="s">
        <v>24</v>
      </c>
      <c r="H135" s="142"/>
      <c r="I135" s="44" t="s">
        <v>64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26">
        <v>46097.0</v>
      </c>
      <c r="C136" s="39" t="s">
        <v>55</v>
      </c>
      <c r="D136" s="39" t="s">
        <v>191</v>
      </c>
      <c r="E136" s="44" t="s">
        <v>65</v>
      </c>
      <c r="F136" s="90">
        <v>1.0</v>
      </c>
      <c r="G136" s="92" t="s">
        <v>24</v>
      </c>
      <c r="H136" s="90">
        <v>4.0</v>
      </c>
      <c r="I136" s="44" t="s">
        <v>153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26">
        <v>46100.0</v>
      </c>
      <c r="C137" s="39" t="s">
        <v>55</v>
      </c>
      <c r="D137" s="39" t="s">
        <v>191</v>
      </c>
      <c r="E137" s="17" t="s">
        <v>42</v>
      </c>
      <c r="F137" s="90">
        <v>3.0</v>
      </c>
      <c r="G137" s="92" t="s">
        <v>24</v>
      </c>
      <c r="H137" s="90">
        <v>1.0</v>
      </c>
      <c r="I137" s="17" t="s">
        <v>59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26">
        <v>46100.0</v>
      </c>
      <c r="C138" s="39" t="s">
        <v>52</v>
      </c>
      <c r="D138" s="39" t="s">
        <v>191</v>
      </c>
      <c r="E138" s="17" t="s">
        <v>60</v>
      </c>
      <c r="F138" s="90">
        <v>3.0</v>
      </c>
      <c r="G138" s="92" t="s">
        <v>24</v>
      </c>
      <c r="H138" s="90">
        <v>4.0</v>
      </c>
      <c r="I138" s="17" t="s">
        <v>31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7"/>
      <c r="C139" s="94"/>
      <c r="D139" s="94"/>
      <c r="E139" s="17" t="s">
        <v>166</v>
      </c>
      <c r="F139" s="142"/>
      <c r="G139" s="92" t="s">
        <v>24</v>
      </c>
      <c r="H139" s="142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26">
        <v>46097.0</v>
      </c>
      <c r="C140" s="39" t="s">
        <v>53</v>
      </c>
      <c r="D140" s="39" t="s">
        <v>191</v>
      </c>
      <c r="E140" s="17" t="s">
        <v>109</v>
      </c>
      <c r="F140" s="90">
        <v>0.0</v>
      </c>
      <c r="G140" s="92" t="s">
        <v>24</v>
      </c>
      <c r="H140" s="90">
        <v>7.0</v>
      </c>
      <c r="I140" s="17" t="s">
        <v>64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26">
        <v>46106.0</v>
      </c>
      <c r="C141" s="39" t="s">
        <v>53</v>
      </c>
      <c r="D141" s="39" t="s">
        <v>191</v>
      </c>
      <c r="E141" s="17" t="s">
        <v>64</v>
      </c>
      <c r="F141" s="90">
        <v>2.0</v>
      </c>
      <c r="G141" s="92" t="s">
        <v>24</v>
      </c>
      <c r="H141" s="90">
        <v>1.0</v>
      </c>
      <c r="I141" s="17" t="s">
        <v>65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26">
        <v>46111.0</v>
      </c>
      <c r="C142" s="39" t="s">
        <v>55</v>
      </c>
      <c r="D142" s="39" t="s">
        <v>191</v>
      </c>
      <c r="E142" s="17" t="s">
        <v>153</v>
      </c>
      <c r="F142" s="90">
        <v>8.0</v>
      </c>
      <c r="G142" s="92" t="s">
        <v>24</v>
      </c>
      <c r="H142" s="90">
        <v>1.0</v>
      </c>
      <c r="I142" s="17" t="s">
        <v>42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26">
        <v>46104.0</v>
      </c>
      <c r="C143" s="39" t="s">
        <v>53</v>
      </c>
      <c r="D143" s="39" t="s">
        <v>191</v>
      </c>
      <c r="E143" s="17" t="s">
        <v>59</v>
      </c>
      <c r="F143" s="90">
        <v>0.0</v>
      </c>
      <c r="G143" s="92" t="s">
        <v>24</v>
      </c>
      <c r="H143" s="90">
        <v>1.0</v>
      </c>
      <c r="I143" s="17" t="s">
        <v>60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26">
        <v>46111.0</v>
      </c>
      <c r="C144" s="39" t="s">
        <v>53</v>
      </c>
      <c r="D144" s="39" t="s">
        <v>191</v>
      </c>
      <c r="E144" s="17" t="s">
        <v>31</v>
      </c>
      <c r="F144" s="90">
        <v>7.0</v>
      </c>
      <c r="G144" s="92" t="s">
        <v>24</v>
      </c>
      <c r="H144" s="90">
        <v>1.0</v>
      </c>
      <c r="I144" s="17" t="s">
        <v>166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39"/>
      <c r="E145" s="17">
        <v>0.0</v>
      </c>
      <c r="F145" s="142"/>
      <c r="G145" s="92" t="s">
        <v>24</v>
      </c>
      <c r="H145" s="142"/>
      <c r="I145" s="17" t="s">
        <v>109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11">
        <v>46127.0</v>
      </c>
      <c r="C146" s="39" t="s">
        <v>169</v>
      </c>
      <c r="D146" s="39" t="s">
        <v>191</v>
      </c>
      <c r="E146" s="17" t="s">
        <v>65</v>
      </c>
      <c r="F146" s="90">
        <v>2.0</v>
      </c>
      <c r="G146" s="92" t="s">
        <v>24</v>
      </c>
      <c r="H146" s="90">
        <v>2.0</v>
      </c>
      <c r="I146" s="17" t="s">
        <v>109</v>
      </c>
      <c r="J146" s="37"/>
      <c r="K146" s="4">
        <f t="shared" si="19"/>
        <v>1</v>
      </c>
      <c r="L146" s="18">
        <f t="shared" si="20"/>
        <v>1</v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11">
        <v>46127.0</v>
      </c>
      <c r="C147" s="39" t="s">
        <v>160</v>
      </c>
      <c r="D147" s="39" t="s">
        <v>191</v>
      </c>
      <c r="E147" s="17" t="s">
        <v>42</v>
      </c>
      <c r="F147" s="90">
        <v>14.0</v>
      </c>
      <c r="G147" s="92" t="s">
        <v>24</v>
      </c>
      <c r="H147" s="90">
        <v>0.0</v>
      </c>
      <c r="I147" s="17" t="s">
        <v>64</v>
      </c>
      <c r="J147" s="37"/>
      <c r="K147" s="4">
        <f t="shared" si="19"/>
        <v>3</v>
      </c>
      <c r="L147" s="18">
        <f t="shared" si="20"/>
        <v>0</v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11">
        <v>46126.0</v>
      </c>
      <c r="C148" s="12" t="s">
        <v>55</v>
      </c>
      <c r="D148" s="39" t="s">
        <v>191</v>
      </c>
      <c r="E148" s="17" t="s">
        <v>60</v>
      </c>
      <c r="F148" s="90">
        <v>1.0</v>
      </c>
      <c r="G148" s="92" t="s">
        <v>24</v>
      </c>
      <c r="H148" s="90">
        <v>6.0</v>
      </c>
      <c r="I148" s="17" t="s">
        <v>153</v>
      </c>
      <c r="J148" s="37"/>
      <c r="K148" s="4">
        <f t="shared" si="19"/>
        <v>0</v>
      </c>
      <c r="L148" s="18">
        <f t="shared" si="20"/>
        <v>3</v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1">
        <v>46126.0</v>
      </c>
      <c r="C149" s="12" t="s">
        <v>52</v>
      </c>
      <c r="D149" s="39" t="s">
        <v>191</v>
      </c>
      <c r="E149" s="17" t="s">
        <v>166</v>
      </c>
      <c r="F149" s="90">
        <v>3.0</v>
      </c>
      <c r="G149" s="92" t="s">
        <v>24</v>
      </c>
      <c r="H149" s="90">
        <v>0.0</v>
      </c>
      <c r="I149" s="17" t="s">
        <v>59</v>
      </c>
      <c r="J149" s="37"/>
      <c r="K149" s="4">
        <f t="shared" si="19"/>
        <v>3</v>
      </c>
      <c r="L149" s="18">
        <f t="shared" si="20"/>
        <v>0</v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39"/>
      <c r="E150" s="17" t="s">
        <v>31</v>
      </c>
      <c r="F150" s="142"/>
      <c r="G150" s="92" t="s">
        <v>24</v>
      </c>
      <c r="H150" s="142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39"/>
      <c r="E151" s="17">
        <v>0.0</v>
      </c>
      <c r="F151" s="142"/>
      <c r="G151" s="92" t="s">
        <v>24</v>
      </c>
      <c r="H151" s="142"/>
      <c r="I151" s="17" t="s">
        <v>65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26">
        <v>46134.0</v>
      </c>
      <c r="C152" s="39" t="s">
        <v>53</v>
      </c>
      <c r="D152" s="39" t="s">
        <v>191</v>
      </c>
      <c r="E152" s="17" t="s">
        <v>109</v>
      </c>
      <c r="F152" s="90">
        <v>2.0</v>
      </c>
      <c r="G152" s="92" t="s">
        <v>24</v>
      </c>
      <c r="H152" s="90">
        <v>9.0</v>
      </c>
      <c r="I152" s="17" t="s">
        <v>42</v>
      </c>
      <c r="J152" s="37"/>
      <c r="K152" s="4">
        <f t="shared" si="19"/>
        <v>0</v>
      </c>
      <c r="L152" s="18">
        <f t="shared" si="20"/>
        <v>3</v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26">
        <v>46134.0</v>
      </c>
      <c r="C153" s="39" t="s">
        <v>55</v>
      </c>
      <c r="D153" s="39" t="s">
        <v>191</v>
      </c>
      <c r="E153" s="17" t="s">
        <v>64</v>
      </c>
      <c r="F153" s="90">
        <v>6.0</v>
      </c>
      <c r="G153" s="92" t="s">
        <v>24</v>
      </c>
      <c r="H153" s="90">
        <v>11.0</v>
      </c>
      <c r="I153" s="17" t="s">
        <v>60</v>
      </c>
      <c r="J153" s="37"/>
      <c r="K153" s="4">
        <f t="shared" si="19"/>
        <v>0</v>
      </c>
      <c r="L153" s="18">
        <f t="shared" si="20"/>
        <v>3</v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26">
        <v>46133.0</v>
      </c>
      <c r="C154" s="39" t="s">
        <v>53</v>
      </c>
      <c r="D154" s="39" t="s">
        <v>191</v>
      </c>
      <c r="E154" s="17" t="s">
        <v>153</v>
      </c>
      <c r="F154" s="90">
        <v>2.0</v>
      </c>
      <c r="G154" s="92" t="s">
        <v>24</v>
      </c>
      <c r="H154" s="90">
        <v>1.0</v>
      </c>
      <c r="I154" s="17" t="s">
        <v>166</v>
      </c>
      <c r="J154" s="37"/>
      <c r="K154" s="4">
        <f t="shared" si="19"/>
        <v>3</v>
      </c>
      <c r="L154" s="18">
        <f t="shared" si="20"/>
        <v>0</v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26">
        <v>46134.0</v>
      </c>
      <c r="C155" s="39" t="s">
        <v>52</v>
      </c>
      <c r="D155" s="39" t="s">
        <v>191</v>
      </c>
      <c r="E155" s="17" t="s">
        <v>59</v>
      </c>
      <c r="F155" s="90">
        <v>2.0</v>
      </c>
      <c r="G155" s="92" t="s">
        <v>24</v>
      </c>
      <c r="H155" s="90">
        <v>9.0</v>
      </c>
      <c r="I155" s="17" t="s">
        <v>31</v>
      </c>
      <c r="J155" s="37"/>
      <c r="K155" s="4">
        <f t="shared" si="19"/>
        <v>0</v>
      </c>
      <c r="L155" s="18">
        <f t="shared" si="20"/>
        <v>3</v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1"/>
      <c r="B156" s="37"/>
      <c r="C156" s="37"/>
      <c r="D156" s="37"/>
      <c r="E156" s="37"/>
      <c r="F156" s="37"/>
      <c r="G156" s="37"/>
      <c r="H156" s="37"/>
      <c r="I156" s="37"/>
      <c r="J156" s="37"/>
      <c r="K156" s="4" t="str">
        <f t="shared" si="19"/>
        <v/>
      </c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1"/>
      <c r="B157" s="37"/>
      <c r="C157" s="37"/>
      <c r="D157" s="37"/>
      <c r="E157" s="37"/>
      <c r="F157" s="37"/>
      <c r="G157" s="37"/>
      <c r="H157" s="37"/>
      <c r="I157" s="37"/>
      <c r="J157" s="37"/>
      <c r="K157" s="4" t="str">
        <f t="shared" si="19"/>
        <v/>
      </c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1"/>
      <c r="B158" s="37"/>
      <c r="C158" s="37"/>
      <c r="D158" s="37"/>
      <c r="E158" s="37"/>
      <c r="F158" s="37"/>
      <c r="G158" s="37"/>
      <c r="H158" s="37"/>
      <c r="I158" s="37"/>
      <c r="J158" s="37"/>
      <c r="K158" s="4" t="str">
        <f t="shared" si="19"/>
        <v/>
      </c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1"/>
      <c r="B159" s="37"/>
      <c r="C159" s="37"/>
      <c r="D159" s="37"/>
      <c r="E159" s="37"/>
      <c r="F159" s="37"/>
      <c r="G159" s="37"/>
      <c r="H159" s="37"/>
      <c r="I159" s="37"/>
      <c r="J159" s="37"/>
      <c r="K159" s="4" t="str">
        <f t="shared" si="19"/>
        <v/>
      </c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7" t="s">
        <v>201</v>
      </c>
      <c r="H160" s="2"/>
      <c r="I160" s="3"/>
      <c r="J160" s="63"/>
      <c r="K160" s="4" t="str">
        <f t="shared" si="19"/>
        <v/>
      </c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85</v>
      </c>
      <c r="U161" s="9" t="s">
        <v>86</v>
      </c>
      <c r="V161" s="9" t="s">
        <v>87</v>
      </c>
      <c r="W161" s="63"/>
      <c r="X161" s="63"/>
      <c r="Y161" s="63"/>
      <c r="Z161" s="63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85</v>
      </c>
      <c r="AK161" s="5" t="s">
        <v>86</v>
      </c>
      <c r="AL161" s="5" t="s">
        <v>87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2">
        <v>1.0</v>
      </c>
      <c r="B162" s="43">
        <v>46155.0</v>
      </c>
      <c r="C162" s="12" t="s">
        <v>55</v>
      </c>
      <c r="D162" s="12" t="s">
        <v>191</v>
      </c>
      <c r="E162" s="28" t="s">
        <v>107</v>
      </c>
      <c r="F162" s="13"/>
      <c r="G162" s="16" t="s">
        <v>24</v>
      </c>
      <c r="H162" s="13"/>
      <c r="I162" s="44" t="s">
        <v>93</v>
      </c>
      <c r="J162" s="4"/>
      <c r="K162" s="4" t="str">
        <f t="shared" ref="K162:K164" si="28">IF(F162="","",IFS(F162&gt;H162,3,F162=H162,1,H162&gt;F162,0,F162="",0))</f>
        <v/>
      </c>
      <c r="L162" s="18" t="str">
        <f t="shared" ref="L162:L164" si="29">IF(H162="","",IFS(F162&lt;H162,3,F162=H162,1,H162&lt;F162,0))</f>
        <v/>
      </c>
      <c r="M162" s="4"/>
      <c r="N162" s="18">
        <v>1.0</v>
      </c>
      <c r="O162" s="77" t="s">
        <v>107</v>
      </c>
      <c r="P162" s="18">
        <f t="shared" ref="P162:P164" si="30">SUMIF(E$162:E$164,O162,K$162:K$164)+SUMIF(I$162:I$164,O162,L$162:L$164)</f>
        <v>0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0</v>
      </c>
      <c r="U162" s="20">
        <f t="shared" ref="U162:U164" si="35">SUMIF(E$162:E$164,O162,H$162:H$164)+SUMIF(I$162:I$164,O162,F$162:F$164)</f>
        <v>0</v>
      </c>
      <c r="V162" s="18">
        <f t="shared" ref="V162:V164" si="36">T162-U162</f>
        <v>0</v>
      </c>
      <c r="W162" s="63"/>
      <c r="X162" s="63"/>
      <c r="Y162" s="63"/>
      <c r="Z162" s="63"/>
      <c r="AA162" s="103">
        <v>1.0</v>
      </c>
      <c r="AB162" s="70" t="str">
        <f t="array" ref="AB162:AJ164">SORT(O162:X164,2,FALSE,9,FALSE,8,FALSE())</f>
        <v>Contabilidade</v>
      </c>
      <c r="AC162" s="23">
        <v>0.0</v>
      </c>
      <c r="AD162" s="23">
        <v>0.0</v>
      </c>
      <c r="AE162" s="24">
        <v>0.0</v>
      </c>
      <c r="AF162" s="24">
        <v>0.0</v>
      </c>
      <c r="AG162" s="23">
        <v>0.0</v>
      </c>
      <c r="AH162" s="24">
        <v>0.0</v>
      </c>
      <c r="AI162" s="23">
        <v>0.0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2">
        <v>2.0</v>
      </c>
      <c r="B163" s="43"/>
      <c r="C163" s="12"/>
      <c r="D163" s="12"/>
      <c r="E163" s="44" t="s">
        <v>93</v>
      </c>
      <c r="F163" s="13"/>
      <c r="G163" s="16" t="s">
        <v>24</v>
      </c>
      <c r="H163" s="13"/>
      <c r="I163" s="44" t="s">
        <v>153</v>
      </c>
      <c r="J163" s="4"/>
      <c r="K163" s="4" t="str">
        <f t="shared" si="28"/>
        <v/>
      </c>
      <c r="L163" s="18" t="str">
        <f t="shared" si="29"/>
        <v/>
      </c>
      <c r="M163" s="4"/>
      <c r="N163" s="18">
        <v>2.0</v>
      </c>
      <c r="O163" s="145" t="s">
        <v>93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0</v>
      </c>
      <c r="T163" s="18">
        <f t="shared" si="34"/>
        <v>0</v>
      </c>
      <c r="U163" s="20">
        <f t="shared" si="35"/>
        <v>0</v>
      </c>
      <c r="V163" s="18">
        <f t="shared" si="36"/>
        <v>0</v>
      </c>
      <c r="W163" s="63"/>
      <c r="X163" s="63"/>
      <c r="Y163" s="63"/>
      <c r="Z163" s="63"/>
      <c r="AA163" s="103">
        <v>2.0</v>
      </c>
      <c r="AB163" s="70" t="s">
        <v>93</v>
      </c>
      <c r="AC163" s="23">
        <v>0.0</v>
      </c>
      <c r="AD163" s="23">
        <v>0.0</v>
      </c>
      <c r="AE163" s="24">
        <v>0.0</v>
      </c>
      <c r="AF163" s="24">
        <v>0.0</v>
      </c>
      <c r="AG163" s="23">
        <v>0.0</v>
      </c>
      <c r="AH163" s="24">
        <v>0.0</v>
      </c>
      <c r="AI163" s="23">
        <v>0.0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2">
        <v>3.0</v>
      </c>
      <c r="B164" s="43"/>
      <c r="C164" s="12"/>
      <c r="D164" s="12"/>
      <c r="E164" s="44" t="s">
        <v>153</v>
      </c>
      <c r="F164" s="13"/>
      <c r="G164" s="16" t="s">
        <v>24</v>
      </c>
      <c r="H164" s="13"/>
      <c r="I164" s="28" t="s">
        <v>107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7" t="s">
        <v>153</v>
      </c>
      <c r="P164" s="18">
        <f t="shared" si="30"/>
        <v>0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0</v>
      </c>
      <c r="U164" s="20">
        <f t="shared" si="35"/>
        <v>0</v>
      </c>
      <c r="V164" s="18">
        <f t="shared" si="36"/>
        <v>0</v>
      </c>
      <c r="W164" s="63"/>
      <c r="X164" s="63"/>
      <c r="Y164" s="63"/>
      <c r="Z164" s="63"/>
      <c r="AA164" s="22">
        <v>3.0</v>
      </c>
      <c r="AB164" s="70" t="s">
        <v>153</v>
      </c>
      <c r="AC164" s="23">
        <v>0.0</v>
      </c>
      <c r="AD164" s="23">
        <v>0.0</v>
      </c>
      <c r="AE164" s="24">
        <v>0.0</v>
      </c>
      <c r="AF164" s="24">
        <v>0.0</v>
      </c>
      <c r="AG164" s="23">
        <v>0.0</v>
      </c>
      <c r="AH164" s="24">
        <v>0.0</v>
      </c>
      <c r="AI164" s="23">
        <v>0.0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1"/>
      <c r="B165" s="63"/>
      <c r="C165" s="63"/>
      <c r="D165" s="63"/>
      <c r="E165" s="37"/>
      <c r="F165" s="63"/>
      <c r="G165" s="63"/>
      <c r="H165" s="63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1"/>
      <c r="B166" s="63"/>
      <c r="C166" s="63"/>
      <c r="D166" s="63"/>
      <c r="E166" s="37"/>
      <c r="F166" s="63"/>
      <c r="G166" s="63"/>
      <c r="H166" s="63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1"/>
      <c r="B167" s="63"/>
      <c r="C167" s="63"/>
      <c r="D167" s="63"/>
      <c r="E167" s="37"/>
      <c r="F167" s="63"/>
      <c r="G167" s="63"/>
      <c r="H167" s="63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1"/>
      <c r="B168" s="63"/>
      <c r="C168" s="63"/>
      <c r="D168" s="63"/>
      <c r="E168" s="37"/>
      <c r="F168" s="63"/>
      <c r="G168" s="63"/>
      <c r="H168" s="63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7" t="s">
        <v>202</v>
      </c>
      <c r="H169" s="2"/>
      <c r="I169" s="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8" t="s">
        <v>72</v>
      </c>
      <c r="B171" s="43">
        <v>46155.0</v>
      </c>
      <c r="C171" s="12" t="s">
        <v>52</v>
      </c>
      <c r="D171" s="12" t="s">
        <v>191</v>
      </c>
      <c r="E171" s="44" t="s">
        <v>23</v>
      </c>
      <c r="F171" s="31"/>
      <c r="G171" s="16" t="s">
        <v>24</v>
      </c>
      <c r="H171" s="31"/>
      <c r="I171" s="17" t="s">
        <v>32</v>
      </c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3">
        <v>46155.0</v>
      </c>
      <c r="C172" s="12" t="s">
        <v>53</v>
      </c>
      <c r="D172" s="12" t="s">
        <v>191</v>
      </c>
      <c r="E172" s="28" t="s">
        <v>25</v>
      </c>
      <c r="F172" s="31"/>
      <c r="G172" s="16" t="s">
        <v>24</v>
      </c>
      <c r="H172" s="31"/>
      <c r="I172" s="17" t="s">
        <v>31</v>
      </c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3">
        <v>46156.0</v>
      </c>
      <c r="C173" s="12" t="s">
        <v>55</v>
      </c>
      <c r="D173" s="12" t="s">
        <v>191</v>
      </c>
      <c r="E173" s="28" t="s">
        <v>33</v>
      </c>
      <c r="F173" s="31"/>
      <c r="G173" s="16" t="s">
        <v>24</v>
      </c>
      <c r="H173" s="31"/>
      <c r="I173" s="28" t="s">
        <v>36</v>
      </c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3">
        <v>46156.0</v>
      </c>
      <c r="C174" s="12" t="s">
        <v>52</v>
      </c>
      <c r="D174" s="12" t="s">
        <v>191</v>
      </c>
      <c r="E174" s="28" t="s">
        <v>110</v>
      </c>
      <c r="F174" s="31"/>
      <c r="G174" s="16" t="s">
        <v>24</v>
      </c>
      <c r="H174" s="31"/>
      <c r="I174" s="28" t="s">
        <v>37</v>
      </c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9" t="s">
        <v>73</v>
      </c>
      <c r="B175" s="43"/>
      <c r="C175" s="12"/>
      <c r="D175" s="12"/>
      <c r="E175" s="44" t="s">
        <v>74</v>
      </c>
      <c r="F175" s="31"/>
      <c r="G175" s="16" t="s">
        <v>24</v>
      </c>
      <c r="H175" s="31"/>
      <c r="I175" s="44" t="s">
        <v>75</v>
      </c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56"/>
      <c r="C176" s="31"/>
      <c r="D176" s="12"/>
      <c r="E176" s="51" t="s">
        <v>76</v>
      </c>
      <c r="F176" s="13"/>
      <c r="G176" s="16" t="s">
        <v>24</v>
      </c>
      <c r="H176" s="13"/>
      <c r="I176" s="44" t="s">
        <v>77</v>
      </c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63"/>
      <c r="AB176" s="63"/>
      <c r="AC176" s="63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60" t="s">
        <v>78</v>
      </c>
      <c r="B177" s="30"/>
      <c r="C177" s="31"/>
      <c r="D177" s="12"/>
      <c r="E177" s="44" t="s">
        <v>79</v>
      </c>
      <c r="F177" s="31"/>
      <c r="G177" s="16" t="s">
        <v>24</v>
      </c>
      <c r="H177" s="31"/>
      <c r="I177" s="61" t="s">
        <v>80</v>
      </c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63"/>
      <c r="AB177" s="63"/>
      <c r="AC177" s="63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60" t="s">
        <v>81</v>
      </c>
      <c r="B178" s="30"/>
      <c r="C178" s="31"/>
      <c r="D178" s="12"/>
      <c r="E178" s="44" t="s">
        <v>82</v>
      </c>
      <c r="F178" s="31"/>
      <c r="G178" s="16" t="s">
        <v>24</v>
      </c>
      <c r="H178" s="31"/>
      <c r="I178" s="44" t="s">
        <v>83</v>
      </c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63"/>
      <c r="AB178" s="63"/>
      <c r="AC178" s="63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1"/>
      <c r="B179" s="63"/>
      <c r="C179" s="63"/>
      <c r="D179" s="63"/>
      <c r="E179" s="37"/>
      <c r="F179" s="63"/>
      <c r="G179" s="63"/>
      <c r="H179" s="63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63"/>
      <c r="AB179" s="63"/>
      <c r="AC179" s="63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1"/>
      <c r="B180" s="63"/>
      <c r="C180" s="63"/>
      <c r="D180" s="63"/>
      <c r="E180" s="37"/>
      <c r="F180" s="63"/>
      <c r="G180" s="63"/>
      <c r="H180" s="63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1"/>
      <c r="B181" s="63"/>
      <c r="C181" s="63"/>
      <c r="D181" s="63"/>
      <c r="E181" s="37"/>
      <c r="F181" s="63"/>
      <c r="G181" s="63"/>
      <c r="H181" s="63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1"/>
      <c r="B182" s="63"/>
      <c r="C182" s="63"/>
      <c r="D182" s="63"/>
      <c r="E182" s="37"/>
      <c r="F182" s="63"/>
      <c r="G182" s="63"/>
      <c r="H182" s="63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1"/>
      <c r="B183" s="63"/>
      <c r="C183" s="63"/>
      <c r="D183" s="63"/>
      <c r="E183" s="37"/>
      <c r="F183" s="63"/>
      <c r="G183" s="63"/>
      <c r="H183" s="63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1"/>
      <c r="B184" s="63"/>
      <c r="C184" s="63"/>
      <c r="D184" s="63"/>
      <c r="E184" s="37"/>
      <c r="F184" s="63"/>
      <c r="G184" s="63"/>
      <c r="H184" s="63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1"/>
      <c r="B185" s="63"/>
      <c r="C185" s="63"/>
      <c r="D185" s="63"/>
      <c r="E185" s="37"/>
      <c r="F185" s="63"/>
      <c r="G185" s="63"/>
      <c r="H185" s="63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1"/>
      <c r="B186" s="63"/>
      <c r="C186" s="63"/>
      <c r="D186" s="63"/>
      <c r="E186" s="37"/>
      <c r="F186" s="63"/>
      <c r="G186" s="63"/>
      <c r="H186" s="63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1"/>
      <c r="B187" s="63"/>
      <c r="C187" s="63"/>
      <c r="D187" s="63"/>
      <c r="E187" s="37"/>
      <c r="F187" s="63"/>
      <c r="G187" s="63"/>
      <c r="H187" s="63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1"/>
      <c r="B188" s="63"/>
      <c r="C188" s="63"/>
      <c r="D188" s="63"/>
      <c r="E188" s="37"/>
      <c r="F188" s="63"/>
      <c r="G188" s="63"/>
      <c r="H188" s="63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1"/>
      <c r="B189" s="63"/>
      <c r="C189" s="63"/>
      <c r="D189" s="63"/>
      <c r="E189" s="37"/>
      <c r="F189" s="63"/>
      <c r="G189" s="63"/>
      <c r="H189" s="63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1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1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1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1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1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1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1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1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1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1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1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1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1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1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1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1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1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1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1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1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1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1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1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1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1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1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1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1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1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1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1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1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1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1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1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1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1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1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1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1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1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1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1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1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101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101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101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101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101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101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101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101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101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101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101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101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101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101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101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101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101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101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101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101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101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101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101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101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101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101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101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101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101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101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101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101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101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101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101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101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101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101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101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101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101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101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101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101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101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101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101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101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101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101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101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101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101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101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101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101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101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101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101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101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46" t="s">
        <v>203</v>
      </c>
      <c r="I1" s="147"/>
      <c r="AA1" s="3"/>
      <c r="AB1" s="147"/>
      <c r="AC1" s="3"/>
      <c r="AD1" s="3"/>
      <c r="AE1" s="3"/>
      <c r="AF1" s="3"/>
      <c r="AG1" s="3"/>
      <c r="AH1" s="3"/>
      <c r="AI1" s="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204</v>
      </c>
      <c r="U2" s="9" t="s">
        <v>205</v>
      </c>
      <c r="V2" s="9" t="s">
        <v>206</v>
      </c>
      <c r="W2" s="3"/>
      <c r="X2" s="132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204</v>
      </c>
      <c r="AH2" s="5" t="s">
        <v>205</v>
      </c>
      <c r="AI2" s="5" t="s">
        <v>206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7" t="s">
        <v>23</v>
      </c>
      <c r="F3" s="13">
        <v>1.0</v>
      </c>
      <c r="G3" s="31" t="s">
        <v>24</v>
      </c>
      <c r="H3" s="13">
        <v>2.0</v>
      </c>
      <c r="I3" s="17" t="s">
        <v>25</v>
      </c>
      <c r="J3" s="148"/>
      <c r="K3" s="149">
        <f t="shared" ref="K3:K68" si="1">IFS(F3=H3+2,3,F3=H3-2,0,F3=H3+1,2,F3=H3-1,1,F3="","")</f>
        <v>1</v>
      </c>
      <c r="L3" s="150">
        <f t="shared" ref="L3:L68" si="2">IFS(H3=F3+2,3,H3=F3-2,0,H3=F3+1,2,H3=F3-1,1,H3="","")</f>
        <v>2</v>
      </c>
      <c r="M3" s="148"/>
      <c r="N3" s="150">
        <v>1.0</v>
      </c>
      <c r="O3" s="151" t="s">
        <v>23</v>
      </c>
      <c r="P3" s="150">
        <f t="shared" ref="P3:P14" si="3">SUMIF(E$3:E$68,O3,K$3:K$68)+SUMIF(I$3:I$68,O3,L$3:L$68)</f>
        <v>29</v>
      </c>
      <c r="Q3" s="152">
        <f t="shared" ref="Q3:Q14" si="4">COUNTIFS(E$3:E$68,O3,K$3:K$68,2)+COUNTIFS(I$3:I$68,O3,L$3:L$68,2)+COUNTIFS(E$3:E$68,O3,K$3:K$68,3)+COUNTIFS(I$3:I$68,O3,L$3:L$68,3)</f>
        <v>10</v>
      </c>
      <c r="R3" s="152"/>
      <c r="S3" s="153">
        <f t="shared" ref="S3:S14" si="5">COUNTIFS(E$3:E$68,O3,K$3:K$68,1)+COUNTIFS(I$3:I$68,O3,L$3:L$68,1)+COUNTIFS(E$3:E$68,O3,K$3:K$68,0)+COUNTIFS(I$3:I$68,O3,L$3:L$68,0)</f>
        <v>1</v>
      </c>
      <c r="T3" s="150">
        <f t="shared" ref="T3:T14" si="6">SUMIF(E$3:E$68,O3,F$3:F$68)+SUMIF(I$3:I$68,O3,H$3:H$68)</f>
        <v>21</v>
      </c>
      <c r="U3" s="153">
        <f t="shared" ref="U3:U14" si="7">SUMIF(E$3:E$68,O3,H$3:H$68)+SUMIF(I$3:I$68,O3,F$3:F$68)</f>
        <v>4</v>
      </c>
      <c r="V3" s="150">
        <f t="shared" ref="V3:V14" si="8">T3-U3</f>
        <v>17</v>
      </c>
      <c r="X3" s="136" t="s">
        <v>26</v>
      </c>
      <c r="Y3" s="136" t="s">
        <v>13</v>
      </c>
      <c r="AA3" s="22" t="s">
        <v>29</v>
      </c>
      <c r="AB3" s="70" t="str">
        <f t="array" ref="AB3:AI14">SORT(O3:V14,2,FALSE,8,FALSE)</f>
        <v>EGI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</row>
    <row r="4" ht="15.75" customHeight="1">
      <c r="A4" s="25"/>
      <c r="B4" s="11">
        <v>45946.0</v>
      </c>
      <c r="C4" s="12" t="s">
        <v>49</v>
      </c>
      <c r="D4" s="12" t="s">
        <v>22</v>
      </c>
      <c r="E4" s="17" t="s">
        <v>31</v>
      </c>
      <c r="F4" s="13">
        <v>0.0</v>
      </c>
      <c r="G4" s="31" t="s">
        <v>24</v>
      </c>
      <c r="H4" s="13">
        <v>2.0</v>
      </c>
      <c r="I4" s="17" t="s">
        <v>112</v>
      </c>
      <c r="J4" s="148"/>
      <c r="K4" s="149">
        <f t="shared" si="1"/>
        <v>0</v>
      </c>
      <c r="L4" s="150">
        <f t="shared" si="2"/>
        <v>3</v>
      </c>
      <c r="M4" s="148"/>
      <c r="N4" s="150">
        <v>2.0</v>
      </c>
      <c r="O4" s="151" t="s">
        <v>153</v>
      </c>
      <c r="P4" s="150">
        <f t="shared" si="3"/>
        <v>22</v>
      </c>
      <c r="Q4" s="152">
        <f t="shared" si="4"/>
        <v>7</v>
      </c>
      <c r="R4" s="152"/>
      <c r="S4" s="153">
        <f t="shared" si="5"/>
        <v>4</v>
      </c>
      <c r="T4" s="150">
        <f t="shared" si="6"/>
        <v>15</v>
      </c>
      <c r="U4" s="153">
        <f t="shared" si="7"/>
        <v>8</v>
      </c>
      <c r="V4" s="150">
        <f t="shared" si="8"/>
        <v>7</v>
      </c>
      <c r="X4" s="137" t="s">
        <v>66</v>
      </c>
      <c r="Y4" s="137">
        <v>2.0</v>
      </c>
      <c r="AA4" s="22" t="s">
        <v>34</v>
      </c>
      <c r="AB4" s="70" t="s">
        <v>23</v>
      </c>
      <c r="AC4" s="23">
        <v>29.0</v>
      </c>
      <c r="AD4" s="23">
        <v>10.0</v>
      </c>
      <c r="AE4" s="23"/>
      <c r="AF4" s="24">
        <v>1.0</v>
      </c>
      <c r="AG4" s="23">
        <v>21.0</v>
      </c>
      <c r="AH4" s="24">
        <v>4.0</v>
      </c>
      <c r="AI4" s="23">
        <v>17.0</v>
      </c>
    </row>
    <row r="5" ht="15.75" customHeight="1">
      <c r="A5" s="25"/>
      <c r="B5" s="11">
        <v>45946.0</v>
      </c>
      <c r="C5" s="12" t="s">
        <v>49</v>
      </c>
      <c r="D5" s="12" t="s">
        <v>22</v>
      </c>
      <c r="E5" s="55" t="s">
        <v>32</v>
      </c>
      <c r="F5" s="13">
        <v>0.0</v>
      </c>
      <c r="G5" s="31" t="s">
        <v>24</v>
      </c>
      <c r="H5" s="13">
        <v>2.0</v>
      </c>
      <c r="I5" s="17" t="s">
        <v>197</v>
      </c>
      <c r="J5" s="148"/>
      <c r="K5" s="149">
        <f t="shared" si="1"/>
        <v>0</v>
      </c>
      <c r="L5" s="150">
        <f t="shared" si="2"/>
        <v>3</v>
      </c>
      <c r="M5" s="148"/>
      <c r="N5" s="150">
        <v>3.0</v>
      </c>
      <c r="O5" s="151" t="s">
        <v>25</v>
      </c>
      <c r="P5" s="150">
        <f t="shared" si="3"/>
        <v>30</v>
      </c>
      <c r="Q5" s="152">
        <f t="shared" si="4"/>
        <v>10</v>
      </c>
      <c r="R5" s="152"/>
      <c r="S5" s="153">
        <f t="shared" si="5"/>
        <v>1</v>
      </c>
      <c r="T5" s="150">
        <f t="shared" si="6"/>
        <v>21</v>
      </c>
      <c r="U5" s="153">
        <f t="shared" si="7"/>
        <v>3</v>
      </c>
      <c r="V5" s="150">
        <f t="shared" si="8"/>
        <v>18</v>
      </c>
      <c r="X5" s="137" t="s">
        <v>31</v>
      </c>
      <c r="Y5" s="137">
        <v>1.0</v>
      </c>
      <c r="AA5" s="22" t="s">
        <v>38</v>
      </c>
      <c r="AB5" s="70" t="s">
        <v>36</v>
      </c>
      <c r="AC5" s="23">
        <v>26.0</v>
      </c>
      <c r="AD5" s="23">
        <v>9.0</v>
      </c>
      <c r="AE5" s="23"/>
      <c r="AF5" s="24">
        <v>2.0</v>
      </c>
      <c r="AG5" s="23">
        <v>18.0</v>
      </c>
      <c r="AH5" s="24">
        <v>5.0</v>
      </c>
      <c r="AI5" s="23">
        <v>13.0</v>
      </c>
    </row>
    <row r="6" ht="15.75" customHeight="1">
      <c r="A6" s="25"/>
      <c r="B6" s="11">
        <v>45957.0</v>
      </c>
      <c r="C6" s="12" t="s">
        <v>30</v>
      </c>
      <c r="D6" s="12" t="s">
        <v>22</v>
      </c>
      <c r="E6" s="17" t="s">
        <v>36</v>
      </c>
      <c r="F6" s="13">
        <v>2.0</v>
      </c>
      <c r="G6" s="31" t="s">
        <v>24</v>
      </c>
      <c r="H6" s="13">
        <v>0.0</v>
      </c>
      <c r="I6" s="17" t="s">
        <v>43</v>
      </c>
      <c r="J6" s="148"/>
      <c r="K6" s="149">
        <f t="shared" si="1"/>
        <v>3</v>
      </c>
      <c r="L6" s="150">
        <f t="shared" si="2"/>
        <v>0</v>
      </c>
      <c r="M6" s="148"/>
      <c r="N6" s="150">
        <v>4.0</v>
      </c>
      <c r="O6" s="151" t="s">
        <v>110</v>
      </c>
      <c r="P6" s="150">
        <f t="shared" si="3"/>
        <v>10</v>
      </c>
      <c r="Q6" s="152">
        <f t="shared" si="4"/>
        <v>4</v>
      </c>
      <c r="R6" s="152"/>
      <c r="S6" s="153">
        <f t="shared" si="5"/>
        <v>7</v>
      </c>
      <c r="T6" s="150">
        <f t="shared" si="6"/>
        <v>8</v>
      </c>
      <c r="U6" s="153">
        <f t="shared" si="7"/>
        <v>16</v>
      </c>
      <c r="V6" s="150">
        <f t="shared" si="8"/>
        <v>-8</v>
      </c>
      <c r="AA6" s="22" t="s">
        <v>41</v>
      </c>
      <c r="AB6" s="70" t="s">
        <v>61</v>
      </c>
      <c r="AC6" s="23">
        <v>23.0</v>
      </c>
      <c r="AD6" s="23">
        <v>8.0</v>
      </c>
      <c r="AE6" s="23"/>
      <c r="AF6" s="24">
        <v>3.0</v>
      </c>
      <c r="AG6" s="23">
        <v>17.0</v>
      </c>
      <c r="AH6" s="24">
        <v>8.0</v>
      </c>
      <c r="AI6" s="23">
        <v>9.0</v>
      </c>
    </row>
    <row r="7" ht="15.75" customHeight="1">
      <c r="A7" s="25"/>
      <c r="B7" s="11">
        <v>45946.0</v>
      </c>
      <c r="C7" s="12" t="s">
        <v>21</v>
      </c>
      <c r="D7" s="12" t="s">
        <v>22</v>
      </c>
      <c r="E7" s="17" t="s">
        <v>110</v>
      </c>
      <c r="F7" s="13">
        <v>2.0</v>
      </c>
      <c r="G7" s="31" t="s">
        <v>24</v>
      </c>
      <c r="H7" s="13">
        <v>0.0</v>
      </c>
      <c r="I7" s="17" t="s">
        <v>66</v>
      </c>
      <c r="J7" s="148"/>
      <c r="K7" s="149">
        <f t="shared" si="1"/>
        <v>3</v>
      </c>
      <c r="L7" s="150">
        <f t="shared" si="2"/>
        <v>0</v>
      </c>
      <c r="M7" s="148"/>
      <c r="N7" s="150">
        <v>5.0</v>
      </c>
      <c r="O7" s="151" t="s">
        <v>112</v>
      </c>
      <c r="P7" s="150">
        <f t="shared" si="3"/>
        <v>15</v>
      </c>
      <c r="Q7" s="152">
        <f t="shared" si="4"/>
        <v>5</v>
      </c>
      <c r="R7" s="152"/>
      <c r="S7" s="153">
        <f t="shared" si="5"/>
        <v>6</v>
      </c>
      <c r="T7" s="150">
        <f t="shared" si="6"/>
        <v>11</v>
      </c>
      <c r="U7" s="153">
        <f t="shared" si="7"/>
        <v>13</v>
      </c>
      <c r="V7" s="150">
        <f t="shared" si="8"/>
        <v>-2</v>
      </c>
      <c r="AA7" s="22" t="s">
        <v>44</v>
      </c>
      <c r="AB7" s="70" t="s">
        <v>153</v>
      </c>
      <c r="AC7" s="23">
        <v>22.0</v>
      </c>
      <c r="AD7" s="23">
        <v>7.0</v>
      </c>
      <c r="AE7" s="23"/>
      <c r="AF7" s="24">
        <v>4.0</v>
      </c>
      <c r="AG7" s="23">
        <v>15.0</v>
      </c>
      <c r="AH7" s="24">
        <v>8.0</v>
      </c>
      <c r="AI7" s="23">
        <v>7.0</v>
      </c>
    </row>
    <row r="8" ht="15.75" customHeight="1">
      <c r="A8" s="29"/>
      <c r="B8" s="11">
        <v>45958.0</v>
      </c>
      <c r="C8" s="12" t="s">
        <v>30</v>
      </c>
      <c r="D8" s="12" t="s">
        <v>22</v>
      </c>
      <c r="E8" s="17" t="s">
        <v>61</v>
      </c>
      <c r="F8" s="13">
        <v>2.0</v>
      </c>
      <c r="G8" s="31" t="s">
        <v>24</v>
      </c>
      <c r="H8" s="13">
        <v>0.0</v>
      </c>
      <c r="I8" s="17" t="s">
        <v>153</v>
      </c>
      <c r="J8" s="148"/>
      <c r="K8" s="149">
        <f t="shared" si="1"/>
        <v>3</v>
      </c>
      <c r="L8" s="150">
        <f t="shared" si="2"/>
        <v>0</v>
      </c>
      <c r="M8" s="148"/>
      <c r="N8" s="150">
        <v>6.0</v>
      </c>
      <c r="O8" s="151" t="s">
        <v>36</v>
      </c>
      <c r="P8" s="150">
        <f t="shared" si="3"/>
        <v>26</v>
      </c>
      <c r="Q8" s="152">
        <f t="shared" si="4"/>
        <v>9</v>
      </c>
      <c r="R8" s="152"/>
      <c r="S8" s="153">
        <f t="shared" si="5"/>
        <v>2</v>
      </c>
      <c r="T8" s="150">
        <f t="shared" si="6"/>
        <v>18</v>
      </c>
      <c r="U8" s="153">
        <f t="shared" si="7"/>
        <v>5</v>
      </c>
      <c r="V8" s="150">
        <f t="shared" si="8"/>
        <v>13</v>
      </c>
      <c r="AA8" s="22" t="s">
        <v>47</v>
      </c>
      <c r="AB8" s="70" t="s">
        <v>43</v>
      </c>
      <c r="AC8" s="23">
        <v>17.0</v>
      </c>
      <c r="AD8" s="23">
        <v>5.0</v>
      </c>
      <c r="AE8" s="23"/>
      <c r="AF8" s="24">
        <v>6.0</v>
      </c>
      <c r="AG8" s="23">
        <v>13.0</v>
      </c>
      <c r="AH8" s="24">
        <v>13.0</v>
      </c>
      <c r="AI8" s="23">
        <v>0.0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7" t="s">
        <v>25</v>
      </c>
      <c r="F9" s="13">
        <v>1.0</v>
      </c>
      <c r="G9" s="31" t="s">
        <v>24</v>
      </c>
      <c r="H9" s="13">
        <v>2.0</v>
      </c>
      <c r="I9" s="17" t="s">
        <v>61</v>
      </c>
      <c r="J9" s="148"/>
      <c r="K9" s="149">
        <f t="shared" si="1"/>
        <v>1</v>
      </c>
      <c r="L9" s="150">
        <f t="shared" si="2"/>
        <v>2</v>
      </c>
      <c r="M9" s="148"/>
      <c r="N9" s="150">
        <v>7.0</v>
      </c>
      <c r="O9" s="151" t="s">
        <v>197</v>
      </c>
      <c r="P9" s="150">
        <f t="shared" si="3"/>
        <v>9</v>
      </c>
      <c r="Q9" s="152">
        <f t="shared" si="4"/>
        <v>3</v>
      </c>
      <c r="R9" s="152"/>
      <c r="S9" s="153">
        <f t="shared" si="5"/>
        <v>8</v>
      </c>
      <c r="T9" s="150">
        <f t="shared" si="6"/>
        <v>7</v>
      </c>
      <c r="U9" s="153">
        <f t="shared" si="7"/>
        <v>17</v>
      </c>
      <c r="V9" s="150">
        <f t="shared" si="8"/>
        <v>-10</v>
      </c>
      <c r="AA9" s="22">
        <v>7.0</v>
      </c>
      <c r="AB9" s="70" t="s">
        <v>112</v>
      </c>
      <c r="AC9" s="23">
        <v>15.0</v>
      </c>
      <c r="AD9" s="23">
        <v>5.0</v>
      </c>
      <c r="AE9" s="23"/>
      <c r="AF9" s="24">
        <v>6.0</v>
      </c>
      <c r="AG9" s="23">
        <v>11.0</v>
      </c>
      <c r="AH9" s="24">
        <v>13.0</v>
      </c>
      <c r="AI9" s="23">
        <v>-2.0</v>
      </c>
    </row>
    <row r="10" ht="15.75" customHeight="1">
      <c r="A10" s="25"/>
      <c r="B10" s="11">
        <v>45957.0</v>
      </c>
      <c r="C10" s="12" t="s">
        <v>21</v>
      </c>
      <c r="D10" s="12" t="s">
        <v>22</v>
      </c>
      <c r="E10" s="17" t="s">
        <v>112</v>
      </c>
      <c r="F10" s="13">
        <v>0.0</v>
      </c>
      <c r="G10" s="31" t="s">
        <v>24</v>
      </c>
      <c r="H10" s="13">
        <v>2.0</v>
      </c>
      <c r="I10" s="17" t="s">
        <v>23</v>
      </c>
      <c r="J10" s="148"/>
      <c r="K10" s="149">
        <f t="shared" si="1"/>
        <v>0</v>
      </c>
      <c r="L10" s="150">
        <f t="shared" si="2"/>
        <v>3</v>
      </c>
      <c r="M10" s="148"/>
      <c r="N10" s="150">
        <v>8.0</v>
      </c>
      <c r="O10" s="151" t="s">
        <v>32</v>
      </c>
      <c r="P10" s="150">
        <f t="shared" si="3"/>
        <v>6</v>
      </c>
      <c r="Q10" s="152">
        <f t="shared" si="4"/>
        <v>2</v>
      </c>
      <c r="R10" s="152"/>
      <c r="S10" s="153">
        <f t="shared" si="5"/>
        <v>9</v>
      </c>
      <c r="T10" s="150">
        <f t="shared" si="6"/>
        <v>5</v>
      </c>
      <c r="U10" s="153">
        <f t="shared" si="7"/>
        <v>19</v>
      </c>
      <c r="V10" s="150">
        <f t="shared" si="8"/>
        <v>-14</v>
      </c>
      <c r="AA10" s="22">
        <v>8.0</v>
      </c>
      <c r="AB10" s="70" t="s">
        <v>110</v>
      </c>
      <c r="AC10" s="23">
        <v>10.0</v>
      </c>
      <c r="AD10" s="23">
        <v>4.0</v>
      </c>
      <c r="AE10" s="23"/>
      <c r="AF10" s="24">
        <v>7.0</v>
      </c>
      <c r="AG10" s="23">
        <v>8.0</v>
      </c>
      <c r="AH10" s="24">
        <v>16.0</v>
      </c>
      <c r="AI10" s="23">
        <v>-8.0</v>
      </c>
    </row>
    <row r="11" ht="15.75" customHeight="1">
      <c r="A11" s="25"/>
      <c r="B11" s="11">
        <v>45957.0</v>
      </c>
      <c r="C11" s="66" t="s">
        <v>30</v>
      </c>
      <c r="D11" s="12" t="s">
        <v>22</v>
      </c>
      <c r="E11" s="17" t="s">
        <v>197</v>
      </c>
      <c r="F11" s="13">
        <v>0.0</v>
      </c>
      <c r="G11" s="31" t="s">
        <v>24</v>
      </c>
      <c r="H11" s="13">
        <v>2.0</v>
      </c>
      <c r="I11" s="17" t="s">
        <v>31</v>
      </c>
      <c r="J11" s="148"/>
      <c r="K11" s="149">
        <f t="shared" si="1"/>
        <v>0</v>
      </c>
      <c r="L11" s="150">
        <f t="shared" si="2"/>
        <v>3</v>
      </c>
      <c r="M11" s="148"/>
      <c r="N11" s="150">
        <v>9.0</v>
      </c>
      <c r="O11" s="151" t="s">
        <v>43</v>
      </c>
      <c r="P11" s="150">
        <f t="shared" si="3"/>
        <v>17</v>
      </c>
      <c r="Q11" s="152">
        <f t="shared" si="4"/>
        <v>5</v>
      </c>
      <c r="R11" s="152"/>
      <c r="S11" s="153">
        <f t="shared" si="5"/>
        <v>6</v>
      </c>
      <c r="T11" s="150">
        <f t="shared" si="6"/>
        <v>13</v>
      </c>
      <c r="U11" s="153">
        <f t="shared" si="7"/>
        <v>13</v>
      </c>
      <c r="V11" s="150">
        <f t="shared" si="8"/>
        <v>0</v>
      </c>
      <c r="AA11" s="124" t="s">
        <v>96</v>
      </c>
      <c r="AB11" s="70" t="s">
        <v>31</v>
      </c>
      <c r="AC11" s="23">
        <v>10.0</v>
      </c>
      <c r="AD11" s="23">
        <v>3.0</v>
      </c>
      <c r="AE11" s="23"/>
      <c r="AF11" s="24">
        <v>8.0</v>
      </c>
      <c r="AG11" s="23">
        <v>7.0</v>
      </c>
      <c r="AH11" s="24">
        <v>16.0</v>
      </c>
      <c r="AI11" s="23">
        <v>-9.0</v>
      </c>
    </row>
    <row r="12" ht="15.75" customHeight="1">
      <c r="A12" s="25"/>
      <c r="B12" s="11">
        <v>45946.0</v>
      </c>
      <c r="C12" s="66" t="s">
        <v>21</v>
      </c>
      <c r="D12" s="12" t="s">
        <v>22</v>
      </c>
      <c r="E12" s="17" t="s">
        <v>43</v>
      </c>
      <c r="F12" s="13">
        <v>2.0</v>
      </c>
      <c r="G12" s="31" t="s">
        <v>24</v>
      </c>
      <c r="H12" s="13">
        <v>1.0</v>
      </c>
      <c r="I12" s="17" t="s">
        <v>32</v>
      </c>
      <c r="J12" s="148"/>
      <c r="K12" s="149">
        <f t="shared" si="1"/>
        <v>2</v>
      </c>
      <c r="L12" s="150">
        <f t="shared" si="2"/>
        <v>1</v>
      </c>
      <c r="M12" s="148"/>
      <c r="N12" s="150">
        <v>10.0</v>
      </c>
      <c r="O12" s="154" t="s">
        <v>31</v>
      </c>
      <c r="P12" s="150">
        <f t="shared" si="3"/>
        <v>10</v>
      </c>
      <c r="Q12" s="152">
        <f t="shared" si="4"/>
        <v>3</v>
      </c>
      <c r="R12" s="152"/>
      <c r="S12" s="153">
        <f t="shared" si="5"/>
        <v>8</v>
      </c>
      <c r="T12" s="150">
        <f t="shared" si="6"/>
        <v>7</v>
      </c>
      <c r="U12" s="153">
        <f t="shared" si="7"/>
        <v>16</v>
      </c>
      <c r="V12" s="150">
        <f t="shared" si="8"/>
        <v>-9</v>
      </c>
      <c r="AA12" s="76">
        <v>10.0</v>
      </c>
      <c r="AB12" s="70" t="s">
        <v>197</v>
      </c>
      <c r="AC12" s="23">
        <v>9.0</v>
      </c>
      <c r="AD12" s="23">
        <v>3.0</v>
      </c>
      <c r="AE12" s="23"/>
      <c r="AF12" s="24">
        <v>8.0</v>
      </c>
      <c r="AG12" s="23">
        <v>7.0</v>
      </c>
      <c r="AH12" s="24">
        <v>17.0</v>
      </c>
      <c r="AI12" s="23">
        <v>-10.0</v>
      </c>
    </row>
    <row r="13" ht="15.75" customHeight="1">
      <c r="A13" s="25"/>
      <c r="B13" s="11">
        <v>45957.0</v>
      </c>
      <c r="C13" s="66" t="s">
        <v>30</v>
      </c>
      <c r="D13" s="12" t="s">
        <v>22</v>
      </c>
      <c r="E13" s="17" t="s">
        <v>66</v>
      </c>
      <c r="F13" s="13">
        <v>0.0</v>
      </c>
      <c r="G13" s="31" t="s">
        <v>24</v>
      </c>
      <c r="H13" s="13">
        <v>2.0</v>
      </c>
      <c r="I13" s="17" t="s">
        <v>36</v>
      </c>
      <c r="J13" s="148"/>
      <c r="K13" s="149">
        <f t="shared" si="1"/>
        <v>0</v>
      </c>
      <c r="L13" s="150">
        <f t="shared" si="2"/>
        <v>3</v>
      </c>
      <c r="M13" s="148"/>
      <c r="N13" s="150">
        <v>11.0</v>
      </c>
      <c r="O13" s="155" t="s">
        <v>66</v>
      </c>
      <c r="P13" s="150">
        <f t="shared" si="3"/>
        <v>1</v>
      </c>
      <c r="Q13" s="152">
        <f t="shared" si="4"/>
        <v>0</v>
      </c>
      <c r="R13" s="152"/>
      <c r="S13" s="153">
        <f t="shared" si="5"/>
        <v>11</v>
      </c>
      <c r="T13" s="150">
        <f t="shared" si="6"/>
        <v>1</v>
      </c>
      <c r="U13" s="153">
        <f t="shared" si="7"/>
        <v>22</v>
      </c>
      <c r="V13" s="150">
        <f t="shared" si="8"/>
        <v>-21</v>
      </c>
      <c r="AA13" s="76">
        <v>11.0</v>
      </c>
      <c r="AB13" s="70" t="s">
        <v>32</v>
      </c>
      <c r="AC13" s="23">
        <v>6.0</v>
      </c>
      <c r="AD13" s="23">
        <v>2.0</v>
      </c>
      <c r="AE13" s="23"/>
      <c r="AF13" s="24">
        <v>9.0</v>
      </c>
      <c r="AG13" s="23">
        <v>5.0</v>
      </c>
      <c r="AH13" s="24">
        <v>19.0</v>
      </c>
      <c r="AI13" s="23">
        <v>-14.0</v>
      </c>
    </row>
    <row r="14" ht="15.75" customHeight="1">
      <c r="A14" s="29"/>
      <c r="B14" s="11">
        <v>45957.0</v>
      </c>
      <c r="C14" s="66" t="s">
        <v>35</v>
      </c>
      <c r="D14" s="12" t="s">
        <v>22</v>
      </c>
      <c r="E14" s="17" t="s">
        <v>153</v>
      </c>
      <c r="F14" s="13">
        <v>2.0</v>
      </c>
      <c r="G14" s="31" t="s">
        <v>24</v>
      </c>
      <c r="H14" s="13">
        <v>0.0</v>
      </c>
      <c r="I14" s="17" t="s">
        <v>110</v>
      </c>
      <c r="J14" s="148"/>
      <c r="K14" s="149">
        <f t="shared" si="1"/>
        <v>3</v>
      </c>
      <c r="L14" s="150">
        <f t="shared" si="2"/>
        <v>0</v>
      </c>
      <c r="M14" s="148"/>
      <c r="N14" s="156">
        <v>12.0</v>
      </c>
      <c r="O14" s="155" t="s">
        <v>61</v>
      </c>
      <c r="P14" s="150">
        <f t="shared" si="3"/>
        <v>23</v>
      </c>
      <c r="Q14" s="152">
        <f t="shared" si="4"/>
        <v>8</v>
      </c>
      <c r="S14" s="153">
        <f t="shared" si="5"/>
        <v>3</v>
      </c>
      <c r="T14" s="150">
        <f t="shared" si="6"/>
        <v>17</v>
      </c>
      <c r="U14" s="153">
        <f t="shared" si="7"/>
        <v>8</v>
      </c>
      <c r="V14" s="150">
        <f t="shared" si="8"/>
        <v>9</v>
      </c>
      <c r="AA14" s="76">
        <v>12.0</v>
      </c>
      <c r="AB14" s="28" t="s">
        <v>66</v>
      </c>
      <c r="AC14" s="23">
        <v>1.0</v>
      </c>
      <c r="AD14" s="28">
        <v>0.0</v>
      </c>
      <c r="AE14" s="28"/>
      <c r="AF14" s="28">
        <v>11.0</v>
      </c>
      <c r="AG14" s="28">
        <v>1.0</v>
      </c>
      <c r="AH14" s="28">
        <v>22.0</v>
      </c>
      <c r="AI14" s="28">
        <v>-21.0</v>
      </c>
    </row>
    <row r="15" ht="15.75" customHeight="1">
      <c r="A15" s="10">
        <v>3.0</v>
      </c>
      <c r="B15" s="11">
        <v>45957.0</v>
      </c>
      <c r="C15" s="66" t="s">
        <v>35</v>
      </c>
      <c r="D15" s="12" t="s">
        <v>22</v>
      </c>
      <c r="E15" s="17" t="s">
        <v>25</v>
      </c>
      <c r="F15" s="13">
        <v>2.0</v>
      </c>
      <c r="G15" s="31" t="s">
        <v>24</v>
      </c>
      <c r="H15" s="13">
        <v>0.0</v>
      </c>
      <c r="I15" s="17" t="s">
        <v>112</v>
      </c>
      <c r="J15" s="148"/>
      <c r="K15" s="149">
        <f t="shared" si="1"/>
        <v>3</v>
      </c>
      <c r="L15" s="150">
        <f t="shared" si="2"/>
        <v>0</v>
      </c>
      <c r="M15" s="148"/>
      <c r="N15" s="148"/>
      <c r="O15" s="148"/>
      <c r="P15" s="148"/>
      <c r="Q15" s="148"/>
      <c r="R15" s="148"/>
      <c r="S15" s="148"/>
      <c r="T15" s="148"/>
      <c r="U15" s="148"/>
      <c r="V15" s="148"/>
      <c r="AA15" s="35" t="s">
        <v>207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6" t="s">
        <v>35</v>
      </c>
      <c r="D16" s="12" t="s">
        <v>22</v>
      </c>
      <c r="E16" s="17" t="s">
        <v>23</v>
      </c>
      <c r="F16" s="13">
        <v>2.0</v>
      </c>
      <c r="G16" s="31" t="s">
        <v>24</v>
      </c>
      <c r="H16" s="13">
        <v>0.0</v>
      </c>
      <c r="I16" s="17" t="s">
        <v>197</v>
      </c>
      <c r="J16" s="148"/>
      <c r="K16" s="149">
        <f t="shared" si="1"/>
        <v>3</v>
      </c>
      <c r="L16" s="150">
        <f t="shared" si="2"/>
        <v>0</v>
      </c>
      <c r="M16" s="148"/>
      <c r="N16" s="148"/>
      <c r="O16" s="148"/>
      <c r="P16" s="148"/>
      <c r="Q16" s="148"/>
      <c r="R16" s="148"/>
      <c r="S16" s="148"/>
      <c r="T16" s="148"/>
      <c r="U16" s="148"/>
      <c r="V16" s="148"/>
      <c r="AA16" s="79" t="s">
        <v>101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21</v>
      </c>
      <c r="D17" s="12" t="s">
        <v>22</v>
      </c>
      <c r="E17" s="17" t="s">
        <v>31</v>
      </c>
      <c r="F17" s="13">
        <v>0.0</v>
      </c>
      <c r="G17" s="31" t="s">
        <v>24</v>
      </c>
      <c r="H17" s="13">
        <v>2.0</v>
      </c>
      <c r="I17" s="17" t="s">
        <v>43</v>
      </c>
      <c r="J17" s="148"/>
      <c r="K17" s="149">
        <f t="shared" si="1"/>
        <v>0</v>
      </c>
      <c r="L17" s="150">
        <f t="shared" si="2"/>
        <v>3</v>
      </c>
      <c r="M17" s="148"/>
      <c r="N17" s="148"/>
      <c r="O17" s="148"/>
      <c r="P17" s="148"/>
      <c r="Q17" s="148"/>
      <c r="R17" s="148"/>
      <c r="S17" s="148"/>
      <c r="T17" s="148"/>
      <c r="U17" s="148"/>
      <c r="V17" s="148"/>
      <c r="AA17" s="157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183</v>
      </c>
      <c r="D18" s="12" t="s">
        <v>22</v>
      </c>
      <c r="E18" s="17" t="s">
        <v>32</v>
      </c>
      <c r="F18" s="13">
        <v>2.0</v>
      </c>
      <c r="G18" s="31" t="s">
        <v>24</v>
      </c>
      <c r="H18" s="13">
        <v>1.0</v>
      </c>
      <c r="I18" s="17" t="s">
        <v>66</v>
      </c>
      <c r="J18" s="158"/>
      <c r="K18" s="149">
        <f t="shared" si="1"/>
        <v>2</v>
      </c>
      <c r="L18" s="150">
        <f t="shared" si="2"/>
        <v>1</v>
      </c>
      <c r="M18" s="148"/>
      <c r="N18" s="148"/>
      <c r="O18" s="148"/>
      <c r="P18" s="148"/>
      <c r="R18" s="148"/>
      <c r="S18" s="148"/>
      <c r="T18" s="148"/>
      <c r="U18" s="148"/>
      <c r="V18" s="148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164</v>
      </c>
      <c r="D19" s="12" t="s">
        <v>22</v>
      </c>
      <c r="E19" s="17" t="s">
        <v>36</v>
      </c>
      <c r="F19" s="13">
        <v>2.0</v>
      </c>
      <c r="G19" s="31" t="s">
        <v>24</v>
      </c>
      <c r="H19" s="13">
        <v>0.0</v>
      </c>
      <c r="I19" s="17" t="s">
        <v>153</v>
      </c>
      <c r="J19" s="148"/>
      <c r="K19" s="149">
        <f t="shared" si="1"/>
        <v>3</v>
      </c>
      <c r="L19" s="150">
        <f t="shared" si="2"/>
        <v>0</v>
      </c>
      <c r="M19" s="148"/>
      <c r="N19" s="148"/>
      <c r="O19" s="148"/>
      <c r="P19" s="148"/>
      <c r="Q19" s="148"/>
      <c r="R19" s="148"/>
      <c r="S19" s="148"/>
      <c r="T19" s="148"/>
      <c r="U19" s="148"/>
      <c r="V19" s="148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54</v>
      </c>
      <c r="D20" s="12" t="s">
        <v>22</v>
      </c>
      <c r="E20" s="17" t="s">
        <v>61</v>
      </c>
      <c r="F20" s="13">
        <v>2.0</v>
      </c>
      <c r="G20" s="31" t="s">
        <v>24</v>
      </c>
      <c r="H20" s="13">
        <v>0.0</v>
      </c>
      <c r="I20" s="17" t="s">
        <v>110</v>
      </c>
      <c r="J20" s="148"/>
      <c r="K20" s="149">
        <f t="shared" si="1"/>
        <v>3</v>
      </c>
      <c r="L20" s="150">
        <f t="shared" si="2"/>
        <v>0</v>
      </c>
      <c r="M20" s="148"/>
      <c r="N20" s="148"/>
      <c r="O20" s="148"/>
      <c r="P20" s="148"/>
      <c r="Q20" s="148"/>
      <c r="R20" s="148"/>
      <c r="S20" s="148"/>
      <c r="T20" s="148"/>
      <c r="U20" s="148"/>
      <c r="V20" s="148"/>
      <c r="AF20" s="3"/>
      <c r="AG20" s="3"/>
      <c r="AH20" s="3"/>
      <c r="AI20" s="3"/>
    </row>
    <row r="21" ht="15.75" customHeight="1">
      <c r="A21" s="10">
        <v>4.0</v>
      </c>
      <c r="B21" s="43">
        <v>45981.0</v>
      </c>
      <c r="C21" s="66" t="s">
        <v>30</v>
      </c>
      <c r="D21" s="12" t="s">
        <v>22</v>
      </c>
      <c r="E21" s="17" t="s">
        <v>112</v>
      </c>
      <c r="F21" s="13">
        <v>2.0</v>
      </c>
      <c r="G21" s="31" t="s">
        <v>24</v>
      </c>
      <c r="H21" s="13">
        <v>0.0</v>
      </c>
      <c r="I21" s="17" t="s">
        <v>61</v>
      </c>
      <c r="J21" s="148"/>
      <c r="K21" s="149">
        <f t="shared" si="1"/>
        <v>3</v>
      </c>
      <c r="L21" s="150">
        <f t="shared" si="2"/>
        <v>0</v>
      </c>
      <c r="M21" s="148"/>
      <c r="N21" s="148"/>
      <c r="O21" s="148"/>
      <c r="P21" s="148"/>
      <c r="Q21" s="148"/>
      <c r="R21" s="148"/>
      <c r="S21" s="148"/>
      <c r="T21" s="148"/>
      <c r="U21" s="148"/>
      <c r="V21" s="148"/>
      <c r="AF21" s="3"/>
      <c r="AG21" s="3"/>
      <c r="AH21" s="3"/>
      <c r="AI21" s="3"/>
    </row>
    <row r="22" ht="15.75" customHeight="1">
      <c r="A22" s="25"/>
      <c r="B22" s="11">
        <v>45981.0</v>
      </c>
      <c r="C22" s="66" t="s">
        <v>30</v>
      </c>
      <c r="D22" s="12" t="s">
        <v>22</v>
      </c>
      <c r="E22" s="17" t="s">
        <v>197</v>
      </c>
      <c r="F22" s="13">
        <v>0.0</v>
      </c>
      <c r="G22" s="31" t="s">
        <v>24</v>
      </c>
      <c r="H22" s="13">
        <v>2.0</v>
      </c>
      <c r="I22" s="17" t="s">
        <v>25</v>
      </c>
      <c r="J22" s="148"/>
      <c r="K22" s="149">
        <f t="shared" si="1"/>
        <v>0</v>
      </c>
      <c r="L22" s="150">
        <f t="shared" si="2"/>
        <v>3</v>
      </c>
      <c r="M22" s="148"/>
      <c r="N22" s="148"/>
      <c r="O22" s="148"/>
      <c r="P22" s="148"/>
      <c r="Q22" s="148"/>
      <c r="R22" s="148"/>
      <c r="S22" s="148"/>
      <c r="T22" s="148"/>
      <c r="U22" s="148"/>
      <c r="V22" s="148"/>
      <c r="AF22" s="3"/>
      <c r="AG22" s="3"/>
      <c r="AH22" s="3"/>
      <c r="AI22" s="3"/>
    </row>
    <row r="23" ht="15.75" customHeight="1">
      <c r="A23" s="25"/>
      <c r="B23" s="11">
        <v>45981.0</v>
      </c>
      <c r="C23" s="66" t="s">
        <v>30</v>
      </c>
      <c r="D23" s="12" t="s">
        <v>22</v>
      </c>
      <c r="E23" s="17" t="s">
        <v>43</v>
      </c>
      <c r="F23" s="13">
        <v>1.0</v>
      </c>
      <c r="G23" s="31" t="s">
        <v>24</v>
      </c>
      <c r="H23" s="13">
        <v>2.0</v>
      </c>
      <c r="I23" s="17" t="s">
        <v>23</v>
      </c>
      <c r="J23" s="148"/>
      <c r="K23" s="149">
        <f t="shared" si="1"/>
        <v>1</v>
      </c>
      <c r="L23" s="150">
        <f t="shared" si="2"/>
        <v>2</v>
      </c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6" t="s">
        <v>35</v>
      </c>
      <c r="D24" s="12" t="s">
        <v>22</v>
      </c>
      <c r="E24" s="17" t="s">
        <v>66</v>
      </c>
      <c r="F24" s="13">
        <v>0.0</v>
      </c>
      <c r="G24" s="31" t="s">
        <v>24</v>
      </c>
      <c r="H24" s="13">
        <v>2.0</v>
      </c>
      <c r="I24" s="17" t="s">
        <v>31</v>
      </c>
      <c r="J24" s="148"/>
      <c r="K24" s="149">
        <f t="shared" si="1"/>
        <v>0</v>
      </c>
      <c r="L24" s="150">
        <f t="shared" si="2"/>
        <v>3</v>
      </c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6" t="s">
        <v>35</v>
      </c>
      <c r="D25" s="12" t="s">
        <v>22</v>
      </c>
      <c r="E25" s="17" t="s">
        <v>153</v>
      </c>
      <c r="F25" s="13">
        <v>2.0</v>
      </c>
      <c r="G25" s="31" t="s">
        <v>24</v>
      </c>
      <c r="H25" s="13">
        <v>0.0</v>
      </c>
      <c r="I25" s="17" t="s">
        <v>32</v>
      </c>
      <c r="J25" s="148"/>
      <c r="K25" s="149">
        <f t="shared" si="1"/>
        <v>3</v>
      </c>
      <c r="L25" s="150">
        <f t="shared" si="2"/>
        <v>0</v>
      </c>
      <c r="M25" s="148"/>
      <c r="N25" s="148"/>
      <c r="O25" s="148"/>
      <c r="P25" s="148"/>
      <c r="Q25" s="148"/>
      <c r="R25" s="148"/>
      <c r="S25" s="148"/>
      <c r="T25" s="148"/>
      <c r="U25" s="148"/>
      <c r="V25" s="148"/>
      <c r="AA25" s="3"/>
      <c r="AB25" s="147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6" t="s">
        <v>35</v>
      </c>
      <c r="D26" s="12" t="s">
        <v>22</v>
      </c>
      <c r="E26" s="17" t="s">
        <v>110</v>
      </c>
      <c r="F26" s="13">
        <v>0.0</v>
      </c>
      <c r="G26" s="31" t="s">
        <v>24</v>
      </c>
      <c r="H26" s="13">
        <v>2.0</v>
      </c>
      <c r="I26" s="17" t="s">
        <v>36</v>
      </c>
      <c r="J26" s="148"/>
      <c r="K26" s="149">
        <f t="shared" si="1"/>
        <v>0</v>
      </c>
      <c r="L26" s="150">
        <f t="shared" si="2"/>
        <v>3</v>
      </c>
      <c r="M26" s="148"/>
      <c r="N26" s="148"/>
      <c r="O26" s="148"/>
      <c r="P26" s="148"/>
      <c r="Q26" s="148"/>
      <c r="R26" s="148"/>
      <c r="S26" s="148"/>
      <c r="T26" s="148"/>
      <c r="U26" s="148"/>
      <c r="V26" s="148"/>
      <c r="AA26" s="3"/>
      <c r="AB26" s="147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6" t="s">
        <v>30</v>
      </c>
      <c r="D27" s="12" t="s">
        <v>22</v>
      </c>
      <c r="E27" s="17" t="s">
        <v>112</v>
      </c>
      <c r="F27" s="13">
        <v>1.0</v>
      </c>
      <c r="G27" s="31" t="s">
        <v>24</v>
      </c>
      <c r="H27" s="13">
        <v>2.0</v>
      </c>
      <c r="I27" s="17" t="s">
        <v>197</v>
      </c>
      <c r="J27" s="148"/>
      <c r="K27" s="149">
        <f t="shared" si="1"/>
        <v>1</v>
      </c>
      <c r="L27" s="150">
        <f t="shared" si="2"/>
        <v>2</v>
      </c>
      <c r="M27" s="148"/>
      <c r="N27" s="148"/>
      <c r="O27" s="148"/>
      <c r="P27" s="148"/>
      <c r="Q27" s="148"/>
      <c r="R27" s="148"/>
      <c r="S27" s="148"/>
      <c r="T27" s="148"/>
      <c r="U27" s="148"/>
      <c r="V27" s="148"/>
      <c r="AA27" s="3"/>
      <c r="AB27" s="147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6" t="s">
        <v>30</v>
      </c>
      <c r="D28" s="12" t="s">
        <v>22</v>
      </c>
      <c r="E28" s="17" t="s">
        <v>25</v>
      </c>
      <c r="F28" s="13">
        <v>2.0</v>
      </c>
      <c r="G28" s="31" t="s">
        <v>24</v>
      </c>
      <c r="H28" s="13">
        <v>0.0</v>
      </c>
      <c r="I28" s="17" t="s">
        <v>43</v>
      </c>
      <c r="J28" s="148"/>
      <c r="K28" s="149">
        <f t="shared" si="1"/>
        <v>3</v>
      </c>
      <c r="L28" s="150">
        <f t="shared" si="2"/>
        <v>0</v>
      </c>
      <c r="M28" s="148"/>
      <c r="N28" s="148"/>
      <c r="O28" s="148"/>
      <c r="P28" s="148"/>
      <c r="Q28" s="148"/>
      <c r="R28" s="148"/>
      <c r="S28" s="148"/>
      <c r="T28" s="148"/>
      <c r="U28" s="148"/>
      <c r="V28" s="148"/>
      <c r="AA28" s="3"/>
      <c r="AB28" s="147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6" t="s">
        <v>30</v>
      </c>
      <c r="D29" s="12" t="s">
        <v>22</v>
      </c>
      <c r="E29" s="17" t="s">
        <v>23</v>
      </c>
      <c r="F29" s="13">
        <v>2.0</v>
      </c>
      <c r="G29" s="31" t="s">
        <v>24</v>
      </c>
      <c r="H29" s="13">
        <v>0.0</v>
      </c>
      <c r="I29" s="17" t="s">
        <v>66</v>
      </c>
      <c r="J29" s="148"/>
      <c r="K29" s="149">
        <f t="shared" si="1"/>
        <v>3</v>
      </c>
      <c r="L29" s="150">
        <f t="shared" si="2"/>
        <v>0</v>
      </c>
      <c r="M29" s="148"/>
      <c r="N29" s="148"/>
      <c r="O29" s="148"/>
      <c r="P29" s="148"/>
      <c r="Q29" s="148"/>
      <c r="R29" s="148"/>
      <c r="S29" s="148"/>
      <c r="T29" s="148"/>
      <c r="U29" s="148"/>
      <c r="V29" s="148"/>
      <c r="AA29" s="3"/>
      <c r="AB29" s="147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6" t="s">
        <v>35</v>
      </c>
      <c r="D30" s="12" t="s">
        <v>22</v>
      </c>
      <c r="E30" s="17" t="s">
        <v>31</v>
      </c>
      <c r="F30" s="13">
        <v>0.0</v>
      </c>
      <c r="G30" s="31" t="s">
        <v>24</v>
      </c>
      <c r="H30" s="13">
        <v>2.0</v>
      </c>
      <c r="I30" s="17" t="s">
        <v>153</v>
      </c>
      <c r="J30" s="148"/>
      <c r="K30" s="149">
        <f t="shared" si="1"/>
        <v>0</v>
      </c>
      <c r="L30" s="150">
        <f t="shared" si="2"/>
        <v>3</v>
      </c>
      <c r="M30" s="148"/>
      <c r="N30" s="148"/>
      <c r="O30" s="148"/>
      <c r="P30" s="148"/>
      <c r="Q30" s="148"/>
      <c r="R30" s="148"/>
      <c r="S30" s="148"/>
      <c r="T30" s="148"/>
      <c r="U30" s="148"/>
      <c r="V30" s="148"/>
      <c r="AA30" s="3"/>
      <c r="AB30" s="147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6" t="s">
        <v>35</v>
      </c>
      <c r="D31" s="12" t="s">
        <v>22</v>
      </c>
      <c r="E31" s="17" t="s">
        <v>32</v>
      </c>
      <c r="F31" s="13">
        <v>0.0</v>
      </c>
      <c r="G31" s="31" t="s">
        <v>24</v>
      </c>
      <c r="H31" s="13">
        <v>2.0</v>
      </c>
      <c r="I31" s="17" t="s">
        <v>110</v>
      </c>
      <c r="J31" s="148"/>
      <c r="K31" s="149">
        <f t="shared" si="1"/>
        <v>0</v>
      </c>
      <c r="L31" s="150">
        <f t="shared" si="2"/>
        <v>3</v>
      </c>
      <c r="M31" s="148"/>
      <c r="N31" s="148"/>
      <c r="O31" s="148"/>
      <c r="P31" s="148"/>
      <c r="Q31" s="148"/>
      <c r="R31" s="148"/>
      <c r="S31" s="148"/>
      <c r="T31" s="148"/>
      <c r="U31" s="148"/>
      <c r="V31" s="148"/>
      <c r="AA31" s="3"/>
      <c r="AB31" s="147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6" t="s">
        <v>35</v>
      </c>
      <c r="D32" s="12" t="s">
        <v>22</v>
      </c>
      <c r="E32" s="17" t="s">
        <v>61</v>
      </c>
      <c r="F32" s="13">
        <v>1.0</v>
      </c>
      <c r="G32" s="31" t="s">
        <v>24</v>
      </c>
      <c r="H32" s="13">
        <v>2.0</v>
      </c>
      <c r="I32" s="17" t="s">
        <v>36</v>
      </c>
      <c r="J32" s="148"/>
      <c r="K32" s="149">
        <f t="shared" si="1"/>
        <v>1</v>
      </c>
      <c r="L32" s="150">
        <f t="shared" si="2"/>
        <v>2</v>
      </c>
      <c r="M32" s="148"/>
      <c r="N32" s="148"/>
      <c r="O32" s="148"/>
      <c r="P32" s="148"/>
      <c r="Q32" s="148"/>
      <c r="R32" s="148"/>
      <c r="S32" s="148"/>
      <c r="T32" s="148"/>
      <c r="U32" s="148"/>
      <c r="V32" s="148"/>
      <c r="AA32" s="3"/>
      <c r="AB32" s="147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6" t="s">
        <v>30</v>
      </c>
      <c r="D33" s="12" t="s">
        <v>22</v>
      </c>
      <c r="E33" s="17" t="s">
        <v>197</v>
      </c>
      <c r="F33" s="13">
        <v>0.0</v>
      </c>
      <c r="G33" s="31" t="s">
        <v>24</v>
      </c>
      <c r="H33" s="13">
        <v>2.0</v>
      </c>
      <c r="I33" s="17" t="s">
        <v>61</v>
      </c>
      <c r="J33" s="148"/>
      <c r="K33" s="149">
        <f t="shared" si="1"/>
        <v>0</v>
      </c>
      <c r="L33" s="150">
        <f t="shared" si="2"/>
        <v>3</v>
      </c>
      <c r="M33" s="148"/>
      <c r="N33" s="148"/>
      <c r="O33" s="148"/>
      <c r="P33" s="148"/>
      <c r="Q33" s="148"/>
      <c r="R33" s="148"/>
      <c r="S33" s="148"/>
      <c r="T33" s="148"/>
      <c r="U33" s="148"/>
      <c r="V33" s="148"/>
      <c r="AA33" s="3"/>
      <c r="AB33" s="147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6" t="s">
        <v>30</v>
      </c>
      <c r="D34" s="12" t="s">
        <v>22</v>
      </c>
      <c r="E34" s="17" t="s">
        <v>43</v>
      </c>
      <c r="F34" s="13">
        <v>1.0</v>
      </c>
      <c r="G34" s="31" t="s">
        <v>24</v>
      </c>
      <c r="H34" s="13">
        <v>2.0</v>
      </c>
      <c r="I34" s="17" t="s">
        <v>112</v>
      </c>
      <c r="J34" s="148"/>
      <c r="K34" s="149">
        <f t="shared" si="1"/>
        <v>1</v>
      </c>
      <c r="L34" s="150">
        <f t="shared" si="2"/>
        <v>2</v>
      </c>
      <c r="M34" s="148"/>
      <c r="N34" s="148"/>
      <c r="O34" s="148"/>
      <c r="P34" s="148"/>
      <c r="Q34" s="148"/>
      <c r="R34" s="148"/>
      <c r="S34" s="148"/>
      <c r="T34" s="148"/>
      <c r="U34" s="148"/>
      <c r="V34" s="148"/>
      <c r="AA34" s="3"/>
      <c r="AB34" s="147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6" t="s">
        <v>30</v>
      </c>
      <c r="D35" s="12" t="s">
        <v>22</v>
      </c>
      <c r="E35" s="17" t="s">
        <v>66</v>
      </c>
      <c r="F35" s="13">
        <v>0.0</v>
      </c>
      <c r="G35" s="31" t="s">
        <v>24</v>
      </c>
      <c r="H35" s="13">
        <v>2.0</v>
      </c>
      <c r="I35" s="17" t="s">
        <v>25</v>
      </c>
      <c r="J35" s="148"/>
      <c r="K35" s="149">
        <f t="shared" si="1"/>
        <v>0</v>
      </c>
      <c r="L35" s="150">
        <f t="shared" si="2"/>
        <v>3</v>
      </c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AA35" s="3"/>
      <c r="AB35" s="147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6" t="s">
        <v>35</v>
      </c>
      <c r="D36" s="12" t="s">
        <v>22</v>
      </c>
      <c r="E36" s="17" t="s">
        <v>153</v>
      </c>
      <c r="F36" s="13">
        <v>1.0</v>
      </c>
      <c r="G36" s="31" t="s">
        <v>24</v>
      </c>
      <c r="H36" s="13">
        <v>2.0</v>
      </c>
      <c r="I36" s="17" t="s">
        <v>23</v>
      </c>
      <c r="J36" s="148"/>
      <c r="K36" s="149">
        <f t="shared" si="1"/>
        <v>1</v>
      </c>
      <c r="L36" s="150">
        <f t="shared" si="2"/>
        <v>2</v>
      </c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AA36" s="3"/>
      <c r="AB36" s="147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6" t="s">
        <v>35</v>
      </c>
      <c r="D37" s="12" t="s">
        <v>22</v>
      </c>
      <c r="E37" s="17" t="s">
        <v>110</v>
      </c>
      <c r="F37" s="13">
        <v>2.0</v>
      </c>
      <c r="G37" s="31" t="s">
        <v>24</v>
      </c>
      <c r="H37" s="13">
        <v>1.0</v>
      </c>
      <c r="I37" s="17" t="s">
        <v>31</v>
      </c>
      <c r="J37" s="148"/>
      <c r="K37" s="149">
        <f t="shared" si="1"/>
        <v>2</v>
      </c>
      <c r="L37" s="150">
        <f t="shared" si="2"/>
        <v>1</v>
      </c>
      <c r="M37" s="148"/>
      <c r="N37" s="148"/>
      <c r="O37" s="148"/>
      <c r="P37" s="148"/>
      <c r="Q37" s="148"/>
      <c r="R37" s="148"/>
      <c r="S37" s="148"/>
      <c r="T37" s="148"/>
      <c r="U37" s="148"/>
      <c r="V37" s="148"/>
      <c r="AA37" s="3"/>
      <c r="AB37" s="147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6" t="s">
        <v>35</v>
      </c>
      <c r="D38" s="12" t="s">
        <v>22</v>
      </c>
      <c r="E38" s="17" t="s">
        <v>36</v>
      </c>
      <c r="F38" s="13">
        <v>2.0</v>
      </c>
      <c r="G38" s="31" t="s">
        <v>24</v>
      </c>
      <c r="H38" s="13">
        <v>0.0</v>
      </c>
      <c r="I38" s="17" t="s">
        <v>32</v>
      </c>
      <c r="J38" s="148"/>
      <c r="K38" s="149">
        <f t="shared" si="1"/>
        <v>3</v>
      </c>
      <c r="L38" s="150">
        <f t="shared" si="2"/>
        <v>0</v>
      </c>
      <c r="M38" s="148"/>
      <c r="N38" s="148"/>
      <c r="O38" s="148"/>
      <c r="P38" s="148"/>
      <c r="Q38" s="148"/>
      <c r="R38" s="148"/>
      <c r="S38" s="148"/>
      <c r="T38" s="148"/>
      <c r="U38" s="148"/>
      <c r="V38" s="148"/>
      <c r="AA38" s="3"/>
      <c r="AB38" s="147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6" t="s">
        <v>154</v>
      </c>
      <c r="D39" s="12" t="s">
        <v>22</v>
      </c>
      <c r="E39" s="17" t="s">
        <v>197</v>
      </c>
      <c r="F39" s="13">
        <v>0.0</v>
      </c>
      <c r="G39" s="31" t="s">
        <v>24</v>
      </c>
      <c r="H39" s="13">
        <v>2.0</v>
      </c>
      <c r="I39" s="17" t="s">
        <v>43</v>
      </c>
      <c r="J39" s="148"/>
      <c r="K39" s="149">
        <f t="shared" si="1"/>
        <v>0</v>
      </c>
      <c r="L39" s="150">
        <f t="shared" si="2"/>
        <v>3</v>
      </c>
      <c r="M39" s="148"/>
      <c r="N39" s="148"/>
      <c r="O39" s="148"/>
      <c r="P39" s="148"/>
      <c r="Q39" s="148"/>
      <c r="R39" s="148"/>
      <c r="S39" s="148"/>
      <c r="T39" s="148"/>
      <c r="U39" s="148"/>
      <c r="V39" s="148"/>
      <c r="AA39" s="3"/>
      <c r="AB39" s="147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6" t="s">
        <v>154</v>
      </c>
      <c r="D40" s="12" t="s">
        <v>22</v>
      </c>
      <c r="E40" s="17" t="s">
        <v>112</v>
      </c>
      <c r="F40" s="13">
        <v>2.0</v>
      </c>
      <c r="G40" s="31" t="s">
        <v>24</v>
      </c>
      <c r="H40" s="13">
        <v>0.0</v>
      </c>
      <c r="I40" s="17" t="s">
        <v>66</v>
      </c>
      <c r="J40" s="148"/>
      <c r="K40" s="149">
        <f t="shared" si="1"/>
        <v>3</v>
      </c>
      <c r="L40" s="150">
        <f t="shared" si="2"/>
        <v>0</v>
      </c>
      <c r="M40" s="148"/>
      <c r="N40" s="148"/>
      <c r="O40" s="148"/>
      <c r="P40" s="148"/>
      <c r="Q40" s="148"/>
      <c r="R40" s="148"/>
      <c r="S40" s="148"/>
      <c r="T40" s="148"/>
      <c r="U40" s="148"/>
      <c r="V40" s="148"/>
      <c r="AA40" s="3"/>
      <c r="AB40" s="147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6" t="s">
        <v>154</v>
      </c>
      <c r="D41" s="39" t="s">
        <v>22</v>
      </c>
      <c r="E41" s="44" t="s">
        <v>25</v>
      </c>
      <c r="F41" s="13">
        <v>2.0</v>
      </c>
      <c r="G41" s="31" t="s">
        <v>24</v>
      </c>
      <c r="H41" s="13">
        <v>0.0</v>
      </c>
      <c r="I41" s="44" t="s">
        <v>153</v>
      </c>
      <c r="J41" s="148"/>
      <c r="K41" s="149">
        <f t="shared" si="1"/>
        <v>3</v>
      </c>
      <c r="L41" s="150">
        <f t="shared" si="2"/>
        <v>0</v>
      </c>
      <c r="M41" s="148"/>
      <c r="N41" s="148"/>
      <c r="O41" s="148"/>
      <c r="P41" s="148"/>
      <c r="Q41" s="148"/>
      <c r="R41" s="148"/>
      <c r="S41" s="148"/>
      <c r="T41" s="148"/>
      <c r="U41" s="148"/>
      <c r="V41" s="148"/>
      <c r="AA41" s="3"/>
      <c r="AB41" s="147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6" t="s">
        <v>152</v>
      </c>
      <c r="D42" s="12" t="s">
        <v>22</v>
      </c>
      <c r="E42" s="17" t="s">
        <v>23</v>
      </c>
      <c r="F42" s="13">
        <v>2.0</v>
      </c>
      <c r="G42" s="31" t="s">
        <v>24</v>
      </c>
      <c r="H42" s="13">
        <v>0.0</v>
      </c>
      <c r="I42" s="17" t="s">
        <v>110</v>
      </c>
      <c r="J42" s="148"/>
      <c r="K42" s="149">
        <f t="shared" si="1"/>
        <v>3</v>
      </c>
      <c r="L42" s="150">
        <f t="shared" si="2"/>
        <v>0</v>
      </c>
      <c r="M42" s="148"/>
      <c r="N42" s="148"/>
      <c r="O42" s="148"/>
      <c r="P42" s="148"/>
      <c r="Q42" s="148"/>
      <c r="R42" s="148"/>
      <c r="S42" s="148"/>
      <c r="T42" s="148"/>
      <c r="U42" s="148"/>
      <c r="V42" s="148"/>
      <c r="AA42" s="3"/>
      <c r="AB42" s="147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6" t="s">
        <v>152</v>
      </c>
      <c r="D43" s="12" t="s">
        <v>22</v>
      </c>
      <c r="E43" s="17" t="s">
        <v>31</v>
      </c>
      <c r="F43" s="13">
        <v>0.0</v>
      </c>
      <c r="G43" s="31" t="s">
        <v>24</v>
      </c>
      <c r="H43" s="13">
        <v>2.0</v>
      </c>
      <c r="I43" s="17" t="s">
        <v>36</v>
      </c>
      <c r="J43" s="148"/>
      <c r="K43" s="149">
        <f t="shared" si="1"/>
        <v>0</v>
      </c>
      <c r="L43" s="150">
        <f t="shared" si="2"/>
        <v>3</v>
      </c>
      <c r="M43" s="148"/>
      <c r="N43" s="148"/>
      <c r="O43" s="148"/>
      <c r="P43" s="148"/>
      <c r="Q43" s="148"/>
      <c r="R43" s="148"/>
      <c r="S43" s="148"/>
      <c r="T43" s="148"/>
      <c r="U43" s="148"/>
      <c r="V43" s="148"/>
      <c r="AA43" s="3"/>
      <c r="AB43" s="147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6" t="s">
        <v>152</v>
      </c>
      <c r="D44" s="12" t="s">
        <v>22</v>
      </c>
      <c r="E44" s="17" t="s">
        <v>61</v>
      </c>
      <c r="F44" s="13">
        <v>2.0</v>
      </c>
      <c r="G44" s="31" t="s">
        <v>24</v>
      </c>
      <c r="H44" s="13">
        <v>0.0</v>
      </c>
      <c r="I44" s="17" t="s">
        <v>32</v>
      </c>
      <c r="J44" s="148"/>
      <c r="K44" s="149">
        <f t="shared" si="1"/>
        <v>3</v>
      </c>
      <c r="L44" s="150">
        <f t="shared" si="2"/>
        <v>0</v>
      </c>
      <c r="M44" s="148"/>
      <c r="N44" s="148"/>
      <c r="O44" s="148"/>
      <c r="P44" s="148"/>
      <c r="Q44" s="148"/>
      <c r="R44" s="148"/>
      <c r="S44" s="148"/>
      <c r="T44" s="148"/>
      <c r="U44" s="148"/>
      <c r="V44" s="148"/>
      <c r="AA44" s="3"/>
      <c r="AB44" s="147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6" t="s">
        <v>30</v>
      </c>
      <c r="D45" s="12" t="s">
        <v>22</v>
      </c>
      <c r="E45" s="17" t="s">
        <v>43</v>
      </c>
      <c r="F45" s="13">
        <v>1.0</v>
      </c>
      <c r="G45" s="31" t="s">
        <v>24</v>
      </c>
      <c r="H45" s="13">
        <v>2.0</v>
      </c>
      <c r="I45" s="17" t="s">
        <v>61</v>
      </c>
      <c r="J45" s="148"/>
      <c r="K45" s="149">
        <f t="shared" si="1"/>
        <v>1</v>
      </c>
      <c r="L45" s="150">
        <f t="shared" si="2"/>
        <v>2</v>
      </c>
      <c r="M45" s="148"/>
      <c r="N45" s="148"/>
      <c r="O45" s="148"/>
      <c r="P45" s="148"/>
      <c r="Q45" s="148"/>
      <c r="R45" s="148"/>
      <c r="S45" s="148"/>
      <c r="T45" s="148"/>
      <c r="U45" s="148"/>
      <c r="V45" s="148"/>
      <c r="AA45" s="3"/>
      <c r="AB45" s="147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3">
        <v>46100.0</v>
      </c>
      <c r="C46" s="66" t="s">
        <v>30</v>
      </c>
      <c r="D46" s="12" t="s">
        <v>22</v>
      </c>
      <c r="E46" s="17" t="s">
        <v>66</v>
      </c>
      <c r="F46" s="13">
        <v>0.0</v>
      </c>
      <c r="G46" s="31" t="s">
        <v>24</v>
      </c>
      <c r="H46" s="13">
        <v>2.0</v>
      </c>
      <c r="I46" s="17" t="s">
        <v>197</v>
      </c>
      <c r="J46" s="148"/>
      <c r="K46" s="149">
        <f t="shared" si="1"/>
        <v>0</v>
      </c>
      <c r="L46" s="150">
        <f t="shared" si="2"/>
        <v>3</v>
      </c>
      <c r="M46" s="148"/>
      <c r="N46" s="148"/>
      <c r="O46" s="148"/>
      <c r="P46" s="148"/>
      <c r="Q46" s="148"/>
      <c r="R46" s="148"/>
      <c r="S46" s="148"/>
      <c r="T46" s="148"/>
      <c r="U46" s="148"/>
      <c r="V46" s="148"/>
      <c r="AA46" s="3"/>
      <c r="AB46" s="147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43">
        <v>46126.0</v>
      </c>
      <c r="C47" s="66" t="s">
        <v>49</v>
      </c>
      <c r="D47" s="12" t="s">
        <v>22</v>
      </c>
      <c r="E47" s="17" t="s">
        <v>153</v>
      </c>
      <c r="F47" s="13">
        <v>2.0</v>
      </c>
      <c r="G47" s="31" t="s">
        <v>24</v>
      </c>
      <c r="H47" s="13">
        <v>0.0</v>
      </c>
      <c r="I47" s="17" t="s">
        <v>112</v>
      </c>
      <c r="J47" s="148"/>
      <c r="K47" s="149">
        <f t="shared" si="1"/>
        <v>3</v>
      </c>
      <c r="L47" s="150">
        <f t="shared" si="2"/>
        <v>0</v>
      </c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AA47" s="3"/>
      <c r="AB47" s="147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3">
        <v>46100.0</v>
      </c>
      <c r="C48" s="66" t="s">
        <v>35</v>
      </c>
      <c r="D48" s="12" t="s">
        <v>22</v>
      </c>
      <c r="E48" s="44" t="s">
        <v>110</v>
      </c>
      <c r="F48" s="13">
        <v>0.0</v>
      </c>
      <c r="G48" s="31" t="s">
        <v>24</v>
      </c>
      <c r="H48" s="13">
        <v>2.0</v>
      </c>
      <c r="I48" s="44" t="s">
        <v>25</v>
      </c>
      <c r="K48" s="149">
        <f t="shared" si="1"/>
        <v>0</v>
      </c>
      <c r="L48" s="150">
        <f t="shared" si="2"/>
        <v>3</v>
      </c>
      <c r="AA48" s="3"/>
      <c r="AB48" s="147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3">
        <v>46100.0</v>
      </c>
      <c r="C49" s="66" t="s">
        <v>35</v>
      </c>
      <c r="D49" s="12" t="s">
        <v>22</v>
      </c>
      <c r="E49" s="44" t="s">
        <v>36</v>
      </c>
      <c r="F49" s="13">
        <v>0.0</v>
      </c>
      <c r="G49" s="31" t="s">
        <v>24</v>
      </c>
      <c r="H49" s="13">
        <v>2.0</v>
      </c>
      <c r="I49" s="44" t="s">
        <v>23</v>
      </c>
      <c r="K49" s="149">
        <f t="shared" si="1"/>
        <v>0</v>
      </c>
      <c r="L49" s="150">
        <f t="shared" si="2"/>
        <v>3</v>
      </c>
      <c r="AA49" s="3"/>
      <c r="AB49" s="147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3">
        <v>46100.0</v>
      </c>
      <c r="C50" s="66" t="s">
        <v>35</v>
      </c>
      <c r="D50" s="12" t="s">
        <v>22</v>
      </c>
      <c r="E50" s="17" t="s">
        <v>32</v>
      </c>
      <c r="F50" s="13">
        <v>0.0</v>
      </c>
      <c r="G50" s="31" t="s">
        <v>24</v>
      </c>
      <c r="H50" s="13">
        <v>2.0</v>
      </c>
      <c r="I50" s="17" t="s">
        <v>31</v>
      </c>
      <c r="K50" s="149">
        <f t="shared" si="1"/>
        <v>0</v>
      </c>
      <c r="L50" s="150">
        <f t="shared" si="2"/>
        <v>3</v>
      </c>
      <c r="AA50" s="3"/>
      <c r="AB50" s="147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1">
        <v>46148.0</v>
      </c>
      <c r="C51" s="66" t="s">
        <v>121</v>
      </c>
      <c r="D51" s="12" t="s">
        <v>22</v>
      </c>
      <c r="E51" s="17" t="s">
        <v>43</v>
      </c>
      <c r="F51" s="159">
        <v>2.0</v>
      </c>
      <c r="G51" s="31" t="s">
        <v>24</v>
      </c>
      <c r="H51" s="13">
        <v>0.0</v>
      </c>
      <c r="I51" s="17" t="s">
        <v>66</v>
      </c>
      <c r="K51" s="149">
        <f t="shared" si="1"/>
        <v>3</v>
      </c>
      <c r="L51" s="150">
        <f t="shared" si="2"/>
        <v>0</v>
      </c>
      <c r="AA51" s="3"/>
      <c r="AB51" s="147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1">
        <v>46148.0</v>
      </c>
      <c r="C52" s="66" t="s">
        <v>121</v>
      </c>
      <c r="D52" s="12" t="s">
        <v>22</v>
      </c>
      <c r="E52" s="17" t="s">
        <v>197</v>
      </c>
      <c r="F52" s="159">
        <v>0.0</v>
      </c>
      <c r="G52" s="31" t="s">
        <v>24</v>
      </c>
      <c r="H52" s="13">
        <v>2.0</v>
      </c>
      <c r="I52" s="17" t="s">
        <v>153</v>
      </c>
      <c r="K52" s="149">
        <f t="shared" si="1"/>
        <v>0</v>
      </c>
      <c r="L52" s="150">
        <f t="shared" si="2"/>
        <v>3</v>
      </c>
      <c r="AA52" s="3"/>
      <c r="AB52" s="147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3">
        <v>46100.0</v>
      </c>
      <c r="C53" s="66" t="s">
        <v>30</v>
      </c>
      <c r="D53" s="12" t="s">
        <v>22</v>
      </c>
      <c r="E53" s="17" t="s">
        <v>112</v>
      </c>
      <c r="F53" s="159">
        <v>2.0</v>
      </c>
      <c r="G53" s="31" t="s">
        <v>24</v>
      </c>
      <c r="H53" s="13">
        <v>0.0</v>
      </c>
      <c r="I53" s="17" t="s">
        <v>110</v>
      </c>
      <c r="K53" s="149">
        <f t="shared" si="1"/>
        <v>3</v>
      </c>
      <c r="L53" s="150">
        <f t="shared" si="2"/>
        <v>0</v>
      </c>
      <c r="AA53" s="3"/>
      <c r="AB53" s="147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1">
        <v>46148.0</v>
      </c>
      <c r="C54" s="66" t="s">
        <v>121</v>
      </c>
      <c r="D54" s="12" t="s">
        <v>22</v>
      </c>
      <c r="E54" s="17" t="s">
        <v>25</v>
      </c>
      <c r="F54" s="159">
        <v>2.0</v>
      </c>
      <c r="G54" s="31" t="s">
        <v>24</v>
      </c>
      <c r="H54" s="13">
        <v>0.0</v>
      </c>
      <c r="I54" s="17" t="s">
        <v>36</v>
      </c>
      <c r="K54" s="149">
        <f t="shared" si="1"/>
        <v>3</v>
      </c>
      <c r="L54" s="150">
        <f t="shared" si="2"/>
        <v>0</v>
      </c>
      <c r="AA54" s="3"/>
      <c r="AB54" s="147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1">
        <v>46148.0</v>
      </c>
      <c r="C55" s="66" t="s">
        <v>156</v>
      </c>
      <c r="D55" s="12" t="s">
        <v>22</v>
      </c>
      <c r="E55" s="17" t="s">
        <v>23</v>
      </c>
      <c r="F55" s="159">
        <v>2.0</v>
      </c>
      <c r="G55" s="31" t="s">
        <v>24</v>
      </c>
      <c r="H55" s="13">
        <v>0.0</v>
      </c>
      <c r="I55" s="17" t="s">
        <v>32</v>
      </c>
      <c r="K55" s="149">
        <f t="shared" si="1"/>
        <v>3</v>
      </c>
      <c r="L55" s="150">
        <f t="shared" si="2"/>
        <v>0</v>
      </c>
      <c r="AA55" s="3"/>
      <c r="AB55" s="147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1">
        <v>46148.0</v>
      </c>
      <c r="C56" s="66" t="s">
        <v>156</v>
      </c>
      <c r="D56" s="12" t="s">
        <v>22</v>
      </c>
      <c r="E56" s="17" t="s">
        <v>61</v>
      </c>
      <c r="F56" s="159">
        <v>2.0</v>
      </c>
      <c r="G56" s="31" t="s">
        <v>24</v>
      </c>
      <c r="H56" s="13">
        <v>0.0</v>
      </c>
      <c r="I56" s="17" t="s">
        <v>31</v>
      </c>
      <c r="K56" s="149">
        <f t="shared" si="1"/>
        <v>3</v>
      </c>
      <c r="L56" s="150">
        <f t="shared" si="2"/>
        <v>0</v>
      </c>
      <c r="AA56" s="3"/>
      <c r="AB56" s="147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43">
        <v>46128.0</v>
      </c>
      <c r="C57" s="12" t="s">
        <v>169</v>
      </c>
      <c r="D57" s="12" t="s">
        <v>22</v>
      </c>
      <c r="E57" s="17" t="s">
        <v>61</v>
      </c>
      <c r="F57" s="13">
        <v>2.0</v>
      </c>
      <c r="G57" s="31" t="s">
        <v>24</v>
      </c>
      <c r="H57" s="13">
        <v>0.0</v>
      </c>
      <c r="I57" s="17" t="s">
        <v>66</v>
      </c>
      <c r="K57" s="149">
        <f t="shared" si="1"/>
        <v>3</v>
      </c>
      <c r="L57" s="150">
        <f t="shared" si="2"/>
        <v>0</v>
      </c>
      <c r="AA57" s="3"/>
      <c r="AB57" s="147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1">
        <v>46128.0</v>
      </c>
      <c r="C58" s="12" t="s">
        <v>169</v>
      </c>
      <c r="D58" s="12" t="s">
        <v>22</v>
      </c>
      <c r="E58" s="17" t="s">
        <v>153</v>
      </c>
      <c r="F58" s="13">
        <v>2.0</v>
      </c>
      <c r="G58" s="31" t="s">
        <v>24</v>
      </c>
      <c r="H58" s="13">
        <v>0.0</v>
      </c>
      <c r="I58" s="17" t="s">
        <v>43</v>
      </c>
      <c r="K58" s="149">
        <f t="shared" si="1"/>
        <v>3</v>
      </c>
      <c r="L58" s="150">
        <f t="shared" si="2"/>
        <v>0</v>
      </c>
      <c r="AA58" s="3"/>
      <c r="AB58" s="147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1">
        <v>46128.0</v>
      </c>
      <c r="C59" s="12" t="s">
        <v>169</v>
      </c>
      <c r="D59" s="12" t="s">
        <v>22</v>
      </c>
      <c r="E59" s="17" t="s">
        <v>110</v>
      </c>
      <c r="F59" s="13">
        <v>2.0</v>
      </c>
      <c r="G59" s="31" t="s">
        <v>24</v>
      </c>
      <c r="H59" s="13">
        <v>1.0</v>
      </c>
      <c r="I59" s="17" t="s">
        <v>197</v>
      </c>
      <c r="K59" s="149">
        <f t="shared" si="1"/>
        <v>2</v>
      </c>
      <c r="L59" s="150">
        <f t="shared" si="2"/>
        <v>1</v>
      </c>
      <c r="AA59" s="3"/>
      <c r="AB59" s="147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1">
        <v>46128.0</v>
      </c>
      <c r="C60" s="12" t="s">
        <v>160</v>
      </c>
      <c r="D60" s="12" t="s">
        <v>22</v>
      </c>
      <c r="E60" s="17" t="s">
        <v>36</v>
      </c>
      <c r="F60" s="13">
        <v>2.0</v>
      </c>
      <c r="G60" s="31" t="s">
        <v>24</v>
      </c>
      <c r="H60" s="13">
        <v>0.0</v>
      </c>
      <c r="I60" s="17" t="s">
        <v>112</v>
      </c>
      <c r="K60" s="149">
        <f t="shared" si="1"/>
        <v>3</v>
      </c>
      <c r="L60" s="150">
        <f t="shared" si="2"/>
        <v>0</v>
      </c>
      <c r="AA60" s="3"/>
      <c r="AB60" s="147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1">
        <v>46128.0</v>
      </c>
      <c r="C61" s="12" t="s">
        <v>160</v>
      </c>
      <c r="D61" s="12" t="s">
        <v>22</v>
      </c>
      <c r="E61" s="17" t="s">
        <v>32</v>
      </c>
      <c r="F61" s="13">
        <v>0.0</v>
      </c>
      <c r="G61" s="31" t="s">
        <v>24</v>
      </c>
      <c r="H61" s="13">
        <v>2.0</v>
      </c>
      <c r="I61" s="17" t="s">
        <v>25</v>
      </c>
      <c r="K61" s="149">
        <f t="shared" si="1"/>
        <v>0</v>
      </c>
      <c r="L61" s="150">
        <f t="shared" si="2"/>
        <v>3</v>
      </c>
      <c r="AA61" s="3"/>
      <c r="AB61" s="147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1">
        <v>46128.0</v>
      </c>
      <c r="C62" s="12" t="s">
        <v>160</v>
      </c>
      <c r="D62" s="12" t="s">
        <v>22</v>
      </c>
      <c r="E62" s="17" t="s">
        <v>31</v>
      </c>
      <c r="F62" s="13">
        <v>0.0</v>
      </c>
      <c r="G62" s="31" t="s">
        <v>24</v>
      </c>
      <c r="H62" s="13">
        <v>2.0</v>
      </c>
      <c r="I62" s="17" t="s">
        <v>23</v>
      </c>
      <c r="K62" s="149">
        <f t="shared" si="1"/>
        <v>0</v>
      </c>
      <c r="L62" s="150">
        <f t="shared" si="2"/>
        <v>3</v>
      </c>
      <c r="AA62" s="3"/>
      <c r="AB62" s="147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1">
        <v>46128.0</v>
      </c>
      <c r="C63" s="66" t="s">
        <v>30</v>
      </c>
      <c r="D63" s="12" t="s">
        <v>22</v>
      </c>
      <c r="E63" s="17" t="s">
        <v>66</v>
      </c>
      <c r="F63" s="13">
        <v>0.0</v>
      </c>
      <c r="G63" s="31" t="s">
        <v>24</v>
      </c>
      <c r="H63" s="13">
        <v>2.0</v>
      </c>
      <c r="I63" s="17" t="s">
        <v>153</v>
      </c>
      <c r="K63" s="149">
        <f t="shared" si="1"/>
        <v>0</v>
      </c>
      <c r="L63" s="150">
        <f t="shared" si="2"/>
        <v>3</v>
      </c>
      <c r="AA63" s="3"/>
      <c r="AB63" s="147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1">
        <v>46128.0</v>
      </c>
      <c r="C64" s="66" t="s">
        <v>30</v>
      </c>
      <c r="D64" s="12" t="s">
        <v>22</v>
      </c>
      <c r="E64" s="17" t="s">
        <v>43</v>
      </c>
      <c r="F64" s="13">
        <v>2.0</v>
      </c>
      <c r="G64" s="31" t="s">
        <v>24</v>
      </c>
      <c r="H64" s="13">
        <v>0.0</v>
      </c>
      <c r="I64" s="17" t="s">
        <v>110</v>
      </c>
      <c r="K64" s="149">
        <f t="shared" si="1"/>
        <v>3</v>
      </c>
      <c r="L64" s="150">
        <f t="shared" si="2"/>
        <v>0</v>
      </c>
      <c r="AA64" s="3"/>
      <c r="AB64" s="147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1">
        <v>46128.0</v>
      </c>
      <c r="C65" s="66" t="s">
        <v>30</v>
      </c>
      <c r="D65" s="12" t="s">
        <v>22</v>
      </c>
      <c r="E65" s="17" t="s">
        <v>197</v>
      </c>
      <c r="F65" s="13">
        <v>0.0</v>
      </c>
      <c r="G65" s="31" t="s">
        <v>24</v>
      </c>
      <c r="H65" s="13">
        <v>2.0</v>
      </c>
      <c r="I65" s="17" t="s">
        <v>36</v>
      </c>
      <c r="K65" s="149">
        <f t="shared" si="1"/>
        <v>0</v>
      </c>
      <c r="L65" s="150">
        <f t="shared" si="2"/>
        <v>3</v>
      </c>
      <c r="AA65" s="3"/>
      <c r="AB65" s="147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1">
        <v>46128.0</v>
      </c>
      <c r="C66" s="66" t="s">
        <v>35</v>
      </c>
      <c r="D66" s="12" t="s">
        <v>22</v>
      </c>
      <c r="E66" s="14" t="s">
        <v>112</v>
      </c>
      <c r="F66" s="13">
        <v>0.0</v>
      </c>
      <c r="G66" s="31" t="s">
        <v>24</v>
      </c>
      <c r="H66" s="13">
        <v>2.0</v>
      </c>
      <c r="I66" s="17" t="s">
        <v>32</v>
      </c>
      <c r="K66" s="149">
        <f t="shared" si="1"/>
        <v>0</v>
      </c>
      <c r="L66" s="150">
        <f t="shared" si="2"/>
        <v>3</v>
      </c>
      <c r="AA66" s="3"/>
      <c r="AB66" s="147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1">
        <v>46128.0</v>
      </c>
      <c r="C67" s="66" t="s">
        <v>35</v>
      </c>
      <c r="D67" s="12" t="s">
        <v>22</v>
      </c>
      <c r="E67" s="17" t="s">
        <v>25</v>
      </c>
      <c r="F67" s="13">
        <v>2.0</v>
      </c>
      <c r="G67" s="31" t="s">
        <v>24</v>
      </c>
      <c r="H67" s="13">
        <v>0.0</v>
      </c>
      <c r="I67" s="17" t="s">
        <v>31</v>
      </c>
      <c r="K67" s="149">
        <f t="shared" si="1"/>
        <v>3</v>
      </c>
      <c r="L67" s="150">
        <f t="shared" si="2"/>
        <v>0</v>
      </c>
      <c r="R67" s="148"/>
      <c r="S67" s="148"/>
      <c r="T67" s="148"/>
      <c r="U67" s="148"/>
      <c r="V67" s="148"/>
      <c r="AA67" s="3"/>
      <c r="AB67" s="147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43">
        <v>46128.0</v>
      </c>
      <c r="C68" s="66" t="s">
        <v>35</v>
      </c>
      <c r="D68" s="12" t="s">
        <v>22</v>
      </c>
      <c r="E68" s="17" t="s">
        <v>23</v>
      </c>
      <c r="F68" s="13">
        <v>2.0</v>
      </c>
      <c r="G68" s="31" t="s">
        <v>24</v>
      </c>
      <c r="H68" s="13">
        <v>0.0</v>
      </c>
      <c r="I68" s="17" t="s">
        <v>61</v>
      </c>
      <c r="K68" s="149">
        <f t="shared" si="1"/>
        <v>3</v>
      </c>
      <c r="L68" s="150">
        <f t="shared" si="2"/>
        <v>0</v>
      </c>
      <c r="R68" s="148"/>
      <c r="S68" s="148"/>
      <c r="T68" s="148"/>
      <c r="U68" s="148"/>
      <c r="V68" s="148"/>
      <c r="AA68" s="3"/>
      <c r="AB68" s="147"/>
      <c r="AC68" s="3"/>
      <c r="AD68" s="3"/>
      <c r="AE68" s="3"/>
      <c r="AF68" s="3"/>
      <c r="AG68" s="3"/>
      <c r="AH68" s="3"/>
      <c r="AI68" s="3"/>
    </row>
    <row r="69" ht="15.75" customHeight="1">
      <c r="A69" s="160"/>
      <c r="B69" s="161"/>
      <c r="C69" s="161"/>
      <c r="D69" s="161"/>
      <c r="E69" s="1"/>
      <c r="F69" s="161"/>
      <c r="G69" s="161"/>
      <c r="I69" s="147"/>
      <c r="AA69" s="3"/>
      <c r="AB69" s="147"/>
      <c r="AC69" s="3"/>
      <c r="AD69" s="3"/>
      <c r="AE69" s="3"/>
      <c r="AF69" s="3"/>
      <c r="AG69" s="3"/>
      <c r="AH69" s="3"/>
      <c r="AI69" s="3"/>
    </row>
    <row r="70" ht="15.75" customHeight="1">
      <c r="A70" s="160"/>
      <c r="B70" s="161"/>
      <c r="C70" s="161"/>
      <c r="D70" s="161"/>
      <c r="E70" s="1"/>
      <c r="F70" s="161"/>
      <c r="G70" s="161"/>
      <c r="I70" s="147"/>
      <c r="AA70" s="3"/>
      <c r="AB70" s="147"/>
      <c r="AC70" s="3"/>
      <c r="AD70" s="3"/>
      <c r="AE70" s="3"/>
      <c r="AF70" s="3"/>
      <c r="AG70" s="3"/>
      <c r="AH70" s="3"/>
      <c r="AI70" s="3"/>
    </row>
    <row r="71" ht="15.75" customHeight="1">
      <c r="A71" s="160"/>
      <c r="B71" s="161"/>
      <c r="C71" s="161"/>
      <c r="D71" s="161"/>
      <c r="E71" s="1"/>
      <c r="F71" s="161"/>
      <c r="G71" s="161"/>
      <c r="I71" s="147"/>
      <c r="AA71" s="3"/>
      <c r="AB71" s="147"/>
      <c r="AC71" s="3"/>
      <c r="AD71" s="3"/>
      <c r="AE71" s="3"/>
      <c r="AF71" s="3"/>
      <c r="AG71" s="3"/>
      <c r="AH71" s="3"/>
      <c r="AI71" s="3"/>
    </row>
    <row r="72" ht="15.75" customHeight="1">
      <c r="A72" s="146" t="s">
        <v>208</v>
      </c>
      <c r="I72" s="147"/>
      <c r="AA72" s="3"/>
      <c r="AB72" s="147"/>
      <c r="AC72" s="3"/>
      <c r="AD72" s="3"/>
      <c r="AE72" s="3"/>
      <c r="AF72" s="3"/>
      <c r="AG72" s="3"/>
      <c r="AH72" s="3"/>
      <c r="AI72" s="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204</v>
      </c>
      <c r="U73" s="9" t="s">
        <v>205</v>
      </c>
      <c r="V73" s="9" t="s">
        <v>206</v>
      </c>
      <c r="W73" s="3"/>
      <c r="X73" s="132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204</v>
      </c>
      <c r="AH73" s="5" t="s">
        <v>205</v>
      </c>
      <c r="AI73" s="5" t="s">
        <v>206</v>
      </c>
    </row>
    <row r="74" ht="15.75" customHeight="1">
      <c r="A74" s="65">
        <v>1.0</v>
      </c>
      <c r="B74" s="11">
        <v>45944.0</v>
      </c>
      <c r="C74" s="12" t="s">
        <v>169</v>
      </c>
      <c r="D74" s="12" t="s">
        <v>22</v>
      </c>
      <c r="E74" s="17" t="s">
        <v>39</v>
      </c>
      <c r="F74" s="13">
        <v>1.0</v>
      </c>
      <c r="G74" s="31" t="s">
        <v>24</v>
      </c>
      <c r="H74" s="13">
        <v>2.0</v>
      </c>
      <c r="I74" s="17" t="s">
        <v>167</v>
      </c>
      <c r="J74" s="148"/>
      <c r="K74" s="149">
        <f t="shared" ref="K74:K139" si="9">IFS(F74=H74+2,3,F74=H74-2,0,F74=H74+1,2,F74=H74-1,1,F74="","")</f>
        <v>1</v>
      </c>
      <c r="L74" s="150">
        <f t="shared" ref="L74:L139" si="10">IFS(H74=F74+2,3,H74=F74-2,0,H74=F74+1,2,H74=F74-1,1,H74="","")</f>
        <v>2</v>
      </c>
      <c r="M74" s="148"/>
      <c r="N74" s="150">
        <v>1.0</v>
      </c>
      <c r="O74" s="151" t="s">
        <v>39</v>
      </c>
      <c r="P74" s="150">
        <f t="shared" ref="P74:P84" si="11">SUMIF(E$74:E$139,O74,K$74:K$139)+SUMIF(I$74:I$139,O74,L$74:L$139)</f>
        <v>7</v>
      </c>
      <c r="Q74" s="152">
        <f t="shared" ref="Q74:Q84" si="12">COUNTIFS(E$74:E$139,O74,K$74:K$139,2)+COUNTIFS(I$74:I$139,O74,L$74:L$139,2)+COUNTIFS(E$74:E$139,O74,K$74:K$139,3)+COUNTIFS(I$74:I$139,O74,L$74:L$139,3)</f>
        <v>1</v>
      </c>
      <c r="R74" s="153"/>
      <c r="S74" s="153">
        <f t="shared" ref="S74:S84" si="13">COUNTIFS(E$74:E$139,O74,K$74:K$139,1)+COUNTIFS(I$74:I$139,O74,L$74:L$139,1)+COUNTIFS(E$74:E$139,O74,K$74:K$139,0)+COUNTIFS(I$74:I$139,O74,L$74:L$139,0)</f>
        <v>9</v>
      </c>
      <c r="T74" s="150">
        <f t="shared" ref="T74:T84" si="14">SUMIF(E$74:E$139,O74,F$74:F$139)+SUMIF(I$74:I$139,O74,H$74:H$139)</f>
        <v>6</v>
      </c>
      <c r="U74" s="153">
        <f t="shared" ref="U74:U84" si="15">SUMIF(E$74:E$139,O74,H$74:H$139)+SUMIF(I$74:I$139,O74,F$74:F$139)</f>
        <v>18</v>
      </c>
      <c r="V74" s="150">
        <f t="shared" ref="V74:V84" si="16">T74-U74</f>
        <v>-12</v>
      </c>
      <c r="X74" s="136" t="s">
        <v>26</v>
      </c>
      <c r="Y74" s="136" t="s">
        <v>13</v>
      </c>
      <c r="AA74" s="45" t="s">
        <v>29</v>
      </c>
      <c r="AB74" s="70" t="str">
        <f t="array" ref="AB74:AI84">SORT(O74:V84,2,FALSE,8,FALSE)</f>
        <v>Eng. Ambiente</v>
      </c>
      <c r="AC74" s="23">
        <v>28.0</v>
      </c>
      <c r="AD74" s="23">
        <v>10.0</v>
      </c>
      <c r="AE74" s="24"/>
      <c r="AF74" s="24">
        <v>0.0</v>
      </c>
      <c r="AG74" s="23">
        <v>20.0</v>
      </c>
      <c r="AH74" s="24">
        <v>2.0</v>
      </c>
      <c r="AI74" s="23">
        <v>18.0</v>
      </c>
    </row>
    <row r="75" ht="15.75" customHeight="1">
      <c r="A75" s="25"/>
      <c r="B75" s="11">
        <v>45944.0</v>
      </c>
      <c r="C75" s="12" t="s">
        <v>154</v>
      </c>
      <c r="D75" s="12" t="s">
        <v>22</v>
      </c>
      <c r="E75" s="17" t="s">
        <v>180</v>
      </c>
      <c r="F75" s="13">
        <v>2.0</v>
      </c>
      <c r="G75" s="31" t="s">
        <v>24</v>
      </c>
      <c r="H75" s="13">
        <v>0.0</v>
      </c>
      <c r="I75" s="17" t="s">
        <v>64</v>
      </c>
      <c r="J75" s="148"/>
      <c r="K75" s="149">
        <f t="shared" si="9"/>
        <v>3</v>
      </c>
      <c r="L75" s="150">
        <f t="shared" si="10"/>
        <v>0</v>
      </c>
      <c r="M75" s="148"/>
      <c r="N75" s="150">
        <v>2.0</v>
      </c>
      <c r="O75" s="151" t="s">
        <v>40</v>
      </c>
      <c r="P75" s="150">
        <f t="shared" si="11"/>
        <v>10</v>
      </c>
      <c r="Q75" s="152">
        <f t="shared" si="12"/>
        <v>3</v>
      </c>
      <c r="R75" s="153"/>
      <c r="S75" s="153">
        <f t="shared" si="13"/>
        <v>7</v>
      </c>
      <c r="T75" s="150">
        <f t="shared" si="14"/>
        <v>8</v>
      </c>
      <c r="U75" s="153">
        <f t="shared" si="15"/>
        <v>15</v>
      </c>
      <c r="V75" s="150">
        <f t="shared" si="16"/>
        <v>-7</v>
      </c>
      <c r="X75" s="137" t="s">
        <v>33</v>
      </c>
      <c r="Y75" s="137">
        <v>3.0</v>
      </c>
      <c r="AA75" s="124" t="s">
        <v>111</v>
      </c>
      <c r="AB75" s="70" t="s">
        <v>68</v>
      </c>
      <c r="AC75" s="23">
        <v>26.0</v>
      </c>
      <c r="AD75" s="23">
        <v>9.0</v>
      </c>
      <c r="AE75" s="24"/>
      <c r="AF75" s="24">
        <v>1.0</v>
      </c>
      <c r="AG75" s="23">
        <v>19.0</v>
      </c>
      <c r="AH75" s="24">
        <v>4.0</v>
      </c>
      <c r="AI75" s="23">
        <v>15.0</v>
      </c>
    </row>
    <row r="76" ht="15.75" customHeight="1">
      <c r="A76" s="25"/>
      <c r="B76" s="11">
        <v>45944.0</v>
      </c>
      <c r="C76" s="12" t="s">
        <v>169</v>
      </c>
      <c r="D76" s="12" t="s">
        <v>22</v>
      </c>
      <c r="E76" s="17" t="s">
        <v>209</v>
      </c>
      <c r="F76" s="13">
        <v>2.0</v>
      </c>
      <c r="G76" s="31" t="s">
        <v>24</v>
      </c>
      <c r="H76" s="13">
        <v>0.0</v>
      </c>
      <c r="I76" s="17" t="s">
        <v>143</v>
      </c>
      <c r="J76" s="148"/>
      <c r="K76" s="149">
        <f t="shared" si="9"/>
        <v>3</v>
      </c>
      <c r="L76" s="150">
        <f t="shared" si="10"/>
        <v>0</v>
      </c>
      <c r="M76" s="148"/>
      <c r="N76" s="150">
        <v>3.0</v>
      </c>
      <c r="O76" s="151" t="s">
        <v>167</v>
      </c>
      <c r="P76" s="150">
        <f t="shared" si="11"/>
        <v>18</v>
      </c>
      <c r="Q76" s="152">
        <f t="shared" si="12"/>
        <v>6</v>
      </c>
      <c r="R76" s="153"/>
      <c r="S76" s="153">
        <f t="shared" si="13"/>
        <v>4</v>
      </c>
      <c r="T76" s="150">
        <f t="shared" si="14"/>
        <v>14</v>
      </c>
      <c r="U76" s="153">
        <f t="shared" si="15"/>
        <v>10</v>
      </c>
      <c r="V76" s="150">
        <f t="shared" si="16"/>
        <v>4</v>
      </c>
      <c r="X76" s="137" t="s">
        <v>40</v>
      </c>
      <c r="Y76" s="137">
        <v>0.0</v>
      </c>
      <c r="AA76" s="22">
        <v>3.0</v>
      </c>
      <c r="AB76" s="70" t="s">
        <v>167</v>
      </c>
      <c r="AC76" s="23">
        <v>18.0</v>
      </c>
      <c r="AD76" s="23">
        <v>6.0</v>
      </c>
      <c r="AE76" s="24"/>
      <c r="AF76" s="24">
        <v>4.0</v>
      </c>
      <c r="AG76" s="23">
        <v>14.0</v>
      </c>
      <c r="AH76" s="24">
        <v>10.0</v>
      </c>
      <c r="AI76" s="23">
        <v>4.0</v>
      </c>
    </row>
    <row r="77" ht="15.75" customHeight="1">
      <c r="A77" s="25"/>
      <c r="B77" s="11">
        <v>45944.0</v>
      </c>
      <c r="C77" s="12" t="s">
        <v>160</v>
      </c>
      <c r="D77" s="12" t="s">
        <v>22</v>
      </c>
      <c r="E77" s="17" t="s">
        <v>69</v>
      </c>
      <c r="F77" s="13">
        <v>2.0</v>
      </c>
      <c r="G77" s="31" t="s">
        <v>24</v>
      </c>
      <c r="H77" s="13">
        <v>1.0</v>
      </c>
      <c r="I77" s="17" t="s">
        <v>107</v>
      </c>
      <c r="J77" s="148"/>
      <c r="K77" s="149">
        <f t="shared" si="9"/>
        <v>2</v>
      </c>
      <c r="L77" s="150">
        <f t="shared" si="10"/>
        <v>1</v>
      </c>
      <c r="M77" s="148"/>
      <c r="N77" s="150">
        <v>4.0</v>
      </c>
      <c r="O77" s="151" t="s">
        <v>113</v>
      </c>
      <c r="P77" s="150">
        <f t="shared" si="11"/>
        <v>16</v>
      </c>
      <c r="Q77" s="152">
        <f t="shared" si="12"/>
        <v>6</v>
      </c>
      <c r="R77" s="153"/>
      <c r="S77" s="153">
        <f t="shared" si="13"/>
        <v>4</v>
      </c>
      <c r="T77" s="150">
        <f t="shared" si="14"/>
        <v>13</v>
      </c>
      <c r="U77" s="153">
        <f t="shared" si="15"/>
        <v>11</v>
      </c>
      <c r="V77" s="150">
        <f t="shared" si="16"/>
        <v>2</v>
      </c>
      <c r="AA77" s="22">
        <v>4.0</v>
      </c>
      <c r="AB77" s="70" t="s">
        <v>209</v>
      </c>
      <c r="AC77" s="23">
        <v>17.0</v>
      </c>
      <c r="AD77" s="23">
        <v>5.0</v>
      </c>
      <c r="AE77" s="24"/>
      <c r="AF77" s="24">
        <v>5.0</v>
      </c>
      <c r="AG77" s="23">
        <v>13.0</v>
      </c>
      <c r="AH77" s="24">
        <v>11.0</v>
      </c>
      <c r="AI77" s="23">
        <v>2.0</v>
      </c>
    </row>
    <row r="78" ht="15.75" customHeight="1">
      <c r="A78" s="25"/>
      <c r="B78" s="11">
        <v>45944.0</v>
      </c>
      <c r="C78" s="12" t="s">
        <v>160</v>
      </c>
      <c r="D78" s="12" t="s">
        <v>22</v>
      </c>
      <c r="E78" s="17" t="s">
        <v>113</v>
      </c>
      <c r="F78" s="13">
        <v>0.0</v>
      </c>
      <c r="G78" s="31" t="s">
        <v>24</v>
      </c>
      <c r="H78" s="13">
        <v>2.0</v>
      </c>
      <c r="I78" s="17" t="s">
        <v>68</v>
      </c>
      <c r="J78" s="148"/>
      <c r="K78" s="149">
        <f t="shared" si="9"/>
        <v>0</v>
      </c>
      <c r="L78" s="150">
        <f t="shared" si="10"/>
        <v>3</v>
      </c>
      <c r="M78" s="148"/>
      <c r="N78" s="150">
        <v>5.0</v>
      </c>
      <c r="O78" s="151" t="s">
        <v>64</v>
      </c>
      <c r="P78" s="150">
        <f t="shared" si="11"/>
        <v>16</v>
      </c>
      <c r="Q78" s="152">
        <f t="shared" si="12"/>
        <v>5</v>
      </c>
      <c r="R78" s="153"/>
      <c r="S78" s="153">
        <f t="shared" si="13"/>
        <v>5</v>
      </c>
      <c r="T78" s="150">
        <f t="shared" si="14"/>
        <v>12</v>
      </c>
      <c r="U78" s="153">
        <f t="shared" si="15"/>
        <v>11</v>
      </c>
      <c r="V78" s="150">
        <f t="shared" si="16"/>
        <v>1</v>
      </c>
      <c r="AA78" s="22">
        <v>5.0</v>
      </c>
      <c r="AB78" s="70" t="s">
        <v>113</v>
      </c>
      <c r="AC78" s="23">
        <v>16.0</v>
      </c>
      <c r="AD78" s="23">
        <v>6.0</v>
      </c>
      <c r="AE78" s="24"/>
      <c r="AF78" s="24">
        <v>4.0</v>
      </c>
      <c r="AG78" s="23">
        <v>13.0</v>
      </c>
      <c r="AH78" s="24">
        <v>11.0</v>
      </c>
      <c r="AI78" s="23">
        <v>2.0</v>
      </c>
    </row>
    <row r="79" ht="15.75" customHeight="1">
      <c r="A79" s="29"/>
      <c r="B79" s="162"/>
      <c r="C79" s="163"/>
      <c r="D79" s="164"/>
      <c r="E79" s="17">
        <v>0.0</v>
      </c>
      <c r="F79" s="31"/>
      <c r="G79" s="31" t="s">
        <v>24</v>
      </c>
      <c r="H79" s="31"/>
      <c r="I79" s="17" t="s">
        <v>40</v>
      </c>
      <c r="J79" s="148"/>
      <c r="K79" s="149" t="str">
        <f t="shared" si="9"/>
        <v/>
      </c>
      <c r="L79" s="150" t="str">
        <f t="shared" si="10"/>
        <v/>
      </c>
      <c r="M79" s="148"/>
      <c r="N79" s="150">
        <v>6.0</v>
      </c>
      <c r="O79" s="151" t="s">
        <v>69</v>
      </c>
      <c r="P79" s="150">
        <f t="shared" si="11"/>
        <v>3</v>
      </c>
      <c r="Q79" s="152">
        <f t="shared" si="12"/>
        <v>1</v>
      </c>
      <c r="R79" s="153"/>
      <c r="S79" s="153">
        <f t="shared" si="13"/>
        <v>9</v>
      </c>
      <c r="T79" s="150">
        <f t="shared" si="14"/>
        <v>3</v>
      </c>
      <c r="U79" s="153">
        <f t="shared" si="15"/>
        <v>19</v>
      </c>
      <c r="V79" s="150">
        <f t="shared" si="16"/>
        <v>-16</v>
      </c>
      <c r="AA79" s="22">
        <v>6.0</v>
      </c>
      <c r="AB79" s="70" t="s">
        <v>64</v>
      </c>
      <c r="AC79" s="23">
        <v>16.0</v>
      </c>
      <c r="AD79" s="23">
        <v>5.0</v>
      </c>
      <c r="AE79" s="24"/>
      <c r="AF79" s="24">
        <v>5.0</v>
      </c>
      <c r="AG79" s="23">
        <v>12.0</v>
      </c>
      <c r="AH79" s="24">
        <v>11.0</v>
      </c>
      <c r="AI79" s="23">
        <v>1.0</v>
      </c>
    </row>
    <row r="80" ht="15.75" customHeight="1">
      <c r="A80" s="65">
        <v>2.0</v>
      </c>
      <c r="B80" s="162"/>
      <c r="C80" s="163"/>
      <c r="D80" s="164"/>
      <c r="E80" s="17" t="s">
        <v>167</v>
      </c>
      <c r="F80" s="31"/>
      <c r="G80" s="31" t="s">
        <v>24</v>
      </c>
      <c r="H80" s="31"/>
      <c r="I80" s="17">
        <v>0.0</v>
      </c>
      <c r="J80" s="148"/>
      <c r="K80" s="149" t="str">
        <f t="shared" si="9"/>
        <v/>
      </c>
      <c r="L80" s="150" t="str">
        <f t="shared" si="10"/>
        <v/>
      </c>
      <c r="M80" s="148"/>
      <c r="N80" s="150">
        <v>7.0</v>
      </c>
      <c r="O80" s="151" t="s">
        <v>143</v>
      </c>
      <c r="P80" s="150">
        <f t="shared" si="11"/>
        <v>10</v>
      </c>
      <c r="Q80" s="152">
        <f t="shared" si="12"/>
        <v>4</v>
      </c>
      <c r="R80" s="153"/>
      <c r="S80" s="153">
        <f t="shared" si="13"/>
        <v>6</v>
      </c>
      <c r="T80" s="150">
        <f t="shared" si="14"/>
        <v>9</v>
      </c>
      <c r="U80" s="153">
        <f t="shared" si="15"/>
        <v>15</v>
      </c>
      <c r="V80" s="150">
        <f t="shared" si="16"/>
        <v>-6</v>
      </c>
      <c r="AA80" s="22">
        <v>7.0</v>
      </c>
      <c r="AB80" s="70" t="s">
        <v>107</v>
      </c>
      <c r="AC80" s="23">
        <v>14.0</v>
      </c>
      <c r="AD80" s="23">
        <v>5.0</v>
      </c>
      <c r="AE80" s="24"/>
      <c r="AF80" s="24">
        <v>5.0</v>
      </c>
      <c r="AG80" s="23">
        <v>12.0</v>
      </c>
      <c r="AH80" s="24">
        <v>13.0</v>
      </c>
      <c r="AI80" s="23">
        <v>-1.0</v>
      </c>
    </row>
    <row r="81" ht="15.75" customHeight="1">
      <c r="A81" s="25"/>
      <c r="B81" s="11">
        <v>45944.0</v>
      </c>
      <c r="C81" s="12" t="s">
        <v>160</v>
      </c>
      <c r="D81" s="12" t="s">
        <v>22</v>
      </c>
      <c r="E81" s="17" t="s">
        <v>64</v>
      </c>
      <c r="F81" s="13">
        <v>2.0</v>
      </c>
      <c r="G81" s="31" t="s">
        <v>24</v>
      </c>
      <c r="H81" s="13">
        <v>0.0</v>
      </c>
      <c r="I81" s="17" t="s">
        <v>39</v>
      </c>
      <c r="J81" s="148"/>
      <c r="K81" s="149">
        <f t="shared" si="9"/>
        <v>3</v>
      </c>
      <c r="L81" s="150">
        <f t="shared" si="10"/>
        <v>0</v>
      </c>
      <c r="M81" s="148"/>
      <c r="N81" s="150">
        <v>8.0</v>
      </c>
      <c r="O81" s="151" t="s">
        <v>209</v>
      </c>
      <c r="P81" s="150">
        <f t="shared" si="11"/>
        <v>17</v>
      </c>
      <c r="Q81" s="152">
        <f t="shared" si="12"/>
        <v>5</v>
      </c>
      <c r="R81" s="153"/>
      <c r="S81" s="153">
        <f t="shared" si="13"/>
        <v>5</v>
      </c>
      <c r="T81" s="150">
        <f t="shared" si="14"/>
        <v>13</v>
      </c>
      <c r="U81" s="153">
        <f t="shared" si="15"/>
        <v>11</v>
      </c>
      <c r="V81" s="150">
        <f t="shared" si="16"/>
        <v>2</v>
      </c>
      <c r="AA81" s="22">
        <v>8.0</v>
      </c>
      <c r="AB81" s="70" t="s">
        <v>143</v>
      </c>
      <c r="AC81" s="23">
        <v>10.0</v>
      </c>
      <c r="AD81" s="23">
        <v>4.0</v>
      </c>
      <c r="AE81" s="24"/>
      <c r="AF81" s="24">
        <v>6.0</v>
      </c>
      <c r="AG81" s="23">
        <v>9.0</v>
      </c>
      <c r="AH81" s="24">
        <v>15.0</v>
      </c>
      <c r="AI81" s="23">
        <v>-6.0</v>
      </c>
    </row>
    <row r="82" ht="15.75" customHeight="1">
      <c r="A82" s="25"/>
      <c r="B82" s="11">
        <v>45684.0</v>
      </c>
      <c r="C82" s="12" t="s">
        <v>49</v>
      </c>
      <c r="D82" s="12" t="s">
        <v>22</v>
      </c>
      <c r="E82" s="17" t="s">
        <v>143</v>
      </c>
      <c r="F82" s="13">
        <v>0.0</v>
      </c>
      <c r="G82" s="31" t="s">
        <v>24</v>
      </c>
      <c r="H82" s="13">
        <v>2.0</v>
      </c>
      <c r="I82" s="17" t="s">
        <v>180</v>
      </c>
      <c r="J82" s="148"/>
      <c r="K82" s="149">
        <f t="shared" si="9"/>
        <v>0</v>
      </c>
      <c r="L82" s="150">
        <f t="shared" si="10"/>
        <v>3</v>
      </c>
      <c r="M82" s="148"/>
      <c r="N82" s="150">
        <v>9.0</v>
      </c>
      <c r="O82" s="151" t="s">
        <v>107</v>
      </c>
      <c r="P82" s="150">
        <f t="shared" si="11"/>
        <v>14</v>
      </c>
      <c r="Q82" s="152">
        <f t="shared" si="12"/>
        <v>5</v>
      </c>
      <c r="R82" s="153"/>
      <c r="S82" s="153">
        <f t="shared" si="13"/>
        <v>5</v>
      </c>
      <c r="T82" s="150">
        <f t="shared" si="14"/>
        <v>12</v>
      </c>
      <c r="U82" s="153">
        <f t="shared" si="15"/>
        <v>13</v>
      </c>
      <c r="V82" s="150">
        <f t="shared" si="16"/>
        <v>-1</v>
      </c>
      <c r="AA82" s="22">
        <v>9.0</v>
      </c>
      <c r="AB82" s="70" t="s">
        <v>40</v>
      </c>
      <c r="AC82" s="23">
        <v>10.0</v>
      </c>
      <c r="AD82" s="23">
        <v>3.0</v>
      </c>
      <c r="AE82" s="24"/>
      <c r="AF82" s="24">
        <v>7.0</v>
      </c>
      <c r="AG82" s="23">
        <v>8.0</v>
      </c>
      <c r="AH82" s="24">
        <v>15.0</v>
      </c>
      <c r="AI82" s="23">
        <v>-7.0</v>
      </c>
    </row>
    <row r="83" ht="15.75" customHeight="1">
      <c r="A83" s="25"/>
      <c r="B83" s="11">
        <v>45684.0</v>
      </c>
      <c r="C83" s="12" t="s">
        <v>49</v>
      </c>
      <c r="D83" s="12" t="s">
        <v>22</v>
      </c>
      <c r="E83" s="17" t="s">
        <v>107</v>
      </c>
      <c r="F83" s="13">
        <v>2.0</v>
      </c>
      <c r="G83" s="31" t="s">
        <v>24</v>
      </c>
      <c r="H83" s="13">
        <v>1.0</v>
      </c>
      <c r="I83" s="17" t="s">
        <v>209</v>
      </c>
      <c r="J83" s="148"/>
      <c r="K83" s="149">
        <f t="shared" si="9"/>
        <v>2</v>
      </c>
      <c r="L83" s="150">
        <f t="shared" si="10"/>
        <v>1</v>
      </c>
      <c r="M83" s="148"/>
      <c r="N83" s="150">
        <v>10.0</v>
      </c>
      <c r="O83" s="151" t="s">
        <v>180</v>
      </c>
      <c r="P83" s="150">
        <f t="shared" si="11"/>
        <v>28</v>
      </c>
      <c r="Q83" s="152">
        <f t="shared" si="12"/>
        <v>10</v>
      </c>
      <c r="R83" s="153"/>
      <c r="S83" s="153">
        <f t="shared" si="13"/>
        <v>0</v>
      </c>
      <c r="T83" s="150">
        <f t="shared" si="14"/>
        <v>20</v>
      </c>
      <c r="U83" s="153">
        <f t="shared" si="15"/>
        <v>2</v>
      </c>
      <c r="V83" s="150">
        <f t="shared" si="16"/>
        <v>18</v>
      </c>
      <c r="AA83" s="22">
        <v>10.0</v>
      </c>
      <c r="AB83" s="70" t="s">
        <v>39</v>
      </c>
      <c r="AC83" s="23">
        <v>7.0</v>
      </c>
      <c r="AD83" s="23">
        <v>1.0</v>
      </c>
      <c r="AE83" s="24"/>
      <c r="AF83" s="24">
        <v>9.0</v>
      </c>
      <c r="AG83" s="23">
        <v>6.0</v>
      </c>
      <c r="AH83" s="24">
        <v>18.0</v>
      </c>
      <c r="AI83" s="23">
        <v>-12.0</v>
      </c>
    </row>
    <row r="84" ht="15.75" customHeight="1">
      <c r="A84" s="25"/>
      <c r="B84" s="11">
        <v>45684.0</v>
      </c>
      <c r="C84" s="12" t="s">
        <v>49</v>
      </c>
      <c r="D84" s="12" t="s">
        <v>22</v>
      </c>
      <c r="E84" s="17" t="s">
        <v>68</v>
      </c>
      <c r="F84" s="13">
        <v>2.0</v>
      </c>
      <c r="G84" s="31" t="s">
        <v>24</v>
      </c>
      <c r="H84" s="13">
        <v>0.0</v>
      </c>
      <c r="I84" s="17" t="s">
        <v>69</v>
      </c>
      <c r="J84" s="148"/>
      <c r="K84" s="149">
        <f t="shared" si="9"/>
        <v>3</v>
      </c>
      <c r="L84" s="150">
        <f t="shared" si="10"/>
        <v>0</v>
      </c>
      <c r="M84" s="148"/>
      <c r="N84" s="165">
        <v>11.0</v>
      </c>
      <c r="O84" s="165" t="s">
        <v>68</v>
      </c>
      <c r="P84" s="150">
        <f t="shared" si="11"/>
        <v>26</v>
      </c>
      <c r="Q84" s="152">
        <f t="shared" si="12"/>
        <v>9</v>
      </c>
      <c r="S84" s="153">
        <f t="shared" si="13"/>
        <v>1</v>
      </c>
      <c r="T84" s="150">
        <f t="shared" si="14"/>
        <v>19</v>
      </c>
      <c r="U84" s="153">
        <f t="shared" si="15"/>
        <v>4</v>
      </c>
      <c r="V84" s="150">
        <f t="shared" si="16"/>
        <v>15</v>
      </c>
      <c r="AA84" s="52">
        <v>11.0</v>
      </c>
      <c r="AB84" s="70" t="s">
        <v>69</v>
      </c>
      <c r="AC84" s="23">
        <v>3.0</v>
      </c>
      <c r="AD84" s="23">
        <v>1.0</v>
      </c>
      <c r="AE84" s="24"/>
      <c r="AF84" s="24">
        <v>9.0</v>
      </c>
      <c r="AG84" s="23">
        <v>3.0</v>
      </c>
      <c r="AH84" s="24">
        <v>19.0</v>
      </c>
      <c r="AI84" s="23">
        <v>-16.0</v>
      </c>
    </row>
    <row r="85" ht="15.75" customHeight="1">
      <c r="A85" s="29"/>
      <c r="B85" s="11">
        <v>45684.0</v>
      </c>
      <c r="C85" s="12" t="s">
        <v>21</v>
      </c>
      <c r="D85" s="12" t="s">
        <v>22</v>
      </c>
      <c r="E85" s="17" t="s">
        <v>40</v>
      </c>
      <c r="F85" s="13">
        <v>0.0</v>
      </c>
      <c r="G85" s="31" t="s">
        <v>24</v>
      </c>
      <c r="H85" s="13">
        <v>2.0</v>
      </c>
      <c r="I85" s="17" t="s">
        <v>113</v>
      </c>
      <c r="J85" s="148"/>
      <c r="K85" s="149">
        <f t="shared" si="9"/>
        <v>0</v>
      </c>
      <c r="L85" s="150">
        <f t="shared" si="10"/>
        <v>3</v>
      </c>
      <c r="M85" s="148"/>
      <c r="AA85" s="35" t="s">
        <v>210</v>
      </c>
      <c r="AD85" s="37"/>
      <c r="AE85" s="37"/>
      <c r="AF85" s="3"/>
      <c r="AG85" s="3"/>
      <c r="AH85" s="3"/>
      <c r="AI85" s="3"/>
    </row>
    <row r="86" ht="15.75" customHeight="1">
      <c r="A86" s="65">
        <v>3.0</v>
      </c>
      <c r="B86" s="11">
        <v>45967.0</v>
      </c>
      <c r="C86" s="12" t="s">
        <v>30</v>
      </c>
      <c r="D86" s="12" t="s">
        <v>22</v>
      </c>
      <c r="E86" s="17" t="s">
        <v>167</v>
      </c>
      <c r="F86" s="13">
        <v>2.0</v>
      </c>
      <c r="G86" s="31" t="s">
        <v>24</v>
      </c>
      <c r="H86" s="13">
        <v>0.0</v>
      </c>
      <c r="I86" s="17" t="s">
        <v>64</v>
      </c>
      <c r="J86" s="148"/>
      <c r="K86" s="149">
        <f t="shared" si="9"/>
        <v>3</v>
      </c>
      <c r="L86" s="150">
        <f t="shared" si="10"/>
        <v>0</v>
      </c>
      <c r="M86" s="148"/>
      <c r="N86" s="148"/>
      <c r="O86" s="148"/>
      <c r="P86" s="148"/>
      <c r="Q86" s="148"/>
      <c r="R86" s="148"/>
      <c r="S86" s="148"/>
      <c r="T86" s="148"/>
      <c r="U86" s="148"/>
      <c r="V86" s="148"/>
      <c r="AA86" s="79" t="s">
        <v>101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30</v>
      </c>
      <c r="D87" s="12" t="s">
        <v>22</v>
      </c>
      <c r="E87" s="17" t="s">
        <v>39</v>
      </c>
      <c r="F87" s="13">
        <v>1.0</v>
      </c>
      <c r="G87" s="31" t="s">
        <v>24</v>
      </c>
      <c r="H87" s="13">
        <v>2.0</v>
      </c>
      <c r="I87" s="17" t="s">
        <v>143</v>
      </c>
      <c r="J87" s="148"/>
      <c r="K87" s="149">
        <f t="shared" si="9"/>
        <v>1</v>
      </c>
      <c r="L87" s="150">
        <f t="shared" si="10"/>
        <v>2</v>
      </c>
      <c r="M87" s="148"/>
      <c r="N87" s="148"/>
      <c r="O87" s="148"/>
      <c r="P87" s="148"/>
      <c r="Q87" s="148"/>
      <c r="R87" s="148"/>
      <c r="S87" s="148"/>
      <c r="T87" s="148"/>
      <c r="U87" s="148"/>
      <c r="V87" s="148"/>
      <c r="AA87" s="157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30</v>
      </c>
      <c r="D88" s="12" t="s">
        <v>22</v>
      </c>
      <c r="E88" s="17" t="s">
        <v>180</v>
      </c>
      <c r="F88" s="13">
        <v>2.0</v>
      </c>
      <c r="G88" s="31" t="s">
        <v>24</v>
      </c>
      <c r="H88" s="13">
        <v>0.0</v>
      </c>
      <c r="I88" s="17" t="s">
        <v>107</v>
      </c>
      <c r="J88" s="148"/>
      <c r="K88" s="149">
        <f t="shared" si="9"/>
        <v>3</v>
      </c>
      <c r="L88" s="150">
        <f t="shared" si="10"/>
        <v>0</v>
      </c>
      <c r="M88" s="148"/>
      <c r="N88" s="148"/>
      <c r="O88" s="148"/>
      <c r="P88" s="148"/>
      <c r="Q88" s="148"/>
      <c r="R88" s="148"/>
      <c r="S88" s="148"/>
      <c r="T88" s="148"/>
      <c r="U88" s="148"/>
      <c r="V88" s="148"/>
      <c r="AG88" s="3"/>
      <c r="AH88" s="3"/>
      <c r="AI88" s="3"/>
    </row>
    <row r="89" ht="15.75" customHeight="1">
      <c r="A89" s="25"/>
      <c r="B89" s="11">
        <v>45967.0</v>
      </c>
      <c r="C89" s="12" t="s">
        <v>35</v>
      </c>
      <c r="D89" s="12" t="s">
        <v>22</v>
      </c>
      <c r="E89" s="17" t="s">
        <v>209</v>
      </c>
      <c r="F89" s="13">
        <v>0.0</v>
      </c>
      <c r="G89" s="31" t="s">
        <v>24</v>
      </c>
      <c r="H89" s="13">
        <v>2.0</v>
      </c>
      <c r="I89" s="17" t="s">
        <v>68</v>
      </c>
      <c r="J89" s="158"/>
      <c r="K89" s="149">
        <f t="shared" si="9"/>
        <v>0</v>
      </c>
      <c r="L89" s="150">
        <f t="shared" si="10"/>
        <v>3</v>
      </c>
      <c r="M89" s="148"/>
      <c r="N89" s="148"/>
      <c r="O89" s="148"/>
      <c r="P89" s="148"/>
      <c r="R89" s="148"/>
      <c r="S89" s="148"/>
      <c r="T89" s="148"/>
      <c r="U89" s="148"/>
      <c r="V89" s="148"/>
      <c r="AG89" s="3"/>
      <c r="AH89" s="3"/>
      <c r="AI89" s="3"/>
    </row>
    <row r="90" ht="15.75" customHeight="1">
      <c r="A90" s="25"/>
      <c r="B90" s="11">
        <v>45967.0</v>
      </c>
      <c r="C90" s="12" t="s">
        <v>35</v>
      </c>
      <c r="D90" s="12" t="s">
        <v>22</v>
      </c>
      <c r="E90" s="17" t="s">
        <v>69</v>
      </c>
      <c r="F90" s="13">
        <v>0.0</v>
      </c>
      <c r="G90" s="31" t="s">
        <v>24</v>
      </c>
      <c r="H90" s="13">
        <v>2.0</v>
      </c>
      <c r="I90" s="17" t="s">
        <v>40</v>
      </c>
      <c r="J90" s="148"/>
      <c r="K90" s="149">
        <f t="shared" si="9"/>
        <v>0</v>
      </c>
      <c r="L90" s="150">
        <f t="shared" si="10"/>
        <v>3</v>
      </c>
      <c r="M90" s="148"/>
      <c r="N90" s="148"/>
      <c r="O90" s="148"/>
      <c r="P90" s="148"/>
      <c r="Q90" s="148"/>
      <c r="R90" s="148"/>
      <c r="S90" s="148"/>
      <c r="T90" s="148"/>
      <c r="U90" s="148"/>
      <c r="V90" s="148"/>
      <c r="AG90" s="3"/>
      <c r="AH90" s="3"/>
      <c r="AI90" s="3"/>
    </row>
    <row r="91" ht="15.75" customHeight="1">
      <c r="A91" s="29"/>
      <c r="B91" s="162"/>
      <c r="C91" s="164"/>
      <c r="D91" s="164"/>
      <c r="E91" s="17">
        <v>0.0</v>
      </c>
      <c r="F91" s="31"/>
      <c r="G91" s="31" t="s">
        <v>24</v>
      </c>
      <c r="H91" s="31"/>
      <c r="I91" s="17" t="s">
        <v>113</v>
      </c>
      <c r="J91" s="148"/>
      <c r="K91" s="149" t="str">
        <f t="shared" si="9"/>
        <v/>
      </c>
      <c r="L91" s="150" t="str">
        <f t="shared" si="10"/>
        <v/>
      </c>
      <c r="M91" s="148"/>
      <c r="N91" s="148"/>
      <c r="O91" s="148"/>
      <c r="P91" s="148"/>
      <c r="Q91" s="148"/>
      <c r="R91" s="148"/>
      <c r="S91" s="148"/>
      <c r="T91" s="148"/>
      <c r="U91" s="148"/>
      <c r="V91" s="148"/>
      <c r="AG91" s="3"/>
      <c r="AH91" s="3"/>
      <c r="AI91" s="3"/>
    </row>
    <row r="92" ht="15.75" customHeight="1">
      <c r="A92" s="143">
        <v>4.0</v>
      </c>
      <c r="B92" s="11"/>
      <c r="C92" s="12"/>
      <c r="D92" s="12"/>
      <c r="E92" s="17" t="s">
        <v>64</v>
      </c>
      <c r="F92" s="31"/>
      <c r="G92" s="31" t="s">
        <v>24</v>
      </c>
      <c r="H92" s="31"/>
      <c r="I92" s="17">
        <v>0.0</v>
      </c>
      <c r="J92" s="148"/>
      <c r="K92" s="149" t="str">
        <f t="shared" si="9"/>
        <v/>
      </c>
      <c r="L92" s="150" t="str">
        <f t="shared" si="10"/>
        <v/>
      </c>
      <c r="M92" s="148"/>
      <c r="N92" s="148"/>
      <c r="O92" s="148"/>
      <c r="P92" s="148"/>
      <c r="Q92" s="148"/>
      <c r="R92" s="148"/>
      <c r="S92" s="148"/>
      <c r="T92" s="148"/>
      <c r="U92" s="148"/>
      <c r="V92" s="148"/>
      <c r="AG92" s="3"/>
      <c r="AH92" s="3"/>
      <c r="AI92" s="3"/>
    </row>
    <row r="93" ht="15.75" customHeight="1">
      <c r="A93" s="25"/>
      <c r="B93" s="11">
        <v>45981.0</v>
      </c>
      <c r="C93" s="12" t="s">
        <v>49</v>
      </c>
      <c r="D93" s="12" t="s">
        <v>22</v>
      </c>
      <c r="E93" s="17" t="s">
        <v>143</v>
      </c>
      <c r="F93" s="13">
        <v>2.0</v>
      </c>
      <c r="G93" s="31" t="s">
        <v>24</v>
      </c>
      <c r="H93" s="13">
        <v>1.0</v>
      </c>
      <c r="I93" s="17" t="s">
        <v>167</v>
      </c>
      <c r="J93" s="148"/>
      <c r="K93" s="149">
        <f t="shared" si="9"/>
        <v>2</v>
      </c>
      <c r="L93" s="150">
        <f t="shared" si="10"/>
        <v>1</v>
      </c>
      <c r="M93" s="148"/>
      <c r="N93" s="148"/>
      <c r="O93" s="148"/>
      <c r="P93" s="148"/>
      <c r="Q93" s="148"/>
      <c r="R93" s="148"/>
      <c r="S93" s="148"/>
      <c r="T93" s="148"/>
      <c r="U93" s="148"/>
      <c r="V93" s="148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49</v>
      </c>
      <c r="D94" s="12" t="s">
        <v>22</v>
      </c>
      <c r="E94" s="17" t="s">
        <v>107</v>
      </c>
      <c r="F94" s="13">
        <v>2.0</v>
      </c>
      <c r="G94" s="31" t="s">
        <v>24</v>
      </c>
      <c r="H94" s="13">
        <v>0.0</v>
      </c>
      <c r="I94" s="17" t="s">
        <v>39</v>
      </c>
      <c r="J94" s="148"/>
      <c r="K94" s="149">
        <f t="shared" si="9"/>
        <v>3</v>
      </c>
      <c r="L94" s="150">
        <f t="shared" si="10"/>
        <v>0</v>
      </c>
      <c r="M94" s="148"/>
      <c r="N94" s="148"/>
      <c r="O94" s="148"/>
      <c r="P94" s="148"/>
      <c r="Q94" s="148"/>
      <c r="R94" s="148"/>
      <c r="S94" s="148"/>
      <c r="T94" s="148"/>
      <c r="U94" s="148"/>
      <c r="V94" s="148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49</v>
      </c>
      <c r="D95" s="12" t="s">
        <v>22</v>
      </c>
      <c r="E95" s="17" t="s">
        <v>68</v>
      </c>
      <c r="F95" s="13">
        <v>1.0</v>
      </c>
      <c r="G95" s="31" t="s">
        <v>24</v>
      </c>
      <c r="H95" s="13">
        <v>2.0</v>
      </c>
      <c r="I95" s="17" t="s">
        <v>180</v>
      </c>
      <c r="J95" s="148"/>
      <c r="K95" s="149">
        <f t="shared" si="9"/>
        <v>1</v>
      </c>
      <c r="L95" s="150">
        <f t="shared" si="10"/>
        <v>2</v>
      </c>
      <c r="M95" s="148"/>
      <c r="N95" s="148"/>
      <c r="O95" s="148"/>
      <c r="P95" s="148"/>
      <c r="Q95" s="148"/>
      <c r="R95" s="148"/>
      <c r="S95" s="148"/>
      <c r="T95" s="148"/>
      <c r="U95" s="148"/>
      <c r="V95" s="148"/>
      <c r="AA95" s="3"/>
      <c r="AB95" s="147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21</v>
      </c>
      <c r="D96" s="12" t="s">
        <v>22</v>
      </c>
      <c r="E96" s="17" t="s">
        <v>40</v>
      </c>
      <c r="F96" s="13">
        <v>0.0</v>
      </c>
      <c r="G96" s="31" t="s">
        <v>24</v>
      </c>
      <c r="H96" s="13">
        <v>2.0</v>
      </c>
      <c r="I96" s="17" t="s">
        <v>209</v>
      </c>
      <c r="J96" s="148"/>
      <c r="K96" s="149">
        <f t="shared" si="9"/>
        <v>0</v>
      </c>
      <c r="L96" s="150">
        <f t="shared" si="10"/>
        <v>3</v>
      </c>
      <c r="M96" s="148"/>
      <c r="N96" s="148"/>
      <c r="O96" s="148"/>
      <c r="P96" s="148"/>
      <c r="Q96" s="148"/>
      <c r="R96" s="148"/>
      <c r="S96" s="148"/>
      <c r="T96" s="148"/>
      <c r="U96" s="148"/>
      <c r="V96" s="148"/>
      <c r="AA96" s="3"/>
      <c r="AB96" s="147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21</v>
      </c>
      <c r="D97" s="12" t="s">
        <v>22</v>
      </c>
      <c r="E97" s="17" t="s">
        <v>113</v>
      </c>
      <c r="F97" s="13">
        <v>2.0</v>
      </c>
      <c r="G97" s="31" t="s">
        <v>24</v>
      </c>
      <c r="H97" s="13">
        <v>1.0</v>
      </c>
      <c r="I97" s="17" t="s">
        <v>69</v>
      </c>
      <c r="J97" s="148"/>
      <c r="K97" s="149">
        <f t="shared" si="9"/>
        <v>2</v>
      </c>
      <c r="L97" s="150">
        <f t="shared" si="10"/>
        <v>1</v>
      </c>
      <c r="M97" s="148"/>
      <c r="N97" s="148"/>
      <c r="O97" s="148"/>
      <c r="P97" s="148"/>
      <c r="Q97" s="148"/>
      <c r="R97" s="148"/>
      <c r="S97" s="148"/>
      <c r="T97" s="148"/>
      <c r="U97" s="148"/>
      <c r="V97" s="148"/>
      <c r="AA97" s="3"/>
      <c r="AB97" s="147"/>
      <c r="AC97" s="3"/>
      <c r="AD97" s="3"/>
      <c r="AE97" s="3"/>
      <c r="AF97" s="3"/>
      <c r="AG97" s="3"/>
      <c r="AH97" s="3"/>
      <c r="AI97" s="3"/>
    </row>
    <row r="98" ht="15.75" customHeight="1">
      <c r="A98" s="65">
        <v>5.0</v>
      </c>
      <c r="B98" s="11">
        <v>46001.0</v>
      </c>
      <c r="C98" s="66" t="s">
        <v>155</v>
      </c>
      <c r="D98" s="12" t="s">
        <v>22</v>
      </c>
      <c r="E98" s="17" t="s">
        <v>64</v>
      </c>
      <c r="F98" s="13">
        <v>2.0</v>
      </c>
      <c r="G98" s="31" t="s">
        <v>24</v>
      </c>
      <c r="H98" s="13">
        <v>0.0</v>
      </c>
      <c r="I98" s="17" t="s">
        <v>143</v>
      </c>
      <c r="J98" s="148"/>
      <c r="K98" s="149">
        <f t="shared" si="9"/>
        <v>3</v>
      </c>
      <c r="L98" s="150">
        <f t="shared" si="10"/>
        <v>0</v>
      </c>
      <c r="M98" s="148"/>
      <c r="N98" s="148"/>
      <c r="O98" s="148"/>
      <c r="P98" s="148"/>
      <c r="Q98" s="148"/>
      <c r="R98" s="148"/>
      <c r="S98" s="148"/>
      <c r="T98" s="148"/>
      <c r="U98" s="148"/>
      <c r="V98" s="148"/>
      <c r="AA98" s="3"/>
      <c r="AB98" s="147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211</v>
      </c>
      <c r="D99" s="12" t="s">
        <v>22</v>
      </c>
      <c r="E99" s="17" t="s">
        <v>167</v>
      </c>
      <c r="F99" s="159">
        <v>2.0</v>
      </c>
      <c r="G99" s="31" t="s">
        <v>24</v>
      </c>
      <c r="H99" s="13">
        <v>0.0</v>
      </c>
      <c r="I99" s="17" t="s">
        <v>107</v>
      </c>
      <c r="J99" s="148"/>
      <c r="K99" s="149">
        <f t="shared" si="9"/>
        <v>3</v>
      </c>
      <c r="L99" s="150">
        <f t="shared" si="10"/>
        <v>0</v>
      </c>
      <c r="M99" s="148"/>
      <c r="N99" s="148"/>
      <c r="O99" s="148"/>
      <c r="P99" s="148"/>
      <c r="Q99" s="148"/>
      <c r="R99" s="148"/>
      <c r="S99" s="148"/>
      <c r="T99" s="148"/>
      <c r="U99" s="148"/>
      <c r="V99" s="148"/>
      <c r="AA99" s="3"/>
      <c r="AB99" s="147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158</v>
      </c>
      <c r="D100" s="12" t="s">
        <v>22</v>
      </c>
      <c r="E100" s="17" t="s">
        <v>39</v>
      </c>
      <c r="F100" s="159">
        <v>1.0</v>
      </c>
      <c r="G100" s="31" t="s">
        <v>24</v>
      </c>
      <c r="H100" s="13">
        <v>2.0</v>
      </c>
      <c r="I100" s="17" t="s">
        <v>68</v>
      </c>
      <c r="J100" s="148"/>
      <c r="K100" s="149">
        <f t="shared" si="9"/>
        <v>1</v>
      </c>
      <c r="L100" s="150">
        <f t="shared" si="10"/>
        <v>2</v>
      </c>
      <c r="M100" s="148"/>
      <c r="N100" s="148"/>
      <c r="O100" s="148"/>
      <c r="P100" s="148"/>
      <c r="Q100" s="148"/>
      <c r="R100" s="148"/>
      <c r="S100" s="148"/>
      <c r="T100" s="148"/>
      <c r="U100" s="148"/>
      <c r="V100" s="148"/>
      <c r="AA100" s="3"/>
      <c r="AB100" s="147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158</v>
      </c>
      <c r="D101" s="12" t="s">
        <v>22</v>
      </c>
      <c r="E101" s="17" t="s">
        <v>180</v>
      </c>
      <c r="F101" s="159">
        <v>2.0</v>
      </c>
      <c r="G101" s="31" t="s">
        <v>24</v>
      </c>
      <c r="H101" s="13">
        <v>0.0</v>
      </c>
      <c r="I101" s="17" t="s">
        <v>40</v>
      </c>
      <c r="J101" s="148"/>
      <c r="K101" s="149">
        <f t="shared" si="9"/>
        <v>3</v>
      </c>
      <c r="L101" s="150">
        <f t="shared" si="10"/>
        <v>0</v>
      </c>
      <c r="M101" s="148"/>
      <c r="N101" s="148"/>
      <c r="O101" s="148"/>
      <c r="P101" s="148"/>
      <c r="Q101" s="148"/>
      <c r="R101" s="148"/>
      <c r="S101" s="148"/>
      <c r="T101" s="148"/>
      <c r="U101" s="148"/>
      <c r="V101" s="148"/>
      <c r="AA101" s="3"/>
      <c r="AB101" s="147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158</v>
      </c>
      <c r="D102" s="12" t="s">
        <v>22</v>
      </c>
      <c r="E102" s="17" t="s">
        <v>209</v>
      </c>
      <c r="F102" s="159">
        <v>1.0</v>
      </c>
      <c r="G102" s="31" t="s">
        <v>24</v>
      </c>
      <c r="H102" s="13">
        <v>2.0</v>
      </c>
      <c r="I102" s="17" t="s">
        <v>113</v>
      </c>
      <c r="J102" s="148"/>
      <c r="K102" s="149">
        <f t="shared" si="9"/>
        <v>1</v>
      </c>
      <c r="L102" s="150">
        <f t="shared" si="10"/>
        <v>2</v>
      </c>
      <c r="M102" s="148"/>
      <c r="N102" s="148"/>
      <c r="O102" s="148"/>
      <c r="P102" s="148"/>
      <c r="Q102" s="148"/>
      <c r="R102" s="148"/>
      <c r="S102" s="148"/>
      <c r="T102" s="148"/>
      <c r="U102" s="148"/>
      <c r="V102" s="148"/>
      <c r="AA102" s="3"/>
      <c r="AB102" s="147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62"/>
      <c r="C103" s="164"/>
      <c r="D103" s="164"/>
      <c r="E103" s="17">
        <v>0.0</v>
      </c>
      <c r="F103" s="164"/>
      <c r="G103" s="31" t="s">
        <v>24</v>
      </c>
      <c r="H103" s="31"/>
      <c r="I103" s="17" t="s">
        <v>69</v>
      </c>
      <c r="J103" s="148"/>
      <c r="K103" s="149" t="str">
        <f t="shared" si="9"/>
        <v/>
      </c>
      <c r="L103" s="150" t="str">
        <f t="shared" si="10"/>
        <v/>
      </c>
      <c r="M103" s="148"/>
      <c r="N103" s="148"/>
      <c r="O103" s="148"/>
      <c r="P103" s="148"/>
      <c r="Q103" s="148"/>
      <c r="R103" s="148"/>
      <c r="S103" s="148"/>
      <c r="T103" s="148"/>
      <c r="U103" s="148"/>
      <c r="V103" s="148"/>
      <c r="AA103" s="3"/>
      <c r="AB103" s="147"/>
      <c r="AC103" s="3"/>
      <c r="AD103" s="3"/>
      <c r="AE103" s="3"/>
      <c r="AF103" s="3"/>
      <c r="AG103" s="3"/>
      <c r="AH103" s="3"/>
      <c r="AI103" s="3"/>
    </row>
    <row r="104" ht="15.75" customHeight="1">
      <c r="A104" s="65">
        <v>6.0</v>
      </c>
      <c r="B104" s="162"/>
      <c r="C104" s="163"/>
      <c r="D104" s="164"/>
      <c r="E104" s="17" t="s">
        <v>143</v>
      </c>
      <c r="F104" s="31"/>
      <c r="G104" s="31" t="s">
        <v>24</v>
      </c>
      <c r="H104" s="31"/>
      <c r="I104" s="17">
        <v>0.0</v>
      </c>
      <c r="J104" s="148"/>
      <c r="K104" s="149" t="str">
        <f t="shared" si="9"/>
        <v/>
      </c>
      <c r="L104" s="150" t="str">
        <f t="shared" si="10"/>
        <v/>
      </c>
      <c r="M104" s="148"/>
      <c r="N104" s="148"/>
      <c r="O104" s="148"/>
      <c r="P104" s="148"/>
      <c r="Q104" s="148"/>
      <c r="R104" s="148"/>
      <c r="S104" s="148"/>
      <c r="T104" s="148"/>
      <c r="U104" s="148"/>
      <c r="V104" s="148"/>
      <c r="AA104" s="3"/>
      <c r="AB104" s="147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6" t="s">
        <v>155</v>
      </c>
      <c r="D105" s="12" t="s">
        <v>22</v>
      </c>
      <c r="E105" s="17" t="s">
        <v>107</v>
      </c>
      <c r="F105" s="13">
        <v>1.0</v>
      </c>
      <c r="G105" s="31" t="s">
        <v>24</v>
      </c>
      <c r="H105" s="13">
        <v>2.0</v>
      </c>
      <c r="I105" s="17" t="s">
        <v>64</v>
      </c>
      <c r="J105" s="148"/>
      <c r="K105" s="149">
        <f t="shared" si="9"/>
        <v>1</v>
      </c>
      <c r="L105" s="150">
        <f t="shared" si="10"/>
        <v>2</v>
      </c>
      <c r="M105" s="148"/>
      <c r="N105" s="148"/>
      <c r="O105" s="148"/>
      <c r="P105" s="148"/>
      <c r="Q105" s="148"/>
      <c r="R105" s="148"/>
      <c r="S105" s="148"/>
      <c r="T105" s="148"/>
      <c r="U105" s="148"/>
      <c r="V105" s="148"/>
      <c r="AA105" s="3"/>
      <c r="AB105" s="147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6" t="s">
        <v>155</v>
      </c>
      <c r="D106" s="12" t="s">
        <v>22</v>
      </c>
      <c r="E106" s="17" t="s">
        <v>68</v>
      </c>
      <c r="F106" s="13">
        <v>2.0</v>
      </c>
      <c r="G106" s="31" t="s">
        <v>24</v>
      </c>
      <c r="H106" s="13">
        <v>1.0</v>
      </c>
      <c r="I106" s="17" t="s">
        <v>167</v>
      </c>
      <c r="J106" s="148"/>
      <c r="K106" s="149">
        <f t="shared" si="9"/>
        <v>2</v>
      </c>
      <c r="L106" s="150">
        <f t="shared" si="10"/>
        <v>1</v>
      </c>
      <c r="M106" s="148"/>
      <c r="N106" s="148"/>
      <c r="O106" s="148"/>
      <c r="P106" s="148"/>
      <c r="Q106" s="148"/>
      <c r="R106" s="148"/>
      <c r="S106" s="148"/>
      <c r="T106" s="148"/>
      <c r="U106" s="148"/>
      <c r="V106" s="148"/>
      <c r="AA106" s="3"/>
      <c r="AB106" s="147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6" t="s">
        <v>155</v>
      </c>
      <c r="D107" s="12" t="s">
        <v>22</v>
      </c>
      <c r="E107" s="17" t="s">
        <v>40</v>
      </c>
      <c r="F107" s="13">
        <v>2.0</v>
      </c>
      <c r="G107" s="31" t="s">
        <v>24</v>
      </c>
      <c r="H107" s="13">
        <v>1.0</v>
      </c>
      <c r="I107" s="17" t="s">
        <v>39</v>
      </c>
      <c r="J107" s="148"/>
      <c r="K107" s="149">
        <f t="shared" si="9"/>
        <v>2</v>
      </c>
      <c r="L107" s="150">
        <f t="shared" si="10"/>
        <v>1</v>
      </c>
      <c r="M107" s="148"/>
      <c r="N107" s="148"/>
      <c r="O107" s="148"/>
      <c r="P107" s="148"/>
      <c r="Q107" s="148"/>
      <c r="R107" s="148"/>
      <c r="S107" s="148"/>
      <c r="T107" s="148"/>
      <c r="U107" s="148"/>
      <c r="V107" s="148"/>
      <c r="AA107" s="3"/>
      <c r="AB107" s="147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158</v>
      </c>
      <c r="D108" s="12" t="s">
        <v>22</v>
      </c>
      <c r="E108" s="17" t="s">
        <v>113</v>
      </c>
      <c r="F108" s="13">
        <v>1.0</v>
      </c>
      <c r="G108" s="31" t="s">
        <v>24</v>
      </c>
      <c r="H108" s="13">
        <v>2.0</v>
      </c>
      <c r="I108" s="17" t="s">
        <v>180</v>
      </c>
      <c r="J108" s="148"/>
      <c r="K108" s="149">
        <f t="shared" si="9"/>
        <v>1</v>
      </c>
      <c r="L108" s="150">
        <f t="shared" si="10"/>
        <v>2</v>
      </c>
      <c r="M108" s="148"/>
      <c r="N108" s="148"/>
      <c r="O108" s="148"/>
      <c r="P108" s="148"/>
      <c r="Q108" s="148"/>
      <c r="R108" s="148"/>
      <c r="S108" s="148"/>
      <c r="T108" s="148"/>
      <c r="U108" s="148"/>
      <c r="V108" s="148"/>
      <c r="AA108" s="3"/>
      <c r="AB108" s="147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158</v>
      </c>
      <c r="D109" s="12" t="s">
        <v>22</v>
      </c>
      <c r="E109" s="17" t="s">
        <v>69</v>
      </c>
      <c r="F109" s="13">
        <v>0.0</v>
      </c>
      <c r="G109" s="31" t="s">
        <v>24</v>
      </c>
      <c r="H109" s="13">
        <v>2.0</v>
      </c>
      <c r="I109" s="17" t="s">
        <v>209</v>
      </c>
      <c r="J109" s="148"/>
      <c r="K109" s="149">
        <f t="shared" si="9"/>
        <v>0</v>
      </c>
      <c r="L109" s="150">
        <f t="shared" si="10"/>
        <v>3</v>
      </c>
      <c r="M109" s="148"/>
      <c r="N109" s="148"/>
      <c r="O109" s="148"/>
      <c r="P109" s="148"/>
      <c r="Q109" s="148"/>
      <c r="R109" s="148"/>
      <c r="S109" s="148"/>
      <c r="T109" s="148"/>
      <c r="U109" s="148"/>
      <c r="V109" s="148"/>
      <c r="AA109" s="3"/>
      <c r="AB109" s="147"/>
      <c r="AC109" s="3"/>
      <c r="AD109" s="3"/>
      <c r="AE109" s="3"/>
      <c r="AF109" s="3"/>
      <c r="AG109" s="3"/>
      <c r="AH109" s="3"/>
      <c r="AI109" s="3"/>
    </row>
    <row r="110" ht="15.75" customHeight="1">
      <c r="A110" s="65">
        <v>7.0</v>
      </c>
      <c r="B110" s="11">
        <v>46071.0</v>
      </c>
      <c r="C110" s="12" t="s">
        <v>158</v>
      </c>
      <c r="D110" s="12" t="s">
        <v>22</v>
      </c>
      <c r="E110" s="17" t="s">
        <v>143</v>
      </c>
      <c r="F110" s="13">
        <v>1.0</v>
      </c>
      <c r="G110" s="31" t="s">
        <v>24</v>
      </c>
      <c r="H110" s="13">
        <v>2.0</v>
      </c>
      <c r="I110" s="17" t="s">
        <v>107</v>
      </c>
      <c r="J110" s="148"/>
      <c r="K110" s="149">
        <f t="shared" si="9"/>
        <v>1</v>
      </c>
      <c r="L110" s="150">
        <f t="shared" si="10"/>
        <v>2</v>
      </c>
      <c r="M110" s="148"/>
      <c r="N110" s="148"/>
      <c r="O110" s="148"/>
      <c r="P110" s="148"/>
      <c r="Q110" s="148"/>
      <c r="R110" s="148"/>
      <c r="S110" s="148"/>
      <c r="T110" s="148"/>
      <c r="U110" s="148"/>
      <c r="V110" s="148"/>
      <c r="AA110" s="3"/>
      <c r="AB110" s="147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6" t="s">
        <v>121</v>
      </c>
      <c r="D111" s="12" t="s">
        <v>22</v>
      </c>
      <c r="E111" s="17" t="s">
        <v>64</v>
      </c>
      <c r="F111" s="13">
        <v>0.0</v>
      </c>
      <c r="G111" s="31" t="s">
        <v>24</v>
      </c>
      <c r="H111" s="13">
        <v>2.0</v>
      </c>
      <c r="I111" s="17" t="s">
        <v>68</v>
      </c>
      <c r="J111" s="148"/>
      <c r="K111" s="149">
        <f t="shared" si="9"/>
        <v>0</v>
      </c>
      <c r="L111" s="150">
        <f t="shared" si="10"/>
        <v>3</v>
      </c>
      <c r="M111" s="148"/>
      <c r="N111" s="148"/>
      <c r="O111" s="148"/>
      <c r="P111" s="148"/>
      <c r="Q111" s="148"/>
      <c r="R111" s="148"/>
      <c r="S111" s="148"/>
      <c r="T111" s="148"/>
      <c r="U111" s="148"/>
      <c r="V111" s="148"/>
      <c r="AA111" s="3"/>
      <c r="AB111" s="147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6" t="s">
        <v>121</v>
      </c>
      <c r="D112" s="39" t="s">
        <v>22</v>
      </c>
      <c r="E112" s="17" t="s">
        <v>167</v>
      </c>
      <c r="F112" s="13">
        <v>0.0</v>
      </c>
      <c r="G112" s="31" t="s">
        <v>24</v>
      </c>
      <c r="H112" s="13">
        <v>2.0</v>
      </c>
      <c r="I112" s="17" t="s">
        <v>40</v>
      </c>
      <c r="J112" s="148"/>
      <c r="K112" s="149">
        <f t="shared" si="9"/>
        <v>0</v>
      </c>
      <c r="L112" s="150">
        <f t="shared" si="10"/>
        <v>3</v>
      </c>
      <c r="M112" s="148"/>
      <c r="N112" s="148"/>
      <c r="O112" s="148"/>
      <c r="P112" s="148"/>
      <c r="Q112" s="148"/>
      <c r="R112" s="148"/>
      <c r="S112" s="148"/>
      <c r="T112" s="148"/>
      <c r="U112" s="148"/>
      <c r="V112" s="148"/>
      <c r="AA112" s="3"/>
      <c r="AB112" s="147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6" t="s">
        <v>121</v>
      </c>
      <c r="D113" s="12" t="s">
        <v>22</v>
      </c>
      <c r="E113" s="17" t="s">
        <v>39</v>
      </c>
      <c r="F113" s="13">
        <v>0.0</v>
      </c>
      <c r="G113" s="31" t="s">
        <v>24</v>
      </c>
      <c r="H113" s="13">
        <v>2.0</v>
      </c>
      <c r="I113" s="17" t="s">
        <v>113</v>
      </c>
      <c r="J113" s="148"/>
      <c r="K113" s="149">
        <f t="shared" si="9"/>
        <v>0</v>
      </c>
      <c r="L113" s="150">
        <f t="shared" si="10"/>
        <v>3</v>
      </c>
      <c r="M113" s="148"/>
      <c r="N113" s="148"/>
      <c r="O113" s="148"/>
      <c r="P113" s="148"/>
      <c r="Q113" s="148"/>
      <c r="R113" s="148"/>
      <c r="S113" s="148"/>
      <c r="T113" s="148"/>
      <c r="U113" s="148"/>
      <c r="V113" s="148"/>
      <c r="AA113" s="3"/>
      <c r="AB113" s="147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46147.0</v>
      </c>
      <c r="C114" s="66" t="s">
        <v>49</v>
      </c>
      <c r="D114" s="12" t="s">
        <v>22</v>
      </c>
      <c r="E114" s="17" t="s">
        <v>180</v>
      </c>
      <c r="F114" s="13">
        <v>2.0</v>
      </c>
      <c r="G114" s="31" t="s">
        <v>24</v>
      </c>
      <c r="H114" s="13">
        <v>0.0</v>
      </c>
      <c r="I114" s="17" t="s">
        <v>69</v>
      </c>
      <c r="J114" s="148"/>
      <c r="K114" s="149">
        <f t="shared" si="9"/>
        <v>3</v>
      </c>
      <c r="L114" s="150">
        <f t="shared" si="10"/>
        <v>0</v>
      </c>
      <c r="M114" s="148"/>
      <c r="N114" s="148"/>
      <c r="O114" s="148"/>
      <c r="P114" s="148"/>
      <c r="Q114" s="148"/>
      <c r="R114" s="148"/>
      <c r="S114" s="148"/>
      <c r="T114" s="148"/>
      <c r="U114" s="148"/>
      <c r="V114" s="148"/>
      <c r="AA114" s="3"/>
      <c r="AB114" s="147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62"/>
      <c r="C115" s="164"/>
      <c r="D115" s="164"/>
      <c r="E115" s="17">
        <v>0.0</v>
      </c>
      <c r="F115" s="31"/>
      <c r="G115" s="31" t="s">
        <v>24</v>
      </c>
      <c r="H115" s="31"/>
      <c r="I115" s="17" t="s">
        <v>209</v>
      </c>
      <c r="J115" s="148"/>
      <c r="K115" s="149" t="str">
        <f t="shared" si="9"/>
        <v/>
      </c>
      <c r="L115" s="150" t="str">
        <f t="shared" si="10"/>
        <v/>
      </c>
      <c r="M115" s="148"/>
      <c r="N115" s="148"/>
      <c r="O115" s="148"/>
      <c r="P115" s="148"/>
      <c r="Q115" s="148"/>
      <c r="R115" s="148"/>
      <c r="S115" s="148"/>
      <c r="T115" s="148"/>
      <c r="U115" s="148"/>
      <c r="V115" s="148"/>
      <c r="AA115" s="3"/>
      <c r="AB115" s="147"/>
      <c r="AC115" s="3"/>
      <c r="AD115" s="3"/>
      <c r="AE115" s="3"/>
      <c r="AF115" s="3"/>
      <c r="AG115" s="3"/>
      <c r="AH115" s="3"/>
      <c r="AI115" s="3"/>
    </row>
    <row r="116" ht="15.75" customHeight="1">
      <c r="A116" s="65">
        <v>8.0</v>
      </c>
      <c r="B116" s="162"/>
      <c r="C116" s="163"/>
      <c r="D116" s="164"/>
      <c r="E116" s="17" t="s">
        <v>107</v>
      </c>
      <c r="F116" s="31"/>
      <c r="G116" s="31" t="s">
        <v>24</v>
      </c>
      <c r="H116" s="31"/>
      <c r="I116" s="17">
        <v>0.0</v>
      </c>
      <c r="J116" s="148"/>
      <c r="K116" s="149" t="str">
        <f t="shared" si="9"/>
        <v/>
      </c>
      <c r="L116" s="150" t="str">
        <f t="shared" si="10"/>
        <v/>
      </c>
      <c r="M116" s="148"/>
      <c r="N116" s="148"/>
      <c r="O116" s="148"/>
      <c r="P116" s="148"/>
      <c r="Q116" s="148"/>
      <c r="R116" s="148"/>
      <c r="S116" s="148"/>
      <c r="T116" s="148"/>
      <c r="U116" s="148"/>
      <c r="V116" s="148"/>
      <c r="AA116" s="3"/>
      <c r="AB116" s="147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156</v>
      </c>
      <c r="D117" s="12" t="s">
        <v>22</v>
      </c>
      <c r="E117" s="17" t="s">
        <v>68</v>
      </c>
      <c r="F117" s="13">
        <v>2.0</v>
      </c>
      <c r="G117" s="31" t="s">
        <v>24</v>
      </c>
      <c r="H117" s="13">
        <v>0.0</v>
      </c>
      <c r="I117" s="17" t="s">
        <v>143</v>
      </c>
      <c r="J117" s="148"/>
      <c r="K117" s="149">
        <f t="shared" si="9"/>
        <v>3</v>
      </c>
      <c r="L117" s="150">
        <f t="shared" si="10"/>
        <v>0</v>
      </c>
      <c r="M117" s="148"/>
      <c r="N117" s="148"/>
      <c r="O117" s="148"/>
      <c r="P117" s="148"/>
      <c r="Q117" s="148"/>
      <c r="R117" s="148"/>
      <c r="S117" s="148"/>
      <c r="T117" s="148"/>
      <c r="U117" s="148"/>
      <c r="V117" s="148"/>
      <c r="AA117" s="3"/>
      <c r="AB117" s="147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156</v>
      </c>
      <c r="D118" s="12" t="s">
        <v>22</v>
      </c>
      <c r="E118" s="17" t="s">
        <v>40</v>
      </c>
      <c r="F118" s="13">
        <v>0.0</v>
      </c>
      <c r="G118" s="31" t="s">
        <v>24</v>
      </c>
      <c r="H118" s="13">
        <v>2.0</v>
      </c>
      <c r="I118" s="17" t="s">
        <v>64</v>
      </c>
      <c r="J118" s="148"/>
      <c r="K118" s="149">
        <f t="shared" si="9"/>
        <v>0</v>
      </c>
      <c r="L118" s="150">
        <f t="shared" si="10"/>
        <v>3</v>
      </c>
      <c r="M118" s="148"/>
      <c r="N118" s="148"/>
      <c r="O118" s="148"/>
      <c r="P118" s="148"/>
      <c r="Q118" s="148"/>
      <c r="R118" s="148"/>
      <c r="S118" s="148"/>
      <c r="T118" s="148"/>
      <c r="U118" s="148"/>
      <c r="V118" s="148"/>
      <c r="AA118" s="3"/>
      <c r="AB118" s="147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6" t="s">
        <v>49</v>
      </c>
      <c r="D119" s="12" t="s">
        <v>22</v>
      </c>
      <c r="E119" s="17" t="s">
        <v>113</v>
      </c>
      <c r="F119" s="13">
        <v>0.0</v>
      </c>
      <c r="G119" s="31" t="s">
        <v>24</v>
      </c>
      <c r="H119" s="13">
        <v>2.0</v>
      </c>
      <c r="I119" s="17" t="s">
        <v>167</v>
      </c>
      <c r="J119" s="148"/>
      <c r="K119" s="149">
        <f t="shared" si="9"/>
        <v>0</v>
      </c>
      <c r="L119" s="150">
        <f t="shared" si="10"/>
        <v>3</v>
      </c>
      <c r="M119" s="148"/>
      <c r="N119" s="148"/>
      <c r="O119" s="148"/>
      <c r="P119" s="148"/>
      <c r="Q119" s="148"/>
      <c r="R119" s="148"/>
      <c r="S119" s="148"/>
      <c r="T119" s="148"/>
      <c r="U119" s="148"/>
      <c r="V119" s="148"/>
      <c r="AA119" s="3"/>
      <c r="AB119" s="147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6" t="s">
        <v>49</v>
      </c>
      <c r="D120" s="12" t="s">
        <v>22</v>
      </c>
      <c r="E120" s="17" t="s">
        <v>69</v>
      </c>
      <c r="F120" s="13">
        <v>0.0</v>
      </c>
      <c r="G120" s="31" t="s">
        <v>24</v>
      </c>
      <c r="H120" s="13">
        <v>2.0</v>
      </c>
      <c r="I120" s="17" t="s">
        <v>39</v>
      </c>
      <c r="J120" s="148"/>
      <c r="K120" s="149">
        <f t="shared" si="9"/>
        <v>0</v>
      </c>
      <c r="L120" s="150">
        <f t="shared" si="10"/>
        <v>3</v>
      </c>
      <c r="M120" s="148"/>
      <c r="N120" s="148"/>
      <c r="O120" s="148"/>
      <c r="P120" s="148"/>
      <c r="Q120" s="148"/>
      <c r="R120" s="148"/>
      <c r="S120" s="148"/>
      <c r="T120" s="148"/>
      <c r="U120" s="148"/>
      <c r="V120" s="148"/>
      <c r="AA120" s="3"/>
      <c r="AB120" s="147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6" t="s">
        <v>49</v>
      </c>
      <c r="D121" s="12" t="s">
        <v>22</v>
      </c>
      <c r="E121" s="17" t="s">
        <v>209</v>
      </c>
      <c r="F121" s="13">
        <v>0.0</v>
      </c>
      <c r="G121" s="31" t="s">
        <v>24</v>
      </c>
      <c r="H121" s="13">
        <v>2.0</v>
      </c>
      <c r="I121" s="17" t="s">
        <v>180</v>
      </c>
      <c r="J121" s="148"/>
      <c r="K121" s="149">
        <f t="shared" si="9"/>
        <v>0</v>
      </c>
      <c r="L121" s="150">
        <f t="shared" si="10"/>
        <v>3</v>
      </c>
      <c r="M121" s="148"/>
      <c r="N121" s="148"/>
      <c r="O121" s="148"/>
      <c r="P121" s="148"/>
      <c r="Q121" s="148"/>
      <c r="R121" s="148"/>
      <c r="S121" s="148"/>
      <c r="T121" s="148"/>
      <c r="U121" s="148"/>
      <c r="V121" s="148"/>
      <c r="AA121" s="3"/>
      <c r="AB121" s="147"/>
      <c r="AC121" s="3"/>
      <c r="AD121" s="3"/>
      <c r="AE121" s="3"/>
      <c r="AF121" s="3"/>
      <c r="AG121" s="3"/>
      <c r="AH121" s="3"/>
      <c r="AI121" s="3"/>
    </row>
    <row r="122" ht="15.75" customHeight="1">
      <c r="A122" s="65">
        <v>9.0</v>
      </c>
      <c r="B122" s="11">
        <v>46126.0</v>
      </c>
      <c r="C122" s="66" t="s">
        <v>49</v>
      </c>
      <c r="D122" s="12" t="s">
        <v>22</v>
      </c>
      <c r="E122" s="17" t="s">
        <v>107</v>
      </c>
      <c r="F122" s="13">
        <v>0.0</v>
      </c>
      <c r="G122" s="31" t="s">
        <v>24</v>
      </c>
      <c r="H122" s="13">
        <v>2.0</v>
      </c>
      <c r="I122" s="17" t="s">
        <v>68</v>
      </c>
      <c r="J122" s="148"/>
      <c r="K122" s="149">
        <f t="shared" si="9"/>
        <v>0</v>
      </c>
      <c r="L122" s="150">
        <f t="shared" si="10"/>
        <v>3</v>
      </c>
      <c r="M122" s="148"/>
      <c r="N122" s="148"/>
      <c r="O122" s="148"/>
      <c r="P122" s="148"/>
      <c r="Q122" s="148"/>
      <c r="R122" s="148"/>
      <c r="S122" s="148"/>
      <c r="T122" s="148"/>
      <c r="U122" s="148"/>
      <c r="V122" s="148"/>
      <c r="AA122" s="3"/>
      <c r="AB122" s="147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1">
        <v>46126.0</v>
      </c>
      <c r="C123" s="66" t="s">
        <v>49</v>
      </c>
      <c r="D123" s="12" t="s">
        <v>22</v>
      </c>
      <c r="E123" s="17" t="s">
        <v>143</v>
      </c>
      <c r="F123" s="13">
        <v>2.0</v>
      </c>
      <c r="G123" s="31" t="s">
        <v>24</v>
      </c>
      <c r="H123" s="13">
        <v>1.0</v>
      </c>
      <c r="I123" s="17" t="s">
        <v>40</v>
      </c>
      <c r="J123" s="148"/>
      <c r="K123" s="149">
        <f t="shared" si="9"/>
        <v>2</v>
      </c>
      <c r="L123" s="150">
        <f t="shared" si="10"/>
        <v>1</v>
      </c>
      <c r="M123" s="148"/>
      <c r="N123" s="148"/>
      <c r="O123" s="148"/>
      <c r="P123" s="148"/>
      <c r="Q123" s="148"/>
      <c r="R123" s="148"/>
      <c r="S123" s="148"/>
      <c r="T123" s="148"/>
      <c r="U123" s="148"/>
      <c r="V123" s="148"/>
      <c r="AA123" s="3"/>
      <c r="AB123" s="147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1">
        <v>46126.0</v>
      </c>
      <c r="C124" s="66" t="s">
        <v>21</v>
      </c>
      <c r="D124" s="12" t="s">
        <v>22</v>
      </c>
      <c r="E124" s="17" t="s">
        <v>64</v>
      </c>
      <c r="F124" s="13">
        <v>1.0</v>
      </c>
      <c r="G124" s="31" t="s">
        <v>24</v>
      </c>
      <c r="H124" s="13">
        <v>2.0</v>
      </c>
      <c r="I124" s="17" t="s">
        <v>113</v>
      </c>
      <c r="J124" s="148"/>
      <c r="K124" s="149">
        <f t="shared" si="9"/>
        <v>1</v>
      </c>
      <c r="L124" s="150">
        <f t="shared" si="10"/>
        <v>2</v>
      </c>
      <c r="M124" s="148"/>
      <c r="N124" s="148"/>
      <c r="O124" s="148"/>
      <c r="P124" s="148"/>
      <c r="Q124" s="148"/>
      <c r="R124" s="148"/>
      <c r="S124" s="148"/>
      <c r="T124" s="148"/>
      <c r="U124" s="148"/>
      <c r="V124" s="148"/>
      <c r="AA124" s="3"/>
      <c r="AB124" s="147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1">
        <v>46126.0</v>
      </c>
      <c r="C125" s="66" t="s">
        <v>21</v>
      </c>
      <c r="D125" s="12" t="s">
        <v>22</v>
      </c>
      <c r="E125" s="17" t="s">
        <v>167</v>
      </c>
      <c r="F125" s="13">
        <v>2.0</v>
      </c>
      <c r="G125" s="31" t="s">
        <v>24</v>
      </c>
      <c r="H125" s="13">
        <v>0.0</v>
      </c>
      <c r="I125" s="17" t="s">
        <v>69</v>
      </c>
      <c r="J125" s="148"/>
      <c r="K125" s="149">
        <f t="shared" si="9"/>
        <v>3</v>
      </c>
      <c r="L125" s="150">
        <f t="shared" si="10"/>
        <v>0</v>
      </c>
      <c r="M125" s="148"/>
      <c r="N125" s="148"/>
      <c r="O125" s="148"/>
      <c r="P125" s="148"/>
      <c r="Q125" s="148"/>
      <c r="R125" s="148"/>
      <c r="S125" s="148"/>
      <c r="T125" s="148"/>
      <c r="U125" s="148"/>
      <c r="V125" s="148"/>
      <c r="AA125" s="3"/>
      <c r="AB125" s="147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1">
        <v>46126.0</v>
      </c>
      <c r="C126" s="66" t="s">
        <v>21</v>
      </c>
      <c r="D126" s="12" t="s">
        <v>22</v>
      </c>
      <c r="E126" s="17" t="s">
        <v>39</v>
      </c>
      <c r="F126" s="13">
        <v>0.0</v>
      </c>
      <c r="G126" s="31" t="s">
        <v>24</v>
      </c>
      <c r="H126" s="13">
        <v>2.0</v>
      </c>
      <c r="I126" s="17" t="s">
        <v>209</v>
      </c>
      <c r="J126" s="148"/>
      <c r="K126" s="149">
        <f t="shared" si="9"/>
        <v>0</v>
      </c>
      <c r="L126" s="150">
        <f t="shared" si="10"/>
        <v>3</v>
      </c>
      <c r="M126" s="148"/>
      <c r="N126" s="148"/>
      <c r="O126" s="148"/>
      <c r="P126" s="148"/>
      <c r="Q126" s="148"/>
      <c r="R126" s="148"/>
      <c r="S126" s="148"/>
      <c r="T126" s="148"/>
      <c r="U126" s="148"/>
      <c r="V126" s="148"/>
      <c r="AA126" s="3"/>
      <c r="AB126" s="147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62"/>
      <c r="C127" s="164"/>
      <c r="D127" s="164"/>
      <c r="E127" s="17">
        <v>0.0</v>
      </c>
      <c r="F127" s="31"/>
      <c r="G127" s="31" t="s">
        <v>24</v>
      </c>
      <c r="H127" s="31"/>
      <c r="I127" s="17" t="s">
        <v>180</v>
      </c>
      <c r="J127" s="148"/>
      <c r="K127" s="149" t="str">
        <f t="shared" si="9"/>
        <v/>
      </c>
      <c r="L127" s="150" t="str">
        <f t="shared" si="10"/>
        <v/>
      </c>
      <c r="M127" s="148"/>
      <c r="N127" s="148"/>
      <c r="O127" s="148"/>
      <c r="P127" s="148"/>
      <c r="Q127" s="148"/>
      <c r="R127" s="148"/>
      <c r="S127" s="148"/>
      <c r="T127" s="148"/>
      <c r="U127" s="148"/>
      <c r="V127" s="148"/>
      <c r="AA127" s="3"/>
      <c r="AB127" s="147"/>
      <c r="AC127" s="3"/>
      <c r="AD127" s="3"/>
      <c r="AE127" s="3"/>
      <c r="AF127" s="3"/>
      <c r="AG127" s="3"/>
      <c r="AH127" s="3"/>
      <c r="AI127" s="3"/>
    </row>
    <row r="128" ht="15.75" customHeight="1">
      <c r="A128" s="65">
        <v>10.0</v>
      </c>
      <c r="B128" s="162"/>
      <c r="C128" s="163"/>
      <c r="D128" s="164"/>
      <c r="E128" s="17">
        <v>0.0</v>
      </c>
      <c r="F128" s="31"/>
      <c r="G128" s="31" t="s">
        <v>24</v>
      </c>
      <c r="H128" s="31"/>
      <c r="I128" s="17" t="s">
        <v>68</v>
      </c>
      <c r="J128" s="148"/>
      <c r="K128" s="149" t="str">
        <f t="shared" si="9"/>
        <v/>
      </c>
      <c r="L128" s="150" t="str">
        <f t="shared" si="10"/>
        <v/>
      </c>
      <c r="M128" s="148"/>
      <c r="N128" s="148"/>
      <c r="O128" s="148"/>
      <c r="P128" s="148"/>
      <c r="Q128" s="148"/>
      <c r="R128" s="148"/>
      <c r="S128" s="148"/>
      <c r="T128" s="148"/>
      <c r="U128" s="148"/>
      <c r="V128" s="148"/>
      <c r="AA128" s="3"/>
      <c r="AB128" s="147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1">
        <v>46126.0</v>
      </c>
      <c r="C129" s="12" t="s">
        <v>30</v>
      </c>
      <c r="D129" s="12" t="s">
        <v>22</v>
      </c>
      <c r="E129" s="17" t="s">
        <v>40</v>
      </c>
      <c r="F129" s="13">
        <v>1.0</v>
      </c>
      <c r="G129" s="31" t="s">
        <v>24</v>
      </c>
      <c r="H129" s="13">
        <v>2.0</v>
      </c>
      <c r="I129" s="17" t="s">
        <v>107</v>
      </c>
      <c r="J129" s="148"/>
      <c r="K129" s="149">
        <f t="shared" si="9"/>
        <v>1</v>
      </c>
      <c r="L129" s="150">
        <f t="shared" si="10"/>
        <v>2</v>
      </c>
      <c r="M129" s="148"/>
      <c r="N129" s="148"/>
      <c r="O129" s="148"/>
      <c r="P129" s="148"/>
      <c r="Q129" s="148"/>
      <c r="R129" s="148"/>
      <c r="S129" s="148"/>
      <c r="T129" s="148"/>
      <c r="U129" s="148"/>
      <c r="V129" s="148"/>
      <c r="AA129" s="3"/>
      <c r="AB129" s="147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1">
        <v>46126.0</v>
      </c>
      <c r="C130" s="12" t="s">
        <v>30</v>
      </c>
      <c r="D130" s="12" t="s">
        <v>22</v>
      </c>
      <c r="E130" s="17" t="s">
        <v>113</v>
      </c>
      <c r="F130" s="13">
        <v>2.0</v>
      </c>
      <c r="G130" s="31" t="s">
        <v>24</v>
      </c>
      <c r="H130" s="13">
        <v>0.0</v>
      </c>
      <c r="I130" s="17" t="s">
        <v>143</v>
      </c>
      <c r="J130" s="148"/>
      <c r="K130" s="149">
        <f t="shared" si="9"/>
        <v>3</v>
      </c>
      <c r="L130" s="150">
        <f t="shared" si="10"/>
        <v>0</v>
      </c>
      <c r="M130" s="148"/>
      <c r="N130" s="148"/>
      <c r="O130" s="148"/>
      <c r="P130" s="148"/>
      <c r="Q130" s="148"/>
      <c r="R130" s="148"/>
      <c r="S130" s="148"/>
      <c r="T130" s="148"/>
      <c r="U130" s="148"/>
      <c r="V130" s="148"/>
      <c r="AA130" s="3"/>
      <c r="AB130" s="147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1">
        <v>46126.0</v>
      </c>
      <c r="C131" s="12" t="s">
        <v>30</v>
      </c>
      <c r="D131" s="12" t="s">
        <v>22</v>
      </c>
      <c r="E131" s="17" t="s">
        <v>69</v>
      </c>
      <c r="F131" s="13">
        <v>0.0</v>
      </c>
      <c r="G131" s="31" t="s">
        <v>24</v>
      </c>
      <c r="H131" s="13">
        <v>2.0</v>
      </c>
      <c r="I131" s="17" t="s">
        <v>64</v>
      </c>
      <c r="J131" s="148"/>
      <c r="K131" s="149">
        <f t="shared" si="9"/>
        <v>0</v>
      </c>
      <c r="L131" s="150">
        <f t="shared" si="10"/>
        <v>3</v>
      </c>
      <c r="M131" s="148"/>
      <c r="N131" s="148"/>
      <c r="O131" s="148"/>
      <c r="P131" s="148"/>
      <c r="Q131" s="148"/>
      <c r="R131" s="148"/>
      <c r="S131" s="148"/>
      <c r="T131" s="148"/>
      <c r="U131" s="148"/>
      <c r="V131" s="148"/>
      <c r="AA131" s="3"/>
      <c r="AB131" s="147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1">
        <v>46126.0</v>
      </c>
      <c r="C132" s="12" t="s">
        <v>35</v>
      </c>
      <c r="D132" s="12" t="s">
        <v>22</v>
      </c>
      <c r="E132" s="17" t="s">
        <v>209</v>
      </c>
      <c r="F132" s="13">
        <v>1.0</v>
      </c>
      <c r="G132" s="31" t="s">
        <v>24</v>
      </c>
      <c r="H132" s="13">
        <v>2.0</v>
      </c>
      <c r="I132" s="17" t="s">
        <v>167</v>
      </c>
      <c r="J132" s="148"/>
      <c r="K132" s="149">
        <f t="shared" si="9"/>
        <v>1</v>
      </c>
      <c r="L132" s="150">
        <f t="shared" si="10"/>
        <v>2</v>
      </c>
      <c r="M132" s="148"/>
      <c r="N132" s="148"/>
      <c r="O132" s="148"/>
      <c r="P132" s="148"/>
      <c r="Q132" s="148"/>
      <c r="R132" s="148"/>
      <c r="S132" s="148"/>
      <c r="T132" s="148"/>
      <c r="U132" s="148"/>
      <c r="V132" s="148"/>
      <c r="AA132" s="3"/>
      <c r="AB132" s="147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1">
        <v>46126.0</v>
      </c>
      <c r="C133" s="12" t="s">
        <v>35</v>
      </c>
      <c r="D133" s="12" t="s">
        <v>22</v>
      </c>
      <c r="E133" s="17" t="s">
        <v>180</v>
      </c>
      <c r="F133" s="13">
        <v>2.0</v>
      </c>
      <c r="G133" s="31" t="s">
        <v>24</v>
      </c>
      <c r="H133" s="13">
        <v>0.0</v>
      </c>
      <c r="I133" s="17" t="s">
        <v>39</v>
      </c>
      <c r="J133" s="148"/>
      <c r="K133" s="149">
        <f t="shared" si="9"/>
        <v>3</v>
      </c>
      <c r="L133" s="150">
        <f t="shared" si="10"/>
        <v>0</v>
      </c>
      <c r="M133" s="148"/>
      <c r="N133" s="148"/>
      <c r="O133" s="148"/>
      <c r="P133" s="148"/>
      <c r="Q133" s="148"/>
      <c r="R133" s="148"/>
      <c r="S133" s="148"/>
      <c r="T133" s="148"/>
      <c r="U133" s="148"/>
      <c r="V133" s="148"/>
      <c r="AA133" s="3"/>
      <c r="AB133" s="147"/>
      <c r="AC133" s="3"/>
      <c r="AD133" s="3"/>
      <c r="AE133" s="3"/>
      <c r="AF133" s="3"/>
      <c r="AG133" s="3"/>
      <c r="AH133" s="3"/>
      <c r="AI133" s="3"/>
    </row>
    <row r="134" ht="15.75" customHeight="1">
      <c r="A134" s="65">
        <v>11.0</v>
      </c>
      <c r="B134" s="11">
        <v>46147.0</v>
      </c>
      <c r="C134" s="66" t="s">
        <v>49</v>
      </c>
      <c r="D134" s="12" t="s">
        <v>22</v>
      </c>
      <c r="E134" s="17" t="s">
        <v>68</v>
      </c>
      <c r="F134" s="13">
        <v>2.0</v>
      </c>
      <c r="G134" s="31" t="s">
        <v>24</v>
      </c>
      <c r="H134" s="13">
        <v>0.0</v>
      </c>
      <c r="I134" s="17" t="s">
        <v>40</v>
      </c>
      <c r="J134" s="148"/>
      <c r="K134" s="149">
        <f t="shared" si="9"/>
        <v>3</v>
      </c>
      <c r="L134" s="150">
        <f t="shared" si="10"/>
        <v>0</v>
      </c>
      <c r="M134" s="148"/>
      <c r="N134" s="148"/>
      <c r="O134" s="148"/>
      <c r="P134" s="148"/>
      <c r="Q134" s="148"/>
      <c r="R134" s="148"/>
      <c r="S134" s="148"/>
      <c r="T134" s="148"/>
      <c r="U134" s="148"/>
      <c r="V134" s="148"/>
      <c r="AA134" s="3"/>
      <c r="AB134" s="147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1">
        <v>46147.0</v>
      </c>
      <c r="C135" s="66" t="s">
        <v>49</v>
      </c>
      <c r="D135" s="12" t="s">
        <v>22</v>
      </c>
      <c r="E135" s="17" t="s">
        <v>107</v>
      </c>
      <c r="F135" s="13">
        <v>2.0</v>
      </c>
      <c r="G135" s="31" t="s">
        <v>24</v>
      </c>
      <c r="H135" s="13">
        <v>0.0</v>
      </c>
      <c r="I135" s="17" t="s">
        <v>113</v>
      </c>
      <c r="J135" s="148"/>
      <c r="K135" s="149">
        <f t="shared" si="9"/>
        <v>3</v>
      </c>
      <c r="L135" s="150">
        <f t="shared" si="10"/>
        <v>0</v>
      </c>
      <c r="M135" s="148"/>
      <c r="N135" s="148"/>
      <c r="O135" s="148"/>
      <c r="P135" s="148"/>
      <c r="Q135" s="148"/>
      <c r="R135" s="148"/>
      <c r="S135" s="148"/>
      <c r="T135" s="148"/>
      <c r="U135" s="148"/>
      <c r="V135" s="148"/>
      <c r="AA135" s="3"/>
      <c r="AB135" s="147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1">
        <v>46147.0</v>
      </c>
      <c r="C136" s="66" t="s">
        <v>21</v>
      </c>
      <c r="D136" s="12" t="s">
        <v>22</v>
      </c>
      <c r="E136" s="17" t="s">
        <v>143</v>
      </c>
      <c r="F136" s="13">
        <v>2.0</v>
      </c>
      <c r="G136" s="31" t="s">
        <v>24</v>
      </c>
      <c r="H136" s="13">
        <v>0.0</v>
      </c>
      <c r="I136" s="17" t="s">
        <v>69</v>
      </c>
      <c r="J136" s="148"/>
      <c r="K136" s="149">
        <f t="shared" si="9"/>
        <v>3</v>
      </c>
      <c r="L136" s="150">
        <f t="shared" si="10"/>
        <v>0</v>
      </c>
      <c r="M136" s="148"/>
      <c r="N136" s="148"/>
      <c r="O136" s="148"/>
      <c r="P136" s="148"/>
      <c r="Q136" s="148"/>
      <c r="R136" s="148"/>
      <c r="S136" s="148"/>
      <c r="T136" s="148"/>
      <c r="U136" s="148"/>
      <c r="V136" s="148"/>
      <c r="AA136" s="3"/>
      <c r="AB136" s="147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1">
        <v>46147.0</v>
      </c>
      <c r="C137" s="66" t="s">
        <v>21</v>
      </c>
      <c r="D137" s="12" t="s">
        <v>22</v>
      </c>
      <c r="E137" s="17" t="s">
        <v>64</v>
      </c>
      <c r="F137" s="13">
        <v>1.0</v>
      </c>
      <c r="G137" s="31" t="s">
        <v>24</v>
      </c>
      <c r="H137" s="13">
        <v>2.0</v>
      </c>
      <c r="I137" s="17" t="s">
        <v>209</v>
      </c>
      <c r="J137" s="148"/>
      <c r="K137" s="149">
        <f t="shared" si="9"/>
        <v>1</v>
      </c>
      <c r="L137" s="150">
        <f t="shared" si="10"/>
        <v>2</v>
      </c>
      <c r="M137" s="148"/>
      <c r="N137" s="148"/>
      <c r="O137" s="148"/>
      <c r="P137" s="148"/>
      <c r="Q137" s="148"/>
      <c r="R137" s="148"/>
      <c r="S137" s="148"/>
      <c r="T137" s="148"/>
      <c r="U137" s="148"/>
      <c r="V137" s="148"/>
      <c r="AA137" s="3"/>
      <c r="AB137" s="147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1">
        <v>46147.0</v>
      </c>
      <c r="C138" s="66" t="s">
        <v>21</v>
      </c>
      <c r="D138" s="12" t="s">
        <v>22</v>
      </c>
      <c r="E138" s="17" t="s">
        <v>167</v>
      </c>
      <c r="F138" s="13">
        <v>0.0</v>
      </c>
      <c r="G138" s="31" t="s">
        <v>24</v>
      </c>
      <c r="H138" s="13">
        <v>2.0</v>
      </c>
      <c r="I138" s="17" t="s">
        <v>180</v>
      </c>
      <c r="J138" s="148"/>
      <c r="K138" s="149">
        <f t="shared" si="9"/>
        <v>0</v>
      </c>
      <c r="L138" s="150">
        <f t="shared" si="10"/>
        <v>3</v>
      </c>
      <c r="M138" s="148"/>
      <c r="N138" s="148"/>
      <c r="O138" s="148"/>
      <c r="P138" s="148"/>
      <c r="Q138" s="148"/>
      <c r="R138" s="148"/>
      <c r="S138" s="148"/>
      <c r="T138" s="148"/>
      <c r="U138" s="148"/>
      <c r="V138" s="148"/>
      <c r="AA138" s="3"/>
      <c r="AB138" s="147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62"/>
      <c r="C139" s="164"/>
      <c r="D139" s="164"/>
      <c r="E139" s="17" t="s">
        <v>39</v>
      </c>
      <c r="F139" s="31"/>
      <c r="G139" s="31" t="s">
        <v>24</v>
      </c>
      <c r="H139" s="31"/>
      <c r="I139" s="17">
        <v>0.0</v>
      </c>
      <c r="J139" s="148"/>
      <c r="K139" s="149" t="str">
        <f t="shared" si="9"/>
        <v/>
      </c>
      <c r="L139" s="150" t="str">
        <f t="shared" si="10"/>
        <v/>
      </c>
      <c r="M139" s="148"/>
      <c r="N139" s="148"/>
      <c r="O139" s="148"/>
      <c r="P139" s="148"/>
      <c r="Q139" s="148"/>
      <c r="R139" s="148"/>
      <c r="S139" s="148"/>
      <c r="T139" s="148"/>
      <c r="U139" s="148"/>
      <c r="V139" s="148"/>
      <c r="AA139" s="3"/>
      <c r="AB139" s="147"/>
      <c r="AC139" s="3"/>
      <c r="AD139" s="3"/>
      <c r="AE139" s="3"/>
      <c r="AF139" s="3"/>
      <c r="AG139" s="3"/>
      <c r="AH139" s="3"/>
      <c r="AI139" s="3"/>
    </row>
    <row r="140" ht="15.75" customHeight="1">
      <c r="A140" s="166"/>
      <c r="B140" s="167"/>
      <c r="C140" s="168"/>
      <c r="D140" s="168"/>
      <c r="E140" s="169"/>
      <c r="F140" s="42"/>
      <c r="G140" s="42"/>
      <c r="H140" s="42"/>
      <c r="I140" s="169"/>
      <c r="J140" s="148"/>
      <c r="K140" s="149"/>
      <c r="L140" s="150"/>
      <c r="M140" s="148"/>
      <c r="N140" s="148"/>
      <c r="O140" s="148"/>
      <c r="P140" s="148"/>
      <c r="Q140" s="148"/>
      <c r="R140" s="148"/>
      <c r="S140" s="148"/>
      <c r="T140" s="148"/>
      <c r="U140" s="148"/>
      <c r="V140" s="148"/>
      <c r="AA140" s="3"/>
      <c r="AB140" s="147"/>
      <c r="AC140" s="3"/>
      <c r="AD140" s="3"/>
      <c r="AE140" s="3"/>
      <c r="AF140" s="3"/>
      <c r="AG140" s="3"/>
      <c r="AH140" s="3"/>
      <c r="AI140" s="3"/>
    </row>
    <row r="141" ht="15.75" customHeight="1">
      <c r="A141" s="160"/>
      <c r="B141" s="161"/>
      <c r="C141" s="161"/>
      <c r="D141" s="161"/>
      <c r="E141" s="1"/>
      <c r="F141" s="161"/>
      <c r="G141" s="161"/>
      <c r="I141" s="147"/>
      <c r="AA141" s="3"/>
      <c r="AB141" s="147"/>
      <c r="AC141" s="3"/>
      <c r="AD141" s="3"/>
      <c r="AE141" s="3"/>
      <c r="AF141" s="3"/>
      <c r="AG141" s="3"/>
      <c r="AH141" s="3"/>
      <c r="AI141" s="3"/>
    </row>
    <row r="142" ht="15.75" customHeight="1">
      <c r="A142" s="160"/>
      <c r="B142" s="161"/>
      <c r="C142" s="161"/>
      <c r="D142" s="161"/>
      <c r="E142" s="1"/>
      <c r="F142" s="161"/>
      <c r="G142" s="161"/>
      <c r="I142" s="147"/>
      <c r="AA142" s="3"/>
      <c r="AB142" s="147"/>
      <c r="AC142" s="3"/>
      <c r="AD142" s="3"/>
      <c r="AE142" s="3"/>
      <c r="AF142" s="3"/>
      <c r="AG142" s="3"/>
      <c r="AH142" s="3"/>
      <c r="AI142" s="3"/>
    </row>
    <row r="143" ht="15.75" customHeight="1">
      <c r="A143" s="160"/>
      <c r="B143" s="161"/>
      <c r="C143" s="161"/>
      <c r="D143" s="161"/>
      <c r="E143" s="1"/>
      <c r="F143" s="161"/>
      <c r="G143" s="161"/>
      <c r="I143" s="147"/>
      <c r="AA143" s="3"/>
      <c r="AB143" s="147"/>
      <c r="AC143" s="3"/>
      <c r="AD143" s="3"/>
      <c r="AE143" s="3"/>
      <c r="AF143" s="3"/>
      <c r="AG143" s="3"/>
      <c r="AH143" s="3"/>
      <c r="AI143" s="3"/>
    </row>
    <row r="144" ht="15.75" customHeight="1">
      <c r="A144" s="170" t="s">
        <v>212</v>
      </c>
      <c r="I144" s="147"/>
      <c r="AA144" s="3"/>
      <c r="AB144" s="147"/>
      <c r="AC144" s="3"/>
      <c r="AD144" s="3"/>
      <c r="AE144" s="3"/>
      <c r="AF144" s="3"/>
      <c r="AG144" s="3"/>
      <c r="AH144" s="3"/>
      <c r="AI144" s="3"/>
    </row>
    <row r="145" ht="15.75" customHeight="1">
      <c r="A145" s="64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204</v>
      </c>
      <c r="U145" s="9" t="s">
        <v>205</v>
      </c>
      <c r="V145" s="9" t="s">
        <v>206</v>
      </c>
      <c r="W145" s="3"/>
      <c r="X145" s="132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204</v>
      </c>
      <c r="AH145" s="5" t="s">
        <v>205</v>
      </c>
      <c r="AI145" s="5" t="s">
        <v>206</v>
      </c>
    </row>
    <row r="146" ht="15.75" customHeight="1">
      <c r="A146" s="65">
        <v>1.0</v>
      </c>
      <c r="B146" s="11">
        <v>45944.0</v>
      </c>
      <c r="C146" s="12" t="s">
        <v>154</v>
      </c>
      <c r="D146" s="12" t="s">
        <v>22</v>
      </c>
      <c r="E146" s="17" t="s">
        <v>126</v>
      </c>
      <c r="F146" s="13">
        <v>2.0</v>
      </c>
      <c r="G146" s="31" t="s">
        <v>24</v>
      </c>
      <c r="H146" s="13">
        <v>1.0</v>
      </c>
      <c r="I146" s="17" t="s">
        <v>60</v>
      </c>
      <c r="J146" s="148"/>
      <c r="K146" s="149">
        <f t="shared" ref="K146:K211" si="17">IFS(F146=H146+2,3,F146=H146-2,0,F146=H146+1,2,F146=H146-1,1,F146="","")</f>
        <v>2</v>
      </c>
      <c r="L146" s="150">
        <f t="shared" ref="L146:L211" si="18">IFS(H146=F146+2,3,H146=F146-2,0,H146=F146+1,2,H146=F146-1,1,H146="","")</f>
        <v>1</v>
      </c>
      <c r="M146" s="148"/>
      <c r="N146" s="150">
        <v>1.0</v>
      </c>
      <c r="O146" s="151" t="s">
        <v>126</v>
      </c>
      <c r="P146" s="150">
        <f t="shared" ref="P146:P156" si="19">SUMIF(E$146:E$211,O146,K$146:K$211)+SUMIF(I$146:I$211,O146,L$146:L$211)</f>
        <v>20</v>
      </c>
      <c r="Q146" s="152">
        <f t="shared" ref="Q146:Q156" si="20">COUNTIFS(E$146:E$211,O146,K$146:K$211,2)+COUNTIFS(I$146:I$211,O146,L$146:L$211,2)+COUNTIFS(E$146:E$211,O146,K$146:K$211,3)+COUNTIFS(I$146:I$211,O146,L$146:L$211,3)</f>
        <v>7</v>
      </c>
      <c r="R146" s="153"/>
      <c r="S146" s="153">
        <f t="shared" ref="S146:S156" si="21">COUNTIFS(E$146:E$211,O146,K$146:K$211,1)+COUNTIFS(I$146:I$211,O146,L$146:L$211,1)+COUNTIFS(E$146:E$211,O146,K$146:K$211,0)+COUNTIFS(I$146:I$211,O146,L$146:L$211,0)</f>
        <v>3</v>
      </c>
      <c r="T146" s="150">
        <f t="shared" ref="T146:T156" si="22">SUMIF(E$146:E$211,O146,F$146:F$211)+SUMIF(I$146:I$211,O146,H$146:H$211)</f>
        <v>15</v>
      </c>
      <c r="U146" s="153">
        <f t="shared" ref="U146:U156" si="23">SUMIF(E$146:E$211,O146,H$146:H$211)+SUMIF(I$146:I$211,O146,F$146:F$211)</f>
        <v>8</v>
      </c>
      <c r="V146" s="150">
        <f t="shared" ref="V146:V156" si="24">T146-U146</f>
        <v>7</v>
      </c>
      <c r="X146" s="136" t="s">
        <v>26</v>
      </c>
      <c r="Y146" s="136" t="s">
        <v>13</v>
      </c>
      <c r="AA146" s="45" t="s">
        <v>29</v>
      </c>
      <c r="AB146" s="70" t="str">
        <f t="array" ref="AB146:AI156">SORT(O146:V156,2,FALSE,8,FALSE)</f>
        <v>Gestão</v>
      </c>
      <c r="AC146" s="23">
        <v>25.0</v>
      </c>
      <c r="AD146" s="23">
        <v>8.0</v>
      </c>
      <c r="AE146" s="24"/>
      <c r="AF146" s="24">
        <v>2.0</v>
      </c>
      <c r="AG146" s="23">
        <v>18.0</v>
      </c>
      <c r="AH146" s="24">
        <v>5.0</v>
      </c>
      <c r="AI146" s="23">
        <v>13.0</v>
      </c>
    </row>
    <row r="147" ht="15.75" customHeight="1">
      <c r="A147" s="25"/>
      <c r="B147" s="11">
        <v>45944.0</v>
      </c>
      <c r="C147" s="12" t="s">
        <v>154</v>
      </c>
      <c r="D147" s="12" t="s">
        <v>22</v>
      </c>
      <c r="E147" s="17" t="s">
        <v>45</v>
      </c>
      <c r="F147" s="13">
        <v>2.0</v>
      </c>
      <c r="G147" s="31" t="s">
        <v>24</v>
      </c>
      <c r="H147" s="13">
        <v>0.0</v>
      </c>
      <c r="I147" s="17" t="s">
        <v>42</v>
      </c>
      <c r="J147" s="148"/>
      <c r="K147" s="149">
        <f t="shared" si="17"/>
        <v>3</v>
      </c>
      <c r="L147" s="150">
        <f t="shared" si="18"/>
        <v>0</v>
      </c>
      <c r="M147" s="148"/>
      <c r="N147" s="150">
        <v>2.0</v>
      </c>
      <c r="O147" s="151" t="s">
        <v>166</v>
      </c>
      <c r="P147" s="150">
        <f t="shared" si="19"/>
        <v>20</v>
      </c>
      <c r="Q147" s="152">
        <f t="shared" si="20"/>
        <v>7</v>
      </c>
      <c r="R147" s="153"/>
      <c r="S147" s="153">
        <f t="shared" si="21"/>
        <v>3</v>
      </c>
      <c r="T147" s="150">
        <f t="shared" si="22"/>
        <v>16</v>
      </c>
      <c r="U147" s="153">
        <f t="shared" si="23"/>
        <v>9</v>
      </c>
      <c r="V147" s="150">
        <f t="shared" si="24"/>
        <v>7</v>
      </c>
      <c r="X147" s="137" t="s">
        <v>33</v>
      </c>
      <c r="Y147" s="137">
        <v>3.0</v>
      </c>
      <c r="AA147" s="124" t="s">
        <v>111</v>
      </c>
      <c r="AB147" s="70" t="s">
        <v>45</v>
      </c>
      <c r="AC147" s="23">
        <v>22.0</v>
      </c>
      <c r="AD147" s="23">
        <v>7.0</v>
      </c>
      <c r="AE147" s="24"/>
      <c r="AF147" s="24">
        <v>3.0</v>
      </c>
      <c r="AG147" s="23">
        <v>15.0</v>
      </c>
      <c r="AH147" s="24">
        <v>6.0</v>
      </c>
      <c r="AI147" s="23">
        <v>9.0</v>
      </c>
    </row>
    <row r="148" ht="15.75" customHeight="1">
      <c r="A148" s="25"/>
      <c r="B148" s="11">
        <v>45944.0</v>
      </c>
      <c r="C148" s="12" t="s">
        <v>169</v>
      </c>
      <c r="D148" s="12" t="s">
        <v>22</v>
      </c>
      <c r="E148" s="17" t="s">
        <v>213</v>
      </c>
      <c r="F148" s="13">
        <v>2.0</v>
      </c>
      <c r="G148" s="31" t="s">
        <v>24</v>
      </c>
      <c r="H148" s="13">
        <v>0.0</v>
      </c>
      <c r="I148" s="17" t="s">
        <v>65</v>
      </c>
      <c r="J148" s="148"/>
      <c r="K148" s="149">
        <f t="shared" si="17"/>
        <v>3</v>
      </c>
      <c r="L148" s="150">
        <f t="shared" si="18"/>
        <v>0</v>
      </c>
      <c r="M148" s="148"/>
      <c r="N148" s="150">
        <v>3.0</v>
      </c>
      <c r="O148" s="151" t="s">
        <v>60</v>
      </c>
      <c r="P148" s="150">
        <f t="shared" si="19"/>
        <v>25</v>
      </c>
      <c r="Q148" s="152">
        <f t="shared" si="20"/>
        <v>8</v>
      </c>
      <c r="R148" s="153"/>
      <c r="S148" s="153">
        <f t="shared" si="21"/>
        <v>2</v>
      </c>
      <c r="T148" s="150">
        <f t="shared" si="22"/>
        <v>18</v>
      </c>
      <c r="U148" s="153">
        <f t="shared" si="23"/>
        <v>5</v>
      </c>
      <c r="V148" s="150">
        <f t="shared" si="24"/>
        <v>13</v>
      </c>
      <c r="X148" s="137" t="s">
        <v>40</v>
      </c>
      <c r="Y148" s="137">
        <v>0.0</v>
      </c>
      <c r="AA148" s="22">
        <v>3.0</v>
      </c>
      <c r="AB148" s="70" t="s">
        <v>126</v>
      </c>
      <c r="AC148" s="23">
        <v>20.0</v>
      </c>
      <c r="AD148" s="23">
        <v>7.0</v>
      </c>
      <c r="AE148" s="24"/>
      <c r="AF148" s="24">
        <v>3.0</v>
      </c>
      <c r="AG148" s="23">
        <v>15.0</v>
      </c>
      <c r="AH148" s="24">
        <v>8.0</v>
      </c>
      <c r="AI148" s="23">
        <v>7.0</v>
      </c>
    </row>
    <row r="149" ht="15.75" customHeight="1">
      <c r="A149" s="25"/>
      <c r="B149" s="11">
        <v>45944.0</v>
      </c>
      <c r="C149" s="12" t="s">
        <v>152</v>
      </c>
      <c r="D149" s="12" t="s">
        <v>22</v>
      </c>
      <c r="E149" s="17" t="s">
        <v>59</v>
      </c>
      <c r="F149" s="13">
        <v>1.0</v>
      </c>
      <c r="G149" s="31" t="s">
        <v>24</v>
      </c>
      <c r="H149" s="13">
        <v>2.0</v>
      </c>
      <c r="I149" s="17" t="s">
        <v>109</v>
      </c>
      <c r="J149" s="148"/>
      <c r="K149" s="149">
        <f t="shared" si="17"/>
        <v>1</v>
      </c>
      <c r="L149" s="150">
        <f t="shared" si="18"/>
        <v>2</v>
      </c>
      <c r="M149" s="148"/>
      <c r="N149" s="150">
        <v>4.0</v>
      </c>
      <c r="O149" s="151" t="s">
        <v>63</v>
      </c>
      <c r="P149" s="150">
        <f t="shared" si="19"/>
        <v>5</v>
      </c>
      <c r="Q149" s="152">
        <f t="shared" si="20"/>
        <v>2</v>
      </c>
      <c r="R149" s="153"/>
      <c r="S149" s="153">
        <f t="shared" si="21"/>
        <v>8</v>
      </c>
      <c r="T149" s="150">
        <f t="shared" si="22"/>
        <v>4</v>
      </c>
      <c r="U149" s="153">
        <f t="shared" si="23"/>
        <v>17</v>
      </c>
      <c r="V149" s="150">
        <f t="shared" si="24"/>
        <v>-13</v>
      </c>
      <c r="AA149" s="22">
        <v>4.0</v>
      </c>
      <c r="AB149" s="70" t="s">
        <v>166</v>
      </c>
      <c r="AC149" s="23">
        <v>20.0</v>
      </c>
      <c r="AD149" s="23">
        <v>7.0</v>
      </c>
      <c r="AE149" s="24"/>
      <c r="AF149" s="24">
        <v>3.0</v>
      </c>
      <c r="AG149" s="23">
        <v>16.0</v>
      </c>
      <c r="AH149" s="24">
        <v>9.0</v>
      </c>
      <c r="AI149" s="23">
        <v>7.0</v>
      </c>
    </row>
    <row r="150" ht="15.75" customHeight="1">
      <c r="A150" s="25"/>
      <c r="B150" s="11">
        <v>45944.0</v>
      </c>
      <c r="C150" s="12" t="s">
        <v>152</v>
      </c>
      <c r="D150" s="12" t="s">
        <v>22</v>
      </c>
      <c r="E150" s="17" t="s">
        <v>63</v>
      </c>
      <c r="F150" s="13">
        <v>0.0</v>
      </c>
      <c r="G150" s="31" t="s">
        <v>24</v>
      </c>
      <c r="H150" s="13">
        <v>2.0</v>
      </c>
      <c r="I150" s="17" t="s">
        <v>33</v>
      </c>
      <c r="J150" s="148"/>
      <c r="K150" s="149">
        <f t="shared" si="17"/>
        <v>0</v>
      </c>
      <c r="L150" s="150">
        <f t="shared" si="18"/>
        <v>3</v>
      </c>
      <c r="M150" s="148"/>
      <c r="N150" s="150">
        <v>5.0</v>
      </c>
      <c r="O150" s="151" t="s">
        <v>42</v>
      </c>
      <c r="P150" s="150">
        <f t="shared" si="19"/>
        <v>6</v>
      </c>
      <c r="Q150" s="152">
        <f t="shared" si="20"/>
        <v>1</v>
      </c>
      <c r="R150" s="153"/>
      <c r="S150" s="153">
        <f t="shared" si="21"/>
        <v>9</v>
      </c>
      <c r="T150" s="150">
        <f t="shared" si="22"/>
        <v>5</v>
      </c>
      <c r="U150" s="153">
        <f t="shared" si="23"/>
        <v>18</v>
      </c>
      <c r="V150" s="150">
        <f t="shared" si="24"/>
        <v>-13</v>
      </c>
      <c r="AA150" s="22">
        <v>5.0</v>
      </c>
      <c r="AB150" s="70" t="s">
        <v>33</v>
      </c>
      <c r="AC150" s="23">
        <v>20.0</v>
      </c>
      <c r="AD150" s="23">
        <v>7.0</v>
      </c>
      <c r="AE150" s="24"/>
      <c r="AF150" s="24">
        <v>3.0</v>
      </c>
      <c r="AG150" s="23">
        <v>15.0</v>
      </c>
      <c r="AH150" s="24">
        <v>8.0</v>
      </c>
      <c r="AI150" s="23">
        <v>7.0</v>
      </c>
    </row>
    <row r="151" ht="15.75" customHeight="1">
      <c r="A151" s="29"/>
      <c r="B151" s="162"/>
      <c r="C151" s="163"/>
      <c r="D151" s="164"/>
      <c r="E151" s="17">
        <v>0.0</v>
      </c>
      <c r="F151" s="31"/>
      <c r="G151" s="31" t="s">
        <v>24</v>
      </c>
      <c r="H151" s="31"/>
      <c r="I151" s="17" t="s">
        <v>166</v>
      </c>
      <c r="J151" s="148"/>
      <c r="K151" s="149" t="str">
        <f t="shared" si="17"/>
        <v/>
      </c>
      <c r="L151" s="150" t="str">
        <f t="shared" si="18"/>
        <v/>
      </c>
      <c r="M151" s="148"/>
      <c r="N151" s="150">
        <v>6.0</v>
      </c>
      <c r="O151" s="151" t="s">
        <v>59</v>
      </c>
      <c r="P151" s="150">
        <f t="shared" si="19"/>
        <v>16</v>
      </c>
      <c r="Q151" s="152">
        <f t="shared" si="20"/>
        <v>5</v>
      </c>
      <c r="R151" s="153"/>
      <c r="S151" s="153">
        <f t="shared" si="21"/>
        <v>5</v>
      </c>
      <c r="T151" s="150">
        <f t="shared" si="22"/>
        <v>11</v>
      </c>
      <c r="U151" s="153">
        <f t="shared" si="23"/>
        <v>10</v>
      </c>
      <c r="V151" s="150">
        <f t="shared" si="24"/>
        <v>1</v>
      </c>
      <c r="AA151" s="22">
        <v>6.0</v>
      </c>
      <c r="AB151" s="70" t="s">
        <v>59</v>
      </c>
      <c r="AC151" s="23">
        <v>16.0</v>
      </c>
      <c r="AD151" s="23">
        <v>5.0</v>
      </c>
      <c r="AE151" s="24"/>
      <c r="AF151" s="24">
        <v>5.0</v>
      </c>
      <c r="AG151" s="23">
        <v>11.0</v>
      </c>
      <c r="AH151" s="24">
        <v>10.0</v>
      </c>
      <c r="AI151" s="23">
        <v>1.0</v>
      </c>
    </row>
    <row r="152" ht="15.75" customHeight="1">
      <c r="A152" s="65">
        <v>2.0</v>
      </c>
      <c r="B152" s="162"/>
      <c r="C152" s="163"/>
      <c r="D152" s="164"/>
      <c r="E152" s="17" t="s">
        <v>60</v>
      </c>
      <c r="F152" s="31"/>
      <c r="G152" s="31" t="s">
        <v>24</v>
      </c>
      <c r="H152" s="31"/>
      <c r="I152" s="17">
        <v>0.0</v>
      </c>
      <c r="J152" s="148"/>
      <c r="K152" s="149" t="str">
        <f t="shared" si="17"/>
        <v/>
      </c>
      <c r="L152" s="150" t="str">
        <f t="shared" si="18"/>
        <v/>
      </c>
      <c r="M152" s="148"/>
      <c r="N152" s="150">
        <v>7.0</v>
      </c>
      <c r="O152" s="151" t="s">
        <v>65</v>
      </c>
      <c r="P152" s="150">
        <f t="shared" si="19"/>
        <v>5</v>
      </c>
      <c r="Q152" s="152">
        <f t="shared" si="20"/>
        <v>2</v>
      </c>
      <c r="R152" s="153"/>
      <c r="S152" s="153">
        <f t="shared" si="21"/>
        <v>8</v>
      </c>
      <c r="T152" s="150">
        <f t="shared" si="22"/>
        <v>4</v>
      </c>
      <c r="U152" s="153">
        <f t="shared" si="23"/>
        <v>17</v>
      </c>
      <c r="V152" s="150">
        <f t="shared" si="24"/>
        <v>-13</v>
      </c>
      <c r="AA152" s="22">
        <v>7.0</v>
      </c>
      <c r="AB152" s="70" t="s">
        <v>109</v>
      </c>
      <c r="AC152" s="23">
        <v>15.0</v>
      </c>
      <c r="AD152" s="23">
        <v>6.0</v>
      </c>
      <c r="AE152" s="24"/>
      <c r="AF152" s="24">
        <v>4.0</v>
      </c>
      <c r="AG152" s="23">
        <v>13.0</v>
      </c>
      <c r="AH152" s="24">
        <v>12.0</v>
      </c>
      <c r="AI152" s="23">
        <v>1.0</v>
      </c>
    </row>
    <row r="153" ht="15.75" customHeight="1">
      <c r="A153" s="25"/>
      <c r="B153" s="11">
        <v>45944.0</v>
      </c>
      <c r="C153" s="12" t="s">
        <v>152</v>
      </c>
      <c r="D153" s="12" t="s">
        <v>22</v>
      </c>
      <c r="E153" s="17" t="s">
        <v>42</v>
      </c>
      <c r="F153" s="13">
        <v>1.0</v>
      </c>
      <c r="G153" s="31" t="s">
        <v>24</v>
      </c>
      <c r="H153" s="13">
        <v>2.0</v>
      </c>
      <c r="I153" s="17" t="s">
        <v>126</v>
      </c>
      <c r="J153" s="148"/>
      <c r="K153" s="149">
        <f t="shared" si="17"/>
        <v>1</v>
      </c>
      <c r="L153" s="150">
        <f t="shared" si="18"/>
        <v>2</v>
      </c>
      <c r="M153" s="148"/>
      <c r="N153" s="150">
        <v>8.0</v>
      </c>
      <c r="O153" s="151" t="s">
        <v>213</v>
      </c>
      <c r="P153" s="150">
        <f t="shared" si="19"/>
        <v>11</v>
      </c>
      <c r="Q153" s="152">
        <f t="shared" si="20"/>
        <v>3</v>
      </c>
      <c r="R153" s="153"/>
      <c r="S153" s="153">
        <f t="shared" si="21"/>
        <v>7</v>
      </c>
      <c r="T153" s="150">
        <f t="shared" si="22"/>
        <v>8</v>
      </c>
      <c r="U153" s="153">
        <f t="shared" si="23"/>
        <v>14</v>
      </c>
      <c r="V153" s="150">
        <f t="shared" si="24"/>
        <v>-6</v>
      </c>
      <c r="AA153" s="22">
        <v>8.0</v>
      </c>
      <c r="AB153" s="70" t="s">
        <v>213</v>
      </c>
      <c r="AC153" s="23">
        <v>11.0</v>
      </c>
      <c r="AD153" s="23">
        <v>3.0</v>
      </c>
      <c r="AE153" s="24"/>
      <c r="AF153" s="24">
        <v>7.0</v>
      </c>
      <c r="AG153" s="23">
        <v>8.0</v>
      </c>
      <c r="AH153" s="24">
        <v>14.0</v>
      </c>
      <c r="AI153" s="23">
        <v>-6.0</v>
      </c>
    </row>
    <row r="154" ht="15.75" customHeight="1">
      <c r="A154" s="25"/>
      <c r="B154" s="11">
        <v>45959.0</v>
      </c>
      <c r="C154" s="66" t="s">
        <v>54</v>
      </c>
      <c r="D154" s="12" t="s">
        <v>22</v>
      </c>
      <c r="E154" s="17" t="s">
        <v>65</v>
      </c>
      <c r="F154" s="13">
        <v>0.0</v>
      </c>
      <c r="G154" s="31" t="s">
        <v>24</v>
      </c>
      <c r="H154" s="13">
        <v>2.0</v>
      </c>
      <c r="I154" s="17" t="s">
        <v>45</v>
      </c>
      <c r="J154" s="148"/>
      <c r="K154" s="149">
        <f t="shared" si="17"/>
        <v>0</v>
      </c>
      <c r="L154" s="150">
        <f t="shared" si="18"/>
        <v>3</v>
      </c>
      <c r="M154" s="148"/>
      <c r="N154" s="150">
        <v>9.0</v>
      </c>
      <c r="O154" s="151" t="s">
        <v>109</v>
      </c>
      <c r="P154" s="150">
        <f t="shared" si="19"/>
        <v>15</v>
      </c>
      <c r="Q154" s="152">
        <f t="shared" si="20"/>
        <v>6</v>
      </c>
      <c r="R154" s="153"/>
      <c r="S154" s="153">
        <f t="shared" si="21"/>
        <v>4</v>
      </c>
      <c r="T154" s="150">
        <f t="shared" si="22"/>
        <v>13</v>
      </c>
      <c r="U154" s="153">
        <f t="shared" si="23"/>
        <v>12</v>
      </c>
      <c r="V154" s="150">
        <f t="shared" si="24"/>
        <v>1</v>
      </c>
      <c r="AA154" s="22">
        <v>9.0</v>
      </c>
      <c r="AB154" s="70" t="s">
        <v>42</v>
      </c>
      <c r="AC154" s="23">
        <v>6.0</v>
      </c>
      <c r="AD154" s="23">
        <v>1.0</v>
      </c>
      <c r="AE154" s="24"/>
      <c r="AF154" s="24">
        <v>9.0</v>
      </c>
      <c r="AG154" s="23">
        <v>5.0</v>
      </c>
      <c r="AH154" s="24">
        <v>18.0</v>
      </c>
      <c r="AI154" s="23">
        <v>-13.0</v>
      </c>
    </row>
    <row r="155" ht="15.75" customHeight="1">
      <c r="A155" s="25"/>
      <c r="B155" s="11">
        <v>45946.0</v>
      </c>
      <c r="C155" s="66" t="s">
        <v>21</v>
      </c>
      <c r="D155" s="12" t="s">
        <v>22</v>
      </c>
      <c r="E155" s="17" t="s">
        <v>109</v>
      </c>
      <c r="F155" s="13">
        <v>2.0</v>
      </c>
      <c r="G155" s="31" t="s">
        <v>24</v>
      </c>
      <c r="H155" s="13">
        <v>1.0</v>
      </c>
      <c r="I155" s="17" t="s">
        <v>213</v>
      </c>
      <c r="J155" s="148"/>
      <c r="K155" s="149">
        <f t="shared" si="17"/>
        <v>2</v>
      </c>
      <c r="L155" s="150">
        <f t="shared" si="18"/>
        <v>1</v>
      </c>
      <c r="M155" s="148"/>
      <c r="N155" s="150">
        <v>10.0</v>
      </c>
      <c r="O155" s="151" t="s">
        <v>45</v>
      </c>
      <c r="P155" s="150">
        <f t="shared" si="19"/>
        <v>22</v>
      </c>
      <c r="Q155" s="152">
        <f t="shared" si="20"/>
        <v>7</v>
      </c>
      <c r="R155" s="153"/>
      <c r="S155" s="153">
        <f t="shared" si="21"/>
        <v>3</v>
      </c>
      <c r="T155" s="150">
        <f t="shared" si="22"/>
        <v>15</v>
      </c>
      <c r="U155" s="153">
        <f t="shared" si="23"/>
        <v>6</v>
      </c>
      <c r="V155" s="150">
        <f t="shared" si="24"/>
        <v>9</v>
      </c>
      <c r="AA155" s="22">
        <v>10.0</v>
      </c>
      <c r="AB155" s="70" t="s">
        <v>63</v>
      </c>
      <c r="AC155" s="23">
        <v>5.0</v>
      </c>
      <c r="AD155" s="23">
        <v>2.0</v>
      </c>
      <c r="AE155" s="24"/>
      <c r="AF155" s="24">
        <v>8.0</v>
      </c>
      <c r="AG155" s="23">
        <v>4.0</v>
      </c>
      <c r="AH155" s="24">
        <v>17.0</v>
      </c>
      <c r="AI155" s="23">
        <v>-13.0</v>
      </c>
    </row>
    <row r="156" ht="15.75" customHeight="1">
      <c r="A156" s="25"/>
      <c r="B156" s="11">
        <v>45959.0</v>
      </c>
      <c r="C156" s="66" t="s">
        <v>51</v>
      </c>
      <c r="D156" s="12" t="s">
        <v>22</v>
      </c>
      <c r="E156" s="17" t="s">
        <v>33</v>
      </c>
      <c r="F156" s="13">
        <v>0.0</v>
      </c>
      <c r="G156" s="31" t="s">
        <v>24</v>
      </c>
      <c r="H156" s="13">
        <v>2.0</v>
      </c>
      <c r="I156" s="17" t="s">
        <v>59</v>
      </c>
      <c r="J156" s="148"/>
      <c r="K156" s="149">
        <f t="shared" si="17"/>
        <v>0</v>
      </c>
      <c r="L156" s="150">
        <f t="shared" si="18"/>
        <v>3</v>
      </c>
      <c r="M156" s="148"/>
      <c r="N156" s="165">
        <v>11.0</v>
      </c>
      <c r="O156" s="165" t="s">
        <v>33</v>
      </c>
      <c r="P156" s="150">
        <f t="shared" si="19"/>
        <v>20</v>
      </c>
      <c r="Q156" s="152">
        <f t="shared" si="20"/>
        <v>7</v>
      </c>
      <c r="S156" s="153">
        <f t="shared" si="21"/>
        <v>3</v>
      </c>
      <c r="T156" s="150">
        <f t="shared" si="22"/>
        <v>15</v>
      </c>
      <c r="U156" s="153">
        <f t="shared" si="23"/>
        <v>8</v>
      </c>
      <c r="V156" s="150">
        <f t="shared" si="24"/>
        <v>7</v>
      </c>
      <c r="AA156" s="52">
        <v>11.0</v>
      </c>
      <c r="AB156" s="70" t="s">
        <v>65</v>
      </c>
      <c r="AC156" s="23">
        <v>5.0</v>
      </c>
      <c r="AD156" s="23">
        <v>2.0</v>
      </c>
      <c r="AE156" s="24"/>
      <c r="AF156" s="24">
        <v>8.0</v>
      </c>
      <c r="AG156" s="23">
        <v>4.0</v>
      </c>
      <c r="AH156" s="24">
        <v>17.0</v>
      </c>
      <c r="AI156" s="23">
        <v>-13.0</v>
      </c>
    </row>
    <row r="157" ht="15.75" customHeight="1">
      <c r="A157" s="29"/>
      <c r="B157" s="11">
        <v>45959.0</v>
      </c>
      <c r="C157" s="66" t="s">
        <v>51</v>
      </c>
      <c r="D157" s="12" t="s">
        <v>22</v>
      </c>
      <c r="E157" s="17" t="s">
        <v>166</v>
      </c>
      <c r="F157" s="13">
        <v>1.0</v>
      </c>
      <c r="G157" s="31" t="s">
        <v>24</v>
      </c>
      <c r="H157" s="13">
        <v>2.0</v>
      </c>
      <c r="I157" s="17" t="s">
        <v>63</v>
      </c>
      <c r="J157" s="148"/>
      <c r="K157" s="149">
        <f t="shared" si="17"/>
        <v>1</v>
      </c>
      <c r="L157" s="150">
        <f t="shared" si="18"/>
        <v>2</v>
      </c>
      <c r="M157" s="148"/>
      <c r="AA157" s="35" t="s">
        <v>214</v>
      </c>
      <c r="AD157" s="37"/>
      <c r="AE157" s="37"/>
      <c r="AF157" s="3"/>
      <c r="AG157" s="3"/>
      <c r="AH157" s="3"/>
      <c r="AI157" s="3"/>
    </row>
    <row r="158" ht="15.75" customHeight="1">
      <c r="A158" s="65">
        <v>3.0</v>
      </c>
      <c r="B158" s="11">
        <v>45967.0</v>
      </c>
      <c r="C158" s="12" t="s">
        <v>49</v>
      </c>
      <c r="D158" s="12" t="s">
        <v>22</v>
      </c>
      <c r="E158" s="17" t="s">
        <v>60</v>
      </c>
      <c r="F158" s="13">
        <v>2.0</v>
      </c>
      <c r="G158" s="31" t="s">
        <v>24</v>
      </c>
      <c r="H158" s="13">
        <v>0.0</v>
      </c>
      <c r="I158" s="17" t="s">
        <v>42</v>
      </c>
      <c r="J158" s="148"/>
      <c r="K158" s="149">
        <f t="shared" si="17"/>
        <v>3</v>
      </c>
      <c r="L158" s="150">
        <f t="shared" si="18"/>
        <v>0</v>
      </c>
      <c r="M158" s="148"/>
      <c r="N158" s="148"/>
      <c r="O158" s="148"/>
      <c r="P158" s="148"/>
      <c r="Q158" s="148"/>
      <c r="R158" s="148"/>
      <c r="S158" s="148"/>
      <c r="T158" s="148"/>
      <c r="U158" s="148"/>
      <c r="V158" s="148"/>
      <c r="AA158" s="79" t="s">
        <v>101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49</v>
      </c>
      <c r="D159" s="12" t="s">
        <v>22</v>
      </c>
      <c r="E159" s="17" t="s">
        <v>126</v>
      </c>
      <c r="F159" s="13">
        <v>2.0</v>
      </c>
      <c r="G159" s="31" t="s">
        <v>24</v>
      </c>
      <c r="H159" s="13">
        <v>0.0</v>
      </c>
      <c r="I159" s="17" t="s">
        <v>65</v>
      </c>
      <c r="J159" s="148"/>
      <c r="K159" s="149">
        <f t="shared" si="17"/>
        <v>3</v>
      </c>
      <c r="L159" s="150">
        <f t="shared" si="18"/>
        <v>0</v>
      </c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AG159" s="3"/>
      <c r="AH159" s="3"/>
      <c r="AI159" s="3"/>
    </row>
    <row r="160" ht="15.75" customHeight="1">
      <c r="A160" s="25"/>
      <c r="B160" s="11">
        <v>45967.0</v>
      </c>
      <c r="C160" s="12" t="s">
        <v>49</v>
      </c>
      <c r="D160" s="12" t="s">
        <v>22</v>
      </c>
      <c r="E160" s="17" t="s">
        <v>45</v>
      </c>
      <c r="F160" s="13">
        <v>2.0</v>
      </c>
      <c r="G160" s="31" t="s">
        <v>24</v>
      </c>
      <c r="H160" s="13">
        <v>0.0</v>
      </c>
      <c r="I160" s="17" t="s">
        <v>109</v>
      </c>
      <c r="J160" s="148"/>
      <c r="K160" s="149">
        <f t="shared" si="17"/>
        <v>3</v>
      </c>
      <c r="L160" s="150">
        <f t="shared" si="18"/>
        <v>0</v>
      </c>
      <c r="M160" s="148"/>
      <c r="N160" s="148"/>
      <c r="O160" s="148"/>
      <c r="P160" s="148"/>
      <c r="Q160" s="148"/>
      <c r="R160" s="148"/>
      <c r="S160" s="148"/>
      <c r="T160" s="148"/>
      <c r="U160" s="148"/>
      <c r="V160" s="148"/>
      <c r="AG160" s="3"/>
      <c r="AH160" s="3"/>
      <c r="AI160" s="3"/>
    </row>
    <row r="161" ht="15.75" customHeight="1">
      <c r="A161" s="25"/>
      <c r="B161" s="11">
        <v>45967.0</v>
      </c>
      <c r="C161" s="12" t="s">
        <v>21</v>
      </c>
      <c r="D161" s="12" t="s">
        <v>22</v>
      </c>
      <c r="E161" s="17" t="s">
        <v>213</v>
      </c>
      <c r="F161" s="13">
        <v>0.0</v>
      </c>
      <c r="G161" s="31" t="s">
        <v>24</v>
      </c>
      <c r="H161" s="13">
        <v>2.0</v>
      </c>
      <c r="I161" s="17" t="s">
        <v>33</v>
      </c>
      <c r="J161" s="158"/>
      <c r="K161" s="149">
        <f t="shared" si="17"/>
        <v>0</v>
      </c>
      <c r="L161" s="150">
        <f t="shared" si="18"/>
        <v>3</v>
      </c>
      <c r="M161" s="148"/>
      <c r="N161" s="148"/>
      <c r="O161" s="148"/>
      <c r="P161" s="148"/>
      <c r="R161" s="148"/>
      <c r="S161" s="148"/>
      <c r="T161" s="148"/>
      <c r="U161" s="148"/>
      <c r="V161" s="148"/>
      <c r="AG161" s="3"/>
      <c r="AH161" s="3"/>
      <c r="AI161" s="3"/>
    </row>
    <row r="162" ht="15.75" customHeight="1">
      <c r="A162" s="25"/>
      <c r="B162" s="11">
        <v>45967.0</v>
      </c>
      <c r="C162" s="12" t="s">
        <v>21</v>
      </c>
      <c r="D162" s="12" t="s">
        <v>22</v>
      </c>
      <c r="E162" s="17" t="s">
        <v>59</v>
      </c>
      <c r="F162" s="13">
        <v>0.0</v>
      </c>
      <c r="G162" s="31" t="s">
        <v>24</v>
      </c>
      <c r="H162" s="13">
        <v>2.0</v>
      </c>
      <c r="I162" s="17" t="s">
        <v>166</v>
      </c>
      <c r="J162" s="148"/>
      <c r="K162" s="149">
        <f t="shared" si="17"/>
        <v>0</v>
      </c>
      <c r="L162" s="150">
        <f t="shared" si="18"/>
        <v>3</v>
      </c>
      <c r="M162" s="148"/>
      <c r="N162" s="148"/>
      <c r="O162" s="148"/>
      <c r="P162" s="148"/>
      <c r="Q162" s="148"/>
      <c r="R162" s="148"/>
      <c r="S162" s="148"/>
      <c r="T162" s="148"/>
      <c r="U162" s="148"/>
      <c r="V162" s="148"/>
      <c r="AG162" s="3"/>
      <c r="AH162" s="3"/>
      <c r="AI162" s="3"/>
    </row>
    <row r="163" ht="15.75" customHeight="1">
      <c r="A163" s="29"/>
      <c r="B163" s="162"/>
      <c r="C163" s="164"/>
      <c r="D163" s="164"/>
      <c r="E163" s="17">
        <v>0.0</v>
      </c>
      <c r="F163" s="31"/>
      <c r="G163" s="31" t="s">
        <v>24</v>
      </c>
      <c r="H163" s="31"/>
      <c r="I163" s="17" t="s">
        <v>63</v>
      </c>
      <c r="J163" s="148"/>
      <c r="K163" s="149" t="str">
        <f t="shared" si="17"/>
        <v/>
      </c>
      <c r="L163" s="150" t="str">
        <f t="shared" si="18"/>
        <v/>
      </c>
      <c r="M163" s="148"/>
      <c r="N163" s="148"/>
      <c r="O163" s="148"/>
      <c r="P163" s="148"/>
      <c r="Q163" s="148"/>
      <c r="R163" s="148"/>
      <c r="S163" s="148"/>
      <c r="T163" s="148"/>
      <c r="U163" s="148"/>
      <c r="V163" s="148"/>
      <c r="AA163" s="81" t="s">
        <v>103</v>
      </c>
      <c r="AB163" s="82"/>
      <c r="AC163" s="82"/>
      <c r="AD163" s="82"/>
      <c r="AE163" s="82"/>
      <c r="AF163" s="82"/>
      <c r="AG163" s="82"/>
      <c r="AH163" s="82"/>
      <c r="AI163" s="83"/>
    </row>
    <row r="164" ht="15.75" customHeight="1">
      <c r="A164" s="143">
        <v>4.0</v>
      </c>
      <c r="B164" s="162"/>
      <c r="C164" s="164"/>
      <c r="D164" s="164"/>
      <c r="E164" s="17" t="s">
        <v>42</v>
      </c>
      <c r="F164" s="31"/>
      <c r="G164" s="31" t="s">
        <v>24</v>
      </c>
      <c r="H164" s="31"/>
      <c r="I164" s="17">
        <v>0.0</v>
      </c>
      <c r="J164" s="148"/>
      <c r="K164" s="149" t="str">
        <f t="shared" si="17"/>
        <v/>
      </c>
      <c r="L164" s="150" t="str">
        <f t="shared" si="18"/>
        <v/>
      </c>
      <c r="M164" s="148"/>
      <c r="N164" s="148"/>
      <c r="O164" s="148"/>
      <c r="P164" s="148"/>
      <c r="Q164" s="148"/>
      <c r="R164" s="148"/>
      <c r="S164" s="148"/>
      <c r="T164" s="148"/>
      <c r="U164" s="148"/>
      <c r="V164" s="148"/>
      <c r="AA164" s="84"/>
      <c r="AB164" s="85"/>
      <c r="AC164" s="85"/>
      <c r="AD164" s="85"/>
      <c r="AE164" s="85"/>
      <c r="AF164" s="85"/>
      <c r="AG164" s="85"/>
      <c r="AH164" s="85"/>
      <c r="AI164" s="86"/>
    </row>
    <row r="165" ht="15.75" customHeight="1">
      <c r="A165" s="25"/>
      <c r="B165" s="11">
        <v>45981.0</v>
      </c>
      <c r="C165" s="12" t="s">
        <v>21</v>
      </c>
      <c r="D165" s="12" t="s">
        <v>22</v>
      </c>
      <c r="E165" s="17" t="s">
        <v>65</v>
      </c>
      <c r="F165" s="13">
        <v>0.0</v>
      </c>
      <c r="G165" s="31" t="s">
        <v>24</v>
      </c>
      <c r="H165" s="13">
        <v>2.0</v>
      </c>
      <c r="I165" s="17" t="s">
        <v>60</v>
      </c>
      <c r="J165" s="148"/>
      <c r="K165" s="149">
        <f t="shared" si="17"/>
        <v>0</v>
      </c>
      <c r="L165" s="150">
        <f t="shared" si="18"/>
        <v>3</v>
      </c>
      <c r="M165" s="148"/>
      <c r="N165" s="148"/>
      <c r="O165" s="148"/>
      <c r="P165" s="148"/>
      <c r="Q165" s="148"/>
      <c r="R165" s="148"/>
      <c r="S165" s="148"/>
      <c r="T165" s="148"/>
      <c r="U165" s="148"/>
      <c r="V165" s="148"/>
      <c r="AA165" s="5" t="s">
        <v>11</v>
      </c>
      <c r="AB165" s="5" t="s">
        <v>12</v>
      </c>
      <c r="AC165" s="5" t="s">
        <v>13</v>
      </c>
      <c r="AD165" s="5" t="s">
        <v>14</v>
      </c>
      <c r="AE165" s="5" t="s">
        <v>15</v>
      </c>
      <c r="AF165" s="5" t="s">
        <v>16</v>
      </c>
      <c r="AG165" s="5" t="s">
        <v>204</v>
      </c>
      <c r="AH165" s="5" t="s">
        <v>205</v>
      </c>
      <c r="AI165" s="5" t="s">
        <v>206</v>
      </c>
    </row>
    <row r="166" ht="15.75" customHeight="1">
      <c r="A166" s="25"/>
      <c r="B166" s="11">
        <v>45980.0</v>
      </c>
      <c r="C166" s="12" t="s">
        <v>121</v>
      </c>
      <c r="D166" s="12" t="s">
        <v>22</v>
      </c>
      <c r="E166" s="17" t="s">
        <v>109</v>
      </c>
      <c r="F166" s="13">
        <v>2.0</v>
      </c>
      <c r="G166" s="31" t="s">
        <v>24</v>
      </c>
      <c r="H166" s="13">
        <v>1.0</v>
      </c>
      <c r="I166" s="17" t="s">
        <v>126</v>
      </c>
      <c r="J166" s="148"/>
      <c r="K166" s="149">
        <f t="shared" si="17"/>
        <v>2</v>
      </c>
      <c r="L166" s="150">
        <f t="shared" si="18"/>
        <v>1</v>
      </c>
      <c r="M166" s="148"/>
      <c r="N166" s="148"/>
      <c r="O166" s="148"/>
      <c r="P166" s="148"/>
      <c r="Q166" s="148"/>
      <c r="R166" s="148"/>
      <c r="S166" s="148"/>
      <c r="T166" s="148"/>
      <c r="U166" s="148"/>
      <c r="V166" s="148"/>
      <c r="AA166" s="45" t="s">
        <v>29</v>
      </c>
      <c r="AB166" s="70" t="s">
        <v>60</v>
      </c>
      <c r="AC166" s="23">
        <v>25.0</v>
      </c>
      <c r="AD166" s="23">
        <v>8.0</v>
      </c>
      <c r="AE166" s="24"/>
      <c r="AF166" s="24">
        <v>2.0</v>
      </c>
      <c r="AG166" s="23">
        <v>18.0</v>
      </c>
      <c r="AH166" s="24">
        <v>5.0</v>
      </c>
      <c r="AI166" s="23">
        <v>13.0</v>
      </c>
    </row>
    <row r="167" ht="15.75" customHeight="1">
      <c r="A167" s="25"/>
      <c r="B167" s="11">
        <v>45980.0</v>
      </c>
      <c r="C167" s="12" t="s">
        <v>121</v>
      </c>
      <c r="D167" s="12" t="s">
        <v>22</v>
      </c>
      <c r="E167" s="17" t="s">
        <v>33</v>
      </c>
      <c r="F167" s="13">
        <v>2.0</v>
      </c>
      <c r="G167" s="31" t="s">
        <v>24</v>
      </c>
      <c r="H167" s="13">
        <v>1.0</v>
      </c>
      <c r="I167" s="17" t="s">
        <v>45</v>
      </c>
      <c r="J167" s="148"/>
      <c r="K167" s="149">
        <f t="shared" si="17"/>
        <v>2</v>
      </c>
      <c r="L167" s="150">
        <f t="shared" si="18"/>
        <v>1</v>
      </c>
      <c r="M167" s="148"/>
      <c r="N167" s="148"/>
      <c r="O167" s="148"/>
      <c r="P167" s="148"/>
      <c r="Q167" s="148"/>
      <c r="R167" s="148"/>
      <c r="S167" s="148"/>
      <c r="T167" s="148"/>
      <c r="U167" s="148"/>
      <c r="V167" s="148"/>
      <c r="AA167" s="124" t="s">
        <v>111</v>
      </c>
      <c r="AB167" s="70" t="s">
        <v>45</v>
      </c>
      <c r="AC167" s="23">
        <v>22.0</v>
      </c>
      <c r="AD167" s="23">
        <v>7.0</v>
      </c>
      <c r="AE167" s="24"/>
      <c r="AF167" s="24">
        <v>3.0</v>
      </c>
      <c r="AG167" s="23">
        <v>15.0</v>
      </c>
      <c r="AH167" s="24">
        <v>6.0</v>
      </c>
      <c r="AI167" s="23">
        <v>9.0</v>
      </c>
    </row>
    <row r="168" ht="15.75" customHeight="1">
      <c r="A168" s="25"/>
      <c r="B168" s="11">
        <v>45980.0</v>
      </c>
      <c r="C168" s="12" t="s">
        <v>156</v>
      </c>
      <c r="D168" s="12" t="s">
        <v>22</v>
      </c>
      <c r="E168" s="17" t="s">
        <v>166</v>
      </c>
      <c r="F168" s="13">
        <v>2.0</v>
      </c>
      <c r="G168" s="31" t="s">
        <v>24</v>
      </c>
      <c r="H168" s="13">
        <v>1.0</v>
      </c>
      <c r="I168" s="17" t="s">
        <v>213</v>
      </c>
      <c r="J168" s="148"/>
      <c r="K168" s="149">
        <f t="shared" si="17"/>
        <v>2</v>
      </c>
      <c r="L168" s="150">
        <f t="shared" si="18"/>
        <v>1</v>
      </c>
      <c r="M168" s="148"/>
      <c r="N168" s="148"/>
      <c r="O168" s="148"/>
      <c r="P168" s="148"/>
      <c r="Q168" s="148"/>
      <c r="R168" s="148"/>
      <c r="S168" s="148"/>
      <c r="T168" s="148"/>
      <c r="U168" s="148"/>
      <c r="V168" s="148"/>
      <c r="AA168" s="22">
        <v>3.0</v>
      </c>
      <c r="AB168" s="70" t="s">
        <v>126</v>
      </c>
      <c r="AC168" s="23">
        <v>20.0</v>
      </c>
      <c r="AD168" s="23">
        <v>7.0</v>
      </c>
      <c r="AE168" s="24"/>
      <c r="AF168" s="24">
        <v>3.0</v>
      </c>
      <c r="AG168" s="23">
        <v>15.0</v>
      </c>
      <c r="AH168" s="24">
        <v>8.0</v>
      </c>
      <c r="AI168" s="23">
        <v>7.0</v>
      </c>
    </row>
    <row r="169" ht="15.75" customHeight="1">
      <c r="A169" s="25"/>
      <c r="B169" s="11">
        <v>45980.0</v>
      </c>
      <c r="C169" s="12" t="s">
        <v>169</v>
      </c>
      <c r="D169" s="12" t="s">
        <v>22</v>
      </c>
      <c r="E169" s="17" t="s">
        <v>63</v>
      </c>
      <c r="F169" s="13">
        <v>0.0</v>
      </c>
      <c r="G169" s="31" t="s">
        <v>24</v>
      </c>
      <c r="H169" s="13">
        <v>2.0</v>
      </c>
      <c r="I169" s="17" t="s">
        <v>59</v>
      </c>
      <c r="J169" s="148"/>
      <c r="K169" s="149">
        <f t="shared" si="17"/>
        <v>0</v>
      </c>
      <c r="L169" s="150">
        <f t="shared" si="18"/>
        <v>3</v>
      </c>
      <c r="M169" s="148"/>
      <c r="N169" s="148"/>
      <c r="O169" s="148"/>
      <c r="P169" s="148"/>
      <c r="Q169" s="148"/>
      <c r="R169" s="148"/>
      <c r="S169" s="148"/>
      <c r="T169" s="148"/>
      <c r="U169" s="148"/>
      <c r="V169" s="148"/>
      <c r="AA169" s="22">
        <v>4.0</v>
      </c>
      <c r="AB169" s="70" t="s">
        <v>33</v>
      </c>
      <c r="AC169" s="23">
        <v>20.0</v>
      </c>
      <c r="AD169" s="23">
        <v>7.0</v>
      </c>
      <c r="AE169" s="24"/>
      <c r="AF169" s="24">
        <v>3.0</v>
      </c>
      <c r="AG169" s="23">
        <v>15.0</v>
      </c>
      <c r="AH169" s="24">
        <v>8.0</v>
      </c>
      <c r="AI169" s="23">
        <v>7.0</v>
      </c>
    </row>
    <row r="170" ht="15.75" customHeight="1">
      <c r="A170" s="65">
        <v>5.0</v>
      </c>
      <c r="B170" s="11">
        <v>46001.0</v>
      </c>
      <c r="C170" s="12" t="s">
        <v>49</v>
      </c>
      <c r="D170" s="12" t="s">
        <v>22</v>
      </c>
      <c r="E170" s="17" t="s">
        <v>42</v>
      </c>
      <c r="F170" s="13">
        <v>1.0</v>
      </c>
      <c r="G170" s="31" t="s">
        <v>24</v>
      </c>
      <c r="H170" s="13">
        <v>2.0</v>
      </c>
      <c r="I170" s="17" t="s">
        <v>65</v>
      </c>
      <c r="J170" s="148"/>
      <c r="K170" s="149">
        <f t="shared" si="17"/>
        <v>1</v>
      </c>
      <c r="L170" s="150">
        <f t="shared" si="18"/>
        <v>2</v>
      </c>
      <c r="M170" s="148"/>
      <c r="N170" s="148"/>
      <c r="O170" s="148"/>
      <c r="P170" s="148"/>
      <c r="Q170" s="148"/>
      <c r="R170" s="148"/>
      <c r="S170" s="148"/>
      <c r="T170" s="148"/>
      <c r="U170" s="148"/>
      <c r="V170" s="148"/>
      <c r="AA170" s="22">
        <v>5.0</v>
      </c>
      <c r="AB170" s="70" t="s">
        <v>166</v>
      </c>
      <c r="AC170" s="23">
        <v>20.0</v>
      </c>
      <c r="AD170" s="23">
        <v>7.0</v>
      </c>
      <c r="AE170" s="24"/>
      <c r="AF170" s="24">
        <v>3.0</v>
      </c>
      <c r="AG170" s="23">
        <v>16.0</v>
      </c>
      <c r="AH170" s="24">
        <v>9.0</v>
      </c>
      <c r="AI170" s="23">
        <v>7.0</v>
      </c>
    </row>
    <row r="171" ht="15.75" customHeight="1">
      <c r="A171" s="25"/>
      <c r="B171" s="11">
        <v>46001.0</v>
      </c>
      <c r="C171" s="12" t="s">
        <v>49</v>
      </c>
      <c r="D171" s="12" t="s">
        <v>22</v>
      </c>
      <c r="E171" s="17" t="s">
        <v>60</v>
      </c>
      <c r="F171" s="159">
        <v>2.0</v>
      </c>
      <c r="G171" s="31" t="s">
        <v>24</v>
      </c>
      <c r="H171" s="13">
        <v>0.0</v>
      </c>
      <c r="I171" s="17" t="s">
        <v>109</v>
      </c>
      <c r="J171" s="148"/>
      <c r="K171" s="149">
        <f t="shared" si="17"/>
        <v>3</v>
      </c>
      <c r="L171" s="150">
        <f t="shared" si="18"/>
        <v>0</v>
      </c>
      <c r="M171" s="148"/>
      <c r="N171" s="148"/>
      <c r="O171" s="148"/>
      <c r="P171" s="148"/>
      <c r="Q171" s="148"/>
      <c r="R171" s="148"/>
      <c r="S171" s="148"/>
      <c r="T171" s="148"/>
      <c r="U171" s="148"/>
      <c r="V171" s="148"/>
      <c r="AA171" s="22">
        <v>6.0</v>
      </c>
      <c r="AB171" s="70" t="s">
        <v>59</v>
      </c>
      <c r="AC171" s="23">
        <v>16.0</v>
      </c>
      <c r="AD171" s="23">
        <v>5.0</v>
      </c>
      <c r="AE171" s="24"/>
      <c r="AF171" s="24">
        <v>5.0</v>
      </c>
      <c r="AG171" s="23">
        <v>11.0</v>
      </c>
      <c r="AH171" s="24">
        <v>10.0</v>
      </c>
      <c r="AI171" s="23">
        <v>1.0</v>
      </c>
    </row>
    <row r="172" ht="15.75" customHeight="1">
      <c r="A172" s="25"/>
      <c r="B172" s="11">
        <v>46001.0</v>
      </c>
      <c r="C172" s="12" t="s">
        <v>49</v>
      </c>
      <c r="D172" s="12" t="s">
        <v>22</v>
      </c>
      <c r="E172" s="17" t="s">
        <v>126</v>
      </c>
      <c r="F172" s="159">
        <v>2.0</v>
      </c>
      <c r="G172" s="31" t="s">
        <v>24</v>
      </c>
      <c r="H172" s="13">
        <v>0.0</v>
      </c>
      <c r="I172" s="17" t="s">
        <v>33</v>
      </c>
      <c r="J172" s="148"/>
      <c r="K172" s="149">
        <f t="shared" si="17"/>
        <v>3</v>
      </c>
      <c r="L172" s="150">
        <f t="shared" si="18"/>
        <v>0</v>
      </c>
      <c r="M172" s="148"/>
      <c r="N172" s="148"/>
      <c r="O172" s="148"/>
      <c r="P172" s="148"/>
      <c r="Q172" s="148"/>
      <c r="R172" s="148"/>
      <c r="S172" s="148"/>
      <c r="T172" s="148"/>
      <c r="U172" s="148"/>
      <c r="V172" s="148"/>
      <c r="AA172" s="22">
        <v>7.0</v>
      </c>
      <c r="AB172" s="70" t="s">
        <v>109</v>
      </c>
      <c r="AC172" s="23">
        <v>15.0</v>
      </c>
      <c r="AD172" s="23">
        <v>6.0</v>
      </c>
      <c r="AE172" s="24"/>
      <c r="AF172" s="24">
        <v>4.0</v>
      </c>
      <c r="AG172" s="23">
        <v>13.0</v>
      </c>
      <c r="AH172" s="24">
        <v>12.0</v>
      </c>
      <c r="AI172" s="23">
        <v>1.0</v>
      </c>
    </row>
    <row r="173" ht="15.75" customHeight="1">
      <c r="A173" s="25"/>
      <c r="B173" s="11">
        <v>46001.0</v>
      </c>
      <c r="C173" s="12" t="s">
        <v>21</v>
      </c>
      <c r="D173" s="12" t="s">
        <v>22</v>
      </c>
      <c r="E173" s="17" t="s">
        <v>45</v>
      </c>
      <c r="F173" s="159">
        <v>0.0</v>
      </c>
      <c r="G173" s="31" t="s">
        <v>24</v>
      </c>
      <c r="H173" s="13">
        <v>2.0</v>
      </c>
      <c r="I173" s="17" t="s">
        <v>166</v>
      </c>
      <c r="J173" s="148"/>
      <c r="K173" s="149">
        <f t="shared" si="17"/>
        <v>0</v>
      </c>
      <c r="L173" s="150">
        <f t="shared" si="18"/>
        <v>3</v>
      </c>
      <c r="M173" s="148"/>
      <c r="N173" s="148"/>
      <c r="O173" s="148"/>
      <c r="P173" s="148"/>
      <c r="Q173" s="148"/>
      <c r="R173" s="148"/>
      <c r="S173" s="148"/>
      <c r="T173" s="148"/>
      <c r="U173" s="148"/>
      <c r="V173" s="148"/>
      <c r="AA173" s="22">
        <v>8.0</v>
      </c>
      <c r="AB173" s="70" t="s">
        <v>213</v>
      </c>
      <c r="AC173" s="23">
        <v>11.0</v>
      </c>
      <c r="AD173" s="23">
        <v>3.0</v>
      </c>
      <c r="AE173" s="24"/>
      <c r="AF173" s="24">
        <v>7.0</v>
      </c>
      <c r="AG173" s="23">
        <v>8.0</v>
      </c>
      <c r="AH173" s="24">
        <v>14.0</v>
      </c>
      <c r="AI173" s="23">
        <v>-6.0</v>
      </c>
    </row>
    <row r="174" ht="15.75" customHeight="1">
      <c r="A174" s="25"/>
      <c r="B174" s="11">
        <v>46001.0</v>
      </c>
      <c r="C174" s="12" t="s">
        <v>21</v>
      </c>
      <c r="D174" s="12" t="s">
        <v>22</v>
      </c>
      <c r="E174" s="17" t="s">
        <v>213</v>
      </c>
      <c r="F174" s="159">
        <v>0.0</v>
      </c>
      <c r="G174" s="31" t="s">
        <v>24</v>
      </c>
      <c r="H174" s="13">
        <v>2.0</v>
      </c>
      <c r="I174" s="17" t="s">
        <v>63</v>
      </c>
      <c r="J174" s="148"/>
      <c r="K174" s="149">
        <f t="shared" si="17"/>
        <v>0</v>
      </c>
      <c r="L174" s="150">
        <f t="shared" si="18"/>
        <v>3</v>
      </c>
      <c r="M174" s="148"/>
      <c r="N174" s="148"/>
      <c r="O174" s="148"/>
      <c r="P174" s="148"/>
      <c r="Q174" s="148"/>
      <c r="R174" s="148"/>
      <c r="S174" s="148"/>
      <c r="T174" s="148"/>
      <c r="U174" s="148"/>
      <c r="V174" s="148"/>
      <c r="AA174" s="22">
        <v>9.0</v>
      </c>
      <c r="AB174" s="70" t="s">
        <v>42</v>
      </c>
      <c r="AC174" s="23">
        <v>6.0</v>
      </c>
      <c r="AD174" s="23">
        <v>1.0</v>
      </c>
      <c r="AE174" s="24"/>
      <c r="AF174" s="24">
        <v>9.0</v>
      </c>
      <c r="AG174" s="23">
        <v>5.0</v>
      </c>
      <c r="AH174" s="24">
        <v>18.0</v>
      </c>
      <c r="AI174" s="23">
        <v>-13.0</v>
      </c>
    </row>
    <row r="175" ht="15.75" customHeight="1">
      <c r="A175" s="29"/>
      <c r="B175" s="162"/>
      <c r="C175" s="164"/>
      <c r="D175" s="164"/>
      <c r="E175" s="17">
        <v>0.0</v>
      </c>
      <c r="F175" s="164"/>
      <c r="G175" s="31" t="s">
        <v>24</v>
      </c>
      <c r="H175" s="31"/>
      <c r="I175" s="17" t="s">
        <v>59</v>
      </c>
      <c r="J175" s="148"/>
      <c r="K175" s="149" t="str">
        <f t="shared" si="17"/>
        <v/>
      </c>
      <c r="L175" s="150" t="str">
        <f t="shared" si="18"/>
        <v/>
      </c>
      <c r="M175" s="148"/>
      <c r="N175" s="148"/>
      <c r="O175" s="148"/>
      <c r="P175" s="148"/>
      <c r="Q175" s="148"/>
      <c r="R175" s="148"/>
      <c r="S175" s="148"/>
      <c r="T175" s="148"/>
      <c r="U175" s="148"/>
      <c r="V175" s="148"/>
      <c r="AA175" s="22">
        <v>10.0</v>
      </c>
      <c r="AB175" s="70" t="s">
        <v>65</v>
      </c>
      <c r="AC175" s="23">
        <v>5.0</v>
      </c>
      <c r="AD175" s="23">
        <v>2.0</v>
      </c>
      <c r="AE175" s="24"/>
      <c r="AF175" s="24">
        <v>8.0</v>
      </c>
      <c r="AG175" s="23">
        <v>4.0</v>
      </c>
      <c r="AH175" s="24">
        <v>17.0</v>
      </c>
      <c r="AI175" s="23">
        <v>-13.0</v>
      </c>
    </row>
    <row r="176" ht="15.75" customHeight="1">
      <c r="A176" s="65">
        <v>6.0</v>
      </c>
      <c r="B176" s="162"/>
      <c r="C176" s="163"/>
      <c r="D176" s="164"/>
      <c r="E176" s="17" t="s">
        <v>65</v>
      </c>
      <c r="F176" s="31"/>
      <c r="G176" s="31" t="s">
        <v>24</v>
      </c>
      <c r="H176" s="31"/>
      <c r="I176" s="17">
        <v>0.0</v>
      </c>
      <c r="J176" s="148"/>
      <c r="K176" s="149" t="str">
        <f t="shared" si="17"/>
        <v/>
      </c>
      <c r="L176" s="150" t="str">
        <f t="shared" si="18"/>
        <v/>
      </c>
      <c r="M176" s="148"/>
      <c r="N176" s="148"/>
      <c r="O176" s="148"/>
      <c r="P176" s="148"/>
      <c r="Q176" s="148"/>
      <c r="R176" s="148"/>
      <c r="S176" s="148"/>
      <c r="T176" s="148"/>
      <c r="U176" s="148"/>
      <c r="V176" s="148"/>
      <c r="AA176" s="52">
        <v>11.0</v>
      </c>
      <c r="AB176" s="70" t="s">
        <v>63</v>
      </c>
      <c r="AC176" s="23">
        <v>5.0</v>
      </c>
      <c r="AD176" s="23">
        <v>2.0</v>
      </c>
      <c r="AE176" s="24"/>
      <c r="AF176" s="24">
        <v>8.0</v>
      </c>
      <c r="AG176" s="23">
        <v>4.0</v>
      </c>
      <c r="AH176" s="24">
        <v>17.0</v>
      </c>
      <c r="AI176" s="23">
        <v>-13.0</v>
      </c>
    </row>
    <row r="177" ht="15.75" customHeight="1">
      <c r="A177" s="25"/>
      <c r="B177" s="11">
        <v>46071.0</v>
      </c>
      <c r="C177" s="12" t="s">
        <v>49</v>
      </c>
      <c r="D177" s="12" t="s">
        <v>22</v>
      </c>
      <c r="E177" s="17" t="s">
        <v>109</v>
      </c>
      <c r="F177" s="13">
        <v>2.0</v>
      </c>
      <c r="G177" s="31" t="s">
        <v>24</v>
      </c>
      <c r="H177" s="13">
        <v>1.0</v>
      </c>
      <c r="I177" s="17" t="s">
        <v>42</v>
      </c>
      <c r="J177" s="148"/>
      <c r="K177" s="149">
        <f t="shared" si="17"/>
        <v>2</v>
      </c>
      <c r="L177" s="150">
        <f t="shared" si="18"/>
        <v>1</v>
      </c>
      <c r="M177" s="148"/>
      <c r="N177" s="148"/>
      <c r="O177" s="148"/>
      <c r="P177" s="148"/>
      <c r="Q177" s="148"/>
      <c r="R177" s="148"/>
      <c r="S177" s="148"/>
      <c r="T177" s="148"/>
      <c r="U177" s="148"/>
      <c r="V177" s="148"/>
      <c r="AA177" s="35" t="s">
        <v>215</v>
      </c>
      <c r="AD177" s="37"/>
      <c r="AE177" s="37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49</v>
      </c>
      <c r="D178" s="12" t="s">
        <v>22</v>
      </c>
      <c r="E178" s="17" t="s">
        <v>33</v>
      </c>
      <c r="F178" s="13">
        <v>1.0</v>
      </c>
      <c r="G178" s="31" t="s">
        <v>24</v>
      </c>
      <c r="H178" s="13">
        <v>2.0</v>
      </c>
      <c r="I178" s="17" t="s">
        <v>60</v>
      </c>
      <c r="J178" s="148"/>
      <c r="K178" s="149">
        <f t="shared" si="17"/>
        <v>1</v>
      </c>
      <c r="L178" s="150">
        <f t="shared" si="18"/>
        <v>2</v>
      </c>
      <c r="M178" s="148"/>
      <c r="N178" s="148"/>
      <c r="O178" s="148"/>
      <c r="P178" s="148"/>
      <c r="Q178" s="148"/>
      <c r="R178" s="148"/>
      <c r="S178" s="148"/>
      <c r="T178" s="148"/>
      <c r="U178" s="148"/>
      <c r="V178" s="148"/>
      <c r="AA178" s="79" t="s">
        <v>101</v>
      </c>
      <c r="AD178" s="37"/>
      <c r="AE178" s="37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49</v>
      </c>
      <c r="D179" s="12" t="s">
        <v>22</v>
      </c>
      <c r="E179" s="17" t="s">
        <v>166</v>
      </c>
      <c r="F179" s="13">
        <v>0.0</v>
      </c>
      <c r="G179" s="31" t="s">
        <v>24</v>
      </c>
      <c r="H179" s="13">
        <v>2.0</v>
      </c>
      <c r="I179" s="17" t="s">
        <v>126</v>
      </c>
      <c r="J179" s="148"/>
      <c r="K179" s="149">
        <f t="shared" si="17"/>
        <v>0</v>
      </c>
      <c r="L179" s="150">
        <f t="shared" si="18"/>
        <v>3</v>
      </c>
      <c r="M179" s="148"/>
      <c r="N179" s="148"/>
      <c r="O179" s="148"/>
      <c r="P179" s="148"/>
      <c r="Q179" s="148"/>
      <c r="R179" s="148"/>
      <c r="S179" s="148"/>
      <c r="T179" s="148"/>
      <c r="U179" s="148"/>
      <c r="V179" s="148"/>
      <c r="AA179" s="3"/>
      <c r="AB179" s="147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21</v>
      </c>
      <c r="D180" s="12" t="s">
        <v>22</v>
      </c>
      <c r="E180" s="17" t="s">
        <v>63</v>
      </c>
      <c r="F180" s="13">
        <v>0.0</v>
      </c>
      <c r="G180" s="31" t="s">
        <v>24</v>
      </c>
      <c r="H180" s="13">
        <v>2.0</v>
      </c>
      <c r="I180" s="17" t="s">
        <v>45</v>
      </c>
      <c r="J180" s="148"/>
      <c r="K180" s="149">
        <f t="shared" si="17"/>
        <v>0</v>
      </c>
      <c r="L180" s="150">
        <f t="shared" si="18"/>
        <v>3</v>
      </c>
      <c r="M180" s="148"/>
      <c r="N180" s="148"/>
      <c r="O180" s="148"/>
      <c r="P180" s="148"/>
      <c r="Q180" s="148"/>
      <c r="R180" s="148"/>
      <c r="S180" s="148"/>
      <c r="T180" s="148"/>
      <c r="U180" s="148"/>
      <c r="V180" s="148"/>
      <c r="AA180" s="3"/>
      <c r="AB180" s="147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21</v>
      </c>
      <c r="D181" s="12" t="s">
        <v>22</v>
      </c>
      <c r="E181" s="17" t="s">
        <v>59</v>
      </c>
      <c r="F181" s="13">
        <v>2.0</v>
      </c>
      <c r="G181" s="31" t="s">
        <v>24</v>
      </c>
      <c r="H181" s="13">
        <v>0.0</v>
      </c>
      <c r="I181" s="17" t="s">
        <v>213</v>
      </c>
      <c r="J181" s="148"/>
      <c r="K181" s="149">
        <f t="shared" si="17"/>
        <v>3</v>
      </c>
      <c r="L181" s="150">
        <f t="shared" si="18"/>
        <v>0</v>
      </c>
      <c r="M181" s="148"/>
      <c r="N181" s="148"/>
      <c r="O181" s="148"/>
      <c r="P181" s="148"/>
      <c r="Q181" s="148"/>
      <c r="R181" s="148"/>
      <c r="S181" s="148"/>
      <c r="T181" s="148"/>
      <c r="U181" s="148"/>
      <c r="V181" s="148"/>
      <c r="AA181" s="3"/>
      <c r="AB181" s="147"/>
      <c r="AC181" s="3"/>
      <c r="AD181" s="3"/>
      <c r="AE181" s="3"/>
      <c r="AF181" s="3"/>
      <c r="AG181" s="3"/>
      <c r="AH181" s="3"/>
      <c r="AI181" s="3"/>
    </row>
    <row r="182" ht="15.75" customHeight="1">
      <c r="A182" s="65">
        <v>7.0</v>
      </c>
      <c r="B182" s="11">
        <v>46071.0</v>
      </c>
      <c r="C182" s="12" t="s">
        <v>21</v>
      </c>
      <c r="D182" s="12" t="s">
        <v>22</v>
      </c>
      <c r="E182" s="17" t="s">
        <v>65</v>
      </c>
      <c r="F182" s="13">
        <v>0.0</v>
      </c>
      <c r="G182" s="31" t="s">
        <v>24</v>
      </c>
      <c r="H182" s="13">
        <v>2.0</v>
      </c>
      <c r="I182" s="17" t="s">
        <v>109</v>
      </c>
      <c r="J182" s="148"/>
      <c r="K182" s="149">
        <f t="shared" si="17"/>
        <v>0</v>
      </c>
      <c r="L182" s="150">
        <f t="shared" si="18"/>
        <v>3</v>
      </c>
      <c r="M182" s="148"/>
      <c r="N182" s="148"/>
      <c r="O182" s="148"/>
      <c r="P182" s="148"/>
      <c r="Q182" s="148"/>
      <c r="R182" s="148"/>
      <c r="S182" s="148"/>
      <c r="T182" s="148"/>
      <c r="U182" s="148"/>
      <c r="V182" s="148"/>
      <c r="AA182" s="157"/>
      <c r="AD182" s="37"/>
      <c r="AE182" s="37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169</v>
      </c>
      <c r="D183" s="12" t="s">
        <v>22</v>
      </c>
      <c r="E183" s="17" t="s">
        <v>42</v>
      </c>
      <c r="F183" s="13">
        <v>0.0</v>
      </c>
      <c r="G183" s="31" t="s">
        <v>24</v>
      </c>
      <c r="H183" s="13">
        <v>2.0</v>
      </c>
      <c r="I183" s="17" t="s">
        <v>33</v>
      </c>
      <c r="J183" s="148"/>
      <c r="K183" s="149">
        <f t="shared" si="17"/>
        <v>0</v>
      </c>
      <c r="L183" s="150">
        <f t="shared" si="18"/>
        <v>3</v>
      </c>
      <c r="M183" s="148"/>
      <c r="N183" s="148"/>
      <c r="O183" s="148"/>
      <c r="P183" s="148"/>
      <c r="Q183" s="148"/>
      <c r="R183" s="148"/>
      <c r="S183" s="148"/>
      <c r="T183" s="148"/>
      <c r="U183" s="148"/>
      <c r="V183" s="148"/>
      <c r="AD183" s="37"/>
      <c r="AG183" s="3"/>
      <c r="AH183" s="3"/>
      <c r="AI183" s="3"/>
    </row>
    <row r="184" ht="15.75" customHeight="1">
      <c r="A184" s="25"/>
      <c r="B184" s="11">
        <v>46089.0</v>
      </c>
      <c r="C184" s="12" t="s">
        <v>169</v>
      </c>
      <c r="D184" s="39" t="s">
        <v>22</v>
      </c>
      <c r="E184" s="17" t="s">
        <v>60</v>
      </c>
      <c r="F184" s="13">
        <v>1.0</v>
      </c>
      <c r="G184" s="31" t="s">
        <v>24</v>
      </c>
      <c r="H184" s="13">
        <v>2.0</v>
      </c>
      <c r="I184" s="17" t="s">
        <v>166</v>
      </c>
      <c r="J184" s="148"/>
      <c r="K184" s="149">
        <f t="shared" si="17"/>
        <v>1</v>
      </c>
      <c r="L184" s="150">
        <f t="shared" si="18"/>
        <v>2</v>
      </c>
      <c r="M184" s="148"/>
      <c r="N184" s="148"/>
      <c r="O184" s="148"/>
      <c r="P184" s="148"/>
      <c r="Q184" s="148"/>
      <c r="R184" s="148"/>
      <c r="S184" s="148"/>
      <c r="T184" s="148"/>
      <c r="U184" s="148"/>
      <c r="V184" s="148"/>
      <c r="AG184" s="3"/>
      <c r="AH184" s="3"/>
      <c r="AI184" s="3"/>
    </row>
    <row r="185" ht="15.75" customHeight="1">
      <c r="A185" s="25"/>
      <c r="B185" s="11">
        <v>46089.0</v>
      </c>
      <c r="C185" s="12" t="s">
        <v>169</v>
      </c>
      <c r="D185" s="12" t="s">
        <v>22</v>
      </c>
      <c r="E185" s="17" t="s">
        <v>126</v>
      </c>
      <c r="F185" s="13">
        <v>2.0</v>
      </c>
      <c r="G185" s="31" t="s">
        <v>24</v>
      </c>
      <c r="H185" s="13">
        <v>0.0</v>
      </c>
      <c r="I185" s="17" t="s">
        <v>63</v>
      </c>
      <c r="J185" s="148"/>
      <c r="K185" s="149">
        <f t="shared" si="17"/>
        <v>3</v>
      </c>
      <c r="L185" s="150">
        <f t="shared" si="18"/>
        <v>0</v>
      </c>
      <c r="M185" s="148"/>
      <c r="N185" s="148"/>
      <c r="O185" s="148"/>
      <c r="P185" s="148"/>
      <c r="Q185" s="148"/>
      <c r="R185" s="148"/>
      <c r="S185" s="148"/>
      <c r="T185" s="148"/>
      <c r="U185" s="148"/>
      <c r="V185" s="148"/>
      <c r="AG185" s="3"/>
      <c r="AH185" s="3"/>
      <c r="AI185" s="3"/>
    </row>
    <row r="186" ht="15.75" customHeight="1">
      <c r="A186" s="25"/>
      <c r="B186" s="11">
        <v>46089.0</v>
      </c>
      <c r="C186" s="12" t="s">
        <v>160</v>
      </c>
      <c r="D186" s="12" t="s">
        <v>22</v>
      </c>
      <c r="E186" s="17" t="s">
        <v>45</v>
      </c>
      <c r="F186" s="13">
        <v>2.0</v>
      </c>
      <c r="G186" s="31" t="s">
        <v>24</v>
      </c>
      <c r="H186" s="13">
        <v>0.0</v>
      </c>
      <c r="I186" s="17" t="s">
        <v>59</v>
      </c>
      <c r="J186" s="148"/>
      <c r="K186" s="149">
        <f t="shared" si="17"/>
        <v>3</v>
      </c>
      <c r="L186" s="150">
        <f t="shared" si="18"/>
        <v>0</v>
      </c>
      <c r="M186" s="148"/>
      <c r="N186" s="148"/>
      <c r="O186" s="148"/>
      <c r="P186" s="148"/>
      <c r="Q186" s="148"/>
      <c r="R186" s="148"/>
      <c r="S186" s="148"/>
      <c r="T186" s="148"/>
      <c r="U186" s="148"/>
      <c r="V186" s="148"/>
      <c r="AG186" s="3"/>
      <c r="AH186" s="3"/>
      <c r="AI186" s="3"/>
    </row>
    <row r="187" ht="15.75" customHeight="1">
      <c r="A187" s="29"/>
      <c r="B187" s="162"/>
      <c r="C187" s="164"/>
      <c r="D187" s="164"/>
      <c r="E187" s="17">
        <v>0.0</v>
      </c>
      <c r="F187" s="31"/>
      <c r="G187" s="31" t="s">
        <v>24</v>
      </c>
      <c r="H187" s="31"/>
      <c r="I187" s="17" t="s">
        <v>213</v>
      </c>
      <c r="J187" s="148"/>
      <c r="K187" s="149" t="str">
        <f t="shared" si="17"/>
        <v/>
      </c>
      <c r="L187" s="150" t="str">
        <f t="shared" si="18"/>
        <v/>
      </c>
      <c r="M187" s="148"/>
      <c r="N187" s="148"/>
      <c r="O187" s="148"/>
      <c r="P187" s="148"/>
      <c r="Q187" s="148"/>
      <c r="R187" s="148"/>
      <c r="S187" s="148"/>
      <c r="T187" s="148"/>
      <c r="U187" s="148"/>
      <c r="V187" s="148"/>
      <c r="AG187" s="3"/>
      <c r="AH187" s="3"/>
      <c r="AI187" s="3"/>
    </row>
    <row r="188" ht="15.75" customHeight="1">
      <c r="A188" s="65">
        <v>8.0</v>
      </c>
      <c r="B188" s="162"/>
      <c r="C188" s="163"/>
      <c r="D188" s="164"/>
      <c r="E188" s="17" t="s">
        <v>109</v>
      </c>
      <c r="F188" s="31"/>
      <c r="G188" s="31" t="s">
        <v>24</v>
      </c>
      <c r="H188" s="31"/>
      <c r="I188" s="17">
        <v>0.0</v>
      </c>
      <c r="J188" s="148"/>
      <c r="K188" s="149" t="str">
        <f t="shared" si="17"/>
        <v/>
      </c>
      <c r="L188" s="150" t="str">
        <f t="shared" si="18"/>
        <v/>
      </c>
      <c r="M188" s="148"/>
      <c r="N188" s="148"/>
      <c r="O188" s="148"/>
      <c r="P188" s="148"/>
      <c r="Q188" s="148"/>
      <c r="R188" s="148"/>
      <c r="S188" s="148"/>
      <c r="T188" s="148"/>
      <c r="U188" s="148"/>
      <c r="V188" s="148"/>
      <c r="AG188" s="3"/>
      <c r="AH188" s="3"/>
      <c r="AI188" s="3"/>
    </row>
    <row r="189" ht="15.75" customHeight="1">
      <c r="A189" s="25"/>
      <c r="B189" s="11">
        <v>46089.0</v>
      </c>
      <c r="C189" s="12" t="s">
        <v>160</v>
      </c>
      <c r="D189" s="12" t="s">
        <v>22</v>
      </c>
      <c r="E189" s="17" t="s">
        <v>33</v>
      </c>
      <c r="F189" s="13">
        <v>2.0</v>
      </c>
      <c r="G189" s="31" t="s">
        <v>24</v>
      </c>
      <c r="H189" s="13">
        <v>0.0</v>
      </c>
      <c r="I189" s="17" t="s">
        <v>65</v>
      </c>
      <c r="J189" s="148"/>
      <c r="K189" s="149">
        <f t="shared" si="17"/>
        <v>3</v>
      </c>
      <c r="L189" s="150">
        <f t="shared" si="18"/>
        <v>0</v>
      </c>
      <c r="M189" s="148"/>
      <c r="N189" s="148"/>
      <c r="O189" s="148"/>
      <c r="P189" s="148"/>
      <c r="Q189" s="148"/>
      <c r="R189" s="148"/>
      <c r="S189" s="148"/>
      <c r="T189" s="148"/>
      <c r="U189" s="148"/>
      <c r="V189" s="148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160</v>
      </c>
      <c r="D190" s="12" t="s">
        <v>22</v>
      </c>
      <c r="E190" s="17" t="s">
        <v>166</v>
      </c>
      <c r="F190" s="13">
        <v>2.0</v>
      </c>
      <c r="G190" s="31" t="s">
        <v>24</v>
      </c>
      <c r="H190" s="13">
        <v>0.0</v>
      </c>
      <c r="I190" s="17" t="s">
        <v>42</v>
      </c>
      <c r="J190" s="148"/>
      <c r="K190" s="149">
        <f t="shared" si="17"/>
        <v>3</v>
      </c>
      <c r="L190" s="150">
        <f t="shared" si="18"/>
        <v>0</v>
      </c>
      <c r="M190" s="148"/>
      <c r="N190" s="148"/>
      <c r="O190" s="148"/>
      <c r="P190" s="148"/>
      <c r="Q190" s="148"/>
      <c r="R190" s="148"/>
      <c r="S190" s="148"/>
      <c r="T190" s="148"/>
      <c r="U190" s="148"/>
      <c r="V190" s="148"/>
      <c r="AA190" s="3"/>
      <c r="AB190" s="147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21</v>
      </c>
      <c r="D191" s="12" t="s">
        <v>22</v>
      </c>
      <c r="E191" s="17" t="s">
        <v>63</v>
      </c>
      <c r="F191" s="13">
        <v>0.0</v>
      </c>
      <c r="G191" s="31" t="s">
        <v>24</v>
      </c>
      <c r="H191" s="13">
        <v>2.0</v>
      </c>
      <c r="I191" s="17" t="s">
        <v>60</v>
      </c>
      <c r="J191" s="148"/>
      <c r="K191" s="149">
        <f t="shared" si="17"/>
        <v>0</v>
      </c>
      <c r="L191" s="150">
        <f t="shared" si="18"/>
        <v>3</v>
      </c>
      <c r="M191" s="148"/>
      <c r="N191" s="148"/>
      <c r="O191" s="148"/>
      <c r="P191" s="148"/>
      <c r="Q191" s="148"/>
      <c r="R191" s="148"/>
      <c r="S191" s="148"/>
      <c r="T191" s="148"/>
      <c r="U191" s="148"/>
      <c r="V191" s="148"/>
      <c r="AA191" s="3"/>
      <c r="AB191" s="147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21</v>
      </c>
      <c r="D192" s="12" t="s">
        <v>22</v>
      </c>
      <c r="E192" s="17" t="s">
        <v>59</v>
      </c>
      <c r="F192" s="13">
        <v>0.0</v>
      </c>
      <c r="G192" s="31" t="s">
        <v>24</v>
      </c>
      <c r="H192" s="13">
        <v>2.0</v>
      </c>
      <c r="I192" s="17" t="s">
        <v>126</v>
      </c>
      <c r="J192" s="148"/>
      <c r="K192" s="149">
        <f t="shared" si="17"/>
        <v>0</v>
      </c>
      <c r="L192" s="150">
        <f t="shared" si="18"/>
        <v>3</v>
      </c>
      <c r="M192" s="148"/>
      <c r="N192" s="148"/>
      <c r="O192" s="148"/>
      <c r="P192" s="148"/>
      <c r="Q192" s="148"/>
      <c r="R192" s="148"/>
      <c r="S192" s="148"/>
      <c r="T192" s="148"/>
      <c r="U192" s="148"/>
      <c r="V192" s="148"/>
      <c r="AA192" s="3"/>
      <c r="AB192" s="147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71">
        <v>46148.0</v>
      </c>
      <c r="C193" s="66" t="s">
        <v>106</v>
      </c>
      <c r="D193" s="66" t="s">
        <v>22</v>
      </c>
      <c r="E193" s="17" t="s">
        <v>213</v>
      </c>
      <c r="F193" s="13">
        <v>0.0</v>
      </c>
      <c r="G193" s="31" t="s">
        <v>24</v>
      </c>
      <c r="H193" s="13">
        <v>2.0</v>
      </c>
      <c r="I193" s="17" t="s">
        <v>45</v>
      </c>
      <c r="J193" s="148"/>
      <c r="K193" s="149">
        <f t="shared" si="17"/>
        <v>0</v>
      </c>
      <c r="L193" s="150">
        <f t="shared" si="18"/>
        <v>3</v>
      </c>
      <c r="M193" s="148"/>
      <c r="N193" s="148"/>
      <c r="O193" s="148"/>
      <c r="P193" s="148"/>
      <c r="Q193" s="148"/>
      <c r="R193" s="148"/>
      <c r="S193" s="148"/>
      <c r="T193" s="148"/>
      <c r="U193" s="148"/>
      <c r="V193" s="148"/>
      <c r="AA193" s="3"/>
      <c r="AB193" s="147"/>
      <c r="AC193" s="3"/>
      <c r="AD193" s="3"/>
      <c r="AE193" s="3"/>
      <c r="AF193" s="3"/>
      <c r="AG193" s="3"/>
      <c r="AH193" s="3"/>
      <c r="AI193" s="3"/>
    </row>
    <row r="194" ht="15.75" customHeight="1">
      <c r="A194" s="65">
        <v>9.0</v>
      </c>
      <c r="B194" s="11">
        <v>46100.0</v>
      </c>
      <c r="C194" s="12" t="s">
        <v>21</v>
      </c>
      <c r="D194" s="12" t="s">
        <v>22</v>
      </c>
      <c r="E194" s="17" t="s">
        <v>109</v>
      </c>
      <c r="F194" s="13">
        <v>0.0</v>
      </c>
      <c r="G194" s="31" t="s">
        <v>24</v>
      </c>
      <c r="H194" s="13">
        <v>2.0</v>
      </c>
      <c r="I194" s="17" t="s">
        <v>33</v>
      </c>
      <c r="J194" s="148"/>
      <c r="K194" s="149">
        <f t="shared" si="17"/>
        <v>0</v>
      </c>
      <c r="L194" s="150">
        <f t="shared" si="18"/>
        <v>3</v>
      </c>
      <c r="M194" s="148"/>
      <c r="N194" s="148"/>
      <c r="O194" s="148"/>
      <c r="P194" s="148"/>
      <c r="Q194" s="148"/>
      <c r="R194" s="148"/>
      <c r="S194" s="148"/>
      <c r="T194" s="148"/>
      <c r="U194" s="148"/>
      <c r="V194" s="148"/>
      <c r="AA194" s="3"/>
      <c r="AB194" s="147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1">
        <v>46127.0</v>
      </c>
      <c r="C195" s="12" t="s">
        <v>21</v>
      </c>
      <c r="D195" s="12" t="s">
        <v>22</v>
      </c>
      <c r="E195" s="17" t="s">
        <v>65</v>
      </c>
      <c r="F195" s="13">
        <v>0.0</v>
      </c>
      <c r="G195" s="31" t="s">
        <v>24</v>
      </c>
      <c r="H195" s="13">
        <v>2.0</v>
      </c>
      <c r="I195" s="17" t="s">
        <v>166</v>
      </c>
      <c r="J195" s="148"/>
      <c r="K195" s="149">
        <f t="shared" si="17"/>
        <v>0</v>
      </c>
      <c r="L195" s="150">
        <f t="shared" si="18"/>
        <v>3</v>
      </c>
      <c r="M195" s="148"/>
      <c r="N195" s="148"/>
      <c r="O195" s="148"/>
      <c r="P195" s="148"/>
      <c r="Q195" s="148"/>
      <c r="R195" s="148"/>
      <c r="S195" s="148"/>
      <c r="T195" s="148"/>
      <c r="U195" s="148"/>
      <c r="V195" s="148"/>
      <c r="AA195" s="3"/>
      <c r="AB195" s="147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1">
        <v>46127.0</v>
      </c>
      <c r="C196" s="12" t="s">
        <v>21</v>
      </c>
      <c r="D196" s="12" t="s">
        <v>22</v>
      </c>
      <c r="E196" s="17" t="s">
        <v>42</v>
      </c>
      <c r="F196" s="13">
        <v>2.0</v>
      </c>
      <c r="G196" s="31" t="s">
        <v>24</v>
      </c>
      <c r="H196" s="13">
        <v>0.0</v>
      </c>
      <c r="I196" s="17" t="s">
        <v>63</v>
      </c>
      <c r="J196" s="148"/>
      <c r="K196" s="149">
        <f t="shared" si="17"/>
        <v>3</v>
      </c>
      <c r="L196" s="150">
        <f t="shared" si="18"/>
        <v>0</v>
      </c>
      <c r="M196" s="148"/>
      <c r="N196" s="148"/>
      <c r="O196" s="148"/>
      <c r="P196" s="148"/>
      <c r="Q196" s="148"/>
      <c r="R196" s="148"/>
      <c r="S196" s="148"/>
      <c r="T196" s="148"/>
      <c r="U196" s="148"/>
      <c r="V196" s="148"/>
      <c r="AA196" s="3"/>
      <c r="AB196" s="147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1">
        <v>46127.0</v>
      </c>
      <c r="C197" s="12" t="s">
        <v>21</v>
      </c>
      <c r="D197" s="12" t="s">
        <v>22</v>
      </c>
      <c r="E197" s="17" t="s">
        <v>60</v>
      </c>
      <c r="F197" s="13">
        <v>2.0</v>
      </c>
      <c r="G197" s="31" t="s">
        <v>24</v>
      </c>
      <c r="H197" s="13">
        <v>0.0</v>
      </c>
      <c r="I197" s="17" t="s">
        <v>59</v>
      </c>
      <c r="J197" s="148"/>
      <c r="K197" s="149">
        <f t="shared" si="17"/>
        <v>3</v>
      </c>
      <c r="L197" s="150">
        <f t="shared" si="18"/>
        <v>0</v>
      </c>
      <c r="M197" s="148"/>
      <c r="N197" s="148"/>
      <c r="O197" s="148"/>
      <c r="P197" s="148"/>
      <c r="Q197" s="148"/>
      <c r="R197" s="148"/>
      <c r="S197" s="148"/>
      <c r="T197" s="148"/>
      <c r="U197" s="148"/>
      <c r="V197" s="148"/>
      <c r="AA197" s="3"/>
      <c r="AB197" s="147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1">
        <v>46127.0</v>
      </c>
      <c r="C198" s="12" t="s">
        <v>30</v>
      </c>
      <c r="D198" s="12" t="s">
        <v>22</v>
      </c>
      <c r="E198" s="17" t="s">
        <v>126</v>
      </c>
      <c r="F198" s="13">
        <v>0.0</v>
      </c>
      <c r="G198" s="31" t="s">
        <v>24</v>
      </c>
      <c r="H198" s="13">
        <v>2.0</v>
      </c>
      <c r="I198" s="17" t="s">
        <v>213</v>
      </c>
      <c r="J198" s="148"/>
      <c r="K198" s="149">
        <f t="shared" si="17"/>
        <v>0</v>
      </c>
      <c r="L198" s="150">
        <f t="shared" si="18"/>
        <v>3</v>
      </c>
      <c r="M198" s="148"/>
      <c r="N198" s="148"/>
      <c r="O198" s="148"/>
      <c r="P198" s="148"/>
      <c r="Q198" s="148"/>
      <c r="R198" s="148"/>
      <c r="S198" s="148"/>
      <c r="T198" s="148"/>
      <c r="U198" s="148"/>
      <c r="V198" s="148"/>
      <c r="AA198" s="3"/>
      <c r="AB198" s="147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62"/>
      <c r="C199" s="164"/>
      <c r="D199" s="164"/>
      <c r="E199" s="17">
        <v>0.0</v>
      </c>
      <c r="F199" s="31"/>
      <c r="G199" s="31" t="s">
        <v>24</v>
      </c>
      <c r="H199" s="31"/>
      <c r="I199" s="17" t="s">
        <v>45</v>
      </c>
      <c r="J199" s="148"/>
      <c r="K199" s="149" t="str">
        <f t="shared" si="17"/>
        <v/>
      </c>
      <c r="L199" s="150" t="str">
        <f t="shared" si="18"/>
        <v/>
      </c>
      <c r="M199" s="148"/>
      <c r="N199" s="148"/>
      <c r="O199" s="148"/>
      <c r="P199" s="148"/>
      <c r="Q199" s="148"/>
      <c r="R199" s="148"/>
      <c r="S199" s="148"/>
      <c r="T199" s="148"/>
      <c r="U199" s="148"/>
      <c r="V199" s="148"/>
      <c r="AA199" s="3"/>
      <c r="AB199" s="147"/>
      <c r="AC199" s="3"/>
      <c r="AD199" s="3"/>
      <c r="AE199" s="3"/>
      <c r="AF199" s="3"/>
      <c r="AG199" s="3"/>
      <c r="AH199" s="3"/>
      <c r="AI199" s="3"/>
    </row>
    <row r="200" ht="15.75" customHeight="1">
      <c r="A200" s="65">
        <v>10.0</v>
      </c>
      <c r="B200" s="162"/>
      <c r="C200" s="163"/>
      <c r="D200" s="164"/>
      <c r="E200" s="17">
        <v>0.0</v>
      </c>
      <c r="F200" s="31"/>
      <c r="G200" s="31" t="s">
        <v>24</v>
      </c>
      <c r="H200" s="31"/>
      <c r="I200" s="17" t="s">
        <v>33</v>
      </c>
      <c r="J200" s="148"/>
      <c r="K200" s="149" t="str">
        <f t="shared" si="17"/>
        <v/>
      </c>
      <c r="L200" s="150" t="str">
        <f t="shared" si="18"/>
        <v/>
      </c>
      <c r="M200" s="148"/>
      <c r="N200" s="148"/>
      <c r="O200" s="148"/>
      <c r="P200" s="148"/>
      <c r="Q200" s="148"/>
      <c r="R200" s="148"/>
      <c r="S200" s="148"/>
      <c r="T200" s="148"/>
      <c r="U200" s="148"/>
      <c r="V200" s="148"/>
      <c r="AA200" s="3"/>
      <c r="AB200" s="147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1">
        <v>46127.0</v>
      </c>
      <c r="C201" s="12" t="s">
        <v>30</v>
      </c>
      <c r="D201" s="12" t="s">
        <v>22</v>
      </c>
      <c r="E201" s="17" t="s">
        <v>166</v>
      </c>
      <c r="F201" s="13">
        <v>2.0</v>
      </c>
      <c r="G201" s="31" t="s">
        <v>24</v>
      </c>
      <c r="H201" s="13">
        <v>1.0</v>
      </c>
      <c r="I201" s="17" t="s">
        <v>109</v>
      </c>
      <c r="J201" s="148"/>
      <c r="K201" s="149">
        <f t="shared" si="17"/>
        <v>2</v>
      </c>
      <c r="L201" s="150">
        <f t="shared" si="18"/>
        <v>1</v>
      </c>
      <c r="M201" s="148"/>
      <c r="N201" s="148"/>
      <c r="O201" s="148"/>
      <c r="P201" s="148"/>
      <c r="Q201" s="148"/>
      <c r="R201" s="148"/>
      <c r="S201" s="148"/>
      <c r="T201" s="148"/>
      <c r="U201" s="148"/>
      <c r="V201" s="148"/>
      <c r="AA201" s="3"/>
      <c r="AB201" s="147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1">
        <v>46127.0</v>
      </c>
      <c r="C202" s="12" t="s">
        <v>30</v>
      </c>
      <c r="D202" s="12" t="s">
        <v>22</v>
      </c>
      <c r="E202" s="17" t="s">
        <v>63</v>
      </c>
      <c r="F202" s="13">
        <v>0.0</v>
      </c>
      <c r="G202" s="31" t="s">
        <v>24</v>
      </c>
      <c r="H202" s="13">
        <v>2.0</v>
      </c>
      <c r="I202" s="17" t="s">
        <v>65</v>
      </c>
      <c r="J202" s="148"/>
      <c r="K202" s="149">
        <f t="shared" si="17"/>
        <v>0</v>
      </c>
      <c r="L202" s="150">
        <f t="shared" si="18"/>
        <v>3</v>
      </c>
      <c r="M202" s="148"/>
      <c r="N202" s="148"/>
      <c r="O202" s="148"/>
      <c r="P202" s="148"/>
      <c r="Q202" s="148"/>
      <c r="R202" s="148"/>
      <c r="S202" s="148"/>
      <c r="T202" s="148"/>
      <c r="U202" s="148"/>
      <c r="V202" s="148"/>
      <c r="AA202" s="3"/>
      <c r="AB202" s="147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1">
        <v>46127.0</v>
      </c>
      <c r="C203" s="12" t="s">
        <v>35</v>
      </c>
      <c r="D203" s="12" t="s">
        <v>22</v>
      </c>
      <c r="E203" s="17" t="s">
        <v>59</v>
      </c>
      <c r="F203" s="13">
        <v>2.0</v>
      </c>
      <c r="G203" s="31" t="s">
        <v>24</v>
      </c>
      <c r="H203" s="13">
        <v>0.0</v>
      </c>
      <c r="I203" s="17" t="s">
        <v>42</v>
      </c>
      <c r="J203" s="148"/>
      <c r="K203" s="149">
        <f t="shared" si="17"/>
        <v>3</v>
      </c>
      <c r="L203" s="150">
        <f t="shared" si="18"/>
        <v>0</v>
      </c>
      <c r="M203" s="148"/>
      <c r="N203" s="148"/>
      <c r="O203" s="148"/>
      <c r="P203" s="148"/>
      <c r="Q203" s="148"/>
      <c r="R203" s="148"/>
      <c r="S203" s="148"/>
      <c r="T203" s="148"/>
      <c r="U203" s="148"/>
      <c r="V203" s="148"/>
      <c r="AA203" s="3"/>
      <c r="AB203" s="147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1">
        <v>46127.0</v>
      </c>
      <c r="C204" s="12" t="s">
        <v>35</v>
      </c>
      <c r="D204" s="12" t="s">
        <v>22</v>
      </c>
      <c r="E204" s="17" t="s">
        <v>213</v>
      </c>
      <c r="F204" s="13">
        <v>0.0</v>
      </c>
      <c r="G204" s="31" t="s">
        <v>24</v>
      </c>
      <c r="H204" s="13">
        <v>2.0</v>
      </c>
      <c r="I204" s="17" t="s">
        <v>60</v>
      </c>
      <c r="J204" s="148"/>
      <c r="K204" s="149">
        <f t="shared" si="17"/>
        <v>0</v>
      </c>
      <c r="L204" s="150">
        <f t="shared" si="18"/>
        <v>3</v>
      </c>
      <c r="M204" s="148"/>
      <c r="N204" s="148"/>
      <c r="O204" s="148"/>
      <c r="P204" s="148"/>
      <c r="Q204" s="148"/>
      <c r="R204" s="148"/>
      <c r="S204" s="148"/>
      <c r="T204" s="148"/>
      <c r="U204" s="148"/>
      <c r="V204" s="148"/>
      <c r="AA204" s="3"/>
      <c r="AB204" s="147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1">
        <v>46127.0</v>
      </c>
      <c r="C205" s="12" t="s">
        <v>35</v>
      </c>
      <c r="D205" s="12" t="s">
        <v>22</v>
      </c>
      <c r="E205" s="17" t="s">
        <v>45</v>
      </c>
      <c r="F205" s="13">
        <v>2.0</v>
      </c>
      <c r="G205" s="31" t="s">
        <v>24</v>
      </c>
      <c r="H205" s="13">
        <v>0.0</v>
      </c>
      <c r="I205" s="17" t="s">
        <v>126</v>
      </c>
      <c r="J205" s="148"/>
      <c r="K205" s="149">
        <f t="shared" si="17"/>
        <v>3</v>
      </c>
      <c r="L205" s="150">
        <f t="shared" si="18"/>
        <v>0</v>
      </c>
      <c r="M205" s="148"/>
      <c r="N205" s="148"/>
      <c r="O205" s="148"/>
      <c r="P205" s="148"/>
      <c r="Q205" s="148"/>
      <c r="R205" s="148"/>
      <c r="S205" s="148"/>
      <c r="T205" s="148"/>
      <c r="U205" s="148"/>
      <c r="V205" s="148"/>
      <c r="AA205" s="3"/>
      <c r="AB205" s="147"/>
      <c r="AC205" s="3"/>
      <c r="AD205" s="3"/>
      <c r="AE205" s="3"/>
      <c r="AF205" s="3"/>
      <c r="AG205" s="3"/>
      <c r="AH205" s="3"/>
      <c r="AI205" s="3"/>
    </row>
    <row r="206" ht="15.75" customHeight="1">
      <c r="A206" s="65">
        <v>11.0</v>
      </c>
      <c r="B206" s="11">
        <v>46148.0</v>
      </c>
      <c r="C206" s="66" t="s">
        <v>106</v>
      </c>
      <c r="D206" s="12" t="s">
        <v>22</v>
      </c>
      <c r="E206" s="17" t="s">
        <v>33</v>
      </c>
      <c r="F206" s="13">
        <v>2.0</v>
      </c>
      <c r="G206" s="31" t="s">
        <v>24</v>
      </c>
      <c r="H206" s="13">
        <v>1.0</v>
      </c>
      <c r="I206" s="17" t="s">
        <v>166</v>
      </c>
      <c r="J206" s="148"/>
      <c r="K206" s="149">
        <f t="shared" si="17"/>
        <v>2</v>
      </c>
      <c r="L206" s="150">
        <f t="shared" si="18"/>
        <v>1</v>
      </c>
      <c r="M206" s="148"/>
      <c r="N206" s="148"/>
      <c r="O206" s="148"/>
      <c r="P206" s="148"/>
      <c r="Q206" s="148"/>
      <c r="R206" s="148"/>
      <c r="S206" s="148"/>
      <c r="T206" s="148"/>
      <c r="U206" s="148"/>
      <c r="V206" s="148"/>
      <c r="AA206" s="3"/>
      <c r="AB206" s="147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1">
        <v>46148.0</v>
      </c>
      <c r="C207" s="66" t="s">
        <v>106</v>
      </c>
      <c r="D207" s="12" t="s">
        <v>22</v>
      </c>
      <c r="E207" s="17" t="s">
        <v>109</v>
      </c>
      <c r="F207" s="13">
        <v>2.0</v>
      </c>
      <c r="G207" s="31" t="s">
        <v>24</v>
      </c>
      <c r="H207" s="13">
        <v>0.0</v>
      </c>
      <c r="I207" s="17" t="s">
        <v>63</v>
      </c>
      <c r="J207" s="148"/>
      <c r="K207" s="149">
        <f t="shared" si="17"/>
        <v>3</v>
      </c>
      <c r="L207" s="150">
        <f t="shared" si="18"/>
        <v>0</v>
      </c>
      <c r="M207" s="148"/>
      <c r="N207" s="148"/>
      <c r="O207" s="148"/>
      <c r="P207" s="148"/>
      <c r="Q207" s="148"/>
      <c r="R207" s="148"/>
      <c r="S207" s="148"/>
      <c r="T207" s="148"/>
      <c r="U207" s="148"/>
      <c r="V207" s="148"/>
      <c r="AA207" s="3"/>
      <c r="AB207" s="147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1">
        <v>46148.0</v>
      </c>
      <c r="C208" s="66" t="s">
        <v>106</v>
      </c>
      <c r="D208" s="12" t="s">
        <v>22</v>
      </c>
      <c r="E208" s="17" t="s">
        <v>65</v>
      </c>
      <c r="F208" s="13">
        <v>0.0</v>
      </c>
      <c r="G208" s="31" t="s">
        <v>24</v>
      </c>
      <c r="H208" s="13">
        <v>2.0</v>
      </c>
      <c r="I208" s="17" t="s">
        <v>59</v>
      </c>
      <c r="J208" s="148"/>
      <c r="K208" s="149">
        <f t="shared" si="17"/>
        <v>0</v>
      </c>
      <c r="L208" s="150">
        <f t="shared" si="18"/>
        <v>3</v>
      </c>
      <c r="M208" s="148"/>
      <c r="N208" s="148"/>
      <c r="O208" s="148"/>
      <c r="P208" s="148"/>
      <c r="Q208" s="148"/>
      <c r="R208" s="148"/>
      <c r="S208" s="148"/>
      <c r="T208" s="148"/>
      <c r="U208" s="148"/>
      <c r="V208" s="148"/>
      <c r="AA208" s="3"/>
      <c r="AB208" s="147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1">
        <v>46148.0</v>
      </c>
      <c r="C209" s="66" t="s">
        <v>118</v>
      </c>
      <c r="D209" s="12" t="s">
        <v>22</v>
      </c>
      <c r="E209" s="17" t="s">
        <v>42</v>
      </c>
      <c r="F209" s="13">
        <v>0.0</v>
      </c>
      <c r="G209" s="31" t="s">
        <v>24</v>
      </c>
      <c r="H209" s="13">
        <v>2.0</v>
      </c>
      <c r="I209" s="17" t="s">
        <v>213</v>
      </c>
      <c r="J209" s="148"/>
      <c r="K209" s="149">
        <f t="shared" si="17"/>
        <v>0</v>
      </c>
      <c r="L209" s="150">
        <f t="shared" si="18"/>
        <v>3</v>
      </c>
      <c r="M209" s="148"/>
      <c r="N209" s="148"/>
      <c r="O209" s="148"/>
      <c r="P209" s="148"/>
      <c r="Q209" s="148"/>
      <c r="R209" s="148"/>
      <c r="S209" s="148"/>
      <c r="T209" s="148"/>
      <c r="U209" s="148"/>
      <c r="V209" s="148"/>
      <c r="AA209" s="3"/>
      <c r="AB209" s="147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1">
        <v>46148.0</v>
      </c>
      <c r="C210" s="66" t="s">
        <v>118</v>
      </c>
      <c r="D210" s="12" t="s">
        <v>22</v>
      </c>
      <c r="E210" s="17" t="s">
        <v>60</v>
      </c>
      <c r="F210" s="13">
        <v>2.0</v>
      </c>
      <c r="G210" s="31" t="s">
        <v>24</v>
      </c>
      <c r="H210" s="13">
        <v>0.0</v>
      </c>
      <c r="I210" s="17" t="s">
        <v>45</v>
      </c>
      <c r="J210" s="148"/>
      <c r="K210" s="149">
        <f t="shared" si="17"/>
        <v>3</v>
      </c>
      <c r="L210" s="150">
        <f t="shared" si="18"/>
        <v>0</v>
      </c>
      <c r="M210" s="148"/>
      <c r="N210" s="148"/>
      <c r="O210" s="148"/>
      <c r="P210" s="148"/>
      <c r="Q210" s="148"/>
      <c r="R210" s="148"/>
      <c r="S210" s="148"/>
      <c r="T210" s="148"/>
      <c r="U210" s="148"/>
      <c r="V210" s="148"/>
      <c r="AA210" s="3"/>
      <c r="AB210" s="147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62"/>
      <c r="C211" s="164"/>
      <c r="D211" s="164"/>
      <c r="E211" s="17" t="s">
        <v>126</v>
      </c>
      <c r="F211" s="31"/>
      <c r="G211" s="31" t="s">
        <v>24</v>
      </c>
      <c r="H211" s="31"/>
      <c r="I211" s="17">
        <v>0.0</v>
      </c>
      <c r="J211" s="148"/>
      <c r="K211" s="149" t="str">
        <f t="shared" si="17"/>
        <v/>
      </c>
      <c r="L211" s="150" t="str">
        <f t="shared" si="18"/>
        <v/>
      </c>
      <c r="M211" s="148"/>
      <c r="N211" s="148"/>
      <c r="O211" s="148"/>
      <c r="P211" s="148"/>
      <c r="Q211" s="148"/>
      <c r="R211" s="148"/>
      <c r="S211" s="148"/>
      <c r="T211" s="148"/>
      <c r="U211" s="148"/>
      <c r="V211" s="148"/>
      <c r="AA211" s="3"/>
      <c r="AB211" s="147"/>
      <c r="AC211" s="3"/>
      <c r="AD211" s="3"/>
      <c r="AE211" s="3"/>
      <c r="AF211" s="3"/>
      <c r="AG211" s="3"/>
      <c r="AH211" s="3"/>
      <c r="AI211" s="3"/>
    </row>
    <row r="212" ht="15.75" customHeight="1">
      <c r="A212" s="172"/>
      <c r="E212" s="147"/>
      <c r="I212" s="147"/>
      <c r="AA212" s="3"/>
      <c r="AB212" s="147"/>
      <c r="AC212" s="3"/>
      <c r="AD212" s="3"/>
      <c r="AE212" s="3"/>
      <c r="AF212" s="3"/>
      <c r="AG212" s="3"/>
      <c r="AH212" s="3"/>
      <c r="AI212" s="3"/>
    </row>
    <row r="213" ht="15.75" customHeight="1">
      <c r="A213" s="172"/>
      <c r="E213" s="147"/>
      <c r="I213" s="147"/>
      <c r="AA213" s="3"/>
      <c r="AB213" s="147"/>
      <c r="AC213" s="3"/>
      <c r="AD213" s="3"/>
      <c r="AE213" s="3"/>
      <c r="AF213" s="3"/>
      <c r="AG213" s="3"/>
      <c r="AH213" s="3"/>
      <c r="AI213" s="3"/>
    </row>
    <row r="214" ht="15.75" customHeight="1">
      <c r="A214" s="172"/>
      <c r="E214" s="147"/>
      <c r="I214" s="147"/>
      <c r="AA214" s="3"/>
      <c r="AB214" s="147"/>
      <c r="AC214" s="3"/>
      <c r="AD214" s="3"/>
      <c r="AE214" s="3"/>
      <c r="AF214" s="3"/>
      <c r="AG214" s="3"/>
      <c r="AH214" s="3"/>
      <c r="AI214" s="3"/>
    </row>
    <row r="215" ht="15.75" customHeight="1">
      <c r="A215" s="172"/>
      <c r="E215" s="147"/>
      <c r="I215" s="147"/>
      <c r="AA215" s="3"/>
      <c r="AB215" s="147"/>
      <c r="AC215" s="3"/>
      <c r="AD215" s="3"/>
      <c r="AE215" s="3"/>
      <c r="AF215" s="3"/>
      <c r="AG215" s="3"/>
      <c r="AH215" s="3"/>
      <c r="AI215" s="3"/>
    </row>
    <row r="216" ht="15.75" customHeight="1">
      <c r="A216" s="57" t="s">
        <v>216</v>
      </c>
      <c r="H216" s="2"/>
      <c r="I216" s="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73" t="s">
        <v>204</v>
      </c>
      <c r="U217" s="173" t="s">
        <v>205</v>
      </c>
      <c r="V217" s="173" t="s">
        <v>206</v>
      </c>
      <c r="W217" s="63"/>
      <c r="X217" s="63"/>
      <c r="Y217" s="63"/>
      <c r="Z217" s="63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20" t="s">
        <v>204</v>
      </c>
      <c r="AH217" s="120" t="s">
        <v>205</v>
      </c>
      <c r="AI217" s="120" t="s">
        <v>206</v>
      </c>
    </row>
    <row r="218" ht="15.75" customHeight="1">
      <c r="A218" s="102">
        <v>1.0</v>
      </c>
      <c r="B218" s="43"/>
      <c r="C218" s="12"/>
      <c r="D218" s="12"/>
      <c r="E218" s="44" t="s">
        <v>31</v>
      </c>
      <c r="F218" s="13"/>
      <c r="G218" s="16" t="s">
        <v>24</v>
      </c>
      <c r="H218" s="13"/>
      <c r="I218" s="44" t="s">
        <v>68</v>
      </c>
      <c r="J218" s="4"/>
      <c r="K218" s="149" t="str">
        <f t="shared" ref="K218:K220" si="25">IFS(F218=H218+2,3,F218=H218-2,0,F218=H218+1,2,F218=H218-1,1,F218="","")</f>
        <v/>
      </c>
      <c r="L218" s="150" t="str">
        <f t="shared" ref="L218:L220" si="26">IFS(H218=F218+2,3,H218=F218-2,0,H218=F218+1,2,H218=F218-1,1,H218="","")</f>
        <v/>
      </c>
      <c r="M218" s="4"/>
      <c r="N218" s="18">
        <v>1.0</v>
      </c>
      <c r="O218" s="77" t="s">
        <v>31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3"/>
      <c r="X218" s="63"/>
      <c r="Y218" s="63"/>
      <c r="Z218" s="63"/>
      <c r="AA218" s="103">
        <v>1.0</v>
      </c>
      <c r="AB218" s="70" t="str">
        <f t="array" ref="AB218:AI220">SORT(O218:V220,2,FALSE,8,FALSE)</f>
        <v>Eng. Civil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</row>
    <row r="219" ht="15.75" customHeight="1">
      <c r="A219" s="102">
        <v>2.0</v>
      </c>
      <c r="B219" s="43"/>
      <c r="C219" s="12"/>
      <c r="D219" s="12"/>
      <c r="E219" s="44" t="s">
        <v>68</v>
      </c>
      <c r="F219" s="13"/>
      <c r="G219" s="16" t="s">
        <v>24</v>
      </c>
      <c r="H219" s="13"/>
      <c r="I219" s="44" t="s">
        <v>45</v>
      </c>
      <c r="J219" s="4"/>
      <c r="K219" s="149" t="str">
        <f t="shared" si="25"/>
        <v/>
      </c>
      <c r="L219" s="150" t="str">
        <f t="shared" si="26"/>
        <v/>
      </c>
      <c r="M219" s="4"/>
      <c r="N219" s="18">
        <v>2.0</v>
      </c>
      <c r="O219" s="77" t="s">
        <v>68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3"/>
      <c r="X219" s="63"/>
      <c r="Y219" s="63"/>
      <c r="Z219" s="63"/>
      <c r="AA219" s="103">
        <v>2.0</v>
      </c>
      <c r="AB219" s="70" t="s">
        <v>68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</row>
    <row r="220" ht="15.75" customHeight="1">
      <c r="A220" s="102">
        <v>3.0</v>
      </c>
      <c r="B220" s="43"/>
      <c r="C220" s="12"/>
      <c r="D220" s="12"/>
      <c r="E220" s="44" t="s">
        <v>45</v>
      </c>
      <c r="F220" s="13"/>
      <c r="G220" s="16" t="s">
        <v>24</v>
      </c>
      <c r="H220" s="13"/>
      <c r="I220" s="44" t="s">
        <v>31</v>
      </c>
      <c r="J220" s="4"/>
      <c r="K220" s="149" t="str">
        <f t="shared" si="25"/>
        <v/>
      </c>
      <c r="L220" s="150" t="str">
        <f t="shared" si="26"/>
        <v/>
      </c>
      <c r="M220" s="4"/>
      <c r="N220" s="18">
        <v>3.0</v>
      </c>
      <c r="O220" s="77" t="s">
        <v>45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4</v>
      </c>
      <c r="V220" s="18">
        <f t="shared" si="32"/>
        <v>-4</v>
      </c>
      <c r="W220" s="63"/>
      <c r="X220" s="63"/>
      <c r="Y220" s="63"/>
      <c r="Z220" s="63"/>
      <c r="AA220" s="22">
        <v>3.0</v>
      </c>
      <c r="AB220" s="70" t="s">
        <v>45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4.0</v>
      </c>
      <c r="AI220" s="23">
        <v>-4.0</v>
      </c>
    </row>
    <row r="221" ht="15.75" customHeight="1">
      <c r="A221" s="101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4"/>
      <c r="AD221" s="37"/>
      <c r="AF221" s="37"/>
    </row>
    <row r="222" ht="15.75" customHeight="1">
      <c r="A222" s="101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F222" s="37"/>
    </row>
    <row r="223" ht="15.75" customHeight="1">
      <c r="A223" s="101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F223" s="37"/>
    </row>
    <row r="224" ht="15.75" customHeight="1">
      <c r="A224" s="101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F224" s="37"/>
    </row>
    <row r="225" ht="15.75" customHeight="1">
      <c r="A225" s="57" t="s">
        <v>217</v>
      </c>
      <c r="H225" s="2"/>
      <c r="I225" s="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F225" s="37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F226" s="37"/>
    </row>
    <row r="227" ht="15.75" customHeight="1">
      <c r="A227" s="58" t="s">
        <v>72</v>
      </c>
      <c r="B227" s="43">
        <v>46155.0</v>
      </c>
      <c r="C227" s="12" t="s">
        <v>51</v>
      </c>
      <c r="D227" s="12" t="s">
        <v>22</v>
      </c>
      <c r="E227" s="44" t="s">
        <v>25</v>
      </c>
      <c r="F227" s="31"/>
      <c r="G227" s="16" t="s">
        <v>24</v>
      </c>
      <c r="H227" s="31"/>
      <c r="I227" s="44" t="s">
        <v>60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F227" s="37"/>
    </row>
    <row r="228" ht="15.75" customHeight="1">
      <c r="A228" s="25"/>
      <c r="B228" s="43">
        <v>46155.0</v>
      </c>
      <c r="C228" s="12" t="s">
        <v>51</v>
      </c>
      <c r="D228" s="12" t="s">
        <v>22</v>
      </c>
      <c r="E228" s="44" t="s">
        <v>23</v>
      </c>
      <c r="F228" s="31"/>
      <c r="G228" s="16" t="s">
        <v>24</v>
      </c>
      <c r="H228" s="31"/>
      <c r="I228" s="44" t="s">
        <v>180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F228" s="37"/>
    </row>
    <row r="229" ht="15.75" customHeight="1">
      <c r="A229" s="25"/>
      <c r="B229" s="43">
        <v>46155.0</v>
      </c>
      <c r="C229" s="12" t="s">
        <v>51</v>
      </c>
      <c r="D229" s="12" t="s">
        <v>22</v>
      </c>
      <c r="E229" s="44" t="s">
        <v>36</v>
      </c>
      <c r="F229" s="31"/>
      <c r="G229" s="16" t="s">
        <v>24</v>
      </c>
      <c r="H229" s="31"/>
      <c r="I229" s="44" t="s">
        <v>43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</row>
    <row r="230" ht="15.75" customHeight="1">
      <c r="A230" s="29"/>
      <c r="B230" s="43">
        <v>46155.0</v>
      </c>
      <c r="C230" s="12" t="s">
        <v>160</v>
      </c>
      <c r="D230" s="12" t="s">
        <v>22</v>
      </c>
      <c r="E230" s="44" t="s">
        <v>61</v>
      </c>
      <c r="F230" s="31"/>
      <c r="G230" s="16" t="s">
        <v>24</v>
      </c>
      <c r="H230" s="31"/>
      <c r="I230" s="44" t="s">
        <v>153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</row>
    <row r="231" ht="15.75" customHeight="1">
      <c r="A231" s="59" t="s">
        <v>73</v>
      </c>
      <c r="B231" s="43"/>
      <c r="C231" s="12"/>
      <c r="D231" s="12"/>
      <c r="E231" s="44" t="s">
        <v>74</v>
      </c>
      <c r="F231" s="31"/>
      <c r="G231" s="16" t="s">
        <v>24</v>
      </c>
      <c r="H231" s="31"/>
      <c r="I231" s="44" t="s">
        <v>75</v>
      </c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</row>
    <row r="232" ht="15.75" customHeight="1">
      <c r="A232" s="25"/>
      <c r="B232" s="56"/>
      <c r="C232" s="31"/>
      <c r="D232" s="12"/>
      <c r="E232" s="51" t="s">
        <v>76</v>
      </c>
      <c r="F232" s="13"/>
      <c r="G232" s="16" t="s">
        <v>24</v>
      </c>
      <c r="H232" s="13"/>
      <c r="I232" s="44" t="s">
        <v>77</v>
      </c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</row>
    <row r="233" ht="15.75" customHeight="1">
      <c r="A233" s="60" t="s">
        <v>78</v>
      </c>
      <c r="B233" s="30"/>
      <c r="C233" s="31"/>
      <c r="D233" s="12"/>
      <c r="E233" s="44" t="s">
        <v>79</v>
      </c>
      <c r="F233" s="31"/>
      <c r="G233" s="16" t="s">
        <v>24</v>
      </c>
      <c r="H233" s="31"/>
      <c r="I233" s="61" t="s">
        <v>80</v>
      </c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</row>
    <row r="234" ht="15.75" customHeight="1">
      <c r="A234" s="60" t="s">
        <v>81</v>
      </c>
      <c r="B234" s="30"/>
      <c r="C234" s="31"/>
      <c r="D234" s="12"/>
      <c r="E234" s="44" t="s">
        <v>82</v>
      </c>
      <c r="F234" s="31"/>
      <c r="G234" s="16" t="s">
        <v>24</v>
      </c>
      <c r="H234" s="31"/>
      <c r="I234" s="44" t="s">
        <v>83</v>
      </c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</row>
    <row r="235" ht="15.75" customHeight="1">
      <c r="A235" s="101"/>
      <c r="B235" s="63"/>
      <c r="C235" s="63"/>
      <c r="D235" s="63"/>
      <c r="E235" s="37"/>
      <c r="F235" s="63"/>
      <c r="G235" s="63"/>
      <c r="H235" s="63"/>
      <c r="I235" s="37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37"/>
      <c r="AE235" s="37"/>
      <c r="AF235" s="37"/>
      <c r="AG235" s="37"/>
      <c r="AH235" s="37"/>
      <c r="AI235" s="37"/>
    </row>
    <row r="236" ht="15.75" customHeight="1">
      <c r="A236" s="172"/>
      <c r="E236" s="147"/>
      <c r="I236" s="147"/>
      <c r="AA236" s="3"/>
      <c r="AB236" s="147"/>
      <c r="AC236" s="3"/>
      <c r="AD236" s="3"/>
      <c r="AE236" s="3"/>
      <c r="AF236" s="3"/>
      <c r="AG236" s="3"/>
      <c r="AH236" s="3"/>
      <c r="AI236" s="3"/>
    </row>
    <row r="237" ht="15.75" customHeight="1">
      <c r="A237" s="172"/>
      <c r="E237" s="147"/>
      <c r="I237" s="147"/>
      <c r="AA237" s="3"/>
      <c r="AB237" s="147"/>
      <c r="AC237" s="3"/>
      <c r="AD237" s="3"/>
      <c r="AE237" s="3"/>
      <c r="AF237" s="3"/>
      <c r="AG237" s="3"/>
      <c r="AH237" s="3"/>
      <c r="AI237" s="3"/>
    </row>
    <row r="238" ht="15.75" customHeight="1">
      <c r="A238" s="172"/>
      <c r="E238" s="147"/>
      <c r="I238" s="147"/>
      <c r="AA238" s="3"/>
      <c r="AB238" s="147"/>
      <c r="AC238" s="3"/>
      <c r="AD238" s="3"/>
      <c r="AE238" s="3"/>
      <c r="AF238" s="3"/>
      <c r="AG238" s="3"/>
      <c r="AH238" s="3"/>
      <c r="AI238" s="3"/>
    </row>
    <row r="239" ht="15.75" customHeight="1">
      <c r="A239" s="172"/>
      <c r="E239" s="147"/>
      <c r="I239" s="147"/>
      <c r="AA239" s="3"/>
      <c r="AB239" s="147"/>
      <c r="AC239" s="3"/>
      <c r="AD239" s="3"/>
      <c r="AE239" s="3"/>
      <c r="AF239" s="3"/>
      <c r="AG239" s="3"/>
      <c r="AH239" s="3"/>
      <c r="AI239" s="3"/>
    </row>
    <row r="240" ht="15.75" customHeight="1">
      <c r="A240" s="172"/>
      <c r="E240" s="147"/>
      <c r="I240" s="147"/>
      <c r="AA240" s="3"/>
      <c r="AB240" s="147"/>
      <c r="AC240" s="3"/>
      <c r="AD240" s="3"/>
      <c r="AE240" s="3"/>
      <c r="AF240" s="3"/>
      <c r="AG240" s="3"/>
      <c r="AH240" s="3"/>
      <c r="AI240" s="3"/>
    </row>
    <row r="241" ht="15.75" customHeight="1">
      <c r="A241" s="172"/>
      <c r="E241" s="147"/>
      <c r="I241" s="147"/>
      <c r="AA241" s="3"/>
      <c r="AB241" s="147"/>
      <c r="AC241" s="3"/>
      <c r="AD241" s="3"/>
      <c r="AE241" s="3"/>
      <c r="AF241" s="3"/>
      <c r="AG241" s="3"/>
      <c r="AH241" s="3"/>
      <c r="AI241" s="3"/>
    </row>
    <row r="242" ht="15.75" customHeight="1">
      <c r="A242" s="172"/>
      <c r="E242" s="147"/>
      <c r="I242" s="147"/>
      <c r="AA242" s="3"/>
      <c r="AB242" s="147"/>
      <c r="AC242" s="3"/>
      <c r="AD242" s="3"/>
      <c r="AE242" s="3"/>
      <c r="AF242" s="3"/>
      <c r="AG242" s="3"/>
      <c r="AH242" s="3"/>
      <c r="AI242" s="3"/>
    </row>
    <row r="243" ht="15.75" customHeight="1">
      <c r="A243" s="172"/>
      <c r="E243" s="147"/>
      <c r="I243" s="147"/>
      <c r="AA243" s="3"/>
      <c r="AB243" s="147"/>
      <c r="AC243" s="3"/>
      <c r="AD243" s="3"/>
      <c r="AE243" s="3"/>
      <c r="AF243" s="3"/>
      <c r="AG243" s="3"/>
      <c r="AH243" s="3"/>
      <c r="AI243" s="3"/>
    </row>
    <row r="244" ht="15.75" customHeight="1">
      <c r="A244" s="172"/>
      <c r="E244" s="147"/>
      <c r="I244" s="147"/>
      <c r="AA244" s="3"/>
      <c r="AB244" s="147"/>
      <c r="AC244" s="3"/>
      <c r="AD244" s="3"/>
      <c r="AE244" s="3"/>
      <c r="AF244" s="3"/>
      <c r="AG244" s="3"/>
      <c r="AH244" s="3"/>
      <c r="AI244" s="3"/>
    </row>
    <row r="245" ht="15.75" customHeight="1">
      <c r="A245" s="172"/>
      <c r="E245" s="147"/>
      <c r="I245" s="147"/>
      <c r="AA245" s="3"/>
      <c r="AB245" s="147"/>
      <c r="AC245" s="3"/>
      <c r="AD245" s="3"/>
      <c r="AE245" s="3"/>
      <c r="AF245" s="3"/>
      <c r="AG245" s="3"/>
      <c r="AH245" s="3"/>
      <c r="AI245" s="3"/>
    </row>
    <row r="246" ht="15.75" customHeight="1">
      <c r="A246" s="172"/>
      <c r="E246" s="147"/>
      <c r="I246" s="147"/>
      <c r="AA246" s="3"/>
      <c r="AB246" s="147"/>
      <c r="AC246" s="3"/>
      <c r="AD246" s="3"/>
      <c r="AE246" s="3"/>
      <c r="AF246" s="3"/>
      <c r="AG246" s="3"/>
      <c r="AH246" s="3"/>
      <c r="AI246" s="3"/>
    </row>
    <row r="247" ht="15.75" customHeight="1">
      <c r="A247" s="172"/>
      <c r="E247" s="147"/>
      <c r="I247" s="147"/>
      <c r="AA247" s="3"/>
      <c r="AB247" s="147"/>
      <c r="AC247" s="3"/>
      <c r="AD247" s="3"/>
      <c r="AE247" s="3"/>
      <c r="AF247" s="3"/>
      <c r="AG247" s="3"/>
      <c r="AH247" s="3"/>
      <c r="AI247" s="3"/>
    </row>
    <row r="248" ht="15.75" customHeight="1">
      <c r="A248" s="172"/>
      <c r="E248" s="147"/>
      <c r="I248" s="147"/>
      <c r="AA248" s="3"/>
      <c r="AB248" s="147"/>
      <c r="AC248" s="3"/>
      <c r="AD248" s="3"/>
      <c r="AE248" s="3"/>
      <c r="AF248" s="3"/>
      <c r="AG248" s="3"/>
      <c r="AH248" s="3"/>
      <c r="AI248" s="3"/>
    </row>
    <row r="249" ht="15.75" customHeight="1">
      <c r="A249" s="172"/>
      <c r="E249" s="147"/>
      <c r="I249" s="147"/>
      <c r="AA249" s="3"/>
      <c r="AB249" s="147"/>
      <c r="AC249" s="3"/>
      <c r="AD249" s="3"/>
      <c r="AE249" s="3"/>
      <c r="AF249" s="3"/>
      <c r="AG249" s="3"/>
      <c r="AH249" s="3"/>
      <c r="AI249" s="3"/>
    </row>
    <row r="250" ht="15.75" customHeight="1">
      <c r="A250" s="172"/>
      <c r="E250" s="147"/>
      <c r="I250" s="147"/>
      <c r="AA250" s="3"/>
      <c r="AB250" s="147"/>
      <c r="AC250" s="3"/>
      <c r="AD250" s="3"/>
      <c r="AE250" s="3"/>
      <c r="AF250" s="3"/>
      <c r="AG250" s="3"/>
      <c r="AH250" s="3"/>
      <c r="AI250" s="3"/>
    </row>
    <row r="251" ht="15.75" customHeight="1">
      <c r="A251" s="172"/>
      <c r="E251" s="147"/>
      <c r="I251" s="147"/>
      <c r="AA251" s="3"/>
      <c r="AB251" s="147"/>
      <c r="AC251" s="3"/>
      <c r="AD251" s="3"/>
      <c r="AE251" s="3"/>
      <c r="AF251" s="3"/>
      <c r="AG251" s="3"/>
      <c r="AH251" s="3"/>
      <c r="AI251" s="3"/>
    </row>
    <row r="252" ht="15.75" customHeight="1">
      <c r="A252" s="172"/>
      <c r="E252" s="147"/>
      <c r="I252" s="147"/>
      <c r="AA252" s="3"/>
      <c r="AB252" s="147"/>
      <c r="AC252" s="3"/>
      <c r="AD252" s="3"/>
      <c r="AE252" s="3"/>
      <c r="AF252" s="3"/>
      <c r="AG252" s="3"/>
      <c r="AH252" s="3"/>
      <c r="AI252" s="3"/>
    </row>
    <row r="253" ht="15.75" customHeight="1">
      <c r="A253" s="172"/>
      <c r="E253" s="147"/>
      <c r="I253" s="147"/>
      <c r="AA253" s="3"/>
      <c r="AB253" s="147"/>
      <c r="AC253" s="3"/>
      <c r="AD253" s="3"/>
      <c r="AE253" s="3"/>
      <c r="AF253" s="3"/>
      <c r="AG253" s="3"/>
      <c r="AH253" s="3"/>
      <c r="AI253" s="3"/>
    </row>
    <row r="254" ht="15.75" customHeight="1">
      <c r="A254" s="172"/>
      <c r="E254" s="147"/>
      <c r="I254" s="147"/>
      <c r="AA254" s="3"/>
      <c r="AB254" s="147"/>
      <c r="AC254" s="3"/>
      <c r="AD254" s="3"/>
      <c r="AE254" s="3"/>
      <c r="AF254" s="3"/>
      <c r="AG254" s="3"/>
      <c r="AH254" s="3"/>
      <c r="AI254" s="3"/>
    </row>
    <row r="255" ht="15.75" customHeight="1">
      <c r="A255" s="172"/>
      <c r="E255" s="147"/>
      <c r="I255" s="147"/>
      <c r="AA255" s="3"/>
      <c r="AB255" s="147"/>
      <c r="AC255" s="3"/>
      <c r="AD255" s="3"/>
      <c r="AE255" s="3"/>
      <c r="AF255" s="3"/>
      <c r="AG255" s="3"/>
      <c r="AH255" s="3"/>
      <c r="AI255" s="3"/>
    </row>
    <row r="256" ht="15.75" customHeight="1">
      <c r="A256" s="172"/>
      <c r="E256" s="147"/>
      <c r="I256" s="147"/>
      <c r="AA256" s="3"/>
      <c r="AB256" s="147"/>
      <c r="AC256" s="3"/>
      <c r="AD256" s="3"/>
      <c r="AE256" s="3"/>
      <c r="AF256" s="3"/>
      <c r="AG256" s="3"/>
      <c r="AH256" s="3"/>
      <c r="AI256" s="3"/>
    </row>
    <row r="257" ht="15.75" customHeight="1">
      <c r="A257" s="172"/>
      <c r="E257" s="147"/>
      <c r="I257" s="147"/>
      <c r="AA257" s="3"/>
      <c r="AB257" s="147"/>
      <c r="AC257" s="3"/>
      <c r="AD257" s="3"/>
      <c r="AE257" s="3"/>
      <c r="AF257" s="3"/>
      <c r="AG257" s="3"/>
      <c r="AH257" s="3"/>
      <c r="AI257" s="3"/>
    </row>
    <row r="258" ht="15.75" customHeight="1">
      <c r="A258" s="172"/>
      <c r="E258" s="147"/>
      <c r="I258" s="147"/>
      <c r="AA258" s="3"/>
      <c r="AB258" s="147"/>
      <c r="AC258" s="3"/>
      <c r="AD258" s="3"/>
      <c r="AE258" s="3"/>
      <c r="AF258" s="3"/>
      <c r="AG258" s="3"/>
      <c r="AH258" s="3"/>
      <c r="AI258" s="3"/>
    </row>
    <row r="259" ht="15.75" customHeight="1">
      <c r="A259" s="172"/>
      <c r="E259" s="147"/>
      <c r="I259" s="147"/>
      <c r="AA259" s="3"/>
      <c r="AB259" s="147"/>
      <c r="AC259" s="3"/>
      <c r="AD259" s="3"/>
      <c r="AE259" s="3"/>
      <c r="AF259" s="3"/>
      <c r="AG259" s="3"/>
      <c r="AH259" s="3"/>
      <c r="AI259" s="3"/>
    </row>
    <row r="260" ht="15.75" customHeight="1">
      <c r="A260" s="172"/>
      <c r="E260" s="147"/>
      <c r="I260" s="147"/>
      <c r="AA260" s="3"/>
      <c r="AB260" s="147"/>
      <c r="AC260" s="3"/>
      <c r="AD260" s="3"/>
      <c r="AE260" s="3"/>
      <c r="AF260" s="3"/>
      <c r="AG260" s="3"/>
      <c r="AH260" s="3"/>
      <c r="AI260" s="3"/>
    </row>
    <row r="261" ht="15.75" customHeight="1">
      <c r="A261" s="172"/>
      <c r="E261" s="147"/>
      <c r="I261" s="147"/>
      <c r="AA261" s="3"/>
      <c r="AB261" s="147"/>
      <c r="AC261" s="3"/>
      <c r="AD261" s="3"/>
      <c r="AE261" s="3"/>
      <c r="AF261" s="3"/>
      <c r="AG261" s="3"/>
      <c r="AH261" s="3"/>
      <c r="AI261" s="3"/>
    </row>
    <row r="262" ht="15.75" customHeight="1">
      <c r="A262" s="172"/>
      <c r="E262" s="147"/>
      <c r="I262" s="147"/>
      <c r="AA262" s="3"/>
      <c r="AB262" s="147"/>
      <c r="AC262" s="3"/>
      <c r="AD262" s="3"/>
      <c r="AE262" s="3"/>
      <c r="AF262" s="3"/>
      <c r="AG262" s="3"/>
      <c r="AH262" s="3"/>
      <c r="AI262" s="3"/>
    </row>
    <row r="263" ht="15.75" customHeight="1">
      <c r="A263" s="172"/>
      <c r="E263" s="147"/>
      <c r="I263" s="147"/>
      <c r="AA263" s="3"/>
      <c r="AB263" s="147"/>
      <c r="AC263" s="3"/>
      <c r="AD263" s="3"/>
      <c r="AE263" s="3"/>
      <c r="AF263" s="3"/>
      <c r="AG263" s="3"/>
      <c r="AH263" s="3"/>
      <c r="AI263" s="3"/>
    </row>
    <row r="264" ht="15.75" customHeight="1">
      <c r="A264" s="172"/>
      <c r="E264" s="147"/>
      <c r="I264" s="147"/>
      <c r="AA264" s="3"/>
      <c r="AB264" s="147"/>
      <c r="AC264" s="3"/>
      <c r="AD264" s="3"/>
      <c r="AE264" s="3"/>
      <c r="AF264" s="3"/>
      <c r="AG264" s="3"/>
      <c r="AH264" s="3"/>
      <c r="AI264" s="3"/>
    </row>
    <row r="265" ht="15.75" customHeight="1">
      <c r="A265" s="172"/>
      <c r="E265" s="147"/>
      <c r="I265" s="147"/>
      <c r="AA265" s="3"/>
      <c r="AB265" s="147"/>
      <c r="AC265" s="3"/>
      <c r="AD265" s="3"/>
      <c r="AE265" s="3"/>
      <c r="AF265" s="3"/>
      <c r="AG265" s="3"/>
      <c r="AH265" s="3"/>
      <c r="AI265" s="3"/>
    </row>
    <row r="266" ht="15.75" customHeight="1">
      <c r="A266" s="172"/>
      <c r="E266" s="147"/>
      <c r="I266" s="147"/>
      <c r="AA266" s="3"/>
      <c r="AB266" s="147"/>
      <c r="AC266" s="3"/>
      <c r="AD266" s="3"/>
      <c r="AE266" s="3"/>
      <c r="AF266" s="3"/>
      <c r="AG266" s="3"/>
      <c r="AH266" s="3"/>
      <c r="AI266" s="3"/>
    </row>
    <row r="267" ht="15.75" customHeight="1">
      <c r="A267" s="172"/>
      <c r="E267" s="147"/>
      <c r="I267" s="147"/>
      <c r="AA267" s="3"/>
      <c r="AB267" s="147"/>
      <c r="AC267" s="3"/>
      <c r="AD267" s="3"/>
      <c r="AE267" s="3"/>
      <c r="AF267" s="3"/>
      <c r="AG267" s="3"/>
      <c r="AH267" s="3"/>
      <c r="AI267" s="3"/>
    </row>
    <row r="268" ht="15.75" customHeight="1">
      <c r="A268" s="172"/>
      <c r="E268" s="147"/>
      <c r="I268" s="147"/>
      <c r="AA268" s="3"/>
      <c r="AB268" s="147"/>
      <c r="AC268" s="3"/>
      <c r="AD268" s="3"/>
      <c r="AE268" s="3"/>
      <c r="AF268" s="3"/>
      <c r="AG268" s="3"/>
      <c r="AH268" s="3"/>
      <c r="AI268" s="3"/>
    </row>
    <row r="269" ht="15.75" customHeight="1">
      <c r="A269" s="172"/>
      <c r="E269" s="147"/>
      <c r="I269" s="147"/>
      <c r="AA269" s="3"/>
      <c r="AB269" s="147"/>
      <c r="AC269" s="3"/>
      <c r="AD269" s="3"/>
      <c r="AE269" s="3"/>
      <c r="AF269" s="3"/>
      <c r="AG269" s="3"/>
      <c r="AH269" s="3"/>
      <c r="AI269" s="3"/>
    </row>
    <row r="270" ht="15.75" customHeight="1">
      <c r="A270" s="172"/>
      <c r="E270" s="147"/>
      <c r="I270" s="147"/>
      <c r="AA270" s="3"/>
      <c r="AB270" s="147"/>
      <c r="AC270" s="3"/>
      <c r="AD270" s="3"/>
      <c r="AE270" s="3"/>
      <c r="AF270" s="3"/>
      <c r="AG270" s="3"/>
      <c r="AH270" s="3"/>
      <c r="AI270" s="3"/>
    </row>
    <row r="271" ht="15.75" customHeight="1">
      <c r="A271" s="172"/>
      <c r="E271" s="147"/>
      <c r="I271" s="147"/>
      <c r="AA271" s="3"/>
      <c r="AB271" s="147"/>
      <c r="AC271" s="3"/>
      <c r="AD271" s="3"/>
      <c r="AE271" s="3"/>
      <c r="AF271" s="3"/>
      <c r="AG271" s="3"/>
      <c r="AH271" s="3"/>
      <c r="AI271" s="3"/>
    </row>
    <row r="272" ht="15.75" customHeight="1">
      <c r="A272" s="172"/>
      <c r="E272" s="147"/>
      <c r="I272" s="147"/>
      <c r="AA272" s="3"/>
      <c r="AB272" s="147"/>
      <c r="AC272" s="3"/>
      <c r="AD272" s="3"/>
      <c r="AE272" s="3"/>
      <c r="AF272" s="3"/>
      <c r="AG272" s="3"/>
      <c r="AH272" s="3"/>
      <c r="AI272" s="3"/>
    </row>
    <row r="273" ht="15.75" customHeight="1">
      <c r="A273" s="172"/>
      <c r="E273" s="147"/>
      <c r="I273" s="147"/>
      <c r="AA273" s="3"/>
      <c r="AB273" s="147"/>
      <c r="AC273" s="3"/>
      <c r="AD273" s="3"/>
      <c r="AE273" s="3"/>
      <c r="AF273" s="3"/>
      <c r="AG273" s="3"/>
      <c r="AH273" s="3"/>
      <c r="AI273" s="3"/>
    </row>
    <row r="274" ht="15.75" customHeight="1">
      <c r="A274" s="172"/>
      <c r="E274" s="147"/>
      <c r="I274" s="147"/>
      <c r="AA274" s="3"/>
      <c r="AB274" s="147"/>
      <c r="AC274" s="3"/>
      <c r="AD274" s="3"/>
      <c r="AE274" s="3"/>
      <c r="AF274" s="3"/>
      <c r="AG274" s="3"/>
      <c r="AH274" s="3"/>
      <c r="AI274" s="3"/>
    </row>
    <row r="275" ht="15.75" customHeight="1">
      <c r="A275" s="172"/>
      <c r="E275" s="147"/>
      <c r="I275" s="147"/>
      <c r="AA275" s="3"/>
      <c r="AB275" s="147"/>
      <c r="AC275" s="3"/>
      <c r="AD275" s="3"/>
      <c r="AE275" s="3"/>
      <c r="AF275" s="3"/>
      <c r="AG275" s="3"/>
      <c r="AH275" s="3"/>
      <c r="AI275" s="3"/>
    </row>
    <row r="276" ht="15.75" customHeight="1">
      <c r="A276" s="172"/>
      <c r="E276" s="147"/>
      <c r="I276" s="147"/>
      <c r="AA276" s="3"/>
      <c r="AB276" s="147"/>
      <c r="AC276" s="3"/>
      <c r="AD276" s="3"/>
      <c r="AE276" s="3"/>
      <c r="AF276" s="3"/>
      <c r="AG276" s="3"/>
      <c r="AH276" s="3"/>
      <c r="AI276" s="3"/>
    </row>
    <row r="277" ht="15.75" customHeight="1">
      <c r="A277" s="172"/>
      <c r="E277" s="147"/>
      <c r="I277" s="147"/>
      <c r="AA277" s="3"/>
      <c r="AB277" s="147"/>
      <c r="AC277" s="3"/>
      <c r="AD277" s="3"/>
      <c r="AE277" s="3"/>
      <c r="AF277" s="3"/>
      <c r="AG277" s="3"/>
      <c r="AH277" s="3"/>
      <c r="AI277" s="3"/>
    </row>
    <row r="278" ht="15.75" customHeight="1">
      <c r="A278" s="172"/>
      <c r="E278" s="147"/>
      <c r="I278" s="147"/>
      <c r="AA278" s="3"/>
      <c r="AB278" s="147"/>
      <c r="AC278" s="3"/>
      <c r="AD278" s="3"/>
      <c r="AE278" s="3"/>
      <c r="AF278" s="3"/>
      <c r="AG278" s="3"/>
      <c r="AH278" s="3"/>
      <c r="AI278" s="3"/>
    </row>
    <row r="279" ht="15.75" customHeight="1">
      <c r="A279" s="172"/>
      <c r="E279" s="147"/>
      <c r="I279" s="147"/>
      <c r="AA279" s="3"/>
      <c r="AB279" s="147"/>
      <c r="AC279" s="3"/>
      <c r="AD279" s="3"/>
      <c r="AE279" s="3"/>
      <c r="AF279" s="3"/>
      <c r="AG279" s="3"/>
      <c r="AH279" s="3"/>
      <c r="AI279" s="3"/>
    </row>
    <row r="280" ht="15.75" customHeight="1">
      <c r="A280" s="172"/>
      <c r="E280" s="147"/>
      <c r="I280" s="147"/>
      <c r="AA280" s="3"/>
      <c r="AB280" s="147"/>
      <c r="AC280" s="3"/>
      <c r="AD280" s="3"/>
      <c r="AE280" s="3"/>
      <c r="AF280" s="3"/>
      <c r="AG280" s="3"/>
      <c r="AH280" s="3"/>
      <c r="AI280" s="3"/>
    </row>
    <row r="281" ht="15.75" customHeight="1">
      <c r="A281" s="172"/>
      <c r="E281" s="147"/>
      <c r="I281" s="147"/>
      <c r="AA281" s="3"/>
      <c r="AB281" s="147"/>
      <c r="AC281" s="3"/>
      <c r="AD281" s="3"/>
      <c r="AE281" s="3"/>
      <c r="AF281" s="3"/>
      <c r="AG281" s="3"/>
      <c r="AH281" s="3"/>
      <c r="AI281" s="3"/>
    </row>
    <row r="282" ht="15.75" customHeight="1">
      <c r="A282" s="172"/>
      <c r="E282" s="147"/>
      <c r="I282" s="147"/>
      <c r="AA282" s="3"/>
      <c r="AB282" s="147"/>
      <c r="AC282" s="3"/>
      <c r="AD282" s="3"/>
      <c r="AE282" s="3"/>
      <c r="AF282" s="3"/>
      <c r="AG282" s="3"/>
      <c r="AH282" s="3"/>
      <c r="AI282" s="3"/>
    </row>
    <row r="283" ht="15.75" customHeight="1">
      <c r="A283" s="172"/>
      <c r="E283" s="147"/>
      <c r="I283" s="147"/>
      <c r="AA283" s="3"/>
      <c r="AB283" s="147"/>
      <c r="AC283" s="3"/>
      <c r="AD283" s="3"/>
      <c r="AE283" s="3"/>
      <c r="AF283" s="3"/>
      <c r="AG283" s="3"/>
      <c r="AH283" s="3"/>
      <c r="AI283" s="3"/>
    </row>
    <row r="284" ht="15.75" customHeight="1">
      <c r="A284" s="172"/>
      <c r="E284" s="147"/>
      <c r="I284" s="147"/>
      <c r="AA284" s="3"/>
      <c r="AB284" s="147"/>
      <c r="AC284" s="3"/>
      <c r="AD284" s="3"/>
      <c r="AE284" s="3"/>
      <c r="AF284" s="3"/>
      <c r="AG284" s="3"/>
      <c r="AH284" s="3"/>
      <c r="AI284" s="3"/>
    </row>
    <row r="285" ht="15.75" customHeight="1">
      <c r="A285" s="172"/>
      <c r="E285" s="147"/>
      <c r="I285" s="147"/>
      <c r="AA285" s="3"/>
      <c r="AB285" s="147"/>
      <c r="AC285" s="3"/>
      <c r="AD285" s="3"/>
      <c r="AE285" s="3"/>
      <c r="AF285" s="3"/>
      <c r="AG285" s="3"/>
      <c r="AH285" s="3"/>
      <c r="AI285" s="3"/>
    </row>
    <row r="286" ht="15.75" customHeight="1">
      <c r="A286" s="172"/>
      <c r="E286" s="147"/>
      <c r="I286" s="147"/>
      <c r="AA286" s="3"/>
      <c r="AB286" s="147"/>
      <c r="AC286" s="3"/>
      <c r="AD286" s="3"/>
      <c r="AE286" s="3"/>
      <c r="AF286" s="3"/>
      <c r="AG286" s="3"/>
      <c r="AH286" s="3"/>
      <c r="AI286" s="3"/>
    </row>
    <row r="287" ht="15.75" customHeight="1">
      <c r="A287" s="172"/>
      <c r="E287" s="147"/>
      <c r="I287" s="147"/>
      <c r="AA287" s="3"/>
      <c r="AB287" s="147"/>
      <c r="AC287" s="3"/>
      <c r="AD287" s="3"/>
      <c r="AE287" s="3"/>
      <c r="AF287" s="3"/>
      <c r="AG287" s="3"/>
      <c r="AH287" s="3"/>
      <c r="AI287" s="3"/>
    </row>
    <row r="288" ht="15.75" customHeight="1">
      <c r="A288" s="172"/>
      <c r="E288" s="147"/>
      <c r="I288" s="147"/>
      <c r="AA288" s="3"/>
      <c r="AB288" s="147"/>
      <c r="AC288" s="3"/>
      <c r="AD288" s="3"/>
      <c r="AE288" s="3"/>
      <c r="AF288" s="3"/>
      <c r="AG288" s="3"/>
      <c r="AH288" s="3"/>
      <c r="AI288" s="3"/>
    </row>
    <row r="289" ht="15.75" customHeight="1">
      <c r="A289" s="172"/>
      <c r="E289" s="147"/>
      <c r="I289" s="147"/>
      <c r="AA289" s="3"/>
      <c r="AB289" s="147"/>
      <c r="AC289" s="3"/>
      <c r="AD289" s="3"/>
      <c r="AE289" s="3"/>
      <c r="AF289" s="3"/>
      <c r="AG289" s="3"/>
      <c r="AH289" s="3"/>
      <c r="AI289" s="3"/>
    </row>
    <row r="290" ht="15.75" customHeight="1">
      <c r="A290" s="172"/>
      <c r="E290" s="147"/>
      <c r="I290" s="147"/>
      <c r="AA290" s="3"/>
      <c r="AB290" s="147"/>
      <c r="AC290" s="3"/>
      <c r="AD290" s="3"/>
      <c r="AE290" s="3"/>
      <c r="AF290" s="3"/>
      <c r="AG290" s="3"/>
      <c r="AH290" s="3"/>
      <c r="AI290" s="3"/>
    </row>
    <row r="291" ht="15.75" customHeight="1">
      <c r="A291" s="172"/>
      <c r="E291" s="147"/>
      <c r="I291" s="147"/>
      <c r="AA291" s="3"/>
      <c r="AB291" s="147"/>
      <c r="AC291" s="3"/>
      <c r="AD291" s="3"/>
      <c r="AE291" s="3"/>
      <c r="AF291" s="3"/>
      <c r="AG291" s="3"/>
      <c r="AH291" s="3"/>
      <c r="AI291" s="3"/>
    </row>
    <row r="292" ht="15.75" customHeight="1">
      <c r="A292" s="172"/>
      <c r="E292" s="147"/>
      <c r="I292" s="147"/>
      <c r="AA292" s="3"/>
      <c r="AB292" s="147"/>
      <c r="AC292" s="3"/>
      <c r="AD292" s="3"/>
      <c r="AE292" s="3"/>
      <c r="AF292" s="3"/>
      <c r="AG292" s="3"/>
      <c r="AH292" s="3"/>
      <c r="AI292" s="3"/>
    </row>
    <row r="293" ht="15.75" customHeight="1">
      <c r="A293" s="172"/>
      <c r="E293" s="147"/>
      <c r="I293" s="147"/>
      <c r="AA293" s="3"/>
      <c r="AB293" s="147"/>
      <c r="AC293" s="3"/>
      <c r="AD293" s="3"/>
      <c r="AE293" s="3"/>
      <c r="AF293" s="3"/>
      <c r="AG293" s="3"/>
      <c r="AH293" s="3"/>
      <c r="AI293" s="3"/>
    </row>
    <row r="294" ht="15.75" customHeight="1">
      <c r="A294" s="172"/>
      <c r="E294" s="147"/>
      <c r="I294" s="147"/>
      <c r="AA294" s="3"/>
      <c r="AB294" s="147"/>
      <c r="AC294" s="3"/>
      <c r="AD294" s="3"/>
      <c r="AE294" s="3"/>
      <c r="AF294" s="3"/>
      <c r="AG294" s="3"/>
      <c r="AH294" s="3"/>
      <c r="AI294" s="3"/>
    </row>
    <row r="295" ht="15.75" customHeight="1">
      <c r="A295" s="172"/>
      <c r="E295" s="147"/>
      <c r="I295" s="147"/>
      <c r="AA295" s="3"/>
      <c r="AB295" s="147"/>
      <c r="AC295" s="3"/>
      <c r="AD295" s="3"/>
      <c r="AE295" s="3"/>
      <c r="AF295" s="3"/>
      <c r="AG295" s="3"/>
      <c r="AH295" s="3"/>
      <c r="AI295" s="3"/>
    </row>
    <row r="296" ht="15.75" customHeight="1">
      <c r="A296" s="172"/>
      <c r="E296" s="147"/>
      <c r="I296" s="147"/>
      <c r="AA296" s="3"/>
      <c r="AB296" s="147"/>
      <c r="AC296" s="3"/>
      <c r="AD296" s="3"/>
      <c r="AE296" s="3"/>
      <c r="AF296" s="3"/>
      <c r="AG296" s="3"/>
      <c r="AH296" s="3"/>
      <c r="AI296" s="3"/>
    </row>
    <row r="297" ht="15.75" customHeight="1">
      <c r="A297" s="172"/>
      <c r="E297" s="147"/>
      <c r="I297" s="147"/>
      <c r="AA297" s="3"/>
      <c r="AB297" s="147"/>
      <c r="AC297" s="3"/>
      <c r="AD297" s="3"/>
      <c r="AE297" s="3"/>
      <c r="AF297" s="3"/>
      <c r="AG297" s="3"/>
      <c r="AH297" s="3"/>
      <c r="AI297" s="3"/>
    </row>
    <row r="298" ht="15.75" customHeight="1">
      <c r="A298" s="172"/>
      <c r="E298" s="147"/>
      <c r="I298" s="147"/>
      <c r="AA298" s="3"/>
      <c r="AB298" s="147"/>
      <c r="AC298" s="3"/>
      <c r="AD298" s="3"/>
      <c r="AE298" s="3"/>
      <c r="AF298" s="3"/>
      <c r="AG298" s="3"/>
      <c r="AH298" s="3"/>
      <c r="AI298" s="3"/>
    </row>
    <row r="299" ht="15.75" customHeight="1">
      <c r="A299" s="172"/>
      <c r="E299" s="147"/>
      <c r="I299" s="147"/>
      <c r="AA299" s="3"/>
      <c r="AB299" s="147"/>
      <c r="AC299" s="3"/>
      <c r="AD299" s="3"/>
      <c r="AE299" s="3"/>
      <c r="AF299" s="3"/>
      <c r="AG299" s="3"/>
      <c r="AH299" s="3"/>
      <c r="AI299" s="3"/>
    </row>
    <row r="300" ht="15.75" customHeight="1">
      <c r="A300" s="172"/>
      <c r="E300" s="147"/>
      <c r="I300" s="147"/>
      <c r="AA300" s="3"/>
      <c r="AB300" s="147"/>
      <c r="AC300" s="3"/>
      <c r="AD300" s="3"/>
      <c r="AE300" s="3"/>
      <c r="AF300" s="3"/>
      <c r="AG300" s="3"/>
      <c r="AH300" s="3"/>
      <c r="AI300" s="3"/>
    </row>
    <row r="301" ht="15.75" customHeight="1">
      <c r="A301" s="172"/>
      <c r="E301" s="147"/>
      <c r="I301" s="147"/>
      <c r="AA301" s="3"/>
      <c r="AB301" s="147"/>
      <c r="AC301" s="3"/>
      <c r="AD301" s="3"/>
      <c r="AE301" s="3"/>
      <c r="AF301" s="3"/>
      <c r="AG301" s="3"/>
      <c r="AH301" s="3"/>
      <c r="AI301" s="3"/>
    </row>
    <row r="302" ht="15.75" customHeight="1">
      <c r="A302" s="172"/>
      <c r="E302" s="147"/>
      <c r="I302" s="147"/>
      <c r="AA302" s="3"/>
      <c r="AB302" s="147"/>
      <c r="AC302" s="3"/>
      <c r="AD302" s="3"/>
      <c r="AE302" s="3"/>
      <c r="AF302" s="3"/>
      <c r="AG302" s="3"/>
      <c r="AH302" s="3"/>
      <c r="AI302" s="3"/>
    </row>
    <row r="303" ht="15.75" customHeight="1">
      <c r="A303" s="172"/>
      <c r="E303" s="147"/>
      <c r="I303" s="147"/>
      <c r="AA303" s="3"/>
      <c r="AB303" s="147"/>
      <c r="AC303" s="3"/>
      <c r="AD303" s="3"/>
      <c r="AE303" s="3"/>
      <c r="AF303" s="3"/>
      <c r="AG303" s="3"/>
      <c r="AH303" s="3"/>
      <c r="AI303" s="3"/>
    </row>
    <row r="304" ht="15.75" customHeight="1">
      <c r="A304" s="172"/>
      <c r="E304" s="147"/>
      <c r="I304" s="147"/>
      <c r="AA304" s="3"/>
      <c r="AB304" s="147"/>
      <c r="AC304" s="3"/>
      <c r="AD304" s="3"/>
      <c r="AE304" s="3"/>
      <c r="AF304" s="3"/>
      <c r="AG304" s="3"/>
      <c r="AH304" s="3"/>
      <c r="AI304" s="3"/>
    </row>
    <row r="305" ht="15.75" customHeight="1">
      <c r="A305" s="172"/>
      <c r="E305" s="147"/>
      <c r="I305" s="147"/>
      <c r="AA305" s="3"/>
      <c r="AB305" s="147"/>
      <c r="AC305" s="3"/>
      <c r="AD305" s="3"/>
      <c r="AE305" s="3"/>
      <c r="AF305" s="3"/>
      <c r="AG305" s="3"/>
      <c r="AH305" s="3"/>
      <c r="AI305" s="3"/>
    </row>
    <row r="306" ht="15.75" customHeight="1">
      <c r="A306" s="172"/>
      <c r="E306" s="147"/>
      <c r="I306" s="147"/>
      <c r="AA306" s="3"/>
      <c r="AB306" s="147"/>
      <c r="AC306" s="3"/>
      <c r="AD306" s="3"/>
      <c r="AE306" s="3"/>
      <c r="AF306" s="3"/>
      <c r="AG306" s="3"/>
      <c r="AH306" s="3"/>
      <c r="AI306" s="3"/>
    </row>
    <row r="307" ht="15.75" customHeight="1">
      <c r="A307" s="172"/>
      <c r="E307" s="147"/>
      <c r="I307" s="147"/>
      <c r="AA307" s="3"/>
      <c r="AB307" s="147"/>
      <c r="AC307" s="3"/>
      <c r="AD307" s="3"/>
      <c r="AE307" s="3"/>
      <c r="AF307" s="3"/>
      <c r="AG307" s="3"/>
      <c r="AH307" s="3"/>
      <c r="AI307" s="3"/>
    </row>
    <row r="308" ht="15.75" customHeight="1">
      <c r="A308" s="172"/>
      <c r="E308" s="147"/>
      <c r="I308" s="147"/>
      <c r="AA308" s="3"/>
      <c r="AB308" s="147"/>
      <c r="AC308" s="3"/>
      <c r="AD308" s="3"/>
      <c r="AE308" s="3"/>
      <c r="AF308" s="3"/>
      <c r="AG308" s="3"/>
      <c r="AH308" s="3"/>
      <c r="AI308" s="3"/>
    </row>
    <row r="309" ht="15.75" customHeight="1">
      <c r="A309" s="172"/>
      <c r="E309" s="147"/>
      <c r="I309" s="147"/>
      <c r="AA309" s="3"/>
      <c r="AB309" s="147"/>
      <c r="AC309" s="3"/>
      <c r="AD309" s="3"/>
      <c r="AE309" s="3"/>
      <c r="AF309" s="3"/>
      <c r="AG309" s="3"/>
      <c r="AH309" s="3"/>
      <c r="AI309" s="3"/>
    </row>
    <row r="310" ht="15.75" customHeight="1">
      <c r="A310" s="172"/>
      <c r="E310" s="147"/>
      <c r="I310" s="147"/>
      <c r="AA310" s="3"/>
      <c r="AB310" s="147"/>
      <c r="AC310" s="3"/>
      <c r="AD310" s="3"/>
      <c r="AE310" s="3"/>
      <c r="AF310" s="3"/>
      <c r="AG310" s="3"/>
      <c r="AH310" s="3"/>
      <c r="AI310" s="3"/>
    </row>
    <row r="311" ht="15.75" customHeight="1">
      <c r="A311" s="172"/>
      <c r="E311" s="147"/>
      <c r="I311" s="147"/>
      <c r="AA311" s="3"/>
      <c r="AB311" s="147"/>
      <c r="AC311" s="3"/>
      <c r="AD311" s="3"/>
      <c r="AE311" s="3"/>
      <c r="AF311" s="3"/>
      <c r="AG311" s="3"/>
      <c r="AH311" s="3"/>
      <c r="AI311" s="3"/>
    </row>
    <row r="312" ht="15.75" customHeight="1">
      <c r="A312" s="172"/>
      <c r="E312" s="147"/>
      <c r="I312" s="147"/>
      <c r="AA312" s="3"/>
      <c r="AB312" s="147"/>
      <c r="AC312" s="3"/>
      <c r="AD312" s="3"/>
      <c r="AE312" s="3"/>
      <c r="AF312" s="3"/>
      <c r="AG312" s="3"/>
      <c r="AH312" s="3"/>
      <c r="AI312" s="3"/>
    </row>
    <row r="313" ht="15.75" customHeight="1">
      <c r="A313" s="172"/>
      <c r="E313" s="147"/>
      <c r="I313" s="147"/>
      <c r="AA313" s="3"/>
      <c r="AB313" s="147"/>
      <c r="AC313" s="3"/>
      <c r="AD313" s="3"/>
      <c r="AE313" s="3"/>
      <c r="AF313" s="3"/>
      <c r="AG313" s="3"/>
      <c r="AH313" s="3"/>
      <c r="AI313" s="3"/>
    </row>
    <row r="314" ht="15.75" customHeight="1">
      <c r="A314" s="172"/>
      <c r="E314" s="147"/>
      <c r="I314" s="147"/>
      <c r="AA314" s="3"/>
      <c r="AB314" s="147"/>
      <c r="AC314" s="3"/>
      <c r="AD314" s="3"/>
      <c r="AE314" s="3"/>
      <c r="AF314" s="3"/>
      <c r="AG314" s="3"/>
      <c r="AH314" s="3"/>
      <c r="AI314" s="3"/>
    </row>
    <row r="315" ht="15.75" customHeight="1">
      <c r="A315" s="172"/>
      <c r="E315" s="147"/>
      <c r="I315" s="147"/>
      <c r="AA315" s="3"/>
      <c r="AB315" s="147"/>
      <c r="AC315" s="3"/>
      <c r="AD315" s="3"/>
      <c r="AE315" s="3"/>
      <c r="AF315" s="3"/>
      <c r="AG315" s="3"/>
      <c r="AH315" s="3"/>
      <c r="AI315" s="3"/>
    </row>
    <row r="316" ht="15.75" customHeight="1">
      <c r="A316" s="172"/>
      <c r="E316" s="147"/>
      <c r="I316" s="147"/>
      <c r="AA316" s="3"/>
      <c r="AB316" s="147"/>
      <c r="AC316" s="3"/>
      <c r="AD316" s="3"/>
      <c r="AE316" s="3"/>
      <c r="AF316" s="3"/>
      <c r="AG316" s="3"/>
      <c r="AH316" s="3"/>
      <c r="AI316" s="3"/>
    </row>
    <row r="317" ht="15.75" customHeight="1">
      <c r="A317" s="172"/>
      <c r="E317" s="147"/>
      <c r="I317" s="147"/>
      <c r="AA317" s="3"/>
      <c r="AB317" s="147"/>
      <c r="AC317" s="3"/>
      <c r="AD317" s="3"/>
      <c r="AE317" s="3"/>
      <c r="AF317" s="3"/>
      <c r="AG317" s="3"/>
      <c r="AH317" s="3"/>
      <c r="AI317" s="3"/>
    </row>
    <row r="318" ht="15.75" customHeight="1">
      <c r="A318" s="172"/>
      <c r="E318" s="147"/>
      <c r="I318" s="147"/>
      <c r="AA318" s="3"/>
      <c r="AB318" s="147"/>
      <c r="AC318" s="3"/>
      <c r="AD318" s="3"/>
      <c r="AE318" s="3"/>
      <c r="AF318" s="3"/>
      <c r="AG318" s="3"/>
      <c r="AH318" s="3"/>
      <c r="AI318" s="3"/>
    </row>
    <row r="319" ht="15.75" customHeight="1">
      <c r="A319" s="172"/>
      <c r="E319" s="147"/>
      <c r="I319" s="147"/>
      <c r="AA319" s="3"/>
      <c r="AB319" s="147"/>
      <c r="AC319" s="3"/>
      <c r="AD319" s="3"/>
      <c r="AE319" s="3"/>
      <c r="AF319" s="3"/>
      <c r="AG319" s="3"/>
      <c r="AH319" s="3"/>
      <c r="AI319" s="3"/>
    </row>
    <row r="320" ht="15.75" customHeight="1">
      <c r="A320" s="172"/>
      <c r="E320" s="147"/>
      <c r="I320" s="147"/>
      <c r="AA320" s="3"/>
      <c r="AB320" s="147"/>
      <c r="AC320" s="3"/>
      <c r="AD320" s="3"/>
      <c r="AE320" s="3"/>
      <c r="AF320" s="3"/>
      <c r="AG320" s="3"/>
      <c r="AH320" s="3"/>
      <c r="AI320" s="3"/>
    </row>
    <row r="321" ht="15.75" customHeight="1">
      <c r="A321" s="172"/>
      <c r="E321" s="147"/>
      <c r="I321" s="147"/>
      <c r="AA321" s="3"/>
      <c r="AB321" s="147"/>
      <c r="AC321" s="3"/>
      <c r="AD321" s="3"/>
      <c r="AE321" s="3"/>
      <c r="AF321" s="3"/>
      <c r="AG321" s="3"/>
      <c r="AH321" s="3"/>
      <c r="AI321" s="3"/>
    </row>
    <row r="322" ht="15.75" customHeight="1">
      <c r="A322" s="172"/>
      <c r="E322" s="147"/>
      <c r="I322" s="147"/>
      <c r="AA322" s="3"/>
      <c r="AB322" s="147"/>
      <c r="AC322" s="3"/>
      <c r="AD322" s="3"/>
      <c r="AE322" s="3"/>
      <c r="AF322" s="3"/>
      <c r="AG322" s="3"/>
      <c r="AH322" s="3"/>
      <c r="AI322" s="3"/>
    </row>
    <row r="323" ht="15.75" customHeight="1">
      <c r="A323" s="172"/>
      <c r="E323" s="147"/>
      <c r="I323" s="147"/>
      <c r="AA323" s="3"/>
      <c r="AB323" s="147"/>
      <c r="AC323" s="3"/>
      <c r="AD323" s="3"/>
      <c r="AE323" s="3"/>
      <c r="AF323" s="3"/>
      <c r="AG323" s="3"/>
      <c r="AH323" s="3"/>
      <c r="AI323" s="3"/>
    </row>
    <row r="324" ht="15.75" customHeight="1">
      <c r="A324" s="172"/>
      <c r="E324" s="147"/>
      <c r="I324" s="147"/>
      <c r="AA324" s="3"/>
      <c r="AB324" s="147"/>
      <c r="AC324" s="3"/>
      <c r="AD324" s="3"/>
      <c r="AE324" s="3"/>
      <c r="AF324" s="3"/>
      <c r="AG324" s="3"/>
      <c r="AH324" s="3"/>
      <c r="AI324" s="3"/>
    </row>
    <row r="325" ht="15.75" customHeight="1">
      <c r="A325" s="172"/>
      <c r="E325" s="147"/>
      <c r="I325" s="147"/>
      <c r="AA325" s="3"/>
      <c r="AB325" s="147"/>
      <c r="AC325" s="3"/>
      <c r="AD325" s="3"/>
      <c r="AE325" s="3"/>
      <c r="AF325" s="3"/>
      <c r="AG325" s="3"/>
      <c r="AH325" s="3"/>
      <c r="AI325" s="3"/>
    </row>
    <row r="326" ht="15.75" customHeight="1">
      <c r="A326" s="172"/>
      <c r="E326" s="147"/>
      <c r="I326" s="147"/>
      <c r="AA326" s="3"/>
      <c r="AB326" s="147"/>
      <c r="AC326" s="3"/>
      <c r="AD326" s="3"/>
      <c r="AE326" s="3"/>
      <c r="AF326" s="3"/>
      <c r="AG326" s="3"/>
      <c r="AH326" s="3"/>
      <c r="AI326" s="3"/>
    </row>
    <row r="327" ht="15.75" customHeight="1">
      <c r="A327" s="172"/>
      <c r="E327" s="147"/>
      <c r="I327" s="147"/>
      <c r="AA327" s="3"/>
      <c r="AB327" s="147"/>
      <c r="AC327" s="3"/>
      <c r="AD327" s="3"/>
      <c r="AE327" s="3"/>
      <c r="AF327" s="3"/>
      <c r="AG327" s="3"/>
      <c r="AH327" s="3"/>
      <c r="AI327" s="3"/>
    </row>
    <row r="328" ht="15.75" customHeight="1">
      <c r="A328" s="172"/>
      <c r="E328" s="147"/>
      <c r="I328" s="147"/>
      <c r="AA328" s="3"/>
      <c r="AB328" s="147"/>
      <c r="AC328" s="3"/>
      <c r="AD328" s="3"/>
      <c r="AE328" s="3"/>
      <c r="AF328" s="3"/>
      <c r="AG328" s="3"/>
      <c r="AH328" s="3"/>
      <c r="AI328" s="3"/>
    </row>
    <row r="329" ht="15.75" customHeight="1">
      <c r="A329" s="172"/>
      <c r="E329" s="147"/>
      <c r="I329" s="147"/>
      <c r="AA329" s="3"/>
      <c r="AB329" s="147"/>
      <c r="AC329" s="3"/>
      <c r="AD329" s="3"/>
      <c r="AE329" s="3"/>
      <c r="AF329" s="3"/>
      <c r="AG329" s="3"/>
      <c r="AH329" s="3"/>
      <c r="AI329" s="3"/>
    </row>
    <row r="330" ht="15.75" customHeight="1">
      <c r="A330" s="172"/>
      <c r="E330" s="147"/>
      <c r="I330" s="147"/>
      <c r="AA330" s="3"/>
      <c r="AB330" s="147"/>
      <c r="AC330" s="3"/>
      <c r="AD330" s="3"/>
      <c r="AE330" s="3"/>
      <c r="AF330" s="3"/>
      <c r="AG330" s="3"/>
      <c r="AH330" s="3"/>
      <c r="AI330" s="3"/>
    </row>
    <row r="331" ht="15.75" customHeight="1">
      <c r="A331" s="172"/>
      <c r="E331" s="147"/>
      <c r="I331" s="147"/>
      <c r="AA331" s="3"/>
      <c r="AB331" s="147"/>
      <c r="AC331" s="3"/>
      <c r="AD331" s="3"/>
      <c r="AE331" s="3"/>
      <c r="AF331" s="3"/>
      <c r="AG331" s="3"/>
      <c r="AH331" s="3"/>
      <c r="AI331" s="3"/>
    </row>
    <row r="332" ht="15.75" customHeight="1">
      <c r="A332" s="172"/>
      <c r="E332" s="147"/>
      <c r="I332" s="147"/>
      <c r="AA332" s="3"/>
      <c r="AB332" s="147"/>
      <c r="AC332" s="3"/>
      <c r="AD332" s="3"/>
      <c r="AE332" s="3"/>
      <c r="AF332" s="3"/>
      <c r="AG332" s="3"/>
      <c r="AH332" s="3"/>
      <c r="AI332" s="3"/>
    </row>
    <row r="333" ht="15.75" customHeight="1">
      <c r="A333" s="172"/>
      <c r="E333" s="147"/>
      <c r="I333" s="147"/>
      <c r="AA333" s="3"/>
      <c r="AB333" s="147"/>
      <c r="AC333" s="3"/>
      <c r="AD333" s="3"/>
      <c r="AE333" s="3"/>
      <c r="AF333" s="3"/>
      <c r="AG333" s="3"/>
      <c r="AH333" s="3"/>
      <c r="AI333" s="3"/>
    </row>
    <row r="334" ht="15.75" customHeight="1">
      <c r="A334" s="172"/>
      <c r="E334" s="147"/>
      <c r="I334" s="147"/>
      <c r="AA334" s="3"/>
      <c r="AB334" s="147"/>
      <c r="AC334" s="3"/>
      <c r="AD334" s="3"/>
      <c r="AE334" s="3"/>
      <c r="AF334" s="3"/>
      <c r="AG334" s="3"/>
      <c r="AH334" s="3"/>
      <c r="AI334" s="3"/>
    </row>
    <row r="335" ht="15.75" customHeight="1">
      <c r="A335" s="172"/>
      <c r="E335" s="147"/>
      <c r="I335" s="147"/>
      <c r="AA335" s="3"/>
      <c r="AB335" s="147"/>
      <c r="AC335" s="3"/>
      <c r="AD335" s="3"/>
      <c r="AE335" s="3"/>
      <c r="AF335" s="3"/>
      <c r="AG335" s="3"/>
      <c r="AH335" s="3"/>
      <c r="AI335" s="3"/>
    </row>
    <row r="336" ht="15.75" customHeight="1">
      <c r="A336" s="172"/>
      <c r="E336" s="147"/>
      <c r="I336" s="147"/>
      <c r="AA336" s="3"/>
      <c r="AB336" s="147"/>
      <c r="AC336" s="3"/>
      <c r="AD336" s="3"/>
      <c r="AE336" s="3"/>
      <c r="AF336" s="3"/>
      <c r="AG336" s="3"/>
      <c r="AH336" s="3"/>
      <c r="AI336" s="3"/>
    </row>
    <row r="337" ht="15.75" customHeight="1">
      <c r="A337" s="172"/>
      <c r="E337" s="147"/>
      <c r="I337" s="147"/>
      <c r="AA337" s="3"/>
      <c r="AB337" s="147"/>
      <c r="AC337" s="3"/>
      <c r="AD337" s="3"/>
      <c r="AE337" s="3"/>
      <c r="AF337" s="3"/>
      <c r="AG337" s="3"/>
      <c r="AH337" s="3"/>
      <c r="AI337" s="3"/>
    </row>
    <row r="338" ht="15.75" customHeight="1">
      <c r="A338" s="172"/>
      <c r="E338" s="147"/>
      <c r="I338" s="147"/>
      <c r="AA338" s="3"/>
      <c r="AB338" s="147"/>
      <c r="AC338" s="3"/>
      <c r="AD338" s="3"/>
      <c r="AE338" s="3"/>
      <c r="AF338" s="3"/>
      <c r="AG338" s="3"/>
      <c r="AH338" s="3"/>
      <c r="AI338" s="3"/>
    </row>
    <row r="339" ht="15.75" customHeight="1">
      <c r="A339" s="172"/>
      <c r="E339" s="147"/>
      <c r="I339" s="147"/>
      <c r="AA339" s="3"/>
      <c r="AB339" s="147"/>
      <c r="AC339" s="3"/>
      <c r="AD339" s="3"/>
      <c r="AE339" s="3"/>
      <c r="AF339" s="3"/>
      <c r="AG339" s="3"/>
      <c r="AH339" s="3"/>
      <c r="AI339" s="3"/>
    </row>
    <row r="340" ht="15.75" customHeight="1">
      <c r="A340" s="172"/>
      <c r="E340" s="147"/>
      <c r="I340" s="147"/>
      <c r="AA340" s="3"/>
      <c r="AB340" s="147"/>
      <c r="AC340" s="3"/>
      <c r="AD340" s="3"/>
      <c r="AE340" s="3"/>
      <c r="AF340" s="3"/>
      <c r="AG340" s="3"/>
      <c r="AH340" s="3"/>
      <c r="AI340" s="3"/>
    </row>
    <row r="341" ht="15.75" customHeight="1">
      <c r="A341" s="172"/>
      <c r="E341" s="147"/>
      <c r="I341" s="147"/>
      <c r="AA341" s="3"/>
      <c r="AB341" s="147"/>
      <c r="AC341" s="3"/>
      <c r="AD341" s="3"/>
      <c r="AE341" s="3"/>
      <c r="AF341" s="3"/>
      <c r="AG341" s="3"/>
      <c r="AH341" s="3"/>
      <c r="AI341" s="3"/>
    </row>
    <row r="342" ht="15.75" customHeight="1">
      <c r="A342" s="172"/>
      <c r="E342" s="147"/>
      <c r="I342" s="147"/>
      <c r="AA342" s="3"/>
      <c r="AB342" s="147"/>
      <c r="AC342" s="3"/>
      <c r="AD342" s="3"/>
      <c r="AE342" s="3"/>
      <c r="AF342" s="3"/>
      <c r="AG342" s="3"/>
      <c r="AH342" s="3"/>
      <c r="AI342" s="3"/>
    </row>
    <row r="343" ht="15.75" customHeight="1">
      <c r="A343" s="172"/>
      <c r="E343" s="147"/>
      <c r="I343" s="147"/>
      <c r="AA343" s="3"/>
      <c r="AB343" s="147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158:A163"/>
    <mergeCell ref="A164:A169"/>
    <mergeCell ref="A170:A175"/>
    <mergeCell ref="A176:A181"/>
    <mergeCell ref="A182:A187"/>
    <mergeCell ref="A146:A151"/>
    <mergeCell ref="A152:A157"/>
    <mergeCell ref="AA157:AC157"/>
    <mergeCell ref="AA158:AC158"/>
    <mergeCell ref="AA163:AI164"/>
    <mergeCell ref="AA177:AC177"/>
    <mergeCell ref="AA178:AC178"/>
    <mergeCell ref="A206:A211"/>
    <mergeCell ref="A227:A230"/>
    <mergeCell ref="A231:A232"/>
    <mergeCell ref="A188:A193"/>
    <mergeCell ref="A194:A199"/>
    <mergeCell ref="A200:A205"/>
    <mergeCell ref="A216:G216"/>
    <mergeCell ref="F217:H217"/>
    <mergeCell ref="A225:G225"/>
    <mergeCell ref="F226:H226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A182:AC189"/>
    <mergeCell ref="AD183:AF188"/>
    <mergeCell ref="AA221:AC228"/>
    <mergeCell ref="AD221:AE228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16.38"/>
    <col hidden="1" min="16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70" t="s">
        <v>218</v>
      </c>
      <c r="I1" s="147"/>
      <c r="AA1" s="3"/>
      <c r="AB1" s="147"/>
      <c r="AC1" s="3"/>
      <c r="AD1" s="3"/>
      <c r="AE1" s="3"/>
      <c r="AF1" s="3"/>
      <c r="AG1" s="3"/>
      <c r="AH1" s="3"/>
      <c r="AI1" s="3"/>
      <c r="AJ1" s="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204</v>
      </c>
      <c r="U2" s="9" t="s">
        <v>205</v>
      </c>
      <c r="V2" s="9" t="s">
        <v>206</v>
      </c>
      <c r="W2" s="3"/>
      <c r="X2" s="132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204</v>
      </c>
      <c r="AH2" s="5" t="s">
        <v>205</v>
      </c>
      <c r="AI2" s="5" t="s">
        <v>206</v>
      </c>
      <c r="AJ2" s="9"/>
    </row>
    <row r="3" ht="15.75" customHeight="1">
      <c r="A3" s="10">
        <v>1.0</v>
      </c>
      <c r="B3" s="11">
        <v>45946.0</v>
      </c>
      <c r="C3" s="12" t="s">
        <v>35</v>
      </c>
      <c r="D3" s="12" t="s">
        <v>22</v>
      </c>
      <c r="E3" s="17" t="s">
        <v>33</v>
      </c>
      <c r="F3" s="13">
        <v>2.0</v>
      </c>
      <c r="G3" s="31" t="s">
        <v>24</v>
      </c>
      <c r="H3" s="13">
        <v>0.0</v>
      </c>
      <c r="I3" s="17" t="s">
        <v>93</v>
      </c>
      <c r="J3" s="148"/>
      <c r="K3" s="149">
        <f t="shared" ref="K3:K68" si="1">IFS(F3=H3+2,3,F3=H3-2,0,F3=H3+1,2,F3=H3-1,1,F3="","")</f>
        <v>3</v>
      </c>
      <c r="L3" s="150">
        <f t="shared" ref="L3:L68" si="2">IFS(H3=F3+2,3,H3=F3-2,0,H3=F3+1,2,H3=F3-1,1,H3="","")</f>
        <v>0</v>
      </c>
      <c r="M3" s="148"/>
      <c r="N3" s="150">
        <v>1.0</v>
      </c>
      <c r="O3" s="151" t="s">
        <v>33</v>
      </c>
      <c r="P3" s="150">
        <f t="shared" ref="P3:P14" si="3">SUMIF(E$3:E$68,O3,K$3:K$68)+SUMIF(I$3:I$68,O3,L$3:L$68)</f>
        <v>25</v>
      </c>
      <c r="Q3" s="152">
        <f t="shared" ref="Q3:Q14" si="4">COUNTIFS(E$3:E$68,O3,K$3:K$68,2)+COUNTIFS(I$3:I$68,O3,L$3:L$68,2)+COUNTIFS(E$3:E$68,O3,K$3:K$68,3)+COUNTIFS(I$3:I$68,O3,L$3:L$68,3)</f>
        <v>9</v>
      </c>
      <c r="R3" s="152"/>
      <c r="S3" s="153">
        <f t="shared" ref="S3:S14" si="5">COUNTIFS(E$3:E$68,O3,K$3:K$68,1)+COUNTIFS(I$3:I$68,O3,L$3:L$68,1)+COUNTIFS(E$3:E$68,O3,K$3:K$68,0)+COUNTIFS(I$3:I$68,O3,L$3:L$68,0)</f>
        <v>2</v>
      </c>
      <c r="T3" s="150">
        <f t="shared" ref="T3:T14" si="6">SUMIF(E$3:E$68,O3,F$3:F$68)+SUMIF(I$3:I$68,O3,H$3:H$68)</f>
        <v>19</v>
      </c>
      <c r="U3" s="153">
        <f t="shared" ref="U3:U14" si="7">SUMIF(E$3:E$68,O3,H$3:H$68)+SUMIF(I$3:I$68,O3,F$3:F$68)</f>
        <v>7</v>
      </c>
      <c r="V3" s="150">
        <f t="shared" ref="V3:V14" si="8">T3-U3</f>
        <v>12</v>
      </c>
      <c r="X3" s="136" t="s">
        <v>26</v>
      </c>
      <c r="Y3" s="136" t="s">
        <v>13</v>
      </c>
      <c r="AA3" s="22" t="s">
        <v>29</v>
      </c>
      <c r="AB3" s="70" t="str">
        <f t="array" ref="AB3:AI14">SORT(O3:V14,2,FALSE,8,FALSE)</f>
        <v>EET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  <c r="AJ3" s="18"/>
    </row>
    <row r="4" ht="15.75" customHeight="1">
      <c r="A4" s="25"/>
      <c r="B4" s="11">
        <v>45943.0</v>
      </c>
      <c r="C4" s="12" t="s">
        <v>30</v>
      </c>
      <c r="D4" s="12" t="s">
        <v>22</v>
      </c>
      <c r="E4" s="17" t="s">
        <v>67</v>
      </c>
      <c r="F4" s="13">
        <v>0.0</v>
      </c>
      <c r="G4" s="31" t="s">
        <v>24</v>
      </c>
      <c r="H4" s="13">
        <v>2.0</v>
      </c>
      <c r="I4" s="17" t="s">
        <v>36</v>
      </c>
      <c r="J4" s="148"/>
      <c r="K4" s="149">
        <f t="shared" si="1"/>
        <v>0</v>
      </c>
      <c r="L4" s="150">
        <f t="shared" si="2"/>
        <v>3</v>
      </c>
      <c r="M4" s="148"/>
      <c r="N4" s="150">
        <v>2.0</v>
      </c>
      <c r="O4" s="151" t="s">
        <v>110</v>
      </c>
      <c r="P4" s="150">
        <f t="shared" si="3"/>
        <v>2</v>
      </c>
      <c r="Q4" s="152">
        <f t="shared" si="4"/>
        <v>0</v>
      </c>
      <c r="R4" s="152"/>
      <c r="S4" s="153">
        <f t="shared" si="5"/>
        <v>11</v>
      </c>
      <c r="T4" s="150">
        <f t="shared" si="6"/>
        <v>2</v>
      </c>
      <c r="U4" s="153">
        <f t="shared" si="7"/>
        <v>22</v>
      </c>
      <c r="V4" s="150">
        <f t="shared" si="8"/>
        <v>-20</v>
      </c>
      <c r="X4" s="137" t="s">
        <v>66</v>
      </c>
      <c r="Y4" s="137">
        <v>2.0</v>
      </c>
      <c r="AA4" s="22" t="s">
        <v>34</v>
      </c>
      <c r="AB4" s="70" t="s">
        <v>43</v>
      </c>
      <c r="AC4" s="23">
        <v>28.0</v>
      </c>
      <c r="AD4" s="23">
        <v>9.0</v>
      </c>
      <c r="AE4" s="23"/>
      <c r="AF4" s="24">
        <v>2.0</v>
      </c>
      <c r="AG4" s="23">
        <v>20.0</v>
      </c>
      <c r="AH4" s="24">
        <v>5.0</v>
      </c>
      <c r="AI4" s="23">
        <v>15.0</v>
      </c>
      <c r="AJ4" s="18"/>
    </row>
    <row r="5" ht="15.75" customHeight="1">
      <c r="A5" s="25"/>
      <c r="B5" s="11">
        <v>45943.0</v>
      </c>
      <c r="C5" s="12" t="s">
        <v>30</v>
      </c>
      <c r="D5" s="12" t="s">
        <v>22</v>
      </c>
      <c r="E5" s="17" t="s">
        <v>43</v>
      </c>
      <c r="F5" s="13">
        <v>2.0</v>
      </c>
      <c r="G5" s="31" t="s">
        <v>24</v>
      </c>
      <c r="H5" s="13">
        <v>0.0</v>
      </c>
      <c r="I5" s="17" t="s">
        <v>66</v>
      </c>
      <c r="J5" s="148"/>
      <c r="K5" s="149">
        <f t="shared" si="1"/>
        <v>3</v>
      </c>
      <c r="L5" s="150">
        <f t="shared" si="2"/>
        <v>0</v>
      </c>
      <c r="M5" s="148"/>
      <c r="N5" s="150">
        <v>3.0</v>
      </c>
      <c r="O5" s="151" t="s">
        <v>93</v>
      </c>
      <c r="P5" s="150">
        <f t="shared" si="3"/>
        <v>18</v>
      </c>
      <c r="Q5" s="152">
        <f t="shared" si="4"/>
        <v>6</v>
      </c>
      <c r="R5" s="152"/>
      <c r="S5" s="153">
        <f t="shared" si="5"/>
        <v>5</v>
      </c>
      <c r="T5" s="150">
        <f t="shared" si="6"/>
        <v>13</v>
      </c>
      <c r="U5" s="153">
        <f t="shared" si="7"/>
        <v>11</v>
      </c>
      <c r="V5" s="150">
        <f t="shared" si="8"/>
        <v>2</v>
      </c>
      <c r="X5" s="137" t="s">
        <v>31</v>
      </c>
      <c r="Y5" s="137">
        <v>1.0</v>
      </c>
      <c r="AA5" s="22" t="s">
        <v>38</v>
      </c>
      <c r="AB5" s="70" t="s">
        <v>33</v>
      </c>
      <c r="AC5" s="23">
        <v>25.0</v>
      </c>
      <c r="AD5" s="23">
        <v>9.0</v>
      </c>
      <c r="AE5" s="23"/>
      <c r="AF5" s="24">
        <v>2.0</v>
      </c>
      <c r="AG5" s="23">
        <v>19.0</v>
      </c>
      <c r="AH5" s="24">
        <v>7.0</v>
      </c>
      <c r="AI5" s="23">
        <v>12.0</v>
      </c>
      <c r="AJ5" s="18"/>
    </row>
    <row r="6" ht="15.75" customHeight="1">
      <c r="A6" s="25"/>
      <c r="B6" s="11">
        <v>45943.0</v>
      </c>
      <c r="C6" s="12" t="s">
        <v>35</v>
      </c>
      <c r="D6" s="12" t="s">
        <v>22</v>
      </c>
      <c r="E6" s="17" t="s">
        <v>25</v>
      </c>
      <c r="F6" s="13">
        <v>2.0</v>
      </c>
      <c r="G6" s="31" t="s">
        <v>24</v>
      </c>
      <c r="H6" s="13">
        <v>0.0</v>
      </c>
      <c r="I6" s="17" t="s">
        <v>39</v>
      </c>
      <c r="J6" s="148"/>
      <c r="K6" s="149">
        <f t="shared" si="1"/>
        <v>3</v>
      </c>
      <c r="L6" s="150">
        <f t="shared" si="2"/>
        <v>0</v>
      </c>
      <c r="M6" s="148"/>
      <c r="N6" s="150">
        <v>4.0</v>
      </c>
      <c r="O6" s="151" t="s">
        <v>113</v>
      </c>
      <c r="P6" s="150">
        <f t="shared" si="3"/>
        <v>10</v>
      </c>
      <c r="Q6" s="152">
        <f t="shared" si="4"/>
        <v>3</v>
      </c>
      <c r="R6" s="152"/>
      <c r="S6" s="153">
        <f t="shared" si="5"/>
        <v>8</v>
      </c>
      <c r="T6" s="150">
        <f t="shared" si="6"/>
        <v>7</v>
      </c>
      <c r="U6" s="153">
        <f t="shared" si="7"/>
        <v>16</v>
      </c>
      <c r="V6" s="150">
        <f t="shared" si="8"/>
        <v>-9</v>
      </c>
      <c r="AA6" s="22" t="s">
        <v>41</v>
      </c>
      <c r="AB6" s="70" t="s">
        <v>25</v>
      </c>
      <c r="AC6" s="23">
        <v>21.0</v>
      </c>
      <c r="AD6" s="23">
        <v>8.0</v>
      </c>
      <c r="AE6" s="23"/>
      <c r="AF6" s="24">
        <v>3.0</v>
      </c>
      <c r="AG6" s="23">
        <v>17.0</v>
      </c>
      <c r="AH6" s="24">
        <v>10.0</v>
      </c>
      <c r="AI6" s="23">
        <v>7.0</v>
      </c>
      <c r="AJ6" s="18"/>
    </row>
    <row r="7" ht="15.75" customHeight="1">
      <c r="A7" s="25"/>
      <c r="B7" s="11">
        <v>45943.0</v>
      </c>
      <c r="C7" s="12" t="s">
        <v>35</v>
      </c>
      <c r="D7" s="12" t="s">
        <v>22</v>
      </c>
      <c r="E7" s="17" t="s">
        <v>113</v>
      </c>
      <c r="F7" s="13">
        <v>2.0</v>
      </c>
      <c r="G7" s="31" t="s">
        <v>24</v>
      </c>
      <c r="H7" s="13">
        <v>0.0</v>
      </c>
      <c r="I7" s="17" t="s">
        <v>109</v>
      </c>
      <c r="J7" s="148"/>
      <c r="K7" s="149">
        <f t="shared" si="1"/>
        <v>3</v>
      </c>
      <c r="L7" s="150">
        <f t="shared" si="2"/>
        <v>0</v>
      </c>
      <c r="M7" s="148"/>
      <c r="N7" s="150">
        <v>5.0</v>
      </c>
      <c r="O7" s="151" t="s">
        <v>36</v>
      </c>
      <c r="P7" s="150">
        <f t="shared" si="3"/>
        <v>30</v>
      </c>
      <c r="Q7" s="152">
        <f t="shared" si="4"/>
        <v>10</v>
      </c>
      <c r="R7" s="152"/>
      <c r="S7" s="153">
        <f t="shared" si="5"/>
        <v>1</v>
      </c>
      <c r="T7" s="150">
        <f t="shared" si="6"/>
        <v>21</v>
      </c>
      <c r="U7" s="153">
        <f t="shared" si="7"/>
        <v>3</v>
      </c>
      <c r="V7" s="150">
        <f t="shared" si="8"/>
        <v>18</v>
      </c>
      <c r="AA7" s="22" t="s">
        <v>44</v>
      </c>
      <c r="AB7" s="70" t="s">
        <v>112</v>
      </c>
      <c r="AC7" s="23">
        <v>21.0</v>
      </c>
      <c r="AD7" s="23">
        <v>8.0</v>
      </c>
      <c r="AE7" s="23"/>
      <c r="AF7" s="24">
        <v>3.0</v>
      </c>
      <c r="AG7" s="23">
        <v>18.0</v>
      </c>
      <c r="AH7" s="24">
        <v>11.0</v>
      </c>
      <c r="AI7" s="23">
        <v>7.0</v>
      </c>
      <c r="AJ7" s="18"/>
    </row>
    <row r="8" ht="15.75" customHeight="1">
      <c r="A8" s="29"/>
      <c r="B8" s="11">
        <v>45943.0</v>
      </c>
      <c r="C8" s="12" t="s">
        <v>35</v>
      </c>
      <c r="D8" s="12" t="s">
        <v>22</v>
      </c>
      <c r="E8" s="17" t="s">
        <v>112</v>
      </c>
      <c r="F8" s="13">
        <v>2.0</v>
      </c>
      <c r="G8" s="31" t="s">
        <v>24</v>
      </c>
      <c r="H8" s="13">
        <v>1.0</v>
      </c>
      <c r="I8" s="17" t="s">
        <v>110</v>
      </c>
      <c r="J8" s="148"/>
      <c r="K8" s="149">
        <f t="shared" si="1"/>
        <v>2</v>
      </c>
      <c r="L8" s="150">
        <f t="shared" si="2"/>
        <v>1</v>
      </c>
      <c r="M8" s="148"/>
      <c r="N8" s="150">
        <v>6.0</v>
      </c>
      <c r="O8" s="151" t="s">
        <v>25</v>
      </c>
      <c r="P8" s="150">
        <f t="shared" si="3"/>
        <v>21</v>
      </c>
      <c r="Q8" s="152">
        <f t="shared" si="4"/>
        <v>8</v>
      </c>
      <c r="R8" s="152"/>
      <c r="S8" s="153">
        <f t="shared" si="5"/>
        <v>3</v>
      </c>
      <c r="T8" s="150">
        <f t="shared" si="6"/>
        <v>17</v>
      </c>
      <c r="U8" s="153">
        <f t="shared" si="7"/>
        <v>10</v>
      </c>
      <c r="V8" s="150">
        <f t="shared" si="8"/>
        <v>7</v>
      </c>
      <c r="AA8" s="22" t="s">
        <v>47</v>
      </c>
      <c r="AB8" s="70" t="s">
        <v>93</v>
      </c>
      <c r="AC8" s="23">
        <v>18.0</v>
      </c>
      <c r="AD8" s="23">
        <v>6.0</v>
      </c>
      <c r="AE8" s="23"/>
      <c r="AF8" s="24">
        <v>5.0</v>
      </c>
      <c r="AG8" s="23">
        <v>13.0</v>
      </c>
      <c r="AH8" s="24">
        <v>11.0</v>
      </c>
      <c r="AI8" s="23">
        <v>2.0</v>
      </c>
      <c r="AJ8" s="18"/>
    </row>
    <row r="9" ht="15.75" customHeight="1">
      <c r="A9" s="10">
        <v>2.0</v>
      </c>
      <c r="B9" s="11">
        <v>45959.0</v>
      </c>
      <c r="C9" s="12" t="s">
        <v>54</v>
      </c>
      <c r="D9" s="12" t="s">
        <v>22</v>
      </c>
      <c r="E9" s="17" t="s">
        <v>93</v>
      </c>
      <c r="F9" s="13">
        <v>1.0</v>
      </c>
      <c r="G9" s="31" t="s">
        <v>24</v>
      </c>
      <c r="H9" s="13">
        <v>2.0</v>
      </c>
      <c r="I9" s="17" t="s">
        <v>112</v>
      </c>
      <c r="J9" s="148"/>
      <c r="K9" s="149">
        <f t="shared" si="1"/>
        <v>1</v>
      </c>
      <c r="L9" s="150">
        <f t="shared" si="2"/>
        <v>2</v>
      </c>
      <c r="M9" s="148"/>
      <c r="N9" s="150">
        <v>7.0</v>
      </c>
      <c r="O9" s="151" t="s">
        <v>66</v>
      </c>
      <c r="P9" s="150">
        <f t="shared" si="3"/>
        <v>16</v>
      </c>
      <c r="Q9" s="152">
        <f t="shared" si="4"/>
        <v>5</v>
      </c>
      <c r="R9" s="152"/>
      <c r="S9" s="153">
        <f t="shared" si="5"/>
        <v>6</v>
      </c>
      <c r="T9" s="150">
        <f t="shared" si="6"/>
        <v>12</v>
      </c>
      <c r="U9" s="153">
        <f t="shared" si="7"/>
        <v>13</v>
      </c>
      <c r="V9" s="150">
        <f t="shared" si="8"/>
        <v>-1</v>
      </c>
      <c r="AA9" s="22">
        <v>7.0</v>
      </c>
      <c r="AB9" s="70" t="s">
        <v>66</v>
      </c>
      <c r="AC9" s="23">
        <v>16.0</v>
      </c>
      <c r="AD9" s="23">
        <v>5.0</v>
      </c>
      <c r="AE9" s="23"/>
      <c r="AF9" s="24">
        <v>6.0</v>
      </c>
      <c r="AG9" s="23">
        <v>12.0</v>
      </c>
      <c r="AH9" s="24">
        <v>13.0</v>
      </c>
      <c r="AI9" s="23">
        <v>-1.0</v>
      </c>
      <c r="AJ9" s="18"/>
    </row>
    <row r="10" ht="15.75" customHeight="1">
      <c r="A10" s="25"/>
      <c r="B10" s="11">
        <v>45959.0</v>
      </c>
      <c r="C10" s="12" t="s">
        <v>51</v>
      </c>
      <c r="D10" s="12" t="s">
        <v>22</v>
      </c>
      <c r="E10" s="17" t="s">
        <v>36</v>
      </c>
      <c r="F10" s="13">
        <v>2.0</v>
      </c>
      <c r="G10" s="31" t="s">
        <v>24</v>
      </c>
      <c r="H10" s="13">
        <v>0.0</v>
      </c>
      <c r="I10" s="17" t="s">
        <v>33</v>
      </c>
      <c r="J10" s="148"/>
      <c r="K10" s="149">
        <f t="shared" si="1"/>
        <v>3</v>
      </c>
      <c r="L10" s="150">
        <f t="shared" si="2"/>
        <v>0</v>
      </c>
      <c r="M10" s="148"/>
      <c r="N10" s="150">
        <v>8.0</v>
      </c>
      <c r="O10" s="151" t="s">
        <v>43</v>
      </c>
      <c r="P10" s="150">
        <f t="shared" si="3"/>
        <v>28</v>
      </c>
      <c r="Q10" s="152">
        <f t="shared" si="4"/>
        <v>9</v>
      </c>
      <c r="R10" s="152"/>
      <c r="S10" s="153">
        <f t="shared" si="5"/>
        <v>2</v>
      </c>
      <c r="T10" s="150">
        <f t="shared" si="6"/>
        <v>20</v>
      </c>
      <c r="U10" s="153">
        <f t="shared" si="7"/>
        <v>5</v>
      </c>
      <c r="V10" s="150">
        <f t="shared" si="8"/>
        <v>15</v>
      </c>
      <c r="AA10" s="22">
        <v>8.0</v>
      </c>
      <c r="AB10" s="70" t="s">
        <v>67</v>
      </c>
      <c r="AC10" s="23">
        <v>13.0</v>
      </c>
      <c r="AD10" s="23">
        <v>4.0</v>
      </c>
      <c r="AE10" s="23"/>
      <c r="AF10" s="24">
        <v>7.0</v>
      </c>
      <c r="AG10" s="23">
        <v>10.0</v>
      </c>
      <c r="AH10" s="24">
        <v>15.0</v>
      </c>
      <c r="AI10" s="23">
        <v>-5.0</v>
      </c>
      <c r="AJ10" s="18"/>
    </row>
    <row r="11" ht="15.75" customHeight="1">
      <c r="A11" s="25"/>
      <c r="B11" s="11">
        <v>45959.0</v>
      </c>
      <c r="C11" s="12" t="s">
        <v>55</v>
      </c>
      <c r="D11" s="12" t="s">
        <v>22</v>
      </c>
      <c r="E11" s="17" t="s">
        <v>66</v>
      </c>
      <c r="F11" s="13">
        <v>2.0</v>
      </c>
      <c r="G11" s="31" t="s">
        <v>24</v>
      </c>
      <c r="H11" s="13">
        <v>0.0</v>
      </c>
      <c r="I11" s="17" t="s">
        <v>67</v>
      </c>
      <c r="J11" s="148"/>
      <c r="K11" s="149">
        <f t="shared" si="1"/>
        <v>3</v>
      </c>
      <c r="L11" s="150">
        <f t="shared" si="2"/>
        <v>0</v>
      </c>
      <c r="M11" s="148"/>
      <c r="N11" s="150">
        <v>9.0</v>
      </c>
      <c r="O11" s="151" t="s">
        <v>39</v>
      </c>
      <c r="P11" s="150">
        <f t="shared" si="3"/>
        <v>11</v>
      </c>
      <c r="Q11" s="152">
        <f t="shared" si="4"/>
        <v>3</v>
      </c>
      <c r="R11" s="152"/>
      <c r="S11" s="153">
        <f t="shared" si="5"/>
        <v>8</v>
      </c>
      <c r="T11" s="150">
        <f t="shared" si="6"/>
        <v>9</v>
      </c>
      <c r="U11" s="153">
        <f t="shared" si="7"/>
        <v>17</v>
      </c>
      <c r="V11" s="150">
        <f t="shared" si="8"/>
        <v>-8</v>
      </c>
      <c r="AA11" s="124" t="s">
        <v>96</v>
      </c>
      <c r="AB11" s="70" t="s">
        <v>39</v>
      </c>
      <c r="AC11" s="23">
        <v>11.0</v>
      </c>
      <c r="AD11" s="23">
        <v>3.0</v>
      </c>
      <c r="AE11" s="23"/>
      <c r="AF11" s="24">
        <v>8.0</v>
      </c>
      <c r="AG11" s="23">
        <v>9.0</v>
      </c>
      <c r="AH11" s="24">
        <v>17.0</v>
      </c>
      <c r="AI11" s="23">
        <v>-8.0</v>
      </c>
      <c r="AJ11" s="18"/>
    </row>
    <row r="12" ht="15.75" customHeight="1">
      <c r="A12" s="25"/>
      <c r="B12" s="11">
        <v>45959.0</v>
      </c>
      <c r="C12" s="12" t="s">
        <v>55</v>
      </c>
      <c r="D12" s="12" t="s">
        <v>22</v>
      </c>
      <c r="E12" s="17" t="s">
        <v>39</v>
      </c>
      <c r="F12" s="13">
        <v>0.0</v>
      </c>
      <c r="G12" s="31" t="s">
        <v>24</v>
      </c>
      <c r="H12" s="13">
        <v>2.0</v>
      </c>
      <c r="I12" s="17" t="s">
        <v>43</v>
      </c>
      <c r="J12" s="148"/>
      <c r="K12" s="149">
        <f t="shared" si="1"/>
        <v>0</v>
      </c>
      <c r="L12" s="150">
        <f t="shared" si="2"/>
        <v>3</v>
      </c>
      <c r="M12" s="148"/>
      <c r="N12" s="150">
        <v>10.0</v>
      </c>
      <c r="O12" s="154" t="s">
        <v>67</v>
      </c>
      <c r="P12" s="150">
        <f t="shared" si="3"/>
        <v>13</v>
      </c>
      <c r="Q12" s="152">
        <f t="shared" si="4"/>
        <v>4</v>
      </c>
      <c r="R12" s="152"/>
      <c r="S12" s="153">
        <f t="shared" si="5"/>
        <v>7</v>
      </c>
      <c r="T12" s="150">
        <f t="shared" si="6"/>
        <v>10</v>
      </c>
      <c r="U12" s="153">
        <f t="shared" si="7"/>
        <v>15</v>
      </c>
      <c r="V12" s="150">
        <f t="shared" si="8"/>
        <v>-5</v>
      </c>
      <c r="AA12" s="76">
        <v>10.0</v>
      </c>
      <c r="AB12" s="70" t="s">
        <v>113</v>
      </c>
      <c r="AC12" s="23">
        <v>10.0</v>
      </c>
      <c r="AD12" s="23">
        <v>3.0</v>
      </c>
      <c r="AE12" s="23"/>
      <c r="AF12" s="24">
        <v>8.0</v>
      </c>
      <c r="AG12" s="23">
        <v>7.0</v>
      </c>
      <c r="AH12" s="24">
        <v>16.0</v>
      </c>
      <c r="AI12" s="23">
        <v>-9.0</v>
      </c>
      <c r="AJ12" s="18"/>
    </row>
    <row r="13" ht="15.75" customHeight="1">
      <c r="A13" s="25"/>
      <c r="B13" s="11">
        <v>45959.0</v>
      </c>
      <c r="C13" s="12" t="s">
        <v>55</v>
      </c>
      <c r="D13" s="12" t="s">
        <v>22</v>
      </c>
      <c r="E13" s="17" t="s">
        <v>109</v>
      </c>
      <c r="F13" s="13">
        <v>0.0</v>
      </c>
      <c r="G13" s="31" t="s">
        <v>24</v>
      </c>
      <c r="H13" s="13">
        <v>2.0</v>
      </c>
      <c r="I13" s="17" t="s">
        <v>25</v>
      </c>
      <c r="J13" s="148"/>
      <c r="K13" s="149">
        <f t="shared" si="1"/>
        <v>0</v>
      </c>
      <c r="L13" s="150">
        <f t="shared" si="2"/>
        <v>3</v>
      </c>
      <c r="M13" s="148"/>
      <c r="N13" s="150">
        <v>11.0</v>
      </c>
      <c r="O13" s="155" t="s">
        <v>109</v>
      </c>
      <c r="P13" s="150">
        <f t="shared" si="3"/>
        <v>3</v>
      </c>
      <c r="Q13" s="152">
        <f t="shared" si="4"/>
        <v>1</v>
      </c>
      <c r="R13" s="152"/>
      <c r="S13" s="153">
        <f t="shared" si="5"/>
        <v>10</v>
      </c>
      <c r="T13" s="150">
        <f t="shared" si="6"/>
        <v>3</v>
      </c>
      <c r="U13" s="153">
        <f t="shared" si="7"/>
        <v>21</v>
      </c>
      <c r="V13" s="150">
        <f t="shared" si="8"/>
        <v>-18</v>
      </c>
      <c r="AA13" s="76">
        <v>11.0</v>
      </c>
      <c r="AB13" s="70" t="s">
        <v>109</v>
      </c>
      <c r="AC13" s="23">
        <v>3.0</v>
      </c>
      <c r="AD13" s="23">
        <v>1.0</v>
      </c>
      <c r="AE13" s="23"/>
      <c r="AF13" s="24">
        <v>10.0</v>
      </c>
      <c r="AG13" s="23">
        <v>3.0</v>
      </c>
      <c r="AH13" s="24">
        <v>21.0</v>
      </c>
      <c r="AI13" s="23">
        <v>-18.0</v>
      </c>
      <c r="AJ13" s="18"/>
    </row>
    <row r="14" ht="15.75" customHeight="1">
      <c r="A14" s="29"/>
      <c r="B14" s="11">
        <v>45959.0</v>
      </c>
      <c r="C14" s="12" t="s">
        <v>52</v>
      </c>
      <c r="D14" s="12" t="s">
        <v>22</v>
      </c>
      <c r="E14" s="17" t="s">
        <v>110</v>
      </c>
      <c r="F14" s="13">
        <v>0.0</v>
      </c>
      <c r="G14" s="31" t="s">
        <v>24</v>
      </c>
      <c r="H14" s="13">
        <v>2.0</v>
      </c>
      <c r="I14" s="17" t="s">
        <v>113</v>
      </c>
      <c r="J14" s="148"/>
      <c r="K14" s="149">
        <f t="shared" si="1"/>
        <v>0</v>
      </c>
      <c r="L14" s="150">
        <f t="shared" si="2"/>
        <v>3</v>
      </c>
      <c r="M14" s="148"/>
      <c r="N14" s="156">
        <v>12.0</v>
      </c>
      <c r="O14" s="155" t="s">
        <v>112</v>
      </c>
      <c r="P14" s="150">
        <f t="shared" si="3"/>
        <v>21</v>
      </c>
      <c r="Q14" s="152">
        <f t="shared" si="4"/>
        <v>8</v>
      </c>
      <c r="S14" s="153">
        <f t="shared" si="5"/>
        <v>3</v>
      </c>
      <c r="T14" s="150">
        <f t="shared" si="6"/>
        <v>18</v>
      </c>
      <c r="U14" s="153">
        <f t="shared" si="7"/>
        <v>11</v>
      </c>
      <c r="V14" s="150">
        <f t="shared" si="8"/>
        <v>7</v>
      </c>
      <c r="AA14" s="76">
        <v>12.0</v>
      </c>
      <c r="AB14" s="28" t="s">
        <v>110</v>
      </c>
      <c r="AC14" s="23">
        <v>2.0</v>
      </c>
      <c r="AD14" s="28">
        <v>0.0</v>
      </c>
      <c r="AE14" s="28"/>
      <c r="AF14" s="28">
        <v>11.0</v>
      </c>
      <c r="AG14" s="28">
        <v>2.0</v>
      </c>
      <c r="AH14" s="28">
        <v>22.0</v>
      </c>
      <c r="AI14" s="28">
        <v>-20.0</v>
      </c>
      <c r="AJ14" s="3"/>
    </row>
    <row r="15" ht="15.75" customHeight="1">
      <c r="A15" s="10">
        <v>3.0</v>
      </c>
      <c r="B15" s="11">
        <v>45959.0</v>
      </c>
      <c r="C15" s="12" t="s">
        <v>52</v>
      </c>
      <c r="D15" s="12" t="s">
        <v>22</v>
      </c>
      <c r="E15" s="17" t="s">
        <v>93</v>
      </c>
      <c r="F15" s="13">
        <v>0.0</v>
      </c>
      <c r="G15" s="31" t="s">
        <v>24</v>
      </c>
      <c r="H15" s="13">
        <v>2.0</v>
      </c>
      <c r="I15" s="17" t="s">
        <v>36</v>
      </c>
      <c r="J15" s="148"/>
      <c r="K15" s="149">
        <f t="shared" si="1"/>
        <v>0</v>
      </c>
      <c r="L15" s="150">
        <f t="shared" si="2"/>
        <v>3</v>
      </c>
      <c r="M15" s="148"/>
      <c r="N15" s="148"/>
      <c r="O15" s="148"/>
      <c r="P15" s="148"/>
      <c r="Q15" s="148"/>
      <c r="R15" s="148"/>
      <c r="S15" s="148"/>
      <c r="T15" s="148"/>
      <c r="U15" s="148"/>
      <c r="V15" s="148"/>
      <c r="AA15" s="35" t="s">
        <v>219</v>
      </c>
      <c r="AD15" s="37"/>
      <c r="AE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52</v>
      </c>
      <c r="D16" s="12" t="s">
        <v>22</v>
      </c>
      <c r="E16" s="17" t="s">
        <v>33</v>
      </c>
      <c r="F16" s="13">
        <v>2.0</v>
      </c>
      <c r="G16" s="31" t="s">
        <v>24</v>
      </c>
      <c r="H16" s="13">
        <v>0.0</v>
      </c>
      <c r="I16" s="17" t="s">
        <v>66</v>
      </c>
      <c r="J16" s="148"/>
      <c r="K16" s="149">
        <f t="shared" si="1"/>
        <v>3</v>
      </c>
      <c r="L16" s="150">
        <f t="shared" si="2"/>
        <v>0</v>
      </c>
      <c r="M16" s="148"/>
      <c r="N16" s="148"/>
      <c r="O16" s="148"/>
      <c r="P16" s="148"/>
      <c r="Q16" s="148"/>
      <c r="R16" s="148"/>
      <c r="S16" s="148"/>
      <c r="T16" s="148"/>
      <c r="U16" s="148"/>
      <c r="V16" s="148"/>
      <c r="AA16" s="79" t="s">
        <v>101</v>
      </c>
      <c r="AD16" s="37"/>
      <c r="AE16" s="37"/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53</v>
      </c>
      <c r="D17" s="12" t="s">
        <v>22</v>
      </c>
      <c r="E17" s="17" t="s">
        <v>67</v>
      </c>
      <c r="F17" s="13">
        <v>2.0</v>
      </c>
      <c r="G17" s="31" t="s">
        <v>24</v>
      </c>
      <c r="H17" s="13">
        <v>0.0</v>
      </c>
      <c r="I17" s="17" t="s">
        <v>39</v>
      </c>
      <c r="J17" s="148"/>
      <c r="K17" s="149">
        <f t="shared" si="1"/>
        <v>3</v>
      </c>
      <c r="L17" s="150">
        <f t="shared" si="2"/>
        <v>0</v>
      </c>
      <c r="M17" s="148"/>
      <c r="N17" s="148"/>
      <c r="O17" s="148"/>
      <c r="P17" s="148"/>
      <c r="Q17" s="148"/>
      <c r="R17" s="148"/>
      <c r="S17" s="148"/>
      <c r="T17" s="148"/>
      <c r="U17" s="148"/>
      <c r="V17" s="148"/>
      <c r="AA17" s="157"/>
      <c r="AB17" s="157"/>
      <c r="AC17" s="157"/>
      <c r="AD17" s="37"/>
      <c r="AE17" s="37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53</v>
      </c>
      <c r="D18" s="12" t="s">
        <v>22</v>
      </c>
      <c r="E18" s="17" t="s">
        <v>43</v>
      </c>
      <c r="F18" s="13">
        <v>2.0</v>
      </c>
      <c r="G18" s="31" t="s">
        <v>24</v>
      </c>
      <c r="H18" s="13">
        <v>0.0</v>
      </c>
      <c r="I18" s="17" t="s">
        <v>109</v>
      </c>
      <c r="J18" s="158"/>
      <c r="K18" s="149">
        <f t="shared" si="1"/>
        <v>3</v>
      </c>
      <c r="L18" s="150">
        <f t="shared" si="2"/>
        <v>0</v>
      </c>
      <c r="M18" s="148"/>
      <c r="N18" s="148"/>
      <c r="O18" s="148"/>
      <c r="P18" s="148"/>
      <c r="R18" s="148"/>
      <c r="S18" s="148"/>
      <c r="T18" s="148"/>
      <c r="U18" s="148"/>
      <c r="V18" s="148"/>
      <c r="AA18" s="81" t="s">
        <v>103</v>
      </c>
      <c r="AB18" s="82"/>
      <c r="AC18" s="82"/>
      <c r="AD18" s="82"/>
      <c r="AE18" s="82"/>
      <c r="AF18" s="82"/>
      <c r="AG18" s="82"/>
      <c r="AH18" s="82"/>
      <c r="AI18" s="83"/>
      <c r="AJ18" s="3"/>
    </row>
    <row r="19" ht="15.75" customHeight="1">
      <c r="A19" s="25"/>
      <c r="B19" s="11">
        <v>45959.0</v>
      </c>
      <c r="C19" s="12" t="s">
        <v>53</v>
      </c>
      <c r="D19" s="12" t="s">
        <v>22</v>
      </c>
      <c r="E19" s="17" t="s">
        <v>25</v>
      </c>
      <c r="F19" s="13">
        <v>2.0</v>
      </c>
      <c r="G19" s="31" t="s">
        <v>24</v>
      </c>
      <c r="H19" s="13">
        <v>0.0</v>
      </c>
      <c r="I19" s="17" t="s">
        <v>110</v>
      </c>
      <c r="J19" s="148"/>
      <c r="K19" s="149">
        <f t="shared" si="1"/>
        <v>3</v>
      </c>
      <c r="L19" s="150">
        <f t="shared" si="2"/>
        <v>0</v>
      </c>
      <c r="M19" s="148"/>
      <c r="N19" s="148"/>
      <c r="O19" s="148"/>
      <c r="P19" s="148"/>
      <c r="Q19" s="148"/>
      <c r="R19" s="148"/>
      <c r="S19" s="148"/>
      <c r="T19" s="148"/>
      <c r="U19" s="148"/>
      <c r="V19" s="148"/>
      <c r="AA19" s="84"/>
      <c r="AB19" s="85"/>
      <c r="AC19" s="85"/>
      <c r="AD19" s="85"/>
      <c r="AE19" s="85"/>
      <c r="AF19" s="85"/>
      <c r="AG19" s="85"/>
      <c r="AH19" s="85"/>
      <c r="AI19" s="86"/>
      <c r="AJ19" s="3"/>
    </row>
    <row r="20" ht="15.75" customHeight="1">
      <c r="A20" s="29"/>
      <c r="B20" s="11">
        <v>45966.0</v>
      </c>
      <c r="C20" s="12" t="s">
        <v>164</v>
      </c>
      <c r="D20" s="12" t="s">
        <v>22</v>
      </c>
      <c r="E20" s="17" t="s">
        <v>112</v>
      </c>
      <c r="F20" s="13">
        <v>2.0</v>
      </c>
      <c r="G20" s="31" t="s">
        <v>24</v>
      </c>
      <c r="H20" s="13">
        <v>0.0</v>
      </c>
      <c r="I20" s="17" t="s">
        <v>113</v>
      </c>
      <c r="J20" s="148"/>
      <c r="K20" s="149">
        <f t="shared" si="1"/>
        <v>3</v>
      </c>
      <c r="L20" s="150">
        <f t="shared" si="2"/>
        <v>0</v>
      </c>
      <c r="M20" s="148"/>
      <c r="N20" s="148"/>
      <c r="O20" s="148"/>
      <c r="P20" s="148"/>
      <c r="Q20" s="148"/>
      <c r="R20" s="148"/>
      <c r="S20" s="148"/>
      <c r="T20" s="148"/>
      <c r="U20" s="148"/>
      <c r="V20" s="148"/>
      <c r="AA20" s="5" t="s">
        <v>11</v>
      </c>
      <c r="AB20" s="5" t="s">
        <v>12</v>
      </c>
      <c r="AC20" s="5" t="s">
        <v>13</v>
      </c>
      <c r="AD20" s="5" t="s">
        <v>14</v>
      </c>
      <c r="AE20" s="5" t="s">
        <v>15</v>
      </c>
      <c r="AF20" s="5" t="s">
        <v>16</v>
      </c>
      <c r="AG20" s="5" t="s">
        <v>204</v>
      </c>
      <c r="AH20" s="5" t="s">
        <v>205</v>
      </c>
      <c r="AI20" s="5" t="s">
        <v>206</v>
      </c>
      <c r="AJ20" s="3"/>
    </row>
    <row r="21" ht="15.75" customHeight="1">
      <c r="A21" s="10">
        <v>4.0</v>
      </c>
      <c r="B21" s="43">
        <v>45993.0</v>
      </c>
      <c r="C21" s="12" t="s">
        <v>30</v>
      </c>
      <c r="D21" s="12" t="s">
        <v>22</v>
      </c>
      <c r="E21" s="17" t="s">
        <v>36</v>
      </c>
      <c r="F21" s="13">
        <v>1.0</v>
      </c>
      <c r="G21" s="31" t="s">
        <v>24</v>
      </c>
      <c r="H21" s="13">
        <v>2.0</v>
      </c>
      <c r="I21" s="17" t="s">
        <v>112</v>
      </c>
      <c r="J21" s="148"/>
      <c r="K21" s="149">
        <f t="shared" si="1"/>
        <v>1</v>
      </c>
      <c r="L21" s="150">
        <f t="shared" si="2"/>
        <v>2</v>
      </c>
      <c r="M21" s="148"/>
      <c r="N21" s="148"/>
      <c r="O21" s="148"/>
      <c r="P21" s="148"/>
      <c r="Q21" s="148"/>
      <c r="R21" s="148"/>
      <c r="S21" s="148"/>
      <c r="T21" s="148"/>
      <c r="U21" s="148"/>
      <c r="V21" s="148"/>
      <c r="AA21" s="22" t="s">
        <v>29</v>
      </c>
      <c r="AB21" s="70" t="s">
        <v>36</v>
      </c>
      <c r="AC21" s="23">
        <v>30.0</v>
      </c>
      <c r="AD21" s="23">
        <v>10.0</v>
      </c>
      <c r="AE21" s="23"/>
      <c r="AF21" s="24">
        <v>1.0</v>
      </c>
      <c r="AG21" s="23">
        <v>21.0</v>
      </c>
      <c r="AH21" s="24">
        <v>3.0</v>
      </c>
      <c r="AI21" s="23">
        <v>18.0</v>
      </c>
      <c r="AJ21" s="3"/>
    </row>
    <row r="22" ht="15.75" customHeight="1">
      <c r="A22" s="25"/>
      <c r="B22" s="11">
        <v>45993.0</v>
      </c>
      <c r="C22" s="12" t="s">
        <v>30</v>
      </c>
      <c r="D22" s="12" t="s">
        <v>22</v>
      </c>
      <c r="E22" s="17" t="s">
        <v>66</v>
      </c>
      <c r="F22" s="13">
        <v>2.0</v>
      </c>
      <c r="G22" s="31" t="s">
        <v>24</v>
      </c>
      <c r="H22" s="13">
        <v>0.0</v>
      </c>
      <c r="I22" s="17" t="s">
        <v>93</v>
      </c>
      <c r="J22" s="148"/>
      <c r="K22" s="149">
        <f t="shared" si="1"/>
        <v>3</v>
      </c>
      <c r="L22" s="150">
        <f t="shared" si="2"/>
        <v>0</v>
      </c>
      <c r="M22" s="148"/>
      <c r="N22" s="148"/>
      <c r="O22" s="148"/>
      <c r="P22" s="148"/>
      <c r="Q22" s="148"/>
      <c r="R22" s="148"/>
      <c r="S22" s="148"/>
      <c r="T22" s="148"/>
      <c r="U22" s="148"/>
      <c r="V22" s="148"/>
      <c r="AA22" s="22" t="s">
        <v>34</v>
      </c>
      <c r="AB22" s="70" t="s">
        <v>43</v>
      </c>
      <c r="AC22" s="23">
        <v>28.0</v>
      </c>
      <c r="AD22" s="23">
        <v>9.0</v>
      </c>
      <c r="AE22" s="23"/>
      <c r="AF22" s="24">
        <v>2.0</v>
      </c>
      <c r="AG22" s="23">
        <v>20.0</v>
      </c>
      <c r="AH22" s="24">
        <v>5.0</v>
      </c>
      <c r="AI22" s="23">
        <v>15.0</v>
      </c>
      <c r="AJ22" s="3"/>
    </row>
    <row r="23" ht="15.75" customHeight="1">
      <c r="A23" s="25"/>
      <c r="B23" s="11">
        <v>46001.0</v>
      </c>
      <c r="C23" s="12" t="s">
        <v>155</v>
      </c>
      <c r="D23" s="12" t="s">
        <v>22</v>
      </c>
      <c r="E23" s="17" t="s">
        <v>39</v>
      </c>
      <c r="F23" s="13">
        <v>1.0</v>
      </c>
      <c r="G23" s="31" t="s">
        <v>24</v>
      </c>
      <c r="H23" s="13">
        <v>2.0</v>
      </c>
      <c r="I23" s="17" t="s">
        <v>33</v>
      </c>
      <c r="J23" s="148"/>
      <c r="K23" s="149">
        <f t="shared" si="1"/>
        <v>1</v>
      </c>
      <c r="L23" s="150">
        <f t="shared" si="2"/>
        <v>2</v>
      </c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AA23" s="22" t="s">
        <v>38</v>
      </c>
      <c r="AB23" s="70" t="s">
        <v>33</v>
      </c>
      <c r="AC23" s="23">
        <v>25.0</v>
      </c>
      <c r="AD23" s="23">
        <v>9.0</v>
      </c>
      <c r="AE23" s="23"/>
      <c r="AF23" s="24">
        <v>2.0</v>
      </c>
      <c r="AG23" s="23">
        <v>19.0</v>
      </c>
      <c r="AH23" s="24">
        <v>7.0</v>
      </c>
      <c r="AI23" s="23">
        <v>12.0</v>
      </c>
      <c r="AJ23" s="3"/>
    </row>
    <row r="24" ht="15.75" customHeight="1">
      <c r="A24" s="25"/>
      <c r="B24" s="11">
        <v>45993.0</v>
      </c>
      <c r="C24" s="12" t="s">
        <v>35</v>
      </c>
      <c r="D24" s="12" t="s">
        <v>22</v>
      </c>
      <c r="E24" s="17" t="s">
        <v>109</v>
      </c>
      <c r="F24" s="13">
        <v>0.0</v>
      </c>
      <c r="G24" s="31" t="s">
        <v>24</v>
      </c>
      <c r="H24" s="13">
        <v>2.0</v>
      </c>
      <c r="I24" s="17" t="s">
        <v>67</v>
      </c>
      <c r="J24" s="148"/>
      <c r="K24" s="149">
        <f t="shared" si="1"/>
        <v>0</v>
      </c>
      <c r="L24" s="150">
        <f t="shared" si="2"/>
        <v>3</v>
      </c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AA24" s="22" t="s">
        <v>41</v>
      </c>
      <c r="AB24" s="70" t="s">
        <v>112</v>
      </c>
      <c r="AC24" s="23">
        <v>21.0</v>
      </c>
      <c r="AD24" s="23">
        <v>8.0</v>
      </c>
      <c r="AE24" s="23"/>
      <c r="AF24" s="24">
        <v>3.0</v>
      </c>
      <c r="AG24" s="23">
        <v>18.0</v>
      </c>
      <c r="AH24" s="24">
        <v>11.0</v>
      </c>
      <c r="AI24" s="23">
        <v>7.0</v>
      </c>
      <c r="AJ24" s="3"/>
    </row>
    <row r="25" ht="15.75" customHeight="1">
      <c r="A25" s="25"/>
      <c r="B25" s="11">
        <v>45993.0</v>
      </c>
      <c r="C25" s="12" t="s">
        <v>35</v>
      </c>
      <c r="D25" s="12" t="s">
        <v>22</v>
      </c>
      <c r="E25" s="17" t="s">
        <v>110</v>
      </c>
      <c r="F25" s="13">
        <v>0.0</v>
      </c>
      <c r="G25" s="31" t="s">
        <v>24</v>
      </c>
      <c r="H25" s="13">
        <v>2.0</v>
      </c>
      <c r="I25" s="17" t="s">
        <v>43</v>
      </c>
      <c r="J25" s="148"/>
      <c r="K25" s="149">
        <f t="shared" si="1"/>
        <v>0</v>
      </c>
      <c r="L25" s="150">
        <f t="shared" si="2"/>
        <v>3</v>
      </c>
      <c r="M25" s="148"/>
      <c r="N25" s="148"/>
      <c r="O25" s="148"/>
      <c r="P25" s="148"/>
      <c r="Q25" s="148"/>
      <c r="R25" s="148"/>
      <c r="S25" s="148"/>
      <c r="T25" s="148"/>
      <c r="U25" s="148"/>
      <c r="V25" s="148"/>
      <c r="AA25" s="22" t="s">
        <v>44</v>
      </c>
      <c r="AB25" s="70" t="s">
        <v>25</v>
      </c>
      <c r="AC25" s="23">
        <v>21.0</v>
      </c>
      <c r="AD25" s="23">
        <v>8.0</v>
      </c>
      <c r="AE25" s="23"/>
      <c r="AF25" s="24">
        <v>3.0</v>
      </c>
      <c r="AG25" s="23">
        <v>17.0</v>
      </c>
      <c r="AH25" s="24">
        <v>10.0</v>
      </c>
      <c r="AI25" s="23">
        <v>7.0</v>
      </c>
      <c r="AJ25" s="3"/>
    </row>
    <row r="26" ht="15.75" customHeight="1">
      <c r="A26" s="29"/>
      <c r="B26" s="11">
        <v>45993.0</v>
      </c>
      <c r="C26" s="12" t="s">
        <v>35</v>
      </c>
      <c r="D26" s="12" t="s">
        <v>22</v>
      </c>
      <c r="E26" s="17" t="s">
        <v>113</v>
      </c>
      <c r="F26" s="13">
        <v>0.0</v>
      </c>
      <c r="G26" s="31" t="s">
        <v>24</v>
      </c>
      <c r="H26" s="13">
        <v>2.0</v>
      </c>
      <c r="I26" s="17" t="s">
        <v>25</v>
      </c>
      <c r="J26" s="148"/>
      <c r="K26" s="149">
        <f t="shared" si="1"/>
        <v>0</v>
      </c>
      <c r="L26" s="150">
        <f t="shared" si="2"/>
        <v>3</v>
      </c>
      <c r="M26" s="148"/>
      <c r="N26" s="148"/>
      <c r="O26" s="148"/>
      <c r="P26" s="148"/>
      <c r="Q26" s="148"/>
      <c r="R26" s="148"/>
      <c r="S26" s="148"/>
      <c r="T26" s="148"/>
      <c r="U26" s="148"/>
      <c r="V26" s="148"/>
      <c r="AA26" s="22" t="s">
        <v>47</v>
      </c>
      <c r="AB26" s="70" t="s">
        <v>93</v>
      </c>
      <c r="AC26" s="23">
        <v>18.0</v>
      </c>
      <c r="AD26" s="23">
        <v>6.0</v>
      </c>
      <c r="AE26" s="23"/>
      <c r="AF26" s="24">
        <v>5.0</v>
      </c>
      <c r="AG26" s="23">
        <v>13.0</v>
      </c>
      <c r="AH26" s="24">
        <v>11.0</v>
      </c>
      <c r="AI26" s="23">
        <v>2.0</v>
      </c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7" t="s">
        <v>36</v>
      </c>
      <c r="F27" s="13">
        <v>2.0</v>
      </c>
      <c r="G27" s="31" t="s">
        <v>24</v>
      </c>
      <c r="H27" s="13">
        <v>0.0</v>
      </c>
      <c r="I27" s="17" t="s">
        <v>66</v>
      </c>
      <c r="J27" s="148"/>
      <c r="K27" s="149">
        <f t="shared" si="1"/>
        <v>3</v>
      </c>
      <c r="L27" s="150">
        <f t="shared" si="2"/>
        <v>0</v>
      </c>
      <c r="M27" s="148"/>
      <c r="N27" s="148"/>
      <c r="O27" s="148"/>
      <c r="P27" s="148"/>
      <c r="Q27" s="148"/>
      <c r="R27" s="148"/>
      <c r="S27" s="148"/>
      <c r="T27" s="148"/>
      <c r="U27" s="148"/>
      <c r="V27" s="148"/>
      <c r="AA27" s="22">
        <v>7.0</v>
      </c>
      <c r="AB27" s="70" t="s">
        <v>66</v>
      </c>
      <c r="AC27" s="23">
        <v>16.0</v>
      </c>
      <c r="AD27" s="23">
        <v>5.0</v>
      </c>
      <c r="AE27" s="23"/>
      <c r="AF27" s="24">
        <v>6.0</v>
      </c>
      <c r="AG27" s="23">
        <v>12.0</v>
      </c>
      <c r="AH27" s="24">
        <v>13.0</v>
      </c>
      <c r="AI27" s="23">
        <v>-1.0</v>
      </c>
      <c r="AJ27" s="3"/>
    </row>
    <row r="28" ht="15.75" customHeight="1">
      <c r="A28" s="25"/>
      <c r="B28" s="11">
        <v>46007.0</v>
      </c>
      <c r="C28" s="12" t="s">
        <v>30</v>
      </c>
      <c r="D28" s="12" t="s">
        <v>22</v>
      </c>
      <c r="E28" s="17" t="s">
        <v>93</v>
      </c>
      <c r="F28" s="13">
        <v>2.0</v>
      </c>
      <c r="G28" s="31" t="s">
        <v>24</v>
      </c>
      <c r="H28" s="13">
        <v>0.0</v>
      </c>
      <c r="I28" s="17" t="s">
        <v>39</v>
      </c>
      <c r="J28" s="148"/>
      <c r="K28" s="149">
        <f t="shared" si="1"/>
        <v>3</v>
      </c>
      <c r="L28" s="150">
        <f t="shared" si="2"/>
        <v>0</v>
      </c>
      <c r="M28" s="148"/>
      <c r="N28" s="148"/>
      <c r="O28" s="148"/>
      <c r="P28" s="148"/>
      <c r="Q28" s="148"/>
      <c r="R28" s="148"/>
      <c r="S28" s="148"/>
      <c r="T28" s="148"/>
      <c r="U28" s="148"/>
      <c r="V28" s="148"/>
      <c r="AA28" s="22">
        <v>8.0</v>
      </c>
      <c r="AB28" s="70" t="s">
        <v>67</v>
      </c>
      <c r="AC28" s="23">
        <v>13.0</v>
      </c>
      <c r="AD28" s="23">
        <v>4.0</v>
      </c>
      <c r="AE28" s="23"/>
      <c r="AF28" s="24">
        <v>7.0</v>
      </c>
      <c r="AG28" s="23">
        <v>10.0</v>
      </c>
      <c r="AH28" s="24">
        <v>15.0</v>
      </c>
      <c r="AI28" s="23">
        <v>-5.0</v>
      </c>
      <c r="AJ28" s="3"/>
    </row>
    <row r="29" ht="15.75" customHeight="1">
      <c r="A29" s="25"/>
      <c r="B29" s="11">
        <v>46007.0</v>
      </c>
      <c r="C29" s="12" t="s">
        <v>30</v>
      </c>
      <c r="D29" s="12" t="s">
        <v>22</v>
      </c>
      <c r="E29" s="17" t="s">
        <v>33</v>
      </c>
      <c r="F29" s="13">
        <v>2.0</v>
      </c>
      <c r="G29" s="31" t="s">
        <v>24</v>
      </c>
      <c r="H29" s="13">
        <v>0.0</v>
      </c>
      <c r="I29" s="17" t="s">
        <v>109</v>
      </c>
      <c r="J29" s="148"/>
      <c r="K29" s="149">
        <f t="shared" si="1"/>
        <v>3</v>
      </c>
      <c r="L29" s="150">
        <f t="shared" si="2"/>
        <v>0</v>
      </c>
      <c r="M29" s="148"/>
      <c r="N29" s="148"/>
      <c r="O29" s="148"/>
      <c r="P29" s="148"/>
      <c r="Q29" s="148"/>
      <c r="R29" s="148"/>
      <c r="S29" s="148"/>
      <c r="T29" s="148"/>
      <c r="U29" s="148"/>
      <c r="V29" s="148"/>
      <c r="AA29" s="124" t="s">
        <v>96</v>
      </c>
      <c r="AB29" s="70" t="s">
        <v>39</v>
      </c>
      <c r="AC29" s="23">
        <v>11.0</v>
      </c>
      <c r="AD29" s="23">
        <v>3.0</v>
      </c>
      <c r="AE29" s="23"/>
      <c r="AF29" s="24">
        <v>8.0</v>
      </c>
      <c r="AG29" s="23">
        <v>9.0</v>
      </c>
      <c r="AH29" s="24">
        <v>17.0</v>
      </c>
      <c r="AI29" s="23">
        <v>-8.0</v>
      </c>
      <c r="AJ29" s="3"/>
    </row>
    <row r="30" ht="15.75" customHeight="1">
      <c r="A30" s="25"/>
      <c r="B30" s="11">
        <v>46007.0</v>
      </c>
      <c r="C30" s="12" t="s">
        <v>35</v>
      </c>
      <c r="D30" s="12" t="s">
        <v>22</v>
      </c>
      <c r="E30" s="17" t="s">
        <v>67</v>
      </c>
      <c r="F30" s="13">
        <v>2.0</v>
      </c>
      <c r="G30" s="31" t="s">
        <v>24</v>
      </c>
      <c r="H30" s="13">
        <v>0.0</v>
      </c>
      <c r="I30" s="17" t="s">
        <v>110</v>
      </c>
      <c r="J30" s="148"/>
      <c r="K30" s="149">
        <f t="shared" si="1"/>
        <v>3</v>
      </c>
      <c r="L30" s="150">
        <f t="shared" si="2"/>
        <v>0</v>
      </c>
      <c r="M30" s="148"/>
      <c r="N30" s="148"/>
      <c r="O30" s="148"/>
      <c r="P30" s="148"/>
      <c r="Q30" s="148"/>
      <c r="R30" s="148"/>
      <c r="S30" s="148"/>
      <c r="T30" s="148"/>
      <c r="U30" s="148"/>
      <c r="V30" s="148"/>
      <c r="AA30" s="76">
        <v>10.0</v>
      </c>
      <c r="AB30" s="70" t="s">
        <v>113</v>
      </c>
      <c r="AC30" s="23">
        <v>10.0</v>
      </c>
      <c r="AD30" s="23">
        <v>3.0</v>
      </c>
      <c r="AE30" s="23"/>
      <c r="AF30" s="24">
        <v>8.0</v>
      </c>
      <c r="AG30" s="23">
        <v>7.0</v>
      </c>
      <c r="AH30" s="24">
        <v>16.0</v>
      </c>
      <c r="AI30" s="23">
        <v>-9.0</v>
      </c>
      <c r="AJ30" s="3"/>
    </row>
    <row r="31" ht="15.75" customHeight="1">
      <c r="A31" s="25"/>
      <c r="B31" s="11">
        <v>46007.0</v>
      </c>
      <c r="C31" s="12" t="s">
        <v>35</v>
      </c>
      <c r="D31" s="12" t="s">
        <v>22</v>
      </c>
      <c r="E31" s="17" t="s">
        <v>43</v>
      </c>
      <c r="F31" s="13">
        <v>2.0</v>
      </c>
      <c r="G31" s="31" t="s">
        <v>24</v>
      </c>
      <c r="H31" s="13">
        <v>0.0</v>
      </c>
      <c r="I31" s="17" t="s">
        <v>113</v>
      </c>
      <c r="J31" s="148"/>
      <c r="K31" s="149">
        <f t="shared" si="1"/>
        <v>3</v>
      </c>
      <c r="L31" s="150">
        <f t="shared" si="2"/>
        <v>0</v>
      </c>
      <c r="M31" s="148"/>
      <c r="N31" s="148"/>
      <c r="O31" s="148"/>
      <c r="P31" s="148"/>
      <c r="Q31" s="148"/>
      <c r="R31" s="148"/>
      <c r="S31" s="148"/>
      <c r="T31" s="148"/>
      <c r="U31" s="148"/>
      <c r="V31" s="148"/>
      <c r="AA31" s="76">
        <v>11.0</v>
      </c>
      <c r="AB31" s="70" t="s">
        <v>109</v>
      </c>
      <c r="AC31" s="23">
        <v>3.0</v>
      </c>
      <c r="AD31" s="23">
        <v>1.0</v>
      </c>
      <c r="AE31" s="23"/>
      <c r="AF31" s="24">
        <v>10.0</v>
      </c>
      <c r="AG31" s="23">
        <v>3.0</v>
      </c>
      <c r="AH31" s="24">
        <v>21.0</v>
      </c>
      <c r="AI31" s="23">
        <v>-18.0</v>
      </c>
      <c r="AJ31" s="3"/>
    </row>
    <row r="32" ht="15.75" customHeight="1">
      <c r="A32" s="29"/>
      <c r="B32" s="11">
        <v>46007.0</v>
      </c>
      <c r="C32" s="12" t="s">
        <v>35</v>
      </c>
      <c r="D32" s="12" t="s">
        <v>22</v>
      </c>
      <c r="E32" s="17" t="s">
        <v>112</v>
      </c>
      <c r="F32" s="13">
        <v>1.0</v>
      </c>
      <c r="G32" s="31" t="s">
        <v>24</v>
      </c>
      <c r="H32" s="13">
        <v>2.0</v>
      </c>
      <c r="I32" s="17" t="s">
        <v>25</v>
      </c>
      <c r="J32" s="148"/>
      <c r="K32" s="149">
        <f t="shared" si="1"/>
        <v>1</v>
      </c>
      <c r="L32" s="150">
        <f t="shared" si="2"/>
        <v>2</v>
      </c>
      <c r="M32" s="148"/>
      <c r="N32" s="148"/>
      <c r="O32" s="148"/>
      <c r="P32" s="148"/>
      <c r="Q32" s="148"/>
      <c r="R32" s="148"/>
      <c r="S32" s="148"/>
      <c r="T32" s="148"/>
      <c r="U32" s="148"/>
      <c r="V32" s="148"/>
      <c r="AA32" s="76">
        <v>12.0</v>
      </c>
      <c r="AB32" s="28" t="s">
        <v>110</v>
      </c>
      <c r="AC32" s="23">
        <v>2.0</v>
      </c>
      <c r="AD32" s="28">
        <v>0.0</v>
      </c>
      <c r="AE32" s="28"/>
      <c r="AF32" s="28">
        <v>11.0</v>
      </c>
      <c r="AG32" s="28">
        <v>2.0</v>
      </c>
      <c r="AH32" s="28">
        <v>22.0</v>
      </c>
      <c r="AI32" s="28">
        <v>-20.0</v>
      </c>
      <c r="AJ32" s="3"/>
    </row>
    <row r="33" ht="15.75" customHeight="1">
      <c r="A33" s="10">
        <v>6.0</v>
      </c>
      <c r="B33" s="11">
        <v>46082.0</v>
      </c>
      <c r="C33" s="12" t="s">
        <v>154</v>
      </c>
      <c r="D33" s="12" t="s">
        <v>22</v>
      </c>
      <c r="E33" s="17" t="s">
        <v>66</v>
      </c>
      <c r="F33" s="13">
        <v>1.0</v>
      </c>
      <c r="G33" s="31" t="s">
        <v>24</v>
      </c>
      <c r="H33" s="13">
        <v>2.0</v>
      </c>
      <c r="I33" s="17" t="s">
        <v>112</v>
      </c>
      <c r="J33" s="148"/>
      <c r="K33" s="149">
        <f t="shared" si="1"/>
        <v>1</v>
      </c>
      <c r="L33" s="150">
        <f t="shared" si="2"/>
        <v>2</v>
      </c>
      <c r="M33" s="148"/>
      <c r="N33" s="148"/>
      <c r="O33" s="148"/>
      <c r="P33" s="148"/>
      <c r="Q33" s="148"/>
      <c r="R33" s="148"/>
      <c r="S33" s="148"/>
      <c r="T33" s="148"/>
      <c r="U33" s="148"/>
      <c r="V33" s="148"/>
      <c r="AA33" s="35" t="s">
        <v>220</v>
      </c>
      <c r="AD33" s="37"/>
      <c r="AE33" s="37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154</v>
      </c>
      <c r="D34" s="12" t="s">
        <v>22</v>
      </c>
      <c r="E34" s="17" t="s">
        <v>39</v>
      </c>
      <c r="F34" s="13">
        <v>0.0</v>
      </c>
      <c r="G34" s="31" t="s">
        <v>24</v>
      </c>
      <c r="H34" s="13">
        <v>2.0</v>
      </c>
      <c r="I34" s="17" t="s">
        <v>36</v>
      </c>
      <c r="J34" s="148"/>
      <c r="K34" s="149">
        <f t="shared" si="1"/>
        <v>0</v>
      </c>
      <c r="L34" s="150">
        <f t="shared" si="2"/>
        <v>3</v>
      </c>
      <c r="M34" s="148"/>
      <c r="N34" s="148"/>
      <c r="O34" s="148"/>
      <c r="P34" s="148"/>
      <c r="Q34" s="148"/>
      <c r="R34" s="148"/>
      <c r="S34" s="148"/>
      <c r="T34" s="148"/>
      <c r="U34" s="148"/>
      <c r="V34" s="148"/>
      <c r="AA34" s="79" t="s">
        <v>101</v>
      </c>
      <c r="AD34" s="37"/>
      <c r="AE34" s="37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154</v>
      </c>
      <c r="D35" s="12" t="s">
        <v>22</v>
      </c>
      <c r="E35" s="17" t="s">
        <v>109</v>
      </c>
      <c r="F35" s="13">
        <v>0.0</v>
      </c>
      <c r="G35" s="31" t="s">
        <v>24</v>
      </c>
      <c r="H35" s="13">
        <v>2.0</v>
      </c>
      <c r="I35" s="17" t="s">
        <v>93</v>
      </c>
      <c r="J35" s="148"/>
      <c r="K35" s="149">
        <f t="shared" si="1"/>
        <v>0</v>
      </c>
      <c r="L35" s="150">
        <f t="shared" si="2"/>
        <v>3</v>
      </c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AA35" s="157"/>
      <c r="AD35" s="37"/>
      <c r="AJ35" s="3"/>
    </row>
    <row r="36" ht="15.75" customHeight="1">
      <c r="A36" s="25"/>
      <c r="B36" s="11">
        <v>46082.0</v>
      </c>
      <c r="C36" s="12" t="s">
        <v>152</v>
      </c>
      <c r="D36" s="12" t="s">
        <v>22</v>
      </c>
      <c r="E36" s="17" t="s">
        <v>110</v>
      </c>
      <c r="F36" s="13">
        <v>0.0</v>
      </c>
      <c r="G36" s="31" t="s">
        <v>24</v>
      </c>
      <c r="H36" s="13">
        <v>2.0</v>
      </c>
      <c r="I36" s="17" t="s">
        <v>33</v>
      </c>
      <c r="J36" s="148"/>
      <c r="K36" s="149">
        <f t="shared" si="1"/>
        <v>0</v>
      </c>
      <c r="L36" s="150">
        <f t="shared" si="2"/>
        <v>3</v>
      </c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AJ36" s="3"/>
    </row>
    <row r="37" ht="15.75" customHeight="1">
      <c r="A37" s="25"/>
      <c r="B37" s="11">
        <v>46082.0</v>
      </c>
      <c r="C37" s="12" t="s">
        <v>152</v>
      </c>
      <c r="D37" s="12" t="s">
        <v>22</v>
      </c>
      <c r="E37" s="17" t="s">
        <v>113</v>
      </c>
      <c r="F37" s="13">
        <v>1.0</v>
      </c>
      <c r="G37" s="31" t="s">
        <v>24</v>
      </c>
      <c r="H37" s="13">
        <v>2.0</v>
      </c>
      <c r="I37" s="17" t="s">
        <v>67</v>
      </c>
      <c r="J37" s="148"/>
      <c r="K37" s="149">
        <f t="shared" si="1"/>
        <v>1</v>
      </c>
      <c r="L37" s="150">
        <f t="shared" si="2"/>
        <v>2</v>
      </c>
      <c r="M37" s="148"/>
      <c r="N37" s="148"/>
      <c r="O37" s="148"/>
      <c r="P37" s="148"/>
      <c r="Q37" s="148"/>
      <c r="R37" s="148"/>
      <c r="S37" s="148"/>
      <c r="T37" s="148"/>
      <c r="U37" s="148"/>
      <c r="V37" s="148"/>
      <c r="AJ37" s="3"/>
    </row>
    <row r="38" ht="15.75" customHeight="1">
      <c r="A38" s="29"/>
      <c r="B38" s="11">
        <v>46082.0</v>
      </c>
      <c r="C38" s="12" t="s">
        <v>152</v>
      </c>
      <c r="D38" s="12" t="s">
        <v>22</v>
      </c>
      <c r="E38" s="17" t="s">
        <v>25</v>
      </c>
      <c r="F38" s="13">
        <v>1.0</v>
      </c>
      <c r="G38" s="31" t="s">
        <v>24</v>
      </c>
      <c r="H38" s="13">
        <v>2.0</v>
      </c>
      <c r="I38" s="17" t="s">
        <v>43</v>
      </c>
      <c r="J38" s="148"/>
      <c r="K38" s="149">
        <f t="shared" si="1"/>
        <v>1</v>
      </c>
      <c r="L38" s="150">
        <f t="shared" si="2"/>
        <v>2</v>
      </c>
      <c r="M38" s="148"/>
      <c r="N38" s="148"/>
      <c r="O38" s="148"/>
      <c r="P38" s="148"/>
      <c r="Q38" s="148"/>
      <c r="R38" s="148"/>
      <c r="S38" s="148"/>
      <c r="T38" s="148"/>
      <c r="U38" s="148"/>
      <c r="V38" s="148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30</v>
      </c>
      <c r="D39" s="12" t="s">
        <v>22</v>
      </c>
      <c r="E39" s="17" t="s">
        <v>66</v>
      </c>
      <c r="F39" s="13">
        <v>2.0</v>
      </c>
      <c r="G39" s="31" t="s">
        <v>24</v>
      </c>
      <c r="H39" s="13">
        <v>1.0</v>
      </c>
      <c r="I39" s="17" t="s">
        <v>39</v>
      </c>
      <c r="J39" s="148"/>
      <c r="K39" s="149">
        <f t="shared" si="1"/>
        <v>2</v>
      </c>
      <c r="L39" s="150">
        <f t="shared" si="2"/>
        <v>1</v>
      </c>
      <c r="M39" s="148"/>
      <c r="N39" s="148"/>
      <c r="O39" s="148"/>
      <c r="P39" s="148"/>
      <c r="Q39" s="148"/>
      <c r="R39" s="148"/>
      <c r="S39" s="148"/>
      <c r="T39" s="148"/>
      <c r="U39" s="148"/>
      <c r="V39" s="148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30</v>
      </c>
      <c r="D40" s="12" t="s">
        <v>22</v>
      </c>
      <c r="E40" s="17" t="s">
        <v>36</v>
      </c>
      <c r="F40" s="13">
        <v>2.0</v>
      </c>
      <c r="G40" s="31" t="s">
        <v>24</v>
      </c>
      <c r="H40" s="13">
        <v>0.0</v>
      </c>
      <c r="I40" s="17" t="s">
        <v>109</v>
      </c>
      <c r="J40" s="148"/>
      <c r="K40" s="149">
        <f t="shared" si="1"/>
        <v>3</v>
      </c>
      <c r="L40" s="150">
        <f t="shared" si="2"/>
        <v>0</v>
      </c>
      <c r="M40" s="148"/>
      <c r="N40" s="148"/>
      <c r="O40" s="148"/>
      <c r="P40" s="148"/>
      <c r="Q40" s="148"/>
      <c r="R40" s="148"/>
      <c r="S40" s="148"/>
      <c r="T40" s="148"/>
      <c r="U40" s="148"/>
      <c r="V40" s="148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35</v>
      </c>
      <c r="D41" s="39" t="s">
        <v>22</v>
      </c>
      <c r="E41" s="44" t="s">
        <v>93</v>
      </c>
      <c r="F41" s="13">
        <v>2.0</v>
      </c>
      <c r="G41" s="31" t="s">
        <v>24</v>
      </c>
      <c r="H41" s="13">
        <v>0.0</v>
      </c>
      <c r="I41" s="44" t="s">
        <v>110</v>
      </c>
      <c r="J41" s="148"/>
      <c r="K41" s="149">
        <f t="shared" si="1"/>
        <v>3</v>
      </c>
      <c r="L41" s="150">
        <f t="shared" si="2"/>
        <v>0</v>
      </c>
      <c r="M41" s="148"/>
      <c r="N41" s="148"/>
      <c r="O41" s="148"/>
      <c r="P41" s="148"/>
      <c r="Q41" s="148"/>
      <c r="R41" s="148"/>
      <c r="S41" s="148"/>
      <c r="T41" s="148"/>
      <c r="U41" s="148"/>
      <c r="V41" s="148"/>
      <c r="AD41" s="37"/>
      <c r="AE41" s="37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35</v>
      </c>
      <c r="D42" s="12" t="s">
        <v>22</v>
      </c>
      <c r="E42" s="17" t="s">
        <v>33</v>
      </c>
      <c r="F42" s="13">
        <v>2.0</v>
      </c>
      <c r="G42" s="31" t="s">
        <v>24</v>
      </c>
      <c r="H42" s="13">
        <v>0.0</v>
      </c>
      <c r="I42" s="17" t="s">
        <v>113</v>
      </c>
      <c r="J42" s="148"/>
      <c r="K42" s="149">
        <f t="shared" si="1"/>
        <v>3</v>
      </c>
      <c r="L42" s="150">
        <f t="shared" si="2"/>
        <v>0</v>
      </c>
      <c r="M42" s="148"/>
      <c r="N42" s="148"/>
      <c r="O42" s="148"/>
      <c r="P42" s="148"/>
      <c r="Q42" s="148"/>
      <c r="R42" s="148"/>
      <c r="S42" s="148"/>
      <c r="T42" s="148"/>
      <c r="U42" s="148"/>
      <c r="V42" s="148"/>
      <c r="AD42" s="37"/>
      <c r="AE42" s="37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35</v>
      </c>
      <c r="D43" s="12" t="s">
        <v>22</v>
      </c>
      <c r="E43" s="17" t="s">
        <v>67</v>
      </c>
      <c r="F43" s="13">
        <v>1.0</v>
      </c>
      <c r="G43" s="31" t="s">
        <v>24</v>
      </c>
      <c r="H43" s="13">
        <v>2.0</v>
      </c>
      <c r="I43" s="17" t="s">
        <v>25</v>
      </c>
      <c r="J43" s="148"/>
      <c r="K43" s="149">
        <f t="shared" si="1"/>
        <v>1</v>
      </c>
      <c r="L43" s="150">
        <f t="shared" si="2"/>
        <v>2</v>
      </c>
      <c r="M43" s="148"/>
      <c r="N43" s="148"/>
      <c r="O43" s="148"/>
      <c r="P43" s="148"/>
      <c r="Q43" s="148"/>
      <c r="R43" s="148"/>
      <c r="S43" s="148"/>
      <c r="T43" s="148"/>
      <c r="U43" s="148"/>
      <c r="V43" s="148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35</v>
      </c>
      <c r="D44" s="12" t="s">
        <v>22</v>
      </c>
      <c r="E44" s="17" t="s">
        <v>112</v>
      </c>
      <c r="F44" s="13">
        <v>0.0</v>
      </c>
      <c r="G44" s="31" t="s">
        <v>24</v>
      </c>
      <c r="H44" s="13">
        <v>2.0</v>
      </c>
      <c r="I44" s="17" t="s">
        <v>43</v>
      </c>
      <c r="J44" s="148"/>
      <c r="K44" s="149">
        <f t="shared" si="1"/>
        <v>0</v>
      </c>
      <c r="L44" s="150">
        <f t="shared" si="2"/>
        <v>3</v>
      </c>
      <c r="M44" s="148"/>
      <c r="N44" s="148"/>
      <c r="O44" s="148"/>
      <c r="P44" s="148"/>
      <c r="Q44" s="148"/>
      <c r="R44" s="148"/>
      <c r="S44" s="148"/>
      <c r="T44" s="148"/>
      <c r="U44" s="148"/>
      <c r="V44" s="148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35</v>
      </c>
      <c r="D45" s="12" t="s">
        <v>22</v>
      </c>
      <c r="E45" s="17" t="s">
        <v>39</v>
      </c>
      <c r="F45" s="13">
        <v>1.0</v>
      </c>
      <c r="G45" s="31" t="s">
        <v>24</v>
      </c>
      <c r="H45" s="13">
        <v>2.0</v>
      </c>
      <c r="I45" s="17" t="s">
        <v>112</v>
      </c>
      <c r="J45" s="148"/>
      <c r="K45" s="149">
        <f t="shared" si="1"/>
        <v>1</v>
      </c>
      <c r="L45" s="150">
        <f t="shared" si="2"/>
        <v>2</v>
      </c>
      <c r="M45" s="148"/>
      <c r="N45" s="148"/>
      <c r="O45" s="148"/>
      <c r="P45" s="148"/>
      <c r="Q45" s="148"/>
      <c r="R45" s="148"/>
      <c r="S45" s="148"/>
      <c r="T45" s="148"/>
      <c r="U45" s="148"/>
      <c r="V45" s="148"/>
      <c r="AG45" s="3"/>
      <c r="AH45" s="3"/>
      <c r="AI45" s="3"/>
      <c r="AJ45" s="3"/>
    </row>
    <row r="46" ht="15.75" customHeight="1">
      <c r="A46" s="25"/>
      <c r="B46" s="43">
        <v>46099.0</v>
      </c>
      <c r="C46" s="12" t="s">
        <v>30</v>
      </c>
      <c r="D46" s="12" t="s">
        <v>22</v>
      </c>
      <c r="E46" s="17" t="s">
        <v>109</v>
      </c>
      <c r="F46" s="13">
        <v>0.0</v>
      </c>
      <c r="G46" s="31" t="s">
        <v>24</v>
      </c>
      <c r="H46" s="13">
        <v>2.0</v>
      </c>
      <c r="I46" s="17" t="s">
        <v>66</v>
      </c>
      <c r="J46" s="148"/>
      <c r="K46" s="149">
        <f t="shared" si="1"/>
        <v>0</v>
      </c>
      <c r="L46" s="150">
        <f t="shared" si="2"/>
        <v>3</v>
      </c>
      <c r="M46" s="148"/>
      <c r="N46" s="148"/>
      <c r="O46" s="148"/>
      <c r="P46" s="148"/>
      <c r="Q46" s="148"/>
      <c r="R46" s="148"/>
      <c r="S46" s="148"/>
      <c r="T46" s="148"/>
      <c r="U46" s="148"/>
      <c r="V46" s="148"/>
      <c r="AG46" s="3"/>
      <c r="AH46" s="3"/>
      <c r="AI46" s="3"/>
      <c r="AJ46" s="3"/>
    </row>
    <row r="47" ht="15.75" customHeight="1">
      <c r="A47" s="25"/>
      <c r="B47" s="43">
        <v>46099.0</v>
      </c>
      <c r="C47" s="12" t="s">
        <v>30</v>
      </c>
      <c r="D47" s="12" t="s">
        <v>22</v>
      </c>
      <c r="E47" s="17" t="s">
        <v>110</v>
      </c>
      <c r="F47" s="13">
        <v>0.0</v>
      </c>
      <c r="G47" s="31" t="s">
        <v>24</v>
      </c>
      <c r="H47" s="13">
        <v>2.0</v>
      </c>
      <c r="I47" s="17" t="s">
        <v>36</v>
      </c>
      <c r="J47" s="148"/>
      <c r="K47" s="149">
        <f t="shared" si="1"/>
        <v>0</v>
      </c>
      <c r="L47" s="150">
        <f t="shared" si="2"/>
        <v>3</v>
      </c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AG47" s="3"/>
      <c r="AH47" s="3"/>
      <c r="AI47" s="3"/>
      <c r="AJ47" s="3"/>
    </row>
    <row r="48" ht="15.75" customHeight="1">
      <c r="A48" s="25"/>
      <c r="B48" s="43">
        <v>46099.0</v>
      </c>
      <c r="C48" s="12" t="s">
        <v>30</v>
      </c>
      <c r="D48" s="12" t="s">
        <v>22</v>
      </c>
      <c r="E48" s="14" t="s">
        <v>113</v>
      </c>
      <c r="F48" s="13">
        <v>0.0</v>
      </c>
      <c r="G48" s="31" t="s">
        <v>24</v>
      </c>
      <c r="H48" s="13">
        <v>2.0</v>
      </c>
      <c r="I48" s="44" t="s">
        <v>93</v>
      </c>
      <c r="K48" s="149">
        <f t="shared" si="1"/>
        <v>0</v>
      </c>
      <c r="L48" s="150">
        <f t="shared" si="2"/>
        <v>3</v>
      </c>
      <c r="AG48" s="3"/>
      <c r="AH48" s="3"/>
      <c r="AI48" s="3"/>
      <c r="AJ48" s="3"/>
    </row>
    <row r="49" ht="15.75" customHeight="1">
      <c r="A49" s="25"/>
      <c r="B49" s="43">
        <v>46099.0</v>
      </c>
      <c r="C49" s="12" t="s">
        <v>35</v>
      </c>
      <c r="D49" s="12" t="s">
        <v>22</v>
      </c>
      <c r="E49" s="44" t="s">
        <v>25</v>
      </c>
      <c r="F49" s="13">
        <v>2.0</v>
      </c>
      <c r="G49" s="31" t="s">
        <v>24</v>
      </c>
      <c r="H49" s="13">
        <v>1.0</v>
      </c>
      <c r="I49" s="44" t="s">
        <v>33</v>
      </c>
      <c r="K49" s="149">
        <f t="shared" si="1"/>
        <v>2</v>
      </c>
      <c r="L49" s="150">
        <f t="shared" si="2"/>
        <v>1</v>
      </c>
      <c r="AG49" s="3"/>
      <c r="AH49" s="3"/>
      <c r="AI49" s="3"/>
      <c r="AJ49" s="3"/>
    </row>
    <row r="50" ht="15.75" customHeight="1">
      <c r="A50" s="29"/>
      <c r="B50" s="43">
        <v>46092.0</v>
      </c>
      <c r="C50" s="12" t="s">
        <v>30</v>
      </c>
      <c r="D50" s="12" t="s">
        <v>22</v>
      </c>
      <c r="E50" s="17" t="s">
        <v>43</v>
      </c>
      <c r="F50" s="13">
        <v>2.0</v>
      </c>
      <c r="G50" s="31" t="s">
        <v>24</v>
      </c>
      <c r="H50" s="13">
        <v>0.0</v>
      </c>
      <c r="I50" s="17" t="s">
        <v>67</v>
      </c>
      <c r="K50" s="149">
        <f t="shared" si="1"/>
        <v>3</v>
      </c>
      <c r="L50" s="150">
        <f t="shared" si="2"/>
        <v>0</v>
      </c>
      <c r="AG50" s="3"/>
      <c r="AH50" s="3"/>
      <c r="AI50" s="3"/>
      <c r="AJ50" s="3"/>
    </row>
    <row r="51" ht="15.75" customHeight="1">
      <c r="A51" s="10">
        <v>9.0</v>
      </c>
      <c r="B51" s="11">
        <v>46132.0</v>
      </c>
      <c r="C51" s="12" t="s">
        <v>49</v>
      </c>
      <c r="D51" s="12" t="s">
        <v>22</v>
      </c>
      <c r="E51" s="17" t="s">
        <v>39</v>
      </c>
      <c r="F51" s="159">
        <v>2.0</v>
      </c>
      <c r="G51" s="31" t="s">
        <v>24</v>
      </c>
      <c r="H51" s="13">
        <v>1.0</v>
      </c>
      <c r="I51" s="17" t="s">
        <v>109</v>
      </c>
      <c r="K51" s="149">
        <f t="shared" si="1"/>
        <v>2</v>
      </c>
      <c r="L51" s="150">
        <f t="shared" si="2"/>
        <v>1</v>
      </c>
      <c r="AG51" s="3"/>
      <c r="AH51" s="3"/>
      <c r="AI51" s="3"/>
      <c r="AJ51" s="3"/>
    </row>
    <row r="52" ht="15.75" customHeight="1">
      <c r="A52" s="25"/>
      <c r="B52" s="11">
        <v>46132.0</v>
      </c>
      <c r="C52" s="12" t="s">
        <v>49</v>
      </c>
      <c r="D52" s="12" t="s">
        <v>22</v>
      </c>
      <c r="E52" s="17" t="s">
        <v>66</v>
      </c>
      <c r="F52" s="159">
        <v>2.0</v>
      </c>
      <c r="G52" s="31" t="s">
        <v>24</v>
      </c>
      <c r="H52" s="13">
        <v>0.0</v>
      </c>
      <c r="I52" s="17" t="s">
        <v>110</v>
      </c>
      <c r="K52" s="149">
        <f t="shared" si="1"/>
        <v>3</v>
      </c>
      <c r="L52" s="150">
        <f t="shared" si="2"/>
        <v>0</v>
      </c>
      <c r="AG52" s="3"/>
      <c r="AH52" s="3"/>
      <c r="AI52" s="3"/>
      <c r="AJ52" s="3"/>
    </row>
    <row r="53" ht="15.75" customHeight="1">
      <c r="A53" s="25"/>
      <c r="B53" s="11">
        <v>46132.0</v>
      </c>
      <c r="C53" s="12" t="s">
        <v>49</v>
      </c>
      <c r="D53" s="12" t="s">
        <v>22</v>
      </c>
      <c r="E53" s="17" t="s">
        <v>36</v>
      </c>
      <c r="F53" s="159">
        <v>2.0</v>
      </c>
      <c r="G53" s="31" t="s">
        <v>24</v>
      </c>
      <c r="H53" s="13">
        <v>0.0</v>
      </c>
      <c r="I53" s="17" t="s">
        <v>113</v>
      </c>
      <c r="K53" s="149">
        <f t="shared" si="1"/>
        <v>3</v>
      </c>
      <c r="L53" s="150">
        <f t="shared" si="2"/>
        <v>0</v>
      </c>
      <c r="AG53" s="3"/>
      <c r="AH53" s="3"/>
      <c r="AI53" s="3"/>
      <c r="AJ53" s="3"/>
    </row>
    <row r="54" ht="15.75" customHeight="1">
      <c r="A54" s="25"/>
      <c r="B54" s="11">
        <v>46132.0</v>
      </c>
      <c r="C54" s="12" t="s">
        <v>21</v>
      </c>
      <c r="D54" s="12" t="s">
        <v>22</v>
      </c>
      <c r="E54" s="17" t="s">
        <v>93</v>
      </c>
      <c r="F54" s="159">
        <v>2.0</v>
      </c>
      <c r="G54" s="31" t="s">
        <v>24</v>
      </c>
      <c r="H54" s="13">
        <v>0.0</v>
      </c>
      <c r="I54" s="14" t="s">
        <v>25</v>
      </c>
      <c r="K54" s="149">
        <f t="shared" si="1"/>
        <v>3</v>
      </c>
      <c r="L54" s="150">
        <f t="shared" si="2"/>
        <v>0</v>
      </c>
      <c r="AA54" s="3"/>
      <c r="AB54" s="147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1">
        <v>46132.0</v>
      </c>
      <c r="C55" s="12" t="s">
        <v>21</v>
      </c>
      <c r="D55" s="12" t="s">
        <v>22</v>
      </c>
      <c r="E55" s="17" t="s">
        <v>33</v>
      </c>
      <c r="F55" s="159">
        <v>2.0</v>
      </c>
      <c r="G55" s="31" t="s">
        <v>24</v>
      </c>
      <c r="H55" s="13">
        <v>1.0</v>
      </c>
      <c r="I55" s="17" t="s">
        <v>43</v>
      </c>
      <c r="K55" s="149">
        <f t="shared" si="1"/>
        <v>2</v>
      </c>
      <c r="L55" s="150">
        <f t="shared" si="2"/>
        <v>1</v>
      </c>
      <c r="AA55" s="3"/>
      <c r="AB55" s="147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1">
        <v>46132.0</v>
      </c>
      <c r="C56" s="12" t="s">
        <v>21</v>
      </c>
      <c r="D56" s="12" t="s">
        <v>22</v>
      </c>
      <c r="E56" s="17" t="s">
        <v>112</v>
      </c>
      <c r="F56" s="159">
        <v>2.0</v>
      </c>
      <c r="G56" s="31" t="s">
        <v>24</v>
      </c>
      <c r="H56" s="13">
        <v>0.0</v>
      </c>
      <c r="I56" s="17" t="s">
        <v>67</v>
      </c>
      <c r="K56" s="149">
        <f t="shared" si="1"/>
        <v>3</v>
      </c>
      <c r="L56" s="150">
        <f t="shared" si="2"/>
        <v>0</v>
      </c>
      <c r="AA56" s="3"/>
      <c r="AB56" s="147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43">
        <v>46135.0</v>
      </c>
      <c r="C57" s="12" t="s">
        <v>30</v>
      </c>
      <c r="D57" s="12" t="s">
        <v>22</v>
      </c>
      <c r="E57" s="17" t="s">
        <v>112</v>
      </c>
      <c r="F57" s="13">
        <v>2.0</v>
      </c>
      <c r="G57" s="31" t="s">
        <v>24</v>
      </c>
      <c r="H57" s="13">
        <v>0.0</v>
      </c>
      <c r="I57" s="17" t="s">
        <v>109</v>
      </c>
      <c r="K57" s="149">
        <f t="shared" si="1"/>
        <v>3</v>
      </c>
      <c r="L57" s="150">
        <f t="shared" si="2"/>
        <v>0</v>
      </c>
      <c r="AA57" s="3"/>
      <c r="AB57" s="147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1">
        <v>46132.0</v>
      </c>
      <c r="C58" s="12" t="s">
        <v>30</v>
      </c>
      <c r="D58" s="12" t="s">
        <v>22</v>
      </c>
      <c r="E58" s="17" t="s">
        <v>110</v>
      </c>
      <c r="F58" s="13">
        <v>0.0</v>
      </c>
      <c r="G58" s="31" t="s">
        <v>24</v>
      </c>
      <c r="H58" s="13">
        <v>2.0</v>
      </c>
      <c r="I58" s="17" t="s">
        <v>39</v>
      </c>
      <c r="K58" s="149">
        <f t="shared" si="1"/>
        <v>0</v>
      </c>
      <c r="L58" s="150">
        <f t="shared" si="2"/>
        <v>3</v>
      </c>
      <c r="AA58" s="3"/>
      <c r="AB58" s="147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1">
        <v>46132.0</v>
      </c>
      <c r="C59" s="12" t="s">
        <v>30</v>
      </c>
      <c r="D59" s="12" t="s">
        <v>22</v>
      </c>
      <c r="E59" s="17" t="s">
        <v>113</v>
      </c>
      <c r="F59" s="13">
        <v>2.0</v>
      </c>
      <c r="G59" s="31" t="s">
        <v>24</v>
      </c>
      <c r="H59" s="13">
        <v>0.0</v>
      </c>
      <c r="I59" s="17" t="s">
        <v>66</v>
      </c>
      <c r="K59" s="149">
        <f t="shared" si="1"/>
        <v>3</v>
      </c>
      <c r="L59" s="150">
        <f t="shared" si="2"/>
        <v>0</v>
      </c>
      <c r="AA59" s="3"/>
      <c r="AB59" s="147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1">
        <v>46132.0</v>
      </c>
      <c r="C60" s="12" t="s">
        <v>35</v>
      </c>
      <c r="D60" s="12" t="s">
        <v>22</v>
      </c>
      <c r="E60" s="17" t="s">
        <v>25</v>
      </c>
      <c r="F60" s="13">
        <v>0.0</v>
      </c>
      <c r="G60" s="31" t="s">
        <v>24</v>
      </c>
      <c r="H60" s="13">
        <v>2.0</v>
      </c>
      <c r="I60" s="17" t="s">
        <v>36</v>
      </c>
      <c r="K60" s="149">
        <f t="shared" si="1"/>
        <v>0</v>
      </c>
      <c r="L60" s="150">
        <f t="shared" si="2"/>
        <v>3</v>
      </c>
      <c r="AA60" s="3"/>
      <c r="AB60" s="147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1">
        <v>46132.0</v>
      </c>
      <c r="C61" s="12" t="s">
        <v>35</v>
      </c>
      <c r="D61" s="12" t="s">
        <v>22</v>
      </c>
      <c r="E61" s="17" t="s">
        <v>43</v>
      </c>
      <c r="F61" s="13">
        <v>2.0</v>
      </c>
      <c r="G61" s="31" t="s">
        <v>24</v>
      </c>
      <c r="H61" s="13">
        <v>0.0</v>
      </c>
      <c r="I61" s="17" t="s">
        <v>93</v>
      </c>
      <c r="K61" s="149">
        <f t="shared" si="1"/>
        <v>3</v>
      </c>
      <c r="L61" s="150">
        <f t="shared" si="2"/>
        <v>0</v>
      </c>
      <c r="AA61" s="3"/>
      <c r="AB61" s="147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1">
        <v>46132.0</v>
      </c>
      <c r="C62" s="12" t="s">
        <v>35</v>
      </c>
      <c r="D62" s="12" t="s">
        <v>22</v>
      </c>
      <c r="E62" s="17" t="s">
        <v>67</v>
      </c>
      <c r="F62" s="13">
        <v>0.0</v>
      </c>
      <c r="G62" s="31" t="s">
        <v>24</v>
      </c>
      <c r="H62" s="13">
        <v>2.0</v>
      </c>
      <c r="I62" s="17" t="s">
        <v>33</v>
      </c>
      <c r="K62" s="149">
        <f t="shared" si="1"/>
        <v>0</v>
      </c>
      <c r="L62" s="150">
        <f t="shared" si="2"/>
        <v>3</v>
      </c>
      <c r="AA62" s="3"/>
      <c r="AB62" s="147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1">
        <v>46147.0</v>
      </c>
      <c r="C63" s="12" t="s">
        <v>30</v>
      </c>
      <c r="D63" s="12" t="s">
        <v>22</v>
      </c>
      <c r="E63" s="17" t="s">
        <v>109</v>
      </c>
      <c r="F63" s="13">
        <v>2.0</v>
      </c>
      <c r="G63" s="31" t="s">
        <v>24</v>
      </c>
      <c r="H63" s="13">
        <v>1.0</v>
      </c>
      <c r="I63" s="17" t="s">
        <v>110</v>
      </c>
      <c r="K63" s="149">
        <f t="shared" si="1"/>
        <v>2</v>
      </c>
      <c r="L63" s="150">
        <f t="shared" si="2"/>
        <v>1</v>
      </c>
      <c r="AA63" s="3"/>
      <c r="AB63" s="147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1">
        <v>46147.0</v>
      </c>
      <c r="C64" s="12" t="s">
        <v>30</v>
      </c>
      <c r="D64" s="12" t="s">
        <v>22</v>
      </c>
      <c r="E64" s="17" t="s">
        <v>39</v>
      </c>
      <c r="F64" s="13">
        <v>2.0</v>
      </c>
      <c r="G64" s="31" t="s">
        <v>24</v>
      </c>
      <c r="H64" s="13">
        <v>0.0</v>
      </c>
      <c r="I64" s="17" t="s">
        <v>113</v>
      </c>
      <c r="K64" s="149">
        <f t="shared" si="1"/>
        <v>3</v>
      </c>
      <c r="L64" s="150">
        <f t="shared" si="2"/>
        <v>0</v>
      </c>
      <c r="AA64" s="3"/>
      <c r="AB64" s="147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1">
        <v>46147.0</v>
      </c>
      <c r="C65" s="12" t="s">
        <v>30</v>
      </c>
      <c r="D65" s="12" t="s">
        <v>22</v>
      </c>
      <c r="E65" s="17" t="s">
        <v>66</v>
      </c>
      <c r="F65" s="13">
        <v>1.0</v>
      </c>
      <c r="G65" s="31" t="s">
        <v>24</v>
      </c>
      <c r="H65" s="13">
        <v>2.0</v>
      </c>
      <c r="I65" s="17" t="s">
        <v>25</v>
      </c>
      <c r="K65" s="149">
        <f t="shared" si="1"/>
        <v>1</v>
      </c>
      <c r="L65" s="150">
        <f t="shared" si="2"/>
        <v>2</v>
      </c>
      <c r="AA65" s="3"/>
      <c r="AB65" s="147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1">
        <v>46147.0</v>
      </c>
      <c r="C66" s="12" t="s">
        <v>35</v>
      </c>
      <c r="D66" s="12" t="s">
        <v>22</v>
      </c>
      <c r="E66" s="17" t="s">
        <v>36</v>
      </c>
      <c r="F66" s="13">
        <v>2.0</v>
      </c>
      <c r="G66" s="31" t="s">
        <v>24</v>
      </c>
      <c r="H66" s="13">
        <v>1.0</v>
      </c>
      <c r="I66" s="17" t="s">
        <v>43</v>
      </c>
      <c r="K66" s="149">
        <f t="shared" si="1"/>
        <v>2</v>
      </c>
      <c r="L66" s="150">
        <f t="shared" si="2"/>
        <v>1</v>
      </c>
      <c r="AA66" s="3"/>
      <c r="AB66" s="147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1">
        <v>46147.0</v>
      </c>
      <c r="C67" s="12" t="s">
        <v>35</v>
      </c>
      <c r="D67" s="12" t="s">
        <v>22</v>
      </c>
      <c r="E67" s="17" t="s">
        <v>93</v>
      </c>
      <c r="F67" s="13">
        <v>2.0</v>
      </c>
      <c r="G67" s="31" t="s">
        <v>24</v>
      </c>
      <c r="H67" s="13">
        <v>1.0</v>
      </c>
      <c r="I67" s="17" t="s">
        <v>67</v>
      </c>
      <c r="K67" s="149">
        <f t="shared" si="1"/>
        <v>2</v>
      </c>
      <c r="L67" s="150">
        <f t="shared" si="2"/>
        <v>1</v>
      </c>
      <c r="R67" s="148"/>
      <c r="S67" s="148"/>
      <c r="T67" s="148"/>
      <c r="U67" s="148"/>
      <c r="V67" s="148"/>
      <c r="AA67" s="3"/>
      <c r="AB67" s="147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43">
        <v>46147.0</v>
      </c>
      <c r="C68" s="12" t="s">
        <v>35</v>
      </c>
      <c r="D68" s="12" t="s">
        <v>22</v>
      </c>
      <c r="E68" s="17" t="s">
        <v>33</v>
      </c>
      <c r="F68" s="13">
        <v>2.0</v>
      </c>
      <c r="G68" s="31" t="s">
        <v>24</v>
      </c>
      <c r="H68" s="13">
        <v>1.0</v>
      </c>
      <c r="I68" s="17" t="s">
        <v>112</v>
      </c>
      <c r="K68" s="149">
        <f t="shared" si="1"/>
        <v>2</v>
      </c>
      <c r="L68" s="150">
        <f t="shared" si="2"/>
        <v>1</v>
      </c>
      <c r="R68" s="148"/>
      <c r="S68" s="148"/>
      <c r="T68" s="148"/>
      <c r="U68" s="148"/>
      <c r="V68" s="148"/>
      <c r="AA68" s="3"/>
      <c r="AB68" s="147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60"/>
      <c r="B69" s="161"/>
      <c r="C69" s="161"/>
      <c r="D69" s="161"/>
      <c r="E69" s="1"/>
      <c r="F69" s="161"/>
      <c r="G69" s="161"/>
      <c r="I69" s="147"/>
      <c r="AA69" s="3"/>
      <c r="AB69" s="147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60"/>
      <c r="B70" s="161"/>
      <c r="C70" s="161"/>
      <c r="D70" s="161"/>
      <c r="E70" s="1"/>
      <c r="F70" s="161"/>
      <c r="G70" s="161"/>
      <c r="I70" s="147"/>
      <c r="AA70" s="3"/>
      <c r="AB70" s="147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60"/>
      <c r="B71" s="161"/>
      <c r="C71" s="161"/>
      <c r="D71" s="161"/>
      <c r="E71" s="1"/>
      <c r="F71" s="161"/>
      <c r="G71" s="161"/>
      <c r="I71" s="147"/>
      <c r="AA71" s="3"/>
      <c r="AB71" s="147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70" t="s">
        <v>221</v>
      </c>
      <c r="I72" s="147"/>
      <c r="AA72" s="3"/>
      <c r="AB72" s="147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204</v>
      </c>
      <c r="U73" s="9" t="s">
        <v>205</v>
      </c>
      <c r="V73" s="9" t="s">
        <v>206</v>
      </c>
      <c r="W73" s="3"/>
      <c r="X73" s="132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204</v>
      </c>
      <c r="AH73" s="5" t="s">
        <v>205</v>
      </c>
      <c r="AI73" s="5" t="s">
        <v>206</v>
      </c>
      <c r="AJ73" s="9"/>
    </row>
    <row r="74" ht="15.75" customHeight="1">
      <c r="A74" s="65">
        <v>1.0</v>
      </c>
      <c r="B74" s="11">
        <v>45943.0</v>
      </c>
      <c r="C74" s="12" t="s">
        <v>49</v>
      </c>
      <c r="D74" s="12" t="s">
        <v>22</v>
      </c>
      <c r="E74" s="17" t="s">
        <v>153</v>
      </c>
      <c r="F74" s="13">
        <v>0.0</v>
      </c>
      <c r="G74" s="31" t="s">
        <v>24</v>
      </c>
      <c r="H74" s="13">
        <v>2.0</v>
      </c>
      <c r="I74" s="17" t="s">
        <v>58</v>
      </c>
      <c r="J74" s="148"/>
      <c r="K74" s="149">
        <f t="shared" ref="K74:K139" si="9">IFS(F74=H74+2,3,F74=H74-2,0,F74=H74+1,2,F74=H74-1,1,F74="","")</f>
        <v>0</v>
      </c>
      <c r="L74" s="150">
        <f t="shared" ref="L74:L139" si="10">IFS(H74=F74+2,3,H74=F74-2,0,H74=F74+1,2,H74=F74-1,1,H74="","")</f>
        <v>3</v>
      </c>
      <c r="M74" s="148"/>
      <c r="N74" s="150">
        <v>1.0</v>
      </c>
      <c r="O74" s="151" t="s">
        <v>153</v>
      </c>
      <c r="P74" s="150">
        <f t="shared" ref="P74:P84" si="11">SUMIF(E$74:E$139,O74,K$74:K$139)+SUMIF(I$74:I$139,O74,L$74:L$139)</f>
        <v>24</v>
      </c>
      <c r="Q74" s="152">
        <f t="shared" ref="Q74:Q84" si="12">COUNTIFS(E$74:E$139,O74,K$74:K$139,2)+COUNTIFS(I$74:I$139,O74,L$74:L$139,2)+COUNTIFS(E$74:E$139,O74,K$74:K$139,3)+COUNTIFS(I$74:I$139,O74,L$74:L$139,3)</f>
        <v>8</v>
      </c>
      <c r="R74" s="153"/>
      <c r="S74" s="153">
        <f t="shared" ref="S74:S84" si="13">COUNTIFS(E$74:E$139,O74,K$74:K$139,1)+COUNTIFS(I$74:I$139,O74,L$74:L$139,1)+COUNTIFS(E$74:E$139,O74,K$74:K$139,0)+COUNTIFS(I$74:I$139,O74,L$74:L$139,0)</f>
        <v>2</v>
      </c>
      <c r="T74" s="150">
        <f t="shared" ref="T74:T84" si="14">SUMIF(E$74:E$139,O74,F$74:F$139)+SUMIF(I$74:I$139,O74,H$74:H$139)</f>
        <v>17</v>
      </c>
      <c r="U74" s="153">
        <f t="shared" ref="U74:U84" si="15">SUMIF(E$74:E$139,O74,H$74:H$139)+SUMIF(I$74:I$139,O74,F$74:F$139)</f>
        <v>5</v>
      </c>
      <c r="V74" s="150">
        <f t="shared" ref="V74:V84" si="16">T74-U74</f>
        <v>12</v>
      </c>
      <c r="X74" s="136" t="s">
        <v>26</v>
      </c>
      <c r="Y74" s="136" t="s">
        <v>13</v>
      </c>
      <c r="AA74" s="45" t="s">
        <v>29</v>
      </c>
      <c r="AB74" s="70" t="str">
        <f t="array" ref="AB74:AI84">SORT(O74:V84,2,FALSE,8,FALSE)</f>
        <v>Administração Pública</v>
      </c>
      <c r="AC74" s="23">
        <v>27.0</v>
      </c>
      <c r="AD74" s="23">
        <v>10.0</v>
      </c>
      <c r="AE74" s="24"/>
      <c r="AF74" s="24">
        <v>0.0</v>
      </c>
      <c r="AG74" s="23">
        <v>20.0</v>
      </c>
      <c r="AH74" s="24">
        <v>3.0</v>
      </c>
      <c r="AI74" s="23">
        <v>17.0</v>
      </c>
      <c r="AJ74" s="18"/>
    </row>
    <row r="75" ht="15.75" customHeight="1">
      <c r="A75" s="25"/>
      <c r="B75" s="11">
        <v>45943.0</v>
      </c>
      <c r="C75" s="12" t="s">
        <v>49</v>
      </c>
      <c r="D75" s="12" t="s">
        <v>22</v>
      </c>
      <c r="E75" s="17" t="s">
        <v>197</v>
      </c>
      <c r="F75" s="13">
        <v>0.0</v>
      </c>
      <c r="G75" s="31" t="s">
        <v>24</v>
      </c>
      <c r="H75" s="13">
        <v>2.0</v>
      </c>
      <c r="I75" s="17" t="s">
        <v>167</v>
      </c>
      <c r="J75" s="148"/>
      <c r="K75" s="149">
        <f t="shared" si="9"/>
        <v>0</v>
      </c>
      <c r="L75" s="150">
        <f t="shared" si="10"/>
        <v>3</v>
      </c>
      <c r="M75" s="148"/>
      <c r="N75" s="150">
        <v>2.0</v>
      </c>
      <c r="O75" s="151" t="s">
        <v>32</v>
      </c>
      <c r="P75" s="150">
        <f t="shared" si="11"/>
        <v>8</v>
      </c>
      <c r="Q75" s="152">
        <f t="shared" si="12"/>
        <v>2</v>
      </c>
      <c r="R75" s="153"/>
      <c r="S75" s="153">
        <f t="shared" si="13"/>
        <v>8</v>
      </c>
      <c r="T75" s="150">
        <f t="shared" si="14"/>
        <v>7</v>
      </c>
      <c r="U75" s="153">
        <f t="shared" si="15"/>
        <v>17</v>
      </c>
      <c r="V75" s="150">
        <f t="shared" si="16"/>
        <v>-10</v>
      </c>
      <c r="X75" s="137" t="s">
        <v>33</v>
      </c>
      <c r="Y75" s="137">
        <v>3.0</v>
      </c>
      <c r="AA75" s="124" t="s">
        <v>111</v>
      </c>
      <c r="AB75" s="70" t="s">
        <v>153</v>
      </c>
      <c r="AC75" s="23">
        <v>24.0</v>
      </c>
      <c r="AD75" s="23">
        <v>8.0</v>
      </c>
      <c r="AE75" s="24"/>
      <c r="AF75" s="24">
        <v>2.0</v>
      </c>
      <c r="AG75" s="23">
        <v>17.0</v>
      </c>
      <c r="AH75" s="24">
        <v>5.0</v>
      </c>
      <c r="AI75" s="23">
        <v>12.0</v>
      </c>
      <c r="AJ75" s="18"/>
    </row>
    <row r="76" ht="15.75" customHeight="1">
      <c r="A76" s="25"/>
      <c r="B76" s="11">
        <v>45943.0</v>
      </c>
      <c r="C76" s="12" t="s">
        <v>49</v>
      </c>
      <c r="D76" s="12" t="s">
        <v>22</v>
      </c>
      <c r="E76" s="17" t="s">
        <v>23</v>
      </c>
      <c r="F76" s="13">
        <v>2.0</v>
      </c>
      <c r="G76" s="31" t="s">
        <v>24</v>
      </c>
      <c r="H76" s="13">
        <v>0.0</v>
      </c>
      <c r="I76" s="17" t="s">
        <v>37</v>
      </c>
      <c r="J76" s="148"/>
      <c r="K76" s="149">
        <f t="shared" si="9"/>
        <v>3</v>
      </c>
      <c r="L76" s="150">
        <f t="shared" si="10"/>
        <v>0</v>
      </c>
      <c r="M76" s="148"/>
      <c r="N76" s="150">
        <v>3.0</v>
      </c>
      <c r="O76" s="151" t="s">
        <v>58</v>
      </c>
      <c r="P76" s="150">
        <f t="shared" si="11"/>
        <v>27</v>
      </c>
      <c r="Q76" s="152">
        <f t="shared" si="12"/>
        <v>10</v>
      </c>
      <c r="R76" s="153"/>
      <c r="S76" s="153">
        <f t="shared" si="13"/>
        <v>0</v>
      </c>
      <c r="T76" s="150">
        <f t="shared" si="14"/>
        <v>20</v>
      </c>
      <c r="U76" s="153">
        <f t="shared" si="15"/>
        <v>3</v>
      </c>
      <c r="V76" s="150">
        <f t="shared" si="16"/>
        <v>17</v>
      </c>
      <c r="X76" s="137" t="s">
        <v>40</v>
      </c>
      <c r="Y76" s="137">
        <v>0.0</v>
      </c>
      <c r="AA76" s="22">
        <v>3.0</v>
      </c>
      <c r="AB76" s="70" t="s">
        <v>167</v>
      </c>
      <c r="AC76" s="23">
        <v>24.0</v>
      </c>
      <c r="AD76" s="23">
        <v>8.0</v>
      </c>
      <c r="AE76" s="24"/>
      <c r="AF76" s="24">
        <v>2.0</v>
      </c>
      <c r="AG76" s="23">
        <v>17.0</v>
      </c>
      <c r="AH76" s="24">
        <v>5.0</v>
      </c>
      <c r="AI76" s="23">
        <v>12.0</v>
      </c>
      <c r="AJ76" s="18"/>
    </row>
    <row r="77" ht="15.75" customHeight="1">
      <c r="A77" s="25"/>
      <c r="B77" s="11">
        <v>45943.0</v>
      </c>
      <c r="C77" s="12" t="s">
        <v>21</v>
      </c>
      <c r="D77" s="12" t="s">
        <v>22</v>
      </c>
      <c r="E77" s="17" t="s">
        <v>63</v>
      </c>
      <c r="F77" s="13">
        <v>0.0</v>
      </c>
      <c r="G77" s="31" t="s">
        <v>24</v>
      </c>
      <c r="H77" s="13">
        <v>2.0</v>
      </c>
      <c r="I77" s="17" t="s">
        <v>61</v>
      </c>
      <c r="J77" s="148"/>
      <c r="K77" s="149">
        <f t="shared" si="9"/>
        <v>0</v>
      </c>
      <c r="L77" s="150">
        <f t="shared" si="10"/>
        <v>3</v>
      </c>
      <c r="M77" s="148"/>
      <c r="N77" s="150">
        <v>4.0</v>
      </c>
      <c r="O77" s="151" t="s">
        <v>180</v>
      </c>
      <c r="P77" s="150">
        <f t="shared" si="11"/>
        <v>16</v>
      </c>
      <c r="Q77" s="152">
        <f t="shared" si="12"/>
        <v>5</v>
      </c>
      <c r="R77" s="153"/>
      <c r="S77" s="153">
        <f t="shared" si="13"/>
        <v>5</v>
      </c>
      <c r="T77" s="150">
        <f t="shared" si="14"/>
        <v>12</v>
      </c>
      <c r="U77" s="153">
        <f t="shared" si="15"/>
        <v>11</v>
      </c>
      <c r="V77" s="150">
        <f t="shared" si="16"/>
        <v>1</v>
      </c>
      <c r="AA77" s="22">
        <v>4.0</v>
      </c>
      <c r="AB77" s="70" t="s">
        <v>23</v>
      </c>
      <c r="AC77" s="23">
        <v>19.0</v>
      </c>
      <c r="AD77" s="23">
        <v>7.0</v>
      </c>
      <c r="AE77" s="24"/>
      <c r="AF77" s="24">
        <v>3.0</v>
      </c>
      <c r="AG77" s="23">
        <v>15.0</v>
      </c>
      <c r="AH77" s="24">
        <v>9.0</v>
      </c>
      <c r="AI77" s="23">
        <v>6.0</v>
      </c>
      <c r="AJ77" s="18"/>
    </row>
    <row r="78" ht="15.75" customHeight="1">
      <c r="A78" s="25"/>
      <c r="B78" s="11">
        <v>45943.0</v>
      </c>
      <c r="C78" s="12" t="s">
        <v>21</v>
      </c>
      <c r="D78" s="12" t="s">
        <v>22</v>
      </c>
      <c r="E78" s="17" t="s">
        <v>180</v>
      </c>
      <c r="F78" s="13">
        <v>2.0</v>
      </c>
      <c r="G78" s="31" t="s">
        <v>24</v>
      </c>
      <c r="H78" s="13">
        <v>0.0</v>
      </c>
      <c r="I78" s="17" t="s">
        <v>222</v>
      </c>
      <c r="J78" s="148"/>
      <c r="K78" s="149">
        <f t="shared" si="9"/>
        <v>3</v>
      </c>
      <c r="L78" s="150">
        <f t="shared" si="10"/>
        <v>0</v>
      </c>
      <c r="M78" s="148"/>
      <c r="N78" s="150">
        <v>5.0</v>
      </c>
      <c r="O78" s="151" t="s">
        <v>167</v>
      </c>
      <c r="P78" s="150">
        <f t="shared" si="11"/>
        <v>24</v>
      </c>
      <c r="Q78" s="152">
        <f t="shared" si="12"/>
        <v>8</v>
      </c>
      <c r="R78" s="153"/>
      <c r="S78" s="153">
        <f t="shared" si="13"/>
        <v>2</v>
      </c>
      <c r="T78" s="150">
        <f t="shared" si="14"/>
        <v>17</v>
      </c>
      <c r="U78" s="153">
        <f t="shared" si="15"/>
        <v>5</v>
      </c>
      <c r="V78" s="150">
        <f t="shared" si="16"/>
        <v>12</v>
      </c>
      <c r="AA78" s="22">
        <v>5.0</v>
      </c>
      <c r="AB78" s="70" t="s">
        <v>180</v>
      </c>
      <c r="AC78" s="23">
        <v>16.0</v>
      </c>
      <c r="AD78" s="23">
        <v>5.0</v>
      </c>
      <c r="AE78" s="24"/>
      <c r="AF78" s="24">
        <v>5.0</v>
      </c>
      <c r="AG78" s="23">
        <v>12.0</v>
      </c>
      <c r="AH78" s="24">
        <v>11.0</v>
      </c>
      <c r="AI78" s="23">
        <v>1.0</v>
      </c>
      <c r="AJ78" s="18"/>
    </row>
    <row r="79" ht="15.75" customHeight="1">
      <c r="A79" s="29"/>
      <c r="B79" s="162"/>
      <c r="C79" s="163"/>
      <c r="D79" s="164"/>
      <c r="E79" s="17">
        <v>0.0</v>
      </c>
      <c r="F79" s="31"/>
      <c r="G79" s="31" t="s">
        <v>24</v>
      </c>
      <c r="H79" s="31"/>
      <c r="I79" s="17" t="s">
        <v>32</v>
      </c>
      <c r="J79" s="148"/>
      <c r="K79" s="149" t="str">
        <f t="shared" si="9"/>
        <v/>
      </c>
      <c r="L79" s="150" t="str">
        <f t="shared" si="10"/>
        <v/>
      </c>
      <c r="M79" s="148"/>
      <c r="N79" s="150">
        <v>6.0</v>
      </c>
      <c r="O79" s="151" t="s">
        <v>63</v>
      </c>
      <c r="P79" s="150">
        <f t="shared" si="11"/>
        <v>0</v>
      </c>
      <c r="Q79" s="152">
        <f t="shared" si="12"/>
        <v>0</v>
      </c>
      <c r="R79" s="153"/>
      <c r="S79" s="153">
        <f t="shared" si="13"/>
        <v>10</v>
      </c>
      <c r="T79" s="150">
        <f t="shared" si="14"/>
        <v>0</v>
      </c>
      <c r="U79" s="153">
        <f t="shared" si="15"/>
        <v>20</v>
      </c>
      <c r="V79" s="150">
        <f t="shared" si="16"/>
        <v>-20</v>
      </c>
      <c r="AA79" s="22">
        <v>6.0</v>
      </c>
      <c r="AB79" s="70" t="s">
        <v>222</v>
      </c>
      <c r="AC79" s="23">
        <v>14.0</v>
      </c>
      <c r="AD79" s="23">
        <v>3.0</v>
      </c>
      <c r="AE79" s="24"/>
      <c r="AF79" s="24">
        <v>7.0</v>
      </c>
      <c r="AG79" s="23">
        <v>11.0</v>
      </c>
      <c r="AH79" s="24">
        <v>14.0</v>
      </c>
      <c r="AI79" s="23">
        <v>-3.0</v>
      </c>
      <c r="AJ79" s="18"/>
    </row>
    <row r="80" ht="15.75" customHeight="1">
      <c r="A80" s="65">
        <v>2.0</v>
      </c>
      <c r="B80" s="162"/>
      <c r="C80" s="163"/>
      <c r="D80" s="164"/>
      <c r="E80" s="17" t="s">
        <v>58</v>
      </c>
      <c r="F80" s="31"/>
      <c r="G80" s="31" t="s">
        <v>24</v>
      </c>
      <c r="H80" s="31"/>
      <c r="I80" s="17">
        <v>0.0</v>
      </c>
      <c r="J80" s="148"/>
      <c r="K80" s="149" t="str">
        <f t="shared" si="9"/>
        <v/>
      </c>
      <c r="L80" s="150" t="str">
        <f t="shared" si="10"/>
        <v/>
      </c>
      <c r="M80" s="148"/>
      <c r="N80" s="150">
        <v>7.0</v>
      </c>
      <c r="O80" s="151" t="s">
        <v>37</v>
      </c>
      <c r="P80" s="150">
        <f t="shared" si="11"/>
        <v>10</v>
      </c>
      <c r="Q80" s="152">
        <f t="shared" si="12"/>
        <v>4</v>
      </c>
      <c r="R80" s="153"/>
      <c r="S80" s="153">
        <f t="shared" si="13"/>
        <v>6</v>
      </c>
      <c r="T80" s="150">
        <f t="shared" si="14"/>
        <v>8</v>
      </c>
      <c r="U80" s="153">
        <f t="shared" si="15"/>
        <v>14</v>
      </c>
      <c r="V80" s="150">
        <f t="shared" si="16"/>
        <v>-6</v>
      </c>
      <c r="AA80" s="22">
        <v>7.0</v>
      </c>
      <c r="AB80" s="70" t="s">
        <v>61</v>
      </c>
      <c r="AC80" s="23">
        <v>13.0</v>
      </c>
      <c r="AD80" s="23">
        <v>5.0</v>
      </c>
      <c r="AE80" s="24"/>
      <c r="AF80" s="24">
        <v>5.0</v>
      </c>
      <c r="AG80" s="23">
        <v>11.0</v>
      </c>
      <c r="AH80" s="24">
        <v>13.0</v>
      </c>
      <c r="AI80" s="23">
        <v>-2.0</v>
      </c>
      <c r="AJ80" s="18"/>
    </row>
    <row r="81" ht="15.75" customHeight="1">
      <c r="A81" s="25"/>
      <c r="B81" s="11">
        <v>45943.0</v>
      </c>
      <c r="C81" s="12" t="s">
        <v>21</v>
      </c>
      <c r="D81" s="12" t="s">
        <v>22</v>
      </c>
      <c r="E81" s="17" t="s">
        <v>167</v>
      </c>
      <c r="F81" s="13">
        <v>0.0</v>
      </c>
      <c r="G81" s="31" t="s">
        <v>24</v>
      </c>
      <c r="H81" s="13">
        <v>2.0</v>
      </c>
      <c r="I81" s="17" t="s">
        <v>153</v>
      </c>
      <c r="J81" s="148"/>
      <c r="K81" s="149">
        <f t="shared" si="9"/>
        <v>0</v>
      </c>
      <c r="L81" s="150">
        <f t="shared" si="10"/>
        <v>3</v>
      </c>
      <c r="M81" s="148"/>
      <c r="N81" s="150">
        <v>8.0</v>
      </c>
      <c r="O81" s="151" t="s">
        <v>23</v>
      </c>
      <c r="P81" s="150">
        <f t="shared" si="11"/>
        <v>19</v>
      </c>
      <c r="Q81" s="152">
        <f t="shared" si="12"/>
        <v>7</v>
      </c>
      <c r="R81" s="153"/>
      <c r="S81" s="153">
        <f t="shared" si="13"/>
        <v>3</v>
      </c>
      <c r="T81" s="150">
        <f t="shared" si="14"/>
        <v>15</v>
      </c>
      <c r="U81" s="153">
        <f t="shared" si="15"/>
        <v>9</v>
      </c>
      <c r="V81" s="150">
        <f t="shared" si="16"/>
        <v>6</v>
      </c>
      <c r="AA81" s="22">
        <v>8.0</v>
      </c>
      <c r="AB81" s="70" t="s">
        <v>37</v>
      </c>
      <c r="AC81" s="23">
        <v>10.0</v>
      </c>
      <c r="AD81" s="23">
        <v>4.0</v>
      </c>
      <c r="AE81" s="24"/>
      <c r="AF81" s="24">
        <v>6.0</v>
      </c>
      <c r="AG81" s="23">
        <v>8.0</v>
      </c>
      <c r="AH81" s="24">
        <v>14.0</v>
      </c>
      <c r="AI81" s="23">
        <v>-6.0</v>
      </c>
      <c r="AJ81" s="18"/>
    </row>
    <row r="82" ht="15.75" customHeight="1">
      <c r="A82" s="25"/>
      <c r="B82" s="11">
        <v>45958.0</v>
      </c>
      <c r="C82" s="12" t="s">
        <v>30</v>
      </c>
      <c r="D82" s="12" t="s">
        <v>22</v>
      </c>
      <c r="E82" s="17" t="s">
        <v>37</v>
      </c>
      <c r="F82" s="13">
        <v>0.0</v>
      </c>
      <c r="G82" s="31" t="s">
        <v>24</v>
      </c>
      <c r="H82" s="13">
        <v>2.0</v>
      </c>
      <c r="I82" s="17" t="s">
        <v>197</v>
      </c>
      <c r="J82" s="148"/>
      <c r="K82" s="149">
        <f t="shared" si="9"/>
        <v>0</v>
      </c>
      <c r="L82" s="150">
        <f t="shared" si="10"/>
        <v>3</v>
      </c>
      <c r="M82" s="148"/>
      <c r="N82" s="150">
        <v>9.0</v>
      </c>
      <c r="O82" s="151" t="s">
        <v>61</v>
      </c>
      <c r="P82" s="150">
        <f t="shared" si="11"/>
        <v>13</v>
      </c>
      <c r="Q82" s="152">
        <f t="shared" si="12"/>
        <v>5</v>
      </c>
      <c r="R82" s="153"/>
      <c r="S82" s="153">
        <f t="shared" si="13"/>
        <v>5</v>
      </c>
      <c r="T82" s="150">
        <f t="shared" si="14"/>
        <v>11</v>
      </c>
      <c r="U82" s="153">
        <f t="shared" si="15"/>
        <v>13</v>
      </c>
      <c r="V82" s="150">
        <f t="shared" si="16"/>
        <v>-2</v>
      </c>
      <c r="AA82" s="22">
        <v>9.0</v>
      </c>
      <c r="AB82" s="70" t="s">
        <v>197</v>
      </c>
      <c r="AC82" s="23">
        <v>10.0</v>
      </c>
      <c r="AD82" s="23">
        <v>3.0</v>
      </c>
      <c r="AE82" s="24"/>
      <c r="AF82" s="24">
        <v>7.0</v>
      </c>
      <c r="AG82" s="23">
        <v>7.0</v>
      </c>
      <c r="AH82" s="24">
        <v>14.0</v>
      </c>
      <c r="AI82" s="23">
        <v>-7.0</v>
      </c>
      <c r="AJ82" s="18"/>
    </row>
    <row r="83" ht="15.75" customHeight="1">
      <c r="A83" s="25"/>
      <c r="B83" s="11">
        <v>45958.0</v>
      </c>
      <c r="C83" s="12" t="s">
        <v>30</v>
      </c>
      <c r="D83" s="12" t="s">
        <v>22</v>
      </c>
      <c r="E83" s="17" t="s">
        <v>61</v>
      </c>
      <c r="F83" s="13">
        <v>1.0</v>
      </c>
      <c r="G83" s="31" t="s">
        <v>24</v>
      </c>
      <c r="H83" s="13">
        <v>2.0</v>
      </c>
      <c r="I83" s="17" t="s">
        <v>23</v>
      </c>
      <c r="J83" s="148"/>
      <c r="K83" s="149">
        <f t="shared" si="9"/>
        <v>1</v>
      </c>
      <c r="L83" s="150">
        <f t="shared" si="10"/>
        <v>2</v>
      </c>
      <c r="M83" s="148"/>
      <c r="N83" s="150">
        <v>10.0</v>
      </c>
      <c r="O83" s="151" t="s">
        <v>197</v>
      </c>
      <c r="P83" s="150">
        <f t="shared" si="11"/>
        <v>10</v>
      </c>
      <c r="Q83" s="152">
        <f t="shared" si="12"/>
        <v>3</v>
      </c>
      <c r="R83" s="153"/>
      <c r="S83" s="153">
        <f t="shared" si="13"/>
        <v>7</v>
      </c>
      <c r="T83" s="150">
        <f t="shared" si="14"/>
        <v>7</v>
      </c>
      <c r="U83" s="153">
        <f t="shared" si="15"/>
        <v>14</v>
      </c>
      <c r="V83" s="150">
        <f t="shared" si="16"/>
        <v>-7</v>
      </c>
      <c r="AA83" s="22">
        <v>10.0</v>
      </c>
      <c r="AB83" s="70" t="s">
        <v>32</v>
      </c>
      <c r="AC83" s="23">
        <v>8.0</v>
      </c>
      <c r="AD83" s="23">
        <v>2.0</v>
      </c>
      <c r="AE83" s="24"/>
      <c r="AF83" s="24">
        <v>8.0</v>
      </c>
      <c r="AG83" s="23">
        <v>7.0</v>
      </c>
      <c r="AH83" s="24">
        <v>17.0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30</v>
      </c>
      <c r="D84" s="12" t="s">
        <v>22</v>
      </c>
      <c r="E84" s="17" t="s">
        <v>222</v>
      </c>
      <c r="F84" s="13">
        <v>2.0</v>
      </c>
      <c r="G84" s="31" t="s">
        <v>24</v>
      </c>
      <c r="H84" s="13">
        <v>0.0</v>
      </c>
      <c r="I84" s="14" t="s">
        <v>63</v>
      </c>
      <c r="J84" s="148"/>
      <c r="K84" s="149">
        <f t="shared" si="9"/>
        <v>3</v>
      </c>
      <c r="L84" s="150">
        <f t="shared" si="10"/>
        <v>0</v>
      </c>
      <c r="M84" s="148"/>
      <c r="N84" s="165">
        <v>11.0</v>
      </c>
      <c r="O84" s="165" t="s">
        <v>222</v>
      </c>
      <c r="P84" s="150">
        <f t="shared" si="11"/>
        <v>14</v>
      </c>
      <c r="Q84" s="152">
        <f t="shared" si="12"/>
        <v>3</v>
      </c>
      <c r="S84" s="153">
        <f t="shared" si="13"/>
        <v>7</v>
      </c>
      <c r="T84" s="150">
        <f t="shared" si="14"/>
        <v>11</v>
      </c>
      <c r="U84" s="153">
        <f t="shared" si="15"/>
        <v>14</v>
      </c>
      <c r="V84" s="150">
        <f t="shared" si="16"/>
        <v>-3</v>
      </c>
      <c r="AA84" s="52">
        <v>11.0</v>
      </c>
      <c r="AB84" s="70" t="s">
        <v>63</v>
      </c>
      <c r="AC84" s="23">
        <v>0.0</v>
      </c>
      <c r="AD84" s="23">
        <v>0.0</v>
      </c>
      <c r="AE84" s="24"/>
      <c r="AF84" s="24">
        <v>10.0</v>
      </c>
      <c r="AG84" s="23">
        <v>0.0</v>
      </c>
      <c r="AH84" s="24">
        <v>20.0</v>
      </c>
      <c r="AI84" s="23">
        <v>-20.0</v>
      </c>
      <c r="AJ84" s="3"/>
    </row>
    <row r="85" ht="15.75" customHeight="1">
      <c r="A85" s="29"/>
      <c r="B85" s="11">
        <v>45958.0</v>
      </c>
      <c r="C85" s="66" t="s">
        <v>35</v>
      </c>
      <c r="D85" s="12" t="s">
        <v>22</v>
      </c>
      <c r="E85" s="17" t="s">
        <v>32</v>
      </c>
      <c r="F85" s="13">
        <v>0.0</v>
      </c>
      <c r="G85" s="31" t="s">
        <v>24</v>
      </c>
      <c r="H85" s="13">
        <v>2.0</v>
      </c>
      <c r="I85" s="17" t="s">
        <v>180</v>
      </c>
      <c r="J85" s="148"/>
      <c r="K85" s="149">
        <f t="shared" si="9"/>
        <v>0</v>
      </c>
      <c r="L85" s="150">
        <f t="shared" si="10"/>
        <v>3</v>
      </c>
      <c r="M85" s="148"/>
      <c r="AA85" s="35" t="s">
        <v>223</v>
      </c>
      <c r="AD85" s="37"/>
      <c r="AE85" s="37"/>
      <c r="AF85" s="3"/>
      <c r="AG85" s="3"/>
      <c r="AH85" s="3"/>
      <c r="AI85" s="3"/>
      <c r="AJ85" s="3"/>
    </row>
    <row r="86" ht="15.75" customHeight="1">
      <c r="A86" s="65">
        <v>3.0</v>
      </c>
      <c r="B86" s="11">
        <v>45958.0</v>
      </c>
      <c r="C86" s="66" t="s">
        <v>35</v>
      </c>
      <c r="D86" s="12" t="s">
        <v>22</v>
      </c>
      <c r="E86" s="17" t="s">
        <v>58</v>
      </c>
      <c r="F86" s="13">
        <v>2.0</v>
      </c>
      <c r="G86" s="31" t="s">
        <v>24</v>
      </c>
      <c r="H86" s="13">
        <v>1.0</v>
      </c>
      <c r="I86" s="17" t="s">
        <v>167</v>
      </c>
      <c r="J86" s="148"/>
      <c r="K86" s="149">
        <f t="shared" si="9"/>
        <v>2</v>
      </c>
      <c r="L86" s="150">
        <f t="shared" si="10"/>
        <v>1</v>
      </c>
      <c r="M86" s="148"/>
      <c r="N86" s="148"/>
      <c r="O86" s="148"/>
      <c r="P86" s="148"/>
      <c r="Q86" s="148"/>
      <c r="R86" s="148"/>
      <c r="S86" s="148"/>
      <c r="T86" s="148"/>
      <c r="U86" s="148"/>
      <c r="V86" s="148"/>
      <c r="AA86" s="79" t="s">
        <v>101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6" t="s">
        <v>35</v>
      </c>
      <c r="D87" s="12" t="s">
        <v>22</v>
      </c>
      <c r="E87" s="17" t="s">
        <v>153</v>
      </c>
      <c r="F87" s="13">
        <v>2.0</v>
      </c>
      <c r="G87" s="31" t="s">
        <v>24</v>
      </c>
      <c r="H87" s="13">
        <v>0.0</v>
      </c>
      <c r="I87" s="17" t="s">
        <v>37</v>
      </c>
      <c r="J87" s="148"/>
      <c r="K87" s="149">
        <f t="shared" si="9"/>
        <v>3</v>
      </c>
      <c r="L87" s="150">
        <f t="shared" si="10"/>
        <v>0</v>
      </c>
      <c r="M87" s="148"/>
      <c r="N87" s="148"/>
      <c r="O87" s="148"/>
      <c r="P87" s="148"/>
      <c r="Q87" s="148"/>
      <c r="R87" s="148"/>
      <c r="S87" s="148"/>
      <c r="T87" s="148"/>
      <c r="U87" s="148"/>
      <c r="V87" s="148"/>
      <c r="AA87" s="157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183</v>
      </c>
      <c r="D88" s="12" t="s">
        <v>22</v>
      </c>
      <c r="E88" s="17" t="s">
        <v>197</v>
      </c>
      <c r="F88" s="13">
        <v>1.0</v>
      </c>
      <c r="G88" s="31" t="s">
        <v>24</v>
      </c>
      <c r="H88" s="13">
        <v>2.0</v>
      </c>
      <c r="I88" s="17" t="s">
        <v>61</v>
      </c>
      <c r="J88" s="148"/>
      <c r="K88" s="149">
        <f t="shared" si="9"/>
        <v>1</v>
      </c>
      <c r="L88" s="150">
        <f t="shared" si="10"/>
        <v>2</v>
      </c>
      <c r="M88" s="148"/>
      <c r="N88" s="148"/>
      <c r="O88" s="148"/>
      <c r="P88" s="148"/>
      <c r="Q88" s="148"/>
      <c r="R88" s="148"/>
      <c r="S88" s="148"/>
      <c r="T88" s="148"/>
      <c r="U88" s="148"/>
      <c r="V88" s="148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35</v>
      </c>
      <c r="D89" s="12" t="s">
        <v>22</v>
      </c>
      <c r="E89" s="17" t="s">
        <v>23</v>
      </c>
      <c r="F89" s="13">
        <v>2.0</v>
      </c>
      <c r="G89" s="31" t="s">
        <v>24</v>
      </c>
      <c r="H89" s="13">
        <v>1.0</v>
      </c>
      <c r="I89" s="17" t="s">
        <v>222</v>
      </c>
      <c r="J89" s="158"/>
      <c r="K89" s="149">
        <f t="shared" si="9"/>
        <v>2</v>
      </c>
      <c r="L89" s="150">
        <f t="shared" si="10"/>
        <v>1</v>
      </c>
      <c r="M89" s="148"/>
      <c r="N89" s="148"/>
      <c r="O89" s="148"/>
      <c r="P89" s="148"/>
      <c r="R89" s="148"/>
      <c r="S89" s="148"/>
      <c r="T89" s="148"/>
      <c r="U89" s="148"/>
      <c r="V89" s="148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54</v>
      </c>
      <c r="D90" s="12" t="s">
        <v>22</v>
      </c>
      <c r="E90" s="17" t="s">
        <v>63</v>
      </c>
      <c r="F90" s="13">
        <v>0.0</v>
      </c>
      <c r="G90" s="31" t="s">
        <v>24</v>
      </c>
      <c r="H90" s="13">
        <v>2.0</v>
      </c>
      <c r="I90" s="17" t="s">
        <v>32</v>
      </c>
      <c r="J90" s="148"/>
      <c r="K90" s="149">
        <f t="shared" si="9"/>
        <v>0</v>
      </c>
      <c r="L90" s="150">
        <f t="shared" si="10"/>
        <v>3</v>
      </c>
      <c r="M90" s="148"/>
      <c r="N90" s="148"/>
      <c r="O90" s="148"/>
      <c r="P90" s="148"/>
      <c r="Q90" s="148"/>
      <c r="R90" s="148"/>
      <c r="S90" s="148"/>
      <c r="T90" s="148"/>
      <c r="U90" s="148"/>
      <c r="V90" s="148"/>
      <c r="AG90" s="3"/>
      <c r="AH90" s="3"/>
      <c r="AI90" s="3"/>
      <c r="AJ90" s="3"/>
    </row>
    <row r="91" ht="15.75" customHeight="1">
      <c r="A91" s="29"/>
      <c r="B91" s="162"/>
      <c r="C91" s="164"/>
      <c r="D91" s="164"/>
      <c r="E91" s="17">
        <v>0.0</v>
      </c>
      <c r="F91" s="31"/>
      <c r="G91" s="31" t="s">
        <v>24</v>
      </c>
      <c r="H91" s="31"/>
      <c r="I91" s="17" t="s">
        <v>180</v>
      </c>
      <c r="J91" s="148"/>
      <c r="K91" s="149" t="str">
        <f t="shared" si="9"/>
        <v/>
      </c>
      <c r="L91" s="150" t="str">
        <f t="shared" si="10"/>
        <v/>
      </c>
      <c r="M91" s="148"/>
      <c r="N91" s="148"/>
      <c r="O91" s="148"/>
      <c r="P91" s="148"/>
      <c r="Q91" s="148"/>
      <c r="R91" s="148"/>
      <c r="S91" s="148"/>
      <c r="T91" s="148"/>
      <c r="U91" s="148"/>
      <c r="V91" s="148"/>
      <c r="AG91" s="3"/>
      <c r="AH91" s="3"/>
      <c r="AI91" s="3"/>
      <c r="AJ91" s="3"/>
    </row>
    <row r="92" ht="15.75" customHeight="1">
      <c r="A92" s="143">
        <v>4.0</v>
      </c>
      <c r="B92" s="162"/>
      <c r="C92" s="164"/>
      <c r="D92" s="164"/>
      <c r="E92" s="17" t="s">
        <v>167</v>
      </c>
      <c r="F92" s="31"/>
      <c r="G92" s="31" t="s">
        <v>24</v>
      </c>
      <c r="H92" s="31"/>
      <c r="I92" s="17">
        <v>0.0</v>
      </c>
      <c r="J92" s="148"/>
      <c r="K92" s="149" t="str">
        <f t="shared" si="9"/>
        <v/>
      </c>
      <c r="L92" s="150" t="str">
        <f t="shared" si="10"/>
        <v/>
      </c>
      <c r="M92" s="148"/>
      <c r="N92" s="148"/>
      <c r="O92" s="148"/>
      <c r="P92" s="148"/>
      <c r="Q92" s="148"/>
      <c r="R92" s="148"/>
      <c r="S92" s="148"/>
      <c r="T92" s="148"/>
      <c r="U92" s="148"/>
      <c r="V92" s="148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49</v>
      </c>
      <c r="D93" s="12" t="s">
        <v>22</v>
      </c>
      <c r="E93" s="17" t="s">
        <v>37</v>
      </c>
      <c r="F93" s="13">
        <v>0.0</v>
      </c>
      <c r="G93" s="31" t="s">
        <v>24</v>
      </c>
      <c r="H93" s="13">
        <v>2.0</v>
      </c>
      <c r="I93" s="17" t="s">
        <v>58</v>
      </c>
      <c r="J93" s="148"/>
      <c r="K93" s="149">
        <f t="shared" si="9"/>
        <v>0</v>
      </c>
      <c r="L93" s="150">
        <f t="shared" si="10"/>
        <v>3</v>
      </c>
      <c r="M93" s="148"/>
      <c r="N93" s="148"/>
      <c r="O93" s="148"/>
      <c r="P93" s="148"/>
      <c r="Q93" s="148"/>
      <c r="R93" s="148"/>
      <c r="S93" s="148"/>
      <c r="T93" s="148"/>
      <c r="U93" s="148"/>
      <c r="V93" s="148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49</v>
      </c>
      <c r="D94" s="12" t="s">
        <v>22</v>
      </c>
      <c r="E94" s="17" t="s">
        <v>61</v>
      </c>
      <c r="F94" s="13">
        <v>0.0</v>
      </c>
      <c r="G94" s="31" t="s">
        <v>24</v>
      </c>
      <c r="H94" s="13">
        <v>2.0</v>
      </c>
      <c r="I94" s="17" t="s">
        <v>153</v>
      </c>
      <c r="J94" s="148"/>
      <c r="K94" s="149">
        <f t="shared" si="9"/>
        <v>0</v>
      </c>
      <c r="L94" s="150">
        <f t="shared" si="10"/>
        <v>3</v>
      </c>
      <c r="M94" s="148"/>
      <c r="N94" s="148"/>
      <c r="O94" s="148"/>
      <c r="P94" s="148"/>
      <c r="Q94" s="148"/>
      <c r="R94" s="148"/>
      <c r="S94" s="148"/>
      <c r="T94" s="148"/>
      <c r="U94" s="148"/>
      <c r="V94" s="148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49</v>
      </c>
      <c r="D95" s="12" t="s">
        <v>22</v>
      </c>
      <c r="E95" s="17" t="s">
        <v>222</v>
      </c>
      <c r="F95" s="13">
        <v>2.0</v>
      </c>
      <c r="G95" s="31" t="s">
        <v>24</v>
      </c>
      <c r="H95" s="13">
        <v>0.0</v>
      </c>
      <c r="I95" s="17" t="s">
        <v>197</v>
      </c>
      <c r="J95" s="148"/>
      <c r="K95" s="149">
        <f t="shared" si="9"/>
        <v>3</v>
      </c>
      <c r="L95" s="150">
        <f t="shared" si="10"/>
        <v>0</v>
      </c>
      <c r="M95" s="148"/>
      <c r="N95" s="148"/>
      <c r="O95" s="148"/>
      <c r="P95" s="148"/>
      <c r="Q95" s="148"/>
      <c r="R95" s="148"/>
      <c r="S95" s="148"/>
      <c r="T95" s="148"/>
      <c r="U95" s="148"/>
      <c r="V95" s="148"/>
      <c r="AA95" s="3"/>
      <c r="AB95" s="147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21</v>
      </c>
      <c r="D96" s="12" t="s">
        <v>22</v>
      </c>
      <c r="E96" s="17" t="s">
        <v>32</v>
      </c>
      <c r="F96" s="13">
        <v>1.0</v>
      </c>
      <c r="G96" s="31" t="s">
        <v>24</v>
      </c>
      <c r="H96" s="13">
        <v>2.0</v>
      </c>
      <c r="I96" s="17" t="s">
        <v>23</v>
      </c>
      <c r="J96" s="148"/>
      <c r="K96" s="149">
        <f t="shared" si="9"/>
        <v>1</v>
      </c>
      <c r="L96" s="150">
        <f t="shared" si="10"/>
        <v>2</v>
      </c>
      <c r="M96" s="148"/>
      <c r="N96" s="148"/>
      <c r="O96" s="148"/>
      <c r="P96" s="148"/>
      <c r="Q96" s="148"/>
      <c r="R96" s="148"/>
      <c r="S96" s="148"/>
      <c r="T96" s="148"/>
      <c r="U96" s="148"/>
      <c r="V96" s="148"/>
      <c r="AA96" s="3"/>
      <c r="AB96" s="147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21</v>
      </c>
      <c r="D97" s="12" t="s">
        <v>22</v>
      </c>
      <c r="E97" s="17" t="s">
        <v>180</v>
      </c>
      <c r="F97" s="13">
        <v>2.0</v>
      </c>
      <c r="G97" s="31" t="s">
        <v>24</v>
      </c>
      <c r="H97" s="13">
        <v>0.0</v>
      </c>
      <c r="I97" s="17" t="s">
        <v>63</v>
      </c>
      <c r="J97" s="148"/>
      <c r="K97" s="149">
        <f t="shared" si="9"/>
        <v>3</v>
      </c>
      <c r="L97" s="150">
        <f t="shared" si="10"/>
        <v>0</v>
      </c>
      <c r="M97" s="148"/>
      <c r="N97" s="148"/>
      <c r="O97" s="148"/>
      <c r="P97" s="148"/>
      <c r="Q97" s="148"/>
      <c r="R97" s="148"/>
      <c r="S97" s="148"/>
      <c r="T97" s="148"/>
      <c r="U97" s="148"/>
      <c r="V97" s="148"/>
      <c r="AA97" s="3"/>
      <c r="AB97" s="147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5">
        <v>5.0</v>
      </c>
      <c r="B98" s="11">
        <v>46007.0</v>
      </c>
      <c r="C98" s="12" t="s">
        <v>49</v>
      </c>
      <c r="D98" s="12" t="s">
        <v>22</v>
      </c>
      <c r="E98" s="17" t="s">
        <v>167</v>
      </c>
      <c r="F98" s="13">
        <v>2.0</v>
      </c>
      <c r="G98" s="31" t="s">
        <v>24</v>
      </c>
      <c r="H98" s="13">
        <v>0.0</v>
      </c>
      <c r="I98" s="17" t="s">
        <v>37</v>
      </c>
      <c r="J98" s="148"/>
      <c r="K98" s="149">
        <f t="shared" si="9"/>
        <v>3</v>
      </c>
      <c r="L98" s="150">
        <f t="shared" si="10"/>
        <v>0</v>
      </c>
      <c r="M98" s="148"/>
      <c r="N98" s="148"/>
      <c r="O98" s="148"/>
      <c r="P98" s="148"/>
      <c r="Q98" s="148"/>
      <c r="R98" s="148"/>
      <c r="S98" s="148"/>
      <c r="T98" s="148"/>
      <c r="U98" s="148"/>
      <c r="V98" s="148"/>
      <c r="AA98" s="3"/>
      <c r="AB98" s="147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49</v>
      </c>
      <c r="D99" s="12" t="s">
        <v>22</v>
      </c>
      <c r="E99" s="17" t="s">
        <v>58</v>
      </c>
      <c r="F99" s="159">
        <v>2.0</v>
      </c>
      <c r="G99" s="31" t="s">
        <v>24</v>
      </c>
      <c r="H99" s="13">
        <v>0.0</v>
      </c>
      <c r="I99" s="17" t="s">
        <v>61</v>
      </c>
      <c r="J99" s="148"/>
      <c r="K99" s="149">
        <f t="shared" si="9"/>
        <v>3</v>
      </c>
      <c r="L99" s="150">
        <f t="shared" si="10"/>
        <v>0</v>
      </c>
      <c r="M99" s="148"/>
      <c r="N99" s="148"/>
      <c r="O99" s="148"/>
      <c r="P99" s="148"/>
      <c r="Q99" s="148"/>
      <c r="R99" s="148"/>
      <c r="S99" s="148"/>
      <c r="T99" s="148"/>
      <c r="U99" s="148"/>
      <c r="V99" s="148"/>
      <c r="AA99" s="3"/>
      <c r="AB99" s="147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49</v>
      </c>
      <c r="D100" s="12" t="s">
        <v>22</v>
      </c>
      <c r="E100" s="17" t="s">
        <v>153</v>
      </c>
      <c r="F100" s="159">
        <v>2.0</v>
      </c>
      <c r="G100" s="31" t="s">
        <v>24</v>
      </c>
      <c r="H100" s="13">
        <v>1.0</v>
      </c>
      <c r="I100" s="17" t="s">
        <v>222</v>
      </c>
      <c r="J100" s="148"/>
      <c r="K100" s="149">
        <f t="shared" si="9"/>
        <v>2</v>
      </c>
      <c r="L100" s="150">
        <f t="shared" si="10"/>
        <v>1</v>
      </c>
      <c r="M100" s="148"/>
      <c r="N100" s="148"/>
      <c r="O100" s="148"/>
      <c r="P100" s="148"/>
      <c r="Q100" s="148"/>
      <c r="R100" s="148"/>
      <c r="S100" s="148"/>
      <c r="T100" s="148"/>
      <c r="U100" s="148"/>
      <c r="V100" s="148"/>
      <c r="AA100" s="3"/>
      <c r="AB100" s="147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21</v>
      </c>
      <c r="D101" s="12" t="s">
        <v>22</v>
      </c>
      <c r="E101" s="17" t="s">
        <v>197</v>
      </c>
      <c r="F101" s="159">
        <v>2.0</v>
      </c>
      <c r="G101" s="31" t="s">
        <v>24</v>
      </c>
      <c r="H101" s="13">
        <v>0.0</v>
      </c>
      <c r="I101" s="17" t="s">
        <v>32</v>
      </c>
      <c r="J101" s="148"/>
      <c r="K101" s="149">
        <f t="shared" si="9"/>
        <v>3</v>
      </c>
      <c r="L101" s="150">
        <f t="shared" si="10"/>
        <v>0</v>
      </c>
      <c r="M101" s="148"/>
      <c r="N101" s="148"/>
      <c r="O101" s="148"/>
      <c r="P101" s="148"/>
      <c r="Q101" s="148"/>
      <c r="R101" s="148"/>
      <c r="S101" s="148"/>
      <c r="T101" s="148"/>
      <c r="U101" s="148"/>
      <c r="V101" s="148"/>
      <c r="AA101" s="3"/>
      <c r="AB101" s="147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21</v>
      </c>
      <c r="D102" s="12" t="s">
        <v>22</v>
      </c>
      <c r="E102" s="17" t="s">
        <v>23</v>
      </c>
      <c r="F102" s="159">
        <v>2.0</v>
      </c>
      <c r="G102" s="31" t="s">
        <v>24</v>
      </c>
      <c r="H102" s="13">
        <v>0.0</v>
      </c>
      <c r="I102" s="17" t="s">
        <v>180</v>
      </c>
      <c r="J102" s="148"/>
      <c r="K102" s="149">
        <f t="shared" si="9"/>
        <v>3</v>
      </c>
      <c r="L102" s="150">
        <f t="shared" si="10"/>
        <v>0</v>
      </c>
      <c r="M102" s="148"/>
      <c r="N102" s="148"/>
      <c r="O102" s="148"/>
      <c r="P102" s="148"/>
      <c r="Q102" s="148"/>
      <c r="R102" s="148"/>
      <c r="S102" s="148"/>
      <c r="T102" s="148"/>
      <c r="U102" s="148"/>
      <c r="V102" s="148"/>
      <c r="AA102" s="3"/>
      <c r="AB102" s="147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62"/>
      <c r="C103" s="164"/>
      <c r="D103" s="164"/>
      <c r="E103" s="17">
        <v>0.0</v>
      </c>
      <c r="F103" s="164"/>
      <c r="G103" s="31" t="s">
        <v>24</v>
      </c>
      <c r="H103" s="31"/>
      <c r="I103" s="17" t="s">
        <v>63</v>
      </c>
      <c r="J103" s="148"/>
      <c r="K103" s="149" t="str">
        <f t="shared" si="9"/>
        <v/>
      </c>
      <c r="L103" s="150" t="str">
        <f t="shared" si="10"/>
        <v/>
      </c>
      <c r="M103" s="148"/>
      <c r="N103" s="148"/>
      <c r="O103" s="148"/>
      <c r="P103" s="148"/>
      <c r="Q103" s="148"/>
      <c r="R103" s="148"/>
      <c r="S103" s="148"/>
      <c r="T103" s="148"/>
      <c r="U103" s="148"/>
      <c r="V103" s="148"/>
      <c r="AA103" s="3"/>
      <c r="AB103" s="147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5">
        <v>6.0</v>
      </c>
      <c r="B104" s="162"/>
      <c r="C104" s="163"/>
      <c r="D104" s="164"/>
      <c r="E104" s="17" t="s">
        <v>37</v>
      </c>
      <c r="F104" s="31"/>
      <c r="G104" s="31" t="s">
        <v>24</v>
      </c>
      <c r="H104" s="31"/>
      <c r="I104" s="17">
        <v>0.0</v>
      </c>
      <c r="J104" s="148"/>
      <c r="K104" s="149" t="str">
        <f t="shared" si="9"/>
        <v/>
      </c>
      <c r="L104" s="150" t="str">
        <f t="shared" si="10"/>
        <v/>
      </c>
      <c r="M104" s="148"/>
      <c r="N104" s="148"/>
      <c r="O104" s="148"/>
      <c r="P104" s="148"/>
      <c r="Q104" s="148"/>
      <c r="R104" s="148"/>
      <c r="S104" s="148"/>
      <c r="T104" s="148"/>
      <c r="U104" s="148"/>
      <c r="V104" s="148"/>
      <c r="AA104" s="3"/>
      <c r="AB104" s="147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6" t="s">
        <v>121</v>
      </c>
      <c r="D105" s="12" t="s">
        <v>22</v>
      </c>
      <c r="E105" s="17" t="s">
        <v>61</v>
      </c>
      <c r="F105" s="13">
        <v>0.0</v>
      </c>
      <c r="G105" s="31" t="s">
        <v>24</v>
      </c>
      <c r="H105" s="13">
        <v>2.0</v>
      </c>
      <c r="I105" s="17" t="s">
        <v>167</v>
      </c>
      <c r="J105" s="148"/>
      <c r="K105" s="149">
        <f t="shared" si="9"/>
        <v>0</v>
      </c>
      <c r="L105" s="150">
        <f t="shared" si="10"/>
        <v>3</v>
      </c>
      <c r="M105" s="148"/>
      <c r="N105" s="148"/>
      <c r="O105" s="148"/>
      <c r="P105" s="148"/>
      <c r="Q105" s="148"/>
      <c r="R105" s="148"/>
      <c r="S105" s="148"/>
      <c r="T105" s="148"/>
      <c r="U105" s="148"/>
      <c r="V105" s="148"/>
      <c r="AA105" s="3"/>
      <c r="AB105" s="147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6" t="s">
        <v>121</v>
      </c>
      <c r="D106" s="12" t="s">
        <v>22</v>
      </c>
      <c r="E106" s="17" t="s">
        <v>222</v>
      </c>
      <c r="F106" s="13">
        <v>1.0</v>
      </c>
      <c r="G106" s="31" t="s">
        <v>24</v>
      </c>
      <c r="H106" s="13">
        <v>2.0</v>
      </c>
      <c r="I106" s="17" t="s">
        <v>58</v>
      </c>
      <c r="J106" s="148"/>
      <c r="K106" s="149">
        <f t="shared" si="9"/>
        <v>1</v>
      </c>
      <c r="L106" s="150">
        <f t="shared" si="10"/>
        <v>2</v>
      </c>
      <c r="M106" s="148"/>
      <c r="N106" s="148"/>
      <c r="O106" s="148"/>
      <c r="P106" s="148"/>
      <c r="Q106" s="148"/>
      <c r="R106" s="148"/>
      <c r="S106" s="148"/>
      <c r="T106" s="148"/>
      <c r="U106" s="148"/>
      <c r="V106" s="148"/>
      <c r="AA106" s="3"/>
      <c r="AB106" s="147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6" t="s">
        <v>121</v>
      </c>
      <c r="D107" s="12" t="s">
        <v>22</v>
      </c>
      <c r="E107" s="17" t="s">
        <v>32</v>
      </c>
      <c r="F107" s="13">
        <v>0.0</v>
      </c>
      <c r="G107" s="31" t="s">
        <v>24</v>
      </c>
      <c r="H107" s="13">
        <v>2.0</v>
      </c>
      <c r="I107" s="17" t="s">
        <v>153</v>
      </c>
      <c r="J107" s="148"/>
      <c r="K107" s="149">
        <f t="shared" si="9"/>
        <v>0</v>
      </c>
      <c r="L107" s="150">
        <f t="shared" si="10"/>
        <v>3</v>
      </c>
      <c r="M107" s="148"/>
      <c r="N107" s="148"/>
      <c r="O107" s="148"/>
      <c r="P107" s="148"/>
      <c r="Q107" s="148"/>
      <c r="R107" s="148"/>
      <c r="S107" s="148"/>
      <c r="T107" s="148"/>
      <c r="U107" s="148"/>
      <c r="V107" s="148"/>
      <c r="AA107" s="3"/>
      <c r="AB107" s="147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6" t="s">
        <v>156</v>
      </c>
      <c r="D108" s="12" t="s">
        <v>22</v>
      </c>
      <c r="E108" s="17" t="s">
        <v>180</v>
      </c>
      <c r="F108" s="13">
        <v>2.0</v>
      </c>
      <c r="G108" s="31" t="s">
        <v>24</v>
      </c>
      <c r="H108" s="13">
        <v>0.0</v>
      </c>
      <c r="I108" s="17" t="s">
        <v>197</v>
      </c>
      <c r="J108" s="148"/>
      <c r="K108" s="149">
        <f t="shared" si="9"/>
        <v>3</v>
      </c>
      <c r="L108" s="150">
        <f t="shared" si="10"/>
        <v>0</v>
      </c>
      <c r="M108" s="148"/>
      <c r="N108" s="148"/>
      <c r="O108" s="148"/>
      <c r="P108" s="148"/>
      <c r="Q108" s="148"/>
      <c r="R108" s="148"/>
      <c r="S108" s="148"/>
      <c r="T108" s="148"/>
      <c r="U108" s="148"/>
      <c r="V108" s="148"/>
      <c r="AA108" s="3"/>
      <c r="AB108" s="147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6" t="s">
        <v>156</v>
      </c>
      <c r="D109" s="12" t="s">
        <v>22</v>
      </c>
      <c r="E109" s="17" t="s">
        <v>63</v>
      </c>
      <c r="F109" s="13">
        <v>0.0</v>
      </c>
      <c r="G109" s="31" t="s">
        <v>24</v>
      </c>
      <c r="H109" s="13">
        <v>2.0</v>
      </c>
      <c r="I109" s="17" t="s">
        <v>23</v>
      </c>
      <c r="J109" s="148"/>
      <c r="K109" s="149">
        <f t="shared" si="9"/>
        <v>0</v>
      </c>
      <c r="L109" s="150">
        <f t="shared" si="10"/>
        <v>3</v>
      </c>
      <c r="M109" s="148"/>
      <c r="N109" s="148"/>
      <c r="O109" s="148"/>
      <c r="P109" s="148"/>
      <c r="Q109" s="148"/>
      <c r="R109" s="148"/>
      <c r="S109" s="148"/>
      <c r="T109" s="148"/>
      <c r="U109" s="148"/>
      <c r="V109" s="148"/>
      <c r="AA109" s="3"/>
      <c r="AB109" s="147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5">
        <v>7.0</v>
      </c>
      <c r="B110" s="11">
        <v>46082.0</v>
      </c>
      <c r="C110" s="66" t="s">
        <v>156</v>
      </c>
      <c r="D110" s="12" t="s">
        <v>22</v>
      </c>
      <c r="E110" s="17" t="s">
        <v>37</v>
      </c>
      <c r="F110" s="13">
        <v>2.0</v>
      </c>
      <c r="G110" s="31" t="s">
        <v>24</v>
      </c>
      <c r="H110" s="13">
        <v>0.0</v>
      </c>
      <c r="I110" s="17" t="s">
        <v>61</v>
      </c>
      <c r="J110" s="148"/>
      <c r="K110" s="149">
        <f t="shared" si="9"/>
        <v>3</v>
      </c>
      <c r="L110" s="150">
        <f t="shared" si="10"/>
        <v>0</v>
      </c>
      <c r="M110" s="148"/>
      <c r="N110" s="148"/>
      <c r="O110" s="148"/>
      <c r="P110" s="148"/>
      <c r="Q110" s="148"/>
      <c r="R110" s="148"/>
      <c r="S110" s="148"/>
      <c r="T110" s="148"/>
      <c r="U110" s="148"/>
      <c r="V110" s="148"/>
      <c r="AA110" s="3"/>
      <c r="AB110" s="147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49</v>
      </c>
      <c r="D111" s="12" t="s">
        <v>22</v>
      </c>
      <c r="E111" s="17" t="s">
        <v>167</v>
      </c>
      <c r="F111" s="13">
        <v>2.0</v>
      </c>
      <c r="G111" s="31" t="s">
        <v>24</v>
      </c>
      <c r="H111" s="13">
        <v>0.0</v>
      </c>
      <c r="I111" s="17" t="s">
        <v>222</v>
      </c>
      <c r="J111" s="148"/>
      <c r="K111" s="149">
        <f t="shared" si="9"/>
        <v>3</v>
      </c>
      <c r="L111" s="150">
        <f t="shared" si="10"/>
        <v>0</v>
      </c>
      <c r="M111" s="148"/>
      <c r="N111" s="148"/>
      <c r="O111" s="148"/>
      <c r="P111" s="148"/>
      <c r="Q111" s="148"/>
      <c r="R111" s="148"/>
      <c r="S111" s="148"/>
      <c r="T111" s="148"/>
      <c r="U111" s="148"/>
      <c r="V111" s="148"/>
      <c r="AA111" s="3"/>
      <c r="AB111" s="147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49</v>
      </c>
      <c r="D112" s="12" t="s">
        <v>22</v>
      </c>
      <c r="E112" s="17" t="s">
        <v>58</v>
      </c>
      <c r="F112" s="13">
        <v>2.0</v>
      </c>
      <c r="G112" s="31" t="s">
        <v>24</v>
      </c>
      <c r="H112" s="13">
        <v>0.0</v>
      </c>
      <c r="I112" s="17" t="s">
        <v>32</v>
      </c>
      <c r="J112" s="148"/>
      <c r="K112" s="149">
        <f t="shared" si="9"/>
        <v>3</v>
      </c>
      <c r="L112" s="150">
        <f t="shared" si="10"/>
        <v>0</v>
      </c>
      <c r="M112" s="148"/>
      <c r="N112" s="148"/>
      <c r="O112" s="148"/>
      <c r="P112" s="148"/>
      <c r="Q112" s="148"/>
      <c r="R112" s="148"/>
      <c r="S112" s="148"/>
      <c r="T112" s="148"/>
      <c r="U112" s="148"/>
      <c r="V112" s="148"/>
      <c r="AA112" s="3"/>
      <c r="AB112" s="147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49</v>
      </c>
      <c r="D113" s="12" t="s">
        <v>22</v>
      </c>
      <c r="E113" s="17" t="s">
        <v>153</v>
      </c>
      <c r="F113" s="13">
        <v>1.0</v>
      </c>
      <c r="G113" s="31" t="s">
        <v>24</v>
      </c>
      <c r="H113" s="13">
        <v>2.0</v>
      </c>
      <c r="I113" s="17" t="s">
        <v>180</v>
      </c>
      <c r="J113" s="148"/>
      <c r="K113" s="149">
        <f t="shared" si="9"/>
        <v>1</v>
      </c>
      <c r="L113" s="150">
        <f t="shared" si="10"/>
        <v>2</v>
      </c>
      <c r="M113" s="148"/>
      <c r="N113" s="148"/>
      <c r="O113" s="148"/>
      <c r="P113" s="148"/>
      <c r="Q113" s="148"/>
      <c r="R113" s="148"/>
      <c r="S113" s="148"/>
      <c r="T113" s="148"/>
      <c r="U113" s="148"/>
      <c r="V113" s="148"/>
      <c r="AA113" s="3"/>
      <c r="AB113" s="147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155</v>
      </c>
      <c r="D114" s="12" t="s">
        <v>22</v>
      </c>
      <c r="E114" s="17" t="s">
        <v>197</v>
      </c>
      <c r="F114" s="13">
        <v>2.0</v>
      </c>
      <c r="G114" s="31" t="s">
        <v>24</v>
      </c>
      <c r="H114" s="13">
        <v>0.0</v>
      </c>
      <c r="I114" s="17" t="s">
        <v>63</v>
      </c>
      <c r="J114" s="148"/>
      <c r="K114" s="149">
        <f t="shared" si="9"/>
        <v>3</v>
      </c>
      <c r="L114" s="150">
        <f t="shared" si="10"/>
        <v>0</v>
      </c>
      <c r="M114" s="148"/>
      <c r="N114" s="148"/>
      <c r="O114" s="148"/>
      <c r="P114" s="148"/>
      <c r="Q114" s="148"/>
      <c r="R114" s="148"/>
      <c r="S114" s="148"/>
      <c r="T114" s="148"/>
      <c r="U114" s="148"/>
      <c r="V114" s="148"/>
      <c r="AA114" s="3"/>
      <c r="AB114" s="147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62"/>
      <c r="C115" s="164"/>
      <c r="D115" s="164"/>
      <c r="E115" s="17">
        <v>0.0</v>
      </c>
      <c r="F115" s="31"/>
      <c r="G115" s="31" t="s">
        <v>24</v>
      </c>
      <c r="H115" s="31"/>
      <c r="I115" s="17" t="s">
        <v>23</v>
      </c>
      <c r="J115" s="148"/>
      <c r="K115" s="149" t="str">
        <f t="shared" si="9"/>
        <v/>
      </c>
      <c r="L115" s="150" t="str">
        <f t="shared" si="10"/>
        <v/>
      </c>
      <c r="M115" s="148"/>
      <c r="N115" s="148"/>
      <c r="O115" s="148"/>
      <c r="P115" s="148"/>
      <c r="Q115" s="148"/>
      <c r="R115" s="148"/>
      <c r="S115" s="148"/>
      <c r="T115" s="148"/>
      <c r="U115" s="148"/>
      <c r="V115" s="148"/>
      <c r="AA115" s="3"/>
      <c r="AB115" s="147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5">
        <v>8.0</v>
      </c>
      <c r="B116" s="162"/>
      <c r="C116" s="163"/>
      <c r="D116" s="164"/>
      <c r="E116" s="17" t="s">
        <v>61</v>
      </c>
      <c r="F116" s="31"/>
      <c r="G116" s="31" t="s">
        <v>24</v>
      </c>
      <c r="H116" s="31"/>
      <c r="I116" s="17">
        <v>0.0</v>
      </c>
      <c r="J116" s="148"/>
      <c r="K116" s="149" t="str">
        <f t="shared" si="9"/>
        <v/>
      </c>
      <c r="L116" s="150" t="str">
        <f t="shared" si="10"/>
        <v/>
      </c>
      <c r="M116" s="148"/>
      <c r="N116" s="148"/>
      <c r="O116" s="148"/>
      <c r="P116" s="148"/>
      <c r="Q116" s="148"/>
      <c r="R116" s="148"/>
      <c r="S116" s="148"/>
      <c r="T116" s="148"/>
      <c r="U116" s="148"/>
      <c r="V116" s="148"/>
      <c r="AA116" s="3"/>
      <c r="AB116" s="147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21</v>
      </c>
      <c r="D117" s="12" t="s">
        <v>22</v>
      </c>
      <c r="E117" s="17" t="s">
        <v>222</v>
      </c>
      <c r="F117" s="13">
        <v>2.0</v>
      </c>
      <c r="G117" s="31" t="s">
        <v>24</v>
      </c>
      <c r="H117" s="13">
        <v>0.0</v>
      </c>
      <c r="I117" s="17" t="s">
        <v>37</v>
      </c>
      <c r="J117" s="148"/>
      <c r="K117" s="149">
        <f t="shared" si="9"/>
        <v>3</v>
      </c>
      <c r="L117" s="150">
        <f t="shared" si="10"/>
        <v>0</v>
      </c>
      <c r="M117" s="148"/>
      <c r="N117" s="148"/>
      <c r="O117" s="148"/>
      <c r="P117" s="148"/>
      <c r="Q117" s="148"/>
      <c r="R117" s="148"/>
      <c r="S117" s="148"/>
      <c r="T117" s="148"/>
      <c r="U117" s="148"/>
      <c r="V117" s="148"/>
      <c r="AA117" s="3"/>
      <c r="AB117" s="147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21</v>
      </c>
      <c r="D118" s="12" t="s">
        <v>22</v>
      </c>
      <c r="E118" s="17" t="s">
        <v>32</v>
      </c>
      <c r="F118" s="13">
        <v>0.0</v>
      </c>
      <c r="G118" s="31" t="s">
        <v>24</v>
      </c>
      <c r="H118" s="13">
        <v>2.0</v>
      </c>
      <c r="I118" s="17" t="s">
        <v>167</v>
      </c>
      <c r="J118" s="148"/>
      <c r="K118" s="149">
        <f t="shared" si="9"/>
        <v>0</v>
      </c>
      <c r="L118" s="150">
        <f t="shared" si="10"/>
        <v>3</v>
      </c>
      <c r="M118" s="148"/>
      <c r="N118" s="148"/>
      <c r="O118" s="148"/>
      <c r="P118" s="148"/>
      <c r="Q118" s="148"/>
      <c r="R118" s="148"/>
      <c r="S118" s="148"/>
      <c r="T118" s="148"/>
      <c r="U118" s="148"/>
      <c r="V118" s="148"/>
      <c r="AA118" s="3"/>
      <c r="AB118" s="147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155</v>
      </c>
      <c r="D119" s="12" t="s">
        <v>22</v>
      </c>
      <c r="E119" s="17" t="s">
        <v>180</v>
      </c>
      <c r="F119" s="13">
        <v>1.0</v>
      </c>
      <c r="G119" s="31" t="s">
        <v>24</v>
      </c>
      <c r="H119" s="13">
        <v>2.0</v>
      </c>
      <c r="I119" s="17" t="s">
        <v>58</v>
      </c>
      <c r="J119" s="148"/>
      <c r="K119" s="149">
        <f t="shared" si="9"/>
        <v>1</v>
      </c>
      <c r="L119" s="150">
        <f t="shared" si="10"/>
        <v>2</v>
      </c>
      <c r="M119" s="148"/>
      <c r="N119" s="148"/>
      <c r="O119" s="148"/>
      <c r="P119" s="148"/>
      <c r="Q119" s="148"/>
      <c r="R119" s="148"/>
      <c r="S119" s="148"/>
      <c r="T119" s="148"/>
      <c r="U119" s="148"/>
      <c r="V119" s="148"/>
      <c r="AA119" s="3"/>
      <c r="AB119" s="147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49</v>
      </c>
      <c r="D120" s="12" t="s">
        <v>22</v>
      </c>
      <c r="E120" s="17" t="s">
        <v>63</v>
      </c>
      <c r="F120" s="13">
        <v>0.0</v>
      </c>
      <c r="G120" s="31" t="s">
        <v>24</v>
      </c>
      <c r="H120" s="13">
        <v>2.0</v>
      </c>
      <c r="I120" s="17" t="s">
        <v>153</v>
      </c>
      <c r="J120" s="148"/>
      <c r="K120" s="149">
        <f t="shared" si="9"/>
        <v>0</v>
      </c>
      <c r="L120" s="150">
        <f t="shared" si="10"/>
        <v>3</v>
      </c>
      <c r="M120" s="148"/>
      <c r="N120" s="148"/>
      <c r="O120" s="148"/>
      <c r="P120" s="148"/>
      <c r="Q120" s="148"/>
      <c r="R120" s="148"/>
      <c r="S120" s="148"/>
      <c r="T120" s="148"/>
      <c r="U120" s="148"/>
      <c r="V120" s="148"/>
      <c r="AA120" s="3"/>
      <c r="AB120" s="147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158</v>
      </c>
      <c r="D121" s="12" t="s">
        <v>22</v>
      </c>
      <c r="E121" s="17" t="s">
        <v>23</v>
      </c>
      <c r="F121" s="13">
        <v>2.0</v>
      </c>
      <c r="G121" s="31" t="s">
        <v>24</v>
      </c>
      <c r="H121" s="13">
        <v>0.0</v>
      </c>
      <c r="I121" s="17" t="s">
        <v>197</v>
      </c>
      <c r="J121" s="148"/>
      <c r="K121" s="149">
        <f t="shared" si="9"/>
        <v>3</v>
      </c>
      <c r="L121" s="150">
        <f t="shared" si="10"/>
        <v>0</v>
      </c>
      <c r="M121" s="148"/>
      <c r="N121" s="148"/>
      <c r="O121" s="148"/>
      <c r="P121" s="148"/>
      <c r="Q121" s="148"/>
      <c r="R121" s="148"/>
      <c r="S121" s="148"/>
      <c r="T121" s="148"/>
      <c r="U121" s="148"/>
      <c r="V121" s="148"/>
      <c r="AA121" s="3"/>
      <c r="AB121" s="147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5">
        <v>9.0</v>
      </c>
      <c r="B122" s="11">
        <v>46099.0</v>
      </c>
      <c r="C122" s="12" t="s">
        <v>158</v>
      </c>
      <c r="D122" s="12" t="s">
        <v>22</v>
      </c>
      <c r="E122" s="17" t="s">
        <v>61</v>
      </c>
      <c r="F122" s="13">
        <v>2.0</v>
      </c>
      <c r="G122" s="31" t="s">
        <v>24</v>
      </c>
      <c r="H122" s="13">
        <v>1.0</v>
      </c>
      <c r="I122" s="17" t="s">
        <v>222</v>
      </c>
      <c r="J122" s="148"/>
      <c r="K122" s="149">
        <f t="shared" si="9"/>
        <v>2</v>
      </c>
      <c r="L122" s="150">
        <f t="shared" si="10"/>
        <v>1</v>
      </c>
      <c r="M122" s="148"/>
      <c r="N122" s="148"/>
      <c r="O122" s="148"/>
      <c r="P122" s="148"/>
      <c r="Q122" s="148"/>
      <c r="R122" s="148"/>
      <c r="S122" s="148"/>
      <c r="T122" s="148"/>
      <c r="U122" s="148"/>
      <c r="V122" s="148"/>
      <c r="AA122" s="3"/>
      <c r="AB122" s="147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155</v>
      </c>
      <c r="D123" s="12" t="s">
        <v>22</v>
      </c>
      <c r="E123" s="17" t="s">
        <v>37</v>
      </c>
      <c r="F123" s="13">
        <v>2.0</v>
      </c>
      <c r="G123" s="31" t="s">
        <v>24</v>
      </c>
      <c r="H123" s="13">
        <v>1.0</v>
      </c>
      <c r="I123" s="17" t="s">
        <v>32</v>
      </c>
      <c r="J123" s="148"/>
      <c r="K123" s="149">
        <f t="shared" si="9"/>
        <v>2</v>
      </c>
      <c r="L123" s="150">
        <f t="shared" si="10"/>
        <v>1</v>
      </c>
      <c r="M123" s="148"/>
      <c r="N123" s="148"/>
      <c r="O123" s="148"/>
      <c r="P123" s="148"/>
      <c r="Q123" s="148"/>
      <c r="R123" s="148"/>
      <c r="S123" s="148"/>
      <c r="T123" s="148"/>
      <c r="U123" s="148"/>
      <c r="V123" s="148"/>
      <c r="AA123" s="3"/>
      <c r="AB123" s="147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158</v>
      </c>
      <c r="D124" s="12" t="s">
        <v>22</v>
      </c>
      <c r="E124" s="17" t="s">
        <v>167</v>
      </c>
      <c r="F124" s="13">
        <v>2.0</v>
      </c>
      <c r="G124" s="31" t="s">
        <v>24</v>
      </c>
      <c r="H124" s="13">
        <v>0.0</v>
      </c>
      <c r="I124" s="17" t="s">
        <v>180</v>
      </c>
      <c r="J124" s="148"/>
      <c r="K124" s="149">
        <f t="shared" si="9"/>
        <v>3</v>
      </c>
      <c r="L124" s="150">
        <f t="shared" si="10"/>
        <v>0</v>
      </c>
      <c r="M124" s="148"/>
      <c r="N124" s="148"/>
      <c r="O124" s="148"/>
      <c r="P124" s="148"/>
      <c r="Q124" s="148"/>
      <c r="R124" s="148"/>
      <c r="S124" s="148"/>
      <c r="T124" s="148"/>
      <c r="U124" s="148"/>
      <c r="V124" s="148"/>
      <c r="AA124" s="3"/>
      <c r="AB124" s="147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1">
        <v>46135.0</v>
      </c>
      <c r="C125" s="12" t="s">
        <v>49</v>
      </c>
      <c r="D125" s="12" t="s">
        <v>22</v>
      </c>
      <c r="E125" s="17" t="s">
        <v>58</v>
      </c>
      <c r="F125" s="13">
        <v>2.0</v>
      </c>
      <c r="G125" s="31" t="s">
        <v>24</v>
      </c>
      <c r="H125" s="13">
        <v>0.0</v>
      </c>
      <c r="I125" s="17" t="s">
        <v>63</v>
      </c>
      <c r="J125" s="148"/>
      <c r="K125" s="149">
        <f t="shared" si="9"/>
        <v>3</v>
      </c>
      <c r="L125" s="150">
        <f t="shared" si="10"/>
        <v>0</v>
      </c>
      <c r="M125" s="148"/>
      <c r="N125" s="148"/>
      <c r="O125" s="148"/>
      <c r="P125" s="148"/>
      <c r="Q125" s="148"/>
      <c r="R125" s="148"/>
      <c r="S125" s="148"/>
      <c r="T125" s="148"/>
      <c r="U125" s="148"/>
      <c r="V125" s="148"/>
      <c r="AA125" s="3"/>
      <c r="AB125" s="147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1">
        <v>46135.0</v>
      </c>
      <c r="C126" s="12" t="s">
        <v>49</v>
      </c>
      <c r="D126" s="12" t="s">
        <v>22</v>
      </c>
      <c r="E126" s="17" t="s">
        <v>153</v>
      </c>
      <c r="F126" s="13">
        <v>2.0</v>
      </c>
      <c r="G126" s="31" t="s">
        <v>24</v>
      </c>
      <c r="H126" s="13">
        <v>0.0</v>
      </c>
      <c r="I126" s="17" t="s">
        <v>23</v>
      </c>
      <c r="J126" s="148"/>
      <c r="K126" s="149">
        <f t="shared" si="9"/>
        <v>3</v>
      </c>
      <c r="L126" s="150">
        <f t="shared" si="10"/>
        <v>0</v>
      </c>
      <c r="M126" s="148"/>
      <c r="N126" s="148"/>
      <c r="O126" s="148"/>
      <c r="P126" s="148"/>
      <c r="Q126" s="148"/>
      <c r="R126" s="148"/>
      <c r="S126" s="148"/>
      <c r="T126" s="148"/>
      <c r="U126" s="148"/>
      <c r="V126" s="148"/>
      <c r="AA126" s="3"/>
      <c r="AB126" s="147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62"/>
      <c r="C127" s="164"/>
      <c r="D127" s="164"/>
      <c r="E127" s="17">
        <v>0.0</v>
      </c>
      <c r="F127" s="31"/>
      <c r="G127" s="31" t="s">
        <v>24</v>
      </c>
      <c r="H127" s="31"/>
      <c r="I127" s="17" t="s">
        <v>197</v>
      </c>
      <c r="J127" s="148"/>
      <c r="K127" s="149" t="str">
        <f t="shared" si="9"/>
        <v/>
      </c>
      <c r="L127" s="150" t="str">
        <f t="shared" si="10"/>
        <v/>
      </c>
      <c r="M127" s="148"/>
      <c r="N127" s="148"/>
      <c r="O127" s="148"/>
      <c r="P127" s="148"/>
      <c r="Q127" s="148"/>
      <c r="R127" s="148"/>
      <c r="S127" s="148"/>
      <c r="T127" s="148"/>
      <c r="U127" s="148"/>
      <c r="V127" s="148"/>
      <c r="AA127" s="3"/>
      <c r="AB127" s="147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5">
        <v>10.0</v>
      </c>
      <c r="B128" s="162"/>
      <c r="C128" s="163"/>
      <c r="D128" s="164"/>
      <c r="E128" s="17">
        <v>0.0</v>
      </c>
      <c r="F128" s="31"/>
      <c r="G128" s="31" t="s">
        <v>24</v>
      </c>
      <c r="H128" s="31"/>
      <c r="I128" s="17" t="s">
        <v>222</v>
      </c>
      <c r="J128" s="148"/>
      <c r="K128" s="149" t="str">
        <f t="shared" si="9"/>
        <v/>
      </c>
      <c r="L128" s="150" t="str">
        <f t="shared" si="10"/>
        <v/>
      </c>
      <c r="M128" s="148"/>
      <c r="N128" s="148"/>
      <c r="O128" s="148"/>
      <c r="P128" s="148"/>
      <c r="Q128" s="148"/>
      <c r="R128" s="148"/>
      <c r="S128" s="148"/>
      <c r="T128" s="148"/>
      <c r="U128" s="148"/>
      <c r="V128" s="148"/>
      <c r="AA128" s="3"/>
      <c r="AB128" s="147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1">
        <v>46134.0</v>
      </c>
      <c r="C129" s="12" t="s">
        <v>49</v>
      </c>
      <c r="D129" s="12" t="s">
        <v>22</v>
      </c>
      <c r="E129" s="17" t="s">
        <v>32</v>
      </c>
      <c r="F129" s="13">
        <v>1.0</v>
      </c>
      <c r="G129" s="31" t="s">
        <v>24</v>
      </c>
      <c r="H129" s="13">
        <v>2.0</v>
      </c>
      <c r="I129" s="17" t="s">
        <v>61</v>
      </c>
      <c r="J129" s="148"/>
      <c r="K129" s="149">
        <f t="shared" si="9"/>
        <v>1</v>
      </c>
      <c r="L129" s="150">
        <f t="shared" si="10"/>
        <v>2</v>
      </c>
      <c r="M129" s="148"/>
      <c r="N129" s="148"/>
      <c r="O129" s="148"/>
      <c r="P129" s="148"/>
      <c r="Q129" s="148"/>
      <c r="R129" s="148"/>
      <c r="S129" s="148"/>
      <c r="T129" s="148"/>
      <c r="U129" s="148"/>
      <c r="V129" s="148"/>
      <c r="AA129" s="3"/>
      <c r="AB129" s="147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1">
        <v>46134.0</v>
      </c>
      <c r="C130" s="12" t="s">
        <v>21</v>
      </c>
      <c r="D130" s="12" t="s">
        <v>22</v>
      </c>
      <c r="E130" s="17" t="s">
        <v>180</v>
      </c>
      <c r="F130" s="13">
        <v>1.0</v>
      </c>
      <c r="G130" s="31" t="s">
        <v>24</v>
      </c>
      <c r="H130" s="13">
        <v>2.0</v>
      </c>
      <c r="I130" s="17" t="s">
        <v>37</v>
      </c>
      <c r="J130" s="148"/>
      <c r="K130" s="149">
        <f t="shared" si="9"/>
        <v>1</v>
      </c>
      <c r="L130" s="150">
        <f t="shared" si="10"/>
        <v>2</v>
      </c>
      <c r="M130" s="148"/>
      <c r="N130" s="148"/>
      <c r="O130" s="148"/>
      <c r="P130" s="148"/>
      <c r="Q130" s="148"/>
      <c r="R130" s="148"/>
      <c r="S130" s="148"/>
      <c r="T130" s="148"/>
      <c r="U130" s="148"/>
      <c r="V130" s="148"/>
      <c r="AA130" s="3"/>
      <c r="AB130" s="147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1">
        <v>46134.0</v>
      </c>
      <c r="C131" s="12" t="s">
        <v>21</v>
      </c>
      <c r="D131" s="12" t="s">
        <v>22</v>
      </c>
      <c r="E131" s="17" t="s">
        <v>63</v>
      </c>
      <c r="F131" s="13">
        <v>0.0</v>
      </c>
      <c r="G131" s="31" t="s">
        <v>24</v>
      </c>
      <c r="H131" s="13">
        <v>2.0</v>
      </c>
      <c r="I131" s="17" t="s">
        <v>167</v>
      </c>
      <c r="J131" s="148"/>
      <c r="K131" s="149">
        <f t="shared" si="9"/>
        <v>0</v>
      </c>
      <c r="L131" s="150">
        <f t="shared" si="10"/>
        <v>3</v>
      </c>
      <c r="M131" s="148"/>
      <c r="N131" s="148"/>
      <c r="O131" s="148"/>
      <c r="P131" s="148"/>
      <c r="Q131" s="148"/>
      <c r="R131" s="148"/>
      <c r="S131" s="148"/>
      <c r="T131" s="148"/>
      <c r="U131" s="148"/>
      <c r="V131" s="148"/>
      <c r="AA131" s="3"/>
      <c r="AB131" s="147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1">
        <v>46134.0</v>
      </c>
      <c r="C132" s="12" t="s">
        <v>21</v>
      </c>
      <c r="D132" s="12" t="s">
        <v>22</v>
      </c>
      <c r="E132" s="17" t="s">
        <v>23</v>
      </c>
      <c r="F132" s="13">
        <v>0.0</v>
      </c>
      <c r="G132" s="31" t="s">
        <v>24</v>
      </c>
      <c r="H132" s="13">
        <v>2.0</v>
      </c>
      <c r="I132" s="17" t="s">
        <v>58</v>
      </c>
      <c r="J132" s="148"/>
      <c r="K132" s="149">
        <f t="shared" si="9"/>
        <v>0</v>
      </c>
      <c r="L132" s="150">
        <f t="shared" si="10"/>
        <v>3</v>
      </c>
      <c r="M132" s="148"/>
      <c r="N132" s="148"/>
      <c r="O132" s="148"/>
      <c r="P132" s="148"/>
      <c r="Q132" s="148"/>
      <c r="R132" s="148"/>
      <c r="S132" s="148"/>
      <c r="T132" s="148"/>
      <c r="U132" s="148"/>
      <c r="V132" s="148"/>
      <c r="AA132" s="3"/>
      <c r="AB132" s="147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1">
        <v>46134.0</v>
      </c>
      <c r="C133" s="12" t="s">
        <v>30</v>
      </c>
      <c r="D133" s="12" t="s">
        <v>22</v>
      </c>
      <c r="E133" s="17" t="s">
        <v>197</v>
      </c>
      <c r="F133" s="13">
        <v>0.0</v>
      </c>
      <c r="G133" s="31" t="s">
        <v>24</v>
      </c>
      <c r="H133" s="13">
        <v>2.0</v>
      </c>
      <c r="I133" s="17" t="s">
        <v>153</v>
      </c>
      <c r="J133" s="148"/>
      <c r="K133" s="149">
        <f t="shared" si="9"/>
        <v>0</v>
      </c>
      <c r="L133" s="150">
        <f t="shared" si="10"/>
        <v>3</v>
      </c>
      <c r="M133" s="148"/>
      <c r="N133" s="148"/>
      <c r="O133" s="148"/>
      <c r="P133" s="148"/>
      <c r="Q133" s="148"/>
      <c r="R133" s="148"/>
      <c r="S133" s="148"/>
      <c r="T133" s="148"/>
      <c r="U133" s="148"/>
      <c r="V133" s="148"/>
      <c r="AA133" s="3"/>
      <c r="AB133" s="147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5">
        <v>11.0</v>
      </c>
      <c r="B134" s="11">
        <v>46134.0</v>
      </c>
      <c r="C134" s="12" t="s">
        <v>30</v>
      </c>
      <c r="D134" s="12" t="s">
        <v>22</v>
      </c>
      <c r="E134" s="17" t="s">
        <v>222</v>
      </c>
      <c r="F134" s="13">
        <v>1.0</v>
      </c>
      <c r="G134" s="31" t="s">
        <v>24</v>
      </c>
      <c r="H134" s="13">
        <v>2.0</v>
      </c>
      <c r="I134" s="17" t="s">
        <v>32</v>
      </c>
      <c r="J134" s="148"/>
      <c r="K134" s="149">
        <f t="shared" si="9"/>
        <v>1</v>
      </c>
      <c r="L134" s="150">
        <f t="shared" si="10"/>
        <v>2</v>
      </c>
      <c r="M134" s="148"/>
      <c r="N134" s="148"/>
      <c r="O134" s="148"/>
      <c r="P134" s="148"/>
      <c r="Q134" s="148"/>
      <c r="R134" s="148"/>
      <c r="S134" s="148"/>
      <c r="T134" s="148"/>
      <c r="U134" s="148"/>
      <c r="V134" s="148"/>
      <c r="AA134" s="3"/>
      <c r="AB134" s="147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1">
        <v>46134.0</v>
      </c>
      <c r="C135" s="12" t="s">
        <v>30</v>
      </c>
      <c r="D135" s="12" t="s">
        <v>22</v>
      </c>
      <c r="E135" s="17" t="s">
        <v>61</v>
      </c>
      <c r="F135" s="13">
        <v>2.0</v>
      </c>
      <c r="G135" s="31" t="s">
        <v>24</v>
      </c>
      <c r="H135" s="13">
        <v>0.0</v>
      </c>
      <c r="I135" s="17" t="s">
        <v>180</v>
      </c>
      <c r="J135" s="148"/>
      <c r="K135" s="149">
        <f t="shared" si="9"/>
        <v>3</v>
      </c>
      <c r="L135" s="150">
        <f t="shared" si="10"/>
        <v>0</v>
      </c>
      <c r="M135" s="148"/>
      <c r="N135" s="148"/>
      <c r="O135" s="148"/>
      <c r="P135" s="148"/>
      <c r="Q135" s="148"/>
      <c r="R135" s="148"/>
      <c r="S135" s="148"/>
      <c r="T135" s="148"/>
      <c r="U135" s="148"/>
      <c r="V135" s="148"/>
      <c r="AA135" s="3"/>
      <c r="AB135" s="147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1">
        <v>46134.0</v>
      </c>
      <c r="C136" s="12" t="s">
        <v>35</v>
      </c>
      <c r="D136" s="12" t="s">
        <v>22</v>
      </c>
      <c r="E136" s="17" t="s">
        <v>37</v>
      </c>
      <c r="F136" s="13">
        <v>2.0</v>
      </c>
      <c r="G136" s="31" t="s">
        <v>24</v>
      </c>
      <c r="H136" s="13">
        <v>0.0</v>
      </c>
      <c r="I136" s="17" t="s">
        <v>63</v>
      </c>
      <c r="J136" s="148"/>
      <c r="K136" s="149">
        <f t="shared" si="9"/>
        <v>3</v>
      </c>
      <c r="L136" s="150">
        <f t="shared" si="10"/>
        <v>0</v>
      </c>
      <c r="M136" s="148"/>
      <c r="N136" s="148"/>
      <c r="O136" s="148"/>
      <c r="P136" s="148"/>
      <c r="Q136" s="148"/>
      <c r="R136" s="148"/>
      <c r="S136" s="148"/>
      <c r="T136" s="148"/>
      <c r="U136" s="148"/>
      <c r="V136" s="148"/>
      <c r="AA136" s="3"/>
      <c r="AB136" s="147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1">
        <v>46134.0</v>
      </c>
      <c r="C137" s="12" t="s">
        <v>35</v>
      </c>
      <c r="D137" s="12" t="s">
        <v>22</v>
      </c>
      <c r="E137" s="17" t="s">
        <v>167</v>
      </c>
      <c r="F137" s="13">
        <v>2.0</v>
      </c>
      <c r="G137" s="31" t="s">
        <v>24</v>
      </c>
      <c r="H137" s="13">
        <v>1.0</v>
      </c>
      <c r="I137" s="17" t="s">
        <v>23</v>
      </c>
      <c r="J137" s="148"/>
      <c r="K137" s="149">
        <f t="shared" si="9"/>
        <v>2</v>
      </c>
      <c r="L137" s="150">
        <f t="shared" si="10"/>
        <v>1</v>
      </c>
      <c r="M137" s="148"/>
      <c r="N137" s="148"/>
      <c r="O137" s="148"/>
      <c r="P137" s="148"/>
      <c r="Q137" s="148"/>
      <c r="R137" s="148"/>
      <c r="S137" s="148"/>
      <c r="T137" s="148"/>
      <c r="U137" s="148"/>
      <c r="V137" s="148"/>
      <c r="AA137" s="3"/>
      <c r="AB137" s="147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1">
        <v>46134.0</v>
      </c>
      <c r="C138" s="12" t="s">
        <v>35</v>
      </c>
      <c r="D138" s="12" t="s">
        <v>22</v>
      </c>
      <c r="E138" s="17" t="s">
        <v>58</v>
      </c>
      <c r="F138" s="13">
        <v>2.0</v>
      </c>
      <c r="G138" s="31" t="s">
        <v>24</v>
      </c>
      <c r="H138" s="13">
        <v>0.0</v>
      </c>
      <c r="I138" s="17" t="s">
        <v>197</v>
      </c>
      <c r="J138" s="148"/>
      <c r="K138" s="149">
        <f t="shared" si="9"/>
        <v>3</v>
      </c>
      <c r="L138" s="150">
        <f t="shared" si="10"/>
        <v>0</v>
      </c>
      <c r="M138" s="148"/>
      <c r="N138" s="148"/>
      <c r="O138" s="148"/>
      <c r="P138" s="148"/>
      <c r="Q138" s="148"/>
      <c r="R138" s="148"/>
      <c r="S138" s="148"/>
      <c r="T138" s="148"/>
      <c r="U138" s="148"/>
      <c r="V138" s="148"/>
      <c r="AA138" s="3"/>
      <c r="AB138" s="147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62"/>
      <c r="C139" s="164"/>
      <c r="D139" s="164"/>
      <c r="E139" s="17" t="s">
        <v>153</v>
      </c>
      <c r="F139" s="31"/>
      <c r="G139" s="31" t="s">
        <v>24</v>
      </c>
      <c r="H139" s="31"/>
      <c r="I139" s="17">
        <v>0.0</v>
      </c>
      <c r="J139" s="148"/>
      <c r="K139" s="149" t="str">
        <f t="shared" si="9"/>
        <v/>
      </c>
      <c r="L139" s="150" t="str">
        <f t="shared" si="10"/>
        <v/>
      </c>
      <c r="M139" s="148"/>
      <c r="N139" s="148"/>
      <c r="O139" s="148"/>
      <c r="P139" s="148"/>
      <c r="Q139" s="148"/>
      <c r="R139" s="148"/>
      <c r="S139" s="148"/>
      <c r="T139" s="148"/>
      <c r="U139" s="148"/>
      <c r="V139" s="148"/>
      <c r="AA139" s="3"/>
      <c r="AB139" s="147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66"/>
      <c r="B140" s="167"/>
      <c r="C140" s="168"/>
      <c r="D140" s="168"/>
      <c r="E140" s="169"/>
      <c r="F140" s="42"/>
      <c r="G140" s="42"/>
      <c r="H140" s="42"/>
      <c r="I140" s="169"/>
      <c r="J140" s="148"/>
      <c r="K140" s="149"/>
      <c r="L140" s="150"/>
      <c r="M140" s="148"/>
      <c r="N140" s="148"/>
      <c r="O140" s="148"/>
      <c r="P140" s="148"/>
      <c r="Q140" s="148"/>
      <c r="R140" s="148"/>
      <c r="S140" s="148"/>
      <c r="T140" s="148"/>
      <c r="U140" s="148"/>
      <c r="V140" s="148"/>
      <c r="AA140" s="3"/>
      <c r="AB140" s="147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60"/>
      <c r="B141" s="161"/>
      <c r="C141" s="161"/>
      <c r="D141" s="161"/>
      <c r="E141" s="1"/>
      <c r="F141" s="161"/>
      <c r="G141" s="161"/>
      <c r="I141" s="147"/>
      <c r="AA141" s="3"/>
      <c r="AB141" s="147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60"/>
      <c r="B142" s="161"/>
      <c r="C142" s="161"/>
      <c r="D142" s="161"/>
      <c r="E142" s="1"/>
      <c r="F142" s="161"/>
      <c r="G142" s="161"/>
      <c r="I142" s="147"/>
      <c r="AA142" s="3"/>
      <c r="AB142" s="147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60"/>
      <c r="B143" s="161"/>
      <c r="C143" s="161"/>
      <c r="D143" s="161"/>
      <c r="E143" s="1"/>
      <c r="F143" s="161"/>
      <c r="G143" s="161"/>
      <c r="I143" s="147"/>
      <c r="AA143" s="3"/>
      <c r="AB143" s="147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70" t="s">
        <v>224</v>
      </c>
      <c r="I144" s="147"/>
      <c r="AA144" s="3"/>
      <c r="AB144" s="147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4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204</v>
      </c>
      <c r="U145" s="9" t="s">
        <v>205</v>
      </c>
      <c r="V145" s="9" t="s">
        <v>206</v>
      </c>
      <c r="W145" s="3"/>
      <c r="X145" s="132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204</v>
      </c>
      <c r="AH145" s="5" t="s">
        <v>205</v>
      </c>
      <c r="AI145" s="5" t="s">
        <v>206</v>
      </c>
      <c r="AJ145" s="9"/>
    </row>
    <row r="146" ht="15.75" customHeight="1">
      <c r="A146" s="65">
        <v>1.0</v>
      </c>
      <c r="B146" s="11">
        <v>45946.0</v>
      </c>
      <c r="C146" s="12" t="s">
        <v>30</v>
      </c>
      <c r="D146" s="12" t="s">
        <v>22</v>
      </c>
      <c r="E146" s="17" t="s">
        <v>31</v>
      </c>
      <c r="F146" s="13">
        <v>2.0</v>
      </c>
      <c r="G146" s="31" t="s">
        <v>24</v>
      </c>
      <c r="H146" s="13">
        <v>1.0</v>
      </c>
      <c r="I146" s="17" t="s">
        <v>225</v>
      </c>
      <c r="J146" s="148"/>
      <c r="K146" s="149">
        <f t="shared" ref="K146:K211" si="17">IFS(F146=H146+2,3,F146=H146-2,0,F146=H146+1,2,F146=H146-1,1,F146="","")</f>
        <v>2</v>
      </c>
      <c r="L146" s="150">
        <f t="shared" ref="L146:L211" si="18">IFS(H146=F146+2,3,H146=F146-2,0,H146=F146+1,2,H146=F146-1,1,H146="","")</f>
        <v>1</v>
      </c>
      <c r="M146" s="148"/>
      <c r="N146" s="150">
        <v>1.0</v>
      </c>
      <c r="O146" s="151" t="s">
        <v>31</v>
      </c>
      <c r="P146" s="150">
        <f t="shared" ref="P146:P156" si="19">SUMIF(E$146:E$211,O146,K$146:K$211)+SUMIF(I$146:I$211,O146,L$146:L$211)</f>
        <v>14</v>
      </c>
      <c r="Q146" s="152">
        <f t="shared" ref="Q146:Q156" si="20">COUNTIFS(E$146:E$211,O146,K$146:K$211,2)+COUNTIFS(I$146:I$211,O146,L$146:L$211,2)+COUNTIFS(E$146:E$211,O146,K$146:K$211,3)+COUNTIFS(I$146:I$211,O146,L$146:L$211,3)</f>
        <v>6</v>
      </c>
      <c r="R146" s="153"/>
      <c r="S146" s="153">
        <f t="shared" ref="S146:S156" si="21">COUNTIFS(E$146:E$211,O146,K$146:K$211,1)+COUNTIFS(I$146:I$211,O146,L$146:L$211,1)+COUNTIFS(E$146:E$211,O146,K$146:K$211,0)+COUNTIFS(I$146:I$211,O146,L$146:L$211,0)</f>
        <v>4</v>
      </c>
      <c r="T146" s="150">
        <f t="shared" ref="T146:T156" si="22">SUMIF(E$146:E$211,O146,F$146:F$211)+SUMIF(I$146:I$211,O146,H$146:H$211)</f>
        <v>13</v>
      </c>
      <c r="U146" s="153">
        <f t="shared" ref="U146:U156" si="23">SUMIF(E$146:E$211,O146,H$146:H$211)+SUMIF(I$146:I$211,O146,F$146:F$211)</f>
        <v>13</v>
      </c>
      <c r="V146" s="150">
        <f t="shared" ref="V146:V156" si="24">T146-U146</f>
        <v>0</v>
      </c>
      <c r="X146" s="136" t="s">
        <v>26</v>
      </c>
      <c r="Y146" s="136" t="s">
        <v>13</v>
      </c>
      <c r="AA146" s="45" t="s">
        <v>29</v>
      </c>
      <c r="AB146" s="70" t="str">
        <f t="array" ref="AB146:AI156">SORT(O146:V156,2,FALSE,8,FALSE)</f>
        <v>Contabilidade</v>
      </c>
      <c r="AC146" s="23">
        <v>28.0</v>
      </c>
      <c r="AD146" s="23">
        <v>10.0</v>
      </c>
      <c r="AE146" s="24"/>
      <c r="AF146" s="24">
        <v>0.0</v>
      </c>
      <c r="AG146" s="23">
        <v>20.0</v>
      </c>
      <c r="AH146" s="24">
        <v>2.0</v>
      </c>
      <c r="AI146" s="23">
        <v>18.0</v>
      </c>
      <c r="AJ146" s="18"/>
    </row>
    <row r="147" ht="15.75" customHeight="1">
      <c r="A147" s="25"/>
      <c r="B147" s="11">
        <v>45946.0</v>
      </c>
      <c r="C147" s="12" t="s">
        <v>30</v>
      </c>
      <c r="D147" s="12" t="s">
        <v>22</v>
      </c>
      <c r="E147" s="17" t="s">
        <v>114</v>
      </c>
      <c r="F147" s="13">
        <v>2.0</v>
      </c>
      <c r="G147" s="31" t="s">
        <v>24</v>
      </c>
      <c r="H147" s="13">
        <v>0.0</v>
      </c>
      <c r="I147" s="17" t="s">
        <v>226</v>
      </c>
      <c r="J147" s="148"/>
      <c r="K147" s="149">
        <f t="shared" si="17"/>
        <v>3</v>
      </c>
      <c r="L147" s="150">
        <f t="shared" si="18"/>
        <v>0</v>
      </c>
      <c r="M147" s="148"/>
      <c r="N147" s="150">
        <v>2.0</v>
      </c>
      <c r="O147" s="151" t="s">
        <v>60</v>
      </c>
      <c r="P147" s="150">
        <f t="shared" si="19"/>
        <v>8</v>
      </c>
      <c r="Q147" s="152">
        <f t="shared" si="20"/>
        <v>2</v>
      </c>
      <c r="R147" s="153"/>
      <c r="S147" s="153">
        <f t="shared" si="21"/>
        <v>8</v>
      </c>
      <c r="T147" s="150">
        <f t="shared" si="22"/>
        <v>6</v>
      </c>
      <c r="U147" s="153">
        <f t="shared" si="23"/>
        <v>16</v>
      </c>
      <c r="V147" s="150">
        <f t="shared" si="24"/>
        <v>-10</v>
      </c>
      <c r="X147" s="137" t="s">
        <v>33</v>
      </c>
      <c r="Y147" s="137">
        <v>3.0</v>
      </c>
      <c r="AA147" s="124" t="s">
        <v>111</v>
      </c>
      <c r="AB147" s="70" t="s">
        <v>114</v>
      </c>
      <c r="AC147" s="23">
        <v>27.0</v>
      </c>
      <c r="AD147" s="23">
        <v>9.0</v>
      </c>
      <c r="AE147" s="24"/>
      <c r="AF147" s="24">
        <v>1.0</v>
      </c>
      <c r="AG147" s="23">
        <v>19.0</v>
      </c>
      <c r="AH147" s="24">
        <v>3.0</v>
      </c>
      <c r="AI147" s="23">
        <v>16.0</v>
      </c>
      <c r="AJ147" s="18"/>
    </row>
    <row r="148" ht="15.75" customHeight="1">
      <c r="A148" s="25"/>
      <c r="B148" s="11">
        <v>45946.0</v>
      </c>
      <c r="C148" s="12" t="s">
        <v>30</v>
      </c>
      <c r="D148" s="12" t="s">
        <v>22</v>
      </c>
      <c r="E148" s="17" t="s">
        <v>68</v>
      </c>
      <c r="F148" s="13">
        <v>0.0</v>
      </c>
      <c r="G148" s="31" t="s">
        <v>24</v>
      </c>
      <c r="H148" s="13">
        <v>2.0</v>
      </c>
      <c r="I148" s="17" t="s">
        <v>107</v>
      </c>
      <c r="J148" s="148"/>
      <c r="K148" s="149">
        <f t="shared" si="17"/>
        <v>0</v>
      </c>
      <c r="L148" s="150">
        <f t="shared" si="18"/>
        <v>3</v>
      </c>
      <c r="M148" s="148"/>
      <c r="N148" s="150">
        <v>3.0</v>
      </c>
      <c r="O148" s="151" t="s">
        <v>225</v>
      </c>
      <c r="P148" s="150">
        <f t="shared" si="19"/>
        <v>19</v>
      </c>
      <c r="Q148" s="152">
        <f t="shared" si="20"/>
        <v>7</v>
      </c>
      <c r="R148" s="153"/>
      <c r="S148" s="153">
        <f t="shared" si="21"/>
        <v>3</v>
      </c>
      <c r="T148" s="150">
        <f t="shared" si="22"/>
        <v>17</v>
      </c>
      <c r="U148" s="153">
        <f t="shared" si="23"/>
        <v>11</v>
      </c>
      <c r="V148" s="150">
        <f t="shared" si="24"/>
        <v>6</v>
      </c>
      <c r="X148" s="137" t="s">
        <v>40</v>
      </c>
      <c r="Y148" s="137">
        <v>0.0</v>
      </c>
      <c r="AA148" s="22">
        <v>3.0</v>
      </c>
      <c r="AB148" s="70" t="s">
        <v>225</v>
      </c>
      <c r="AC148" s="23">
        <v>19.0</v>
      </c>
      <c r="AD148" s="23">
        <v>7.0</v>
      </c>
      <c r="AE148" s="24"/>
      <c r="AF148" s="24">
        <v>3.0</v>
      </c>
      <c r="AG148" s="23">
        <v>17.0</v>
      </c>
      <c r="AH148" s="24">
        <v>11.0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35</v>
      </c>
      <c r="D149" s="12" t="s">
        <v>22</v>
      </c>
      <c r="E149" s="17" t="s">
        <v>127</v>
      </c>
      <c r="F149" s="13">
        <v>2.0</v>
      </c>
      <c r="G149" s="31" t="s">
        <v>24</v>
      </c>
      <c r="H149" s="13">
        <v>1.0</v>
      </c>
      <c r="I149" s="17" t="s">
        <v>65</v>
      </c>
      <c r="J149" s="148"/>
      <c r="K149" s="149">
        <f t="shared" si="17"/>
        <v>2</v>
      </c>
      <c r="L149" s="150">
        <f t="shared" si="18"/>
        <v>1</v>
      </c>
      <c r="M149" s="148"/>
      <c r="N149" s="150">
        <v>4.0</v>
      </c>
      <c r="O149" s="151" t="s">
        <v>45</v>
      </c>
      <c r="P149" s="150">
        <f t="shared" si="19"/>
        <v>19</v>
      </c>
      <c r="Q149" s="152">
        <f t="shared" si="20"/>
        <v>7</v>
      </c>
      <c r="R149" s="153"/>
      <c r="S149" s="153">
        <f t="shared" si="21"/>
        <v>3</v>
      </c>
      <c r="T149" s="150">
        <f t="shared" si="22"/>
        <v>15</v>
      </c>
      <c r="U149" s="153">
        <f t="shared" si="23"/>
        <v>9</v>
      </c>
      <c r="V149" s="150">
        <f t="shared" si="24"/>
        <v>6</v>
      </c>
      <c r="AA149" s="22">
        <v>4.0</v>
      </c>
      <c r="AB149" s="70" t="s">
        <v>45</v>
      </c>
      <c r="AC149" s="23">
        <v>19.0</v>
      </c>
      <c r="AD149" s="23">
        <v>7.0</v>
      </c>
      <c r="AE149" s="24"/>
      <c r="AF149" s="24">
        <v>3.0</v>
      </c>
      <c r="AG149" s="23">
        <v>15.0</v>
      </c>
      <c r="AH149" s="24">
        <v>9.0</v>
      </c>
      <c r="AI149" s="23">
        <v>6.0</v>
      </c>
      <c r="AJ149" s="18"/>
    </row>
    <row r="150" ht="15.75" customHeight="1">
      <c r="A150" s="25"/>
      <c r="B150" s="11">
        <v>45943.0</v>
      </c>
      <c r="C150" s="12" t="s">
        <v>30</v>
      </c>
      <c r="D150" s="12" t="s">
        <v>22</v>
      </c>
      <c r="E150" s="17" t="s">
        <v>45</v>
      </c>
      <c r="F150" s="13">
        <v>2.0</v>
      </c>
      <c r="G150" s="31" t="s">
        <v>24</v>
      </c>
      <c r="H150" s="13">
        <v>1.0</v>
      </c>
      <c r="I150" s="17" t="s">
        <v>64</v>
      </c>
      <c r="J150" s="148"/>
      <c r="K150" s="149">
        <f t="shared" si="17"/>
        <v>2</v>
      </c>
      <c r="L150" s="150">
        <f t="shared" si="18"/>
        <v>1</v>
      </c>
      <c r="M150" s="148"/>
      <c r="N150" s="150">
        <v>5.0</v>
      </c>
      <c r="O150" s="151" t="s">
        <v>226</v>
      </c>
      <c r="P150" s="150">
        <f t="shared" si="19"/>
        <v>9</v>
      </c>
      <c r="Q150" s="152">
        <f t="shared" si="20"/>
        <v>2</v>
      </c>
      <c r="R150" s="153"/>
      <c r="S150" s="153">
        <f t="shared" si="21"/>
        <v>8</v>
      </c>
      <c r="T150" s="150">
        <f t="shared" si="22"/>
        <v>7</v>
      </c>
      <c r="U150" s="153">
        <f t="shared" si="23"/>
        <v>16</v>
      </c>
      <c r="V150" s="150">
        <f t="shared" si="24"/>
        <v>-9</v>
      </c>
      <c r="AA150" s="22">
        <v>5.0</v>
      </c>
      <c r="AB150" s="70" t="s">
        <v>64</v>
      </c>
      <c r="AC150" s="23">
        <v>17.0</v>
      </c>
      <c r="AD150" s="23">
        <v>5.0</v>
      </c>
      <c r="AE150" s="24"/>
      <c r="AF150" s="24">
        <v>5.0</v>
      </c>
      <c r="AG150" s="23">
        <v>13.0</v>
      </c>
      <c r="AH150" s="24">
        <v>11.0</v>
      </c>
      <c r="AI150" s="23">
        <v>2.0</v>
      </c>
      <c r="AJ150" s="18"/>
    </row>
    <row r="151" ht="15.75" customHeight="1">
      <c r="A151" s="29"/>
      <c r="B151" s="162"/>
      <c r="C151" s="163"/>
      <c r="D151" s="164"/>
      <c r="E151" s="17">
        <v>0.0</v>
      </c>
      <c r="F151" s="31"/>
      <c r="G151" s="31" t="s">
        <v>24</v>
      </c>
      <c r="H151" s="31"/>
      <c r="I151" s="17" t="s">
        <v>60</v>
      </c>
      <c r="J151" s="148"/>
      <c r="K151" s="149" t="str">
        <f t="shared" si="17"/>
        <v/>
      </c>
      <c r="L151" s="150" t="str">
        <f t="shared" si="18"/>
        <v/>
      </c>
      <c r="M151" s="148"/>
      <c r="N151" s="150">
        <v>6.0</v>
      </c>
      <c r="O151" s="151" t="s">
        <v>127</v>
      </c>
      <c r="P151" s="150">
        <f t="shared" si="19"/>
        <v>9</v>
      </c>
      <c r="Q151" s="152">
        <f t="shared" si="20"/>
        <v>3</v>
      </c>
      <c r="R151" s="153"/>
      <c r="S151" s="153">
        <f t="shared" si="21"/>
        <v>7</v>
      </c>
      <c r="T151" s="150">
        <f t="shared" si="22"/>
        <v>8</v>
      </c>
      <c r="U151" s="153">
        <f t="shared" si="23"/>
        <v>16</v>
      </c>
      <c r="V151" s="150">
        <f t="shared" si="24"/>
        <v>-8</v>
      </c>
      <c r="AA151" s="22">
        <v>6.0</v>
      </c>
      <c r="AB151" s="70" t="s">
        <v>31</v>
      </c>
      <c r="AC151" s="23">
        <v>14.0</v>
      </c>
      <c r="AD151" s="23">
        <v>6.0</v>
      </c>
      <c r="AE151" s="24"/>
      <c r="AF151" s="24">
        <v>4.0</v>
      </c>
      <c r="AG151" s="23">
        <v>13.0</v>
      </c>
      <c r="AH151" s="24">
        <v>13.0</v>
      </c>
      <c r="AI151" s="23">
        <v>0.0</v>
      </c>
      <c r="AJ151" s="18"/>
    </row>
    <row r="152" ht="15.75" customHeight="1">
      <c r="A152" s="65">
        <v>2.0</v>
      </c>
      <c r="B152" s="162"/>
      <c r="C152" s="163"/>
      <c r="D152" s="164"/>
      <c r="E152" s="17" t="s">
        <v>225</v>
      </c>
      <c r="F152" s="31"/>
      <c r="G152" s="31" t="s">
        <v>24</v>
      </c>
      <c r="H152" s="31"/>
      <c r="I152" s="17">
        <v>0.0</v>
      </c>
      <c r="J152" s="148"/>
      <c r="K152" s="149" t="str">
        <f t="shared" si="17"/>
        <v/>
      </c>
      <c r="L152" s="150" t="str">
        <f t="shared" si="18"/>
        <v/>
      </c>
      <c r="M152" s="148"/>
      <c r="N152" s="150">
        <v>7.0</v>
      </c>
      <c r="O152" s="151" t="s">
        <v>107</v>
      </c>
      <c r="P152" s="150">
        <f t="shared" si="19"/>
        <v>28</v>
      </c>
      <c r="Q152" s="152">
        <f t="shared" si="20"/>
        <v>10</v>
      </c>
      <c r="R152" s="153"/>
      <c r="S152" s="153">
        <f t="shared" si="21"/>
        <v>0</v>
      </c>
      <c r="T152" s="150">
        <f t="shared" si="22"/>
        <v>20</v>
      </c>
      <c r="U152" s="153">
        <f t="shared" si="23"/>
        <v>2</v>
      </c>
      <c r="V152" s="150">
        <f t="shared" si="24"/>
        <v>18</v>
      </c>
      <c r="AA152" s="22">
        <v>7.0</v>
      </c>
      <c r="AB152" s="70" t="s">
        <v>65</v>
      </c>
      <c r="AC152" s="23">
        <v>13.0</v>
      </c>
      <c r="AD152" s="23">
        <v>4.0</v>
      </c>
      <c r="AE152" s="24"/>
      <c r="AF152" s="24">
        <v>6.0</v>
      </c>
      <c r="AG152" s="23">
        <v>11.0</v>
      </c>
      <c r="AH152" s="24">
        <v>14.0</v>
      </c>
      <c r="AI152" s="23">
        <v>-3.0</v>
      </c>
      <c r="AJ152" s="18"/>
    </row>
    <row r="153" ht="15.75" customHeight="1">
      <c r="A153" s="25"/>
      <c r="B153" s="11">
        <v>45946.0</v>
      </c>
      <c r="C153" s="12" t="s">
        <v>35</v>
      </c>
      <c r="D153" s="12" t="s">
        <v>22</v>
      </c>
      <c r="E153" s="17" t="s">
        <v>226</v>
      </c>
      <c r="F153" s="13">
        <v>1.0</v>
      </c>
      <c r="G153" s="31" t="s">
        <v>24</v>
      </c>
      <c r="H153" s="13">
        <v>2.0</v>
      </c>
      <c r="I153" s="17" t="s">
        <v>31</v>
      </c>
      <c r="J153" s="148"/>
      <c r="K153" s="149">
        <f t="shared" si="17"/>
        <v>1</v>
      </c>
      <c r="L153" s="150">
        <f t="shared" si="18"/>
        <v>2</v>
      </c>
      <c r="M153" s="148"/>
      <c r="N153" s="150">
        <v>8.0</v>
      </c>
      <c r="O153" s="151" t="s">
        <v>68</v>
      </c>
      <c r="P153" s="150">
        <f t="shared" si="19"/>
        <v>2</v>
      </c>
      <c r="Q153" s="152">
        <f t="shared" si="20"/>
        <v>0</v>
      </c>
      <c r="R153" s="153"/>
      <c r="S153" s="153">
        <f t="shared" si="21"/>
        <v>10</v>
      </c>
      <c r="T153" s="150">
        <f t="shared" si="22"/>
        <v>2</v>
      </c>
      <c r="U153" s="153">
        <f t="shared" si="23"/>
        <v>20</v>
      </c>
      <c r="V153" s="150">
        <f t="shared" si="24"/>
        <v>-18</v>
      </c>
      <c r="AA153" s="22">
        <v>8.0</v>
      </c>
      <c r="AB153" s="70" t="s">
        <v>127</v>
      </c>
      <c r="AC153" s="23">
        <v>9.0</v>
      </c>
      <c r="AD153" s="23">
        <v>3.0</v>
      </c>
      <c r="AE153" s="24"/>
      <c r="AF153" s="24">
        <v>7.0</v>
      </c>
      <c r="AG153" s="23">
        <v>8.0</v>
      </c>
      <c r="AH153" s="24">
        <v>16.0</v>
      </c>
      <c r="AI153" s="23">
        <v>-8.0</v>
      </c>
      <c r="AJ153" s="18"/>
    </row>
    <row r="154" ht="15.75" customHeight="1">
      <c r="A154" s="25"/>
      <c r="B154" s="11">
        <v>45958.0</v>
      </c>
      <c r="C154" s="12" t="s">
        <v>49</v>
      </c>
      <c r="D154" s="12" t="s">
        <v>22</v>
      </c>
      <c r="E154" s="17" t="s">
        <v>107</v>
      </c>
      <c r="F154" s="13">
        <v>2.0</v>
      </c>
      <c r="G154" s="31" t="s">
        <v>24</v>
      </c>
      <c r="H154" s="13">
        <v>1.0</v>
      </c>
      <c r="I154" s="17" t="s">
        <v>114</v>
      </c>
      <c r="J154" s="148"/>
      <c r="K154" s="149">
        <f t="shared" si="17"/>
        <v>2</v>
      </c>
      <c r="L154" s="150">
        <f t="shared" si="18"/>
        <v>1</v>
      </c>
      <c r="M154" s="148"/>
      <c r="N154" s="150">
        <v>9.0</v>
      </c>
      <c r="O154" s="151" t="s">
        <v>65</v>
      </c>
      <c r="P154" s="150">
        <f t="shared" si="19"/>
        <v>13</v>
      </c>
      <c r="Q154" s="152">
        <f t="shared" si="20"/>
        <v>4</v>
      </c>
      <c r="R154" s="153"/>
      <c r="S154" s="153">
        <f t="shared" si="21"/>
        <v>6</v>
      </c>
      <c r="T154" s="150">
        <f t="shared" si="22"/>
        <v>11</v>
      </c>
      <c r="U154" s="153">
        <f t="shared" si="23"/>
        <v>14</v>
      </c>
      <c r="V154" s="150">
        <f t="shared" si="24"/>
        <v>-3</v>
      </c>
      <c r="AA154" s="22">
        <v>9.0</v>
      </c>
      <c r="AB154" s="70" t="s">
        <v>226</v>
      </c>
      <c r="AC154" s="23">
        <v>9.0</v>
      </c>
      <c r="AD154" s="23">
        <v>2.0</v>
      </c>
      <c r="AE154" s="24"/>
      <c r="AF154" s="24">
        <v>8.0</v>
      </c>
      <c r="AG154" s="23">
        <v>7.0</v>
      </c>
      <c r="AH154" s="24">
        <v>16.0</v>
      </c>
      <c r="AI154" s="23">
        <v>-9.0</v>
      </c>
      <c r="AJ154" s="18"/>
    </row>
    <row r="155" ht="15.75" customHeight="1">
      <c r="A155" s="25"/>
      <c r="B155" s="11">
        <v>45958.0</v>
      </c>
      <c r="C155" s="12" t="s">
        <v>49</v>
      </c>
      <c r="D155" s="12" t="s">
        <v>22</v>
      </c>
      <c r="E155" s="17" t="s">
        <v>65</v>
      </c>
      <c r="F155" s="13">
        <v>2.0</v>
      </c>
      <c r="G155" s="31" t="s">
        <v>24</v>
      </c>
      <c r="H155" s="13">
        <v>0.0</v>
      </c>
      <c r="I155" s="17" t="s">
        <v>68</v>
      </c>
      <c r="J155" s="148"/>
      <c r="K155" s="149">
        <f t="shared" si="17"/>
        <v>3</v>
      </c>
      <c r="L155" s="150">
        <f t="shared" si="18"/>
        <v>0</v>
      </c>
      <c r="M155" s="148"/>
      <c r="N155" s="150">
        <v>10.0</v>
      </c>
      <c r="O155" s="151" t="s">
        <v>114</v>
      </c>
      <c r="P155" s="150">
        <f t="shared" si="19"/>
        <v>27</v>
      </c>
      <c r="Q155" s="152">
        <f t="shared" si="20"/>
        <v>9</v>
      </c>
      <c r="R155" s="153"/>
      <c r="S155" s="153">
        <f t="shared" si="21"/>
        <v>1</v>
      </c>
      <c r="T155" s="150">
        <f t="shared" si="22"/>
        <v>19</v>
      </c>
      <c r="U155" s="153">
        <f t="shared" si="23"/>
        <v>3</v>
      </c>
      <c r="V155" s="150">
        <f t="shared" si="24"/>
        <v>16</v>
      </c>
      <c r="AA155" s="22">
        <v>10.0</v>
      </c>
      <c r="AB155" s="70" t="s">
        <v>60</v>
      </c>
      <c r="AC155" s="23">
        <v>8.0</v>
      </c>
      <c r="AD155" s="23">
        <v>2.0</v>
      </c>
      <c r="AE155" s="24"/>
      <c r="AF155" s="24">
        <v>8.0</v>
      </c>
      <c r="AG155" s="23">
        <v>6.0</v>
      </c>
      <c r="AH155" s="24">
        <v>16.0</v>
      </c>
      <c r="AI155" s="23">
        <v>-10.0</v>
      </c>
      <c r="AJ155" s="3"/>
    </row>
    <row r="156" ht="15.75" customHeight="1">
      <c r="A156" s="25"/>
      <c r="B156" s="11">
        <v>45958.0</v>
      </c>
      <c r="C156" s="12" t="s">
        <v>49</v>
      </c>
      <c r="D156" s="12" t="s">
        <v>22</v>
      </c>
      <c r="E156" s="17" t="s">
        <v>64</v>
      </c>
      <c r="F156" s="13">
        <v>2.0</v>
      </c>
      <c r="G156" s="31" t="s">
        <v>24</v>
      </c>
      <c r="H156" s="13">
        <v>0.0</v>
      </c>
      <c r="I156" s="17" t="s">
        <v>127</v>
      </c>
      <c r="J156" s="148"/>
      <c r="K156" s="149">
        <f t="shared" si="17"/>
        <v>3</v>
      </c>
      <c r="L156" s="150">
        <f t="shared" si="18"/>
        <v>0</v>
      </c>
      <c r="M156" s="148"/>
      <c r="N156" s="165">
        <v>11.0</v>
      </c>
      <c r="O156" s="165" t="s">
        <v>64</v>
      </c>
      <c r="P156" s="150">
        <f t="shared" si="19"/>
        <v>17</v>
      </c>
      <c r="Q156" s="152">
        <f t="shared" si="20"/>
        <v>5</v>
      </c>
      <c r="S156" s="153">
        <f t="shared" si="21"/>
        <v>5</v>
      </c>
      <c r="T156" s="150">
        <f t="shared" si="22"/>
        <v>13</v>
      </c>
      <c r="U156" s="153">
        <f t="shared" si="23"/>
        <v>11</v>
      </c>
      <c r="V156" s="150">
        <f t="shared" si="24"/>
        <v>2</v>
      </c>
      <c r="AA156" s="52">
        <v>11.0</v>
      </c>
      <c r="AB156" s="70" t="s">
        <v>68</v>
      </c>
      <c r="AC156" s="23">
        <v>2.0</v>
      </c>
      <c r="AD156" s="23">
        <v>0.0</v>
      </c>
      <c r="AE156" s="24"/>
      <c r="AF156" s="24">
        <v>10.0</v>
      </c>
      <c r="AG156" s="23">
        <v>2.0</v>
      </c>
      <c r="AH156" s="24">
        <v>20.0</v>
      </c>
      <c r="AI156" s="23">
        <v>-18.0</v>
      </c>
      <c r="AJ156" s="3"/>
    </row>
    <row r="157" ht="15.75" customHeight="1">
      <c r="A157" s="29"/>
      <c r="B157" s="11">
        <v>45958.0</v>
      </c>
      <c r="C157" s="12" t="s">
        <v>21</v>
      </c>
      <c r="D157" s="12" t="s">
        <v>22</v>
      </c>
      <c r="E157" s="17" t="s">
        <v>60</v>
      </c>
      <c r="F157" s="13">
        <v>0.0</v>
      </c>
      <c r="G157" s="31" t="s">
        <v>24</v>
      </c>
      <c r="H157" s="13">
        <v>2.0</v>
      </c>
      <c r="I157" s="17" t="s">
        <v>45</v>
      </c>
      <c r="J157" s="148"/>
      <c r="K157" s="149">
        <f t="shared" si="17"/>
        <v>0</v>
      </c>
      <c r="L157" s="150">
        <f t="shared" si="18"/>
        <v>3</v>
      </c>
      <c r="M157" s="148"/>
      <c r="AA157" s="35" t="s">
        <v>227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5">
        <v>3.0</v>
      </c>
      <c r="B158" s="11">
        <v>45958.0</v>
      </c>
      <c r="C158" s="12" t="s">
        <v>21</v>
      </c>
      <c r="D158" s="12" t="s">
        <v>22</v>
      </c>
      <c r="E158" s="17" t="s">
        <v>225</v>
      </c>
      <c r="F158" s="13">
        <v>2.0</v>
      </c>
      <c r="G158" s="31" t="s">
        <v>24</v>
      </c>
      <c r="H158" s="13">
        <v>1.0</v>
      </c>
      <c r="I158" s="17" t="s">
        <v>226</v>
      </c>
      <c r="J158" s="148"/>
      <c r="K158" s="149">
        <f t="shared" si="17"/>
        <v>2</v>
      </c>
      <c r="L158" s="150">
        <f t="shared" si="18"/>
        <v>1</v>
      </c>
      <c r="M158" s="148"/>
      <c r="N158" s="148"/>
      <c r="O158" s="148"/>
      <c r="P158" s="148"/>
      <c r="Q158" s="148"/>
      <c r="R158" s="148"/>
      <c r="S158" s="148"/>
      <c r="T158" s="148"/>
      <c r="U158" s="148"/>
      <c r="V158" s="148"/>
      <c r="AA158" s="79" t="s">
        <v>101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21</v>
      </c>
      <c r="D159" s="12" t="s">
        <v>22</v>
      </c>
      <c r="E159" s="17" t="s">
        <v>31</v>
      </c>
      <c r="F159" s="13">
        <v>0.0</v>
      </c>
      <c r="G159" s="31" t="s">
        <v>24</v>
      </c>
      <c r="H159" s="13">
        <v>2.0</v>
      </c>
      <c r="I159" s="17" t="s">
        <v>107</v>
      </c>
      <c r="J159" s="148"/>
      <c r="K159" s="149">
        <f t="shared" si="17"/>
        <v>0</v>
      </c>
      <c r="L159" s="150">
        <f t="shared" si="18"/>
        <v>3</v>
      </c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AA159" s="157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183</v>
      </c>
      <c r="D160" s="12" t="s">
        <v>22</v>
      </c>
      <c r="E160" s="17" t="s">
        <v>114</v>
      </c>
      <c r="F160" s="13">
        <v>2.0</v>
      </c>
      <c r="G160" s="31" t="s">
        <v>24</v>
      </c>
      <c r="H160" s="13">
        <v>0.0</v>
      </c>
      <c r="I160" s="17" t="s">
        <v>65</v>
      </c>
      <c r="J160" s="148"/>
      <c r="K160" s="149">
        <f t="shared" si="17"/>
        <v>3</v>
      </c>
      <c r="L160" s="150">
        <f t="shared" si="18"/>
        <v>0</v>
      </c>
      <c r="M160" s="148"/>
      <c r="N160" s="148"/>
      <c r="O160" s="148"/>
      <c r="P160" s="148"/>
      <c r="Q160" s="148"/>
      <c r="R160" s="148"/>
      <c r="S160" s="148"/>
      <c r="T160" s="148"/>
      <c r="U160" s="148"/>
      <c r="V160" s="148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164</v>
      </c>
      <c r="D161" s="12" t="s">
        <v>22</v>
      </c>
      <c r="E161" s="17" t="s">
        <v>68</v>
      </c>
      <c r="F161" s="13">
        <v>0.0</v>
      </c>
      <c r="G161" s="31" t="s">
        <v>24</v>
      </c>
      <c r="H161" s="13">
        <v>2.0</v>
      </c>
      <c r="I161" s="17" t="s">
        <v>64</v>
      </c>
      <c r="J161" s="158"/>
      <c r="K161" s="149">
        <f t="shared" si="17"/>
        <v>0</v>
      </c>
      <c r="L161" s="150">
        <f t="shared" si="18"/>
        <v>3</v>
      </c>
      <c r="M161" s="148"/>
      <c r="N161" s="148"/>
      <c r="O161" s="148"/>
      <c r="P161" s="148"/>
      <c r="R161" s="148"/>
      <c r="S161" s="148"/>
      <c r="T161" s="148"/>
      <c r="U161" s="148"/>
      <c r="V161" s="148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54</v>
      </c>
      <c r="D162" s="12" t="s">
        <v>22</v>
      </c>
      <c r="E162" s="17" t="s">
        <v>127</v>
      </c>
      <c r="F162" s="13">
        <v>0.0</v>
      </c>
      <c r="G162" s="31" t="s">
        <v>24</v>
      </c>
      <c r="H162" s="13">
        <v>2.0</v>
      </c>
      <c r="I162" s="17" t="s">
        <v>60</v>
      </c>
      <c r="J162" s="148"/>
      <c r="K162" s="149">
        <f t="shared" si="17"/>
        <v>0</v>
      </c>
      <c r="L162" s="150">
        <f t="shared" si="18"/>
        <v>3</v>
      </c>
      <c r="M162" s="148"/>
      <c r="N162" s="148"/>
      <c r="O162" s="148"/>
      <c r="P162" s="148"/>
      <c r="Q162" s="148"/>
      <c r="R162" s="148"/>
      <c r="S162" s="148"/>
      <c r="T162" s="148"/>
      <c r="U162" s="148"/>
      <c r="V162" s="148"/>
      <c r="AG162" s="3"/>
      <c r="AH162" s="3"/>
      <c r="AI162" s="3"/>
      <c r="AJ162" s="3"/>
    </row>
    <row r="163" ht="15.75" customHeight="1">
      <c r="A163" s="29"/>
      <c r="B163" s="162"/>
      <c r="C163" s="164"/>
      <c r="D163" s="164"/>
      <c r="E163" s="17">
        <v>0.0</v>
      </c>
      <c r="F163" s="31"/>
      <c r="G163" s="31" t="s">
        <v>24</v>
      </c>
      <c r="H163" s="31"/>
      <c r="I163" s="17" t="s">
        <v>45</v>
      </c>
      <c r="J163" s="148"/>
      <c r="K163" s="149" t="str">
        <f t="shared" si="17"/>
        <v/>
      </c>
      <c r="L163" s="150" t="str">
        <f t="shared" si="18"/>
        <v/>
      </c>
      <c r="M163" s="148"/>
      <c r="N163" s="148"/>
      <c r="O163" s="148"/>
      <c r="P163" s="148"/>
      <c r="Q163" s="148"/>
      <c r="R163" s="148"/>
      <c r="S163" s="148"/>
      <c r="T163" s="148"/>
      <c r="U163" s="148"/>
      <c r="V163" s="148"/>
      <c r="AG163" s="3"/>
      <c r="AH163" s="3"/>
      <c r="AI163" s="3"/>
      <c r="AJ163" s="3"/>
    </row>
    <row r="164" ht="15.75" customHeight="1">
      <c r="A164" s="143">
        <v>4.0</v>
      </c>
      <c r="B164" s="162"/>
      <c r="C164" s="164"/>
      <c r="D164" s="164"/>
      <c r="E164" s="17" t="s">
        <v>226</v>
      </c>
      <c r="F164" s="31"/>
      <c r="G164" s="31" t="s">
        <v>24</v>
      </c>
      <c r="H164" s="31"/>
      <c r="I164" s="17">
        <v>0.0</v>
      </c>
      <c r="J164" s="148"/>
      <c r="K164" s="149" t="str">
        <f t="shared" si="17"/>
        <v/>
      </c>
      <c r="L164" s="150" t="str">
        <f t="shared" si="18"/>
        <v/>
      </c>
      <c r="M164" s="148"/>
      <c r="N164" s="148"/>
      <c r="O164" s="148"/>
      <c r="P164" s="148"/>
      <c r="Q164" s="148"/>
      <c r="R164" s="148"/>
      <c r="S164" s="148"/>
      <c r="T164" s="148"/>
      <c r="U164" s="148"/>
      <c r="V164" s="148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21</v>
      </c>
      <c r="D165" s="12" t="s">
        <v>22</v>
      </c>
      <c r="E165" s="17" t="s">
        <v>107</v>
      </c>
      <c r="F165" s="13">
        <v>2.0</v>
      </c>
      <c r="G165" s="31" t="s">
        <v>24</v>
      </c>
      <c r="H165" s="13">
        <v>1.0</v>
      </c>
      <c r="I165" s="17" t="s">
        <v>225</v>
      </c>
      <c r="J165" s="148"/>
      <c r="K165" s="149">
        <f t="shared" si="17"/>
        <v>2</v>
      </c>
      <c r="L165" s="150">
        <f t="shared" si="18"/>
        <v>1</v>
      </c>
      <c r="M165" s="148"/>
      <c r="N165" s="148"/>
      <c r="O165" s="148"/>
      <c r="P165" s="148"/>
      <c r="Q165" s="148"/>
      <c r="R165" s="148"/>
      <c r="S165" s="148"/>
      <c r="T165" s="148"/>
      <c r="U165" s="148"/>
      <c r="V165" s="148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121</v>
      </c>
      <c r="D166" s="12" t="s">
        <v>22</v>
      </c>
      <c r="E166" s="17" t="s">
        <v>65</v>
      </c>
      <c r="F166" s="13">
        <v>2.0</v>
      </c>
      <c r="G166" s="31" t="s">
        <v>24</v>
      </c>
      <c r="H166" s="13">
        <v>1.0</v>
      </c>
      <c r="I166" s="17" t="s">
        <v>31</v>
      </c>
      <c r="J166" s="148"/>
      <c r="K166" s="149">
        <f t="shared" si="17"/>
        <v>2</v>
      </c>
      <c r="L166" s="150">
        <f t="shared" si="18"/>
        <v>1</v>
      </c>
      <c r="M166" s="148"/>
      <c r="N166" s="148"/>
      <c r="O166" s="148"/>
      <c r="P166" s="148"/>
      <c r="Q166" s="148"/>
      <c r="R166" s="148"/>
      <c r="S166" s="148"/>
      <c r="T166" s="148"/>
      <c r="U166" s="148"/>
      <c r="V166" s="148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156</v>
      </c>
      <c r="D167" s="12" t="s">
        <v>22</v>
      </c>
      <c r="E167" s="17" t="s">
        <v>64</v>
      </c>
      <c r="F167" s="13">
        <v>0.0</v>
      </c>
      <c r="G167" s="31" t="s">
        <v>24</v>
      </c>
      <c r="H167" s="13">
        <v>2.0</v>
      </c>
      <c r="I167" s="17" t="s">
        <v>114</v>
      </c>
      <c r="J167" s="148"/>
      <c r="K167" s="149">
        <f t="shared" si="17"/>
        <v>0</v>
      </c>
      <c r="L167" s="150">
        <f t="shared" si="18"/>
        <v>3</v>
      </c>
      <c r="M167" s="148"/>
      <c r="N167" s="148"/>
      <c r="O167" s="148"/>
      <c r="P167" s="148"/>
      <c r="Q167" s="148"/>
      <c r="R167" s="148"/>
      <c r="S167" s="148"/>
      <c r="T167" s="148"/>
      <c r="U167" s="148"/>
      <c r="V167" s="148"/>
      <c r="AA167" s="3"/>
      <c r="AB167" s="147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49</v>
      </c>
      <c r="D168" s="12" t="s">
        <v>22</v>
      </c>
      <c r="E168" s="17" t="s">
        <v>60</v>
      </c>
      <c r="F168" s="13">
        <v>2.0</v>
      </c>
      <c r="G168" s="31" t="s">
        <v>24</v>
      </c>
      <c r="H168" s="13">
        <v>0.0</v>
      </c>
      <c r="I168" s="17" t="s">
        <v>68</v>
      </c>
      <c r="J168" s="148"/>
      <c r="K168" s="149">
        <f t="shared" si="17"/>
        <v>3</v>
      </c>
      <c r="L168" s="150">
        <f t="shared" si="18"/>
        <v>0</v>
      </c>
      <c r="M168" s="148"/>
      <c r="N168" s="148"/>
      <c r="O168" s="148"/>
      <c r="P168" s="148"/>
      <c r="Q168" s="148"/>
      <c r="R168" s="148"/>
      <c r="S168" s="148"/>
      <c r="T168" s="148"/>
      <c r="U168" s="148"/>
      <c r="V168" s="148"/>
      <c r="AA168" s="3"/>
      <c r="AB168" s="147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169</v>
      </c>
      <c r="D169" s="12" t="s">
        <v>22</v>
      </c>
      <c r="E169" s="17" t="s">
        <v>45</v>
      </c>
      <c r="F169" s="13">
        <v>2.0</v>
      </c>
      <c r="G169" s="31" t="s">
        <v>24</v>
      </c>
      <c r="H169" s="13">
        <v>1.0</v>
      </c>
      <c r="I169" s="17" t="s">
        <v>127</v>
      </c>
      <c r="J169" s="148"/>
      <c r="K169" s="149">
        <f t="shared" si="17"/>
        <v>2</v>
      </c>
      <c r="L169" s="150">
        <f t="shared" si="18"/>
        <v>1</v>
      </c>
      <c r="M169" s="148"/>
      <c r="N169" s="148"/>
      <c r="O169" s="148"/>
      <c r="P169" s="148"/>
      <c r="Q169" s="148"/>
      <c r="R169" s="148"/>
      <c r="S169" s="148"/>
      <c r="T169" s="148"/>
      <c r="U169" s="148"/>
      <c r="V169" s="148"/>
      <c r="AA169" s="3"/>
      <c r="AB169" s="147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5">
        <v>5.0</v>
      </c>
      <c r="B170" s="11">
        <v>45993.0</v>
      </c>
      <c r="C170" s="66" t="s">
        <v>30</v>
      </c>
      <c r="D170" s="12" t="s">
        <v>22</v>
      </c>
      <c r="E170" s="17" t="s">
        <v>226</v>
      </c>
      <c r="F170" s="13">
        <v>0.0</v>
      </c>
      <c r="G170" s="31" t="s">
        <v>24</v>
      </c>
      <c r="H170" s="13">
        <v>2.0</v>
      </c>
      <c r="I170" s="17" t="s">
        <v>107</v>
      </c>
      <c r="J170" s="148"/>
      <c r="K170" s="149">
        <f t="shared" si="17"/>
        <v>0</v>
      </c>
      <c r="L170" s="150">
        <f t="shared" si="18"/>
        <v>3</v>
      </c>
      <c r="M170" s="148"/>
      <c r="N170" s="148"/>
      <c r="O170" s="148"/>
      <c r="P170" s="148"/>
      <c r="Q170" s="148"/>
      <c r="R170" s="148"/>
      <c r="S170" s="148"/>
      <c r="T170" s="148"/>
      <c r="U170" s="148"/>
      <c r="V170" s="148"/>
      <c r="AA170" s="3"/>
      <c r="AB170" s="147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6" t="s">
        <v>211</v>
      </c>
      <c r="D171" s="12" t="s">
        <v>22</v>
      </c>
      <c r="E171" s="17" t="s">
        <v>225</v>
      </c>
      <c r="F171" s="159">
        <v>2.0</v>
      </c>
      <c r="G171" s="31" t="s">
        <v>24</v>
      </c>
      <c r="H171" s="13">
        <v>1.0</v>
      </c>
      <c r="I171" s="17" t="s">
        <v>65</v>
      </c>
      <c r="J171" s="148"/>
      <c r="K171" s="149">
        <f t="shared" si="17"/>
        <v>2</v>
      </c>
      <c r="L171" s="150">
        <f t="shared" si="18"/>
        <v>1</v>
      </c>
      <c r="M171" s="148"/>
      <c r="N171" s="148"/>
      <c r="O171" s="148"/>
      <c r="P171" s="148"/>
      <c r="Q171" s="148"/>
      <c r="R171" s="148"/>
      <c r="S171" s="148"/>
      <c r="T171" s="148"/>
      <c r="U171" s="148"/>
      <c r="V171" s="148"/>
      <c r="AA171" s="3"/>
      <c r="AB171" s="147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6" t="s">
        <v>211</v>
      </c>
      <c r="D172" s="12" t="s">
        <v>22</v>
      </c>
      <c r="E172" s="17" t="s">
        <v>31</v>
      </c>
      <c r="F172" s="159">
        <v>2.0</v>
      </c>
      <c r="G172" s="31" t="s">
        <v>24</v>
      </c>
      <c r="H172" s="13">
        <v>1.0</v>
      </c>
      <c r="I172" s="17" t="s">
        <v>64</v>
      </c>
      <c r="J172" s="148"/>
      <c r="K172" s="149">
        <f t="shared" si="17"/>
        <v>2</v>
      </c>
      <c r="L172" s="150">
        <f t="shared" si="18"/>
        <v>1</v>
      </c>
      <c r="M172" s="148"/>
      <c r="N172" s="148"/>
      <c r="O172" s="148"/>
      <c r="P172" s="148"/>
      <c r="Q172" s="148"/>
      <c r="R172" s="148"/>
      <c r="S172" s="148"/>
      <c r="T172" s="148"/>
      <c r="U172" s="148"/>
      <c r="V172" s="148"/>
      <c r="AA172" s="3"/>
      <c r="AB172" s="147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6" t="s">
        <v>155</v>
      </c>
      <c r="D173" s="12" t="s">
        <v>22</v>
      </c>
      <c r="E173" s="17" t="s">
        <v>114</v>
      </c>
      <c r="F173" s="159">
        <v>2.0</v>
      </c>
      <c r="G173" s="31" t="s">
        <v>24</v>
      </c>
      <c r="H173" s="13">
        <v>0.0</v>
      </c>
      <c r="I173" s="17" t="s">
        <v>60</v>
      </c>
      <c r="J173" s="148"/>
      <c r="K173" s="149">
        <f t="shared" si="17"/>
        <v>3</v>
      </c>
      <c r="L173" s="150">
        <f t="shared" si="18"/>
        <v>0</v>
      </c>
      <c r="M173" s="148"/>
      <c r="N173" s="148"/>
      <c r="O173" s="148"/>
      <c r="P173" s="148"/>
      <c r="Q173" s="148"/>
      <c r="R173" s="148"/>
      <c r="S173" s="148"/>
      <c r="T173" s="148"/>
      <c r="U173" s="148"/>
      <c r="V173" s="148"/>
      <c r="AA173" s="3"/>
      <c r="AB173" s="147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21</v>
      </c>
      <c r="D174" s="12" t="s">
        <v>22</v>
      </c>
      <c r="E174" s="17" t="s">
        <v>68</v>
      </c>
      <c r="F174" s="159">
        <v>0.0</v>
      </c>
      <c r="G174" s="31" t="s">
        <v>24</v>
      </c>
      <c r="H174" s="13">
        <v>2.0</v>
      </c>
      <c r="I174" s="17" t="s">
        <v>45</v>
      </c>
      <c r="J174" s="148"/>
      <c r="K174" s="149">
        <f t="shared" si="17"/>
        <v>0</v>
      </c>
      <c r="L174" s="150">
        <f t="shared" si="18"/>
        <v>3</v>
      </c>
      <c r="M174" s="148"/>
      <c r="N174" s="148"/>
      <c r="O174" s="148"/>
      <c r="P174" s="148"/>
      <c r="Q174" s="148"/>
      <c r="R174" s="148"/>
      <c r="S174" s="148"/>
      <c r="T174" s="148"/>
      <c r="U174" s="148"/>
      <c r="V174" s="148"/>
      <c r="AA174" s="3"/>
      <c r="AB174" s="147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62"/>
      <c r="C175" s="164"/>
      <c r="D175" s="164"/>
      <c r="E175" s="17">
        <v>0.0</v>
      </c>
      <c r="F175" s="164"/>
      <c r="G175" s="31" t="s">
        <v>24</v>
      </c>
      <c r="H175" s="31"/>
      <c r="I175" s="17" t="s">
        <v>127</v>
      </c>
      <c r="J175" s="148"/>
      <c r="K175" s="149" t="str">
        <f t="shared" si="17"/>
        <v/>
      </c>
      <c r="L175" s="150" t="str">
        <f t="shared" si="18"/>
        <v/>
      </c>
      <c r="M175" s="148"/>
      <c r="N175" s="148"/>
      <c r="O175" s="148"/>
      <c r="P175" s="148"/>
      <c r="Q175" s="148"/>
      <c r="R175" s="148"/>
      <c r="S175" s="148"/>
      <c r="T175" s="148"/>
      <c r="U175" s="148"/>
      <c r="V175" s="148"/>
      <c r="AA175" s="3"/>
      <c r="AB175" s="147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5">
        <v>6.0</v>
      </c>
      <c r="B176" s="162"/>
      <c r="C176" s="163"/>
      <c r="D176" s="164"/>
      <c r="E176" s="17" t="s">
        <v>107</v>
      </c>
      <c r="F176" s="31"/>
      <c r="G176" s="31" t="s">
        <v>24</v>
      </c>
      <c r="H176" s="31"/>
      <c r="I176" s="17">
        <v>0.0</v>
      </c>
      <c r="J176" s="148"/>
      <c r="K176" s="149" t="str">
        <f t="shared" si="17"/>
        <v/>
      </c>
      <c r="L176" s="150" t="str">
        <f t="shared" si="18"/>
        <v/>
      </c>
      <c r="M176" s="148"/>
      <c r="N176" s="148"/>
      <c r="O176" s="148"/>
      <c r="P176" s="148"/>
      <c r="Q176" s="148"/>
      <c r="R176" s="148"/>
      <c r="S176" s="148"/>
      <c r="T176" s="148"/>
      <c r="U176" s="148"/>
      <c r="V176" s="148"/>
      <c r="AA176" s="3"/>
      <c r="AB176" s="147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169</v>
      </c>
      <c r="D177" s="12" t="s">
        <v>22</v>
      </c>
      <c r="E177" s="17" t="s">
        <v>65</v>
      </c>
      <c r="F177" s="13">
        <v>2.0</v>
      </c>
      <c r="G177" s="31" t="s">
        <v>24</v>
      </c>
      <c r="H177" s="13">
        <v>0.0</v>
      </c>
      <c r="I177" s="17" t="s">
        <v>226</v>
      </c>
      <c r="J177" s="148"/>
      <c r="K177" s="149">
        <f t="shared" si="17"/>
        <v>3</v>
      </c>
      <c r="L177" s="150">
        <f t="shared" si="18"/>
        <v>0</v>
      </c>
      <c r="M177" s="148"/>
      <c r="N177" s="148"/>
      <c r="O177" s="148"/>
      <c r="P177" s="148"/>
      <c r="Q177" s="148"/>
      <c r="R177" s="148"/>
      <c r="S177" s="148"/>
      <c r="T177" s="148"/>
      <c r="U177" s="148"/>
      <c r="V177" s="148"/>
      <c r="AA177" s="3"/>
      <c r="AB177" s="147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169</v>
      </c>
      <c r="D178" s="12" t="s">
        <v>22</v>
      </c>
      <c r="E178" s="17" t="s">
        <v>64</v>
      </c>
      <c r="F178" s="13">
        <v>1.0</v>
      </c>
      <c r="G178" s="31" t="s">
        <v>24</v>
      </c>
      <c r="H178" s="13">
        <v>2.0</v>
      </c>
      <c r="I178" s="17" t="s">
        <v>225</v>
      </c>
      <c r="J178" s="148"/>
      <c r="K178" s="149">
        <f t="shared" si="17"/>
        <v>1</v>
      </c>
      <c r="L178" s="150">
        <f t="shared" si="18"/>
        <v>2</v>
      </c>
      <c r="M178" s="148"/>
      <c r="N178" s="148"/>
      <c r="O178" s="148"/>
      <c r="P178" s="148"/>
      <c r="Q178" s="148"/>
      <c r="R178" s="148"/>
      <c r="S178" s="148"/>
      <c r="T178" s="148"/>
      <c r="U178" s="148"/>
      <c r="V178" s="148"/>
      <c r="AA178" s="3"/>
      <c r="AB178" s="147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160</v>
      </c>
      <c r="D179" s="12" t="s">
        <v>22</v>
      </c>
      <c r="E179" s="17" t="s">
        <v>60</v>
      </c>
      <c r="F179" s="13">
        <v>1.0</v>
      </c>
      <c r="G179" s="31" t="s">
        <v>24</v>
      </c>
      <c r="H179" s="13">
        <v>2.0</v>
      </c>
      <c r="I179" s="17" t="s">
        <v>31</v>
      </c>
      <c r="J179" s="148"/>
      <c r="K179" s="149">
        <f t="shared" si="17"/>
        <v>1</v>
      </c>
      <c r="L179" s="150">
        <f t="shared" si="18"/>
        <v>2</v>
      </c>
      <c r="M179" s="148"/>
      <c r="N179" s="148"/>
      <c r="O179" s="148"/>
      <c r="P179" s="148"/>
      <c r="Q179" s="148"/>
      <c r="R179" s="148"/>
      <c r="S179" s="148"/>
      <c r="T179" s="148"/>
      <c r="U179" s="148"/>
      <c r="V179" s="148"/>
      <c r="AA179" s="3"/>
      <c r="AB179" s="147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160</v>
      </c>
      <c r="D180" s="12" t="s">
        <v>22</v>
      </c>
      <c r="E180" s="17" t="s">
        <v>45</v>
      </c>
      <c r="F180" s="13">
        <v>0.0</v>
      </c>
      <c r="G180" s="31" t="s">
        <v>24</v>
      </c>
      <c r="H180" s="13">
        <v>2.0</v>
      </c>
      <c r="I180" s="17" t="s">
        <v>114</v>
      </c>
      <c r="J180" s="148"/>
      <c r="K180" s="149">
        <f t="shared" si="17"/>
        <v>0</v>
      </c>
      <c r="L180" s="150">
        <f t="shared" si="18"/>
        <v>3</v>
      </c>
      <c r="M180" s="148"/>
      <c r="N180" s="148"/>
      <c r="O180" s="148"/>
      <c r="P180" s="148"/>
      <c r="Q180" s="148"/>
      <c r="R180" s="148"/>
      <c r="S180" s="148"/>
      <c r="T180" s="148"/>
      <c r="U180" s="148"/>
      <c r="V180" s="148"/>
      <c r="AA180" s="3"/>
      <c r="AB180" s="147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169</v>
      </c>
      <c r="D181" s="12" t="s">
        <v>22</v>
      </c>
      <c r="E181" s="17" t="s">
        <v>127</v>
      </c>
      <c r="F181" s="13">
        <v>2.0</v>
      </c>
      <c r="G181" s="31" t="s">
        <v>24</v>
      </c>
      <c r="H181" s="13">
        <v>1.0</v>
      </c>
      <c r="I181" s="17" t="s">
        <v>68</v>
      </c>
      <c r="J181" s="148"/>
      <c r="K181" s="149">
        <f t="shared" si="17"/>
        <v>2</v>
      </c>
      <c r="L181" s="150">
        <f t="shared" si="18"/>
        <v>1</v>
      </c>
      <c r="M181" s="148"/>
      <c r="N181" s="148"/>
      <c r="O181" s="148"/>
      <c r="P181" s="148"/>
      <c r="Q181" s="148"/>
      <c r="R181" s="148"/>
      <c r="S181" s="148"/>
      <c r="T181" s="148"/>
      <c r="U181" s="148"/>
      <c r="V181" s="148"/>
      <c r="AA181" s="3"/>
      <c r="AB181" s="147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5">
        <v>7.0</v>
      </c>
      <c r="B182" s="11">
        <v>46082.0</v>
      </c>
      <c r="C182" s="12" t="s">
        <v>160</v>
      </c>
      <c r="D182" s="12" t="s">
        <v>22</v>
      </c>
      <c r="E182" s="17" t="s">
        <v>107</v>
      </c>
      <c r="F182" s="13">
        <v>2.0</v>
      </c>
      <c r="G182" s="31" t="s">
        <v>24</v>
      </c>
      <c r="H182" s="13">
        <v>0.0</v>
      </c>
      <c r="I182" s="17" t="s">
        <v>65</v>
      </c>
      <c r="J182" s="148"/>
      <c r="K182" s="149">
        <f t="shared" si="17"/>
        <v>3</v>
      </c>
      <c r="L182" s="150">
        <f t="shared" si="18"/>
        <v>0</v>
      </c>
      <c r="M182" s="148"/>
      <c r="N182" s="148"/>
      <c r="O182" s="148"/>
      <c r="P182" s="148"/>
      <c r="Q182" s="148"/>
      <c r="R182" s="148"/>
      <c r="S182" s="148"/>
      <c r="T182" s="148"/>
      <c r="U182" s="148"/>
      <c r="V182" s="148"/>
      <c r="AA182" s="3"/>
      <c r="AB182" s="147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6" t="s">
        <v>155</v>
      </c>
      <c r="D183" s="12" t="s">
        <v>22</v>
      </c>
      <c r="E183" s="17" t="s">
        <v>226</v>
      </c>
      <c r="F183" s="13">
        <v>0.0</v>
      </c>
      <c r="G183" s="31" t="s">
        <v>24</v>
      </c>
      <c r="H183" s="13">
        <v>2.0</v>
      </c>
      <c r="I183" s="17" t="s">
        <v>64</v>
      </c>
      <c r="J183" s="148"/>
      <c r="K183" s="149">
        <f t="shared" si="17"/>
        <v>0</v>
      </c>
      <c r="L183" s="150">
        <f t="shared" si="18"/>
        <v>3</v>
      </c>
      <c r="M183" s="148"/>
      <c r="N183" s="148"/>
      <c r="O183" s="148"/>
      <c r="P183" s="148"/>
      <c r="Q183" s="148"/>
      <c r="R183" s="148"/>
      <c r="S183" s="148"/>
      <c r="T183" s="148"/>
      <c r="U183" s="148"/>
      <c r="V183" s="148"/>
      <c r="AA183" s="3"/>
      <c r="AB183" s="147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6" t="s">
        <v>155</v>
      </c>
      <c r="D184" s="12" t="s">
        <v>22</v>
      </c>
      <c r="E184" s="17" t="s">
        <v>225</v>
      </c>
      <c r="F184" s="13">
        <v>2.0</v>
      </c>
      <c r="G184" s="31" t="s">
        <v>24</v>
      </c>
      <c r="H184" s="13">
        <v>0.0</v>
      </c>
      <c r="I184" s="17" t="s">
        <v>60</v>
      </c>
      <c r="J184" s="148"/>
      <c r="K184" s="149">
        <f t="shared" si="17"/>
        <v>3</v>
      </c>
      <c r="L184" s="150">
        <f t="shared" si="18"/>
        <v>0</v>
      </c>
      <c r="M184" s="148"/>
      <c r="N184" s="148"/>
      <c r="O184" s="148"/>
      <c r="P184" s="148"/>
      <c r="Q184" s="148"/>
      <c r="R184" s="148"/>
      <c r="S184" s="148"/>
      <c r="T184" s="148"/>
      <c r="U184" s="148"/>
      <c r="V184" s="148"/>
      <c r="AA184" s="3"/>
      <c r="AB184" s="147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6" t="s">
        <v>155</v>
      </c>
      <c r="D185" s="12" t="s">
        <v>22</v>
      </c>
      <c r="E185" s="17" t="s">
        <v>31</v>
      </c>
      <c r="F185" s="13">
        <v>0.0</v>
      </c>
      <c r="G185" s="31" t="s">
        <v>24</v>
      </c>
      <c r="H185" s="13">
        <v>2.0</v>
      </c>
      <c r="I185" s="17" t="s">
        <v>45</v>
      </c>
      <c r="J185" s="148"/>
      <c r="K185" s="149">
        <f t="shared" si="17"/>
        <v>0</v>
      </c>
      <c r="L185" s="150">
        <f t="shared" si="18"/>
        <v>3</v>
      </c>
      <c r="M185" s="148"/>
      <c r="N185" s="148"/>
      <c r="O185" s="148"/>
      <c r="P185" s="148"/>
      <c r="Q185" s="148"/>
      <c r="R185" s="148"/>
      <c r="S185" s="148"/>
      <c r="T185" s="148"/>
      <c r="U185" s="148"/>
      <c r="V185" s="148"/>
      <c r="AA185" s="3"/>
      <c r="AB185" s="147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6" t="s">
        <v>158</v>
      </c>
      <c r="D186" s="12" t="s">
        <v>22</v>
      </c>
      <c r="E186" s="17" t="s">
        <v>114</v>
      </c>
      <c r="F186" s="13">
        <v>2.0</v>
      </c>
      <c r="G186" s="31" t="s">
        <v>24</v>
      </c>
      <c r="H186" s="13">
        <v>0.0</v>
      </c>
      <c r="I186" s="17" t="s">
        <v>127</v>
      </c>
      <c r="J186" s="148"/>
      <c r="K186" s="149">
        <f t="shared" si="17"/>
        <v>3</v>
      </c>
      <c r="L186" s="150">
        <f t="shared" si="18"/>
        <v>0</v>
      </c>
      <c r="M186" s="148"/>
      <c r="N186" s="148"/>
      <c r="O186" s="148"/>
      <c r="P186" s="148"/>
      <c r="Q186" s="148"/>
      <c r="R186" s="148"/>
      <c r="S186" s="148"/>
      <c r="T186" s="148"/>
      <c r="U186" s="148"/>
      <c r="V186" s="148"/>
      <c r="AA186" s="3"/>
      <c r="AB186" s="147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62"/>
      <c r="C187" s="164"/>
      <c r="D187" s="164"/>
      <c r="E187" s="17">
        <v>0.0</v>
      </c>
      <c r="F187" s="31"/>
      <c r="G187" s="31" t="s">
        <v>24</v>
      </c>
      <c r="H187" s="31"/>
      <c r="I187" s="17" t="s">
        <v>68</v>
      </c>
      <c r="J187" s="148"/>
      <c r="K187" s="149" t="str">
        <f t="shared" si="17"/>
        <v/>
      </c>
      <c r="L187" s="150" t="str">
        <f t="shared" si="18"/>
        <v/>
      </c>
      <c r="M187" s="148"/>
      <c r="N187" s="148"/>
      <c r="O187" s="148"/>
      <c r="P187" s="148"/>
      <c r="Q187" s="148"/>
      <c r="R187" s="148"/>
      <c r="S187" s="148"/>
      <c r="T187" s="148"/>
      <c r="U187" s="148"/>
      <c r="V187" s="148"/>
      <c r="AA187" s="3"/>
      <c r="AB187" s="147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5">
        <v>8.0</v>
      </c>
      <c r="B188" s="11"/>
      <c r="C188" s="12"/>
      <c r="D188" s="12"/>
      <c r="E188" s="17" t="s">
        <v>65</v>
      </c>
      <c r="F188" s="31"/>
      <c r="G188" s="31" t="s">
        <v>24</v>
      </c>
      <c r="H188" s="31"/>
      <c r="I188" s="17">
        <v>0.0</v>
      </c>
      <c r="J188" s="148"/>
      <c r="K188" s="149" t="str">
        <f t="shared" si="17"/>
        <v/>
      </c>
      <c r="L188" s="150" t="str">
        <f t="shared" si="18"/>
        <v/>
      </c>
      <c r="M188" s="148"/>
      <c r="N188" s="148"/>
      <c r="O188" s="148"/>
      <c r="P188" s="148"/>
      <c r="Q188" s="148"/>
      <c r="R188" s="148"/>
      <c r="S188" s="148"/>
      <c r="T188" s="148"/>
      <c r="U188" s="148"/>
      <c r="V188" s="148"/>
      <c r="AA188" s="3"/>
      <c r="AB188" s="147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6" t="s">
        <v>158</v>
      </c>
      <c r="D189" s="12" t="s">
        <v>22</v>
      </c>
      <c r="E189" s="17" t="s">
        <v>64</v>
      </c>
      <c r="F189" s="13">
        <v>0.0</v>
      </c>
      <c r="G189" s="31" t="s">
        <v>24</v>
      </c>
      <c r="H189" s="13">
        <v>2.0</v>
      </c>
      <c r="I189" s="17" t="s">
        <v>107</v>
      </c>
      <c r="J189" s="148"/>
      <c r="K189" s="149">
        <f t="shared" si="17"/>
        <v>0</v>
      </c>
      <c r="L189" s="150">
        <f t="shared" si="18"/>
        <v>3</v>
      </c>
      <c r="M189" s="148"/>
      <c r="N189" s="148"/>
      <c r="O189" s="148"/>
      <c r="P189" s="148"/>
      <c r="Q189" s="148"/>
      <c r="R189" s="148"/>
      <c r="S189" s="148"/>
      <c r="T189" s="148"/>
      <c r="U189" s="148"/>
      <c r="V189" s="148"/>
      <c r="AA189" s="3"/>
      <c r="AB189" s="147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6" t="s">
        <v>158</v>
      </c>
      <c r="D190" s="12" t="s">
        <v>22</v>
      </c>
      <c r="E190" s="17" t="s">
        <v>60</v>
      </c>
      <c r="F190" s="13">
        <v>0.0</v>
      </c>
      <c r="G190" s="31" t="s">
        <v>24</v>
      </c>
      <c r="H190" s="13">
        <v>2.0</v>
      </c>
      <c r="I190" s="17" t="s">
        <v>226</v>
      </c>
      <c r="J190" s="148"/>
      <c r="K190" s="149">
        <f t="shared" si="17"/>
        <v>0</v>
      </c>
      <c r="L190" s="150">
        <f t="shared" si="18"/>
        <v>3</v>
      </c>
      <c r="M190" s="148"/>
      <c r="N190" s="148"/>
      <c r="O190" s="148"/>
      <c r="P190" s="148"/>
      <c r="Q190" s="148"/>
      <c r="R190" s="148"/>
      <c r="S190" s="148"/>
      <c r="T190" s="148"/>
      <c r="U190" s="148"/>
      <c r="V190" s="148"/>
      <c r="AA190" s="3"/>
      <c r="AB190" s="147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49</v>
      </c>
      <c r="D191" s="12" t="s">
        <v>22</v>
      </c>
      <c r="E191" s="17" t="s">
        <v>45</v>
      </c>
      <c r="F191" s="13">
        <v>1.0</v>
      </c>
      <c r="G191" s="31" t="s">
        <v>24</v>
      </c>
      <c r="H191" s="13">
        <v>2.0</v>
      </c>
      <c r="I191" s="17" t="s">
        <v>225</v>
      </c>
      <c r="J191" s="148"/>
      <c r="K191" s="149">
        <f t="shared" si="17"/>
        <v>1</v>
      </c>
      <c r="L191" s="150">
        <f t="shared" si="18"/>
        <v>2</v>
      </c>
      <c r="M191" s="148"/>
      <c r="N191" s="148"/>
      <c r="O191" s="148"/>
      <c r="P191" s="148"/>
      <c r="Q191" s="148"/>
      <c r="R191" s="148"/>
      <c r="S191" s="148"/>
      <c r="T191" s="148"/>
      <c r="U191" s="148"/>
      <c r="V191" s="148"/>
      <c r="AA191" s="3"/>
      <c r="AB191" s="147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49</v>
      </c>
      <c r="D192" s="12" t="s">
        <v>22</v>
      </c>
      <c r="E192" s="17" t="s">
        <v>127</v>
      </c>
      <c r="F192" s="13">
        <v>1.0</v>
      </c>
      <c r="G192" s="31" t="s">
        <v>24</v>
      </c>
      <c r="H192" s="13">
        <v>2.0</v>
      </c>
      <c r="I192" s="17" t="s">
        <v>31</v>
      </c>
      <c r="J192" s="148"/>
      <c r="K192" s="149">
        <f t="shared" si="17"/>
        <v>1</v>
      </c>
      <c r="L192" s="150">
        <f t="shared" si="18"/>
        <v>2</v>
      </c>
      <c r="M192" s="148"/>
      <c r="N192" s="148"/>
      <c r="O192" s="148"/>
      <c r="P192" s="148"/>
      <c r="Q192" s="148"/>
      <c r="R192" s="148"/>
      <c r="S192" s="148"/>
      <c r="T192" s="148"/>
      <c r="U192" s="148"/>
      <c r="V192" s="148"/>
      <c r="AA192" s="3"/>
      <c r="AB192" s="147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49</v>
      </c>
      <c r="D193" s="12" t="s">
        <v>22</v>
      </c>
      <c r="E193" s="17" t="s">
        <v>68</v>
      </c>
      <c r="F193" s="13">
        <v>0.0</v>
      </c>
      <c r="G193" s="31" t="s">
        <v>24</v>
      </c>
      <c r="H193" s="13">
        <v>2.0</v>
      </c>
      <c r="I193" s="17" t="s">
        <v>114</v>
      </c>
      <c r="J193" s="148"/>
      <c r="K193" s="149">
        <f t="shared" si="17"/>
        <v>0</v>
      </c>
      <c r="L193" s="150">
        <f t="shared" si="18"/>
        <v>3</v>
      </c>
      <c r="M193" s="148"/>
      <c r="N193" s="148"/>
      <c r="O193" s="148"/>
      <c r="P193" s="148"/>
      <c r="Q193" s="148"/>
      <c r="R193" s="148"/>
      <c r="S193" s="148"/>
      <c r="T193" s="148"/>
      <c r="U193" s="148"/>
      <c r="V193" s="148"/>
      <c r="AA193" s="3"/>
      <c r="AB193" s="147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5">
        <v>9.0</v>
      </c>
      <c r="B194" s="11">
        <v>46099.0</v>
      </c>
      <c r="C194" s="12" t="s">
        <v>21</v>
      </c>
      <c r="D194" s="12" t="s">
        <v>22</v>
      </c>
      <c r="E194" s="17" t="s">
        <v>65</v>
      </c>
      <c r="F194" s="13">
        <v>1.0</v>
      </c>
      <c r="G194" s="31" t="s">
        <v>24</v>
      </c>
      <c r="H194" s="13">
        <v>2.0</v>
      </c>
      <c r="I194" s="17" t="s">
        <v>64</v>
      </c>
      <c r="J194" s="148"/>
      <c r="K194" s="149">
        <f t="shared" si="17"/>
        <v>1</v>
      </c>
      <c r="L194" s="150">
        <f t="shared" si="18"/>
        <v>2</v>
      </c>
      <c r="M194" s="148"/>
      <c r="N194" s="148"/>
      <c r="O194" s="148"/>
      <c r="P194" s="148"/>
      <c r="Q194" s="148"/>
      <c r="R194" s="148"/>
      <c r="S194" s="148"/>
      <c r="T194" s="148"/>
      <c r="U194" s="148"/>
      <c r="V194" s="148"/>
      <c r="AA194" s="3"/>
      <c r="AB194" s="147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21</v>
      </c>
      <c r="D195" s="12" t="s">
        <v>22</v>
      </c>
      <c r="E195" s="17" t="s">
        <v>107</v>
      </c>
      <c r="F195" s="13">
        <v>2.0</v>
      </c>
      <c r="G195" s="31" t="s">
        <v>24</v>
      </c>
      <c r="H195" s="13">
        <v>0.0</v>
      </c>
      <c r="I195" s="17" t="s">
        <v>60</v>
      </c>
      <c r="J195" s="148"/>
      <c r="K195" s="149">
        <f t="shared" si="17"/>
        <v>3</v>
      </c>
      <c r="L195" s="150">
        <f t="shared" si="18"/>
        <v>0</v>
      </c>
      <c r="M195" s="148"/>
      <c r="N195" s="148"/>
      <c r="O195" s="148"/>
      <c r="P195" s="148"/>
      <c r="Q195" s="148"/>
      <c r="R195" s="148"/>
      <c r="S195" s="148"/>
      <c r="T195" s="148"/>
      <c r="U195" s="148"/>
      <c r="V195" s="148"/>
      <c r="AA195" s="3"/>
      <c r="AB195" s="147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21</v>
      </c>
      <c r="D196" s="12" t="s">
        <v>22</v>
      </c>
      <c r="E196" s="17" t="s">
        <v>226</v>
      </c>
      <c r="F196" s="13">
        <v>1.0</v>
      </c>
      <c r="G196" s="31" t="s">
        <v>24</v>
      </c>
      <c r="H196" s="13">
        <v>2.0</v>
      </c>
      <c r="I196" s="17" t="s">
        <v>45</v>
      </c>
      <c r="J196" s="148"/>
      <c r="K196" s="149">
        <f t="shared" si="17"/>
        <v>1</v>
      </c>
      <c r="L196" s="150">
        <f t="shared" si="18"/>
        <v>2</v>
      </c>
      <c r="M196" s="148"/>
      <c r="N196" s="148"/>
      <c r="O196" s="148"/>
      <c r="P196" s="148"/>
      <c r="Q196" s="148"/>
      <c r="R196" s="148"/>
      <c r="S196" s="148"/>
      <c r="T196" s="148"/>
      <c r="U196" s="148"/>
      <c r="V196" s="148"/>
      <c r="AA196" s="3"/>
      <c r="AB196" s="147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1">
        <v>46134.0</v>
      </c>
      <c r="C197" s="12" t="s">
        <v>49</v>
      </c>
      <c r="D197" s="12" t="s">
        <v>22</v>
      </c>
      <c r="E197" s="17" t="s">
        <v>225</v>
      </c>
      <c r="F197" s="13">
        <v>2.0</v>
      </c>
      <c r="G197" s="31" t="s">
        <v>24</v>
      </c>
      <c r="H197" s="13">
        <v>0.0</v>
      </c>
      <c r="I197" s="17" t="s">
        <v>127</v>
      </c>
      <c r="J197" s="148"/>
      <c r="K197" s="149">
        <f t="shared" si="17"/>
        <v>3</v>
      </c>
      <c r="L197" s="150">
        <f t="shared" si="18"/>
        <v>0</v>
      </c>
      <c r="M197" s="148"/>
      <c r="N197" s="148"/>
      <c r="O197" s="148"/>
      <c r="P197" s="148"/>
      <c r="Q197" s="148"/>
      <c r="R197" s="148"/>
      <c r="S197" s="148"/>
      <c r="T197" s="148"/>
      <c r="U197" s="148"/>
      <c r="V197" s="148"/>
      <c r="AA197" s="3"/>
      <c r="AB197" s="147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1">
        <v>46135.0</v>
      </c>
      <c r="C198" s="12" t="s">
        <v>21</v>
      </c>
      <c r="D198" s="12" t="s">
        <v>22</v>
      </c>
      <c r="E198" s="17" t="s">
        <v>31</v>
      </c>
      <c r="F198" s="13">
        <v>2.0</v>
      </c>
      <c r="G198" s="31" t="s">
        <v>24</v>
      </c>
      <c r="H198" s="13">
        <v>0.0</v>
      </c>
      <c r="I198" s="17" t="s">
        <v>68</v>
      </c>
      <c r="J198" s="148"/>
      <c r="K198" s="149">
        <f t="shared" si="17"/>
        <v>3</v>
      </c>
      <c r="L198" s="150">
        <f t="shared" si="18"/>
        <v>0</v>
      </c>
      <c r="M198" s="148"/>
      <c r="N198" s="148"/>
      <c r="O198" s="148"/>
      <c r="P198" s="148"/>
      <c r="Q198" s="148"/>
      <c r="R198" s="148"/>
      <c r="S198" s="148"/>
      <c r="T198" s="148"/>
      <c r="U198" s="148"/>
      <c r="V198" s="148"/>
      <c r="AA198" s="3"/>
      <c r="AB198" s="147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62"/>
      <c r="C199" s="164"/>
      <c r="D199" s="164"/>
      <c r="E199" s="17">
        <v>0.0</v>
      </c>
      <c r="F199" s="31"/>
      <c r="G199" s="31" t="s">
        <v>24</v>
      </c>
      <c r="H199" s="31"/>
      <c r="I199" s="17" t="s">
        <v>114</v>
      </c>
      <c r="J199" s="148"/>
      <c r="K199" s="149" t="str">
        <f t="shared" si="17"/>
        <v/>
      </c>
      <c r="L199" s="150" t="str">
        <f t="shared" si="18"/>
        <v/>
      </c>
      <c r="M199" s="148"/>
      <c r="N199" s="148"/>
      <c r="O199" s="148"/>
      <c r="P199" s="148"/>
      <c r="Q199" s="148"/>
      <c r="R199" s="148"/>
      <c r="S199" s="148"/>
      <c r="T199" s="148"/>
      <c r="U199" s="148"/>
      <c r="V199" s="148"/>
      <c r="AA199" s="3"/>
      <c r="AB199" s="147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5">
        <v>10.0</v>
      </c>
      <c r="B200" s="162"/>
      <c r="C200" s="163"/>
      <c r="D200" s="164"/>
      <c r="E200" s="17">
        <v>0.0</v>
      </c>
      <c r="F200" s="31"/>
      <c r="G200" s="31" t="s">
        <v>24</v>
      </c>
      <c r="H200" s="31"/>
      <c r="I200" s="17" t="s">
        <v>64</v>
      </c>
      <c r="J200" s="148"/>
      <c r="K200" s="149" t="str">
        <f t="shared" si="17"/>
        <v/>
      </c>
      <c r="L200" s="150" t="str">
        <f t="shared" si="18"/>
        <v/>
      </c>
      <c r="M200" s="148"/>
      <c r="N200" s="148"/>
      <c r="O200" s="148"/>
      <c r="P200" s="148"/>
      <c r="Q200" s="148"/>
      <c r="R200" s="148"/>
      <c r="S200" s="148"/>
      <c r="T200" s="148"/>
      <c r="U200" s="148"/>
      <c r="V200" s="148"/>
      <c r="AA200" s="3"/>
      <c r="AB200" s="147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1">
        <v>46135.0</v>
      </c>
      <c r="C201" s="12" t="s">
        <v>49</v>
      </c>
      <c r="D201" s="12" t="s">
        <v>22</v>
      </c>
      <c r="E201" s="17" t="s">
        <v>60</v>
      </c>
      <c r="F201" s="13">
        <v>1.0</v>
      </c>
      <c r="G201" s="31" t="s">
        <v>24</v>
      </c>
      <c r="H201" s="13">
        <v>2.0</v>
      </c>
      <c r="I201" s="17" t="s">
        <v>65</v>
      </c>
      <c r="J201" s="148"/>
      <c r="K201" s="149">
        <f t="shared" si="17"/>
        <v>1</v>
      </c>
      <c r="L201" s="150">
        <f t="shared" si="18"/>
        <v>2</v>
      </c>
      <c r="M201" s="148"/>
      <c r="N201" s="148"/>
      <c r="O201" s="148"/>
      <c r="P201" s="148"/>
      <c r="Q201" s="148"/>
      <c r="R201" s="148"/>
      <c r="S201" s="148"/>
      <c r="T201" s="148"/>
      <c r="U201" s="148"/>
      <c r="V201" s="148"/>
      <c r="AA201" s="3"/>
      <c r="AB201" s="147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1">
        <v>46132.0</v>
      </c>
      <c r="C202" s="12" t="s">
        <v>49</v>
      </c>
      <c r="D202" s="12" t="s">
        <v>22</v>
      </c>
      <c r="E202" s="17" t="s">
        <v>45</v>
      </c>
      <c r="F202" s="13">
        <v>0.0</v>
      </c>
      <c r="G202" s="31" t="s">
        <v>24</v>
      </c>
      <c r="H202" s="13">
        <v>2.0</v>
      </c>
      <c r="I202" s="17" t="s">
        <v>107</v>
      </c>
      <c r="J202" s="148"/>
      <c r="K202" s="149">
        <f t="shared" si="17"/>
        <v>0</v>
      </c>
      <c r="L202" s="150">
        <f t="shared" si="18"/>
        <v>3</v>
      </c>
      <c r="M202" s="148"/>
      <c r="N202" s="148"/>
      <c r="O202" s="148"/>
      <c r="P202" s="148"/>
      <c r="Q202" s="148"/>
      <c r="R202" s="148"/>
      <c r="S202" s="148"/>
      <c r="T202" s="148"/>
      <c r="U202" s="148"/>
      <c r="V202" s="148"/>
      <c r="AA202" s="3"/>
      <c r="AB202" s="147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1">
        <v>46135.0</v>
      </c>
      <c r="C203" s="12" t="s">
        <v>21</v>
      </c>
      <c r="D203" s="12" t="s">
        <v>22</v>
      </c>
      <c r="E203" s="17" t="s">
        <v>127</v>
      </c>
      <c r="F203" s="13">
        <v>2.0</v>
      </c>
      <c r="G203" s="31" t="s">
        <v>24</v>
      </c>
      <c r="H203" s="13">
        <v>0.0</v>
      </c>
      <c r="I203" s="17" t="s">
        <v>226</v>
      </c>
      <c r="J203" s="148"/>
      <c r="K203" s="149">
        <f t="shared" si="17"/>
        <v>3</v>
      </c>
      <c r="L203" s="150">
        <f t="shared" si="18"/>
        <v>0</v>
      </c>
      <c r="M203" s="148"/>
      <c r="N203" s="148"/>
      <c r="O203" s="148"/>
      <c r="P203" s="148"/>
      <c r="Q203" s="148"/>
      <c r="R203" s="148"/>
      <c r="S203" s="148"/>
      <c r="T203" s="148"/>
      <c r="U203" s="148"/>
      <c r="V203" s="148"/>
      <c r="AA203" s="3"/>
      <c r="AB203" s="147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1">
        <v>46135.0</v>
      </c>
      <c r="C204" s="12" t="s">
        <v>21</v>
      </c>
      <c r="D204" s="12" t="s">
        <v>22</v>
      </c>
      <c r="E204" s="17" t="s">
        <v>68</v>
      </c>
      <c r="F204" s="13">
        <v>1.0</v>
      </c>
      <c r="G204" s="31" t="s">
        <v>24</v>
      </c>
      <c r="H204" s="13">
        <v>2.0</v>
      </c>
      <c r="I204" s="17" t="s">
        <v>225</v>
      </c>
      <c r="J204" s="148"/>
      <c r="K204" s="149">
        <f t="shared" si="17"/>
        <v>1</v>
      </c>
      <c r="L204" s="150">
        <f t="shared" si="18"/>
        <v>2</v>
      </c>
      <c r="M204" s="148"/>
      <c r="N204" s="148"/>
      <c r="O204" s="148"/>
      <c r="P204" s="148"/>
      <c r="Q204" s="148"/>
      <c r="R204" s="148"/>
      <c r="S204" s="148"/>
      <c r="T204" s="148"/>
      <c r="U204" s="148"/>
      <c r="V204" s="148"/>
      <c r="AA204" s="3"/>
      <c r="AB204" s="147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1">
        <v>46134.0</v>
      </c>
      <c r="C205" s="12" t="s">
        <v>49</v>
      </c>
      <c r="D205" s="12" t="s">
        <v>22</v>
      </c>
      <c r="E205" s="17" t="s">
        <v>114</v>
      </c>
      <c r="F205" s="13">
        <v>2.0</v>
      </c>
      <c r="G205" s="31" t="s">
        <v>24</v>
      </c>
      <c r="H205" s="13">
        <v>0.0</v>
      </c>
      <c r="I205" s="17" t="s">
        <v>31</v>
      </c>
      <c r="J205" s="148"/>
      <c r="K205" s="149">
        <f t="shared" si="17"/>
        <v>3</v>
      </c>
      <c r="L205" s="150">
        <f t="shared" si="18"/>
        <v>0</v>
      </c>
      <c r="M205" s="148"/>
      <c r="N205" s="148"/>
      <c r="O205" s="148"/>
      <c r="P205" s="148"/>
      <c r="Q205" s="148"/>
      <c r="R205" s="148"/>
      <c r="S205" s="148"/>
      <c r="T205" s="148"/>
      <c r="U205" s="148"/>
      <c r="V205" s="148"/>
      <c r="AA205" s="3"/>
      <c r="AB205" s="147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5">
        <v>11.0</v>
      </c>
      <c r="B206" s="11">
        <v>46135.0</v>
      </c>
      <c r="C206" s="12" t="s">
        <v>30</v>
      </c>
      <c r="D206" s="12" t="s">
        <v>22</v>
      </c>
      <c r="E206" s="17" t="s">
        <v>64</v>
      </c>
      <c r="F206" s="13">
        <v>2.0</v>
      </c>
      <c r="G206" s="31" t="s">
        <v>24</v>
      </c>
      <c r="H206" s="13">
        <v>0.0</v>
      </c>
      <c r="I206" s="17" t="s">
        <v>60</v>
      </c>
      <c r="J206" s="148"/>
      <c r="K206" s="149">
        <f t="shared" si="17"/>
        <v>3</v>
      </c>
      <c r="L206" s="150">
        <f t="shared" si="18"/>
        <v>0</v>
      </c>
      <c r="M206" s="148"/>
      <c r="N206" s="148"/>
      <c r="O206" s="148"/>
      <c r="P206" s="148"/>
      <c r="Q206" s="148"/>
      <c r="R206" s="148"/>
      <c r="S206" s="148"/>
      <c r="T206" s="148"/>
      <c r="U206" s="148"/>
      <c r="V206" s="148"/>
      <c r="AA206" s="3"/>
      <c r="AB206" s="147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1">
        <v>46135.0</v>
      </c>
      <c r="C207" s="12" t="s">
        <v>30</v>
      </c>
      <c r="D207" s="12" t="s">
        <v>22</v>
      </c>
      <c r="E207" s="17" t="s">
        <v>65</v>
      </c>
      <c r="F207" s="13">
        <v>0.0</v>
      </c>
      <c r="G207" s="31" t="s">
        <v>24</v>
      </c>
      <c r="H207" s="13">
        <v>2.0</v>
      </c>
      <c r="I207" s="17" t="s">
        <v>45</v>
      </c>
      <c r="J207" s="148"/>
      <c r="K207" s="149">
        <f t="shared" si="17"/>
        <v>0</v>
      </c>
      <c r="L207" s="150">
        <f t="shared" si="18"/>
        <v>3</v>
      </c>
      <c r="M207" s="148"/>
      <c r="N207" s="148"/>
      <c r="O207" s="148"/>
      <c r="P207" s="148"/>
      <c r="Q207" s="148"/>
      <c r="R207" s="148"/>
      <c r="S207" s="148"/>
      <c r="T207" s="148"/>
      <c r="U207" s="148"/>
      <c r="V207" s="148"/>
      <c r="AA207" s="3"/>
      <c r="AB207" s="147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1">
        <v>46135.0</v>
      </c>
      <c r="C208" s="12" t="s">
        <v>35</v>
      </c>
      <c r="D208" s="12" t="s">
        <v>22</v>
      </c>
      <c r="E208" s="17" t="s">
        <v>107</v>
      </c>
      <c r="F208" s="13">
        <v>2.0</v>
      </c>
      <c r="G208" s="31" t="s">
        <v>24</v>
      </c>
      <c r="H208" s="13">
        <v>0.0</v>
      </c>
      <c r="I208" s="17" t="s">
        <v>127</v>
      </c>
      <c r="J208" s="148"/>
      <c r="K208" s="149">
        <f t="shared" si="17"/>
        <v>3</v>
      </c>
      <c r="L208" s="150">
        <f t="shared" si="18"/>
        <v>0</v>
      </c>
      <c r="M208" s="148"/>
      <c r="N208" s="148"/>
      <c r="O208" s="148"/>
      <c r="P208" s="148"/>
      <c r="Q208" s="148"/>
      <c r="R208" s="148"/>
      <c r="S208" s="148"/>
      <c r="T208" s="148"/>
      <c r="U208" s="148"/>
      <c r="V208" s="148"/>
      <c r="AA208" s="3"/>
      <c r="AB208" s="147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1">
        <v>46135.0</v>
      </c>
      <c r="C209" s="12" t="s">
        <v>35</v>
      </c>
      <c r="D209" s="12" t="s">
        <v>22</v>
      </c>
      <c r="E209" s="17" t="s">
        <v>226</v>
      </c>
      <c r="F209" s="13">
        <v>2.0</v>
      </c>
      <c r="G209" s="31" t="s">
        <v>24</v>
      </c>
      <c r="H209" s="13">
        <v>0.0</v>
      </c>
      <c r="I209" s="17" t="s">
        <v>68</v>
      </c>
      <c r="J209" s="148"/>
      <c r="K209" s="149">
        <f t="shared" si="17"/>
        <v>3</v>
      </c>
      <c r="L209" s="150">
        <f t="shared" si="18"/>
        <v>0</v>
      </c>
      <c r="M209" s="148"/>
      <c r="N209" s="148"/>
      <c r="O209" s="148"/>
      <c r="P209" s="148"/>
      <c r="Q209" s="148"/>
      <c r="R209" s="148"/>
      <c r="S209" s="148"/>
      <c r="T209" s="148"/>
      <c r="U209" s="148"/>
      <c r="V209" s="148"/>
      <c r="AA209" s="3"/>
      <c r="AB209" s="147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1">
        <v>46135.0</v>
      </c>
      <c r="C210" s="12" t="s">
        <v>35</v>
      </c>
      <c r="D210" s="12" t="s">
        <v>22</v>
      </c>
      <c r="E210" s="17" t="s">
        <v>225</v>
      </c>
      <c r="F210" s="13">
        <v>1.0</v>
      </c>
      <c r="G210" s="31" t="s">
        <v>24</v>
      </c>
      <c r="H210" s="13">
        <v>2.0</v>
      </c>
      <c r="I210" s="17" t="s">
        <v>114</v>
      </c>
      <c r="J210" s="148"/>
      <c r="K210" s="149">
        <f t="shared" si="17"/>
        <v>1</v>
      </c>
      <c r="L210" s="150">
        <f t="shared" si="18"/>
        <v>2</v>
      </c>
      <c r="M210" s="148"/>
      <c r="N210" s="148"/>
      <c r="O210" s="148"/>
      <c r="P210" s="148"/>
      <c r="Q210" s="148"/>
      <c r="R210" s="148"/>
      <c r="S210" s="148"/>
      <c r="T210" s="148"/>
      <c r="U210" s="148"/>
      <c r="V210" s="148"/>
      <c r="AA210" s="3"/>
      <c r="AB210" s="147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62"/>
      <c r="C211" s="164"/>
      <c r="D211" s="164"/>
      <c r="E211" s="17" t="s">
        <v>31</v>
      </c>
      <c r="F211" s="31"/>
      <c r="G211" s="31" t="s">
        <v>24</v>
      </c>
      <c r="H211" s="31"/>
      <c r="I211" s="17">
        <v>0.0</v>
      </c>
      <c r="J211" s="148"/>
      <c r="K211" s="149" t="str">
        <f t="shared" si="17"/>
        <v/>
      </c>
      <c r="L211" s="150" t="str">
        <f t="shared" si="18"/>
        <v/>
      </c>
      <c r="M211" s="148"/>
      <c r="N211" s="148"/>
      <c r="O211" s="148"/>
      <c r="P211" s="148"/>
      <c r="Q211" s="148"/>
      <c r="R211" s="148"/>
      <c r="S211" s="148"/>
      <c r="T211" s="148"/>
      <c r="U211" s="148"/>
      <c r="V211" s="148"/>
      <c r="AA211" s="3"/>
      <c r="AB211" s="147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72"/>
      <c r="E212" s="147"/>
      <c r="I212" s="147"/>
      <c r="AA212" s="3"/>
      <c r="AB212" s="147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72"/>
      <c r="E213" s="147"/>
      <c r="I213" s="147"/>
      <c r="AA213" s="3"/>
      <c r="AB213" s="147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72"/>
      <c r="E214" s="147"/>
      <c r="I214" s="147"/>
      <c r="AA214" s="3"/>
      <c r="AB214" s="147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72"/>
      <c r="E215" s="147"/>
      <c r="I215" s="147"/>
      <c r="AA215" s="3"/>
      <c r="AB215" s="147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7" t="s">
        <v>228</v>
      </c>
      <c r="H216" s="2"/>
      <c r="I216" s="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73" t="s">
        <v>204</v>
      </c>
      <c r="U217" s="173" t="s">
        <v>205</v>
      </c>
      <c r="V217" s="173" t="s">
        <v>206</v>
      </c>
      <c r="W217" s="63"/>
      <c r="X217" s="63"/>
      <c r="Y217" s="63"/>
      <c r="Z217" s="63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20" t="s">
        <v>204</v>
      </c>
      <c r="AH217" s="120" t="s">
        <v>205</v>
      </c>
      <c r="AI217" s="120" t="s">
        <v>206</v>
      </c>
      <c r="AJ217" s="3"/>
    </row>
    <row r="218" ht="15.75" customHeight="1">
      <c r="A218" s="102">
        <v>1.0</v>
      </c>
      <c r="B218" s="43"/>
      <c r="C218" s="12"/>
      <c r="D218" s="12"/>
      <c r="E218" s="44" t="s">
        <v>39</v>
      </c>
      <c r="F218" s="13"/>
      <c r="G218" s="16" t="s">
        <v>24</v>
      </c>
      <c r="H218" s="13"/>
      <c r="I218" s="44" t="s">
        <v>153</v>
      </c>
      <c r="J218" s="4"/>
      <c r="K218" s="149" t="str">
        <f t="shared" ref="K218:K220" si="25">IFS(F218=H218+2,3,F218=H218-2,0,F218=H218+1,2,F218=H218-1,1,F218="","")</f>
        <v/>
      </c>
      <c r="L218" s="150" t="str">
        <f t="shared" ref="L218:L220" si="26">IFS(H218=F218+2,3,H218=F218-2,0,H218=F218+1,2,H218=F218-1,1,H218="","")</f>
        <v/>
      </c>
      <c r="M218" s="4"/>
      <c r="N218" s="18">
        <v>1.0</v>
      </c>
      <c r="O218" s="77" t="s">
        <v>39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SUMIF(E$218:E$220,O218,H$218:H$220)+SUMIF(I$118:I$220,O218,F$218:F$220)</f>
        <v>0</v>
      </c>
      <c r="V218" s="18">
        <f t="shared" ref="V218:V220" si="32">T218-U218</f>
        <v>0</v>
      </c>
      <c r="W218" s="63"/>
      <c r="X218" s="63"/>
      <c r="Y218" s="63"/>
      <c r="Z218" s="63"/>
      <c r="AA218" s="103">
        <v>1.0</v>
      </c>
      <c r="AB218" s="70" t="str">
        <f t="array" ref="AB218:AI220">SORT(O218:V220,2,FALSE,8,FALSE)</f>
        <v>ECT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  <c r="AJ218" s="3"/>
    </row>
    <row r="219" ht="15.75" customHeight="1">
      <c r="A219" s="102">
        <v>2.0</v>
      </c>
      <c r="B219" s="43"/>
      <c r="C219" s="12"/>
      <c r="D219" s="12"/>
      <c r="E219" s="44" t="s">
        <v>153</v>
      </c>
      <c r="F219" s="13"/>
      <c r="G219" s="16" t="s">
        <v>24</v>
      </c>
      <c r="H219" s="13"/>
      <c r="I219" s="44" t="s">
        <v>114</v>
      </c>
      <c r="J219" s="4"/>
      <c r="K219" s="149" t="str">
        <f t="shared" si="25"/>
        <v/>
      </c>
      <c r="L219" s="150" t="str">
        <f t="shared" si="26"/>
        <v/>
      </c>
      <c r="M219" s="4"/>
      <c r="N219" s="18">
        <v>2.0</v>
      </c>
      <c r="O219" s="77" t="s">
        <v>229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3"/>
      <c r="X219" s="63"/>
      <c r="Y219" s="63"/>
      <c r="Z219" s="63"/>
      <c r="AA219" s="103">
        <v>2.0</v>
      </c>
      <c r="AB219" s="70" t="s">
        <v>229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  <c r="AJ219" s="3"/>
    </row>
    <row r="220" ht="15.75" customHeight="1">
      <c r="A220" s="102">
        <v>3.0</v>
      </c>
      <c r="B220" s="43"/>
      <c r="C220" s="12"/>
      <c r="D220" s="12"/>
      <c r="E220" s="44" t="s">
        <v>114</v>
      </c>
      <c r="F220" s="13"/>
      <c r="G220" s="16" t="s">
        <v>24</v>
      </c>
      <c r="H220" s="13"/>
      <c r="I220" s="44" t="s">
        <v>39</v>
      </c>
      <c r="J220" s="4"/>
      <c r="K220" s="149" t="str">
        <f t="shared" si="25"/>
        <v/>
      </c>
      <c r="L220" s="150" t="str">
        <f t="shared" si="26"/>
        <v/>
      </c>
      <c r="M220" s="4"/>
      <c r="N220" s="18">
        <v>3.0</v>
      </c>
      <c r="O220" s="77" t="s">
        <v>114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3"/>
      <c r="X220" s="63"/>
      <c r="Y220" s="63"/>
      <c r="Z220" s="63"/>
      <c r="AA220" s="22">
        <v>3.0</v>
      </c>
      <c r="AB220" s="70" t="s">
        <v>114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  <c r="AJ220" s="3"/>
    </row>
    <row r="221" ht="15.75" customHeight="1">
      <c r="A221" s="101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4"/>
      <c r="AD221" s="37"/>
      <c r="AF221" s="37"/>
      <c r="AJ221" s="3"/>
    </row>
    <row r="222" ht="15.75" customHeight="1">
      <c r="A222" s="101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F222" s="37"/>
      <c r="AJ222" s="3"/>
    </row>
    <row r="223" ht="15.75" customHeight="1">
      <c r="A223" s="101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F223" s="37"/>
      <c r="AJ223" s="3"/>
    </row>
    <row r="224" ht="15.75" customHeight="1">
      <c r="A224" s="101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F224" s="37"/>
      <c r="AJ224" s="3"/>
    </row>
    <row r="225" ht="15.75" customHeight="1">
      <c r="A225" s="57" t="s">
        <v>230</v>
      </c>
      <c r="H225" s="2"/>
      <c r="I225" s="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F225" s="37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F226" s="37"/>
      <c r="AJ226" s="3"/>
    </row>
    <row r="227" ht="15.75" customHeight="1">
      <c r="A227" s="58" t="s">
        <v>72</v>
      </c>
      <c r="B227" s="43">
        <v>46155.0</v>
      </c>
      <c r="C227" s="12" t="s">
        <v>160</v>
      </c>
      <c r="D227" s="12" t="s">
        <v>22</v>
      </c>
      <c r="E227" s="44" t="s">
        <v>36</v>
      </c>
      <c r="F227" s="31"/>
      <c r="G227" s="16" t="s">
        <v>24</v>
      </c>
      <c r="H227" s="31"/>
      <c r="I227" s="44" t="s">
        <v>107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F227" s="37"/>
      <c r="AJ227" s="3"/>
    </row>
    <row r="228" ht="15.75" customHeight="1">
      <c r="A228" s="25"/>
      <c r="B228" s="43">
        <v>46155.0</v>
      </c>
      <c r="C228" s="12" t="s">
        <v>160</v>
      </c>
      <c r="D228" s="12" t="s">
        <v>22</v>
      </c>
      <c r="E228" s="44" t="s">
        <v>43</v>
      </c>
      <c r="F228" s="31"/>
      <c r="G228" s="16" t="s">
        <v>24</v>
      </c>
      <c r="H228" s="31"/>
      <c r="I228" s="44" t="s">
        <v>231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F228" s="37"/>
      <c r="AJ228" s="3"/>
    </row>
    <row r="229" ht="15.75" customHeight="1">
      <c r="A229" s="25"/>
      <c r="B229" s="43">
        <v>46155.0</v>
      </c>
      <c r="C229" s="12" t="s">
        <v>53</v>
      </c>
      <c r="D229" s="12" t="s">
        <v>22</v>
      </c>
      <c r="E229" s="44" t="s">
        <v>33</v>
      </c>
      <c r="F229" s="31"/>
      <c r="G229" s="16" t="s">
        <v>24</v>
      </c>
      <c r="H229" s="31"/>
      <c r="I229" s="44" t="s">
        <v>93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3">
        <v>46155.0</v>
      </c>
      <c r="C230" s="12" t="s">
        <v>53</v>
      </c>
      <c r="D230" s="12" t="s">
        <v>22</v>
      </c>
      <c r="E230" s="44" t="s">
        <v>25</v>
      </c>
      <c r="F230" s="31"/>
      <c r="G230" s="16" t="s">
        <v>24</v>
      </c>
      <c r="H230" s="31"/>
      <c r="I230" s="44" t="s">
        <v>112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  <c r="AJ230" s="3"/>
    </row>
    <row r="231" ht="15.75" customHeight="1">
      <c r="A231" s="59" t="s">
        <v>73</v>
      </c>
      <c r="B231" s="43"/>
      <c r="C231" s="12"/>
      <c r="D231" s="12"/>
      <c r="E231" s="44" t="s">
        <v>74</v>
      </c>
      <c r="F231" s="31"/>
      <c r="G231" s="16" t="s">
        <v>24</v>
      </c>
      <c r="H231" s="31"/>
      <c r="I231" s="44" t="s">
        <v>75</v>
      </c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56"/>
      <c r="C232" s="31"/>
      <c r="D232" s="12"/>
      <c r="E232" s="51" t="s">
        <v>76</v>
      </c>
      <c r="F232" s="13"/>
      <c r="G232" s="16" t="s">
        <v>24</v>
      </c>
      <c r="H232" s="13"/>
      <c r="I232" s="44" t="s">
        <v>77</v>
      </c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  <c r="AJ232" s="3"/>
    </row>
    <row r="233" ht="15.75" customHeight="1">
      <c r="A233" s="60" t="s">
        <v>78</v>
      </c>
      <c r="B233" s="30"/>
      <c r="C233" s="31"/>
      <c r="D233" s="12"/>
      <c r="E233" s="44" t="s">
        <v>79</v>
      </c>
      <c r="F233" s="31"/>
      <c r="G233" s="16" t="s">
        <v>24</v>
      </c>
      <c r="H233" s="31"/>
      <c r="I233" s="61" t="s">
        <v>80</v>
      </c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  <c r="AJ233" s="3"/>
    </row>
    <row r="234" ht="15.75" customHeight="1">
      <c r="A234" s="60" t="s">
        <v>81</v>
      </c>
      <c r="B234" s="30"/>
      <c r="C234" s="31"/>
      <c r="D234" s="12"/>
      <c r="E234" s="44" t="s">
        <v>82</v>
      </c>
      <c r="F234" s="31"/>
      <c r="G234" s="16" t="s">
        <v>24</v>
      </c>
      <c r="H234" s="31"/>
      <c r="I234" s="44" t="s">
        <v>83</v>
      </c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  <c r="AJ234" s="3"/>
    </row>
    <row r="235" ht="15.75" customHeight="1">
      <c r="A235" s="172"/>
      <c r="E235" s="147"/>
      <c r="I235" s="147"/>
      <c r="AA235" s="3"/>
      <c r="AB235" s="147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72"/>
      <c r="E236" s="147"/>
      <c r="I236" s="147"/>
      <c r="AA236" s="3"/>
      <c r="AB236" s="147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72"/>
      <c r="E237" s="147"/>
      <c r="I237" s="147"/>
      <c r="AA237" s="3"/>
      <c r="AB237" s="147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72"/>
      <c r="E238" s="147"/>
      <c r="I238" s="147"/>
      <c r="AA238" s="3"/>
      <c r="AB238" s="147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72"/>
      <c r="E239" s="147"/>
      <c r="I239" s="147"/>
      <c r="AA239" s="3"/>
      <c r="AB239" s="147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72"/>
      <c r="E240" s="147"/>
      <c r="I240" s="147"/>
      <c r="AA240" s="3"/>
      <c r="AB240" s="147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72"/>
      <c r="E241" s="147"/>
      <c r="I241" s="147"/>
      <c r="AA241" s="3"/>
      <c r="AB241" s="147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72"/>
      <c r="E242" s="147"/>
      <c r="I242" s="147"/>
      <c r="AA242" s="3"/>
      <c r="AB242" s="147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72"/>
      <c r="E243" s="147"/>
      <c r="I243" s="147"/>
      <c r="AA243" s="3"/>
      <c r="AB243" s="147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72"/>
      <c r="E244" s="147"/>
      <c r="I244" s="147"/>
      <c r="AA244" s="3"/>
      <c r="AB244" s="147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72"/>
      <c r="E245" s="147"/>
      <c r="I245" s="147"/>
      <c r="AA245" s="3"/>
      <c r="AB245" s="147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72"/>
      <c r="E246" s="147"/>
      <c r="I246" s="147"/>
      <c r="AA246" s="3"/>
      <c r="AB246" s="147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72"/>
      <c r="E247" s="147"/>
      <c r="I247" s="147"/>
      <c r="AA247" s="3"/>
      <c r="AB247" s="147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72"/>
      <c r="E248" s="147"/>
      <c r="I248" s="147"/>
      <c r="AA248" s="3"/>
      <c r="AB248" s="147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72"/>
      <c r="E249" s="147"/>
      <c r="I249" s="147"/>
      <c r="AA249" s="3"/>
      <c r="AB249" s="147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72"/>
      <c r="E250" s="147"/>
      <c r="I250" s="147"/>
      <c r="AA250" s="3"/>
      <c r="AB250" s="147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72"/>
      <c r="E251" s="147"/>
      <c r="I251" s="147"/>
      <c r="AA251" s="3"/>
      <c r="AB251" s="147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72"/>
      <c r="E252" s="147"/>
      <c r="I252" s="147"/>
      <c r="AA252" s="3"/>
      <c r="AB252" s="147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72"/>
      <c r="E253" s="147"/>
      <c r="I253" s="147"/>
      <c r="AA253" s="3"/>
      <c r="AB253" s="147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72"/>
      <c r="E254" s="147"/>
      <c r="I254" s="147"/>
      <c r="AA254" s="3"/>
      <c r="AB254" s="147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72"/>
      <c r="E255" s="147"/>
      <c r="I255" s="147"/>
      <c r="AA255" s="3"/>
      <c r="AB255" s="147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72"/>
      <c r="E256" s="147"/>
      <c r="I256" s="147"/>
      <c r="AA256" s="3"/>
      <c r="AB256" s="147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72"/>
      <c r="E257" s="147"/>
      <c r="I257" s="147"/>
      <c r="AA257" s="3"/>
      <c r="AB257" s="147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72"/>
      <c r="E258" s="147"/>
      <c r="I258" s="147"/>
      <c r="AA258" s="3"/>
      <c r="AB258" s="147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72"/>
      <c r="E259" s="147"/>
      <c r="I259" s="147"/>
      <c r="AA259" s="3"/>
      <c r="AB259" s="147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72"/>
      <c r="E260" s="147"/>
      <c r="I260" s="147"/>
      <c r="AA260" s="3"/>
      <c r="AB260" s="147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72"/>
      <c r="E261" s="147"/>
      <c r="I261" s="147"/>
      <c r="AA261" s="3"/>
      <c r="AB261" s="147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72"/>
      <c r="E262" s="147"/>
      <c r="I262" s="147"/>
      <c r="AA262" s="3"/>
      <c r="AB262" s="147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72"/>
      <c r="E263" s="147"/>
      <c r="I263" s="147"/>
      <c r="AA263" s="3"/>
      <c r="AB263" s="147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72"/>
      <c r="E264" s="147"/>
      <c r="I264" s="147"/>
      <c r="AA264" s="3"/>
      <c r="AB264" s="147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72"/>
      <c r="E265" s="147"/>
      <c r="I265" s="147"/>
      <c r="AA265" s="3"/>
      <c r="AB265" s="147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72"/>
      <c r="E266" s="147"/>
      <c r="I266" s="147"/>
      <c r="AA266" s="3"/>
      <c r="AB266" s="147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72"/>
      <c r="E267" s="147"/>
      <c r="I267" s="147"/>
      <c r="AA267" s="3"/>
      <c r="AB267" s="147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72"/>
      <c r="E268" s="147"/>
      <c r="I268" s="147"/>
      <c r="AA268" s="3"/>
      <c r="AB268" s="147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72"/>
      <c r="E269" s="147"/>
      <c r="I269" s="147"/>
      <c r="AA269" s="3"/>
      <c r="AB269" s="147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72"/>
      <c r="E270" s="147"/>
      <c r="I270" s="147"/>
      <c r="AA270" s="3"/>
      <c r="AB270" s="147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72"/>
      <c r="E271" s="147"/>
      <c r="I271" s="147"/>
      <c r="AA271" s="3"/>
      <c r="AB271" s="147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72"/>
      <c r="E272" s="147"/>
      <c r="I272" s="147"/>
      <c r="AA272" s="3"/>
      <c r="AB272" s="147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72"/>
      <c r="E273" s="147"/>
      <c r="I273" s="147"/>
      <c r="AA273" s="3"/>
      <c r="AB273" s="147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72"/>
      <c r="E274" s="147"/>
      <c r="I274" s="147"/>
      <c r="AA274" s="3"/>
      <c r="AB274" s="147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72"/>
      <c r="E275" s="147"/>
      <c r="I275" s="147"/>
      <c r="AA275" s="3"/>
      <c r="AB275" s="147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72"/>
      <c r="E276" s="147"/>
      <c r="I276" s="147"/>
      <c r="AA276" s="3"/>
      <c r="AB276" s="147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72"/>
      <c r="E277" s="147"/>
      <c r="I277" s="147"/>
      <c r="AA277" s="3"/>
      <c r="AB277" s="147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72"/>
      <c r="E278" s="147"/>
      <c r="I278" s="147"/>
      <c r="AA278" s="3"/>
      <c r="AB278" s="147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72"/>
      <c r="E279" s="147"/>
      <c r="I279" s="147"/>
      <c r="AA279" s="3"/>
      <c r="AB279" s="147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72"/>
      <c r="E280" s="147"/>
      <c r="I280" s="147"/>
      <c r="AA280" s="3"/>
      <c r="AB280" s="147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72"/>
      <c r="E281" s="147"/>
      <c r="I281" s="147"/>
      <c r="AA281" s="3"/>
      <c r="AB281" s="147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72"/>
      <c r="E282" s="147"/>
      <c r="I282" s="147"/>
      <c r="AA282" s="3"/>
      <c r="AB282" s="147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72"/>
      <c r="E283" s="147"/>
      <c r="I283" s="147"/>
      <c r="AA283" s="3"/>
      <c r="AB283" s="147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72"/>
      <c r="E284" s="147"/>
      <c r="I284" s="147"/>
      <c r="AA284" s="3"/>
      <c r="AB284" s="147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72"/>
      <c r="E285" s="147"/>
      <c r="I285" s="147"/>
      <c r="AA285" s="3"/>
      <c r="AB285" s="147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72"/>
      <c r="E286" s="147"/>
      <c r="I286" s="147"/>
      <c r="AA286" s="3"/>
      <c r="AB286" s="147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72"/>
      <c r="E287" s="147"/>
      <c r="I287" s="147"/>
      <c r="AA287" s="3"/>
      <c r="AB287" s="147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72"/>
      <c r="E288" s="147"/>
      <c r="I288" s="147"/>
      <c r="AA288" s="3"/>
      <c r="AB288" s="147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72"/>
      <c r="E289" s="147"/>
      <c r="I289" s="147"/>
      <c r="AA289" s="3"/>
      <c r="AB289" s="147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72"/>
      <c r="E290" s="147"/>
      <c r="I290" s="147"/>
      <c r="AA290" s="3"/>
      <c r="AB290" s="147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72"/>
      <c r="E291" s="147"/>
      <c r="I291" s="147"/>
      <c r="AA291" s="3"/>
      <c r="AB291" s="147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72"/>
      <c r="E292" s="147"/>
      <c r="I292" s="147"/>
      <c r="AA292" s="3"/>
      <c r="AB292" s="147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72"/>
      <c r="E293" s="147"/>
      <c r="I293" s="147"/>
      <c r="AA293" s="3"/>
      <c r="AB293" s="147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72"/>
      <c r="E294" s="147"/>
      <c r="I294" s="147"/>
      <c r="AA294" s="3"/>
      <c r="AB294" s="147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72"/>
      <c r="E295" s="147"/>
      <c r="I295" s="147"/>
      <c r="AA295" s="3"/>
      <c r="AB295" s="147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72"/>
      <c r="E296" s="147"/>
      <c r="I296" s="147"/>
      <c r="AA296" s="3"/>
      <c r="AB296" s="147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72"/>
      <c r="E297" s="147"/>
      <c r="I297" s="147"/>
      <c r="AA297" s="3"/>
      <c r="AB297" s="147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72"/>
      <c r="E298" s="147"/>
      <c r="I298" s="147"/>
      <c r="AA298" s="3"/>
      <c r="AB298" s="147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72"/>
      <c r="E299" s="147"/>
      <c r="I299" s="147"/>
      <c r="AA299" s="3"/>
      <c r="AB299" s="147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72"/>
      <c r="E300" s="147"/>
      <c r="I300" s="147"/>
      <c r="AA300" s="3"/>
      <c r="AB300" s="147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72"/>
      <c r="E301" s="147"/>
      <c r="I301" s="147"/>
      <c r="AA301" s="3"/>
      <c r="AB301" s="147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72"/>
      <c r="E302" s="147"/>
      <c r="I302" s="147"/>
      <c r="AA302" s="3"/>
      <c r="AB302" s="147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72"/>
      <c r="E303" s="147"/>
      <c r="I303" s="147"/>
      <c r="AA303" s="3"/>
      <c r="AB303" s="147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72"/>
      <c r="E304" s="147"/>
      <c r="I304" s="147"/>
      <c r="AA304" s="3"/>
      <c r="AB304" s="147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72"/>
      <c r="E305" s="147"/>
      <c r="I305" s="147"/>
      <c r="AA305" s="3"/>
      <c r="AB305" s="147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72"/>
      <c r="E306" s="147"/>
      <c r="I306" s="147"/>
      <c r="AA306" s="3"/>
      <c r="AB306" s="147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72"/>
      <c r="E307" s="147"/>
      <c r="I307" s="147"/>
      <c r="AA307" s="3"/>
      <c r="AB307" s="147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72"/>
      <c r="E308" s="147"/>
      <c r="I308" s="147"/>
      <c r="AA308" s="3"/>
      <c r="AB308" s="147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72"/>
      <c r="E309" s="147"/>
      <c r="I309" s="147"/>
      <c r="AA309" s="3"/>
      <c r="AB309" s="147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72"/>
      <c r="E310" s="147"/>
      <c r="I310" s="147"/>
      <c r="AA310" s="3"/>
      <c r="AB310" s="147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72"/>
      <c r="E311" s="147"/>
      <c r="I311" s="147"/>
      <c r="AA311" s="3"/>
      <c r="AB311" s="147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72"/>
      <c r="E312" s="147"/>
      <c r="I312" s="147"/>
      <c r="AA312" s="3"/>
      <c r="AB312" s="147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72"/>
      <c r="E313" s="147"/>
      <c r="I313" s="147"/>
      <c r="AA313" s="3"/>
      <c r="AB313" s="147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72"/>
      <c r="E314" s="147"/>
      <c r="I314" s="147"/>
      <c r="AA314" s="3"/>
      <c r="AB314" s="147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72"/>
      <c r="E315" s="147"/>
      <c r="I315" s="147"/>
      <c r="AA315" s="3"/>
      <c r="AB315" s="147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72"/>
      <c r="E316" s="147"/>
      <c r="I316" s="147"/>
      <c r="AA316" s="3"/>
      <c r="AB316" s="147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72"/>
      <c r="E317" s="147"/>
      <c r="I317" s="147"/>
      <c r="AA317" s="3"/>
      <c r="AB317" s="147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72"/>
      <c r="E318" s="147"/>
      <c r="I318" s="147"/>
      <c r="AA318" s="3"/>
      <c r="AB318" s="147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72"/>
      <c r="E319" s="147"/>
      <c r="I319" s="147"/>
      <c r="AA319" s="3"/>
      <c r="AB319" s="147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72"/>
      <c r="E320" s="147"/>
      <c r="I320" s="147"/>
      <c r="AA320" s="3"/>
      <c r="AB320" s="147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72"/>
      <c r="E321" s="147"/>
      <c r="I321" s="147"/>
      <c r="AA321" s="3"/>
      <c r="AB321" s="147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72"/>
      <c r="E322" s="147"/>
      <c r="I322" s="147"/>
      <c r="AA322" s="3"/>
      <c r="AB322" s="147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72"/>
      <c r="E323" s="147"/>
      <c r="I323" s="147"/>
      <c r="AA323" s="3"/>
      <c r="AB323" s="147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72"/>
      <c r="E324" s="147"/>
      <c r="I324" s="147"/>
      <c r="AA324" s="3"/>
      <c r="AB324" s="147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72"/>
      <c r="E325" s="147"/>
      <c r="I325" s="147"/>
      <c r="AA325" s="3"/>
      <c r="AB325" s="147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72"/>
      <c r="E326" s="147"/>
      <c r="I326" s="147"/>
      <c r="AA326" s="3"/>
      <c r="AB326" s="147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72"/>
      <c r="E327" s="147"/>
      <c r="I327" s="147"/>
      <c r="AA327" s="3"/>
      <c r="AB327" s="147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72"/>
      <c r="E328" s="147"/>
      <c r="I328" s="147"/>
      <c r="AA328" s="3"/>
      <c r="AB328" s="147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72"/>
      <c r="E329" s="147"/>
      <c r="I329" s="147"/>
      <c r="AA329" s="3"/>
      <c r="AB329" s="147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72"/>
      <c r="E330" s="147"/>
      <c r="I330" s="147"/>
      <c r="AA330" s="3"/>
      <c r="AB330" s="147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72"/>
      <c r="E331" s="147"/>
      <c r="I331" s="147"/>
      <c r="AA331" s="3"/>
      <c r="AB331" s="147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72"/>
      <c r="E332" s="147"/>
      <c r="I332" s="147"/>
      <c r="AA332" s="3"/>
      <c r="AB332" s="147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72"/>
      <c r="E333" s="147"/>
      <c r="I333" s="147"/>
      <c r="AA333" s="3"/>
      <c r="AB333" s="147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72"/>
      <c r="E334" s="147"/>
      <c r="I334" s="147"/>
      <c r="AA334" s="3"/>
      <c r="AB334" s="147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72"/>
      <c r="E335" s="147"/>
      <c r="I335" s="147"/>
      <c r="AA335" s="3"/>
      <c r="AB335" s="147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72"/>
      <c r="E336" s="147"/>
      <c r="I336" s="147"/>
      <c r="AA336" s="3"/>
      <c r="AB336" s="147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72"/>
      <c r="E337" s="147"/>
      <c r="I337" s="147"/>
      <c r="AA337" s="3"/>
      <c r="AB337" s="147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72"/>
      <c r="E338" s="147"/>
      <c r="I338" s="147"/>
      <c r="AA338" s="3"/>
      <c r="AB338" s="147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72"/>
      <c r="E339" s="147"/>
      <c r="I339" s="147"/>
      <c r="AA339" s="3"/>
      <c r="AB339" s="147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72"/>
      <c r="E340" s="147"/>
      <c r="I340" s="147"/>
      <c r="AA340" s="3"/>
      <c r="AB340" s="147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72"/>
      <c r="E341" s="147"/>
      <c r="I341" s="147"/>
      <c r="AA341" s="3"/>
      <c r="AB341" s="147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72"/>
      <c r="E342" s="147"/>
      <c r="I342" s="147"/>
      <c r="AA342" s="3"/>
      <c r="AB342" s="147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72"/>
      <c r="E343" s="147"/>
      <c r="I343" s="147"/>
      <c r="AA343" s="3"/>
      <c r="AB343" s="147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21:A26"/>
    <mergeCell ref="A27:A32"/>
    <mergeCell ref="A33:A38"/>
    <mergeCell ref="A39:A44"/>
    <mergeCell ref="A45:A50"/>
    <mergeCell ref="A51:A56"/>
    <mergeCell ref="A57:A62"/>
    <mergeCell ref="A86:A91"/>
    <mergeCell ref="A92:A97"/>
    <mergeCell ref="A98:A103"/>
    <mergeCell ref="A104:A109"/>
    <mergeCell ref="A110:A115"/>
    <mergeCell ref="A116:A121"/>
    <mergeCell ref="A122:A127"/>
    <mergeCell ref="A216:G216"/>
    <mergeCell ref="F217:H217"/>
    <mergeCell ref="A170:A175"/>
    <mergeCell ref="A176:A181"/>
    <mergeCell ref="A182:A187"/>
    <mergeCell ref="A188:A193"/>
    <mergeCell ref="A194:A199"/>
    <mergeCell ref="A200:A205"/>
    <mergeCell ref="A206:A211"/>
    <mergeCell ref="AA16:AC16"/>
    <mergeCell ref="AA18:AI19"/>
    <mergeCell ref="AA33:AC33"/>
    <mergeCell ref="AA34:AC34"/>
    <mergeCell ref="AA35:AC42"/>
    <mergeCell ref="AD35:AF40"/>
    <mergeCell ref="AA221:AC228"/>
    <mergeCell ref="AD221:AE228"/>
    <mergeCell ref="A1:G1"/>
    <mergeCell ref="F2:H2"/>
    <mergeCell ref="X2:Y2"/>
    <mergeCell ref="A3:A8"/>
    <mergeCell ref="A9:A14"/>
    <mergeCell ref="A15:A20"/>
    <mergeCell ref="AA15:AC15"/>
    <mergeCell ref="A63:A68"/>
    <mergeCell ref="A72:G72"/>
    <mergeCell ref="F73:H73"/>
    <mergeCell ref="X73:Y73"/>
    <mergeCell ref="A74:A79"/>
    <mergeCell ref="A80:A85"/>
    <mergeCell ref="AA85:AC85"/>
    <mergeCell ref="AA86:AC86"/>
    <mergeCell ref="AA87:AC94"/>
    <mergeCell ref="AD87:AF92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158:A163"/>
    <mergeCell ref="A164:A169"/>
    <mergeCell ref="A225:G225"/>
    <mergeCell ref="F226:H226"/>
    <mergeCell ref="A227:A230"/>
    <mergeCell ref="A231:A2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74" t="s">
        <v>232</v>
      </c>
      <c r="B1" s="175" t="s">
        <v>233</v>
      </c>
      <c r="C1" s="175" t="s">
        <v>234</v>
      </c>
      <c r="D1" s="175" t="s">
        <v>235</v>
      </c>
      <c r="E1" s="175" t="s">
        <v>236</v>
      </c>
      <c r="F1" s="175" t="s">
        <v>237</v>
      </c>
      <c r="G1" s="175" t="s">
        <v>238</v>
      </c>
      <c r="H1" s="175" t="s">
        <v>239</v>
      </c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</row>
    <row r="2" ht="15.75" customHeight="1">
      <c r="A2" s="177" t="s">
        <v>240</v>
      </c>
      <c r="B2" s="178" t="s">
        <v>241</v>
      </c>
      <c r="C2" s="179" t="s">
        <v>31</v>
      </c>
      <c r="D2" s="179" t="s">
        <v>242</v>
      </c>
      <c r="E2" s="180">
        <v>108125.0</v>
      </c>
      <c r="F2" s="181" t="s">
        <v>243</v>
      </c>
      <c r="G2" s="178" t="s">
        <v>244</v>
      </c>
      <c r="H2" s="179" t="s">
        <v>245</v>
      </c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</row>
    <row r="3" ht="15.75" customHeight="1">
      <c r="A3" s="177" t="s">
        <v>240</v>
      </c>
      <c r="B3" s="178" t="s">
        <v>246</v>
      </c>
      <c r="C3" s="178" t="s">
        <v>32</v>
      </c>
      <c r="D3" s="178" t="s">
        <v>247</v>
      </c>
      <c r="E3" s="182">
        <v>89159.0</v>
      </c>
      <c r="F3" s="183" t="s">
        <v>248</v>
      </c>
      <c r="G3" s="178" t="s">
        <v>244</v>
      </c>
      <c r="H3" s="178" t="s">
        <v>249</v>
      </c>
      <c r="I3" s="176"/>
      <c r="J3" s="176"/>
      <c r="K3" s="176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</row>
    <row r="4" ht="15.75" customHeight="1">
      <c r="A4" s="177" t="s">
        <v>240</v>
      </c>
      <c r="B4" s="178" t="s">
        <v>250</v>
      </c>
      <c r="C4" s="178" t="s">
        <v>107</v>
      </c>
      <c r="D4" s="178" t="s">
        <v>251</v>
      </c>
      <c r="E4" s="182">
        <v>100096.0</v>
      </c>
      <c r="F4" s="183" t="s">
        <v>252</v>
      </c>
      <c r="G4" s="178" t="s">
        <v>244</v>
      </c>
      <c r="H4" s="178" t="s">
        <v>253</v>
      </c>
      <c r="I4" s="176"/>
      <c r="J4" s="176"/>
      <c r="K4" s="176"/>
      <c r="L4" s="176"/>
      <c r="M4" s="176"/>
      <c r="N4" s="176"/>
      <c r="O4" s="176"/>
      <c r="P4" s="176"/>
      <c r="Q4" s="176"/>
      <c r="R4" s="176"/>
      <c r="S4" s="176"/>
      <c r="T4" s="176"/>
      <c r="U4" s="176"/>
      <c r="V4" s="176"/>
      <c r="W4" s="176"/>
      <c r="X4" s="176"/>
      <c r="Y4" s="176"/>
      <c r="Z4" s="176"/>
    </row>
    <row r="5" ht="15.75" customHeight="1">
      <c r="A5" s="177" t="s">
        <v>240</v>
      </c>
      <c r="B5" s="178" t="s">
        <v>254</v>
      </c>
      <c r="C5" s="178" t="s">
        <v>59</v>
      </c>
      <c r="D5" s="178" t="s">
        <v>255</v>
      </c>
      <c r="E5" s="182">
        <v>108498.0</v>
      </c>
      <c r="F5" s="183" t="s">
        <v>256</v>
      </c>
      <c r="G5" s="178" t="s">
        <v>244</v>
      </c>
      <c r="H5" s="178" t="s">
        <v>257</v>
      </c>
      <c r="I5" s="176"/>
      <c r="J5" s="176"/>
      <c r="K5" s="176"/>
      <c r="L5" s="176"/>
      <c r="M5" s="176"/>
      <c r="N5" s="176"/>
      <c r="O5" s="176"/>
      <c r="P5" s="176"/>
      <c r="Q5" s="176"/>
      <c r="R5" s="176"/>
      <c r="S5" s="176"/>
      <c r="T5" s="176"/>
      <c r="U5" s="176"/>
      <c r="V5" s="176"/>
      <c r="W5" s="176"/>
      <c r="X5" s="176"/>
      <c r="Y5" s="176"/>
      <c r="Z5" s="176"/>
    </row>
    <row r="6" ht="15.75" customHeight="1">
      <c r="A6" s="177" t="s">
        <v>240</v>
      </c>
      <c r="B6" s="178" t="s">
        <v>258</v>
      </c>
      <c r="C6" s="178" t="s">
        <v>67</v>
      </c>
      <c r="D6" s="178" t="s">
        <v>259</v>
      </c>
      <c r="E6" s="182">
        <v>110713.0</v>
      </c>
      <c r="F6" s="183" t="s">
        <v>252</v>
      </c>
      <c r="G6" s="178" t="s">
        <v>244</v>
      </c>
      <c r="H6" s="178" t="s">
        <v>260</v>
      </c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</row>
    <row r="7" ht="15.75" customHeight="1">
      <c r="A7" s="177" t="s">
        <v>240</v>
      </c>
      <c r="B7" s="178" t="s">
        <v>261</v>
      </c>
      <c r="C7" s="178" t="s">
        <v>63</v>
      </c>
      <c r="D7" s="178" t="s">
        <v>262</v>
      </c>
      <c r="E7" s="182">
        <v>108196.0</v>
      </c>
      <c r="F7" s="183" t="s">
        <v>256</v>
      </c>
      <c r="G7" s="178" t="s">
        <v>244</v>
      </c>
      <c r="H7" s="178" t="s">
        <v>257</v>
      </c>
      <c r="I7" s="176"/>
      <c r="J7" s="176"/>
      <c r="K7" s="176"/>
      <c r="L7" s="176"/>
      <c r="M7" s="176"/>
      <c r="N7" s="176"/>
      <c r="O7" s="176"/>
      <c r="P7" s="176"/>
      <c r="Q7" s="176"/>
      <c r="R7" s="176"/>
      <c r="S7" s="176"/>
      <c r="T7" s="176"/>
      <c r="U7" s="176"/>
      <c r="V7" s="176"/>
      <c r="W7" s="176"/>
      <c r="X7" s="176"/>
      <c r="Y7" s="176"/>
      <c r="Z7" s="176"/>
    </row>
    <row r="8" ht="15.75" customHeight="1">
      <c r="A8" s="177" t="s">
        <v>263</v>
      </c>
      <c r="B8" s="178" t="s">
        <v>264</v>
      </c>
      <c r="C8" s="178" t="s">
        <v>166</v>
      </c>
      <c r="D8" s="178" t="s">
        <v>265</v>
      </c>
      <c r="E8" s="182">
        <v>103269.0</v>
      </c>
      <c r="F8" s="183" t="s">
        <v>256</v>
      </c>
      <c r="G8" s="178" t="s">
        <v>244</v>
      </c>
      <c r="H8" s="178" t="s">
        <v>257</v>
      </c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</row>
    <row r="9" ht="15.75" customHeight="1">
      <c r="A9" s="177" t="s">
        <v>240</v>
      </c>
      <c r="B9" s="178" t="s">
        <v>266</v>
      </c>
      <c r="C9" s="178" t="s">
        <v>40</v>
      </c>
      <c r="D9" s="178" t="s">
        <v>267</v>
      </c>
      <c r="E9" s="182">
        <v>109271.0</v>
      </c>
      <c r="F9" s="183" t="s">
        <v>256</v>
      </c>
      <c r="G9" s="178" t="s">
        <v>268</v>
      </c>
      <c r="H9" s="178" t="s">
        <v>269</v>
      </c>
      <c r="I9" s="176"/>
      <c r="J9" s="176"/>
      <c r="K9" s="176"/>
      <c r="L9" s="176"/>
      <c r="M9" s="176"/>
      <c r="N9" s="176"/>
      <c r="O9" s="176"/>
      <c r="P9" s="176"/>
      <c r="Q9" s="176"/>
      <c r="R9" s="176"/>
      <c r="S9" s="176"/>
      <c r="T9" s="176"/>
      <c r="U9" s="176"/>
      <c r="V9" s="176"/>
      <c r="W9" s="176"/>
      <c r="X9" s="176"/>
      <c r="Y9" s="176"/>
      <c r="Z9" s="176"/>
    </row>
    <row r="10" ht="15.75" customHeight="1">
      <c r="A10" s="177" t="s">
        <v>240</v>
      </c>
      <c r="B10" s="178" t="s">
        <v>270</v>
      </c>
      <c r="C10" s="178" t="s">
        <v>125</v>
      </c>
      <c r="D10" s="178" t="s">
        <v>271</v>
      </c>
      <c r="E10" s="182">
        <v>108249.0</v>
      </c>
      <c r="F10" s="183" t="s">
        <v>256</v>
      </c>
      <c r="G10" s="178" t="s">
        <v>268</v>
      </c>
      <c r="H10" s="178" t="s">
        <v>269</v>
      </c>
      <c r="I10" s="176"/>
      <c r="J10" s="176"/>
      <c r="K10" s="176"/>
      <c r="L10" s="176"/>
      <c r="M10" s="176"/>
      <c r="N10" s="176"/>
      <c r="O10" s="176"/>
      <c r="P10" s="176"/>
      <c r="Q10" s="176"/>
      <c r="R10" s="176"/>
      <c r="S10" s="176"/>
      <c r="T10" s="176"/>
      <c r="U10" s="176"/>
      <c r="V10" s="176"/>
      <c r="W10" s="176"/>
      <c r="X10" s="176"/>
      <c r="Y10" s="176"/>
      <c r="Z10" s="176"/>
    </row>
    <row r="11" ht="15.75" customHeight="1">
      <c r="A11" s="177" t="s">
        <v>240</v>
      </c>
      <c r="B11" s="178" t="s">
        <v>272</v>
      </c>
      <c r="C11" s="178" t="s">
        <v>39</v>
      </c>
      <c r="D11" s="178" t="s">
        <v>273</v>
      </c>
      <c r="E11" s="182">
        <v>103583.0</v>
      </c>
      <c r="F11" s="183" t="s">
        <v>256</v>
      </c>
      <c r="G11" s="178" t="s">
        <v>268</v>
      </c>
      <c r="H11" s="178" t="s">
        <v>274</v>
      </c>
      <c r="I11" s="176"/>
      <c r="J11" s="176"/>
      <c r="K11" s="176"/>
      <c r="L11" s="176"/>
      <c r="M11" s="176"/>
      <c r="N11" s="176"/>
      <c r="O11" s="176"/>
      <c r="P11" s="176"/>
      <c r="Q11" s="176"/>
      <c r="R11" s="176"/>
      <c r="S11" s="176"/>
      <c r="T11" s="176"/>
      <c r="U11" s="176"/>
      <c r="V11" s="176"/>
      <c r="W11" s="176"/>
      <c r="X11" s="176"/>
      <c r="Y11" s="176"/>
      <c r="Z11" s="176"/>
    </row>
    <row r="12" ht="15.75" customHeight="1">
      <c r="A12" s="177" t="s">
        <v>240</v>
      </c>
      <c r="B12" s="178" t="s">
        <v>272</v>
      </c>
      <c r="C12" s="178" t="s">
        <v>39</v>
      </c>
      <c r="D12" s="178" t="s">
        <v>275</v>
      </c>
      <c r="E12" s="182">
        <v>93245.0</v>
      </c>
      <c r="F12" s="184" t="s">
        <v>276</v>
      </c>
      <c r="G12" s="185">
        <v>44870.0</v>
      </c>
      <c r="H12" s="186"/>
      <c r="I12" s="176"/>
      <c r="J12" s="176"/>
      <c r="K12" s="176"/>
      <c r="L12" s="176"/>
      <c r="M12" s="176"/>
      <c r="N12" s="176"/>
      <c r="O12" s="176"/>
      <c r="P12" s="176"/>
      <c r="Q12" s="176"/>
      <c r="R12" s="176"/>
      <c r="S12" s="176"/>
      <c r="T12" s="176"/>
      <c r="U12" s="176"/>
      <c r="V12" s="176"/>
      <c r="W12" s="176"/>
      <c r="X12" s="176"/>
      <c r="Y12" s="176"/>
      <c r="Z12" s="176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