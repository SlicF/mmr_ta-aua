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<sst xmlns="http://schemas.openxmlformats.org/spreadsheetml/2006/main" count="6631" uniqueCount="266">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</sst>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20</v>
      </c>
      <c r="U4" s="20">
        <f t="shared" si="8"/>
        <v>15</v>
      </c>
      <c r="V4" s="18">
        <f t="shared" si="9"/>
        <v>5</v>
      </c>
      <c r="W4" s="63"/>
      <c r="X4" s="63"/>
      <c r="Y4" s="22" t="s">
        <v>34</v>
      </c>
      <c r="Z4" s="70" t="s">
        <v>66</v>
      </c>
      <c r="AA4" s="23">
        <v>15.0</v>
      </c>
      <c r="AB4" s="23">
        <v>5.0</v>
      </c>
      <c r="AC4" s="23">
        <v>0.0</v>
      </c>
      <c r="AD4" s="24">
        <v>0.0</v>
      </c>
      <c r="AE4" s="23">
        <v>34.0</v>
      </c>
      <c r="AF4" s="24">
        <v>1.0</v>
      </c>
      <c r="AG4" s="23">
        <v>33.0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>
        <v>3.0</v>
      </c>
      <c r="G5" s="84" t="s">
        <v>24</v>
      </c>
      <c r="H5" s="17">
        <v>0.0</v>
      </c>
      <c r="I5" s="14" t="s">
        <v>43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8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34</v>
      </c>
      <c r="U5" s="20">
        <f t="shared" si="8"/>
        <v>1</v>
      </c>
      <c r="V5" s="18">
        <f t="shared" si="9"/>
        <v>33</v>
      </c>
      <c r="W5" s="63"/>
      <c r="X5" s="63"/>
      <c r="Y5" s="22" t="s">
        <v>39</v>
      </c>
      <c r="Z5" s="70" t="s">
        <v>23</v>
      </c>
      <c r="AA5" s="23">
        <v>15.0</v>
      </c>
      <c r="AB5" s="23">
        <v>5.0</v>
      </c>
      <c r="AC5" s="23">
        <v>0.0</v>
      </c>
      <c r="AD5" s="24">
        <v>1.0</v>
      </c>
      <c r="AE5" s="23">
        <v>37.0</v>
      </c>
      <c r="AF5" s="24">
        <v>10.0</v>
      </c>
      <c r="AG5" s="23">
        <v>27.0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13.0</v>
      </c>
      <c r="AB6" s="23">
        <v>4.0</v>
      </c>
      <c r="AC6" s="23">
        <v>1.0</v>
      </c>
      <c r="AD6" s="24">
        <v>2.0</v>
      </c>
      <c r="AE6" s="23">
        <v>28.0</v>
      </c>
      <c r="AF6" s="24">
        <v>16.0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12.0</v>
      </c>
      <c r="AB7" s="23">
        <v>4.0</v>
      </c>
      <c r="AC7" s="23">
        <v>0.0</v>
      </c>
      <c r="AD7" s="24">
        <v>2.0</v>
      </c>
      <c r="AE7" s="23">
        <v>20.0</v>
      </c>
      <c r="AF7" s="24">
        <v>15.0</v>
      </c>
      <c r="AG7" s="23">
        <v>5.0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9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27</v>
      </c>
      <c r="U8" s="20">
        <f t="shared" si="8"/>
        <v>15</v>
      </c>
      <c r="V8" s="18">
        <f t="shared" si="9"/>
        <v>12</v>
      </c>
      <c r="W8" s="63"/>
      <c r="X8" s="63"/>
      <c r="Y8" s="53" t="s">
        <v>47</v>
      </c>
      <c r="Z8" s="70" t="s">
        <v>144</v>
      </c>
      <c r="AA8" s="23">
        <v>12.0</v>
      </c>
      <c r="AB8" s="23">
        <v>4.0</v>
      </c>
      <c r="AC8" s="23">
        <v>0.0</v>
      </c>
      <c r="AD8" s="24">
        <v>3.0</v>
      </c>
      <c r="AE8" s="23">
        <v>19.0</v>
      </c>
      <c r="AF8" s="24">
        <v>23.0</v>
      </c>
      <c r="AG8" s="23">
        <v>-4.0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1</v>
      </c>
      <c r="Q9" s="18">
        <f t="shared" si="4"/>
        <v>0</v>
      </c>
      <c r="R9" s="18">
        <f t="shared" si="5"/>
        <v>1</v>
      </c>
      <c r="S9" s="20">
        <f t="shared" si="6"/>
        <v>6</v>
      </c>
      <c r="T9" s="18">
        <f t="shared" si="7"/>
        <v>2</v>
      </c>
      <c r="U9" s="20">
        <f t="shared" si="8"/>
        <v>20</v>
      </c>
      <c r="V9" s="18">
        <f t="shared" si="9"/>
        <v>-18</v>
      </c>
      <c r="W9" s="63"/>
      <c r="X9" s="63"/>
      <c r="Y9" s="53" t="s">
        <v>48</v>
      </c>
      <c r="Z9" s="70" t="s">
        <v>25</v>
      </c>
      <c r="AA9" s="23">
        <v>9.0</v>
      </c>
      <c r="AB9" s="23">
        <v>3.0</v>
      </c>
      <c r="AC9" s="23">
        <v>0.0</v>
      </c>
      <c r="AD9" s="24">
        <v>4.0</v>
      </c>
      <c r="AE9" s="23">
        <v>27.0</v>
      </c>
      <c r="AF9" s="24">
        <v>15.0</v>
      </c>
      <c r="AG9" s="23">
        <v>12.0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18</v>
      </c>
      <c r="U10" s="20">
        <f t="shared" si="8"/>
        <v>17</v>
      </c>
      <c r="V10" s="18">
        <f t="shared" si="9"/>
        <v>1</v>
      </c>
      <c r="W10" s="63"/>
      <c r="X10" s="63"/>
      <c r="Y10" s="53" t="s">
        <v>135</v>
      </c>
      <c r="Z10" s="70" t="s">
        <v>33</v>
      </c>
      <c r="AA10" s="23">
        <v>9.0</v>
      </c>
      <c r="AB10" s="23">
        <v>3.0</v>
      </c>
      <c r="AC10" s="23">
        <v>0.0</v>
      </c>
      <c r="AD10" s="24">
        <v>3.0</v>
      </c>
      <c r="AE10" s="23">
        <v>18.0</v>
      </c>
      <c r="AF10" s="24">
        <v>17.0</v>
      </c>
      <c r="AG10" s="23">
        <v>1.0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32</v>
      </c>
      <c r="AA11" s="23">
        <v>7.0</v>
      </c>
      <c r="AB11" s="23">
        <v>2.0</v>
      </c>
      <c r="AC11" s="23">
        <v>1.0</v>
      </c>
      <c r="AD11" s="24">
        <v>5.0</v>
      </c>
      <c r="AE11" s="23">
        <v>20.0</v>
      </c>
      <c r="AF11" s="24">
        <v>22.0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7.0</v>
      </c>
      <c r="AB12" s="23">
        <v>2.0</v>
      </c>
      <c r="AC12" s="23">
        <v>1.0</v>
      </c>
      <c r="AD12" s="24">
        <v>3.0</v>
      </c>
      <c r="AE12" s="23">
        <v>15.0</v>
      </c>
      <c r="AF12" s="24">
        <v>20.0</v>
      </c>
      <c r="AG12" s="23">
        <v>-5.0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1.0</v>
      </c>
      <c r="AB14" s="23">
        <v>0.0</v>
      </c>
      <c r="AC14" s="23">
        <v>1.0</v>
      </c>
      <c r="AD14" s="24">
        <v>6.0</v>
      </c>
      <c r="AE14" s="23">
        <v>2.0</v>
      </c>
      <c r="AF14" s="24">
        <v>20.0</v>
      </c>
      <c r="AG14" s="23">
        <v>-18.0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7</v>
      </c>
      <c r="Q15" s="18">
        <f t="shared" si="4"/>
        <v>2</v>
      </c>
      <c r="R15" s="18">
        <f t="shared" si="5"/>
        <v>1</v>
      </c>
      <c r="S15" s="20">
        <f t="shared" si="6"/>
        <v>3</v>
      </c>
      <c r="T15" s="18">
        <f t="shared" si="7"/>
        <v>15</v>
      </c>
      <c r="U15" s="20">
        <f t="shared" si="8"/>
        <v>20</v>
      </c>
      <c r="V15" s="18">
        <f t="shared" si="9"/>
        <v>-5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>
        <v>0.0</v>
      </c>
      <c r="G16" s="84" t="s">
        <v>24</v>
      </c>
      <c r="H16" s="17">
        <v>3.0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7">
        <v>14.0</v>
      </c>
      <c r="O16" s="97" t="s">
        <v>144</v>
      </c>
      <c r="P16" s="18">
        <f t="shared" si="3"/>
        <v>12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19</v>
      </c>
      <c r="U16" s="20">
        <f t="shared" si="8"/>
        <v>23</v>
      </c>
      <c r="V16" s="18">
        <f t="shared" si="9"/>
        <v>-4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13</v>
      </c>
      <c r="Q17" s="18">
        <f t="shared" si="4"/>
        <v>4</v>
      </c>
      <c r="R17" s="18">
        <f t="shared" si="5"/>
        <v>1</v>
      </c>
      <c r="S17" s="20">
        <f t="shared" si="6"/>
        <v>2</v>
      </c>
      <c r="T17" s="18">
        <f t="shared" si="7"/>
        <v>28</v>
      </c>
      <c r="U17" s="20">
        <f t="shared" si="8"/>
        <v>16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>
        <v>3.0</v>
      </c>
      <c r="G23" s="84" t="s">
        <v>24</v>
      </c>
      <c r="H23" s="17">
        <v>0.0</v>
      </c>
      <c r="I23" s="14" t="s">
        <v>43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>
        <v>3.0</v>
      </c>
      <c r="G32" s="84" t="s">
        <v>24</v>
      </c>
      <c r="H32" s="17">
        <v>0.0</v>
      </c>
      <c r="I32" s="14" t="s">
        <v>43</v>
      </c>
      <c r="J32" s="63"/>
      <c r="K32" s="4">
        <f t="shared" si="1"/>
        <v>3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>
        <v>3.0</v>
      </c>
      <c r="G42" s="84" t="s">
        <v>24</v>
      </c>
      <c r="H42" s="96">
        <v>0.0</v>
      </c>
      <c r="I42" s="14" t="s">
        <v>43</v>
      </c>
      <c r="J42" s="63"/>
      <c r="K42" s="4">
        <f t="shared" si="1"/>
        <v>3</v>
      </c>
      <c r="L42" s="18">
        <f t="shared" si="2"/>
        <v>0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3.0</v>
      </c>
      <c r="G44" s="84" t="s">
        <v>24</v>
      </c>
      <c r="H44" s="17">
        <v>0.0</v>
      </c>
      <c r="I44" s="14" t="s">
        <v>43</v>
      </c>
      <c r="J44" s="63"/>
      <c r="K44" s="4">
        <f t="shared" si="1"/>
        <v>3</v>
      </c>
      <c r="L44" s="18">
        <f t="shared" si="2"/>
        <v>0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>
        <v>2.0</v>
      </c>
      <c r="G54" s="84" t="s">
        <v>24</v>
      </c>
      <c r="H54" s="17">
        <v>2.0</v>
      </c>
      <c r="I54" s="45" t="s">
        <v>43</v>
      </c>
      <c r="J54" s="63"/>
      <c r="K54" s="4">
        <f t="shared" si="1"/>
        <v>1</v>
      </c>
      <c r="L54" s="18">
        <f t="shared" si="2"/>
        <v>1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28"/>
      <c r="G56" s="84" t="s">
        <v>24</v>
      </c>
      <c r="H56" s="28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86"/>
      <c r="C57" s="84"/>
      <c r="D57" s="84"/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6"/>
      <c r="C58" s="84"/>
      <c r="D58" s="84"/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6"/>
      <c r="C59" s="84"/>
      <c r="D59" s="84"/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6"/>
      <c r="C60" s="84"/>
      <c r="D60" s="84"/>
      <c r="E60" s="45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6"/>
      <c r="C61" s="84"/>
      <c r="D61" s="84"/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6"/>
      <c r="C62" s="84"/>
      <c r="D62" s="84"/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2"/>
      <c r="B63" s="37"/>
      <c r="C63" s="37"/>
      <c r="D63" s="37"/>
      <c r="E63" s="37"/>
      <c r="F63" s="37"/>
      <c r="G63" s="37"/>
      <c r="H63" s="37"/>
      <c r="I63" s="37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2"/>
      <c r="B64" s="37"/>
      <c r="C64" s="37"/>
      <c r="D64" s="37"/>
      <c r="E64" s="37"/>
      <c r="F64" s="37"/>
      <c r="G64" s="37"/>
      <c r="H64" s="37"/>
      <c r="I64" s="37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2"/>
      <c r="B65" s="37"/>
      <c r="C65" s="37"/>
      <c r="D65" s="37"/>
      <c r="E65" s="37"/>
      <c r="F65" s="37"/>
      <c r="G65" s="37"/>
      <c r="H65" s="37"/>
      <c r="I65" s="37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7" t="s">
        <v>153</v>
      </c>
      <c r="H67" s="2"/>
      <c r="I67" s="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8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9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5"/>
      <c r="C74" s="31"/>
      <c r="D74" s="12"/>
      <c r="E74" s="52" t="s">
        <v>84</v>
      </c>
      <c r="F74" s="13"/>
      <c r="G74" s="16" t="s">
        <v>24</v>
      </c>
      <c r="H74" s="13"/>
      <c r="I74" s="45" t="s">
        <v>85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60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61" t="s">
        <v>88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60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13.0</v>
      </c>
      <c r="AM3" s="23">
        <v>18.0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13</v>
      </c>
      <c r="V5" s="18">
        <f t="shared" si="9"/>
        <v>18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36.0</v>
      </c>
      <c r="AL5" s="23">
        <v>16.0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36</v>
      </c>
      <c r="U8" s="20">
        <f t="shared" si="8"/>
        <v>16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8"/>
      <c r="C57" s="84"/>
      <c r="D57" s="84"/>
      <c r="E57" s="17" t="s">
        <v>159</v>
      </c>
      <c r="F57" s="84"/>
      <c r="G57" s="84" t="s">
        <v>24</v>
      </c>
      <c r="H57" s="84"/>
      <c r="I57" s="17" t="s">
        <v>112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8"/>
      <c r="C58" s="84"/>
      <c r="D58" s="84"/>
      <c r="E58" s="45" t="s">
        <v>156</v>
      </c>
      <c r="F58" s="84"/>
      <c r="G58" s="84" t="s">
        <v>24</v>
      </c>
      <c r="H58" s="84"/>
      <c r="I58" s="45" t="s">
        <v>66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8"/>
      <c r="C59" s="84"/>
      <c r="D59" s="84"/>
      <c r="E59" s="17" t="s">
        <v>45</v>
      </c>
      <c r="F59" s="84"/>
      <c r="G59" s="84" t="s">
        <v>24</v>
      </c>
      <c r="H59" s="84"/>
      <c r="I59" s="17" t="s">
        <v>158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8"/>
      <c r="C60" s="84"/>
      <c r="D60" s="84"/>
      <c r="E60" s="17" t="s">
        <v>25</v>
      </c>
      <c r="F60" s="84"/>
      <c r="G60" s="84" t="s">
        <v>24</v>
      </c>
      <c r="H60" s="84"/>
      <c r="I60" s="17" t="s">
        <v>115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8"/>
      <c r="C61" s="84"/>
      <c r="D61" s="84"/>
      <c r="E61" s="17" t="s">
        <v>157</v>
      </c>
      <c r="F61" s="84"/>
      <c r="G61" s="84" t="s">
        <v>24</v>
      </c>
      <c r="H61" s="84"/>
      <c r="I61" s="17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8"/>
      <c r="C62" s="84"/>
      <c r="D62" s="84"/>
      <c r="E62" s="17" t="s">
        <v>23</v>
      </c>
      <c r="F62" s="84"/>
      <c r="G62" s="84" t="s">
        <v>24</v>
      </c>
      <c r="H62" s="84"/>
      <c r="I62" s="17" t="s">
        <v>37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8"/>
      <c r="C63" s="84"/>
      <c r="D63" s="84"/>
      <c r="E63" s="45" t="s">
        <v>112</v>
      </c>
      <c r="F63" s="84"/>
      <c r="G63" s="84" t="s">
        <v>24</v>
      </c>
      <c r="H63" s="84"/>
      <c r="I63" s="45" t="s">
        <v>156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8"/>
      <c r="C64" s="84"/>
      <c r="D64" s="84"/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8"/>
      <c r="C65" s="84"/>
      <c r="D65" s="84"/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8"/>
      <c r="C66" s="84"/>
      <c r="D66" s="84"/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8"/>
      <c r="C67" s="84"/>
      <c r="D67" s="84"/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8"/>
      <c r="C68" s="84"/>
      <c r="D68" s="84"/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3"/>
      <c r="X76" s="63"/>
      <c r="Y76" s="63"/>
      <c r="Z76" s="63"/>
      <c r="AA76" s="63"/>
      <c r="AB76" s="63"/>
      <c r="AC76" s="63"/>
      <c r="AD76" s="63"/>
      <c r="AE76" s="109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10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11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11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11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11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1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1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1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10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0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1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1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1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1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0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0"/>
      <c r="C110" s="84"/>
      <c r="D110" s="84"/>
      <c r="E110" s="45" t="s">
        <v>117</v>
      </c>
      <c r="F110" s="67"/>
      <c r="G110" s="84" t="s">
        <v>24</v>
      </c>
      <c r="H110" s="67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0"/>
      <c r="C111" s="84"/>
      <c r="D111" s="84"/>
      <c r="E111" s="45" t="s">
        <v>114</v>
      </c>
      <c r="F111" s="67"/>
      <c r="G111" s="84" t="s">
        <v>24</v>
      </c>
      <c r="H111" s="67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0"/>
      <c r="C112" s="84"/>
      <c r="D112" s="84"/>
      <c r="E112" s="45" t="s">
        <v>67</v>
      </c>
      <c r="F112" s="67"/>
      <c r="G112" s="84" t="s">
        <v>24</v>
      </c>
      <c r="H112" s="67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0"/>
      <c r="C113" s="84"/>
      <c r="D113" s="84"/>
      <c r="E113" s="45" t="s">
        <v>32</v>
      </c>
      <c r="F113" s="67"/>
      <c r="G113" s="84" t="s">
        <v>24</v>
      </c>
      <c r="H113" s="67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0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0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0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0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0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0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1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11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3"/>
      <c r="X127" s="63"/>
      <c r="Y127" s="63"/>
      <c r="Z127" s="63"/>
      <c r="AA127" s="63"/>
      <c r="AB127" s="63"/>
      <c r="AC127" s="63"/>
      <c r="AD127" s="63"/>
      <c r="AE127" s="109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11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1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10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10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0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0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0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0"/>
      <c r="C161" s="84"/>
      <c r="D161" s="84"/>
      <c r="E161" s="45" t="s">
        <v>168</v>
      </c>
      <c r="F161" s="67"/>
      <c r="G161" s="84" t="s">
        <v>24</v>
      </c>
      <c r="H161" s="67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0"/>
      <c r="C162" s="84"/>
      <c r="D162" s="84"/>
      <c r="E162" s="45" t="s">
        <v>65</v>
      </c>
      <c r="F162" s="67"/>
      <c r="G162" s="84" t="s">
        <v>24</v>
      </c>
      <c r="H162" s="67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0"/>
      <c r="C163" s="84"/>
      <c r="D163" s="84"/>
      <c r="E163" s="45" t="s">
        <v>119</v>
      </c>
      <c r="F163" s="67"/>
      <c r="G163" s="84" t="s">
        <v>24</v>
      </c>
      <c r="H163" s="67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0"/>
      <c r="C164" s="84"/>
      <c r="D164" s="84"/>
      <c r="E164" s="45" t="s">
        <v>134</v>
      </c>
      <c r="F164" s="67"/>
      <c r="G164" s="84" t="s">
        <v>24</v>
      </c>
      <c r="H164" s="67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0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0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0"/>
      <c r="C167" s="84"/>
      <c r="D167" s="84"/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0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0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0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3" t="s">
        <v>172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3"/>
      <c r="X178" s="63"/>
      <c r="Y178" s="63"/>
      <c r="Z178" s="63"/>
      <c r="AA178" s="63"/>
      <c r="AB178" s="63"/>
      <c r="AC178" s="63"/>
      <c r="AD178" s="63"/>
      <c r="AE178" s="109" t="s">
        <v>116</v>
      </c>
      <c r="AF178" s="23" t="s">
        <v>35</v>
      </c>
      <c r="AG178" s="23">
        <v>16.0</v>
      </c>
      <c r="AH178" s="23">
        <v>5.0</v>
      </c>
      <c r="AI178" s="23">
        <v>1.0</v>
      </c>
      <c r="AJ178" s="23">
        <v>1.0</v>
      </c>
      <c r="AK178" s="23">
        <v>39.0</v>
      </c>
      <c r="AL178" s="23">
        <v>18.0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3</v>
      </c>
      <c r="T179" s="18">
        <f t="shared" si="35"/>
        <v>21</v>
      </c>
      <c r="U179" s="20">
        <f t="shared" si="36"/>
        <v>23</v>
      </c>
      <c r="V179" s="18">
        <f t="shared" si="37"/>
        <v>-2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8</v>
      </c>
      <c r="Q180" s="18">
        <f t="shared" si="32"/>
        <v>2</v>
      </c>
      <c r="R180" s="20">
        <f t="shared" si="33"/>
        <v>2</v>
      </c>
      <c r="S180" s="20">
        <f t="shared" si="34"/>
        <v>3</v>
      </c>
      <c r="T180" s="18">
        <f t="shared" si="35"/>
        <v>14</v>
      </c>
      <c r="U180" s="20">
        <f t="shared" si="36"/>
        <v>15</v>
      </c>
      <c r="V180" s="18">
        <f t="shared" si="37"/>
        <v>-1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3.0</v>
      </c>
      <c r="AK180" s="23">
        <v>18.0</v>
      </c>
      <c r="AL180" s="23">
        <v>16.0</v>
      </c>
      <c r="AM180" s="23">
        <v>2.0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7</v>
      </c>
      <c r="T181" s="18">
        <f t="shared" si="35"/>
        <v>6</v>
      </c>
      <c r="U181" s="20">
        <f t="shared" si="36"/>
        <v>55</v>
      </c>
      <c r="V181" s="18">
        <f t="shared" si="37"/>
        <v>-49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6</v>
      </c>
      <c r="T182" s="18">
        <f t="shared" si="35"/>
        <v>12</v>
      </c>
      <c r="U182" s="20">
        <f t="shared" si="36"/>
        <v>46</v>
      </c>
      <c r="V182" s="18">
        <f t="shared" si="37"/>
        <v>-34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122</v>
      </c>
      <c r="AG183" s="23">
        <v>8.0</v>
      </c>
      <c r="AH183" s="23">
        <v>2.0</v>
      </c>
      <c r="AI183" s="23">
        <v>2.0</v>
      </c>
      <c r="AJ183" s="23">
        <v>3.0</v>
      </c>
      <c r="AK183" s="23">
        <v>14.0</v>
      </c>
      <c r="AL183" s="23">
        <v>15.0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3.0</v>
      </c>
      <c r="AK184" s="23">
        <v>21.0</v>
      </c>
      <c r="AL184" s="23">
        <v>23.0</v>
      </c>
      <c r="AM184" s="23">
        <v>-2.0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16</v>
      </c>
      <c r="Q185" s="18">
        <f t="shared" si="32"/>
        <v>5</v>
      </c>
      <c r="R185" s="20">
        <f t="shared" si="33"/>
        <v>1</v>
      </c>
      <c r="S185" s="20">
        <f t="shared" si="34"/>
        <v>1</v>
      </c>
      <c r="T185" s="18">
        <f t="shared" si="35"/>
        <v>39</v>
      </c>
      <c r="U185" s="20">
        <f t="shared" si="36"/>
        <v>18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6.0</v>
      </c>
      <c r="AK185" s="23">
        <v>12.0</v>
      </c>
      <c r="AL185" s="23">
        <v>46.0</v>
      </c>
      <c r="AM185" s="23">
        <v>-34.0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3</v>
      </c>
      <c r="T186" s="18">
        <f t="shared" si="35"/>
        <v>18</v>
      </c>
      <c r="U186" s="20">
        <f t="shared" si="36"/>
        <v>16</v>
      </c>
      <c r="V186" s="18">
        <f t="shared" si="37"/>
        <v>2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7.0</v>
      </c>
      <c r="AK186" s="23">
        <v>6.0</v>
      </c>
      <c r="AL186" s="23">
        <v>55.0</v>
      </c>
      <c r="AM186" s="23">
        <v>-49.0</v>
      </c>
      <c r="AN186" s="18"/>
    </row>
    <row r="187" ht="15.75" customHeight="1">
      <c r="A187" s="10">
        <v>3.0</v>
      </c>
      <c r="B187" s="111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1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1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1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1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0"/>
      <c r="C212" s="84"/>
      <c r="D212" s="84"/>
      <c r="E212" s="45" t="s">
        <v>40</v>
      </c>
      <c r="F212" s="67"/>
      <c r="G212" s="84" t="s">
        <v>24</v>
      </c>
      <c r="H212" s="67"/>
      <c r="I212" s="45" t="s">
        <v>35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0"/>
      <c r="C213" s="84"/>
      <c r="D213" s="84"/>
      <c r="E213" s="45" t="s">
        <v>31</v>
      </c>
      <c r="F213" s="45"/>
      <c r="G213" s="84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0"/>
      <c r="C214" s="84"/>
      <c r="D214" s="84"/>
      <c r="E214" s="45" t="s">
        <v>58</v>
      </c>
      <c r="F214" s="67"/>
      <c r="G214" s="84" t="s">
        <v>24</v>
      </c>
      <c r="H214" s="67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0"/>
      <c r="C215" s="84"/>
      <c r="D215" s="84"/>
      <c r="E215" s="45" t="s">
        <v>122</v>
      </c>
      <c r="F215" s="67"/>
      <c r="G215" s="84" t="s">
        <v>24</v>
      </c>
      <c r="H215" s="67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0"/>
      <c r="C216" s="84"/>
      <c r="D216" s="84"/>
      <c r="E216" s="45" t="s">
        <v>38</v>
      </c>
      <c r="F216" s="67"/>
      <c r="G216" s="84" t="s">
        <v>24</v>
      </c>
      <c r="H216" s="67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0"/>
      <c r="C217" s="84"/>
      <c r="D217" s="84"/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0"/>
      <c r="C218" s="84"/>
      <c r="D218" s="84"/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0"/>
      <c r="C219" s="67"/>
      <c r="D219" s="84"/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0"/>
      <c r="C220" s="67"/>
      <c r="D220" s="84"/>
      <c r="E220" s="45" t="s">
        <v>173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0"/>
      <c r="C221" s="84"/>
      <c r="D221" s="84"/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176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180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4" t="s">
        <v>24</v>
      </c>
      <c r="H3" s="115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6">
        <f t="shared" ref="P3:P14" si="3">SUMIF(E$3:E$68,O3,K$3:K$68)+SUMIF(I$3:I$68,O3,L$3:L$68)</f>
        <v>15</v>
      </c>
      <c r="Q3" s="116">
        <f t="shared" ref="Q3:Q14" si="4">COUNTIFS(E$3:E$68,O3,K$3:K$68,3)+COUNTIFS(I$3:I$68,O3,L$3:L$68,3)</f>
        <v>5</v>
      </c>
      <c r="R3" s="116">
        <f t="shared" ref="R3:R14" si="5">COUNTIFS(E$3:E$68,O3,K$3:K$68,1)+COUNTIFS(I$3:I$68,O3,L$3:L$68,1)</f>
        <v>0</v>
      </c>
      <c r="S3" s="117">
        <f t="shared" ref="S3:S14" si="6">COUNTIFS(E$3:E$68,O3,K$3:K$68,0)+COUNTIFS(I$3:I$68,O3,L$3:L$68,0)</f>
        <v>1</v>
      </c>
      <c r="T3" s="116">
        <f t="shared" ref="T3:T14" si="7">SUMIF(E$3:E$68,O3,F$3:F$68)+SUMIF(I$3:I$68,O3,H$3:H$68)</f>
        <v>24</v>
      </c>
      <c r="U3" s="117">
        <f t="shared" ref="U3:U14" si="8">SUMIF(E$3:E$68,O3,H$3:H$68)+SUMIF(I$3:I$68,O3,F$3:F$68)</f>
        <v>7</v>
      </c>
      <c r="V3" s="116">
        <f t="shared" ref="V3:V14" si="9">T3-U3</f>
        <v>17</v>
      </c>
      <c r="W3" s="2"/>
      <c r="X3" s="118" t="s">
        <v>26</v>
      </c>
      <c r="Y3" s="118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4" t="s">
        <v>24</v>
      </c>
      <c r="H4" s="115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6">
        <f t="shared" si="3"/>
        <v>18</v>
      </c>
      <c r="Q4" s="116">
        <f t="shared" si="4"/>
        <v>6</v>
      </c>
      <c r="R4" s="116">
        <f t="shared" si="5"/>
        <v>0</v>
      </c>
      <c r="S4" s="117">
        <f t="shared" si="6"/>
        <v>2</v>
      </c>
      <c r="T4" s="116">
        <f t="shared" si="7"/>
        <v>28</v>
      </c>
      <c r="U4" s="117">
        <f t="shared" si="8"/>
        <v>9</v>
      </c>
      <c r="V4" s="116">
        <f t="shared" si="9"/>
        <v>19</v>
      </c>
      <c r="W4" s="2"/>
      <c r="X4" s="119" t="s">
        <v>25</v>
      </c>
      <c r="Y4" s="119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1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4" t="s">
        <v>24</v>
      </c>
      <c r="H5" s="115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6">
        <f t="shared" si="3"/>
        <v>0</v>
      </c>
      <c r="Q5" s="116">
        <f t="shared" si="4"/>
        <v>0</v>
      </c>
      <c r="R5" s="116">
        <f t="shared" si="5"/>
        <v>0</v>
      </c>
      <c r="S5" s="117">
        <f t="shared" si="6"/>
        <v>7</v>
      </c>
      <c r="T5" s="116">
        <f t="shared" si="7"/>
        <v>5</v>
      </c>
      <c r="U5" s="117">
        <f t="shared" si="8"/>
        <v>21</v>
      </c>
      <c r="V5" s="116">
        <f t="shared" si="9"/>
        <v>-16</v>
      </c>
      <c r="W5" s="2"/>
      <c r="X5" s="119" t="s">
        <v>156</v>
      </c>
      <c r="Y5" s="119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4" t="s">
        <v>24</v>
      </c>
      <c r="H6" s="115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6">
        <f t="shared" si="3"/>
        <v>3</v>
      </c>
      <c r="Q6" s="116">
        <f t="shared" si="4"/>
        <v>1</v>
      </c>
      <c r="R6" s="116">
        <f t="shared" si="5"/>
        <v>0</v>
      </c>
      <c r="S6" s="117">
        <f t="shared" si="6"/>
        <v>6</v>
      </c>
      <c r="T6" s="116">
        <f t="shared" si="7"/>
        <v>9</v>
      </c>
      <c r="U6" s="117">
        <f t="shared" si="8"/>
        <v>27</v>
      </c>
      <c r="V6" s="116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4" t="s">
        <v>24</v>
      </c>
      <c r="H7" s="115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6">
        <f t="shared" si="3"/>
        <v>9</v>
      </c>
      <c r="Q7" s="116">
        <f t="shared" si="4"/>
        <v>3</v>
      </c>
      <c r="R7" s="116">
        <f t="shared" si="5"/>
        <v>0</v>
      </c>
      <c r="S7" s="117">
        <f t="shared" si="6"/>
        <v>4</v>
      </c>
      <c r="T7" s="116">
        <f t="shared" si="7"/>
        <v>14</v>
      </c>
      <c r="U7" s="117">
        <f t="shared" si="8"/>
        <v>29</v>
      </c>
      <c r="V7" s="116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6">
        <f t="shared" si="3"/>
        <v>15</v>
      </c>
      <c r="Q8" s="116">
        <f t="shared" si="4"/>
        <v>5</v>
      </c>
      <c r="R8" s="116">
        <f t="shared" si="5"/>
        <v>0</v>
      </c>
      <c r="S8" s="117">
        <f t="shared" si="6"/>
        <v>1</v>
      </c>
      <c r="T8" s="116">
        <f t="shared" si="7"/>
        <v>13</v>
      </c>
      <c r="U8" s="117">
        <f t="shared" si="8"/>
        <v>6</v>
      </c>
      <c r="V8" s="116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4" t="s">
        <v>24</v>
      </c>
      <c r="H9" s="115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6">
        <f t="shared" si="3"/>
        <v>11</v>
      </c>
      <c r="Q9" s="116">
        <f t="shared" si="4"/>
        <v>3</v>
      </c>
      <c r="R9" s="116">
        <f t="shared" si="5"/>
        <v>2</v>
      </c>
      <c r="S9" s="117">
        <f t="shared" si="6"/>
        <v>1</v>
      </c>
      <c r="T9" s="116">
        <f t="shared" si="7"/>
        <v>14</v>
      </c>
      <c r="U9" s="117">
        <f t="shared" si="8"/>
        <v>9</v>
      </c>
      <c r="V9" s="116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4" t="s">
        <v>24</v>
      </c>
      <c r="H10" s="115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6">
        <f t="shared" si="3"/>
        <v>16</v>
      </c>
      <c r="Q10" s="116">
        <f t="shared" si="4"/>
        <v>5</v>
      </c>
      <c r="R10" s="116">
        <f t="shared" si="5"/>
        <v>1</v>
      </c>
      <c r="S10" s="117">
        <f t="shared" si="6"/>
        <v>0</v>
      </c>
      <c r="T10" s="116">
        <f t="shared" si="7"/>
        <v>14</v>
      </c>
      <c r="U10" s="117">
        <f t="shared" si="8"/>
        <v>3</v>
      </c>
      <c r="V10" s="116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4" t="s">
        <v>24</v>
      </c>
      <c r="H11" s="115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6">
        <f t="shared" si="3"/>
        <v>10</v>
      </c>
      <c r="Q11" s="116">
        <f t="shared" si="4"/>
        <v>3</v>
      </c>
      <c r="R11" s="116">
        <f t="shared" si="5"/>
        <v>1</v>
      </c>
      <c r="S11" s="117">
        <f t="shared" si="6"/>
        <v>4</v>
      </c>
      <c r="T11" s="116">
        <f t="shared" si="7"/>
        <v>19</v>
      </c>
      <c r="U11" s="117">
        <f t="shared" si="8"/>
        <v>19</v>
      </c>
      <c r="V11" s="116">
        <f t="shared" si="9"/>
        <v>0</v>
      </c>
      <c r="W11" s="2"/>
      <c r="X11" s="2"/>
      <c r="Y11" s="2"/>
      <c r="Z11" s="2"/>
      <c r="AA11" s="109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4" t="s">
        <v>24</v>
      </c>
      <c r="H12" s="115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6">
        <f t="shared" si="3"/>
        <v>6</v>
      </c>
      <c r="Q12" s="116">
        <f t="shared" si="4"/>
        <v>2</v>
      </c>
      <c r="R12" s="116">
        <f t="shared" si="5"/>
        <v>0</v>
      </c>
      <c r="S12" s="117">
        <f t="shared" si="6"/>
        <v>5</v>
      </c>
      <c r="T12" s="116">
        <f t="shared" si="7"/>
        <v>9</v>
      </c>
      <c r="U12" s="117">
        <f t="shared" si="8"/>
        <v>13</v>
      </c>
      <c r="V12" s="116">
        <f t="shared" si="9"/>
        <v>-4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4" t="s">
        <v>24</v>
      </c>
      <c r="H13" s="115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6">
        <f t="shared" si="3"/>
        <v>0</v>
      </c>
      <c r="Q13" s="116">
        <f t="shared" si="4"/>
        <v>0</v>
      </c>
      <c r="R13" s="116">
        <f t="shared" si="5"/>
        <v>0</v>
      </c>
      <c r="S13" s="117">
        <f t="shared" si="6"/>
        <v>0</v>
      </c>
      <c r="T13" s="116">
        <f t="shared" si="7"/>
        <v>0</v>
      </c>
      <c r="U13" s="117">
        <f t="shared" si="8"/>
        <v>0</v>
      </c>
      <c r="V13" s="116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4" t="s">
        <v>24</v>
      </c>
      <c r="H14" s="115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6">
        <f t="shared" si="3"/>
        <v>6</v>
      </c>
      <c r="Q14" s="116">
        <f t="shared" si="4"/>
        <v>2</v>
      </c>
      <c r="R14" s="116">
        <f t="shared" si="5"/>
        <v>0</v>
      </c>
      <c r="S14" s="117">
        <f t="shared" si="6"/>
        <v>4</v>
      </c>
      <c r="T14" s="116">
        <f t="shared" si="7"/>
        <v>9</v>
      </c>
      <c r="U14" s="117">
        <f t="shared" si="8"/>
        <v>15</v>
      </c>
      <c r="V14" s="116">
        <f t="shared" si="9"/>
        <v>-6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4" t="s">
        <v>24</v>
      </c>
      <c r="H15" s="115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4" t="s">
        <v>24</v>
      </c>
      <c r="H16" s="115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4" t="s">
        <v>24</v>
      </c>
      <c r="H17" s="115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4" t="s">
        <v>24</v>
      </c>
      <c r="H18" s="115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4" t="s">
        <v>24</v>
      </c>
      <c r="H19" s="115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4" t="s">
        <v>24</v>
      </c>
      <c r="H20" s="115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20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4" t="s">
        <v>24</v>
      </c>
      <c r="H21" s="115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20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4" t="s">
        <v>24</v>
      </c>
      <c r="H22" s="115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20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4" t="s">
        <v>24</v>
      </c>
      <c r="H23" s="115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20">
        <v>46000.0</v>
      </c>
      <c r="C24" s="39" t="s">
        <v>55</v>
      </c>
      <c r="D24" s="12" t="s">
        <v>183</v>
      </c>
      <c r="E24" s="14" t="s">
        <v>156</v>
      </c>
      <c r="F24" s="17"/>
      <c r="G24" s="84" t="s">
        <v>24</v>
      </c>
      <c r="H24" s="115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20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4" t="s">
        <v>24</v>
      </c>
      <c r="H25" s="115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20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4" t="s">
        <v>24</v>
      </c>
      <c r="H26" s="115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4" t="s">
        <v>24</v>
      </c>
      <c r="H27" s="115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4" t="s">
        <v>24</v>
      </c>
      <c r="H28" s="115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4" t="s">
        <v>24</v>
      </c>
      <c r="H29" s="115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4" t="s">
        <v>24</v>
      </c>
      <c r="H30" s="115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4" t="s">
        <v>24</v>
      </c>
      <c r="H31" s="115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6" t="s">
        <v>112</v>
      </c>
      <c r="F32" s="17">
        <v>0.0</v>
      </c>
      <c r="G32" s="84" t="s">
        <v>24</v>
      </c>
      <c r="H32" s="115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4"/>
      <c r="G33" s="84" t="s">
        <v>24</v>
      </c>
      <c r="H33" s="121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4" t="s">
        <v>24</v>
      </c>
      <c r="H34" s="115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4" t="s">
        <v>24</v>
      </c>
      <c r="H35" s="115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4" t="s">
        <v>24</v>
      </c>
      <c r="H36" s="115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4" t="s">
        <v>24</v>
      </c>
      <c r="H37" s="115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4" t="s">
        <v>24</v>
      </c>
      <c r="H38" s="115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4" t="s">
        <v>24</v>
      </c>
      <c r="H39" s="115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4"/>
      <c r="G40" s="84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4" t="s">
        <v>24</v>
      </c>
      <c r="H41" s="115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4" t="s">
        <v>24</v>
      </c>
      <c r="H42" s="115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4" t="s">
        <v>24</v>
      </c>
      <c r="H43" s="115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02"/>
      <c r="C44" s="41"/>
      <c r="D44" s="12" t="s">
        <v>183</v>
      </c>
      <c r="E44" s="45" t="s">
        <v>112</v>
      </c>
      <c r="F44" s="84"/>
      <c r="G44" s="84" t="s">
        <v>24</v>
      </c>
      <c r="H44" s="121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4" t="s">
        <v>24</v>
      </c>
      <c r="H45" s="115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4"/>
      <c r="G46" s="84" t="s">
        <v>24</v>
      </c>
      <c r="H46" s="121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4" t="s">
        <v>24</v>
      </c>
      <c r="H47" s="115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4" t="s">
        <v>24</v>
      </c>
      <c r="H48" s="115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02"/>
      <c r="C49" s="41"/>
      <c r="D49" s="12" t="s">
        <v>183</v>
      </c>
      <c r="E49" s="45" t="s">
        <v>25</v>
      </c>
      <c r="F49" s="84"/>
      <c r="G49" s="84" t="s">
        <v>24</v>
      </c>
      <c r="H49" s="121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4" t="s">
        <v>24</v>
      </c>
      <c r="H50" s="115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5" t="s">
        <v>37</v>
      </c>
      <c r="F51" s="84"/>
      <c r="G51" s="84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5"/>
      <c r="C52" s="16"/>
      <c r="D52" s="122"/>
      <c r="E52" s="45" t="s">
        <v>38</v>
      </c>
      <c r="F52" s="84"/>
      <c r="G52" s="84" t="s">
        <v>24</v>
      </c>
      <c r="H52" s="121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5"/>
      <c r="C53" s="31"/>
      <c r="D53" s="122"/>
      <c r="E53" s="45" t="s">
        <v>63</v>
      </c>
      <c r="F53" s="84"/>
      <c r="G53" s="84" t="s">
        <v>24</v>
      </c>
      <c r="H53" s="121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5"/>
      <c r="C54" s="31"/>
      <c r="D54" s="122"/>
      <c r="E54" s="45" t="s">
        <v>58</v>
      </c>
      <c r="F54" s="84"/>
      <c r="G54" s="84" t="s">
        <v>24</v>
      </c>
      <c r="H54" s="121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5"/>
      <c r="C55" s="31"/>
      <c r="D55" s="122"/>
      <c r="E55" s="45" t="s">
        <v>115</v>
      </c>
      <c r="F55" s="84"/>
      <c r="G55" s="84" t="s">
        <v>24</v>
      </c>
      <c r="H55" s="121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5"/>
      <c r="C56" s="16"/>
      <c r="D56" s="122"/>
      <c r="E56" s="45" t="s">
        <v>112</v>
      </c>
      <c r="F56" s="84"/>
      <c r="G56" s="84" t="s">
        <v>24</v>
      </c>
      <c r="H56" s="121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5" t="s">
        <v>112</v>
      </c>
      <c r="F57" s="31"/>
      <c r="G57" s="84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5"/>
      <c r="C58" s="31"/>
      <c r="D58" s="122"/>
      <c r="E58" s="45" t="s">
        <v>33</v>
      </c>
      <c r="F58" s="16"/>
      <c r="G58" s="84" t="s">
        <v>24</v>
      </c>
      <c r="H58" s="121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5"/>
      <c r="C59" s="31"/>
      <c r="D59" s="122"/>
      <c r="E59" s="45" t="s">
        <v>66</v>
      </c>
      <c r="F59" s="31"/>
      <c r="G59" s="84" t="s">
        <v>24</v>
      </c>
      <c r="H59" s="121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5"/>
      <c r="C60" s="31"/>
      <c r="D60" s="122"/>
      <c r="E60" s="45" t="s">
        <v>25</v>
      </c>
      <c r="F60" s="31"/>
      <c r="G60" s="84" t="s">
        <v>24</v>
      </c>
      <c r="H60" s="121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5"/>
      <c r="C61" s="31"/>
      <c r="D61" s="122"/>
      <c r="E61" s="45" t="s">
        <v>23</v>
      </c>
      <c r="F61" s="31"/>
      <c r="G61" s="84" t="s">
        <v>24</v>
      </c>
      <c r="H61" s="121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5"/>
      <c r="C62" s="31"/>
      <c r="D62" s="122"/>
      <c r="E62" s="45" t="s">
        <v>40</v>
      </c>
      <c r="F62" s="31"/>
      <c r="G62" s="84" t="s">
        <v>24</v>
      </c>
      <c r="H62" s="121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1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3"/>
      <c r="C64" s="31"/>
      <c r="D64" s="31"/>
      <c r="E64" s="45" t="s">
        <v>37</v>
      </c>
      <c r="F64" s="84"/>
      <c r="G64" s="84" t="s">
        <v>24</v>
      </c>
      <c r="H64" s="121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1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1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1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5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1">
        <v>45952.0</v>
      </c>
      <c r="C75" s="39" t="s">
        <v>51</v>
      </c>
      <c r="D75" s="39" t="s">
        <v>183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1">
        <v>45952.0</v>
      </c>
      <c r="C76" s="39" t="s">
        <v>54</v>
      </c>
      <c r="D76" s="39" t="s">
        <v>183</v>
      </c>
      <c r="E76" s="17" t="s">
        <v>32</v>
      </c>
      <c r="F76" s="85">
        <v>5.0</v>
      </c>
      <c r="G76" s="84" t="s">
        <v>24</v>
      </c>
      <c r="H76" s="85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9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1">
        <v>45950.0</v>
      </c>
      <c r="C77" s="39" t="s">
        <v>54</v>
      </c>
      <c r="D77" s="39" t="s">
        <v>183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189</v>
      </c>
      <c r="AC78" s="23">
        <v>8.0</v>
      </c>
      <c r="AD78" s="23">
        <v>2.0</v>
      </c>
      <c r="AE78" s="23">
        <v>2.0</v>
      </c>
      <c r="AF78" s="23">
        <v>2.0</v>
      </c>
      <c r="AG78" s="23">
        <v>17.0</v>
      </c>
      <c r="AH78" s="24">
        <v>26.0</v>
      </c>
      <c r="AI78" s="23">
        <v>-9.0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1">
        <v>45979.0</v>
      </c>
      <c r="C79" s="12" t="s">
        <v>52</v>
      </c>
      <c r="D79" s="39" t="s">
        <v>183</v>
      </c>
      <c r="E79" s="17" t="s">
        <v>189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101</v>
      </c>
      <c r="AC79" s="23">
        <v>7.0</v>
      </c>
      <c r="AD79" s="23">
        <v>2.0</v>
      </c>
      <c r="AE79" s="23">
        <v>1.0</v>
      </c>
      <c r="AF79" s="23">
        <v>1.0</v>
      </c>
      <c r="AG79" s="23">
        <v>13.0</v>
      </c>
      <c r="AH79" s="24">
        <v>7.0</v>
      </c>
      <c r="AI79" s="23">
        <v>6.0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1"/>
      <c r="C80" s="12"/>
      <c r="D80" s="39" t="s">
        <v>183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43</v>
      </c>
      <c r="AC80" s="23">
        <v>7.0</v>
      </c>
      <c r="AD80" s="23">
        <v>2.0</v>
      </c>
      <c r="AE80" s="23">
        <v>1.0</v>
      </c>
      <c r="AF80" s="23">
        <v>3.0</v>
      </c>
      <c r="AG80" s="23">
        <v>11.0</v>
      </c>
      <c r="AH80" s="24">
        <v>13.0</v>
      </c>
      <c r="AI80" s="23">
        <v>-2.0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4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4" t="s">
        <v>24</v>
      </c>
      <c r="H81" s="85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4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5">
        <v>7.0</v>
      </c>
      <c r="G85" s="84" t="s">
        <v>24</v>
      </c>
      <c r="H85" s="85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5"/>
      <c r="C90" s="16"/>
      <c r="D90" s="16"/>
      <c r="E90" s="17" t="s">
        <v>45</v>
      </c>
      <c r="F90" s="126"/>
      <c r="G90" s="84" t="s">
        <v>24</v>
      </c>
      <c r="H90" s="126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7">
        <v>5.0</v>
      </c>
      <c r="B91" s="30"/>
      <c r="C91" s="16"/>
      <c r="D91" s="16"/>
      <c r="E91" s="17" t="s">
        <v>101</v>
      </c>
      <c r="F91" s="85">
        <v>3.0</v>
      </c>
      <c r="G91" s="84" t="s">
        <v>24</v>
      </c>
      <c r="H91" s="85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6"/>
      <c r="G94" s="84" t="s">
        <v>24</v>
      </c>
      <c r="H94" s="126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5"/>
      <c r="C95" s="16"/>
      <c r="D95" s="122"/>
      <c r="E95" s="17" t="s">
        <v>189</v>
      </c>
      <c r="F95" s="126"/>
      <c r="G95" s="84" t="s">
        <v>24</v>
      </c>
      <c r="H95" s="126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5"/>
      <c r="C96" s="16"/>
      <c r="D96" s="122"/>
      <c r="E96" s="17" t="s">
        <v>61</v>
      </c>
      <c r="F96" s="126"/>
      <c r="G96" s="84" t="s">
        <v>24</v>
      </c>
      <c r="H96" s="126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5"/>
      <c r="C97" s="16"/>
      <c r="D97" s="122"/>
      <c r="E97" s="17" t="s">
        <v>32</v>
      </c>
      <c r="F97" s="126"/>
      <c r="G97" s="84" t="s">
        <v>24</v>
      </c>
      <c r="H97" s="126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1">
        <v>46111.0</v>
      </c>
      <c r="C99" s="39" t="s">
        <v>52</v>
      </c>
      <c r="D99" s="39" t="s">
        <v>183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189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5"/>
      <c r="C100" s="16"/>
      <c r="D100" s="122"/>
      <c r="E100" s="45" t="s">
        <v>45</v>
      </c>
      <c r="F100" s="126"/>
      <c r="G100" s="84" t="s">
        <v>24</v>
      </c>
      <c r="H100" s="126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5"/>
      <c r="C101" s="16"/>
      <c r="D101" s="122"/>
      <c r="E101" s="17" t="s">
        <v>101</v>
      </c>
      <c r="F101" s="126"/>
      <c r="G101" s="84" t="s">
        <v>24</v>
      </c>
      <c r="H101" s="126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5"/>
      <c r="C102" s="16"/>
      <c r="D102" s="122"/>
      <c r="E102" s="17" t="s">
        <v>122</v>
      </c>
      <c r="F102" s="126"/>
      <c r="G102" s="84" t="s">
        <v>24</v>
      </c>
      <c r="H102" s="126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1">
        <v>45953.0</v>
      </c>
      <c r="C111" s="39" t="s">
        <v>54</v>
      </c>
      <c r="D111" s="39" t="s">
        <v>183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1">
        <v>45953.0</v>
      </c>
      <c r="C112" s="39" t="s">
        <v>52</v>
      </c>
      <c r="D112" s="39" t="s">
        <v>183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5</v>
      </c>
      <c r="T112" s="18">
        <f t="shared" si="25"/>
        <v>6</v>
      </c>
      <c r="U112" s="20">
        <f t="shared" si="26"/>
        <v>29</v>
      </c>
      <c r="V112" s="18">
        <f t="shared" si="27"/>
        <v>-23</v>
      </c>
      <c r="W112" s="2"/>
      <c r="X112" s="2"/>
      <c r="Y112" s="2"/>
      <c r="Z112" s="2"/>
      <c r="AA112" s="109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1">
        <v>45953.0</v>
      </c>
      <c r="C113" s="39" t="s">
        <v>55</v>
      </c>
      <c r="D113" s="39" t="s">
        <v>183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1.0</v>
      </c>
      <c r="AG113" s="23">
        <v>31.0</v>
      </c>
      <c r="AH113" s="24">
        <v>11.0</v>
      </c>
      <c r="AI113" s="23">
        <v>20.0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1">
        <v>45950.0</v>
      </c>
      <c r="C114" s="39" t="s">
        <v>52</v>
      </c>
      <c r="D114" s="39" t="s">
        <v>183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2</v>
      </c>
      <c r="T114" s="18">
        <f t="shared" si="25"/>
        <v>22</v>
      </c>
      <c r="U114" s="20">
        <f t="shared" si="26"/>
        <v>13</v>
      </c>
      <c r="V114" s="18">
        <f t="shared" si="27"/>
        <v>9</v>
      </c>
      <c r="W114" s="2"/>
      <c r="X114" s="2"/>
      <c r="Y114" s="2"/>
      <c r="Z114" s="2"/>
      <c r="AA114" s="22">
        <v>4.0</v>
      </c>
      <c r="AB114" s="23" t="s">
        <v>157</v>
      </c>
      <c r="AC114" s="23">
        <v>12.0</v>
      </c>
      <c r="AD114" s="23">
        <v>4.0</v>
      </c>
      <c r="AE114" s="23">
        <v>0.0</v>
      </c>
      <c r="AF114" s="23">
        <v>2.0</v>
      </c>
      <c r="AG114" s="23">
        <v>22.0</v>
      </c>
      <c r="AH114" s="24">
        <v>13.0</v>
      </c>
      <c r="AI114" s="23">
        <v>9.0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6"/>
      <c r="G115" s="84" t="s">
        <v>24</v>
      </c>
      <c r="H115" s="126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1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6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1</v>
      </c>
      <c r="T117" s="18">
        <f t="shared" si="25"/>
        <v>31</v>
      </c>
      <c r="U117" s="20">
        <f t="shared" si="26"/>
        <v>11</v>
      </c>
      <c r="V117" s="18">
        <f t="shared" si="27"/>
        <v>20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5.0</v>
      </c>
      <c r="AG117" s="23">
        <v>6.0</v>
      </c>
      <c r="AH117" s="24">
        <v>29.0</v>
      </c>
      <c r="AI117" s="23">
        <v>-23.0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1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1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1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8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5">
        <v>0.0</v>
      </c>
      <c r="F125" s="126"/>
      <c r="G125" s="84" t="s">
        <v>24</v>
      </c>
      <c r="H125" s="126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183</v>
      </c>
      <c r="E128" s="17" t="s">
        <v>60</v>
      </c>
      <c r="F128" s="126"/>
      <c r="G128" s="84" t="s">
        <v>24</v>
      </c>
      <c r="H128" s="126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1">
        <v>46104.0</v>
      </c>
      <c r="C132" s="39" t="s">
        <v>52</v>
      </c>
      <c r="D132" s="39" t="s">
        <v>183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5"/>
      <c r="C135" s="31"/>
      <c r="D135" s="122"/>
      <c r="E135" s="45">
        <v>0.0</v>
      </c>
      <c r="F135" s="126"/>
      <c r="G135" s="84" t="s">
        <v>24</v>
      </c>
      <c r="H135" s="126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1">
        <v>46097.0</v>
      </c>
      <c r="C136" s="39" t="s">
        <v>54</v>
      </c>
      <c r="D136" s="39" t="s">
        <v>183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1">
        <v>46100.0</v>
      </c>
      <c r="C137" s="39" t="s">
        <v>54</v>
      </c>
      <c r="D137" s="39" t="s">
        <v>183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1">
        <v>46100.0</v>
      </c>
      <c r="C138" s="39" t="s">
        <v>52</v>
      </c>
      <c r="D138" s="39" t="s">
        <v>183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6"/>
      <c r="G139" s="84" t="s">
        <v>24</v>
      </c>
      <c r="H139" s="126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1">
        <v>46097.0</v>
      </c>
      <c r="C140" s="39" t="s">
        <v>55</v>
      </c>
      <c r="D140" s="39" t="s">
        <v>183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1">
        <v>46106.0</v>
      </c>
      <c r="C141" s="39" t="s">
        <v>55</v>
      </c>
      <c r="D141" s="39" t="s">
        <v>183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1">
        <v>46111.0</v>
      </c>
      <c r="C142" s="39" t="s">
        <v>54</v>
      </c>
      <c r="D142" s="39" t="s">
        <v>183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1">
        <v>46104.0</v>
      </c>
      <c r="C143" s="39" t="s">
        <v>55</v>
      </c>
      <c r="D143" s="39" t="s">
        <v>183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1">
        <v>46111.0</v>
      </c>
      <c r="C144" s="39" t="s">
        <v>55</v>
      </c>
      <c r="D144" s="39" t="s">
        <v>183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6"/>
      <c r="G145" s="84" t="s">
        <v>24</v>
      </c>
      <c r="H145" s="126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2"/>
      <c r="E146" s="17" t="s">
        <v>65</v>
      </c>
      <c r="F146" s="126"/>
      <c r="G146" s="84" t="s">
        <v>24</v>
      </c>
      <c r="H146" s="126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2"/>
      <c r="E147" s="17" t="s">
        <v>35</v>
      </c>
      <c r="F147" s="126"/>
      <c r="G147" s="84" t="s">
        <v>24</v>
      </c>
      <c r="H147" s="126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2"/>
      <c r="E148" s="17" t="s">
        <v>60</v>
      </c>
      <c r="F148" s="126"/>
      <c r="G148" s="84" t="s">
        <v>24</v>
      </c>
      <c r="H148" s="126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5"/>
      <c r="C149" s="16"/>
      <c r="D149" s="122"/>
      <c r="E149" s="17" t="s">
        <v>157</v>
      </c>
      <c r="F149" s="126"/>
      <c r="G149" s="84" t="s">
        <v>24</v>
      </c>
      <c r="H149" s="126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6"/>
      <c r="G150" s="84" t="s">
        <v>24</v>
      </c>
      <c r="H150" s="126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6"/>
      <c r="G151" s="84" t="s">
        <v>24</v>
      </c>
      <c r="H151" s="126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5"/>
      <c r="C152" s="16"/>
      <c r="D152" s="122"/>
      <c r="E152" s="17" t="s">
        <v>114</v>
      </c>
      <c r="F152" s="126"/>
      <c r="G152" s="84" t="s">
        <v>24</v>
      </c>
      <c r="H152" s="126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5"/>
      <c r="C153" s="16"/>
      <c r="D153" s="122"/>
      <c r="E153" s="17" t="s">
        <v>64</v>
      </c>
      <c r="F153" s="126"/>
      <c r="G153" s="84" t="s">
        <v>24</v>
      </c>
      <c r="H153" s="126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5"/>
      <c r="C154" s="16"/>
      <c r="D154" s="122"/>
      <c r="E154" s="17" t="s">
        <v>144</v>
      </c>
      <c r="F154" s="126"/>
      <c r="G154" s="84" t="s">
        <v>24</v>
      </c>
      <c r="H154" s="126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5"/>
      <c r="C155" s="16"/>
      <c r="D155" s="122"/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9" t="s">
        <v>196</v>
      </c>
      <c r="I1" s="130"/>
      <c r="AA1" s="3"/>
      <c r="AB1" s="130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1"/>
      <c r="K3" s="132">
        <f t="shared" ref="K3:K68" si="1">IFS(F3=H3+2,3,F3=H3-2,0,F3=H3+1,2,F3=H3-1,1,F3="","")</f>
        <v>1</v>
      </c>
      <c r="L3" s="133">
        <f t="shared" ref="L3:L68" si="2">IFS(H3=F3+2,3,H3=F3-2,0,H3=F3+1,2,H3=F3-1,1,H3="","")</f>
        <v>2</v>
      </c>
      <c r="M3" s="131"/>
      <c r="N3" s="133">
        <v>1.0</v>
      </c>
      <c r="O3" s="134" t="s">
        <v>23</v>
      </c>
      <c r="P3" s="133">
        <f t="shared" ref="P3:P14" si="3">SUMIF(E$3:E$68,O3,K$3:K$68)+SUMIF(I$3:I$68,O3,L$3:L$68)</f>
        <v>20</v>
      </c>
      <c r="Q3" s="135">
        <f t="shared" ref="Q3:Q14" si="4">COUNTIFS(E$3:E$68,O3,K$3:K$68,2)+COUNTIFS(I$3:I$68,O3,L$3:L$68,2)+COUNTIFS(E$3:E$68,O3,K$3:K$68,3)+COUNTIFS(I$3:I$68,O3,L$3:L$68,3)</f>
        <v>7</v>
      </c>
      <c r="R3" s="135"/>
      <c r="S3" s="136">
        <f t="shared" ref="S3:S14" si="5">COUNTIFS(E$3:E$68,O3,K$3:K$68,1)+COUNTIFS(I$3:I$68,O3,L$3:L$68,1)+COUNTIFS(E$3:E$68,O3,K$3:K$68,0)+COUNTIFS(I$3:I$68,O3,L$3:L$68,0)</f>
        <v>1</v>
      </c>
      <c r="T3" s="133">
        <f t="shared" ref="T3:T14" si="6">SUMIF(E$3:E$68,O3,F$3:F$68)+SUMIF(I$3:I$68,O3,H$3:H$68)</f>
        <v>15</v>
      </c>
      <c r="U3" s="136">
        <f t="shared" ref="U3:U14" si="7">SUMIF(E$3:E$68,O3,H$3:H$68)+SUMIF(I$3:I$68,O3,F$3:F$68)</f>
        <v>4</v>
      </c>
      <c r="V3" s="133">
        <f t="shared" ref="V3:V14" si="8">T3-U3</f>
        <v>11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144</v>
      </c>
      <c r="P4" s="133">
        <f t="shared" si="3"/>
        <v>10</v>
      </c>
      <c r="Q4" s="135">
        <f t="shared" si="4"/>
        <v>3</v>
      </c>
      <c r="R4" s="135"/>
      <c r="S4" s="136">
        <f t="shared" si="5"/>
        <v>4</v>
      </c>
      <c r="T4" s="133">
        <f t="shared" si="6"/>
        <v>7</v>
      </c>
      <c r="U4" s="136">
        <f t="shared" si="7"/>
        <v>8</v>
      </c>
      <c r="V4" s="133">
        <f t="shared" si="8"/>
        <v>-1</v>
      </c>
      <c r="X4" s="119" t="s">
        <v>66</v>
      </c>
      <c r="Y4" s="119">
        <v>2.0</v>
      </c>
      <c r="AA4" s="22" t="s">
        <v>34</v>
      </c>
      <c r="AB4" s="70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31"/>
      <c r="K5" s="132">
        <f t="shared" si="1"/>
        <v>0</v>
      </c>
      <c r="L5" s="133">
        <f t="shared" si="2"/>
        <v>3</v>
      </c>
      <c r="M5" s="131"/>
      <c r="N5" s="133">
        <v>3.0</v>
      </c>
      <c r="O5" s="134" t="s">
        <v>25</v>
      </c>
      <c r="P5" s="133">
        <f t="shared" si="3"/>
        <v>21</v>
      </c>
      <c r="Q5" s="135">
        <f t="shared" si="4"/>
        <v>7</v>
      </c>
      <c r="R5" s="135"/>
      <c r="S5" s="136">
        <f t="shared" si="5"/>
        <v>1</v>
      </c>
      <c r="T5" s="133">
        <f t="shared" si="6"/>
        <v>15</v>
      </c>
      <c r="U5" s="136">
        <f t="shared" si="7"/>
        <v>3</v>
      </c>
      <c r="V5" s="133">
        <f t="shared" si="8"/>
        <v>12</v>
      </c>
      <c r="X5" s="119" t="s">
        <v>31</v>
      </c>
      <c r="Y5" s="119">
        <v>1.0</v>
      </c>
      <c r="AA5" s="22" t="s">
        <v>39</v>
      </c>
      <c r="AB5" s="70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115</v>
      </c>
      <c r="P6" s="133">
        <f t="shared" si="3"/>
        <v>8</v>
      </c>
      <c r="Q6" s="135">
        <f t="shared" si="4"/>
        <v>3</v>
      </c>
      <c r="R6" s="135"/>
      <c r="S6" s="136">
        <f t="shared" si="5"/>
        <v>6</v>
      </c>
      <c r="T6" s="133">
        <f t="shared" si="6"/>
        <v>6</v>
      </c>
      <c r="U6" s="136">
        <f t="shared" si="7"/>
        <v>13</v>
      </c>
      <c r="V6" s="133">
        <f t="shared" si="8"/>
        <v>-7</v>
      </c>
      <c r="AA6" s="22" t="s">
        <v>42</v>
      </c>
      <c r="AB6" s="70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117</v>
      </c>
      <c r="P7" s="133">
        <f t="shared" si="3"/>
        <v>15</v>
      </c>
      <c r="Q7" s="135">
        <f t="shared" si="4"/>
        <v>5</v>
      </c>
      <c r="R7" s="135"/>
      <c r="S7" s="136">
        <f t="shared" si="5"/>
        <v>3</v>
      </c>
      <c r="T7" s="133">
        <f t="shared" si="6"/>
        <v>11</v>
      </c>
      <c r="U7" s="136">
        <f t="shared" si="7"/>
        <v>7</v>
      </c>
      <c r="V7" s="133">
        <f t="shared" si="8"/>
        <v>4</v>
      </c>
      <c r="AA7" s="22" t="s">
        <v>44</v>
      </c>
      <c r="AB7" s="70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1"/>
      <c r="K8" s="132">
        <f t="shared" si="1"/>
        <v>3</v>
      </c>
      <c r="L8" s="133">
        <f t="shared" si="2"/>
        <v>0</v>
      </c>
      <c r="M8" s="131"/>
      <c r="N8" s="133">
        <v>6.0</v>
      </c>
      <c r="O8" s="134" t="s">
        <v>37</v>
      </c>
      <c r="P8" s="133">
        <f t="shared" si="3"/>
        <v>20</v>
      </c>
      <c r="Q8" s="135">
        <f t="shared" si="4"/>
        <v>7</v>
      </c>
      <c r="R8" s="135"/>
      <c r="S8" s="136">
        <f t="shared" si="5"/>
        <v>1</v>
      </c>
      <c r="T8" s="133">
        <f t="shared" si="6"/>
        <v>14</v>
      </c>
      <c r="U8" s="136">
        <f t="shared" si="7"/>
        <v>3</v>
      </c>
      <c r="V8" s="133">
        <f t="shared" si="8"/>
        <v>11</v>
      </c>
      <c r="AA8" s="22" t="s">
        <v>47</v>
      </c>
      <c r="AB8" s="70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189</v>
      </c>
      <c r="P9" s="133">
        <f t="shared" si="3"/>
        <v>8</v>
      </c>
      <c r="Q9" s="135">
        <f t="shared" si="4"/>
        <v>3</v>
      </c>
      <c r="R9" s="135"/>
      <c r="S9" s="136">
        <f t="shared" si="5"/>
        <v>5</v>
      </c>
      <c r="T9" s="133">
        <f t="shared" si="6"/>
        <v>6</v>
      </c>
      <c r="U9" s="136">
        <f t="shared" si="7"/>
        <v>11</v>
      </c>
      <c r="V9" s="133">
        <f t="shared" si="8"/>
        <v>-5</v>
      </c>
      <c r="AA9" s="22">
        <v>7.0</v>
      </c>
      <c r="AB9" s="70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1"/>
      <c r="K10" s="132">
        <f t="shared" si="1"/>
        <v>0</v>
      </c>
      <c r="L10" s="133">
        <f t="shared" si="2"/>
        <v>3</v>
      </c>
      <c r="M10" s="131"/>
      <c r="N10" s="133">
        <v>8.0</v>
      </c>
      <c r="O10" s="134" t="s">
        <v>32</v>
      </c>
      <c r="P10" s="133">
        <f t="shared" si="3"/>
        <v>3</v>
      </c>
      <c r="Q10" s="135">
        <f t="shared" si="4"/>
        <v>1</v>
      </c>
      <c r="R10" s="135"/>
      <c r="S10" s="136">
        <f t="shared" si="5"/>
        <v>7</v>
      </c>
      <c r="T10" s="133">
        <f t="shared" si="6"/>
        <v>3</v>
      </c>
      <c r="U10" s="136">
        <f t="shared" si="7"/>
        <v>15</v>
      </c>
      <c r="V10" s="133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31"/>
      <c r="K11" s="132">
        <f t="shared" si="1"/>
        <v>0</v>
      </c>
      <c r="L11" s="133">
        <f t="shared" si="2"/>
        <v>3</v>
      </c>
      <c r="M11" s="131"/>
      <c r="N11" s="133">
        <v>9.0</v>
      </c>
      <c r="O11" s="134" t="s">
        <v>43</v>
      </c>
      <c r="P11" s="133">
        <f t="shared" si="3"/>
        <v>11</v>
      </c>
      <c r="Q11" s="135">
        <f t="shared" si="4"/>
        <v>3</v>
      </c>
      <c r="R11" s="135"/>
      <c r="S11" s="136">
        <f t="shared" si="5"/>
        <v>5</v>
      </c>
      <c r="T11" s="133">
        <f t="shared" si="6"/>
        <v>9</v>
      </c>
      <c r="U11" s="136">
        <f t="shared" si="7"/>
        <v>11</v>
      </c>
      <c r="V11" s="133">
        <f t="shared" si="8"/>
        <v>-2</v>
      </c>
      <c r="AA11" s="109" t="s">
        <v>104</v>
      </c>
      <c r="AB11" s="70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1"/>
      <c r="K12" s="132">
        <f t="shared" si="1"/>
        <v>2</v>
      </c>
      <c r="L12" s="133">
        <f t="shared" si="2"/>
        <v>1</v>
      </c>
      <c r="M12" s="131"/>
      <c r="N12" s="133">
        <v>10.0</v>
      </c>
      <c r="O12" s="137" t="s">
        <v>31</v>
      </c>
      <c r="P12" s="133">
        <f t="shared" si="3"/>
        <v>10</v>
      </c>
      <c r="Q12" s="135">
        <f t="shared" si="4"/>
        <v>3</v>
      </c>
      <c r="R12" s="135"/>
      <c r="S12" s="136">
        <f t="shared" si="5"/>
        <v>5</v>
      </c>
      <c r="T12" s="133">
        <f t="shared" si="6"/>
        <v>7</v>
      </c>
      <c r="U12" s="136">
        <f t="shared" si="7"/>
        <v>10</v>
      </c>
      <c r="V12" s="133">
        <f t="shared" si="8"/>
        <v>-3</v>
      </c>
      <c r="AA12" s="76">
        <v>10.0</v>
      </c>
      <c r="AB12" s="70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66</v>
      </c>
      <c r="P13" s="133">
        <f t="shared" si="3"/>
        <v>1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1</v>
      </c>
      <c r="U13" s="136">
        <f t="shared" si="7"/>
        <v>16</v>
      </c>
      <c r="V13" s="133">
        <f t="shared" si="8"/>
        <v>-15</v>
      </c>
      <c r="AA13" s="76">
        <v>11.0</v>
      </c>
      <c r="AB13" s="70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1"/>
      <c r="K14" s="132">
        <f t="shared" si="1"/>
        <v>3</v>
      </c>
      <c r="L14" s="133">
        <f t="shared" si="2"/>
        <v>0</v>
      </c>
      <c r="M14" s="131"/>
      <c r="N14" s="139">
        <v>12.0</v>
      </c>
      <c r="O14" s="138" t="s">
        <v>61</v>
      </c>
      <c r="P14" s="133">
        <f t="shared" si="3"/>
        <v>17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6</v>
      </c>
      <c r="V14" s="133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1"/>
      <c r="K15" s="132">
        <f t="shared" si="1"/>
        <v>3</v>
      </c>
      <c r="L15" s="133">
        <f t="shared" si="2"/>
        <v>0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1"/>
      <c r="K17" s="132">
        <f t="shared" si="1"/>
        <v>0</v>
      </c>
      <c r="L17" s="133">
        <f t="shared" si="2"/>
        <v>3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1"/>
      <c r="K18" s="132">
        <f t="shared" si="1"/>
        <v>2</v>
      </c>
      <c r="L18" s="133">
        <f t="shared" si="2"/>
        <v>1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1"/>
      <c r="K21" s="132">
        <f t="shared" si="1"/>
        <v>3</v>
      </c>
      <c r="L21" s="133">
        <f t="shared" si="2"/>
        <v>0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31"/>
      <c r="K22" s="132">
        <f t="shared" si="1"/>
        <v>0</v>
      </c>
      <c r="L22" s="133">
        <f t="shared" si="2"/>
        <v>3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1"/>
      <c r="K25" s="132">
        <f t="shared" si="1"/>
        <v>3</v>
      </c>
      <c r="L25" s="133">
        <f t="shared" si="2"/>
        <v>0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31"/>
      <c r="K27" s="132">
        <f t="shared" si="1"/>
        <v>1</v>
      </c>
      <c r="L27" s="133">
        <f t="shared" si="2"/>
        <v>2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1"/>
      <c r="K30" s="132">
        <f t="shared" si="1"/>
        <v>0</v>
      </c>
      <c r="L30" s="133">
        <f t="shared" si="2"/>
        <v>3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1"/>
      <c r="K31" s="132">
        <f t="shared" si="1"/>
        <v>0</v>
      </c>
      <c r="L31" s="133">
        <f t="shared" si="2"/>
        <v>3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31"/>
      <c r="K33" s="132">
        <f t="shared" si="1"/>
        <v>0</v>
      </c>
      <c r="L33" s="133">
        <f t="shared" si="2"/>
        <v>3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1"/>
      <c r="K34" s="132">
        <f t="shared" si="1"/>
        <v>1</v>
      </c>
      <c r="L34" s="133">
        <f t="shared" si="2"/>
        <v>2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1"/>
      <c r="K36" s="132">
        <f t="shared" si="1"/>
        <v>1</v>
      </c>
      <c r="L36" s="133">
        <f t="shared" si="2"/>
        <v>2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1"/>
      <c r="K37" s="132">
        <f t="shared" si="1"/>
        <v>2</v>
      </c>
      <c r="L37" s="133">
        <f t="shared" si="2"/>
        <v>1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1"/>
      <c r="K38" s="132">
        <f t="shared" si="1"/>
        <v>3</v>
      </c>
      <c r="L38" s="133">
        <f t="shared" si="2"/>
        <v>0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31"/>
      <c r="K39" s="132">
        <f t="shared" si="1"/>
        <v>0</v>
      </c>
      <c r="L39" s="133">
        <f t="shared" si="2"/>
        <v>3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1"/>
      <c r="K43" s="132">
        <f t="shared" si="1"/>
        <v>0</v>
      </c>
      <c r="L43" s="133">
        <f t="shared" si="2"/>
        <v>3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1"/>
      <c r="K44" s="132">
        <f t="shared" si="1"/>
        <v>3</v>
      </c>
      <c r="L44" s="133">
        <f t="shared" si="2"/>
        <v>0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02"/>
      <c r="C47" s="91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31"/>
      <c r="K47" s="132" t="str">
        <f t="shared" si="1"/>
        <v/>
      </c>
      <c r="L47" s="133" t="str">
        <f t="shared" si="2"/>
        <v/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2">
        <f t="shared" si="1"/>
        <v>0</v>
      </c>
      <c r="L49" s="133">
        <f t="shared" si="2"/>
        <v>3</v>
      </c>
      <c r="AA49" s="3"/>
      <c r="AB49" s="130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2">
        <f t="shared" si="1"/>
        <v>0</v>
      </c>
      <c r="L50" s="133">
        <f t="shared" si="2"/>
        <v>3</v>
      </c>
      <c r="AA50" s="3"/>
      <c r="AB50" s="130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2"/>
      <c r="C51" s="143"/>
      <c r="D51" s="144"/>
      <c r="E51" s="17" t="s">
        <v>43</v>
      </c>
      <c r="F51" s="144"/>
      <c r="G51" s="31" t="s">
        <v>24</v>
      </c>
      <c r="H51" s="31"/>
      <c r="I51" s="17" t="s">
        <v>66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2"/>
      <c r="C52" s="143"/>
      <c r="D52" s="144"/>
      <c r="E52" s="17" t="s">
        <v>189</v>
      </c>
      <c r="F52" s="144"/>
      <c r="G52" s="31" t="s">
        <v>24</v>
      </c>
      <c r="H52" s="31"/>
      <c r="I52" s="17" t="s">
        <v>144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5">
        <v>2.0</v>
      </c>
      <c r="G53" s="31" t="s">
        <v>24</v>
      </c>
      <c r="H53" s="13">
        <v>0.0</v>
      </c>
      <c r="I53" s="17" t="s">
        <v>115</v>
      </c>
      <c r="K53" s="132">
        <f t="shared" si="1"/>
        <v>3</v>
      </c>
      <c r="L53" s="133">
        <f t="shared" si="2"/>
        <v>0</v>
      </c>
      <c r="AA53" s="3"/>
      <c r="AB53" s="130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2"/>
      <c r="C54" s="143"/>
      <c r="D54" s="144"/>
      <c r="E54" s="17" t="s">
        <v>25</v>
      </c>
      <c r="F54" s="144"/>
      <c r="G54" s="31" t="s">
        <v>24</v>
      </c>
      <c r="H54" s="31"/>
      <c r="I54" s="17" t="s">
        <v>37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2"/>
      <c r="C55" s="143"/>
      <c r="D55" s="144"/>
      <c r="E55" s="17" t="s">
        <v>23</v>
      </c>
      <c r="F55" s="144"/>
      <c r="G55" s="31" t="s">
        <v>24</v>
      </c>
      <c r="H55" s="31"/>
      <c r="I55" s="17" t="s">
        <v>32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2"/>
      <c r="C56" s="143"/>
      <c r="D56" s="144"/>
      <c r="E56" s="17" t="s">
        <v>61</v>
      </c>
      <c r="F56" s="144"/>
      <c r="G56" s="31" t="s">
        <v>24</v>
      </c>
      <c r="H56" s="31"/>
      <c r="I56" s="17" t="s">
        <v>31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6"/>
      <c r="C57" s="144"/>
      <c r="D57" s="144"/>
      <c r="E57" s="17" t="s">
        <v>61</v>
      </c>
      <c r="F57" s="31"/>
      <c r="G57" s="31" t="s">
        <v>24</v>
      </c>
      <c r="H57" s="31"/>
      <c r="I57" s="17" t="s">
        <v>66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2"/>
      <c r="C58" s="144"/>
      <c r="D58" s="144"/>
      <c r="E58" s="17" t="s">
        <v>144</v>
      </c>
      <c r="F58" s="31"/>
      <c r="G58" s="31" t="s">
        <v>24</v>
      </c>
      <c r="H58" s="31"/>
      <c r="I58" s="17" t="s">
        <v>43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2"/>
      <c r="C59" s="144"/>
      <c r="D59" s="144"/>
      <c r="E59" s="17" t="s">
        <v>115</v>
      </c>
      <c r="F59" s="31"/>
      <c r="G59" s="31" t="s">
        <v>24</v>
      </c>
      <c r="H59" s="31"/>
      <c r="I59" s="17" t="s">
        <v>189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2"/>
      <c r="C60" s="144"/>
      <c r="D60" s="144"/>
      <c r="E60" s="17" t="s">
        <v>37</v>
      </c>
      <c r="F60" s="31"/>
      <c r="G60" s="31" t="s">
        <v>24</v>
      </c>
      <c r="H60" s="31"/>
      <c r="I60" s="17" t="s">
        <v>117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2"/>
      <c r="C61" s="144"/>
      <c r="D61" s="144"/>
      <c r="E61" s="17" t="s">
        <v>32</v>
      </c>
      <c r="F61" s="31"/>
      <c r="G61" s="31" t="s">
        <v>24</v>
      </c>
      <c r="H61" s="31"/>
      <c r="I61" s="17" t="s">
        <v>25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2"/>
      <c r="C62" s="144"/>
      <c r="D62" s="144"/>
      <c r="E62" s="17" t="s">
        <v>31</v>
      </c>
      <c r="F62" s="31"/>
      <c r="G62" s="31" t="s">
        <v>24</v>
      </c>
      <c r="H62" s="31"/>
      <c r="I62" s="17" t="s">
        <v>23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2"/>
      <c r="C63" s="143"/>
      <c r="D63" s="144"/>
      <c r="E63" s="17" t="s">
        <v>66</v>
      </c>
      <c r="F63" s="31"/>
      <c r="G63" s="31" t="s">
        <v>24</v>
      </c>
      <c r="H63" s="31"/>
      <c r="I63" s="17" t="s">
        <v>144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2"/>
      <c r="C64" s="143"/>
      <c r="D64" s="144"/>
      <c r="E64" s="17" t="s">
        <v>43</v>
      </c>
      <c r="F64" s="31"/>
      <c r="G64" s="31" t="s">
        <v>24</v>
      </c>
      <c r="H64" s="31"/>
      <c r="I64" s="17" t="s">
        <v>115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2"/>
      <c r="C65" s="143"/>
      <c r="D65" s="144"/>
      <c r="E65" s="17" t="s">
        <v>189</v>
      </c>
      <c r="F65" s="31"/>
      <c r="G65" s="31" t="s">
        <v>24</v>
      </c>
      <c r="H65" s="31"/>
      <c r="I65" s="17" t="s">
        <v>37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2"/>
      <c r="C66" s="143"/>
      <c r="D66" s="144"/>
      <c r="E66" s="17" t="s">
        <v>117</v>
      </c>
      <c r="F66" s="31"/>
      <c r="G66" s="31" t="s">
        <v>24</v>
      </c>
      <c r="H66" s="31"/>
      <c r="I66" s="17" t="s">
        <v>32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2"/>
      <c r="C67" s="143"/>
      <c r="D67" s="144"/>
      <c r="E67" s="17" t="s">
        <v>25</v>
      </c>
      <c r="F67" s="31"/>
      <c r="G67" s="31" t="s">
        <v>24</v>
      </c>
      <c r="H67" s="31"/>
      <c r="I67" s="17" t="s">
        <v>31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6"/>
      <c r="C68" s="143"/>
      <c r="D68" s="144"/>
      <c r="E68" s="17" t="s">
        <v>23</v>
      </c>
      <c r="F68" s="13"/>
      <c r="G68" s="31" t="s">
        <v>24</v>
      </c>
      <c r="H68" s="13"/>
      <c r="I68" s="17" t="s">
        <v>61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</row>
    <row r="72" ht="15.75" customHeight="1">
      <c r="A72" s="129" t="s">
        <v>201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1"/>
      <c r="K74" s="132">
        <f t="shared" ref="K74:K139" si="9">IFS(F74=H74+2,3,F74=H74-2,0,F74=H74+1,2,F74=H74-1,1,F74="","")</f>
        <v>1</v>
      </c>
      <c r="L74" s="133">
        <f t="shared" ref="L74:L139" si="10">IFS(H74=F74+2,3,H74=F74-2,0,H74=F74+1,2,H74=F74-1,1,H74="","")</f>
        <v>2</v>
      </c>
      <c r="M74" s="131"/>
      <c r="N74" s="133">
        <v>1.0</v>
      </c>
      <c r="O74" s="134" t="s">
        <v>40</v>
      </c>
      <c r="P74" s="133">
        <f t="shared" ref="P74:P84" si="11">SUMIF(E$74:E$139,O74,K$74:K$139)+SUMIF(I$74:I$139,O74,L$74:L$139)</f>
        <v>7</v>
      </c>
      <c r="Q74" s="135">
        <f t="shared" ref="Q74:Q84" si="12">COUNTIFS(E$74:E$139,O74,K$74:K$139,2)+COUNTIFS(I$74:I$139,O74,L$74:L$139,2)+COUNTIFS(E$74:E$139,O74,K$74:K$139,3)+COUNTIFS(I$74:I$139,O74,L$74:L$139,3)</f>
        <v>1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7</v>
      </c>
      <c r="T74" s="133">
        <f t="shared" ref="T74:T84" si="14">SUMIF(E$74:E$139,O74,F$74:F$139)+SUMIF(I$74:I$139,O74,H$74:H$139)</f>
        <v>6</v>
      </c>
      <c r="U74" s="136">
        <f t="shared" ref="U74:U84" si="15">SUMIF(E$74:E$139,O74,H$74:H$139)+SUMIF(I$74:I$139,O74,F$74:F$139)</f>
        <v>14</v>
      </c>
      <c r="V74" s="133">
        <f t="shared" ref="V74:V84" si="16">T74-U74</f>
        <v>-8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1"/>
      <c r="K75" s="132">
        <f t="shared" si="9"/>
        <v>3</v>
      </c>
      <c r="L75" s="133">
        <f t="shared" si="10"/>
        <v>0</v>
      </c>
      <c r="M75" s="131"/>
      <c r="N75" s="133">
        <v>2.0</v>
      </c>
      <c r="O75" s="134" t="s">
        <v>41</v>
      </c>
      <c r="P75" s="133">
        <f t="shared" si="11"/>
        <v>8</v>
      </c>
      <c r="Q75" s="135">
        <f t="shared" si="12"/>
        <v>3</v>
      </c>
      <c r="R75" s="136"/>
      <c r="S75" s="136">
        <f t="shared" si="13"/>
        <v>4</v>
      </c>
      <c r="T75" s="133">
        <f t="shared" si="14"/>
        <v>6</v>
      </c>
      <c r="U75" s="136">
        <f t="shared" si="15"/>
        <v>9</v>
      </c>
      <c r="V75" s="133">
        <f t="shared" si="16"/>
        <v>-3</v>
      </c>
      <c r="X75" s="119" t="s">
        <v>33</v>
      </c>
      <c r="Y75" s="119">
        <v>3.0</v>
      </c>
      <c r="AA75" s="109" t="s">
        <v>116</v>
      </c>
      <c r="AB75" s="70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158</v>
      </c>
      <c r="P76" s="133">
        <f t="shared" si="11"/>
        <v>13</v>
      </c>
      <c r="Q76" s="135">
        <f t="shared" si="12"/>
        <v>4</v>
      </c>
      <c r="R76" s="136"/>
      <c r="S76" s="136">
        <f t="shared" si="13"/>
        <v>3</v>
      </c>
      <c r="T76" s="133">
        <f t="shared" si="14"/>
        <v>10</v>
      </c>
      <c r="U76" s="136">
        <f t="shared" si="15"/>
        <v>7</v>
      </c>
      <c r="V76" s="133">
        <f t="shared" si="16"/>
        <v>3</v>
      </c>
      <c r="X76" s="119" t="s">
        <v>41</v>
      </c>
      <c r="Y76" s="119">
        <v>0.0</v>
      </c>
      <c r="AA76" s="22">
        <v>3.0</v>
      </c>
      <c r="AB76" s="70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1"/>
      <c r="K77" s="132">
        <f t="shared" si="9"/>
        <v>2</v>
      </c>
      <c r="L77" s="133">
        <f t="shared" si="10"/>
        <v>1</v>
      </c>
      <c r="M77" s="131"/>
      <c r="N77" s="133">
        <v>4.0</v>
      </c>
      <c r="O77" s="134" t="s">
        <v>119</v>
      </c>
      <c r="P77" s="133">
        <f t="shared" si="11"/>
        <v>11</v>
      </c>
      <c r="Q77" s="135">
        <f t="shared" si="12"/>
        <v>4</v>
      </c>
      <c r="R77" s="136"/>
      <c r="S77" s="136">
        <f t="shared" si="13"/>
        <v>3</v>
      </c>
      <c r="T77" s="133">
        <f t="shared" si="14"/>
        <v>9</v>
      </c>
      <c r="U77" s="136">
        <f t="shared" si="15"/>
        <v>8</v>
      </c>
      <c r="V77" s="133">
        <f t="shared" si="16"/>
        <v>1</v>
      </c>
      <c r="AA77" s="22">
        <v>4.0</v>
      </c>
      <c r="AB77" s="70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1"/>
      <c r="K78" s="132">
        <f t="shared" si="9"/>
        <v>0</v>
      </c>
      <c r="L78" s="133">
        <f t="shared" si="10"/>
        <v>3</v>
      </c>
      <c r="M78" s="131"/>
      <c r="N78" s="133">
        <v>5.0</v>
      </c>
      <c r="O78" s="134" t="s">
        <v>64</v>
      </c>
      <c r="P78" s="133">
        <f t="shared" si="11"/>
        <v>11</v>
      </c>
      <c r="Q78" s="135">
        <f t="shared" si="12"/>
        <v>4</v>
      </c>
      <c r="R78" s="136"/>
      <c r="S78" s="136">
        <f t="shared" si="13"/>
        <v>3</v>
      </c>
      <c r="T78" s="133">
        <f t="shared" si="14"/>
        <v>8</v>
      </c>
      <c r="U78" s="136">
        <f t="shared" si="15"/>
        <v>7</v>
      </c>
      <c r="V78" s="133">
        <f t="shared" si="16"/>
        <v>1</v>
      </c>
      <c r="AA78" s="22">
        <v>5.0</v>
      </c>
      <c r="AB78" s="70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41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69</v>
      </c>
      <c r="P79" s="133">
        <f t="shared" si="11"/>
        <v>3</v>
      </c>
      <c r="Q79" s="135">
        <f t="shared" si="12"/>
        <v>1</v>
      </c>
      <c r="R79" s="136"/>
      <c r="S79" s="136">
        <f t="shared" si="13"/>
        <v>6</v>
      </c>
      <c r="T79" s="133">
        <f t="shared" si="14"/>
        <v>3</v>
      </c>
      <c r="U79" s="136">
        <f t="shared" si="15"/>
        <v>13</v>
      </c>
      <c r="V79" s="133">
        <f t="shared" si="16"/>
        <v>-10</v>
      </c>
      <c r="AA79" s="22">
        <v>6.0</v>
      </c>
      <c r="AB79" s="70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5">
        <v>2.0</v>
      </c>
      <c r="B80" s="142"/>
      <c r="C80" s="143"/>
      <c r="D80" s="144"/>
      <c r="E80" s="17" t="s">
        <v>158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134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5</v>
      </c>
      <c r="T80" s="133">
        <f t="shared" si="14"/>
        <v>5</v>
      </c>
      <c r="U80" s="136">
        <f t="shared" si="15"/>
        <v>12</v>
      </c>
      <c r="V80" s="133">
        <f t="shared" si="16"/>
        <v>-7</v>
      </c>
      <c r="AA80" s="22">
        <v>7.0</v>
      </c>
      <c r="AB80" s="70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1"/>
      <c r="K81" s="132">
        <f t="shared" si="9"/>
        <v>3</v>
      </c>
      <c r="L81" s="133">
        <f t="shared" si="10"/>
        <v>0</v>
      </c>
      <c r="M81" s="131"/>
      <c r="N81" s="133">
        <v>8.0</v>
      </c>
      <c r="O81" s="134" t="s">
        <v>202</v>
      </c>
      <c r="P81" s="133">
        <f t="shared" si="11"/>
        <v>11</v>
      </c>
      <c r="Q81" s="135">
        <f t="shared" si="12"/>
        <v>3</v>
      </c>
      <c r="R81" s="136"/>
      <c r="S81" s="136">
        <f t="shared" si="13"/>
        <v>4</v>
      </c>
      <c r="T81" s="133">
        <f t="shared" si="14"/>
        <v>8</v>
      </c>
      <c r="U81" s="136">
        <f t="shared" si="15"/>
        <v>8</v>
      </c>
      <c r="V81" s="133">
        <f t="shared" si="16"/>
        <v>0</v>
      </c>
      <c r="AA81" s="22">
        <v>8.0</v>
      </c>
      <c r="AB81" s="70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112</v>
      </c>
      <c r="P82" s="133">
        <f t="shared" si="11"/>
        <v>9</v>
      </c>
      <c r="Q82" s="135">
        <f t="shared" si="12"/>
        <v>3</v>
      </c>
      <c r="R82" s="136"/>
      <c r="S82" s="136">
        <f t="shared" si="13"/>
        <v>4</v>
      </c>
      <c r="T82" s="133">
        <f t="shared" si="14"/>
        <v>8</v>
      </c>
      <c r="U82" s="136">
        <f t="shared" si="15"/>
        <v>10</v>
      </c>
      <c r="V82" s="133">
        <f t="shared" si="16"/>
        <v>-2</v>
      </c>
      <c r="AA82" s="22">
        <v>9.0</v>
      </c>
      <c r="AB82" s="70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1"/>
      <c r="K83" s="132">
        <f t="shared" si="9"/>
        <v>2</v>
      </c>
      <c r="L83" s="133">
        <f t="shared" si="10"/>
        <v>1</v>
      </c>
      <c r="M83" s="131"/>
      <c r="N83" s="133">
        <v>10.0</v>
      </c>
      <c r="O83" s="134" t="s">
        <v>170</v>
      </c>
      <c r="P83" s="133">
        <f t="shared" si="11"/>
        <v>22</v>
      </c>
      <c r="Q83" s="135">
        <f t="shared" si="12"/>
        <v>8</v>
      </c>
      <c r="R83" s="136"/>
      <c r="S83" s="136">
        <f t="shared" si="13"/>
        <v>0</v>
      </c>
      <c r="T83" s="133">
        <f t="shared" si="14"/>
        <v>16</v>
      </c>
      <c r="U83" s="136">
        <f t="shared" si="15"/>
        <v>2</v>
      </c>
      <c r="V83" s="133">
        <f t="shared" si="16"/>
        <v>14</v>
      </c>
      <c r="AA83" s="22">
        <v>10.0</v>
      </c>
      <c r="AB83" s="70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68</v>
      </c>
      <c r="P84" s="133">
        <f t="shared" si="11"/>
        <v>20</v>
      </c>
      <c r="Q84" s="135">
        <f t="shared" si="12"/>
        <v>7</v>
      </c>
      <c r="S84" s="136">
        <f t="shared" si="13"/>
        <v>1</v>
      </c>
      <c r="T84" s="133">
        <f t="shared" si="14"/>
        <v>15</v>
      </c>
      <c r="U84" s="136">
        <f t="shared" si="15"/>
        <v>4</v>
      </c>
      <c r="V84" s="133">
        <f t="shared" si="16"/>
        <v>11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1"/>
      <c r="K86" s="132">
        <f t="shared" si="9"/>
        <v>3</v>
      </c>
      <c r="L86" s="133">
        <f t="shared" si="10"/>
        <v>0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1"/>
      <c r="K87" s="132">
        <f t="shared" si="9"/>
        <v>1</v>
      </c>
      <c r="L87" s="133">
        <f t="shared" si="10"/>
        <v>2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1"/>
      <c r="K88" s="132">
        <f t="shared" si="9"/>
        <v>3</v>
      </c>
      <c r="L88" s="133">
        <f t="shared" si="10"/>
        <v>0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1"/>
      <c r="K89" s="132">
        <f t="shared" si="9"/>
        <v>0</v>
      </c>
      <c r="L89" s="133">
        <f t="shared" si="10"/>
        <v>3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119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</row>
    <row r="92" ht="15.75" customHeight="1">
      <c r="A92" s="127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1"/>
      <c r="K93" s="132">
        <f t="shared" si="9"/>
        <v>2</v>
      </c>
      <c r="L93" s="133">
        <f t="shared" si="10"/>
        <v>1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1"/>
      <c r="K94" s="132">
        <f t="shared" si="9"/>
        <v>3</v>
      </c>
      <c r="L94" s="133">
        <f t="shared" si="10"/>
        <v>0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1"/>
      <c r="K95" s="132">
        <f t="shared" si="9"/>
        <v>1</v>
      </c>
      <c r="L95" s="133">
        <f t="shared" si="10"/>
        <v>2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1"/>
      <c r="K96" s="132">
        <f t="shared" si="9"/>
        <v>0</v>
      </c>
      <c r="L96" s="133">
        <f t="shared" si="10"/>
        <v>3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1"/>
      <c r="K97" s="132">
        <f t="shared" si="9"/>
        <v>2</v>
      </c>
      <c r="L97" s="133">
        <f t="shared" si="10"/>
        <v>1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5">
        <v>2.0</v>
      </c>
      <c r="G99" s="31" t="s">
        <v>24</v>
      </c>
      <c r="H99" s="13">
        <v>0.0</v>
      </c>
      <c r="I99" s="17" t="s">
        <v>112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5">
        <v>1.0</v>
      </c>
      <c r="G100" s="31" t="s">
        <v>24</v>
      </c>
      <c r="H100" s="13">
        <v>2.0</v>
      </c>
      <c r="I100" s="17" t="s">
        <v>68</v>
      </c>
      <c r="J100" s="131"/>
      <c r="K100" s="132">
        <f t="shared" si="9"/>
        <v>1</v>
      </c>
      <c r="L100" s="133">
        <f t="shared" si="10"/>
        <v>2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5">
        <v>2.0</v>
      </c>
      <c r="G101" s="31" t="s">
        <v>24</v>
      </c>
      <c r="H101" s="13">
        <v>0.0</v>
      </c>
      <c r="I101" s="17" t="s">
        <v>41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5">
        <v>1.0</v>
      </c>
      <c r="G102" s="31" t="s">
        <v>24</v>
      </c>
      <c r="H102" s="13">
        <v>2.0</v>
      </c>
      <c r="I102" s="17" t="s">
        <v>119</v>
      </c>
      <c r="J102" s="131"/>
      <c r="K102" s="132">
        <f t="shared" si="9"/>
        <v>1</v>
      </c>
      <c r="L102" s="133">
        <f t="shared" si="10"/>
        <v>2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69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2"/>
      <c r="C104" s="143"/>
      <c r="D104" s="144"/>
      <c r="E104" s="17" t="s">
        <v>134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1"/>
      <c r="K105" s="132">
        <f t="shared" si="9"/>
        <v>1</v>
      </c>
      <c r="L105" s="133">
        <f t="shared" si="10"/>
        <v>2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1"/>
      <c r="K106" s="132">
        <f t="shared" si="9"/>
        <v>2</v>
      </c>
      <c r="L106" s="133">
        <f t="shared" si="10"/>
        <v>1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1"/>
      <c r="K107" s="132">
        <f t="shared" si="9"/>
        <v>2</v>
      </c>
      <c r="L107" s="133">
        <f t="shared" si="10"/>
        <v>1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1"/>
      <c r="K108" s="132">
        <f t="shared" si="9"/>
        <v>1</v>
      </c>
      <c r="L108" s="133">
        <f t="shared" si="10"/>
        <v>2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1"/>
      <c r="K110" s="132">
        <f t="shared" si="9"/>
        <v>1</v>
      </c>
      <c r="L110" s="133">
        <f t="shared" si="10"/>
        <v>2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1"/>
      <c r="K111" s="132">
        <f t="shared" si="9"/>
        <v>0</v>
      </c>
      <c r="L111" s="133">
        <f t="shared" si="10"/>
        <v>3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1"/>
      <c r="K112" s="132">
        <f t="shared" si="9"/>
        <v>0</v>
      </c>
      <c r="L112" s="133">
        <f t="shared" si="10"/>
        <v>3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1"/>
      <c r="K113" s="132">
        <f t="shared" si="9"/>
        <v>0</v>
      </c>
      <c r="L113" s="133">
        <f t="shared" si="10"/>
        <v>3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202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2"/>
      <c r="C116" s="143"/>
      <c r="D116" s="144"/>
      <c r="E116" s="17" t="s">
        <v>112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1"/>
      <c r="K119" s="132">
        <f t="shared" si="9"/>
        <v>0</v>
      </c>
      <c r="L119" s="133">
        <f t="shared" si="10"/>
        <v>3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1"/>
      <c r="K121" s="132">
        <f t="shared" si="9"/>
        <v>0</v>
      </c>
      <c r="L121" s="133">
        <f t="shared" si="10"/>
        <v>3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42"/>
      <c r="C122" s="143"/>
      <c r="D122" s="144"/>
      <c r="E122" s="17" t="s">
        <v>112</v>
      </c>
      <c r="F122" s="31"/>
      <c r="G122" s="31" t="s">
        <v>24</v>
      </c>
      <c r="H122" s="31"/>
      <c r="I122" s="17" t="s">
        <v>68</v>
      </c>
      <c r="J122" s="131"/>
      <c r="K122" s="132" t="str">
        <f t="shared" si="9"/>
        <v/>
      </c>
      <c r="L122" s="133" t="str">
        <f t="shared" si="10"/>
        <v/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2"/>
      <c r="C123" s="143"/>
      <c r="D123" s="144"/>
      <c r="E123" s="17" t="s">
        <v>134</v>
      </c>
      <c r="F123" s="31"/>
      <c r="G123" s="31" t="s">
        <v>24</v>
      </c>
      <c r="H123" s="31"/>
      <c r="I123" s="17" t="s">
        <v>41</v>
      </c>
      <c r="J123" s="131"/>
      <c r="K123" s="132" t="str">
        <f t="shared" si="9"/>
        <v/>
      </c>
      <c r="L123" s="133" t="str">
        <f t="shared" si="10"/>
        <v/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2"/>
      <c r="C124" s="143"/>
      <c r="D124" s="144"/>
      <c r="E124" s="17" t="s">
        <v>64</v>
      </c>
      <c r="F124" s="31"/>
      <c r="G124" s="31" t="s">
        <v>24</v>
      </c>
      <c r="H124" s="31"/>
      <c r="I124" s="17" t="s">
        <v>119</v>
      </c>
      <c r="J124" s="131"/>
      <c r="K124" s="132" t="str">
        <f t="shared" si="9"/>
        <v/>
      </c>
      <c r="L124" s="133" t="str">
        <f t="shared" si="10"/>
        <v/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2"/>
      <c r="C125" s="143"/>
      <c r="D125" s="144"/>
      <c r="E125" s="17" t="s">
        <v>158</v>
      </c>
      <c r="F125" s="31"/>
      <c r="G125" s="31" t="s">
        <v>24</v>
      </c>
      <c r="H125" s="31"/>
      <c r="I125" s="17" t="s">
        <v>69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2"/>
      <c r="C126" s="144"/>
      <c r="D126" s="144"/>
      <c r="E126" s="17" t="s">
        <v>40</v>
      </c>
      <c r="F126" s="31"/>
      <c r="G126" s="31" t="s">
        <v>24</v>
      </c>
      <c r="H126" s="31"/>
      <c r="I126" s="17" t="s">
        <v>202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170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68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2"/>
      <c r="C129" s="143"/>
      <c r="D129" s="144"/>
      <c r="E129" s="17" t="s">
        <v>41</v>
      </c>
      <c r="F129" s="31"/>
      <c r="G129" s="31" t="s">
        <v>24</v>
      </c>
      <c r="H129" s="31"/>
      <c r="I129" s="17" t="s">
        <v>112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2"/>
      <c r="C130" s="143"/>
      <c r="D130" s="144"/>
      <c r="E130" s="17" t="s">
        <v>119</v>
      </c>
      <c r="F130" s="31"/>
      <c r="G130" s="31" t="s">
        <v>24</v>
      </c>
      <c r="H130" s="31"/>
      <c r="I130" s="17" t="s">
        <v>134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2"/>
      <c r="C131" s="143"/>
      <c r="D131" s="144"/>
      <c r="E131" s="17" t="s">
        <v>69</v>
      </c>
      <c r="F131" s="31"/>
      <c r="G131" s="31" t="s">
        <v>24</v>
      </c>
      <c r="H131" s="31"/>
      <c r="I131" s="17" t="s">
        <v>64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2"/>
      <c r="C132" s="144"/>
      <c r="D132" s="144"/>
      <c r="E132" s="17" t="s">
        <v>202</v>
      </c>
      <c r="F132" s="31"/>
      <c r="G132" s="31" t="s">
        <v>24</v>
      </c>
      <c r="H132" s="31"/>
      <c r="I132" s="17" t="s">
        <v>158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2"/>
      <c r="C133" s="144"/>
      <c r="D133" s="144"/>
      <c r="E133" s="17" t="s">
        <v>170</v>
      </c>
      <c r="F133" s="31"/>
      <c r="G133" s="31" t="s">
        <v>24</v>
      </c>
      <c r="H133" s="31"/>
      <c r="I133" s="17" t="s">
        <v>40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2"/>
      <c r="C134" s="143"/>
      <c r="D134" s="144"/>
      <c r="E134" s="17" t="s">
        <v>68</v>
      </c>
      <c r="F134" s="13"/>
      <c r="G134" s="31" t="s">
        <v>24</v>
      </c>
      <c r="H134" s="13"/>
      <c r="I134" s="17" t="s">
        <v>41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2"/>
      <c r="C135" s="143"/>
      <c r="D135" s="144"/>
      <c r="E135" s="17" t="s">
        <v>112</v>
      </c>
      <c r="F135" s="31"/>
      <c r="G135" s="31" t="s">
        <v>24</v>
      </c>
      <c r="H135" s="31"/>
      <c r="I135" s="17" t="s">
        <v>119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2"/>
      <c r="C136" s="143"/>
      <c r="D136" s="144"/>
      <c r="E136" s="17" t="s">
        <v>134</v>
      </c>
      <c r="F136" s="13"/>
      <c r="G136" s="31" t="s">
        <v>24</v>
      </c>
      <c r="H136" s="13"/>
      <c r="I136" s="17" t="s">
        <v>69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2"/>
      <c r="C137" s="143"/>
      <c r="D137" s="144"/>
      <c r="E137" s="17" t="s">
        <v>64</v>
      </c>
      <c r="F137" s="31"/>
      <c r="G137" s="31" t="s">
        <v>24</v>
      </c>
      <c r="H137" s="31"/>
      <c r="I137" s="17" t="s">
        <v>202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2"/>
      <c r="C138" s="144"/>
      <c r="D138" s="144"/>
      <c r="E138" s="17" t="s">
        <v>158</v>
      </c>
      <c r="F138" s="13"/>
      <c r="G138" s="31" t="s">
        <v>24</v>
      </c>
      <c r="H138" s="13"/>
      <c r="I138" s="17" t="s">
        <v>170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2"/>
      <c r="C139" s="144"/>
      <c r="D139" s="144"/>
      <c r="E139" s="17" t="s">
        <v>40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</row>
    <row r="144" ht="15.75" customHeight="1">
      <c r="A144" s="154" t="s">
        <v>205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123</v>
      </c>
      <c r="P146" s="133">
        <f t="shared" ref="P146:P156" si="19">SUMIF(E$146:E$211,O146,K$146:K$211)+SUMIF(I$146:I$211,O146,L$146:L$211)</f>
        <v>20</v>
      </c>
      <c r="Q146" s="135">
        <f t="shared" ref="Q146:Q156" si="20">COUNTIFS(E$146:E$211,O146,K$146:K$211,2)+COUNTIFS(I$146:I$211,O146,L$146:L$211,2)+COUNTIFS(E$146:E$211,O146,K$146:K$211,3)+COUNTIFS(I$146:I$211,O146,L$146:L$211,3)</f>
        <v>7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1</v>
      </c>
      <c r="T146" s="133">
        <f t="shared" ref="T146:T156" si="22">SUMIF(E$146:E$211,O146,F$146:F$211)+SUMIF(I$146:I$211,O146,H$146:H$211)</f>
        <v>15</v>
      </c>
      <c r="U146" s="136">
        <f t="shared" ref="U146:U156" si="23">SUMIF(E$146:E$211,O146,H$146:H$211)+SUMIF(I$146:I$211,O146,F$146:F$211)</f>
        <v>4</v>
      </c>
      <c r="V146" s="133">
        <f t="shared" ref="V146:V156" si="24">T146-U146</f>
        <v>11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157</v>
      </c>
      <c r="P147" s="133">
        <f t="shared" si="19"/>
        <v>14</v>
      </c>
      <c r="Q147" s="135">
        <f t="shared" si="20"/>
        <v>5</v>
      </c>
      <c r="R147" s="136"/>
      <c r="S147" s="136">
        <f t="shared" si="21"/>
        <v>2</v>
      </c>
      <c r="T147" s="133">
        <f t="shared" si="22"/>
        <v>11</v>
      </c>
      <c r="U147" s="136">
        <f t="shared" si="23"/>
        <v>6</v>
      </c>
      <c r="V147" s="133">
        <f t="shared" si="24"/>
        <v>5</v>
      </c>
      <c r="X147" s="119" t="s">
        <v>33</v>
      </c>
      <c r="Y147" s="119">
        <v>3.0</v>
      </c>
      <c r="AA147" s="109" t="s">
        <v>116</v>
      </c>
      <c r="AB147" s="70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1"/>
      <c r="K148" s="132">
        <f t="shared" si="17"/>
        <v>3</v>
      </c>
      <c r="L148" s="133">
        <f t="shared" si="18"/>
        <v>0</v>
      </c>
      <c r="M148" s="131"/>
      <c r="N148" s="133">
        <v>3.0</v>
      </c>
      <c r="O148" s="134" t="s">
        <v>60</v>
      </c>
      <c r="P148" s="133">
        <f t="shared" si="19"/>
        <v>16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5</v>
      </c>
      <c r="V148" s="133">
        <f t="shared" si="24"/>
        <v>7</v>
      </c>
      <c r="X148" s="119" t="s">
        <v>41</v>
      </c>
      <c r="Y148" s="119">
        <v>0.0</v>
      </c>
      <c r="AA148" s="22">
        <v>3.0</v>
      </c>
      <c r="AB148" s="70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1"/>
      <c r="K149" s="132">
        <f t="shared" si="17"/>
        <v>1</v>
      </c>
      <c r="L149" s="133">
        <f t="shared" si="18"/>
        <v>2</v>
      </c>
      <c r="M149" s="131"/>
      <c r="N149" s="133">
        <v>4.0</v>
      </c>
      <c r="O149" s="134" t="s">
        <v>63</v>
      </c>
      <c r="P149" s="133">
        <f t="shared" si="19"/>
        <v>5</v>
      </c>
      <c r="Q149" s="135">
        <f t="shared" si="20"/>
        <v>2</v>
      </c>
      <c r="R149" s="136"/>
      <c r="S149" s="136">
        <f t="shared" si="21"/>
        <v>5</v>
      </c>
      <c r="T149" s="133">
        <f t="shared" si="22"/>
        <v>4</v>
      </c>
      <c r="U149" s="136">
        <f t="shared" si="23"/>
        <v>11</v>
      </c>
      <c r="V149" s="133">
        <f t="shared" si="24"/>
        <v>-7</v>
      </c>
      <c r="AA149" s="22">
        <v>4.0</v>
      </c>
      <c r="AB149" s="70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1"/>
      <c r="K150" s="132">
        <f t="shared" si="17"/>
        <v>0</v>
      </c>
      <c r="L150" s="133">
        <f t="shared" si="18"/>
        <v>3</v>
      </c>
      <c r="M150" s="131"/>
      <c r="N150" s="133">
        <v>5.0</v>
      </c>
      <c r="O150" s="134" t="s">
        <v>35</v>
      </c>
      <c r="P150" s="133">
        <f t="shared" si="19"/>
        <v>3</v>
      </c>
      <c r="Q150" s="135">
        <f t="shared" si="20"/>
        <v>0</v>
      </c>
      <c r="R150" s="136"/>
      <c r="S150" s="136">
        <f t="shared" si="21"/>
        <v>7</v>
      </c>
      <c r="T150" s="133">
        <f t="shared" si="22"/>
        <v>3</v>
      </c>
      <c r="U150" s="136">
        <f t="shared" si="23"/>
        <v>14</v>
      </c>
      <c r="V150" s="133">
        <f t="shared" si="24"/>
        <v>-11</v>
      </c>
      <c r="AA150" s="22">
        <v>5.0</v>
      </c>
      <c r="AB150" s="70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157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59</v>
      </c>
      <c r="P151" s="133">
        <f t="shared" si="19"/>
        <v>10</v>
      </c>
      <c r="Q151" s="135">
        <f t="shared" si="20"/>
        <v>3</v>
      </c>
      <c r="R151" s="136"/>
      <c r="S151" s="136">
        <f t="shared" si="21"/>
        <v>4</v>
      </c>
      <c r="T151" s="133">
        <f t="shared" si="22"/>
        <v>7</v>
      </c>
      <c r="U151" s="136">
        <f t="shared" si="23"/>
        <v>8</v>
      </c>
      <c r="V151" s="133">
        <f t="shared" si="24"/>
        <v>-1</v>
      </c>
      <c r="AA151" s="22">
        <v>6.0</v>
      </c>
      <c r="AB151" s="70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5">
        <v>2.0</v>
      </c>
      <c r="B152" s="142"/>
      <c r="C152" s="143"/>
      <c r="D152" s="144"/>
      <c r="E152" s="17" t="s">
        <v>60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65</v>
      </c>
      <c r="P152" s="133">
        <f t="shared" si="19"/>
        <v>2</v>
      </c>
      <c r="Q152" s="135">
        <f t="shared" si="20"/>
        <v>1</v>
      </c>
      <c r="R152" s="136"/>
      <c r="S152" s="136">
        <f t="shared" si="21"/>
        <v>6</v>
      </c>
      <c r="T152" s="133">
        <f t="shared" si="22"/>
        <v>2</v>
      </c>
      <c r="U152" s="136">
        <f t="shared" si="23"/>
        <v>13</v>
      </c>
      <c r="V152" s="133">
        <f t="shared" si="24"/>
        <v>-11</v>
      </c>
      <c r="AA152" s="22">
        <v>7.0</v>
      </c>
      <c r="AB152" s="70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206</v>
      </c>
      <c r="P153" s="133">
        <f t="shared" si="19"/>
        <v>5</v>
      </c>
      <c r="Q153" s="135">
        <f t="shared" si="20"/>
        <v>1</v>
      </c>
      <c r="R153" s="136"/>
      <c r="S153" s="136">
        <f t="shared" si="21"/>
        <v>5</v>
      </c>
      <c r="T153" s="133">
        <f t="shared" si="22"/>
        <v>4</v>
      </c>
      <c r="U153" s="136">
        <f t="shared" si="23"/>
        <v>10</v>
      </c>
      <c r="V153" s="133">
        <f t="shared" si="24"/>
        <v>-6</v>
      </c>
      <c r="AA153" s="22">
        <v>8.0</v>
      </c>
      <c r="AB153" s="70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1"/>
      <c r="K154" s="132">
        <f t="shared" si="17"/>
        <v>0</v>
      </c>
      <c r="L154" s="133">
        <f t="shared" si="18"/>
        <v>3</v>
      </c>
      <c r="M154" s="131"/>
      <c r="N154" s="133">
        <v>9.0</v>
      </c>
      <c r="O154" s="134" t="s">
        <v>114</v>
      </c>
      <c r="P154" s="133">
        <f t="shared" si="19"/>
        <v>11</v>
      </c>
      <c r="Q154" s="135">
        <f t="shared" si="20"/>
        <v>5</v>
      </c>
      <c r="R154" s="136"/>
      <c r="S154" s="136">
        <f t="shared" si="21"/>
        <v>3</v>
      </c>
      <c r="T154" s="133">
        <f t="shared" si="22"/>
        <v>10</v>
      </c>
      <c r="U154" s="136">
        <f t="shared" si="23"/>
        <v>10</v>
      </c>
      <c r="V154" s="133">
        <f t="shared" si="24"/>
        <v>0</v>
      </c>
      <c r="AA154" s="22">
        <v>9.0</v>
      </c>
      <c r="AB154" s="70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1"/>
      <c r="K155" s="132">
        <f t="shared" si="17"/>
        <v>2</v>
      </c>
      <c r="L155" s="133">
        <f t="shared" si="18"/>
        <v>1</v>
      </c>
      <c r="M155" s="131"/>
      <c r="N155" s="133">
        <v>10.0</v>
      </c>
      <c r="O155" s="134" t="s">
        <v>45</v>
      </c>
      <c r="P155" s="133">
        <f t="shared" si="19"/>
        <v>16</v>
      </c>
      <c r="Q155" s="135">
        <f t="shared" si="20"/>
        <v>5</v>
      </c>
      <c r="R155" s="136"/>
      <c r="S155" s="136">
        <f t="shared" si="21"/>
        <v>2</v>
      </c>
      <c r="T155" s="133">
        <f t="shared" si="22"/>
        <v>11</v>
      </c>
      <c r="U155" s="136">
        <f t="shared" si="23"/>
        <v>4</v>
      </c>
      <c r="V155" s="133">
        <f t="shared" si="24"/>
        <v>7</v>
      </c>
      <c r="AA155" s="22">
        <v>10.0</v>
      </c>
      <c r="AB155" s="70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1"/>
      <c r="K156" s="132">
        <f t="shared" si="17"/>
        <v>0</v>
      </c>
      <c r="L156" s="133">
        <f t="shared" si="18"/>
        <v>3</v>
      </c>
      <c r="M156" s="131"/>
      <c r="N156" s="149">
        <v>11.0</v>
      </c>
      <c r="O156" s="149" t="s">
        <v>33</v>
      </c>
      <c r="P156" s="133">
        <f t="shared" si="19"/>
        <v>18</v>
      </c>
      <c r="Q156" s="135">
        <f t="shared" si="20"/>
        <v>6</v>
      </c>
      <c r="S156" s="136">
        <f t="shared" si="21"/>
        <v>3</v>
      </c>
      <c r="T156" s="133">
        <f t="shared" si="22"/>
        <v>13</v>
      </c>
      <c r="U156" s="136">
        <f t="shared" si="23"/>
        <v>7</v>
      </c>
      <c r="V156" s="133">
        <f t="shared" si="24"/>
        <v>6</v>
      </c>
      <c r="AA156" s="53">
        <v>11.0</v>
      </c>
      <c r="AB156" s="70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1"/>
      <c r="K157" s="132">
        <f t="shared" si="17"/>
        <v>1</v>
      </c>
      <c r="L157" s="133">
        <f t="shared" si="18"/>
        <v>2</v>
      </c>
      <c r="M157" s="131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1"/>
      <c r="K158" s="132">
        <f t="shared" si="17"/>
        <v>3</v>
      </c>
      <c r="L158" s="133">
        <f t="shared" si="18"/>
        <v>0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1"/>
      <c r="K159" s="132">
        <f t="shared" si="17"/>
        <v>3</v>
      </c>
      <c r="L159" s="133">
        <f t="shared" si="18"/>
        <v>0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63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</row>
    <row r="164" ht="15.75" customHeight="1">
      <c r="A164" s="127">
        <v>4.0</v>
      </c>
      <c r="B164" s="142"/>
      <c r="C164" s="144"/>
      <c r="D164" s="144"/>
      <c r="E164" s="17" t="s">
        <v>35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1"/>
      <c r="K165" s="132">
        <f t="shared" si="17"/>
        <v>0</v>
      </c>
      <c r="L165" s="133">
        <f t="shared" si="18"/>
        <v>3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1"/>
      <c r="K167" s="132">
        <f t="shared" si="17"/>
        <v>2</v>
      </c>
      <c r="L167" s="133">
        <f t="shared" si="18"/>
        <v>1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1"/>
      <c r="K168" s="132">
        <f t="shared" si="17"/>
        <v>2</v>
      </c>
      <c r="L168" s="133">
        <f t="shared" si="18"/>
        <v>1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1"/>
      <c r="K169" s="132">
        <f t="shared" si="17"/>
        <v>0</v>
      </c>
      <c r="L169" s="133">
        <f t="shared" si="18"/>
        <v>3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1"/>
      <c r="K170" s="132">
        <f t="shared" si="17"/>
        <v>1</v>
      </c>
      <c r="L170" s="133">
        <f t="shared" si="18"/>
        <v>2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5">
        <v>2.0</v>
      </c>
      <c r="G171" s="31" t="s">
        <v>24</v>
      </c>
      <c r="H171" s="13">
        <v>0.0</v>
      </c>
      <c r="I171" s="17" t="s">
        <v>114</v>
      </c>
      <c r="J171" s="131"/>
      <c r="K171" s="132">
        <f t="shared" si="17"/>
        <v>3</v>
      </c>
      <c r="L171" s="133">
        <f t="shared" si="18"/>
        <v>0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5">
        <v>2.0</v>
      </c>
      <c r="G172" s="31" t="s">
        <v>24</v>
      </c>
      <c r="H172" s="13">
        <v>0.0</v>
      </c>
      <c r="I172" s="17" t="s">
        <v>33</v>
      </c>
      <c r="J172" s="131"/>
      <c r="K172" s="132">
        <f t="shared" si="17"/>
        <v>3</v>
      </c>
      <c r="L172" s="133">
        <f t="shared" si="18"/>
        <v>0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5">
        <v>0.0</v>
      </c>
      <c r="G173" s="31" t="s">
        <v>24</v>
      </c>
      <c r="H173" s="13">
        <v>2.0</v>
      </c>
      <c r="I173" s="17" t="s">
        <v>157</v>
      </c>
      <c r="J173" s="131"/>
      <c r="K173" s="132">
        <f t="shared" si="17"/>
        <v>0</v>
      </c>
      <c r="L173" s="133">
        <f t="shared" si="18"/>
        <v>3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5">
        <v>0.0</v>
      </c>
      <c r="G174" s="31" t="s">
        <v>24</v>
      </c>
      <c r="H174" s="13">
        <v>2.0</v>
      </c>
      <c r="I174" s="17" t="s">
        <v>63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59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2"/>
      <c r="C176" s="143"/>
      <c r="D176" s="144"/>
      <c r="E176" s="17" t="s">
        <v>65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1"/>
      <c r="K177" s="132">
        <f t="shared" si="17"/>
        <v>2</v>
      </c>
      <c r="L177" s="133">
        <f t="shared" si="18"/>
        <v>1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1"/>
      <c r="K179" s="132">
        <f t="shared" si="17"/>
        <v>0</v>
      </c>
      <c r="L179" s="133">
        <f t="shared" si="18"/>
        <v>3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1"/>
      <c r="K181" s="132">
        <f t="shared" si="17"/>
        <v>3</v>
      </c>
      <c r="L181" s="133">
        <f t="shared" si="18"/>
        <v>0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1"/>
      <c r="K182" s="132">
        <f t="shared" si="17"/>
        <v>0</v>
      </c>
      <c r="L182" s="133">
        <f t="shared" si="18"/>
        <v>3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1"/>
      <c r="K184" s="132">
        <f t="shared" si="17"/>
        <v>1</v>
      </c>
      <c r="L184" s="133">
        <f t="shared" si="18"/>
        <v>2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1"/>
      <c r="K185" s="132">
        <f t="shared" si="17"/>
        <v>3</v>
      </c>
      <c r="L185" s="133">
        <f t="shared" si="18"/>
        <v>0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206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2"/>
      <c r="C188" s="143"/>
      <c r="D188" s="144"/>
      <c r="E188" s="17" t="s">
        <v>114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1"/>
      <c r="K189" s="132">
        <f t="shared" si="17"/>
        <v>3</v>
      </c>
      <c r="L189" s="133">
        <f t="shared" si="18"/>
        <v>0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1"/>
      <c r="K190" s="132">
        <f t="shared" si="17"/>
        <v>3</v>
      </c>
      <c r="L190" s="133">
        <f t="shared" si="18"/>
        <v>0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1"/>
      <c r="K191" s="132">
        <f t="shared" si="17"/>
        <v>0</v>
      </c>
      <c r="L191" s="133">
        <f t="shared" si="18"/>
        <v>3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1"/>
      <c r="K192" s="132">
        <f t="shared" si="17"/>
        <v>0</v>
      </c>
      <c r="L192" s="133">
        <f t="shared" si="18"/>
        <v>3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2"/>
      <c r="C193" s="144"/>
      <c r="D193" s="144"/>
      <c r="E193" s="17" t="s">
        <v>206</v>
      </c>
      <c r="F193" s="31"/>
      <c r="G193" s="31" t="s">
        <v>24</v>
      </c>
      <c r="H193" s="31"/>
      <c r="I193" s="17" t="s">
        <v>45</v>
      </c>
      <c r="J193" s="131"/>
      <c r="K193" s="132" t="str">
        <f t="shared" si="17"/>
        <v/>
      </c>
      <c r="L193" s="133" t="str">
        <f t="shared" si="18"/>
        <v/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1"/>
      <c r="K194" s="132">
        <f t="shared" si="17"/>
        <v>0</v>
      </c>
      <c r="L194" s="133">
        <f t="shared" si="18"/>
        <v>3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2"/>
      <c r="C195" s="143"/>
      <c r="D195" s="144"/>
      <c r="E195" s="17" t="s">
        <v>65</v>
      </c>
      <c r="F195" s="31"/>
      <c r="G195" s="31" t="s">
        <v>24</v>
      </c>
      <c r="H195" s="31"/>
      <c r="I195" s="17" t="s">
        <v>157</v>
      </c>
      <c r="J195" s="131"/>
      <c r="K195" s="132" t="str">
        <f t="shared" si="17"/>
        <v/>
      </c>
      <c r="L195" s="133" t="str">
        <f t="shared" si="18"/>
        <v/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2"/>
      <c r="C196" s="143"/>
      <c r="D196" s="144"/>
      <c r="E196" s="17" t="s">
        <v>35</v>
      </c>
      <c r="F196" s="31"/>
      <c r="G196" s="31" t="s">
        <v>24</v>
      </c>
      <c r="H196" s="31"/>
      <c r="I196" s="17" t="s">
        <v>63</v>
      </c>
      <c r="J196" s="131"/>
      <c r="K196" s="132" t="str">
        <f t="shared" si="17"/>
        <v/>
      </c>
      <c r="L196" s="133" t="str">
        <f t="shared" si="18"/>
        <v/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2"/>
      <c r="C197" s="143"/>
      <c r="D197" s="144"/>
      <c r="E197" s="17" t="s">
        <v>60</v>
      </c>
      <c r="F197" s="31"/>
      <c r="G197" s="31" t="s">
        <v>24</v>
      </c>
      <c r="H197" s="31"/>
      <c r="I197" s="17" t="s">
        <v>59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2"/>
      <c r="C198" s="144"/>
      <c r="D198" s="144"/>
      <c r="E198" s="17" t="s">
        <v>123</v>
      </c>
      <c r="F198" s="31"/>
      <c r="G198" s="31" t="s">
        <v>24</v>
      </c>
      <c r="H198" s="31"/>
      <c r="I198" s="17" t="s">
        <v>206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45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33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2"/>
      <c r="C201" s="143"/>
      <c r="D201" s="144"/>
      <c r="E201" s="17" t="s">
        <v>157</v>
      </c>
      <c r="F201" s="31"/>
      <c r="G201" s="31" t="s">
        <v>24</v>
      </c>
      <c r="H201" s="31"/>
      <c r="I201" s="17" t="s">
        <v>114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2"/>
      <c r="C202" s="143"/>
      <c r="D202" s="144"/>
      <c r="E202" s="17" t="s">
        <v>63</v>
      </c>
      <c r="F202" s="31"/>
      <c r="G202" s="31" t="s">
        <v>24</v>
      </c>
      <c r="H202" s="31"/>
      <c r="I202" s="17" t="s">
        <v>65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2"/>
      <c r="C203" s="143"/>
      <c r="D203" s="144"/>
      <c r="E203" s="17" t="s">
        <v>59</v>
      </c>
      <c r="F203" s="31"/>
      <c r="G203" s="31" t="s">
        <v>24</v>
      </c>
      <c r="H203" s="31"/>
      <c r="I203" s="17" t="s">
        <v>35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2"/>
      <c r="C204" s="144"/>
      <c r="D204" s="144"/>
      <c r="E204" s="17" t="s">
        <v>206</v>
      </c>
      <c r="F204" s="31"/>
      <c r="G204" s="31" t="s">
        <v>24</v>
      </c>
      <c r="H204" s="31"/>
      <c r="I204" s="17" t="s">
        <v>60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2"/>
      <c r="C205" s="144"/>
      <c r="D205" s="144"/>
      <c r="E205" s="17" t="s">
        <v>45</v>
      </c>
      <c r="F205" s="31"/>
      <c r="G205" s="31" t="s">
        <v>24</v>
      </c>
      <c r="H205" s="31"/>
      <c r="I205" s="17" t="s">
        <v>123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2"/>
      <c r="C206" s="143"/>
      <c r="D206" s="144"/>
      <c r="E206" s="17" t="s">
        <v>33</v>
      </c>
      <c r="F206" s="13"/>
      <c r="G206" s="31" t="s">
        <v>24</v>
      </c>
      <c r="H206" s="13"/>
      <c r="I206" s="17" t="s">
        <v>157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2"/>
      <c r="C207" s="143"/>
      <c r="D207" s="144"/>
      <c r="E207" s="17" t="s">
        <v>114</v>
      </c>
      <c r="F207" s="31"/>
      <c r="G207" s="31" t="s">
        <v>24</v>
      </c>
      <c r="H207" s="31"/>
      <c r="I207" s="17" t="s">
        <v>63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2"/>
      <c r="C208" s="143"/>
      <c r="D208" s="144"/>
      <c r="E208" s="17" t="s">
        <v>65</v>
      </c>
      <c r="F208" s="31"/>
      <c r="G208" s="31" t="s">
        <v>24</v>
      </c>
      <c r="H208" s="31"/>
      <c r="I208" s="17" t="s">
        <v>59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2"/>
      <c r="C209" s="143"/>
      <c r="D209" s="144"/>
      <c r="E209" s="17" t="s">
        <v>35</v>
      </c>
      <c r="F209" s="31"/>
      <c r="G209" s="31" t="s">
        <v>24</v>
      </c>
      <c r="H209" s="31"/>
      <c r="I209" s="17" t="s">
        <v>206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2"/>
      <c r="C210" s="144"/>
      <c r="D210" s="144"/>
      <c r="E210" s="17" t="s">
        <v>60</v>
      </c>
      <c r="F210" s="13"/>
      <c r="G210" s="31" t="s">
        <v>24</v>
      </c>
      <c r="H210" s="13"/>
      <c r="I210" s="17" t="s">
        <v>45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2"/>
      <c r="C211" s="144"/>
      <c r="D211" s="144"/>
      <c r="E211" s="17" t="s">
        <v>123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4" t="s">
        <v>210</v>
      </c>
      <c r="I1" s="130"/>
      <c r="AA1" s="3"/>
      <c r="AB1" s="130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1"/>
      <c r="K3" s="132">
        <f t="shared" ref="K3:K68" si="1">IFS(F3=H3+2,3,F3=H3-2,0,F3=H3+1,2,F3=H3-1,1,F3="","")</f>
        <v>3</v>
      </c>
      <c r="L3" s="133">
        <f t="shared" ref="L3:L68" si="2">IFS(H3=F3+2,3,H3=F3-2,0,H3=F3+1,2,H3=F3-1,1,H3="","")</f>
        <v>0</v>
      </c>
      <c r="M3" s="131"/>
      <c r="N3" s="133">
        <v>1.0</v>
      </c>
      <c r="O3" s="134" t="s">
        <v>33</v>
      </c>
      <c r="P3" s="133">
        <f t="shared" ref="P3:P14" si="3">SUMIF(E$3:E$68,O3,K$3:K$68)+SUMIF(I$3:I$68,O3,L$3:L$68)</f>
        <v>18</v>
      </c>
      <c r="Q3" s="135">
        <f t="shared" ref="Q3:Q14" si="4">COUNTIFS(E$3:E$68,O3,K$3:K$68,2)+COUNTIFS(I$3:I$68,O3,L$3:L$68,2)+COUNTIFS(E$3:E$68,O3,K$3:K$68,3)+COUNTIFS(I$3:I$68,O3,L$3:L$68,3)</f>
        <v>6</v>
      </c>
      <c r="R3" s="135"/>
      <c r="S3" s="136">
        <f t="shared" ref="S3:S14" si="5">COUNTIFS(E$3:E$68,O3,K$3:K$68,1)+COUNTIFS(I$3:I$68,O3,L$3:L$68,1)+COUNTIFS(E$3:E$68,O3,K$3:K$68,0)+COUNTIFS(I$3:I$68,O3,L$3:L$68,0)</f>
        <v>2</v>
      </c>
      <c r="T3" s="133">
        <f t="shared" ref="T3:T14" si="6">SUMIF(E$3:E$68,O3,F$3:F$68)+SUMIF(I$3:I$68,O3,H$3:H$68)</f>
        <v>13</v>
      </c>
      <c r="U3" s="136">
        <f t="shared" ref="U3:U14" si="7">SUMIF(E$3:E$68,O3,H$3:H$68)+SUMIF(I$3:I$68,O3,F$3:F$68)</f>
        <v>5</v>
      </c>
      <c r="V3" s="133">
        <f t="shared" ref="V3:V14" si="8">T3-U3</f>
        <v>8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115</v>
      </c>
      <c r="P4" s="133">
        <f t="shared" si="3"/>
        <v>1</v>
      </c>
      <c r="Q4" s="135">
        <f t="shared" si="4"/>
        <v>0</v>
      </c>
      <c r="R4" s="135"/>
      <c r="S4" s="136">
        <f t="shared" si="5"/>
        <v>8</v>
      </c>
      <c r="T4" s="133">
        <f t="shared" si="6"/>
        <v>1</v>
      </c>
      <c r="U4" s="136">
        <f t="shared" si="7"/>
        <v>16</v>
      </c>
      <c r="V4" s="133">
        <f t="shared" si="8"/>
        <v>-15</v>
      </c>
      <c r="X4" s="119" t="s">
        <v>66</v>
      </c>
      <c r="Y4" s="119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1"/>
      <c r="K5" s="132">
        <f t="shared" si="1"/>
        <v>3</v>
      </c>
      <c r="L5" s="133">
        <f t="shared" si="2"/>
        <v>0</v>
      </c>
      <c r="M5" s="131"/>
      <c r="N5" s="133">
        <v>3.0</v>
      </c>
      <c r="O5" s="134" t="s">
        <v>101</v>
      </c>
      <c r="P5" s="133">
        <f t="shared" si="3"/>
        <v>13</v>
      </c>
      <c r="Q5" s="135">
        <f t="shared" si="4"/>
        <v>4</v>
      </c>
      <c r="R5" s="135"/>
      <c r="S5" s="136">
        <f t="shared" si="5"/>
        <v>4</v>
      </c>
      <c r="T5" s="133">
        <f t="shared" si="6"/>
        <v>9</v>
      </c>
      <c r="U5" s="136">
        <f t="shared" si="7"/>
        <v>8</v>
      </c>
      <c r="V5" s="133">
        <f t="shared" si="8"/>
        <v>1</v>
      </c>
      <c r="X5" s="119" t="s">
        <v>31</v>
      </c>
      <c r="Y5" s="119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119</v>
      </c>
      <c r="P6" s="133">
        <f t="shared" si="3"/>
        <v>7</v>
      </c>
      <c r="Q6" s="135">
        <f t="shared" si="4"/>
        <v>2</v>
      </c>
      <c r="R6" s="135"/>
      <c r="S6" s="136">
        <f t="shared" si="5"/>
        <v>6</v>
      </c>
      <c r="T6" s="133">
        <f t="shared" si="6"/>
        <v>5</v>
      </c>
      <c r="U6" s="136">
        <f t="shared" si="7"/>
        <v>12</v>
      </c>
      <c r="V6" s="133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37</v>
      </c>
      <c r="P7" s="133">
        <f t="shared" si="3"/>
        <v>22</v>
      </c>
      <c r="Q7" s="135">
        <f t="shared" si="4"/>
        <v>7</v>
      </c>
      <c r="R7" s="135"/>
      <c r="S7" s="136">
        <f t="shared" si="5"/>
        <v>1</v>
      </c>
      <c r="T7" s="133">
        <f t="shared" si="6"/>
        <v>15</v>
      </c>
      <c r="U7" s="136">
        <f t="shared" si="7"/>
        <v>2</v>
      </c>
      <c r="V7" s="133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1"/>
      <c r="K8" s="132">
        <f t="shared" si="1"/>
        <v>2</v>
      </c>
      <c r="L8" s="133">
        <f t="shared" si="2"/>
        <v>1</v>
      </c>
      <c r="M8" s="131"/>
      <c r="N8" s="133">
        <v>6.0</v>
      </c>
      <c r="O8" s="134" t="s">
        <v>25</v>
      </c>
      <c r="P8" s="133">
        <f t="shared" si="3"/>
        <v>19</v>
      </c>
      <c r="Q8" s="135">
        <f t="shared" si="4"/>
        <v>7</v>
      </c>
      <c r="R8" s="135"/>
      <c r="S8" s="136">
        <f t="shared" si="5"/>
        <v>1</v>
      </c>
      <c r="T8" s="133">
        <f t="shared" si="6"/>
        <v>15</v>
      </c>
      <c r="U8" s="136">
        <f t="shared" si="7"/>
        <v>5</v>
      </c>
      <c r="V8" s="133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66</v>
      </c>
      <c r="P9" s="133">
        <f t="shared" si="3"/>
        <v>12</v>
      </c>
      <c r="Q9" s="135">
        <f t="shared" si="4"/>
        <v>4</v>
      </c>
      <c r="R9" s="135"/>
      <c r="S9" s="136">
        <f t="shared" si="5"/>
        <v>4</v>
      </c>
      <c r="T9" s="133">
        <f t="shared" si="6"/>
        <v>9</v>
      </c>
      <c r="U9" s="136">
        <f t="shared" si="7"/>
        <v>9</v>
      </c>
      <c r="V9" s="133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1"/>
      <c r="K10" s="132">
        <f t="shared" si="1"/>
        <v>3</v>
      </c>
      <c r="L10" s="133">
        <f t="shared" si="2"/>
        <v>0</v>
      </c>
      <c r="M10" s="131"/>
      <c r="N10" s="133">
        <v>8.0</v>
      </c>
      <c r="O10" s="134" t="s">
        <v>43</v>
      </c>
      <c r="P10" s="133">
        <f t="shared" si="3"/>
        <v>23</v>
      </c>
      <c r="Q10" s="135">
        <f t="shared" si="4"/>
        <v>8</v>
      </c>
      <c r="R10" s="135"/>
      <c r="S10" s="136">
        <f t="shared" si="5"/>
        <v>0</v>
      </c>
      <c r="T10" s="133">
        <f t="shared" si="6"/>
        <v>16</v>
      </c>
      <c r="U10" s="136">
        <f t="shared" si="7"/>
        <v>1</v>
      </c>
      <c r="V10" s="133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1"/>
      <c r="K11" s="132">
        <f t="shared" si="1"/>
        <v>3</v>
      </c>
      <c r="L11" s="133">
        <f t="shared" si="2"/>
        <v>0</v>
      </c>
      <c r="M11" s="131"/>
      <c r="N11" s="133">
        <v>9.0</v>
      </c>
      <c r="O11" s="134" t="s">
        <v>40</v>
      </c>
      <c r="P11" s="133">
        <f t="shared" si="3"/>
        <v>3</v>
      </c>
      <c r="Q11" s="135">
        <f t="shared" si="4"/>
        <v>0</v>
      </c>
      <c r="R11" s="135"/>
      <c r="S11" s="136">
        <f t="shared" si="5"/>
        <v>8</v>
      </c>
      <c r="T11" s="133">
        <f t="shared" si="6"/>
        <v>3</v>
      </c>
      <c r="U11" s="136">
        <f t="shared" si="7"/>
        <v>16</v>
      </c>
      <c r="V11" s="133">
        <f t="shared" si="8"/>
        <v>-13</v>
      </c>
      <c r="AA11" s="109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1"/>
      <c r="K12" s="132">
        <f t="shared" si="1"/>
        <v>0</v>
      </c>
      <c r="L12" s="133">
        <f t="shared" si="2"/>
        <v>3</v>
      </c>
      <c r="M12" s="131"/>
      <c r="N12" s="133">
        <v>10.0</v>
      </c>
      <c r="O12" s="137" t="s">
        <v>67</v>
      </c>
      <c r="P12" s="133">
        <f t="shared" si="3"/>
        <v>12</v>
      </c>
      <c r="Q12" s="135">
        <f t="shared" si="4"/>
        <v>4</v>
      </c>
      <c r="R12" s="135"/>
      <c r="S12" s="136">
        <f t="shared" si="5"/>
        <v>4</v>
      </c>
      <c r="T12" s="133">
        <f t="shared" si="6"/>
        <v>9</v>
      </c>
      <c r="U12" s="136">
        <f t="shared" si="7"/>
        <v>9</v>
      </c>
      <c r="V12" s="133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114</v>
      </c>
      <c r="P13" s="133">
        <f t="shared" si="3"/>
        <v>0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0</v>
      </c>
      <c r="U13" s="136">
        <f t="shared" si="7"/>
        <v>16</v>
      </c>
      <c r="V13" s="133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1"/>
      <c r="K14" s="132">
        <f t="shared" si="1"/>
        <v>0</v>
      </c>
      <c r="L14" s="133">
        <f t="shared" si="2"/>
        <v>3</v>
      </c>
      <c r="M14" s="131"/>
      <c r="N14" s="139">
        <v>12.0</v>
      </c>
      <c r="O14" s="138" t="s">
        <v>117</v>
      </c>
      <c r="P14" s="133">
        <f t="shared" si="3"/>
        <v>14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9</v>
      </c>
      <c r="V14" s="133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1"/>
      <c r="K15" s="132">
        <f t="shared" si="1"/>
        <v>0</v>
      </c>
      <c r="L15" s="133">
        <f t="shared" si="2"/>
        <v>3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1"/>
      <c r="K17" s="132">
        <f t="shared" si="1"/>
        <v>3</v>
      </c>
      <c r="L17" s="133">
        <f t="shared" si="2"/>
        <v>0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1"/>
      <c r="K18" s="132">
        <f t="shared" si="1"/>
        <v>3</v>
      </c>
      <c r="L18" s="133">
        <f t="shared" si="2"/>
        <v>0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1"/>
      <c r="K21" s="132">
        <f t="shared" si="1"/>
        <v>1</v>
      </c>
      <c r="L21" s="133">
        <f t="shared" si="2"/>
        <v>2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1"/>
      <c r="K22" s="132">
        <f t="shared" si="1"/>
        <v>3</v>
      </c>
      <c r="L22" s="133">
        <f t="shared" si="2"/>
        <v>0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1"/>
      <c r="K25" s="132">
        <f t="shared" si="1"/>
        <v>0</v>
      </c>
      <c r="L25" s="133">
        <f t="shared" si="2"/>
        <v>3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1"/>
      <c r="K27" s="132">
        <f t="shared" si="1"/>
        <v>3</v>
      </c>
      <c r="L27" s="133">
        <f t="shared" si="2"/>
        <v>0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1"/>
      <c r="K30" s="132">
        <f t="shared" si="1"/>
        <v>3</v>
      </c>
      <c r="L30" s="133">
        <f t="shared" si="2"/>
        <v>0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1"/>
      <c r="K31" s="132">
        <f t="shared" si="1"/>
        <v>3</v>
      </c>
      <c r="L31" s="133">
        <f t="shared" si="2"/>
        <v>0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1"/>
      <c r="K33" s="132">
        <f t="shared" si="1"/>
        <v>1</v>
      </c>
      <c r="L33" s="133">
        <f t="shared" si="2"/>
        <v>2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1"/>
      <c r="K34" s="132">
        <f t="shared" si="1"/>
        <v>0</v>
      </c>
      <c r="L34" s="133">
        <f t="shared" si="2"/>
        <v>3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1"/>
      <c r="K36" s="132">
        <f t="shared" si="1"/>
        <v>0</v>
      </c>
      <c r="L36" s="133">
        <f t="shared" si="2"/>
        <v>3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1"/>
      <c r="K37" s="132">
        <f t="shared" si="1"/>
        <v>1</v>
      </c>
      <c r="L37" s="133">
        <f t="shared" si="2"/>
        <v>2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1"/>
      <c r="K38" s="132">
        <f t="shared" si="1"/>
        <v>1</v>
      </c>
      <c r="L38" s="133">
        <f t="shared" si="2"/>
        <v>2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1"/>
      <c r="K39" s="132">
        <f t="shared" si="1"/>
        <v>2</v>
      </c>
      <c r="L39" s="133">
        <f t="shared" si="2"/>
        <v>1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1"/>
      <c r="K43" s="132">
        <f t="shared" si="1"/>
        <v>1</v>
      </c>
      <c r="L43" s="133">
        <f t="shared" si="2"/>
        <v>2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1"/>
      <c r="K44" s="132">
        <f t="shared" si="1"/>
        <v>0</v>
      </c>
      <c r="L44" s="133">
        <f t="shared" si="2"/>
        <v>3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1"/>
      <c r="K47" s="132">
        <f t="shared" si="1"/>
        <v>0</v>
      </c>
      <c r="L47" s="133">
        <f t="shared" si="2"/>
        <v>3</v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2">
        <f t="shared" si="1"/>
        <v>2</v>
      </c>
      <c r="L49" s="133">
        <f t="shared" si="2"/>
        <v>1</v>
      </c>
      <c r="AA49" s="3"/>
      <c r="AB49" s="130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2">
        <f t="shared" si="1"/>
        <v>3</v>
      </c>
      <c r="L50" s="133">
        <f t="shared" si="2"/>
        <v>0</v>
      </c>
      <c r="AA50" s="3"/>
      <c r="AB50" s="130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2"/>
      <c r="C51" s="143"/>
      <c r="D51" s="144"/>
      <c r="E51" s="17" t="s">
        <v>40</v>
      </c>
      <c r="F51" s="144"/>
      <c r="G51" s="31" t="s">
        <v>24</v>
      </c>
      <c r="H51" s="31"/>
      <c r="I51" s="17" t="s">
        <v>114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2"/>
      <c r="C52" s="143"/>
      <c r="D52" s="144"/>
      <c r="E52" s="17" t="s">
        <v>66</v>
      </c>
      <c r="F52" s="144"/>
      <c r="G52" s="31" t="s">
        <v>24</v>
      </c>
      <c r="H52" s="31"/>
      <c r="I52" s="17" t="s">
        <v>115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2"/>
      <c r="C53" s="143"/>
      <c r="D53" s="144"/>
      <c r="E53" s="17" t="s">
        <v>37</v>
      </c>
      <c r="F53" s="144"/>
      <c r="G53" s="31" t="s">
        <v>24</v>
      </c>
      <c r="H53" s="31"/>
      <c r="I53" s="17" t="s">
        <v>119</v>
      </c>
      <c r="K53" s="132" t="str">
        <f t="shared" si="1"/>
        <v/>
      </c>
      <c r="L53" s="133" t="str">
        <f t="shared" si="2"/>
        <v/>
      </c>
      <c r="AA53" s="3"/>
      <c r="AB53" s="130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2"/>
      <c r="C54" s="143"/>
      <c r="D54" s="144"/>
      <c r="E54" s="17" t="s">
        <v>101</v>
      </c>
      <c r="F54" s="144"/>
      <c r="G54" s="31" t="s">
        <v>24</v>
      </c>
      <c r="H54" s="31"/>
      <c r="I54" s="17" t="s">
        <v>25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2"/>
      <c r="C55" s="143"/>
      <c r="D55" s="144"/>
      <c r="E55" s="17" t="s">
        <v>33</v>
      </c>
      <c r="F55" s="144"/>
      <c r="G55" s="31" t="s">
        <v>24</v>
      </c>
      <c r="H55" s="31"/>
      <c r="I55" s="17" t="s">
        <v>43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2"/>
      <c r="C56" s="143"/>
      <c r="D56" s="144"/>
      <c r="E56" s="17" t="s">
        <v>117</v>
      </c>
      <c r="F56" s="144"/>
      <c r="G56" s="31" t="s">
        <v>24</v>
      </c>
      <c r="H56" s="31"/>
      <c r="I56" s="17" t="s">
        <v>67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6"/>
      <c r="C57" s="144"/>
      <c r="D57" s="144"/>
      <c r="E57" s="17" t="s">
        <v>117</v>
      </c>
      <c r="F57" s="31"/>
      <c r="G57" s="31" t="s">
        <v>24</v>
      </c>
      <c r="H57" s="31"/>
      <c r="I57" s="17" t="s">
        <v>114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2"/>
      <c r="C58" s="144"/>
      <c r="D58" s="144"/>
      <c r="E58" s="17" t="s">
        <v>115</v>
      </c>
      <c r="F58" s="31"/>
      <c r="G58" s="31" t="s">
        <v>24</v>
      </c>
      <c r="H58" s="31"/>
      <c r="I58" s="17" t="s">
        <v>40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2"/>
      <c r="C59" s="144"/>
      <c r="D59" s="144"/>
      <c r="E59" s="17" t="s">
        <v>119</v>
      </c>
      <c r="F59" s="31"/>
      <c r="G59" s="31" t="s">
        <v>24</v>
      </c>
      <c r="H59" s="31"/>
      <c r="I59" s="17" t="s">
        <v>66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2"/>
      <c r="C60" s="144"/>
      <c r="D60" s="144"/>
      <c r="E60" s="17" t="s">
        <v>25</v>
      </c>
      <c r="F60" s="31"/>
      <c r="G60" s="31" t="s">
        <v>24</v>
      </c>
      <c r="H60" s="31"/>
      <c r="I60" s="17" t="s">
        <v>37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2"/>
      <c r="C61" s="144"/>
      <c r="D61" s="144"/>
      <c r="E61" s="17" t="s">
        <v>43</v>
      </c>
      <c r="F61" s="31"/>
      <c r="G61" s="31" t="s">
        <v>24</v>
      </c>
      <c r="H61" s="31"/>
      <c r="I61" s="17" t="s">
        <v>101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2"/>
      <c r="C62" s="144"/>
      <c r="D62" s="144"/>
      <c r="E62" s="17" t="s">
        <v>67</v>
      </c>
      <c r="F62" s="31"/>
      <c r="G62" s="31" t="s">
        <v>24</v>
      </c>
      <c r="H62" s="31"/>
      <c r="I62" s="17" t="s">
        <v>33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2"/>
      <c r="C63" s="143"/>
      <c r="D63" s="144"/>
      <c r="E63" s="17" t="s">
        <v>114</v>
      </c>
      <c r="F63" s="31"/>
      <c r="G63" s="31" t="s">
        <v>24</v>
      </c>
      <c r="H63" s="31"/>
      <c r="I63" s="17" t="s">
        <v>115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2"/>
      <c r="C64" s="143"/>
      <c r="D64" s="144"/>
      <c r="E64" s="17" t="s">
        <v>40</v>
      </c>
      <c r="F64" s="31"/>
      <c r="G64" s="31" t="s">
        <v>24</v>
      </c>
      <c r="H64" s="31"/>
      <c r="I64" s="17" t="s">
        <v>119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2"/>
      <c r="C65" s="143"/>
      <c r="D65" s="144"/>
      <c r="E65" s="17" t="s">
        <v>66</v>
      </c>
      <c r="F65" s="31"/>
      <c r="G65" s="31" t="s">
        <v>24</v>
      </c>
      <c r="H65" s="31"/>
      <c r="I65" s="17" t="s">
        <v>25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2"/>
      <c r="C66" s="143"/>
      <c r="D66" s="144"/>
      <c r="E66" s="17" t="s">
        <v>37</v>
      </c>
      <c r="F66" s="31"/>
      <c r="G66" s="31" t="s">
        <v>24</v>
      </c>
      <c r="H66" s="31"/>
      <c r="I66" s="17" t="s">
        <v>43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2"/>
      <c r="C67" s="143"/>
      <c r="D67" s="144"/>
      <c r="E67" s="17" t="s">
        <v>101</v>
      </c>
      <c r="F67" s="31"/>
      <c r="G67" s="31" t="s">
        <v>24</v>
      </c>
      <c r="H67" s="31"/>
      <c r="I67" s="17" t="s">
        <v>67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6"/>
      <c r="C68" s="143"/>
      <c r="D68" s="144"/>
      <c r="E68" s="17" t="s">
        <v>33</v>
      </c>
      <c r="F68" s="13"/>
      <c r="G68" s="31" t="s">
        <v>24</v>
      </c>
      <c r="H68" s="13"/>
      <c r="I68" s="17" t="s">
        <v>117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4" t="s">
        <v>212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1"/>
      <c r="K74" s="132">
        <f t="shared" ref="K74:K139" si="9">IFS(F74=H74+2,3,F74=H74-2,0,F74=H74+1,2,F74=H74-1,1,F74="","")</f>
        <v>0</v>
      </c>
      <c r="L74" s="133">
        <f t="shared" ref="L74:L139" si="10">IFS(H74=F74+2,3,H74=F74-2,0,H74=F74+1,2,H74=F74-1,1,H74="","")</f>
        <v>3</v>
      </c>
      <c r="M74" s="131"/>
      <c r="N74" s="133">
        <v>1.0</v>
      </c>
      <c r="O74" s="134" t="s">
        <v>144</v>
      </c>
      <c r="P74" s="133">
        <f t="shared" ref="P74:P84" si="11">SUMIF(E$74:E$139,O74,K$74:K$139)+SUMIF(I$74:I$139,O74,L$74:L$139)</f>
        <v>18</v>
      </c>
      <c r="Q74" s="135">
        <f t="shared" ref="Q74:Q84" si="12">COUNTIFS(E$74:E$139,O74,K$74:K$139,2)+COUNTIFS(I$74:I$139,O74,L$74:L$139,2)+COUNTIFS(E$74:E$139,O74,K$74:K$139,3)+COUNTIFS(I$74:I$139,O74,L$74:L$139,3)</f>
        <v>6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2</v>
      </c>
      <c r="T74" s="133">
        <f t="shared" ref="T74:T84" si="14">SUMIF(E$74:E$139,O74,F$74:F$139)+SUMIF(I$74:I$139,O74,H$74:H$139)</f>
        <v>13</v>
      </c>
      <c r="U74" s="136">
        <f t="shared" ref="U74:U84" si="15">SUMIF(E$74:E$139,O74,H$74:H$139)+SUMIF(I$74:I$139,O74,F$74:F$139)</f>
        <v>5</v>
      </c>
      <c r="V74" s="133">
        <f t="shared" ref="V74:V84" si="16">T74-U74</f>
        <v>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31"/>
      <c r="K75" s="132">
        <f t="shared" si="9"/>
        <v>0</v>
      </c>
      <c r="L75" s="133">
        <f t="shared" si="10"/>
        <v>3</v>
      </c>
      <c r="M75" s="131"/>
      <c r="N75" s="133">
        <v>2.0</v>
      </c>
      <c r="O75" s="134" t="s">
        <v>32</v>
      </c>
      <c r="P75" s="133">
        <f t="shared" si="11"/>
        <v>5</v>
      </c>
      <c r="Q75" s="135">
        <f t="shared" si="12"/>
        <v>1</v>
      </c>
      <c r="R75" s="136"/>
      <c r="S75" s="136">
        <f t="shared" si="13"/>
        <v>7</v>
      </c>
      <c r="T75" s="133">
        <f t="shared" si="14"/>
        <v>4</v>
      </c>
      <c r="U75" s="136">
        <f t="shared" si="15"/>
        <v>14</v>
      </c>
      <c r="V75" s="133">
        <f t="shared" si="16"/>
        <v>-10</v>
      </c>
      <c r="X75" s="119" t="s">
        <v>33</v>
      </c>
      <c r="Y75" s="119">
        <v>3.0</v>
      </c>
      <c r="AA75" s="109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58</v>
      </c>
      <c r="P76" s="133">
        <f t="shared" si="11"/>
        <v>18</v>
      </c>
      <c r="Q76" s="135">
        <f t="shared" si="12"/>
        <v>7</v>
      </c>
      <c r="R76" s="136"/>
      <c r="S76" s="136">
        <f t="shared" si="13"/>
        <v>0</v>
      </c>
      <c r="T76" s="133">
        <f t="shared" si="14"/>
        <v>14</v>
      </c>
      <c r="U76" s="136">
        <f t="shared" si="15"/>
        <v>3</v>
      </c>
      <c r="V76" s="133">
        <f t="shared" si="16"/>
        <v>11</v>
      </c>
      <c r="X76" s="119" t="s">
        <v>41</v>
      </c>
      <c r="Y76" s="119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1"/>
      <c r="K77" s="132">
        <f t="shared" si="9"/>
        <v>0</v>
      </c>
      <c r="L77" s="133">
        <f t="shared" si="10"/>
        <v>3</v>
      </c>
      <c r="M77" s="131"/>
      <c r="N77" s="133">
        <v>4.0</v>
      </c>
      <c r="O77" s="134" t="s">
        <v>170</v>
      </c>
      <c r="P77" s="133">
        <f t="shared" si="11"/>
        <v>15</v>
      </c>
      <c r="Q77" s="135">
        <f t="shared" si="12"/>
        <v>5</v>
      </c>
      <c r="R77" s="136"/>
      <c r="S77" s="136">
        <f t="shared" si="13"/>
        <v>3</v>
      </c>
      <c r="T77" s="133">
        <f t="shared" si="14"/>
        <v>11</v>
      </c>
      <c r="U77" s="136">
        <f t="shared" si="15"/>
        <v>7</v>
      </c>
      <c r="V77" s="133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1"/>
      <c r="K78" s="132">
        <f t="shared" si="9"/>
        <v>3</v>
      </c>
      <c r="L78" s="133">
        <f t="shared" si="10"/>
        <v>0</v>
      </c>
      <c r="M78" s="131"/>
      <c r="N78" s="133">
        <v>5.0</v>
      </c>
      <c r="O78" s="134" t="s">
        <v>158</v>
      </c>
      <c r="P78" s="133">
        <f t="shared" si="11"/>
        <v>19</v>
      </c>
      <c r="Q78" s="135">
        <f t="shared" si="12"/>
        <v>6</v>
      </c>
      <c r="R78" s="136"/>
      <c r="S78" s="136">
        <f t="shared" si="13"/>
        <v>2</v>
      </c>
      <c r="T78" s="133">
        <f t="shared" si="14"/>
        <v>13</v>
      </c>
      <c r="U78" s="136">
        <f t="shared" si="15"/>
        <v>4</v>
      </c>
      <c r="V78" s="133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32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63</v>
      </c>
      <c r="P79" s="133">
        <f t="shared" si="11"/>
        <v>0</v>
      </c>
      <c r="Q79" s="135">
        <f t="shared" si="12"/>
        <v>0</v>
      </c>
      <c r="R79" s="136"/>
      <c r="S79" s="136">
        <f t="shared" si="13"/>
        <v>7</v>
      </c>
      <c r="T79" s="133">
        <f t="shared" si="14"/>
        <v>0</v>
      </c>
      <c r="U79" s="136">
        <f t="shared" si="15"/>
        <v>14</v>
      </c>
      <c r="V79" s="133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2"/>
      <c r="C80" s="143"/>
      <c r="D80" s="144"/>
      <c r="E80" s="17" t="s">
        <v>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38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6</v>
      </c>
      <c r="T80" s="133">
        <f t="shared" si="14"/>
        <v>4</v>
      </c>
      <c r="U80" s="136">
        <f t="shared" si="15"/>
        <v>13</v>
      </c>
      <c r="V80" s="133">
        <f t="shared" si="16"/>
        <v>-9</v>
      </c>
      <c r="AA80" s="22">
        <v>7.0</v>
      </c>
      <c r="AB80" s="70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1"/>
      <c r="K81" s="132">
        <f t="shared" si="9"/>
        <v>0</v>
      </c>
      <c r="L81" s="133">
        <f t="shared" si="10"/>
        <v>3</v>
      </c>
      <c r="M81" s="131"/>
      <c r="N81" s="133">
        <v>8.0</v>
      </c>
      <c r="O81" s="134" t="s">
        <v>23</v>
      </c>
      <c r="P81" s="133">
        <f t="shared" si="11"/>
        <v>18</v>
      </c>
      <c r="Q81" s="135">
        <f t="shared" si="12"/>
        <v>7</v>
      </c>
      <c r="R81" s="136"/>
      <c r="S81" s="136">
        <f t="shared" si="13"/>
        <v>0</v>
      </c>
      <c r="T81" s="133">
        <f t="shared" si="14"/>
        <v>14</v>
      </c>
      <c r="U81" s="136">
        <f t="shared" si="15"/>
        <v>3</v>
      </c>
      <c r="V81" s="133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61</v>
      </c>
      <c r="P82" s="133">
        <f t="shared" si="11"/>
        <v>8</v>
      </c>
      <c r="Q82" s="135">
        <f t="shared" si="12"/>
        <v>3</v>
      </c>
      <c r="R82" s="136"/>
      <c r="S82" s="136">
        <f t="shared" si="13"/>
        <v>5</v>
      </c>
      <c r="T82" s="133">
        <f t="shared" si="14"/>
        <v>7</v>
      </c>
      <c r="U82" s="136">
        <f t="shared" si="15"/>
        <v>12</v>
      </c>
      <c r="V82" s="133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1"/>
      <c r="K83" s="132">
        <f t="shared" si="9"/>
        <v>1</v>
      </c>
      <c r="L83" s="133">
        <f t="shared" si="10"/>
        <v>2</v>
      </c>
      <c r="M83" s="131"/>
      <c r="N83" s="133">
        <v>10.0</v>
      </c>
      <c r="O83" s="134" t="s">
        <v>189</v>
      </c>
      <c r="P83" s="133">
        <f t="shared" si="11"/>
        <v>10</v>
      </c>
      <c r="Q83" s="135">
        <f t="shared" si="12"/>
        <v>3</v>
      </c>
      <c r="R83" s="136"/>
      <c r="S83" s="136">
        <f t="shared" si="13"/>
        <v>5</v>
      </c>
      <c r="T83" s="133">
        <f t="shared" si="14"/>
        <v>7</v>
      </c>
      <c r="U83" s="136">
        <f t="shared" si="15"/>
        <v>10</v>
      </c>
      <c r="V83" s="133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213</v>
      </c>
      <c r="P84" s="133">
        <f t="shared" si="11"/>
        <v>13</v>
      </c>
      <c r="Q84" s="135">
        <f t="shared" si="12"/>
        <v>3</v>
      </c>
      <c r="S84" s="136">
        <f t="shared" si="13"/>
        <v>6</v>
      </c>
      <c r="T84" s="133">
        <f t="shared" si="14"/>
        <v>10</v>
      </c>
      <c r="U84" s="136">
        <f t="shared" si="15"/>
        <v>12</v>
      </c>
      <c r="V84" s="133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1"/>
      <c r="K86" s="132">
        <f t="shared" si="9"/>
        <v>2</v>
      </c>
      <c r="L86" s="133">
        <f t="shared" si="10"/>
        <v>1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1"/>
      <c r="K87" s="132">
        <f t="shared" si="9"/>
        <v>3</v>
      </c>
      <c r="L87" s="133">
        <f t="shared" si="10"/>
        <v>0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31"/>
      <c r="K88" s="132">
        <f t="shared" si="9"/>
        <v>1</v>
      </c>
      <c r="L88" s="133">
        <f t="shared" si="10"/>
        <v>2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1"/>
      <c r="K89" s="132">
        <f t="shared" si="9"/>
        <v>2</v>
      </c>
      <c r="L89" s="133">
        <f t="shared" si="10"/>
        <v>1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  <c r="AJ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170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  <c r="AJ91" s="3"/>
    </row>
    <row r="92" ht="15.75" customHeight="1">
      <c r="A92" s="127">
        <v>4.0</v>
      </c>
      <c r="B92" s="142"/>
      <c r="C92" s="144"/>
      <c r="D92" s="144"/>
      <c r="E92" s="17" t="s">
        <v>158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1"/>
      <c r="K93" s="132">
        <f t="shared" si="9"/>
        <v>0</v>
      </c>
      <c r="L93" s="133">
        <f t="shared" si="10"/>
        <v>3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1"/>
      <c r="K94" s="132">
        <f t="shared" si="9"/>
        <v>0</v>
      </c>
      <c r="L94" s="133">
        <f t="shared" si="10"/>
        <v>3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31"/>
      <c r="K95" s="132">
        <f t="shared" si="9"/>
        <v>3</v>
      </c>
      <c r="L95" s="133">
        <f t="shared" si="10"/>
        <v>0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1"/>
      <c r="K96" s="132">
        <f t="shared" si="9"/>
        <v>1</v>
      </c>
      <c r="L96" s="133">
        <f t="shared" si="10"/>
        <v>2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1"/>
      <c r="K97" s="132">
        <f t="shared" si="9"/>
        <v>3</v>
      </c>
      <c r="L97" s="133">
        <f t="shared" si="10"/>
        <v>0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5">
        <v>2.0</v>
      </c>
      <c r="G99" s="31" t="s">
        <v>24</v>
      </c>
      <c r="H99" s="13">
        <v>0.0</v>
      </c>
      <c r="I99" s="17" t="s">
        <v>61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5">
        <v>2.0</v>
      </c>
      <c r="G100" s="31" t="s">
        <v>24</v>
      </c>
      <c r="H100" s="13">
        <v>1.0</v>
      </c>
      <c r="I100" s="17" t="s">
        <v>213</v>
      </c>
      <c r="J100" s="131"/>
      <c r="K100" s="132">
        <f t="shared" si="9"/>
        <v>2</v>
      </c>
      <c r="L100" s="133">
        <f t="shared" si="10"/>
        <v>1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5">
        <v>2.0</v>
      </c>
      <c r="G101" s="31" t="s">
        <v>24</v>
      </c>
      <c r="H101" s="13">
        <v>0.0</v>
      </c>
      <c r="I101" s="17" t="s">
        <v>32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5">
        <v>2.0</v>
      </c>
      <c r="G102" s="31" t="s">
        <v>24</v>
      </c>
      <c r="H102" s="13">
        <v>0.0</v>
      </c>
      <c r="I102" s="17" t="s">
        <v>170</v>
      </c>
      <c r="J102" s="131"/>
      <c r="K102" s="132">
        <f t="shared" si="9"/>
        <v>3</v>
      </c>
      <c r="L102" s="133">
        <f t="shared" si="10"/>
        <v>0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63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2"/>
      <c r="C104" s="143"/>
      <c r="D104" s="144"/>
      <c r="E104" s="17" t="s">
        <v>38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1"/>
      <c r="K105" s="132">
        <f t="shared" si="9"/>
        <v>0</v>
      </c>
      <c r="L105" s="133">
        <f t="shared" si="10"/>
        <v>3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1"/>
      <c r="K106" s="132">
        <f t="shared" si="9"/>
        <v>1</v>
      </c>
      <c r="L106" s="133">
        <f t="shared" si="10"/>
        <v>2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1"/>
      <c r="K107" s="132">
        <f t="shared" si="9"/>
        <v>0</v>
      </c>
      <c r="L107" s="133">
        <f t="shared" si="10"/>
        <v>3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31"/>
      <c r="K108" s="132">
        <f t="shared" si="9"/>
        <v>3</v>
      </c>
      <c r="L108" s="133">
        <f t="shared" si="10"/>
        <v>0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1"/>
      <c r="K110" s="132">
        <f t="shared" si="9"/>
        <v>3</v>
      </c>
      <c r="L110" s="133">
        <f t="shared" si="10"/>
        <v>0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1"/>
      <c r="K111" s="132">
        <f t="shared" si="9"/>
        <v>3</v>
      </c>
      <c r="L111" s="133">
        <f t="shared" si="10"/>
        <v>0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1"/>
      <c r="K112" s="132">
        <f t="shared" si="9"/>
        <v>3</v>
      </c>
      <c r="L112" s="133">
        <f t="shared" si="10"/>
        <v>0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1"/>
      <c r="K113" s="132">
        <f t="shared" si="9"/>
        <v>1</v>
      </c>
      <c r="L113" s="133">
        <f t="shared" si="10"/>
        <v>2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23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2"/>
      <c r="C116" s="143"/>
      <c r="D116" s="144"/>
      <c r="E116" s="17" t="s">
        <v>61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1"/>
      <c r="K119" s="132">
        <f t="shared" si="9"/>
        <v>1</v>
      </c>
      <c r="L119" s="133">
        <f t="shared" si="10"/>
        <v>2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31"/>
      <c r="K121" s="132">
        <f t="shared" si="9"/>
        <v>3</v>
      </c>
      <c r="L121" s="133">
        <f t="shared" si="10"/>
        <v>0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1"/>
      <c r="K122" s="132">
        <f t="shared" si="9"/>
        <v>2</v>
      </c>
      <c r="L122" s="133">
        <f t="shared" si="10"/>
        <v>1</v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1"/>
      <c r="K123" s="132">
        <f t="shared" si="9"/>
        <v>2</v>
      </c>
      <c r="L123" s="133">
        <f t="shared" si="10"/>
        <v>1</v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1"/>
      <c r="K124" s="132">
        <f t="shared" si="9"/>
        <v>3</v>
      </c>
      <c r="L124" s="133">
        <f t="shared" si="10"/>
        <v>0</v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2"/>
      <c r="C125" s="143"/>
      <c r="D125" s="144"/>
      <c r="E125" s="17" t="s">
        <v>58</v>
      </c>
      <c r="F125" s="31"/>
      <c r="G125" s="31" t="s">
        <v>24</v>
      </c>
      <c r="H125" s="31"/>
      <c r="I125" s="17" t="s">
        <v>63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2"/>
      <c r="C126" s="144"/>
      <c r="D126" s="144"/>
      <c r="E126" s="17" t="s">
        <v>144</v>
      </c>
      <c r="F126" s="31"/>
      <c r="G126" s="31" t="s">
        <v>24</v>
      </c>
      <c r="H126" s="31"/>
      <c r="I126" s="17" t="s">
        <v>23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189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213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2"/>
      <c r="C129" s="143"/>
      <c r="D129" s="144"/>
      <c r="E129" s="17" t="s">
        <v>32</v>
      </c>
      <c r="F129" s="31"/>
      <c r="G129" s="31" t="s">
        <v>24</v>
      </c>
      <c r="H129" s="31"/>
      <c r="I129" s="17" t="s">
        <v>61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2"/>
      <c r="C130" s="143"/>
      <c r="D130" s="144"/>
      <c r="E130" s="17" t="s">
        <v>170</v>
      </c>
      <c r="F130" s="31"/>
      <c r="G130" s="31" t="s">
        <v>24</v>
      </c>
      <c r="H130" s="31"/>
      <c r="I130" s="17" t="s">
        <v>38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2"/>
      <c r="C131" s="143"/>
      <c r="D131" s="144"/>
      <c r="E131" s="17" t="s">
        <v>63</v>
      </c>
      <c r="F131" s="31"/>
      <c r="G131" s="31" t="s">
        <v>24</v>
      </c>
      <c r="H131" s="31"/>
      <c r="I131" s="17" t="s">
        <v>158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2"/>
      <c r="C132" s="144"/>
      <c r="D132" s="144"/>
      <c r="E132" s="17" t="s">
        <v>23</v>
      </c>
      <c r="F132" s="31"/>
      <c r="G132" s="31" t="s">
        <v>24</v>
      </c>
      <c r="H132" s="31"/>
      <c r="I132" s="17" t="s">
        <v>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2"/>
      <c r="C133" s="144"/>
      <c r="D133" s="144"/>
      <c r="E133" s="17" t="s">
        <v>189</v>
      </c>
      <c r="F133" s="31"/>
      <c r="G133" s="31" t="s">
        <v>24</v>
      </c>
      <c r="H133" s="31"/>
      <c r="I133" s="17" t="s">
        <v>144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2"/>
      <c r="C134" s="143"/>
      <c r="D134" s="144"/>
      <c r="E134" s="17" t="s">
        <v>213</v>
      </c>
      <c r="F134" s="13"/>
      <c r="G134" s="31" t="s">
        <v>24</v>
      </c>
      <c r="H134" s="13"/>
      <c r="I134" s="17" t="s">
        <v>32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2"/>
      <c r="C135" s="143"/>
      <c r="D135" s="144"/>
      <c r="E135" s="17" t="s">
        <v>61</v>
      </c>
      <c r="F135" s="31"/>
      <c r="G135" s="31" t="s">
        <v>24</v>
      </c>
      <c r="H135" s="31"/>
      <c r="I135" s="17" t="s">
        <v>170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2"/>
      <c r="C136" s="143"/>
      <c r="D136" s="144"/>
      <c r="E136" s="17" t="s">
        <v>38</v>
      </c>
      <c r="F136" s="31"/>
      <c r="G136" s="31" t="s">
        <v>24</v>
      </c>
      <c r="H136" s="31"/>
      <c r="I136" s="17" t="s">
        <v>63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2"/>
      <c r="C137" s="143"/>
      <c r="D137" s="144"/>
      <c r="E137" s="17" t="s">
        <v>158</v>
      </c>
      <c r="F137" s="31"/>
      <c r="G137" s="31" t="s">
        <v>24</v>
      </c>
      <c r="H137" s="31"/>
      <c r="I137" s="17" t="s">
        <v>23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2"/>
      <c r="C138" s="144"/>
      <c r="D138" s="144"/>
      <c r="E138" s="17" t="s">
        <v>58</v>
      </c>
      <c r="F138" s="13"/>
      <c r="G138" s="31" t="s">
        <v>24</v>
      </c>
      <c r="H138" s="13"/>
      <c r="I138" s="17" t="s">
        <v>189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2"/>
      <c r="C139" s="144"/>
      <c r="D139" s="144"/>
      <c r="E139" s="17" t="s">
        <v>144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4" t="s">
        <v>215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31</v>
      </c>
      <c r="P146" s="133">
        <f t="shared" ref="P146:P156" si="19">SUMIF(E$146:E$211,O146,K$146:K$211)+SUMIF(I$146:I$211,O146,L$146:L$211)</f>
        <v>11</v>
      </c>
      <c r="Q146" s="135">
        <f t="shared" ref="Q146:Q156" si="20">COUNTIFS(E$146:E$211,O146,K$146:K$211,2)+COUNTIFS(I$146:I$211,O146,L$146:L$211,2)+COUNTIFS(E$146:E$211,O146,K$146:K$211,3)+COUNTIFS(I$146:I$211,O146,L$146:L$211,3)</f>
        <v>5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3</v>
      </c>
      <c r="T146" s="133">
        <f t="shared" ref="T146:T156" si="22">SUMIF(E$146:E$211,O146,F$146:F$211)+SUMIF(I$146:I$211,O146,H$146:H$211)</f>
        <v>11</v>
      </c>
      <c r="U146" s="136">
        <f t="shared" ref="U146:U156" si="23">SUMIF(E$146:E$211,O146,H$146:H$211)+SUMIF(I$146:I$211,O146,F$146:F$211)</f>
        <v>11</v>
      </c>
      <c r="V146" s="133">
        <f t="shared" ref="V146:V156" si="24">T146-U146</f>
        <v>0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60</v>
      </c>
      <c r="P147" s="133">
        <f t="shared" si="19"/>
        <v>7</v>
      </c>
      <c r="Q147" s="135">
        <f t="shared" si="20"/>
        <v>2</v>
      </c>
      <c r="R147" s="136"/>
      <c r="S147" s="136">
        <f t="shared" si="21"/>
        <v>6</v>
      </c>
      <c r="T147" s="133">
        <f t="shared" si="22"/>
        <v>5</v>
      </c>
      <c r="U147" s="136">
        <f t="shared" si="23"/>
        <v>12</v>
      </c>
      <c r="V147" s="133">
        <f t="shared" si="24"/>
        <v>-7</v>
      </c>
      <c r="X147" s="119" t="s">
        <v>33</v>
      </c>
      <c r="Y147" s="119">
        <v>3.0</v>
      </c>
      <c r="AA147" s="109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1"/>
      <c r="K148" s="132">
        <f t="shared" si="17"/>
        <v>0</v>
      </c>
      <c r="L148" s="133">
        <f t="shared" si="18"/>
        <v>3</v>
      </c>
      <c r="M148" s="131"/>
      <c r="N148" s="133">
        <v>3.0</v>
      </c>
      <c r="O148" s="134" t="s">
        <v>216</v>
      </c>
      <c r="P148" s="133">
        <f t="shared" si="19"/>
        <v>13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8</v>
      </c>
      <c r="V148" s="133">
        <f t="shared" si="24"/>
        <v>4</v>
      </c>
      <c r="X148" s="119" t="s">
        <v>41</v>
      </c>
      <c r="Y148" s="119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1"/>
      <c r="K149" s="132">
        <f t="shared" si="17"/>
        <v>2</v>
      </c>
      <c r="L149" s="133">
        <f t="shared" si="18"/>
        <v>1</v>
      </c>
      <c r="M149" s="131"/>
      <c r="N149" s="133">
        <v>4.0</v>
      </c>
      <c r="O149" s="134" t="s">
        <v>45</v>
      </c>
      <c r="P149" s="133">
        <f t="shared" si="19"/>
        <v>16</v>
      </c>
      <c r="Q149" s="135">
        <f t="shared" si="20"/>
        <v>6</v>
      </c>
      <c r="R149" s="136"/>
      <c r="S149" s="136">
        <f t="shared" si="21"/>
        <v>2</v>
      </c>
      <c r="T149" s="133">
        <f t="shared" si="22"/>
        <v>13</v>
      </c>
      <c r="U149" s="136">
        <f t="shared" si="23"/>
        <v>7</v>
      </c>
      <c r="V149" s="133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1"/>
      <c r="K150" s="132">
        <f t="shared" si="17"/>
        <v>2</v>
      </c>
      <c r="L150" s="133">
        <f t="shared" si="18"/>
        <v>1</v>
      </c>
      <c r="M150" s="131"/>
      <c r="N150" s="133">
        <v>5.0</v>
      </c>
      <c r="O150" s="134" t="s">
        <v>217</v>
      </c>
      <c r="P150" s="133">
        <f t="shared" si="19"/>
        <v>6</v>
      </c>
      <c r="Q150" s="135">
        <f t="shared" si="20"/>
        <v>1</v>
      </c>
      <c r="R150" s="136"/>
      <c r="S150" s="136">
        <f t="shared" si="21"/>
        <v>7</v>
      </c>
      <c r="T150" s="133">
        <f t="shared" si="22"/>
        <v>5</v>
      </c>
      <c r="U150" s="136">
        <f t="shared" si="23"/>
        <v>14</v>
      </c>
      <c r="V150" s="133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60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124</v>
      </c>
      <c r="P151" s="133">
        <f t="shared" si="19"/>
        <v>6</v>
      </c>
      <c r="Q151" s="135">
        <f t="shared" si="20"/>
        <v>2</v>
      </c>
      <c r="R151" s="136"/>
      <c r="S151" s="136">
        <f t="shared" si="21"/>
        <v>5</v>
      </c>
      <c r="T151" s="133">
        <f t="shared" si="22"/>
        <v>6</v>
      </c>
      <c r="U151" s="136">
        <f t="shared" si="23"/>
        <v>12</v>
      </c>
      <c r="V151" s="133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2"/>
      <c r="C152" s="143"/>
      <c r="D152" s="144"/>
      <c r="E152" s="17" t="s">
        <v>216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112</v>
      </c>
      <c r="P152" s="133">
        <f t="shared" si="19"/>
        <v>22</v>
      </c>
      <c r="Q152" s="135">
        <f t="shared" si="20"/>
        <v>8</v>
      </c>
      <c r="R152" s="136"/>
      <c r="S152" s="136">
        <f t="shared" si="21"/>
        <v>0</v>
      </c>
      <c r="T152" s="133">
        <f t="shared" si="22"/>
        <v>16</v>
      </c>
      <c r="U152" s="136">
        <f t="shared" si="23"/>
        <v>2</v>
      </c>
      <c r="V152" s="133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68</v>
      </c>
      <c r="P153" s="133">
        <f t="shared" si="19"/>
        <v>1</v>
      </c>
      <c r="Q153" s="135">
        <f t="shared" si="20"/>
        <v>0</v>
      </c>
      <c r="R153" s="136"/>
      <c r="S153" s="136">
        <f t="shared" si="21"/>
        <v>7</v>
      </c>
      <c r="T153" s="133">
        <f t="shared" si="22"/>
        <v>1</v>
      </c>
      <c r="U153" s="136">
        <f t="shared" si="23"/>
        <v>14</v>
      </c>
      <c r="V153" s="133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1"/>
      <c r="K154" s="132">
        <f t="shared" si="17"/>
        <v>2</v>
      </c>
      <c r="L154" s="133">
        <f t="shared" si="18"/>
        <v>1</v>
      </c>
      <c r="M154" s="131"/>
      <c r="N154" s="133">
        <v>9.0</v>
      </c>
      <c r="O154" s="134" t="s">
        <v>65</v>
      </c>
      <c r="P154" s="133">
        <f t="shared" si="19"/>
        <v>11</v>
      </c>
      <c r="Q154" s="135">
        <f t="shared" si="20"/>
        <v>3</v>
      </c>
      <c r="R154" s="136"/>
      <c r="S154" s="136">
        <f t="shared" si="21"/>
        <v>5</v>
      </c>
      <c r="T154" s="133">
        <f t="shared" si="22"/>
        <v>9</v>
      </c>
      <c r="U154" s="136">
        <f t="shared" si="23"/>
        <v>11</v>
      </c>
      <c r="V154" s="133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1"/>
      <c r="K155" s="132">
        <f t="shared" si="17"/>
        <v>3</v>
      </c>
      <c r="L155" s="133">
        <f t="shared" si="18"/>
        <v>0</v>
      </c>
      <c r="M155" s="131"/>
      <c r="N155" s="133">
        <v>10.0</v>
      </c>
      <c r="O155" s="134" t="s">
        <v>118</v>
      </c>
      <c r="P155" s="133">
        <f t="shared" si="19"/>
        <v>22</v>
      </c>
      <c r="Q155" s="135">
        <f t="shared" si="20"/>
        <v>7</v>
      </c>
      <c r="R155" s="136"/>
      <c r="S155" s="136">
        <f t="shared" si="21"/>
        <v>1</v>
      </c>
      <c r="T155" s="133">
        <f t="shared" si="22"/>
        <v>15</v>
      </c>
      <c r="U155" s="136">
        <f t="shared" si="23"/>
        <v>2</v>
      </c>
      <c r="V155" s="133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1"/>
      <c r="K156" s="132">
        <f t="shared" si="17"/>
        <v>3</v>
      </c>
      <c r="L156" s="133">
        <f t="shared" si="18"/>
        <v>0</v>
      </c>
      <c r="M156" s="131"/>
      <c r="N156" s="149">
        <v>11.0</v>
      </c>
      <c r="O156" s="149" t="s">
        <v>64</v>
      </c>
      <c r="P156" s="133">
        <f t="shared" si="19"/>
        <v>14</v>
      </c>
      <c r="Q156" s="135">
        <f t="shared" si="20"/>
        <v>4</v>
      </c>
      <c r="S156" s="136">
        <f t="shared" si="21"/>
        <v>5</v>
      </c>
      <c r="T156" s="133">
        <f t="shared" si="22"/>
        <v>11</v>
      </c>
      <c r="U156" s="136">
        <f t="shared" si="23"/>
        <v>11</v>
      </c>
      <c r="V156" s="133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1"/>
      <c r="K157" s="132">
        <f t="shared" si="17"/>
        <v>0</v>
      </c>
      <c r="L157" s="133">
        <f t="shared" si="18"/>
        <v>3</v>
      </c>
      <c r="M157" s="131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1"/>
      <c r="K158" s="132">
        <f t="shared" si="17"/>
        <v>2</v>
      </c>
      <c r="L158" s="133">
        <f t="shared" si="18"/>
        <v>1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1"/>
      <c r="K159" s="132">
        <f t="shared" si="17"/>
        <v>0</v>
      </c>
      <c r="L159" s="133">
        <f t="shared" si="18"/>
        <v>3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  <c r="AJ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45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  <c r="AJ163" s="3"/>
    </row>
    <row r="164" ht="15.75" customHeight="1">
      <c r="A164" s="127">
        <v>4.0</v>
      </c>
      <c r="B164" s="142"/>
      <c r="C164" s="144"/>
      <c r="D164" s="144"/>
      <c r="E164" s="17" t="s">
        <v>217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1"/>
      <c r="K165" s="132">
        <f t="shared" si="17"/>
        <v>2</v>
      </c>
      <c r="L165" s="133">
        <f t="shared" si="18"/>
        <v>1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1"/>
      <c r="K167" s="132">
        <f t="shared" si="17"/>
        <v>0</v>
      </c>
      <c r="L167" s="133">
        <f t="shared" si="18"/>
        <v>3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1"/>
      <c r="K168" s="132">
        <f t="shared" si="17"/>
        <v>3</v>
      </c>
      <c r="L168" s="133">
        <f t="shared" si="18"/>
        <v>0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1"/>
      <c r="K169" s="132">
        <f t="shared" si="17"/>
        <v>2</v>
      </c>
      <c r="L169" s="133">
        <f t="shared" si="18"/>
        <v>1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1"/>
      <c r="K170" s="132">
        <f t="shared" si="17"/>
        <v>0</v>
      </c>
      <c r="L170" s="133">
        <f t="shared" si="18"/>
        <v>3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5">
        <v>2.0</v>
      </c>
      <c r="G171" s="31" t="s">
        <v>24</v>
      </c>
      <c r="H171" s="13">
        <v>1.0</v>
      </c>
      <c r="I171" s="17" t="s">
        <v>65</v>
      </c>
      <c r="J171" s="131"/>
      <c r="K171" s="132">
        <f t="shared" si="17"/>
        <v>2</v>
      </c>
      <c r="L171" s="133">
        <f t="shared" si="18"/>
        <v>1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5">
        <v>2.0</v>
      </c>
      <c r="G172" s="31" t="s">
        <v>24</v>
      </c>
      <c r="H172" s="13">
        <v>1.0</v>
      </c>
      <c r="I172" s="17" t="s">
        <v>64</v>
      </c>
      <c r="J172" s="131"/>
      <c r="K172" s="132">
        <f t="shared" si="17"/>
        <v>2</v>
      </c>
      <c r="L172" s="133">
        <f t="shared" si="18"/>
        <v>1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5">
        <v>2.0</v>
      </c>
      <c r="G173" s="31" t="s">
        <v>24</v>
      </c>
      <c r="H173" s="13">
        <v>0.0</v>
      </c>
      <c r="I173" s="17" t="s">
        <v>60</v>
      </c>
      <c r="J173" s="131"/>
      <c r="K173" s="132">
        <f t="shared" si="17"/>
        <v>3</v>
      </c>
      <c r="L173" s="133">
        <f t="shared" si="18"/>
        <v>0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5">
        <v>0.0</v>
      </c>
      <c r="G174" s="31" t="s">
        <v>24</v>
      </c>
      <c r="H174" s="13">
        <v>2.0</v>
      </c>
      <c r="I174" s="17" t="s">
        <v>45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124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2"/>
      <c r="C176" s="143"/>
      <c r="D176" s="144"/>
      <c r="E176" s="17" t="s">
        <v>112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1"/>
      <c r="K177" s="132">
        <f t="shared" si="17"/>
        <v>3</v>
      </c>
      <c r="L177" s="133">
        <f t="shared" si="18"/>
        <v>0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1"/>
      <c r="K179" s="132">
        <f t="shared" si="17"/>
        <v>1</v>
      </c>
      <c r="L179" s="133">
        <f t="shared" si="18"/>
        <v>2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1"/>
      <c r="K181" s="132">
        <f t="shared" si="17"/>
        <v>2</v>
      </c>
      <c r="L181" s="133">
        <f t="shared" si="18"/>
        <v>1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1"/>
      <c r="K182" s="132">
        <f t="shared" si="17"/>
        <v>3</v>
      </c>
      <c r="L182" s="133">
        <f t="shared" si="18"/>
        <v>0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1"/>
      <c r="K184" s="132">
        <f t="shared" si="17"/>
        <v>3</v>
      </c>
      <c r="L184" s="133">
        <f t="shared" si="18"/>
        <v>0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1"/>
      <c r="K185" s="132">
        <f t="shared" si="17"/>
        <v>0</v>
      </c>
      <c r="L185" s="133">
        <f t="shared" si="18"/>
        <v>3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68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1"/>
      <c r="K189" s="132">
        <f t="shared" si="17"/>
        <v>0</v>
      </c>
      <c r="L189" s="133">
        <f t="shared" si="18"/>
        <v>3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1"/>
      <c r="K190" s="132">
        <f t="shared" si="17"/>
        <v>0</v>
      </c>
      <c r="L190" s="133">
        <f t="shared" si="18"/>
        <v>3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1"/>
      <c r="K191" s="132">
        <f t="shared" si="17"/>
        <v>1</v>
      </c>
      <c r="L191" s="133">
        <f t="shared" si="18"/>
        <v>2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1"/>
      <c r="K192" s="132">
        <f t="shared" si="17"/>
        <v>1</v>
      </c>
      <c r="L192" s="133">
        <f t="shared" si="18"/>
        <v>2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1"/>
      <c r="K193" s="132">
        <f t="shared" si="17"/>
        <v>0</v>
      </c>
      <c r="L193" s="133">
        <f t="shared" si="18"/>
        <v>3</v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1"/>
      <c r="K194" s="132">
        <f t="shared" si="17"/>
        <v>1</v>
      </c>
      <c r="L194" s="133">
        <f t="shared" si="18"/>
        <v>2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1"/>
      <c r="K195" s="132">
        <f t="shared" si="17"/>
        <v>3</v>
      </c>
      <c r="L195" s="133">
        <f t="shared" si="18"/>
        <v>0</v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1"/>
      <c r="K196" s="132">
        <f t="shared" si="17"/>
        <v>1</v>
      </c>
      <c r="L196" s="133">
        <f t="shared" si="18"/>
        <v>2</v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2"/>
      <c r="C197" s="143"/>
      <c r="D197" s="144"/>
      <c r="E197" s="17" t="s">
        <v>216</v>
      </c>
      <c r="F197" s="31"/>
      <c r="G197" s="31" t="s">
        <v>24</v>
      </c>
      <c r="H197" s="31"/>
      <c r="I197" s="17" t="s">
        <v>124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2"/>
      <c r="C198" s="144"/>
      <c r="D198" s="144"/>
      <c r="E198" s="17" t="s">
        <v>31</v>
      </c>
      <c r="F198" s="31"/>
      <c r="G198" s="31" t="s">
        <v>24</v>
      </c>
      <c r="H198" s="31"/>
      <c r="I198" s="17" t="s">
        <v>68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118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64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2"/>
      <c r="C201" s="143"/>
      <c r="D201" s="144"/>
      <c r="E201" s="17" t="s">
        <v>60</v>
      </c>
      <c r="F201" s="31"/>
      <c r="G201" s="31" t="s">
        <v>24</v>
      </c>
      <c r="H201" s="31"/>
      <c r="I201" s="17" t="s">
        <v>65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2"/>
      <c r="C202" s="143"/>
      <c r="D202" s="144"/>
      <c r="E202" s="17" t="s">
        <v>45</v>
      </c>
      <c r="F202" s="31"/>
      <c r="G202" s="31" t="s">
        <v>24</v>
      </c>
      <c r="H202" s="31"/>
      <c r="I202" s="17" t="s">
        <v>112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2"/>
      <c r="C203" s="143"/>
      <c r="D203" s="144"/>
      <c r="E203" s="17" t="s">
        <v>124</v>
      </c>
      <c r="F203" s="31"/>
      <c r="G203" s="31" t="s">
        <v>24</v>
      </c>
      <c r="H203" s="31"/>
      <c r="I203" s="17" t="s">
        <v>217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2"/>
      <c r="C204" s="144"/>
      <c r="D204" s="144"/>
      <c r="E204" s="17" t="s">
        <v>68</v>
      </c>
      <c r="F204" s="31"/>
      <c r="G204" s="31" t="s">
        <v>24</v>
      </c>
      <c r="H204" s="31"/>
      <c r="I204" s="17" t="s">
        <v>216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2"/>
      <c r="C205" s="144"/>
      <c r="D205" s="144"/>
      <c r="E205" s="17" t="s">
        <v>118</v>
      </c>
      <c r="F205" s="31"/>
      <c r="G205" s="31" t="s">
        <v>24</v>
      </c>
      <c r="H205" s="31"/>
      <c r="I205" s="17" t="s">
        <v>31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2"/>
      <c r="C206" s="143"/>
      <c r="D206" s="144"/>
      <c r="E206" s="17" t="s">
        <v>64</v>
      </c>
      <c r="F206" s="13"/>
      <c r="G206" s="31" t="s">
        <v>24</v>
      </c>
      <c r="H206" s="13"/>
      <c r="I206" s="17" t="s">
        <v>60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2"/>
      <c r="C207" s="143"/>
      <c r="D207" s="144"/>
      <c r="E207" s="17" t="s">
        <v>65</v>
      </c>
      <c r="F207" s="31"/>
      <c r="G207" s="31" t="s">
        <v>24</v>
      </c>
      <c r="H207" s="31"/>
      <c r="I207" s="17" t="s">
        <v>45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2"/>
      <c r="C208" s="143"/>
      <c r="D208" s="144"/>
      <c r="E208" s="17" t="s">
        <v>112</v>
      </c>
      <c r="F208" s="31"/>
      <c r="G208" s="31" t="s">
        <v>24</v>
      </c>
      <c r="H208" s="31"/>
      <c r="I208" s="17" t="s">
        <v>124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2"/>
      <c r="C209" s="143"/>
      <c r="D209" s="144"/>
      <c r="E209" s="17" t="s">
        <v>217</v>
      </c>
      <c r="F209" s="31"/>
      <c r="G209" s="31" t="s">
        <v>24</v>
      </c>
      <c r="H209" s="31"/>
      <c r="I209" s="17" t="s">
        <v>68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2"/>
      <c r="C210" s="144"/>
      <c r="D210" s="144"/>
      <c r="E210" s="17" t="s">
        <v>216</v>
      </c>
      <c r="F210" s="13"/>
      <c r="G210" s="31" t="s">
        <v>24</v>
      </c>
      <c r="H210" s="13"/>
      <c r="I210" s="17" t="s">
        <v>118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2"/>
      <c r="C211" s="144"/>
      <c r="D211" s="144"/>
      <c r="E211" s="17" t="s">
        <v>31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5"/>
      <c r="E235" s="130"/>
      <c r="I235" s="130"/>
      <c r="AA235" s="3"/>
      <c r="AB235" s="130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8" t="s">
        <v>221</v>
      </c>
      <c r="B1" s="159" t="s">
        <v>222</v>
      </c>
      <c r="C1" s="159" t="s">
        <v>223</v>
      </c>
      <c r="D1" s="159" t="s">
        <v>224</v>
      </c>
      <c r="E1" s="159" t="s">
        <v>225</v>
      </c>
      <c r="F1" s="159" t="s">
        <v>226</v>
      </c>
      <c r="G1" s="159" t="s">
        <v>227</v>
      </c>
      <c r="H1" s="159" t="s">
        <v>228</v>
      </c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ht="15.75" customHeight="1">
      <c r="A2" s="161" t="s">
        <v>229</v>
      </c>
      <c r="B2" s="162" t="s">
        <v>230</v>
      </c>
      <c r="C2" s="163" t="s">
        <v>31</v>
      </c>
      <c r="D2" s="163" t="s">
        <v>231</v>
      </c>
      <c r="E2" s="164">
        <v>108125.0</v>
      </c>
      <c r="F2" s="165" t="s">
        <v>232</v>
      </c>
      <c r="G2" s="162" t="s">
        <v>233</v>
      </c>
      <c r="H2" s="163" t="s">
        <v>234</v>
      </c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ht="15.75" customHeight="1">
      <c r="A3" s="161" t="s">
        <v>229</v>
      </c>
      <c r="B3" s="162" t="s">
        <v>235</v>
      </c>
      <c r="C3" s="162" t="s">
        <v>32</v>
      </c>
      <c r="D3" s="162" t="s">
        <v>236</v>
      </c>
      <c r="E3" s="166">
        <v>89159.0</v>
      </c>
      <c r="F3" s="167" t="s">
        <v>237</v>
      </c>
      <c r="G3" s="162" t="s">
        <v>233</v>
      </c>
      <c r="H3" s="162" t="s">
        <v>238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ht="15.75" customHeight="1">
      <c r="A4" s="161" t="s">
        <v>229</v>
      </c>
      <c r="B4" s="162" t="s">
        <v>239</v>
      </c>
      <c r="C4" s="162" t="s">
        <v>112</v>
      </c>
      <c r="D4" s="162" t="s">
        <v>240</v>
      </c>
      <c r="E4" s="166">
        <v>100096.0</v>
      </c>
      <c r="F4" s="167" t="s">
        <v>241</v>
      </c>
      <c r="G4" s="162" t="s">
        <v>233</v>
      </c>
      <c r="H4" s="162" t="s">
        <v>242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ht="15.75" customHeight="1">
      <c r="A5" s="161" t="s">
        <v>229</v>
      </c>
      <c r="B5" s="162" t="s">
        <v>243</v>
      </c>
      <c r="C5" s="162" t="s">
        <v>59</v>
      </c>
      <c r="D5" s="162" t="s">
        <v>244</v>
      </c>
      <c r="E5" s="166">
        <v>108498.0</v>
      </c>
      <c r="F5" s="167" t="s">
        <v>245</v>
      </c>
      <c r="G5" s="162" t="s">
        <v>233</v>
      </c>
      <c r="H5" s="162" t="s">
        <v>246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ht="15.75" customHeight="1">
      <c r="A6" s="161" t="s">
        <v>229</v>
      </c>
      <c r="B6" s="162" t="s">
        <v>247</v>
      </c>
      <c r="C6" s="162" t="s">
        <v>67</v>
      </c>
      <c r="D6" s="162" t="s">
        <v>248</v>
      </c>
      <c r="E6" s="166">
        <v>110713.0</v>
      </c>
      <c r="F6" s="167" t="s">
        <v>241</v>
      </c>
      <c r="G6" s="162" t="s">
        <v>233</v>
      </c>
      <c r="H6" s="162" t="s">
        <v>249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ht="15.75" customHeight="1">
      <c r="A7" s="161" t="s">
        <v>229</v>
      </c>
      <c r="B7" s="162" t="s">
        <v>250</v>
      </c>
      <c r="C7" s="162" t="s">
        <v>63</v>
      </c>
      <c r="D7" s="162" t="s">
        <v>251</v>
      </c>
      <c r="E7" s="166">
        <v>108196.0</v>
      </c>
      <c r="F7" s="167" t="s">
        <v>245</v>
      </c>
      <c r="G7" s="162" t="s">
        <v>233</v>
      </c>
      <c r="H7" s="162" t="s">
        <v>246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ht="15.75" customHeight="1">
      <c r="A8" s="161" t="s">
        <v>252</v>
      </c>
      <c r="B8" s="162" t="s">
        <v>253</v>
      </c>
      <c r="C8" s="162" t="s">
        <v>157</v>
      </c>
      <c r="D8" s="162" t="s">
        <v>254</v>
      </c>
      <c r="E8" s="166">
        <v>103269.0</v>
      </c>
      <c r="F8" s="167" t="s">
        <v>245</v>
      </c>
      <c r="G8" s="162" t="s">
        <v>233</v>
      </c>
      <c r="H8" s="162" t="s">
        <v>246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ht="15.75" customHeight="1">
      <c r="A9" s="161" t="s">
        <v>229</v>
      </c>
      <c r="B9" s="162" t="s">
        <v>255</v>
      </c>
      <c r="C9" s="162" t="s">
        <v>41</v>
      </c>
      <c r="D9" s="162" t="s">
        <v>256</v>
      </c>
      <c r="E9" s="166">
        <v>109271.0</v>
      </c>
      <c r="F9" s="167" t="s">
        <v>245</v>
      </c>
      <c r="G9" s="162" t="s">
        <v>257</v>
      </c>
      <c r="H9" s="162" t="s">
        <v>258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ht="15.75" customHeight="1">
      <c r="A10" s="161" t="s">
        <v>229</v>
      </c>
      <c r="B10" s="162" t="s">
        <v>259</v>
      </c>
      <c r="C10" s="162" t="s">
        <v>122</v>
      </c>
      <c r="D10" s="162" t="s">
        <v>260</v>
      </c>
      <c r="E10" s="166">
        <v>108249.0</v>
      </c>
      <c r="F10" s="167" t="s">
        <v>245</v>
      </c>
      <c r="G10" s="162" t="s">
        <v>257</v>
      </c>
      <c r="H10" s="162" t="s">
        <v>258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ht="15.75" customHeight="1">
      <c r="A11" s="161" t="s">
        <v>229</v>
      </c>
      <c r="B11" s="162" t="s">
        <v>261</v>
      </c>
      <c r="C11" s="162" t="s">
        <v>40</v>
      </c>
      <c r="D11" s="162" t="s">
        <v>262</v>
      </c>
      <c r="E11" s="166">
        <v>103583.0</v>
      </c>
      <c r="F11" s="167" t="s">
        <v>245</v>
      </c>
      <c r="G11" s="162" t="s">
        <v>257</v>
      </c>
      <c r="H11" s="162" t="s">
        <v>263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ht="15.75" customHeight="1">
      <c r="A12" s="161" t="s">
        <v>229</v>
      </c>
      <c r="B12" s="162" t="s">
        <v>261</v>
      </c>
      <c r="C12" s="162" t="s">
        <v>40</v>
      </c>
      <c r="D12" s="162" t="s">
        <v>264</v>
      </c>
      <c r="E12" s="166">
        <v>93245.0</v>
      </c>
      <c r="F12" s="168" t="s">
        <v>265</v>
      </c>
      <c r="G12" s="169">
        <v>44870.0</v>
      </c>
      <c r="H12" s="17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