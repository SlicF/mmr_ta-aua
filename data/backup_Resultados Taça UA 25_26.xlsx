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<sst xmlns="http://schemas.openxmlformats.org/spreadsheetml/2006/main" count="7337" uniqueCount="277">
  <si>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</si>
  <si>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</si>
  <si>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</si>
  <si>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</si>
  <si>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</si>
  <si>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</si>
  <si>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</si>
  <si>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</si>
  <si>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</si>
  <si>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</si>
  <si>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</si>
  <si>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</si>
  <si>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</si>
  <si>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</si>
  <si>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</si>
  <si>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</si>
  <si>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</si>
  <si>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</si>
  <si>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</si>
  <si>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</si>
  <si>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</si>
  <si>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</si>
  <si>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</si>
  <si>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</si>
  <si>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</si>
  <si>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</si>
  <si>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</si>
  <si>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</si>
  <si>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</si>
  <si>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</si>
  <si>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</si>
  <si>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</si>
  <si>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</si>
  <si>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</si>
  <si>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</si>
  <si>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</si>
  <si>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</si>
  <si>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</si>
  <si>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</si>
  <si>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</si>
  <si>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</si>
  <si>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</si>
  <si>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</si>
  <si>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</si>
  <si>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</si>
  <si>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</si>
  <si>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</si>
  <si>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</si>
  <si>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</si>
  <si>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</si>
  <si>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</si>
  <si>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</si>
  <si>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</si>
  <si>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</si>
  <si>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</si>
  <si>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</si>
  <si>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</si>
  <si>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</si>
  <si>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</si>
  <si>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</si>
  <si>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</si>
  <si>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</si>
  <si>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</si>
  <si>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</si>
  <si>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</si>
  <si>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</si>
  <si>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</si>
  <si>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</si>
  <si>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</si>
  <si>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</si>
  <si>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</si>
  <si>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</si>
  <si>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</si>
  <si>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</si>
  <si>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</si>
  <si>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</si>
  <si>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</si>
  <si>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</si>
  <si>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</si>
  <si>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</si>
  <si>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</si>
  <si>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</si>
  <si>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</si>
  <si>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</si>
  <si>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</si>
  <si>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</si>
  <si>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</si>
  <si>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</si>
  <si>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</si>
  <si>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</si>
  <si>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</si>
  <si>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</si>
  <si>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</si>
  <si>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</si>
  <si>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</si>
  <si>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</si>
  <si>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</si>
  <si>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</si>
  <si>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</si>
  <si>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</si>
  <si>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</si>
  <si>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</si>
  <si>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</si>
  <si>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</si>
  <si>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</si>
  <si>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</si>
  <si>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</si>
  <si>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</si>
  <si>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</si>
  <si>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</si>
  <si>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</si>
  <si>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</si>
  <si>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</si>
  <si>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</si>
  <si>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</si>
  <si>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</si>
  <si>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</si>
  <si>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</si>
  <si>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</si>
  <si>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</si>
  <si>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</si>
  <si>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</si>
  <si>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</si>
  <si>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</si>
  <si>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</si>
  <si>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</si>
  <si>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</si>
  <si>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</si>
  <si>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</si>
  <si>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</si>
  <si>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</si>
  <si>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</si>
  <si>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</si>
  <si>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</si>
  <si>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1ª Div.</t>
  </si>
  <si>
    <t>1º Class. 2ª Div. Gr. B</t>
  </si>
  <si>
    <t>2º Class. 1ª Div.</t>
  </si>
  <si>
    <t>1º Class. 2ª Div. Gr. A</t>
  </si>
  <si>
    <t>3º Class. 1ª Div.</t>
  </si>
  <si>
    <t>6º Class. 1ª Div.</t>
  </si>
  <si>
    <t>4º Class. 1ª Div.</t>
  </si>
  <si>
    <t>5º Class. 1ª Div.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</si>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</sst>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/>
      <c r="C150" s="12"/>
      <c r="D150" s="12"/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33</v>
      </c>
      <c r="F151" s="31"/>
      <c r="G151" s="16" t="s">
        <v>24</v>
      </c>
      <c r="H151" s="31"/>
      <c r="I151" s="44" t="s">
        <v>31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73</v>
      </c>
      <c r="B154" s="43"/>
      <c r="C154" s="12"/>
      <c r="D154" s="12"/>
      <c r="E154" s="44" t="s">
        <v>74</v>
      </c>
      <c r="F154" s="31"/>
      <c r="G154" s="16" t="s">
        <v>24</v>
      </c>
      <c r="H154" s="31"/>
      <c r="I154" s="44" t="s">
        <v>75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6"/>
      <c r="C155" s="31"/>
      <c r="D155" s="12"/>
      <c r="E155" s="51" t="s">
        <v>76</v>
      </c>
      <c r="F155" s="13"/>
      <c r="G155" s="16" t="s">
        <v>24</v>
      </c>
      <c r="H155" s="13"/>
      <c r="I155" s="44" t="s">
        <v>77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78</v>
      </c>
      <c r="B156" s="30"/>
      <c r="C156" s="31"/>
      <c r="D156" s="12"/>
      <c r="E156" s="44" t="s">
        <v>79</v>
      </c>
      <c r="F156" s="31"/>
      <c r="G156" s="16" t="s">
        <v>24</v>
      </c>
      <c r="H156" s="31"/>
      <c r="I156" s="61" t="s">
        <v>80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81</v>
      </c>
      <c r="B157" s="30"/>
      <c r="C157" s="31"/>
      <c r="D157" s="12"/>
      <c r="E157" s="44" t="s">
        <v>82</v>
      </c>
      <c r="F157" s="31"/>
      <c r="G157" s="16" t="s">
        <v>24</v>
      </c>
      <c r="H157" s="31"/>
      <c r="I157" s="44" t="s">
        <v>83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84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85</v>
      </c>
      <c r="AK2" s="5" t="s">
        <v>86</v>
      </c>
      <c r="AL2" s="5" t="s">
        <v>87</v>
      </c>
      <c r="AM2" s="63"/>
    </row>
    <row r="3" ht="15.75" customHeight="1">
      <c r="A3" s="65">
        <v>1.0</v>
      </c>
      <c r="B3" s="43">
        <v>46099.0</v>
      </c>
      <c r="C3" s="66" t="s">
        <v>88</v>
      </c>
      <c r="D3" s="12" t="s">
        <v>89</v>
      </c>
      <c r="E3" s="44" t="s">
        <v>39</v>
      </c>
      <c r="F3" s="44">
        <v>8.0</v>
      </c>
      <c r="G3" s="67" t="s">
        <v>24</v>
      </c>
      <c r="H3" s="44">
        <v>10.0</v>
      </c>
      <c r="I3" s="44" t="s">
        <v>90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3"/>
    </row>
    <row r="4" ht="15.75" customHeight="1">
      <c r="A4" s="25"/>
      <c r="B4" s="43">
        <v>46099.0</v>
      </c>
      <c r="C4" s="66" t="s">
        <v>91</v>
      </c>
      <c r="D4" s="12" t="s">
        <v>89</v>
      </c>
      <c r="E4" s="44" t="s">
        <v>32</v>
      </c>
      <c r="F4" s="44">
        <v>13.0</v>
      </c>
      <c r="G4" s="67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3"/>
    </row>
    <row r="5" ht="15.75" customHeight="1">
      <c r="A5" s="25"/>
      <c r="B5" s="43">
        <v>45952.0</v>
      </c>
      <c r="C5" s="39" t="s">
        <v>92</v>
      </c>
      <c r="D5" s="71" t="s">
        <v>89</v>
      </c>
      <c r="E5" s="44" t="s">
        <v>64</v>
      </c>
      <c r="F5" s="44">
        <v>6.0</v>
      </c>
      <c r="G5" s="67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90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38</v>
      </c>
      <c r="AE5" s="70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3"/>
    </row>
    <row r="6" ht="15.75" customHeight="1">
      <c r="A6" s="25"/>
      <c r="B6" s="43">
        <v>45952.0</v>
      </c>
      <c r="C6" s="12" t="s">
        <v>55</v>
      </c>
      <c r="D6" s="71" t="s">
        <v>89</v>
      </c>
      <c r="E6" s="44" t="s">
        <v>93</v>
      </c>
      <c r="F6" s="44">
        <v>4.0</v>
      </c>
      <c r="G6" s="67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3"/>
      <c r="X6" s="28" t="s">
        <v>36</v>
      </c>
      <c r="Y6" s="28">
        <v>0.0</v>
      </c>
      <c r="Z6" s="63"/>
      <c r="AA6" s="63"/>
      <c r="AB6" s="63"/>
      <c r="AC6" s="63"/>
      <c r="AD6" s="22" t="s">
        <v>41</v>
      </c>
      <c r="AE6" s="70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3"/>
    </row>
    <row r="7" ht="15.75" customHeight="1">
      <c r="A7" s="25"/>
      <c r="B7" s="43">
        <v>45952.0</v>
      </c>
      <c r="C7" s="66" t="s">
        <v>88</v>
      </c>
      <c r="D7" s="71" t="s">
        <v>89</v>
      </c>
      <c r="E7" s="44" t="s">
        <v>61</v>
      </c>
      <c r="F7" s="44">
        <v>3.0</v>
      </c>
      <c r="G7" s="67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3"/>
    </row>
    <row r="8" ht="15.75" customHeight="1">
      <c r="A8" s="29"/>
      <c r="B8" s="43">
        <v>45952.0</v>
      </c>
      <c r="C8" s="12" t="s">
        <v>91</v>
      </c>
      <c r="D8" s="71" t="s">
        <v>89</v>
      </c>
      <c r="E8" s="44" t="s">
        <v>25</v>
      </c>
      <c r="F8" s="44">
        <v>5.0</v>
      </c>
      <c r="G8" s="67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93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3"/>
    </row>
    <row r="9" ht="15.75" customHeight="1">
      <c r="A9" s="65">
        <v>2.0</v>
      </c>
      <c r="B9" s="43">
        <v>45952.0</v>
      </c>
      <c r="C9" s="12" t="s">
        <v>52</v>
      </c>
      <c r="D9" s="71" t="s">
        <v>89</v>
      </c>
      <c r="E9" s="44" t="s">
        <v>90</v>
      </c>
      <c r="F9" s="44">
        <v>4.0</v>
      </c>
      <c r="G9" s="67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3"/>
      <c r="X9" s="69" t="s">
        <v>26</v>
      </c>
      <c r="Y9" s="69" t="s">
        <v>13</v>
      </c>
      <c r="Z9" s="69" t="s">
        <v>85</v>
      </c>
      <c r="AA9" s="69" t="s">
        <v>86</v>
      </c>
      <c r="AB9" s="69" t="s">
        <v>87</v>
      </c>
      <c r="AC9" s="63"/>
      <c r="AD9" s="52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3"/>
    </row>
    <row r="10" ht="15.75" customHeight="1">
      <c r="A10" s="25"/>
      <c r="B10" s="43">
        <v>45952.0</v>
      </c>
      <c r="C10" s="66" t="s">
        <v>94</v>
      </c>
      <c r="D10" s="71" t="s">
        <v>89</v>
      </c>
      <c r="E10" s="44" t="s">
        <v>43</v>
      </c>
      <c r="F10" s="44">
        <v>5.0</v>
      </c>
      <c r="G10" s="67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2">
        <v>8.0</v>
      </c>
      <c r="AE10" s="70" t="s">
        <v>90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3"/>
    </row>
    <row r="11" ht="15.75" customHeight="1">
      <c r="A11" s="25"/>
      <c r="B11" s="43">
        <v>45952.0</v>
      </c>
      <c r="C11" s="66" t="s">
        <v>95</v>
      </c>
      <c r="D11" s="71" t="s">
        <v>89</v>
      </c>
      <c r="E11" s="44" t="s">
        <v>33</v>
      </c>
      <c r="F11" s="44">
        <v>13.0</v>
      </c>
      <c r="G11" s="67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96</v>
      </c>
      <c r="AE11" s="74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3"/>
    </row>
    <row r="12" ht="15.75" customHeight="1">
      <c r="A12" s="25"/>
      <c r="B12" s="43">
        <v>45952.0</v>
      </c>
      <c r="C12" s="66" t="s">
        <v>53</v>
      </c>
      <c r="D12" s="71" t="s">
        <v>89</v>
      </c>
      <c r="E12" s="44" t="s">
        <v>65</v>
      </c>
      <c r="F12" s="44">
        <v>7.0</v>
      </c>
      <c r="G12" s="67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3"/>
      <c r="X12" s="28" t="s">
        <v>90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93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3"/>
    </row>
    <row r="13" ht="15.75" customHeight="1">
      <c r="A13" s="25"/>
      <c r="B13" s="11">
        <v>45952.0</v>
      </c>
      <c r="C13" s="66" t="s">
        <v>97</v>
      </c>
      <c r="D13" s="71" t="s">
        <v>89</v>
      </c>
      <c r="E13" s="44" t="s">
        <v>36</v>
      </c>
      <c r="F13" s="44">
        <v>4.0</v>
      </c>
      <c r="G13" s="67" t="s">
        <v>24</v>
      </c>
      <c r="H13" s="44">
        <v>13.0</v>
      </c>
      <c r="I13" s="44" t="s">
        <v>93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3"/>
    </row>
    <row r="14" ht="15.75" customHeight="1">
      <c r="A14" s="29"/>
      <c r="B14" s="11">
        <v>45952.0</v>
      </c>
      <c r="C14" s="66" t="s">
        <v>98</v>
      </c>
      <c r="D14" s="71" t="s">
        <v>89</v>
      </c>
      <c r="E14" s="44" t="s">
        <v>37</v>
      </c>
      <c r="F14" s="44">
        <v>9.0</v>
      </c>
      <c r="G14" s="67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99</v>
      </c>
      <c r="D15" s="71" t="s">
        <v>89</v>
      </c>
      <c r="E15" s="44" t="s">
        <v>90</v>
      </c>
      <c r="F15" s="44">
        <v>13.0</v>
      </c>
      <c r="G15" s="67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100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89</v>
      </c>
      <c r="E16" s="44" t="s">
        <v>39</v>
      </c>
      <c r="F16" s="44">
        <v>8.0</v>
      </c>
      <c r="G16" s="67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101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102</v>
      </c>
      <c r="D17" s="71" t="s">
        <v>89</v>
      </c>
      <c r="E17" s="44" t="s">
        <v>32</v>
      </c>
      <c r="F17" s="44">
        <v>12.0</v>
      </c>
      <c r="G17" s="67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92</v>
      </c>
      <c r="D18" s="71" t="s">
        <v>89</v>
      </c>
      <c r="E18" s="44" t="s">
        <v>64</v>
      </c>
      <c r="F18" s="44">
        <v>10.0</v>
      </c>
      <c r="G18" s="67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55</v>
      </c>
      <c r="D19" s="71" t="s">
        <v>89</v>
      </c>
      <c r="E19" s="44" t="s">
        <v>93</v>
      </c>
      <c r="F19" s="44">
        <v>8.0</v>
      </c>
      <c r="G19" s="67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81" t="s">
        <v>103</v>
      </c>
      <c r="AE19" s="82"/>
      <c r="AF19" s="82"/>
      <c r="AG19" s="82"/>
      <c r="AH19" s="82"/>
      <c r="AI19" s="82"/>
      <c r="AJ19" s="82"/>
      <c r="AK19" s="82"/>
      <c r="AL19" s="83"/>
      <c r="AM19" s="63"/>
    </row>
    <row r="20" ht="15.75" customHeight="1">
      <c r="A20" s="29"/>
      <c r="B20" s="11">
        <v>46008.0</v>
      </c>
      <c r="C20" s="66" t="s">
        <v>88</v>
      </c>
      <c r="D20" s="71" t="s">
        <v>89</v>
      </c>
      <c r="E20" s="44" t="s">
        <v>25</v>
      </c>
      <c r="F20" s="44">
        <v>7.0</v>
      </c>
      <c r="G20" s="67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84"/>
      <c r="AE20" s="85"/>
      <c r="AF20" s="85"/>
      <c r="AG20" s="85"/>
      <c r="AH20" s="85"/>
      <c r="AI20" s="85"/>
      <c r="AJ20" s="85"/>
      <c r="AK20" s="85"/>
      <c r="AL20" s="86"/>
      <c r="AM20" s="63"/>
    </row>
    <row r="21" ht="15.75" customHeight="1">
      <c r="A21" s="65">
        <v>4.0</v>
      </c>
      <c r="B21" s="11">
        <v>46008.0</v>
      </c>
      <c r="C21" s="12" t="s">
        <v>91</v>
      </c>
      <c r="D21" s="71" t="s">
        <v>89</v>
      </c>
      <c r="E21" s="44" t="s">
        <v>43</v>
      </c>
      <c r="F21" s="44">
        <v>12.0</v>
      </c>
      <c r="G21" s="67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85</v>
      </c>
      <c r="AK21" s="5" t="s">
        <v>86</v>
      </c>
      <c r="AL21" s="5" t="s">
        <v>87</v>
      </c>
      <c r="AM21" s="63"/>
    </row>
    <row r="22" ht="15.75" customHeight="1">
      <c r="A22" s="25"/>
      <c r="B22" s="11">
        <v>46008.0</v>
      </c>
      <c r="C22" s="12" t="s">
        <v>52</v>
      </c>
      <c r="D22" s="71" t="s">
        <v>89</v>
      </c>
      <c r="E22" s="44" t="s">
        <v>33</v>
      </c>
      <c r="F22" s="44">
        <v>11.0</v>
      </c>
      <c r="G22" s="67" t="s">
        <v>24</v>
      </c>
      <c r="H22" s="44">
        <v>10.0</v>
      </c>
      <c r="I22" s="44" t="s">
        <v>90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22" t="s">
        <v>29</v>
      </c>
      <c r="AE22" s="70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3"/>
    </row>
    <row r="23" ht="15.75" customHeight="1">
      <c r="A23" s="25"/>
      <c r="B23" s="11">
        <v>46008.0</v>
      </c>
      <c r="C23" s="66" t="s">
        <v>94</v>
      </c>
      <c r="D23" s="71" t="s">
        <v>89</v>
      </c>
      <c r="E23" s="44" t="s">
        <v>65</v>
      </c>
      <c r="F23" s="44">
        <v>8.0</v>
      </c>
      <c r="G23" s="67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22" t="s">
        <v>34</v>
      </c>
      <c r="AE23" s="70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3"/>
    </row>
    <row r="24" ht="15.75" customHeight="1">
      <c r="A24" s="25"/>
      <c r="B24" s="11">
        <v>46008.0</v>
      </c>
      <c r="C24" s="66" t="s">
        <v>95</v>
      </c>
      <c r="D24" s="71" t="s">
        <v>89</v>
      </c>
      <c r="E24" s="44" t="s">
        <v>36</v>
      </c>
      <c r="F24" s="44">
        <v>10.0</v>
      </c>
      <c r="G24" s="67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22" t="s">
        <v>38</v>
      </c>
      <c r="AE24" s="70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3"/>
    </row>
    <row r="25" ht="15.75" customHeight="1">
      <c r="A25" s="25"/>
      <c r="B25" s="11">
        <v>46008.0</v>
      </c>
      <c r="C25" s="66" t="s">
        <v>53</v>
      </c>
      <c r="D25" s="71" t="s">
        <v>89</v>
      </c>
      <c r="E25" s="44" t="s">
        <v>37</v>
      </c>
      <c r="F25" s="44">
        <v>8.0</v>
      </c>
      <c r="G25" s="67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22" t="s">
        <v>41</v>
      </c>
      <c r="AE25" s="70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3"/>
    </row>
    <row r="26" ht="15.75" customHeight="1">
      <c r="A26" s="29"/>
      <c r="B26" s="11">
        <v>46008.0</v>
      </c>
      <c r="C26" s="66" t="s">
        <v>97</v>
      </c>
      <c r="D26" s="71" t="s">
        <v>89</v>
      </c>
      <c r="E26" s="44" t="s">
        <v>61</v>
      </c>
      <c r="F26" s="44">
        <v>11.0</v>
      </c>
      <c r="G26" s="67" t="s">
        <v>24</v>
      </c>
      <c r="H26" s="44">
        <v>10.0</v>
      </c>
      <c r="I26" s="44" t="s">
        <v>93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22" t="s">
        <v>44</v>
      </c>
      <c r="AE26" s="70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89</v>
      </c>
      <c r="E27" s="44" t="s">
        <v>43</v>
      </c>
      <c r="F27" s="44">
        <v>8.0</v>
      </c>
      <c r="G27" s="67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22" t="s">
        <v>47</v>
      </c>
      <c r="AE27" s="70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3"/>
    </row>
    <row r="28" ht="15.75" customHeight="1">
      <c r="A28" s="25"/>
      <c r="B28" s="11">
        <v>46072.0</v>
      </c>
      <c r="C28" s="39" t="s">
        <v>102</v>
      </c>
      <c r="D28" s="12" t="s">
        <v>89</v>
      </c>
      <c r="E28" s="44" t="s">
        <v>90</v>
      </c>
      <c r="F28" s="44">
        <v>8.0</v>
      </c>
      <c r="G28" s="67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52">
        <v>7.0</v>
      </c>
      <c r="AE28" s="70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3"/>
    </row>
    <row r="29" ht="15.75" customHeight="1">
      <c r="A29" s="25"/>
      <c r="B29" s="11">
        <v>46072.0</v>
      </c>
      <c r="C29" s="39" t="s">
        <v>92</v>
      </c>
      <c r="D29" s="12" t="s">
        <v>89</v>
      </c>
      <c r="E29" s="44" t="s">
        <v>39</v>
      </c>
      <c r="F29" s="44">
        <v>8.0</v>
      </c>
      <c r="G29" s="67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52">
        <v>8.0</v>
      </c>
      <c r="AE29" s="70" t="s">
        <v>93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3"/>
    </row>
    <row r="30" ht="15.75" customHeight="1">
      <c r="A30" s="25"/>
      <c r="B30" s="11">
        <v>46072.0</v>
      </c>
      <c r="C30" s="12" t="s">
        <v>55</v>
      </c>
      <c r="D30" s="12" t="s">
        <v>89</v>
      </c>
      <c r="E30" s="44" t="s">
        <v>32</v>
      </c>
      <c r="F30" s="44">
        <v>10.0</v>
      </c>
      <c r="G30" s="67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73" t="s">
        <v>96</v>
      </c>
      <c r="AE30" s="74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3"/>
    </row>
    <row r="31" ht="15.75" customHeight="1">
      <c r="A31" s="25"/>
      <c r="B31" s="11">
        <v>46072.0</v>
      </c>
      <c r="C31" s="66" t="s">
        <v>88</v>
      </c>
      <c r="D31" s="12" t="s">
        <v>89</v>
      </c>
      <c r="E31" s="44" t="s">
        <v>64</v>
      </c>
      <c r="F31" s="44">
        <v>3.0</v>
      </c>
      <c r="G31" s="67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76">
        <v>10.0</v>
      </c>
      <c r="AE31" s="70" t="s">
        <v>90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3"/>
    </row>
    <row r="32" ht="15.75" customHeight="1">
      <c r="A32" s="29"/>
      <c r="B32" s="11">
        <v>46072.0</v>
      </c>
      <c r="C32" s="12" t="s">
        <v>91</v>
      </c>
      <c r="D32" s="12" t="s">
        <v>89</v>
      </c>
      <c r="E32" s="44" t="s">
        <v>25</v>
      </c>
      <c r="F32" s="44">
        <v>9.0</v>
      </c>
      <c r="G32" s="67" t="s">
        <v>24</v>
      </c>
      <c r="H32" s="44">
        <v>8.0</v>
      </c>
      <c r="I32" s="44" t="s">
        <v>93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4">
        <v>11.0</v>
      </c>
      <c r="AE32" s="78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89</v>
      </c>
      <c r="E33" s="44" t="s">
        <v>33</v>
      </c>
      <c r="F33" s="44">
        <v>4.0</v>
      </c>
      <c r="G33" s="67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4">
        <v>12.0</v>
      </c>
      <c r="AE33" s="78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3"/>
    </row>
    <row r="34" ht="15.75" customHeight="1">
      <c r="A34" s="25"/>
      <c r="B34" s="11">
        <v>46072.0</v>
      </c>
      <c r="C34" s="66" t="s">
        <v>94</v>
      </c>
      <c r="D34" s="12" t="s">
        <v>89</v>
      </c>
      <c r="E34" s="44" t="s">
        <v>65</v>
      </c>
      <c r="F34" s="44">
        <v>6.0</v>
      </c>
      <c r="G34" s="67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5" t="s">
        <v>104</v>
      </c>
      <c r="AG34" s="63"/>
      <c r="AH34" s="63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95</v>
      </c>
      <c r="D35" s="12" t="s">
        <v>89</v>
      </c>
      <c r="E35" s="44" t="s">
        <v>36</v>
      </c>
      <c r="F35" s="44">
        <v>11.0</v>
      </c>
      <c r="G35" s="67" t="s">
        <v>24</v>
      </c>
      <c r="H35" s="44">
        <v>8.0</v>
      </c>
      <c r="I35" s="44" t="s">
        <v>90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79" t="s">
        <v>101</v>
      </c>
      <c r="AG35" s="63"/>
      <c r="AH35" s="63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53</v>
      </c>
      <c r="D36" s="12" t="s">
        <v>89</v>
      </c>
      <c r="E36" s="44" t="s">
        <v>37</v>
      </c>
      <c r="F36" s="44">
        <v>2.0</v>
      </c>
      <c r="G36" s="67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97</v>
      </c>
      <c r="D37" s="12" t="s">
        <v>89</v>
      </c>
      <c r="E37" s="44" t="s">
        <v>61</v>
      </c>
      <c r="F37" s="44">
        <v>8.0</v>
      </c>
      <c r="G37" s="67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98</v>
      </c>
      <c r="D38" s="12" t="s">
        <v>89</v>
      </c>
      <c r="E38" s="44" t="s">
        <v>93</v>
      </c>
      <c r="F38" s="44">
        <v>10.0</v>
      </c>
      <c r="G38" s="67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4"/>
      <c r="AG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7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4" t="s">
        <v>43</v>
      </c>
      <c r="F40" s="44">
        <v>6.0</v>
      </c>
      <c r="G40" s="67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92</v>
      </c>
      <c r="D41" s="39" t="s">
        <v>22</v>
      </c>
      <c r="E41" s="44" t="s">
        <v>90</v>
      </c>
      <c r="F41" s="44">
        <v>7.0</v>
      </c>
      <c r="G41" s="67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55</v>
      </c>
      <c r="D42" s="12" t="s">
        <v>22</v>
      </c>
      <c r="E42" s="44" t="s">
        <v>39</v>
      </c>
      <c r="F42" s="44">
        <v>14.0</v>
      </c>
      <c r="G42" s="67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88</v>
      </c>
      <c r="D43" s="12" t="s">
        <v>22</v>
      </c>
      <c r="E43" s="44" t="s">
        <v>32</v>
      </c>
      <c r="F43" s="44">
        <v>10.0</v>
      </c>
      <c r="G43" s="67" t="s">
        <v>24</v>
      </c>
      <c r="H43" s="44">
        <v>4.0</v>
      </c>
      <c r="I43" s="44" t="s">
        <v>93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97</v>
      </c>
      <c r="D44" s="12" t="s">
        <v>22</v>
      </c>
      <c r="E44" s="44" t="s">
        <v>25</v>
      </c>
      <c r="F44" s="44">
        <v>18.0</v>
      </c>
      <c r="G44" s="67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102</v>
      </c>
      <c r="D45" s="12" t="s">
        <v>22</v>
      </c>
      <c r="E45" s="44" t="s">
        <v>65</v>
      </c>
      <c r="F45" s="44">
        <v>5.0</v>
      </c>
      <c r="G45" s="67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94</v>
      </c>
      <c r="D46" s="12" t="s">
        <v>22</v>
      </c>
      <c r="E46" s="44" t="s">
        <v>36</v>
      </c>
      <c r="F46" s="44">
        <v>6.0</v>
      </c>
      <c r="G46" s="67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95</v>
      </c>
      <c r="D47" s="12" t="s">
        <v>22</v>
      </c>
      <c r="E47" s="44" t="s">
        <v>37</v>
      </c>
      <c r="F47" s="44">
        <v>11.0</v>
      </c>
      <c r="G47" s="67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53</v>
      </c>
      <c r="D48" s="12" t="s">
        <v>22</v>
      </c>
      <c r="E48" s="44" t="s">
        <v>61</v>
      </c>
      <c r="F48" s="44">
        <v>14.0</v>
      </c>
      <c r="G48" s="67" t="s">
        <v>24</v>
      </c>
      <c r="H48" s="44">
        <v>8.0</v>
      </c>
      <c r="I48" s="44" t="s">
        <v>90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91</v>
      </c>
      <c r="D49" s="12" t="s">
        <v>22</v>
      </c>
      <c r="E49" s="44" t="s">
        <v>93</v>
      </c>
      <c r="F49" s="44">
        <v>4.0</v>
      </c>
      <c r="G49" s="67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98</v>
      </c>
      <c r="D50" s="12" t="s">
        <v>22</v>
      </c>
      <c r="E50" s="44" t="s">
        <v>64</v>
      </c>
      <c r="F50" s="44">
        <v>11.0</v>
      </c>
      <c r="G50" s="67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89</v>
      </c>
      <c r="E51" s="44" t="s">
        <v>65</v>
      </c>
      <c r="F51" s="44">
        <v>6.0</v>
      </c>
      <c r="G51" s="67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94</v>
      </c>
      <c r="D52" s="12" t="s">
        <v>89</v>
      </c>
      <c r="E52" s="44" t="s">
        <v>33</v>
      </c>
      <c r="F52" s="44">
        <v>11.0</v>
      </c>
      <c r="G52" s="67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95</v>
      </c>
      <c r="D53" s="12" t="s">
        <v>89</v>
      </c>
      <c r="E53" s="44" t="s">
        <v>43</v>
      </c>
      <c r="F53" s="44">
        <v>14.0</v>
      </c>
      <c r="G53" s="67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53</v>
      </c>
      <c r="D54" s="12" t="s">
        <v>89</v>
      </c>
      <c r="E54" s="44" t="s">
        <v>90</v>
      </c>
      <c r="F54" s="44">
        <v>8.0</v>
      </c>
      <c r="G54" s="67" t="s">
        <v>24</v>
      </c>
      <c r="H54" s="44">
        <v>10.0</v>
      </c>
      <c r="I54" s="44" t="s">
        <v>93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97</v>
      </c>
      <c r="D55" s="12" t="s">
        <v>89</v>
      </c>
      <c r="E55" s="44" t="s">
        <v>39</v>
      </c>
      <c r="F55" s="44">
        <v>10.0</v>
      </c>
      <c r="G55" s="67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98</v>
      </c>
      <c r="D56" s="12" t="s">
        <v>89</v>
      </c>
      <c r="E56" s="44" t="s">
        <v>25</v>
      </c>
      <c r="F56" s="44">
        <v>5.0</v>
      </c>
      <c r="G56" s="67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7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11">
        <v>46148.0</v>
      </c>
      <c r="C58" s="12" t="s">
        <v>102</v>
      </c>
      <c r="D58" s="12" t="s">
        <v>22</v>
      </c>
      <c r="E58" s="44" t="s">
        <v>37</v>
      </c>
      <c r="F58" s="44">
        <v>14.0</v>
      </c>
      <c r="G58" s="67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11">
        <v>46148.0</v>
      </c>
      <c r="C59" s="12" t="s">
        <v>92</v>
      </c>
      <c r="D59" s="12" t="s">
        <v>22</v>
      </c>
      <c r="E59" s="44" t="s">
        <v>61</v>
      </c>
      <c r="F59" s="44">
        <v>1.0</v>
      </c>
      <c r="G59" s="67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11">
        <v>46148.0</v>
      </c>
      <c r="C60" s="66" t="s">
        <v>55</v>
      </c>
      <c r="D60" s="12" t="s">
        <v>22</v>
      </c>
      <c r="E60" s="44" t="s">
        <v>93</v>
      </c>
      <c r="F60" s="44">
        <v>4.0</v>
      </c>
      <c r="G60" s="67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11">
        <v>46148.0</v>
      </c>
      <c r="C61" s="66" t="s">
        <v>88</v>
      </c>
      <c r="D61" s="12" t="s">
        <v>22</v>
      </c>
      <c r="E61" s="44" t="s">
        <v>64</v>
      </c>
      <c r="F61" s="44">
        <v>12.0</v>
      </c>
      <c r="G61" s="67" t="s">
        <v>24</v>
      </c>
      <c r="H61" s="44">
        <v>9.0</v>
      </c>
      <c r="I61" s="44" t="s">
        <v>90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11">
        <v>46148.0</v>
      </c>
      <c r="C62" s="66" t="s">
        <v>91</v>
      </c>
      <c r="D62" s="12" t="s">
        <v>22</v>
      </c>
      <c r="E62" s="44" t="s">
        <v>32</v>
      </c>
      <c r="F62" s="44">
        <v>9.0</v>
      </c>
      <c r="G62" s="67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11">
        <v>46148.0</v>
      </c>
      <c r="C63" s="66" t="s">
        <v>52</v>
      </c>
      <c r="D63" s="12" t="s">
        <v>22</v>
      </c>
      <c r="E63" s="44" t="s">
        <v>36</v>
      </c>
      <c r="F63" s="44">
        <v>16.0</v>
      </c>
      <c r="G63" s="67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11">
        <v>46148.0</v>
      </c>
      <c r="C64" s="66" t="s">
        <v>94</v>
      </c>
      <c r="D64" s="12" t="s">
        <v>22</v>
      </c>
      <c r="E64" s="44" t="s">
        <v>65</v>
      </c>
      <c r="F64" s="44">
        <v>17.0</v>
      </c>
      <c r="G64" s="67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11">
        <v>46148.0</v>
      </c>
      <c r="C65" s="66" t="s">
        <v>95</v>
      </c>
      <c r="D65" s="12" t="s">
        <v>22</v>
      </c>
      <c r="E65" s="44" t="s">
        <v>33</v>
      </c>
      <c r="F65" s="44">
        <v>17.0</v>
      </c>
      <c r="G65" s="67" t="s">
        <v>24</v>
      </c>
      <c r="H65" s="44">
        <v>8.0</v>
      </c>
      <c r="I65" s="44" t="s">
        <v>93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11">
        <v>46148.0</v>
      </c>
      <c r="C66" s="66" t="s">
        <v>53</v>
      </c>
      <c r="D66" s="12" t="s">
        <v>22</v>
      </c>
      <c r="E66" s="44" t="s">
        <v>43</v>
      </c>
      <c r="F66" s="44">
        <v>13.0</v>
      </c>
      <c r="G66" s="67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11">
        <v>46148.0</v>
      </c>
      <c r="C67" s="66" t="s">
        <v>97</v>
      </c>
      <c r="D67" s="12" t="s">
        <v>22</v>
      </c>
      <c r="E67" s="44" t="s">
        <v>90</v>
      </c>
      <c r="F67" s="44">
        <v>9.0</v>
      </c>
      <c r="G67" s="67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11">
        <v>46148.0</v>
      </c>
      <c r="C68" s="66" t="s">
        <v>98</v>
      </c>
      <c r="D68" s="12" t="s">
        <v>22</v>
      </c>
      <c r="E68" s="44" t="s">
        <v>39</v>
      </c>
      <c r="F68" s="44">
        <v>10.0</v>
      </c>
      <c r="G68" s="67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7"/>
      <c r="B69" s="88"/>
      <c r="C69" s="88"/>
      <c r="D69" s="88"/>
      <c r="E69" s="88"/>
      <c r="F69" s="88"/>
      <c r="G69" s="88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7"/>
      <c r="B70" s="88"/>
      <c r="C70" s="88"/>
      <c r="D70" s="88"/>
      <c r="E70" s="88"/>
      <c r="F70" s="88"/>
      <c r="G70" s="88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7"/>
      <c r="B71" s="88"/>
      <c r="C71" s="88"/>
      <c r="D71" s="88"/>
      <c r="E71" s="88"/>
      <c r="F71" s="88"/>
      <c r="G71" s="88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105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85</v>
      </c>
      <c r="U73" s="9" t="s">
        <v>86</v>
      </c>
      <c r="V73" s="9" t="s">
        <v>87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85</v>
      </c>
      <c r="AK73" s="5" t="s">
        <v>86</v>
      </c>
      <c r="AL73" s="5" t="s">
        <v>87</v>
      </c>
      <c r="AM73" s="63"/>
    </row>
    <row r="74" ht="15.75" customHeight="1">
      <c r="A74" s="10">
        <v>1.0</v>
      </c>
      <c r="B74" s="89">
        <v>46155.0</v>
      </c>
      <c r="C74" s="39" t="s">
        <v>106</v>
      </c>
      <c r="D74" s="12" t="s">
        <v>22</v>
      </c>
      <c r="E74" s="17" t="s">
        <v>31</v>
      </c>
      <c r="F74" s="90"/>
      <c r="G74" s="67" t="s">
        <v>24</v>
      </c>
      <c r="H74" s="90"/>
      <c r="I74" s="91" t="s">
        <v>107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107</v>
      </c>
      <c r="P74" s="18">
        <f t="shared" ref="P74:P82" si="13">SUMIF(E$74:E$118,O74,K$74:K$118)+SUMIF(I$74:I$118,O74,L$74:L$118)</f>
        <v>10</v>
      </c>
      <c r="Q74" s="18">
        <f t="shared" ref="Q74:Q82" si="14">COUNTIFS(E$74:E$118,O74,K$74:K$118,2)+COUNTIFS(I$74:I$118,O74,L$74:L$118,2)</f>
        <v>5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1</v>
      </c>
      <c r="T74" s="18">
        <f t="shared" ref="T74:T82" si="17">SUMIF(E$74:E$118,O74,F$74:F$118)+SUMIF(I$74:I$118,O74,H$74:H$118)</f>
        <v>68</v>
      </c>
      <c r="U74" s="20">
        <f t="shared" ref="U74:U82" si="18">SUMIF(E$74:E$118,O74,H$74:H$118)+SUMIF(I$74:I$118,O74,F$74:F$118)</f>
        <v>32</v>
      </c>
      <c r="V74" s="18">
        <f t="shared" ref="V74:V82" si="19">T74-U74</f>
        <v>36</v>
      </c>
      <c r="W74" s="63"/>
      <c r="X74" s="63"/>
      <c r="Y74" s="63"/>
      <c r="Z74" s="63"/>
      <c r="AA74" s="63"/>
      <c r="AB74" s="63"/>
      <c r="AC74" s="63"/>
      <c r="AD74" s="45" t="s">
        <v>29</v>
      </c>
      <c r="AE74" s="70" t="str">
        <f t="array" ref="AE74:AM82">SORT(O74:X82,2,FALSE,9,FALSE,8,FALSE())</f>
        <v>Eng. Civil</v>
      </c>
      <c r="AF74" s="23">
        <v>10.0</v>
      </c>
      <c r="AG74" s="23">
        <v>5.0</v>
      </c>
      <c r="AH74" s="24">
        <v>0.0</v>
      </c>
      <c r="AI74" s="24">
        <v>0.0</v>
      </c>
      <c r="AJ74" s="23">
        <v>76.0</v>
      </c>
      <c r="AK74" s="24">
        <v>30.0</v>
      </c>
      <c r="AL74" s="23">
        <v>46.0</v>
      </c>
      <c r="AM74" s="63"/>
    </row>
    <row r="75" ht="15.75" customHeight="1">
      <c r="A75" s="25"/>
      <c r="B75" s="43">
        <v>45952.0</v>
      </c>
      <c r="C75" s="39" t="s">
        <v>108</v>
      </c>
      <c r="D75" s="71" t="s">
        <v>89</v>
      </c>
      <c r="E75" s="17" t="s">
        <v>109</v>
      </c>
      <c r="F75" s="17">
        <v>0.0</v>
      </c>
      <c r="G75" s="67" t="s">
        <v>24</v>
      </c>
      <c r="H75" s="17">
        <v>9.0</v>
      </c>
      <c r="I75" s="91" t="s">
        <v>110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10</v>
      </c>
      <c r="Q75" s="18">
        <f t="shared" si="14"/>
        <v>5</v>
      </c>
      <c r="R75" s="20">
        <f t="shared" si="15"/>
        <v>0</v>
      </c>
      <c r="S75" s="20">
        <f t="shared" si="16"/>
        <v>0</v>
      </c>
      <c r="T75" s="18">
        <f t="shared" si="17"/>
        <v>76</v>
      </c>
      <c r="U75" s="20">
        <f t="shared" si="18"/>
        <v>30</v>
      </c>
      <c r="V75" s="18">
        <f t="shared" si="19"/>
        <v>46</v>
      </c>
      <c r="W75" s="63"/>
      <c r="X75" s="63"/>
      <c r="Y75" s="63"/>
      <c r="Z75" s="63"/>
      <c r="AA75" s="63"/>
      <c r="AB75" s="63"/>
      <c r="AC75" s="63"/>
      <c r="AD75" s="73" t="s">
        <v>111</v>
      </c>
      <c r="AE75" s="70" t="s">
        <v>107</v>
      </c>
      <c r="AF75" s="23">
        <v>10.0</v>
      </c>
      <c r="AG75" s="23">
        <v>5.0</v>
      </c>
      <c r="AH75" s="24">
        <v>0.0</v>
      </c>
      <c r="AI75" s="24">
        <v>1.0</v>
      </c>
      <c r="AJ75" s="23">
        <v>68.0</v>
      </c>
      <c r="AK75" s="24">
        <v>32.0</v>
      </c>
      <c r="AL75" s="23">
        <v>36.0</v>
      </c>
      <c r="AM75" s="63"/>
    </row>
    <row r="76" ht="15.75" customHeight="1">
      <c r="A76" s="25"/>
      <c r="B76" s="43">
        <v>46148.0</v>
      </c>
      <c r="C76" s="39" t="s">
        <v>98</v>
      </c>
      <c r="D76" s="12" t="s">
        <v>89</v>
      </c>
      <c r="E76" s="17" t="s">
        <v>63</v>
      </c>
      <c r="F76" s="17">
        <v>5.0</v>
      </c>
      <c r="G76" s="67" t="s">
        <v>24</v>
      </c>
      <c r="H76" s="17">
        <v>15.0</v>
      </c>
      <c r="I76" s="91" t="s">
        <v>112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7" t="s">
        <v>109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6</v>
      </c>
      <c r="T76" s="18">
        <f t="shared" si="17"/>
        <v>33</v>
      </c>
      <c r="U76" s="20">
        <f t="shared" si="18"/>
        <v>83</v>
      </c>
      <c r="V76" s="18">
        <f t="shared" si="19"/>
        <v>-50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113</v>
      </c>
      <c r="AF76" s="23">
        <v>8.0</v>
      </c>
      <c r="AG76" s="23">
        <v>4.0</v>
      </c>
      <c r="AH76" s="24">
        <v>0.0</v>
      </c>
      <c r="AI76" s="24">
        <v>2.0</v>
      </c>
      <c r="AJ76" s="23">
        <v>65.0</v>
      </c>
      <c r="AK76" s="24">
        <v>51.0</v>
      </c>
      <c r="AL76" s="23">
        <v>14.0</v>
      </c>
      <c r="AM76" s="63"/>
    </row>
    <row r="77" ht="15.75" customHeight="1">
      <c r="A77" s="25"/>
      <c r="B77" s="43">
        <v>45952.0</v>
      </c>
      <c r="C77" s="12" t="s">
        <v>99</v>
      </c>
      <c r="D77" s="71" t="s">
        <v>89</v>
      </c>
      <c r="E77" s="17" t="s">
        <v>114</v>
      </c>
      <c r="F77" s="17">
        <v>7.0</v>
      </c>
      <c r="G77" s="67" t="s">
        <v>24</v>
      </c>
      <c r="H77" s="17">
        <v>10.0</v>
      </c>
      <c r="I77" s="91" t="s">
        <v>113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5</v>
      </c>
      <c r="T77" s="18">
        <f t="shared" si="17"/>
        <v>31</v>
      </c>
      <c r="U77" s="20">
        <f t="shared" si="18"/>
        <v>80</v>
      </c>
      <c r="V77" s="18">
        <f t="shared" si="19"/>
        <v>-49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110</v>
      </c>
      <c r="AF77" s="23">
        <v>6.0</v>
      </c>
      <c r="AG77" s="23">
        <v>3.0</v>
      </c>
      <c r="AH77" s="24">
        <v>0.0</v>
      </c>
      <c r="AI77" s="24">
        <v>2.0</v>
      </c>
      <c r="AJ77" s="23">
        <v>53.0</v>
      </c>
      <c r="AK77" s="24">
        <v>39.0</v>
      </c>
      <c r="AL77" s="23">
        <v>14.0</v>
      </c>
      <c r="AM77" s="63"/>
    </row>
    <row r="78" ht="15.75" customHeight="1">
      <c r="A78" s="29"/>
      <c r="B78" s="92"/>
      <c r="C78" s="67"/>
      <c r="D78" s="67"/>
      <c r="E78" s="17" t="s">
        <v>59</v>
      </c>
      <c r="F78" s="90"/>
      <c r="G78" s="67" t="s">
        <v>24</v>
      </c>
      <c r="H78" s="90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114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112</v>
      </c>
      <c r="AF78" s="23">
        <v>6.0</v>
      </c>
      <c r="AG78" s="23">
        <v>3.0</v>
      </c>
      <c r="AH78" s="24">
        <v>0.0</v>
      </c>
      <c r="AI78" s="24">
        <v>3.0</v>
      </c>
      <c r="AJ78" s="23">
        <v>66.0</v>
      </c>
      <c r="AK78" s="24">
        <v>60.0</v>
      </c>
      <c r="AL78" s="23">
        <v>6.0</v>
      </c>
      <c r="AM78" s="63"/>
    </row>
    <row r="79" ht="15.75" customHeight="1">
      <c r="A79" s="10">
        <v>2.0</v>
      </c>
      <c r="B79" s="43">
        <v>45952.0</v>
      </c>
      <c r="C79" s="39" t="s">
        <v>51</v>
      </c>
      <c r="D79" s="71" t="s">
        <v>89</v>
      </c>
      <c r="E79" s="17" t="s">
        <v>107</v>
      </c>
      <c r="F79" s="17">
        <v>7.0</v>
      </c>
      <c r="G79" s="67" t="s">
        <v>24</v>
      </c>
      <c r="H79" s="17">
        <v>2.0</v>
      </c>
      <c r="I79" s="91" t="s">
        <v>109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4</v>
      </c>
      <c r="T79" s="18">
        <f t="shared" si="17"/>
        <v>33</v>
      </c>
      <c r="U79" s="20">
        <f t="shared" si="18"/>
        <v>47</v>
      </c>
      <c r="V79" s="18">
        <f t="shared" si="19"/>
        <v>-14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114</v>
      </c>
      <c r="AF79" s="23">
        <v>6.0</v>
      </c>
      <c r="AG79" s="23">
        <v>3.0</v>
      </c>
      <c r="AH79" s="24">
        <v>0.0</v>
      </c>
      <c r="AI79" s="24">
        <v>4.0</v>
      </c>
      <c r="AJ79" s="23">
        <v>77.0</v>
      </c>
      <c r="AK79" s="24">
        <v>81.0</v>
      </c>
      <c r="AL79" s="23">
        <v>-4.0</v>
      </c>
      <c r="AM79" s="63"/>
    </row>
    <row r="80" ht="15.75" customHeight="1">
      <c r="A80" s="25"/>
      <c r="B80" s="93"/>
      <c r="C80" s="94"/>
      <c r="D80" s="94"/>
      <c r="E80" s="17">
        <v>0.0</v>
      </c>
      <c r="F80" s="90"/>
      <c r="G80" s="67" t="s">
        <v>24</v>
      </c>
      <c r="H80" s="90"/>
      <c r="I80" s="91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113</v>
      </c>
      <c r="P80" s="18">
        <f t="shared" si="13"/>
        <v>8</v>
      </c>
      <c r="Q80" s="18">
        <f t="shared" si="14"/>
        <v>4</v>
      </c>
      <c r="R80" s="20">
        <f t="shared" si="15"/>
        <v>0</v>
      </c>
      <c r="S80" s="20">
        <f t="shared" si="16"/>
        <v>2</v>
      </c>
      <c r="T80" s="18">
        <f t="shared" si="17"/>
        <v>65</v>
      </c>
      <c r="U80" s="20">
        <f t="shared" si="18"/>
        <v>51</v>
      </c>
      <c r="V80" s="18">
        <f t="shared" si="19"/>
        <v>14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4.0</v>
      </c>
      <c r="AJ80" s="23">
        <v>33.0</v>
      </c>
      <c r="AK80" s="24">
        <v>47.0</v>
      </c>
      <c r="AL80" s="23">
        <v>-14.0</v>
      </c>
      <c r="AM80" s="63"/>
    </row>
    <row r="81" ht="15.75" customHeight="1">
      <c r="A81" s="25"/>
      <c r="B81" s="43">
        <v>45952.0</v>
      </c>
      <c r="C81" s="39" t="s">
        <v>102</v>
      </c>
      <c r="D81" s="71" t="s">
        <v>89</v>
      </c>
      <c r="E81" s="91" t="s">
        <v>110</v>
      </c>
      <c r="F81" s="17">
        <v>16.0</v>
      </c>
      <c r="G81" s="67" t="s">
        <v>24</v>
      </c>
      <c r="H81" s="17">
        <v>5.0</v>
      </c>
      <c r="I81" s="91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112</v>
      </c>
      <c r="P81" s="18">
        <f t="shared" si="13"/>
        <v>6</v>
      </c>
      <c r="Q81" s="18">
        <f t="shared" si="14"/>
        <v>3</v>
      </c>
      <c r="R81" s="20">
        <f t="shared" si="15"/>
        <v>0</v>
      </c>
      <c r="S81" s="20">
        <f t="shared" si="16"/>
        <v>3</v>
      </c>
      <c r="T81" s="18">
        <f t="shared" si="17"/>
        <v>66</v>
      </c>
      <c r="U81" s="20">
        <f t="shared" si="18"/>
        <v>60</v>
      </c>
      <c r="V81" s="18">
        <f t="shared" si="19"/>
        <v>6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5.0</v>
      </c>
      <c r="AJ81" s="23">
        <v>31.0</v>
      </c>
      <c r="AK81" s="24">
        <v>80.0</v>
      </c>
      <c r="AL81" s="23">
        <v>-49.0</v>
      </c>
      <c r="AM81" s="63"/>
    </row>
    <row r="82" ht="15.75" customHeight="1">
      <c r="A82" s="25"/>
      <c r="B82" s="11">
        <v>45952.0</v>
      </c>
      <c r="C82" s="39" t="s">
        <v>92</v>
      </c>
      <c r="D82" s="71" t="s">
        <v>89</v>
      </c>
      <c r="E82" s="17" t="s">
        <v>112</v>
      </c>
      <c r="F82" s="17">
        <v>16.0</v>
      </c>
      <c r="G82" s="67" t="s">
        <v>24</v>
      </c>
      <c r="H82" s="17">
        <v>14.0</v>
      </c>
      <c r="I82" s="91" t="s">
        <v>114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110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109</v>
      </c>
      <c r="AF82" s="23">
        <v>2.0</v>
      </c>
      <c r="AG82" s="23">
        <v>1.0</v>
      </c>
      <c r="AH82" s="23">
        <v>0.0</v>
      </c>
      <c r="AI82" s="23">
        <v>6.0</v>
      </c>
      <c r="AJ82" s="23">
        <v>33.0</v>
      </c>
      <c r="AK82" s="23">
        <v>83.0</v>
      </c>
      <c r="AL82" s="23">
        <v>-50.0</v>
      </c>
      <c r="AM82" s="63"/>
    </row>
    <row r="83" ht="15.75" customHeight="1">
      <c r="A83" s="29"/>
      <c r="B83" s="11">
        <v>45952.0</v>
      </c>
      <c r="C83" s="12" t="s">
        <v>55</v>
      </c>
      <c r="D83" s="71" t="s">
        <v>89</v>
      </c>
      <c r="E83" s="17" t="s">
        <v>113</v>
      </c>
      <c r="F83" s="17">
        <v>6.0</v>
      </c>
      <c r="G83" s="67" t="s">
        <v>24</v>
      </c>
      <c r="H83" s="17">
        <v>8.0</v>
      </c>
      <c r="I83" s="91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115</v>
      </c>
      <c r="AG83" s="95"/>
      <c r="AH83" s="95"/>
      <c r="AI83" s="95"/>
      <c r="AJ83" s="95"/>
      <c r="AK83" s="95"/>
      <c r="AL83" s="95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89</v>
      </c>
      <c r="E84" s="17" t="s">
        <v>63</v>
      </c>
      <c r="F84" s="17">
        <v>4.0</v>
      </c>
      <c r="G84" s="67" t="s">
        <v>24</v>
      </c>
      <c r="H84" s="17">
        <v>15.0</v>
      </c>
      <c r="I84" s="91" t="s">
        <v>107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101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94</v>
      </c>
      <c r="D85" s="71" t="s">
        <v>89</v>
      </c>
      <c r="E85" s="17" t="s">
        <v>109</v>
      </c>
      <c r="F85" s="17">
        <v>2.0</v>
      </c>
      <c r="G85" s="67" t="s">
        <v>24</v>
      </c>
      <c r="H85" s="17">
        <v>21.0</v>
      </c>
      <c r="I85" s="91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53</v>
      </c>
      <c r="D86" s="71" t="s">
        <v>89</v>
      </c>
      <c r="E86" s="17" t="s">
        <v>114</v>
      </c>
      <c r="F86" s="17">
        <v>9.0</v>
      </c>
      <c r="G86" s="67" t="s">
        <v>24</v>
      </c>
      <c r="H86" s="17">
        <v>7.0</v>
      </c>
      <c r="I86" s="91" t="s">
        <v>110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95</v>
      </c>
      <c r="D87" s="71" t="s">
        <v>89</v>
      </c>
      <c r="E87" s="17" t="s">
        <v>59</v>
      </c>
      <c r="F87" s="17">
        <v>7.0</v>
      </c>
      <c r="G87" s="67" t="s">
        <v>24</v>
      </c>
      <c r="H87" s="17">
        <v>8.0</v>
      </c>
      <c r="I87" s="91" t="s">
        <v>112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96"/>
      <c r="C88" s="67"/>
      <c r="D88" s="67"/>
      <c r="E88" s="17">
        <v>0.0</v>
      </c>
      <c r="F88" s="90"/>
      <c r="G88" s="67" t="s">
        <v>24</v>
      </c>
      <c r="H88" s="90"/>
      <c r="I88" s="91" t="s">
        <v>113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88</v>
      </c>
      <c r="D89" s="12" t="s">
        <v>89</v>
      </c>
      <c r="E89" s="17" t="s">
        <v>107</v>
      </c>
      <c r="F89" s="17">
        <v>21.0</v>
      </c>
      <c r="G89" s="67" t="s">
        <v>24</v>
      </c>
      <c r="H89" s="17">
        <v>0.0</v>
      </c>
      <c r="I89" s="91" t="s">
        <v>114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91</v>
      </c>
      <c r="D90" s="12" t="s">
        <v>89</v>
      </c>
      <c r="E90" s="17" t="s">
        <v>31</v>
      </c>
      <c r="F90" s="17">
        <v>10.0</v>
      </c>
      <c r="G90" s="67" t="s">
        <v>24</v>
      </c>
      <c r="H90" s="17">
        <v>0.0</v>
      </c>
      <c r="I90" s="91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7"/>
      <c r="C91" s="94"/>
      <c r="D91" s="94"/>
      <c r="E91" s="17" t="s">
        <v>109</v>
      </c>
      <c r="F91" s="17">
        <v>12.0</v>
      </c>
      <c r="G91" s="67" t="s">
        <v>24</v>
      </c>
      <c r="H91" s="17">
        <v>13.0</v>
      </c>
      <c r="I91" s="91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89</v>
      </c>
      <c r="E92" s="91" t="s">
        <v>110</v>
      </c>
      <c r="F92" s="90"/>
      <c r="G92" s="67" t="s">
        <v>24</v>
      </c>
      <c r="H92" s="90"/>
      <c r="I92" s="91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94</v>
      </c>
      <c r="D93" s="12" t="s">
        <v>89</v>
      </c>
      <c r="E93" s="17" t="s">
        <v>112</v>
      </c>
      <c r="F93" s="17">
        <v>8.0</v>
      </c>
      <c r="G93" s="67" t="s">
        <v>24</v>
      </c>
      <c r="H93" s="17">
        <v>12.0</v>
      </c>
      <c r="I93" s="91" t="s">
        <v>113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95</v>
      </c>
      <c r="D94" s="12" t="s">
        <v>89</v>
      </c>
      <c r="E94" s="17" t="s">
        <v>59</v>
      </c>
      <c r="F94" s="17">
        <v>7.0</v>
      </c>
      <c r="G94" s="67" t="s">
        <v>24</v>
      </c>
      <c r="H94" s="17">
        <v>9.0</v>
      </c>
      <c r="I94" s="91" t="s">
        <v>107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53</v>
      </c>
      <c r="D95" s="12" t="s">
        <v>89</v>
      </c>
      <c r="E95" s="17" t="s">
        <v>114</v>
      </c>
      <c r="F95" s="17">
        <v>11.0</v>
      </c>
      <c r="G95" s="67" t="s">
        <v>24</v>
      </c>
      <c r="H95" s="17">
        <v>16.0</v>
      </c>
      <c r="I95" s="91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97</v>
      </c>
      <c r="D96" s="12" t="s">
        <v>89</v>
      </c>
      <c r="E96" s="17" t="s">
        <v>63</v>
      </c>
      <c r="F96" s="17">
        <v>11.0</v>
      </c>
      <c r="G96" s="67" t="s">
        <v>24</v>
      </c>
      <c r="H96" s="17">
        <v>4.0</v>
      </c>
      <c r="I96" s="91" t="s">
        <v>109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98</v>
      </c>
      <c r="D97" s="12" t="s">
        <v>89</v>
      </c>
      <c r="E97" s="17" t="s">
        <v>113</v>
      </c>
      <c r="F97" s="17">
        <v>15.0</v>
      </c>
      <c r="G97" s="67" t="s">
        <v>24</v>
      </c>
      <c r="H97" s="17">
        <v>9.0</v>
      </c>
      <c r="I97" s="91" t="s">
        <v>110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96"/>
      <c r="C98" s="67"/>
      <c r="D98" s="90"/>
      <c r="E98" s="17">
        <v>0.0</v>
      </c>
      <c r="F98" s="90"/>
      <c r="G98" s="67" t="s">
        <v>24</v>
      </c>
      <c r="H98" s="90"/>
      <c r="I98" s="91" t="s">
        <v>112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11">
        <v>46148.0</v>
      </c>
      <c r="C99" s="39" t="s">
        <v>97</v>
      </c>
      <c r="D99" s="12" t="s">
        <v>89</v>
      </c>
      <c r="E99" s="17" t="s">
        <v>107</v>
      </c>
      <c r="F99" s="17">
        <v>6.0</v>
      </c>
      <c r="G99" s="67" t="s">
        <v>24</v>
      </c>
      <c r="H99" s="17">
        <v>10.0</v>
      </c>
      <c r="I99" s="91" t="s">
        <v>113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102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91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92</v>
      </c>
      <c r="D101" s="39" t="s">
        <v>22</v>
      </c>
      <c r="E101" s="17" t="s">
        <v>109</v>
      </c>
      <c r="F101" s="17">
        <v>5.0</v>
      </c>
      <c r="G101" s="67" t="s">
        <v>24</v>
      </c>
      <c r="H101" s="17">
        <v>16.0</v>
      </c>
      <c r="I101" s="91" t="s">
        <v>114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7"/>
      <c r="C102" s="94"/>
      <c r="D102" s="98"/>
      <c r="E102" s="17" t="s">
        <v>63</v>
      </c>
      <c r="F102" s="90"/>
      <c r="G102" s="67" t="s">
        <v>24</v>
      </c>
      <c r="H102" s="90"/>
      <c r="I102" s="91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1" t="s">
        <v>110</v>
      </c>
      <c r="F103" s="17">
        <v>12.0</v>
      </c>
      <c r="G103" s="67" t="s">
        <v>24</v>
      </c>
      <c r="H103" s="17">
        <v>10.0</v>
      </c>
      <c r="I103" s="91" t="s">
        <v>112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11">
        <v>46148.0</v>
      </c>
      <c r="C104" s="39" t="s">
        <v>94</v>
      </c>
      <c r="D104" s="12" t="s">
        <v>89</v>
      </c>
      <c r="E104" s="39" t="s">
        <v>112</v>
      </c>
      <c r="F104" s="17">
        <v>9.0</v>
      </c>
      <c r="G104" s="67" t="s">
        <v>24</v>
      </c>
      <c r="H104" s="17">
        <v>10.0</v>
      </c>
      <c r="I104" s="91" t="s">
        <v>107</v>
      </c>
      <c r="J104" s="63"/>
      <c r="K104" s="4">
        <f t="shared" si="11"/>
        <v>0</v>
      </c>
      <c r="L104" s="18">
        <f t="shared" si="12"/>
        <v>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11">
        <v>46148.0</v>
      </c>
      <c r="C105" s="39" t="s">
        <v>95</v>
      </c>
      <c r="D105" s="12" t="s">
        <v>89</v>
      </c>
      <c r="E105" s="39" t="s">
        <v>113</v>
      </c>
      <c r="F105" s="17">
        <v>12.0</v>
      </c>
      <c r="G105" s="67" t="s">
        <v>24</v>
      </c>
      <c r="H105" s="17">
        <v>13.0</v>
      </c>
      <c r="I105" s="91" t="s">
        <v>31</v>
      </c>
      <c r="J105" s="63"/>
      <c r="K105" s="4">
        <f t="shared" si="11"/>
        <v>0</v>
      </c>
      <c r="L105" s="18">
        <f t="shared" si="12"/>
        <v>2</v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11">
        <v>46148.0</v>
      </c>
      <c r="C106" s="39" t="s">
        <v>53</v>
      </c>
      <c r="D106" s="12" t="s">
        <v>89</v>
      </c>
      <c r="E106" s="39" t="s">
        <v>59</v>
      </c>
      <c r="F106" s="17">
        <v>6.0</v>
      </c>
      <c r="G106" s="67" t="s">
        <v>24</v>
      </c>
      <c r="H106" s="17">
        <v>8.0</v>
      </c>
      <c r="I106" s="91" t="s">
        <v>109</v>
      </c>
      <c r="J106" s="63"/>
      <c r="K106" s="4">
        <f t="shared" si="11"/>
        <v>0</v>
      </c>
      <c r="L106" s="18">
        <f t="shared" si="12"/>
        <v>2</v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114</v>
      </c>
      <c r="F107" s="17">
        <v>20.0</v>
      </c>
      <c r="G107" s="67" t="s">
        <v>24</v>
      </c>
      <c r="H107" s="17">
        <v>6.0</v>
      </c>
      <c r="I107" s="91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96"/>
      <c r="C108" s="67"/>
      <c r="D108" s="67"/>
      <c r="E108" s="17">
        <v>0.0</v>
      </c>
      <c r="F108" s="90"/>
      <c r="G108" s="67" t="s">
        <v>24</v>
      </c>
      <c r="H108" s="90"/>
      <c r="I108" s="91" t="s">
        <v>110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99">
        <v>46155.0</v>
      </c>
      <c r="C109" s="66" t="s">
        <v>116</v>
      </c>
      <c r="D109" s="66" t="s">
        <v>22</v>
      </c>
      <c r="E109" s="17" t="s">
        <v>107</v>
      </c>
      <c r="F109" s="90"/>
      <c r="G109" s="67" t="s">
        <v>24</v>
      </c>
      <c r="H109" s="90"/>
      <c r="I109" s="91" t="s">
        <v>110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99">
        <v>46155.0</v>
      </c>
      <c r="C110" s="66" t="s">
        <v>117</v>
      </c>
      <c r="D110" s="66" t="s">
        <v>22</v>
      </c>
      <c r="E110" s="17" t="s">
        <v>31</v>
      </c>
      <c r="F110" s="90"/>
      <c r="G110" s="67" t="s">
        <v>24</v>
      </c>
      <c r="H110" s="90"/>
      <c r="I110" s="91" t="s">
        <v>112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99">
        <v>46155.0</v>
      </c>
      <c r="C111" s="66" t="s">
        <v>118</v>
      </c>
      <c r="D111" s="66" t="s">
        <v>22</v>
      </c>
      <c r="E111" s="17" t="s">
        <v>109</v>
      </c>
      <c r="F111" s="90"/>
      <c r="G111" s="67" t="s">
        <v>24</v>
      </c>
      <c r="H111" s="90"/>
      <c r="I111" s="91" t="s">
        <v>113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99">
        <v>46155.0</v>
      </c>
      <c r="C112" s="66" t="s">
        <v>119</v>
      </c>
      <c r="D112" s="66" t="s">
        <v>22</v>
      </c>
      <c r="E112" s="17" t="s">
        <v>63</v>
      </c>
      <c r="F112" s="90"/>
      <c r="G112" s="67" t="s">
        <v>24</v>
      </c>
      <c r="H112" s="90"/>
      <c r="I112" s="91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96"/>
      <c r="C113" s="67"/>
      <c r="D113" s="67"/>
      <c r="E113" s="17" t="s">
        <v>114</v>
      </c>
      <c r="F113" s="90"/>
      <c r="G113" s="67" t="s">
        <v>24</v>
      </c>
      <c r="H113" s="90"/>
      <c r="I113" s="91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96"/>
      <c r="C114" s="67"/>
      <c r="D114" s="67"/>
      <c r="E114" s="17">
        <v>0.0</v>
      </c>
      <c r="F114" s="90"/>
      <c r="G114" s="67" t="s">
        <v>24</v>
      </c>
      <c r="H114" s="90"/>
      <c r="I114" s="91" t="s">
        <v>107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99">
        <v>46155.0</v>
      </c>
      <c r="C115" s="66" t="s">
        <v>120</v>
      </c>
      <c r="D115" s="66" t="s">
        <v>22</v>
      </c>
      <c r="E115" s="17" t="s">
        <v>110</v>
      </c>
      <c r="F115" s="90"/>
      <c r="G115" s="67" t="s">
        <v>24</v>
      </c>
      <c r="H115" s="90"/>
      <c r="I115" s="91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99">
        <v>46155.0</v>
      </c>
      <c r="C116" s="66" t="s">
        <v>121</v>
      </c>
      <c r="D116" s="66" t="s">
        <v>22</v>
      </c>
      <c r="E116" s="17" t="s">
        <v>112</v>
      </c>
      <c r="F116" s="90"/>
      <c r="G116" s="67" t="s">
        <v>24</v>
      </c>
      <c r="H116" s="90"/>
      <c r="I116" s="91" t="s">
        <v>109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99">
        <v>46155.0</v>
      </c>
      <c r="C117" s="66" t="s">
        <v>122</v>
      </c>
      <c r="D117" s="66" t="s">
        <v>22</v>
      </c>
      <c r="E117" s="17" t="s">
        <v>113</v>
      </c>
      <c r="F117" s="90"/>
      <c r="G117" s="67" t="s">
        <v>24</v>
      </c>
      <c r="H117" s="90"/>
      <c r="I117" s="91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99">
        <v>46155.0</v>
      </c>
      <c r="C118" s="66" t="s">
        <v>123</v>
      </c>
      <c r="D118" s="66" t="s">
        <v>22</v>
      </c>
      <c r="E118" s="17" t="s">
        <v>59</v>
      </c>
      <c r="F118" s="90"/>
      <c r="G118" s="67" t="s">
        <v>24</v>
      </c>
      <c r="H118" s="90"/>
      <c r="I118" s="91" t="s">
        <v>114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7"/>
      <c r="B123" s="88"/>
      <c r="C123" s="88"/>
      <c r="D123" s="88"/>
      <c r="E123" s="88"/>
      <c r="F123" s="88"/>
      <c r="G123" s="88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7" t="s">
        <v>124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85</v>
      </c>
      <c r="U125" s="9" t="s">
        <v>86</v>
      </c>
      <c r="V125" s="9" t="s">
        <v>87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85</v>
      </c>
      <c r="AK125" s="5" t="s">
        <v>86</v>
      </c>
      <c r="AL125" s="5" t="s">
        <v>87</v>
      </c>
      <c r="AM125" s="63"/>
    </row>
    <row r="126" ht="15.75" customHeight="1">
      <c r="A126" s="10">
        <v>1.0</v>
      </c>
      <c r="B126" s="43">
        <v>45952.0</v>
      </c>
      <c r="C126" s="12" t="s">
        <v>88</v>
      </c>
      <c r="D126" s="71" t="s">
        <v>89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125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125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5" t="s">
        <v>29</v>
      </c>
      <c r="AE126" s="70" t="str">
        <f t="array" ref="AE126:AM134">SORT(O126:X134,2,FALSE,9,FALSE,8,FALSE())</f>
        <v>Eng. Biomédica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99.0</v>
      </c>
      <c r="AK126" s="24">
        <v>69.0</v>
      </c>
      <c r="AL126" s="23">
        <v>30.0</v>
      </c>
      <c r="AM126" s="63"/>
    </row>
    <row r="127" ht="15.75" customHeight="1">
      <c r="A127" s="25"/>
      <c r="B127" s="43">
        <v>45952.0</v>
      </c>
      <c r="C127" s="12" t="s">
        <v>91</v>
      </c>
      <c r="D127" s="71" t="s">
        <v>89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126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3"/>
      <c r="X127" s="28" t="s">
        <v>37</v>
      </c>
      <c r="Y127" s="28">
        <v>3.0</v>
      </c>
      <c r="Z127" s="63"/>
      <c r="AA127" s="63"/>
      <c r="AB127" s="63"/>
      <c r="AC127" s="63"/>
      <c r="AD127" s="73" t="s">
        <v>111</v>
      </c>
      <c r="AE127" s="70" t="s">
        <v>58</v>
      </c>
      <c r="AF127" s="23">
        <v>12.0</v>
      </c>
      <c r="AG127" s="23">
        <v>6.0</v>
      </c>
      <c r="AH127" s="24">
        <v>0.0</v>
      </c>
      <c r="AI127" s="24">
        <v>1.0</v>
      </c>
      <c r="AJ127" s="23">
        <v>88.0</v>
      </c>
      <c r="AK127" s="24">
        <v>65.0</v>
      </c>
      <c r="AL127" s="23">
        <v>23.0</v>
      </c>
      <c r="AM127" s="63"/>
    </row>
    <row r="128" ht="15.75" customHeight="1">
      <c r="A128" s="25"/>
      <c r="B128" s="43">
        <v>45952.0</v>
      </c>
      <c r="C128" s="12" t="s">
        <v>52</v>
      </c>
      <c r="D128" s="71" t="s">
        <v>89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47</v>
      </c>
      <c r="U128" s="20">
        <f t="shared" si="27"/>
        <v>68</v>
      </c>
      <c r="V128" s="18">
        <f t="shared" si="28"/>
        <v>-21</v>
      </c>
      <c r="W128" s="63"/>
      <c r="X128" s="28" t="s">
        <v>113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127</v>
      </c>
      <c r="AF128" s="23">
        <v>10.0</v>
      </c>
      <c r="AG128" s="23">
        <v>5.0</v>
      </c>
      <c r="AH128" s="24">
        <v>0.0</v>
      </c>
      <c r="AI128" s="24">
        <v>2.0</v>
      </c>
      <c r="AJ128" s="23">
        <v>90.0</v>
      </c>
      <c r="AK128" s="24">
        <v>80.0</v>
      </c>
      <c r="AL128" s="23">
        <v>10.0</v>
      </c>
      <c r="AM128" s="63"/>
    </row>
    <row r="129" ht="15.75" customHeight="1">
      <c r="A129" s="25"/>
      <c r="B129" s="43">
        <v>45952.0</v>
      </c>
      <c r="C129" s="66" t="s">
        <v>94</v>
      </c>
      <c r="D129" s="71" t="s">
        <v>89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127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3</v>
      </c>
      <c r="T129" s="18">
        <f t="shared" si="26"/>
        <v>67</v>
      </c>
      <c r="U129" s="20">
        <f t="shared" si="27"/>
        <v>58</v>
      </c>
      <c r="V129" s="18">
        <f t="shared" si="28"/>
        <v>9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8.0</v>
      </c>
      <c r="AG129" s="23">
        <v>4.0</v>
      </c>
      <c r="AH129" s="24">
        <v>0.0</v>
      </c>
      <c r="AI129" s="24">
        <v>3.0</v>
      </c>
      <c r="AJ129" s="23">
        <v>67.0</v>
      </c>
      <c r="AK129" s="24">
        <v>58.0</v>
      </c>
      <c r="AL129" s="23">
        <v>9.0</v>
      </c>
      <c r="AM129" s="63"/>
    </row>
    <row r="130" ht="15.75" customHeight="1">
      <c r="A130" s="29"/>
      <c r="B130" s="92"/>
      <c r="C130" s="67"/>
      <c r="D130" s="67"/>
      <c r="E130" s="17" t="s">
        <v>67</v>
      </c>
      <c r="F130" s="90"/>
      <c r="G130" s="67" t="s">
        <v>24</v>
      </c>
      <c r="H130" s="90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68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3"/>
    </row>
    <row r="131" ht="15.75" customHeight="1">
      <c r="A131" s="10">
        <v>2.0</v>
      </c>
      <c r="B131" s="43">
        <v>45952.0</v>
      </c>
      <c r="C131" s="39" t="s">
        <v>94</v>
      </c>
      <c r="D131" s="71" t="s">
        <v>89</v>
      </c>
      <c r="E131" s="17" t="s">
        <v>125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4</v>
      </c>
      <c r="T131" s="18">
        <f t="shared" si="26"/>
        <v>63</v>
      </c>
      <c r="U131" s="20">
        <f t="shared" si="27"/>
        <v>62</v>
      </c>
      <c r="V131" s="18">
        <f t="shared" si="28"/>
        <v>1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67</v>
      </c>
      <c r="AF131" s="23">
        <v>6.0</v>
      </c>
      <c r="AG131" s="23">
        <v>3.0</v>
      </c>
      <c r="AH131" s="24">
        <v>0.0</v>
      </c>
      <c r="AI131" s="24">
        <v>4.0</v>
      </c>
      <c r="AJ131" s="23">
        <v>63.0</v>
      </c>
      <c r="AK131" s="24">
        <v>62.0</v>
      </c>
      <c r="AL131" s="23">
        <v>1.0</v>
      </c>
      <c r="AM131" s="63"/>
    </row>
    <row r="132" ht="15.75" customHeight="1">
      <c r="A132" s="25"/>
      <c r="B132" s="93"/>
      <c r="C132" s="94"/>
      <c r="D132" s="94"/>
      <c r="E132" s="17">
        <v>0.0</v>
      </c>
      <c r="F132" s="90"/>
      <c r="G132" s="67" t="s">
        <v>24</v>
      </c>
      <c r="H132" s="90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127</v>
      </c>
      <c r="P132" s="18">
        <f t="shared" si="22"/>
        <v>10</v>
      </c>
      <c r="Q132" s="18">
        <f t="shared" si="23"/>
        <v>5</v>
      </c>
      <c r="R132" s="20">
        <f t="shared" si="24"/>
        <v>0</v>
      </c>
      <c r="S132" s="20">
        <f t="shared" si="25"/>
        <v>2</v>
      </c>
      <c r="T132" s="18">
        <f t="shared" si="26"/>
        <v>90</v>
      </c>
      <c r="U132" s="20">
        <f t="shared" si="27"/>
        <v>80</v>
      </c>
      <c r="V132" s="18">
        <f t="shared" si="28"/>
        <v>10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45</v>
      </c>
      <c r="AF132" s="23">
        <v>6.0</v>
      </c>
      <c r="AG132" s="23">
        <v>3.0</v>
      </c>
      <c r="AH132" s="24">
        <v>0.0</v>
      </c>
      <c r="AI132" s="24">
        <v>4.0</v>
      </c>
      <c r="AJ132" s="23">
        <v>47.0</v>
      </c>
      <c r="AK132" s="24">
        <v>68.0</v>
      </c>
      <c r="AL132" s="23">
        <v>-21.0</v>
      </c>
      <c r="AM132" s="63"/>
    </row>
    <row r="133" ht="15.75" customHeight="1">
      <c r="A133" s="25"/>
      <c r="B133" s="43">
        <v>45952.0</v>
      </c>
      <c r="C133" s="39" t="s">
        <v>94</v>
      </c>
      <c r="D133" s="71" t="s">
        <v>89</v>
      </c>
      <c r="E133" s="17" t="s">
        <v>126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12</v>
      </c>
      <c r="Q133" s="18">
        <f t="shared" si="23"/>
        <v>6</v>
      </c>
      <c r="R133" s="20">
        <f t="shared" si="24"/>
        <v>0</v>
      </c>
      <c r="S133" s="20">
        <f t="shared" si="25"/>
        <v>1</v>
      </c>
      <c r="T133" s="18">
        <f t="shared" si="26"/>
        <v>99</v>
      </c>
      <c r="U133" s="20">
        <f t="shared" si="27"/>
        <v>69</v>
      </c>
      <c r="V133" s="18">
        <f t="shared" si="28"/>
        <v>30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126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3"/>
    </row>
    <row r="134" ht="15.75" customHeight="1">
      <c r="A134" s="25"/>
      <c r="B134" s="11">
        <v>45952.0</v>
      </c>
      <c r="C134" s="39" t="s">
        <v>53</v>
      </c>
      <c r="D134" s="71" t="s">
        <v>89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126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125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3"/>
    </row>
    <row r="135" ht="15.75" customHeight="1">
      <c r="A135" s="29"/>
      <c r="B135" s="11">
        <v>45952.0</v>
      </c>
      <c r="C135" s="39" t="s">
        <v>53</v>
      </c>
      <c r="D135" s="71" t="s">
        <v>89</v>
      </c>
      <c r="E135" s="17" t="s">
        <v>127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128</v>
      </c>
      <c r="AG135" s="95"/>
      <c r="AH135" s="95"/>
      <c r="AI135" s="95"/>
      <c r="AJ135" s="95"/>
      <c r="AK135" s="95"/>
      <c r="AL135" s="95"/>
      <c r="AM135" s="63"/>
    </row>
    <row r="136" ht="15.75" customHeight="1">
      <c r="A136" s="10">
        <v>3.0</v>
      </c>
      <c r="B136" s="11">
        <v>46008.0</v>
      </c>
      <c r="C136" s="39" t="s">
        <v>92</v>
      </c>
      <c r="D136" s="71" t="s">
        <v>89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125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101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55</v>
      </c>
      <c r="D137" s="71" t="s">
        <v>89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88</v>
      </c>
      <c r="D138" s="71" t="s">
        <v>89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126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91</v>
      </c>
      <c r="D139" s="71" t="s">
        <v>89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96"/>
      <c r="C140" s="67"/>
      <c r="D140" s="67"/>
      <c r="E140" s="17">
        <v>0.0</v>
      </c>
      <c r="F140" s="90"/>
      <c r="G140" s="67" t="s">
        <v>24</v>
      </c>
      <c r="H140" s="90"/>
      <c r="I140" s="17" t="s">
        <v>127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88</v>
      </c>
      <c r="D141" s="12" t="s">
        <v>89</v>
      </c>
      <c r="E141" s="17" t="s">
        <v>125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91</v>
      </c>
      <c r="D142" s="12" t="s">
        <v>89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7"/>
      <c r="C143" s="94"/>
      <c r="D143" s="94"/>
      <c r="E143" s="17" t="s">
        <v>45</v>
      </c>
      <c r="F143" s="90"/>
      <c r="G143" s="67" t="s">
        <v>24</v>
      </c>
      <c r="H143" s="90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89</v>
      </c>
      <c r="E144" s="17" t="s">
        <v>126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94</v>
      </c>
      <c r="D145" s="12" t="s">
        <v>89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127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95</v>
      </c>
      <c r="D146" s="12" t="s">
        <v>89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125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53</v>
      </c>
      <c r="D147" s="12" t="s">
        <v>89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97</v>
      </c>
      <c r="D148" s="12" t="s">
        <v>89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98</v>
      </c>
      <c r="D149" s="12" t="s">
        <v>89</v>
      </c>
      <c r="E149" s="17" t="s">
        <v>127</v>
      </c>
      <c r="F149" s="17">
        <v>20.0</v>
      </c>
      <c r="G149" s="67" t="s">
        <v>24</v>
      </c>
      <c r="H149" s="17">
        <v>18.0</v>
      </c>
      <c r="I149" s="17" t="s">
        <v>126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96"/>
      <c r="C150" s="90"/>
      <c r="D150" s="90"/>
      <c r="E150" s="17">
        <v>0.0</v>
      </c>
      <c r="F150" s="90"/>
      <c r="G150" s="67" t="s">
        <v>24</v>
      </c>
      <c r="H150" s="90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125</v>
      </c>
      <c r="F151" s="17">
        <v>6.0</v>
      </c>
      <c r="G151" s="67" t="s">
        <v>24</v>
      </c>
      <c r="H151" s="17">
        <v>10.0</v>
      </c>
      <c r="I151" s="17" t="s">
        <v>127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94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95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7"/>
      <c r="C154" s="100"/>
      <c r="D154" s="98"/>
      <c r="E154" s="17" t="s">
        <v>60</v>
      </c>
      <c r="F154" s="90"/>
      <c r="G154" s="67" t="s">
        <v>24</v>
      </c>
      <c r="H154" s="90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88</v>
      </c>
      <c r="D155" s="39" t="s">
        <v>22</v>
      </c>
      <c r="E155" s="17" t="s">
        <v>126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91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125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53</v>
      </c>
      <c r="D157" s="39" t="s">
        <v>22</v>
      </c>
      <c r="E157" s="17" t="s">
        <v>127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97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98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96"/>
      <c r="C160" s="67"/>
      <c r="D160" s="67"/>
      <c r="E160" s="17">
        <v>0.0</v>
      </c>
      <c r="F160" s="90"/>
      <c r="G160" s="67" t="s">
        <v>24</v>
      </c>
      <c r="H160" s="90"/>
      <c r="I160" s="17" t="s">
        <v>126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99">
        <v>46155.0</v>
      </c>
      <c r="C161" s="66" t="s">
        <v>106</v>
      </c>
      <c r="D161" s="66" t="s">
        <v>22</v>
      </c>
      <c r="E161" s="17" t="s">
        <v>125</v>
      </c>
      <c r="F161" s="17">
        <v>9.0</v>
      </c>
      <c r="G161" s="67" t="s">
        <v>24</v>
      </c>
      <c r="H161" s="17">
        <v>11.0</v>
      </c>
      <c r="I161" s="17" t="s">
        <v>126</v>
      </c>
      <c r="J161" s="63"/>
      <c r="K161" s="4">
        <f t="shared" si="20"/>
        <v>0</v>
      </c>
      <c r="L161" s="18">
        <f t="shared" si="21"/>
        <v>2</v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99">
        <v>46155.0</v>
      </c>
      <c r="C162" s="66" t="s">
        <v>116</v>
      </c>
      <c r="D162" s="66" t="s">
        <v>22</v>
      </c>
      <c r="E162" s="17" t="s">
        <v>68</v>
      </c>
      <c r="F162" s="17">
        <v>12.0</v>
      </c>
      <c r="G162" s="67" t="s">
        <v>24</v>
      </c>
      <c r="H162" s="17">
        <v>14.0</v>
      </c>
      <c r="I162" s="17" t="s">
        <v>66</v>
      </c>
      <c r="J162" s="63"/>
      <c r="K162" s="4">
        <f t="shared" si="20"/>
        <v>0</v>
      </c>
      <c r="L162" s="18">
        <f t="shared" si="21"/>
        <v>2</v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99">
        <v>46155.0</v>
      </c>
      <c r="C163" s="66" t="s">
        <v>117</v>
      </c>
      <c r="D163" s="66" t="s">
        <v>22</v>
      </c>
      <c r="E163" s="17" t="s">
        <v>45</v>
      </c>
      <c r="F163" s="17">
        <v>7.0</v>
      </c>
      <c r="G163" s="67" t="s">
        <v>24</v>
      </c>
      <c r="H163" s="17">
        <v>15.0</v>
      </c>
      <c r="I163" s="17" t="s">
        <v>127</v>
      </c>
      <c r="J163" s="63"/>
      <c r="K163" s="4">
        <f t="shared" si="20"/>
        <v>0</v>
      </c>
      <c r="L163" s="18">
        <f t="shared" si="21"/>
        <v>2</v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99">
        <v>46155.0</v>
      </c>
      <c r="C164" s="66" t="s">
        <v>118</v>
      </c>
      <c r="D164" s="66" t="s">
        <v>22</v>
      </c>
      <c r="E164" s="17" t="s">
        <v>60</v>
      </c>
      <c r="F164" s="17">
        <v>7.0</v>
      </c>
      <c r="G164" s="67" t="s">
        <v>24</v>
      </c>
      <c r="H164" s="17">
        <v>6.0</v>
      </c>
      <c r="I164" s="17" t="s">
        <v>67</v>
      </c>
      <c r="J164" s="63"/>
      <c r="K164" s="4">
        <f t="shared" si="20"/>
        <v>2</v>
      </c>
      <c r="L164" s="18">
        <f t="shared" si="21"/>
        <v>0</v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96"/>
      <c r="C165" s="67"/>
      <c r="D165" s="67"/>
      <c r="E165" s="17" t="s">
        <v>58</v>
      </c>
      <c r="F165" s="90"/>
      <c r="G165" s="67" t="s">
        <v>24</v>
      </c>
      <c r="H165" s="90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96"/>
      <c r="C166" s="67"/>
      <c r="D166" s="67"/>
      <c r="E166" s="17">
        <v>0.0</v>
      </c>
      <c r="F166" s="90"/>
      <c r="G166" s="67" t="s">
        <v>24</v>
      </c>
      <c r="H166" s="90"/>
      <c r="I166" s="17" t="s">
        <v>125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99">
        <v>46155.0</v>
      </c>
      <c r="C167" s="66" t="s">
        <v>119</v>
      </c>
      <c r="D167" s="66" t="s">
        <v>22</v>
      </c>
      <c r="E167" s="17" t="s">
        <v>126</v>
      </c>
      <c r="F167" s="17">
        <v>5.0</v>
      </c>
      <c r="G167" s="67" t="s">
        <v>24</v>
      </c>
      <c r="H167" s="17">
        <v>16.0</v>
      </c>
      <c r="I167" s="17" t="s">
        <v>68</v>
      </c>
      <c r="J167" s="63"/>
      <c r="K167" s="4">
        <f t="shared" si="20"/>
        <v>0</v>
      </c>
      <c r="L167" s="18">
        <f t="shared" si="21"/>
        <v>2</v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99">
        <v>46155.0</v>
      </c>
      <c r="C168" s="66" t="s">
        <v>120</v>
      </c>
      <c r="D168" s="66" t="s">
        <v>22</v>
      </c>
      <c r="E168" s="17" t="s">
        <v>66</v>
      </c>
      <c r="F168" s="90"/>
      <c r="G168" s="67" t="s">
        <v>24</v>
      </c>
      <c r="H168" s="90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99">
        <v>46155.0</v>
      </c>
      <c r="C169" s="66" t="s">
        <v>121</v>
      </c>
      <c r="D169" s="66" t="s">
        <v>22</v>
      </c>
      <c r="E169" s="17" t="s">
        <v>127</v>
      </c>
      <c r="F169" s="90"/>
      <c r="G169" s="67" t="s">
        <v>24</v>
      </c>
      <c r="H169" s="90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99">
        <v>46155.0</v>
      </c>
      <c r="C170" s="66" t="s">
        <v>122</v>
      </c>
      <c r="D170" s="66" t="s">
        <v>22</v>
      </c>
      <c r="E170" s="17" t="s">
        <v>67</v>
      </c>
      <c r="F170" s="90"/>
      <c r="G170" s="67" t="s">
        <v>24</v>
      </c>
      <c r="H170" s="90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101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101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101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101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129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85</v>
      </c>
      <c r="U176" s="9" t="s">
        <v>86</v>
      </c>
      <c r="V176" s="9" t="s">
        <v>87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85</v>
      </c>
      <c r="AK176" s="5" t="s">
        <v>86</v>
      </c>
      <c r="AL176" s="5" t="s">
        <v>87</v>
      </c>
      <c r="AM176" s="63"/>
    </row>
    <row r="177" ht="15.75" customHeight="1">
      <c r="A177" s="102">
        <v>1.0</v>
      </c>
      <c r="B177" s="43"/>
      <c r="C177" s="12"/>
      <c r="D177" s="12"/>
      <c r="E177" s="44" t="s">
        <v>130</v>
      </c>
      <c r="F177" s="13"/>
      <c r="G177" s="16" t="s">
        <v>24</v>
      </c>
      <c r="H177" s="13"/>
      <c r="I177" s="44" t="s">
        <v>131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130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103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102">
        <v>2.0</v>
      </c>
      <c r="B178" s="43"/>
      <c r="C178" s="12"/>
      <c r="D178" s="12"/>
      <c r="E178" s="44" t="s">
        <v>131</v>
      </c>
      <c r="F178" s="13"/>
      <c r="G178" s="16" t="s">
        <v>24</v>
      </c>
      <c r="H178" s="13"/>
      <c r="I178" s="44" t="s">
        <v>132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131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103">
        <v>2.0</v>
      </c>
      <c r="AE178" s="70" t="s">
        <v>131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102">
        <v>3.0</v>
      </c>
      <c r="B179" s="43"/>
      <c r="C179" s="12"/>
      <c r="D179" s="12"/>
      <c r="E179" s="44" t="s">
        <v>132</v>
      </c>
      <c r="F179" s="13"/>
      <c r="G179" s="16" t="s">
        <v>24</v>
      </c>
      <c r="H179" s="13"/>
      <c r="I179" s="44" t="s">
        <v>130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132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132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133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3"/>
      <c r="C186" s="12"/>
      <c r="D186" s="12"/>
      <c r="E186" s="44" t="s">
        <v>134</v>
      </c>
      <c r="F186" s="31"/>
      <c r="G186" s="16" t="s">
        <v>24</v>
      </c>
      <c r="H186" s="31"/>
      <c r="I186" s="44" t="s">
        <v>135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3"/>
      <c r="C187" s="12"/>
      <c r="D187" s="12"/>
      <c r="E187" s="44" t="s">
        <v>136</v>
      </c>
      <c r="F187" s="31"/>
      <c r="G187" s="16" t="s">
        <v>24</v>
      </c>
      <c r="H187" s="31"/>
      <c r="I187" s="44" t="s">
        <v>137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3"/>
      <c r="C188" s="12"/>
      <c r="D188" s="12"/>
      <c r="E188" s="44" t="s">
        <v>138</v>
      </c>
      <c r="F188" s="31"/>
      <c r="G188" s="16" t="s">
        <v>24</v>
      </c>
      <c r="H188" s="31"/>
      <c r="I188" s="44" t="s">
        <v>139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3"/>
      <c r="C189" s="12"/>
      <c r="D189" s="12"/>
      <c r="E189" s="44" t="s">
        <v>140</v>
      </c>
      <c r="F189" s="31"/>
      <c r="G189" s="16" t="s">
        <v>24</v>
      </c>
      <c r="H189" s="31"/>
      <c r="I189" s="44" t="s">
        <v>141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73</v>
      </c>
      <c r="B190" s="43"/>
      <c r="C190" s="12"/>
      <c r="D190" s="12"/>
      <c r="E190" s="44" t="s">
        <v>74</v>
      </c>
      <c r="F190" s="31"/>
      <c r="G190" s="16" t="s">
        <v>24</v>
      </c>
      <c r="H190" s="31"/>
      <c r="I190" s="44" t="s">
        <v>75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6"/>
      <c r="C191" s="31"/>
      <c r="D191" s="12"/>
      <c r="E191" s="51" t="s">
        <v>76</v>
      </c>
      <c r="F191" s="13"/>
      <c r="G191" s="16" t="s">
        <v>24</v>
      </c>
      <c r="H191" s="13"/>
      <c r="I191" s="44" t="s">
        <v>77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78</v>
      </c>
      <c r="B192" s="30"/>
      <c r="C192" s="31"/>
      <c r="D192" s="12"/>
      <c r="E192" s="44" t="s">
        <v>79</v>
      </c>
      <c r="F192" s="31"/>
      <c r="G192" s="16" t="s">
        <v>24</v>
      </c>
      <c r="H192" s="31"/>
      <c r="I192" s="61" t="s">
        <v>80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81</v>
      </c>
      <c r="B193" s="30"/>
      <c r="C193" s="31"/>
      <c r="D193" s="12"/>
      <c r="E193" s="44" t="s">
        <v>82</v>
      </c>
      <c r="F193" s="31"/>
      <c r="G193" s="16" t="s">
        <v>24</v>
      </c>
      <c r="H193" s="31"/>
      <c r="I193" s="44" t="s">
        <v>83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101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101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101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101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101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101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101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101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101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101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101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101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101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101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101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101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101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101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101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101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101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101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101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101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101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101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101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101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101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101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101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101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101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101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101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101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101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101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101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101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101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101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101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101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101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101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101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101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101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101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101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101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101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101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101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101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101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101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101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101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101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101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101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101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101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101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101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101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101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101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101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101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101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101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101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101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101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101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101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101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101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101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101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101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101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101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101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101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101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101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101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101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101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101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101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101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101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101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101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101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101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101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101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101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101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101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101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101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101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101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101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101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101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101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101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101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101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101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101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101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101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101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101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61">
    <mergeCell ref="A161:A165"/>
    <mergeCell ref="A166:A170"/>
    <mergeCell ref="A175:G175"/>
    <mergeCell ref="F176:H176"/>
    <mergeCell ref="AD180:AF187"/>
    <mergeCell ref="AG180:AH187"/>
    <mergeCell ref="A184:G184"/>
    <mergeCell ref="F185:H185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F125:H125"/>
    <mergeCell ref="X125:Y125"/>
    <mergeCell ref="AD135:AF135"/>
    <mergeCell ref="AD136:AF136"/>
    <mergeCell ref="AD138:AF145"/>
    <mergeCell ref="AG138:AH145"/>
    <mergeCell ref="A84:A88"/>
    <mergeCell ref="A94:A98"/>
    <mergeCell ref="A99:A103"/>
    <mergeCell ref="A104:A108"/>
    <mergeCell ref="A109:A113"/>
    <mergeCell ref="A114:A118"/>
    <mergeCell ref="A124:G124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4" t="s">
        <v>142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85</v>
      </c>
      <c r="AH2" s="5" t="s">
        <v>86</v>
      </c>
      <c r="AI2" s="5" t="s">
        <v>87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3">
        <v>45951.0</v>
      </c>
      <c r="C3" s="12" t="s">
        <v>88</v>
      </c>
      <c r="D3" s="71" t="s">
        <v>89</v>
      </c>
      <c r="E3" s="44" t="s">
        <v>25</v>
      </c>
      <c r="F3" s="17">
        <v>12.0</v>
      </c>
      <c r="G3" s="90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88</v>
      </c>
      <c r="D4" s="71" t="s">
        <v>89</v>
      </c>
      <c r="E4" s="44" t="s">
        <v>23</v>
      </c>
      <c r="F4" s="17">
        <v>21.0</v>
      </c>
      <c r="G4" s="90" t="s">
        <v>24</v>
      </c>
      <c r="H4" s="17">
        <v>5.0</v>
      </c>
      <c r="I4" s="44" t="s">
        <v>143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3"/>
      <c r="X4" s="63"/>
      <c r="Y4" s="63"/>
      <c r="Z4" s="63"/>
      <c r="AA4" s="22" t="s">
        <v>34</v>
      </c>
      <c r="AB4" s="70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91</v>
      </c>
      <c r="D5" s="71" t="s">
        <v>89</v>
      </c>
      <c r="E5" s="44" t="s">
        <v>36</v>
      </c>
      <c r="F5" s="17">
        <v>14.0</v>
      </c>
      <c r="G5" s="90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3"/>
      <c r="X5" s="63"/>
      <c r="Y5" s="63"/>
      <c r="Z5" s="63"/>
      <c r="AA5" s="22" t="s">
        <v>38</v>
      </c>
      <c r="AB5" s="70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91</v>
      </c>
      <c r="D6" s="71" t="s">
        <v>89</v>
      </c>
      <c r="E6" s="44" t="s">
        <v>33</v>
      </c>
      <c r="F6" s="17">
        <v>15.0</v>
      </c>
      <c r="G6" s="90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2" t="s">
        <v>41</v>
      </c>
      <c r="AB6" s="70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1" t="s">
        <v>89</v>
      </c>
      <c r="E7" s="14" t="s">
        <v>69</v>
      </c>
      <c r="F7" s="105">
        <v>0.0</v>
      </c>
      <c r="G7" s="90" t="s">
        <v>24</v>
      </c>
      <c r="H7" s="105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3"/>
      <c r="X7" s="63"/>
      <c r="Y7" s="63"/>
      <c r="Z7" s="63"/>
      <c r="AA7" s="52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1" t="s">
        <v>89</v>
      </c>
      <c r="E8" s="44" t="s">
        <v>39</v>
      </c>
      <c r="F8" s="17">
        <v>3.0</v>
      </c>
      <c r="G8" s="90" t="s">
        <v>24</v>
      </c>
      <c r="H8" s="17">
        <v>9.0</v>
      </c>
      <c r="I8" s="44" t="s">
        <v>112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143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3"/>
      <c r="X8" s="63"/>
      <c r="Y8" s="63"/>
      <c r="Z8" s="63"/>
      <c r="AA8" s="52" t="s">
        <v>47</v>
      </c>
      <c r="AB8" s="70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94</v>
      </c>
      <c r="D9" s="71" t="s">
        <v>89</v>
      </c>
      <c r="E9" s="44" t="s">
        <v>68</v>
      </c>
      <c r="F9" s="17">
        <v>1.0</v>
      </c>
      <c r="G9" s="90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3"/>
      <c r="X9" s="63"/>
      <c r="Y9" s="63"/>
      <c r="Z9" s="63"/>
      <c r="AA9" s="52" t="s">
        <v>48</v>
      </c>
      <c r="AB9" s="70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3">
        <v>45951.0</v>
      </c>
      <c r="C10" s="12" t="s">
        <v>94</v>
      </c>
      <c r="D10" s="71" t="s">
        <v>89</v>
      </c>
      <c r="E10" s="44" t="s">
        <v>25</v>
      </c>
      <c r="F10" s="17">
        <v>14.0</v>
      </c>
      <c r="G10" s="90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3"/>
      <c r="X10" s="63"/>
      <c r="Y10" s="63"/>
      <c r="Z10" s="63"/>
      <c r="AA10" s="52" t="s">
        <v>144</v>
      </c>
      <c r="AB10" s="70" t="s">
        <v>112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95</v>
      </c>
      <c r="D11" s="71" t="s">
        <v>89</v>
      </c>
      <c r="E11" s="44" t="s">
        <v>23</v>
      </c>
      <c r="F11" s="17">
        <v>21.0</v>
      </c>
      <c r="G11" s="90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143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95</v>
      </c>
      <c r="D12" s="71" t="s">
        <v>89</v>
      </c>
      <c r="E12" s="44" t="s">
        <v>36</v>
      </c>
      <c r="F12" s="17">
        <v>12.0</v>
      </c>
      <c r="G12" s="90" t="s">
        <v>24</v>
      </c>
      <c r="H12" s="17">
        <v>4.0</v>
      </c>
      <c r="I12" s="44" t="s">
        <v>143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3"/>
      <c r="X12" s="63"/>
      <c r="Y12" s="63"/>
      <c r="Z12" s="63"/>
      <c r="AA12" s="22">
        <v>10.0</v>
      </c>
      <c r="AB12" s="70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1" t="s">
        <v>89</v>
      </c>
      <c r="E13" s="44" t="s">
        <v>33</v>
      </c>
      <c r="F13" s="17">
        <v>12.0</v>
      </c>
      <c r="G13" s="90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3"/>
      <c r="X13" s="63"/>
      <c r="Y13" s="63"/>
      <c r="Z13" s="63"/>
      <c r="AA13" s="22">
        <v>11.0</v>
      </c>
      <c r="AB13" s="70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1" t="s">
        <v>89</v>
      </c>
      <c r="E14" s="14" t="s">
        <v>145</v>
      </c>
      <c r="F14" s="105">
        <v>0.0</v>
      </c>
      <c r="G14" s="90" t="s">
        <v>24</v>
      </c>
      <c r="H14" s="105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112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3"/>
      <c r="X14" s="63"/>
      <c r="Y14" s="63"/>
      <c r="Z14" s="63"/>
      <c r="AA14" s="22">
        <v>12.0</v>
      </c>
      <c r="AB14" s="70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97</v>
      </c>
      <c r="D15" s="71" t="s">
        <v>89</v>
      </c>
      <c r="E15" s="44" t="s">
        <v>39</v>
      </c>
      <c r="F15" s="17">
        <v>1.0</v>
      </c>
      <c r="G15" s="90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6">
        <v>13.0</v>
      </c>
      <c r="O15" s="106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3"/>
      <c r="X15" s="63"/>
      <c r="Y15" s="63"/>
      <c r="Z15" s="63"/>
      <c r="AA15" s="22">
        <v>13.0</v>
      </c>
      <c r="AB15" s="70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97</v>
      </c>
      <c r="D16" s="71" t="s">
        <v>89</v>
      </c>
      <c r="E16" s="44" t="s">
        <v>64</v>
      </c>
      <c r="F16" s="17">
        <v>6.0</v>
      </c>
      <c r="G16" s="90" t="s">
        <v>24</v>
      </c>
      <c r="H16" s="17">
        <v>2.0</v>
      </c>
      <c r="I16" s="44" t="s">
        <v>112</v>
      </c>
      <c r="J16" s="4"/>
      <c r="K16" s="4">
        <f t="shared" si="1"/>
        <v>2</v>
      </c>
      <c r="L16" s="18">
        <f t="shared" si="2"/>
        <v>0</v>
      </c>
      <c r="M16" s="4"/>
      <c r="N16" s="106">
        <v>14.0</v>
      </c>
      <c r="O16" s="106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107">
        <v>46008.0</v>
      </c>
      <c r="C17" s="12" t="s">
        <v>54</v>
      </c>
      <c r="D17" s="71" t="s">
        <v>89</v>
      </c>
      <c r="E17" s="44" t="s">
        <v>25</v>
      </c>
      <c r="F17" s="17">
        <v>15.0</v>
      </c>
      <c r="G17" s="90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146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7">
        <v>46008.0</v>
      </c>
      <c r="C18" s="12" t="s">
        <v>54</v>
      </c>
      <c r="D18" s="71" t="s">
        <v>89</v>
      </c>
      <c r="E18" s="44" t="s">
        <v>23</v>
      </c>
      <c r="F18" s="17">
        <v>20.0</v>
      </c>
      <c r="G18" s="90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7">
        <v>46008.0</v>
      </c>
      <c r="C19" s="12" t="s">
        <v>108</v>
      </c>
      <c r="D19" s="71" t="s">
        <v>89</v>
      </c>
      <c r="E19" s="44" t="s">
        <v>61</v>
      </c>
      <c r="F19" s="17">
        <v>21.0</v>
      </c>
      <c r="G19" s="90" t="s">
        <v>24</v>
      </c>
      <c r="H19" s="17">
        <v>0.0</v>
      </c>
      <c r="I19" s="14" t="s">
        <v>145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7">
        <v>46008.0</v>
      </c>
      <c r="C20" s="12" t="s">
        <v>108</v>
      </c>
      <c r="D20" s="71" t="s">
        <v>89</v>
      </c>
      <c r="E20" s="44" t="s">
        <v>143</v>
      </c>
      <c r="F20" s="17">
        <v>14.0</v>
      </c>
      <c r="G20" s="90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108" t="s">
        <v>103</v>
      </c>
      <c r="AB20" s="82"/>
      <c r="AC20" s="82"/>
      <c r="AD20" s="82"/>
      <c r="AE20" s="82"/>
      <c r="AF20" s="82"/>
      <c r="AG20" s="82"/>
      <c r="AH20" s="82"/>
      <c r="AI20" s="83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7">
        <v>46008.0</v>
      </c>
      <c r="C21" s="12" t="s">
        <v>99</v>
      </c>
      <c r="D21" s="71" t="s">
        <v>89</v>
      </c>
      <c r="E21" s="44" t="s">
        <v>64</v>
      </c>
      <c r="F21" s="105">
        <v>4.0</v>
      </c>
      <c r="G21" s="90" t="s">
        <v>24</v>
      </c>
      <c r="H21" s="105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84"/>
      <c r="AB21" s="85"/>
      <c r="AC21" s="85"/>
      <c r="AD21" s="85"/>
      <c r="AE21" s="85"/>
      <c r="AF21" s="85"/>
      <c r="AG21" s="85"/>
      <c r="AH21" s="85"/>
      <c r="AI21" s="86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7">
        <v>46008.0</v>
      </c>
      <c r="C22" s="12" t="s">
        <v>51</v>
      </c>
      <c r="D22" s="71" t="s">
        <v>89</v>
      </c>
      <c r="E22" s="44" t="s">
        <v>45</v>
      </c>
      <c r="F22" s="17">
        <v>6.0</v>
      </c>
      <c r="G22" s="90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85</v>
      </c>
      <c r="AH22" s="5" t="s">
        <v>86</v>
      </c>
      <c r="AI22" s="5" t="s">
        <v>87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7">
        <v>46008.0</v>
      </c>
      <c r="C23" s="12" t="s">
        <v>102</v>
      </c>
      <c r="D23" s="71" t="s">
        <v>89</v>
      </c>
      <c r="E23" s="44" t="s">
        <v>112</v>
      </c>
      <c r="F23" s="17">
        <v>5.0</v>
      </c>
      <c r="G23" s="90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22" t="s">
        <v>29</v>
      </c>
      <c r="AB23" s="70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3">
        <v>46072.0</v>
      </c>
      <c r="C24" s="39" t="s">
        <v>51</v>
      </c>
      <c r="D24" s="12" t="s">
        <v>89</v>
      </c>
      <c r="E24" s="44" t="s">
        <v>25</v>
      </c>
      <c r="F24" s="17">
        <v>21.0</v>
      </c>
      <c r="G24" s="90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22" t="s">
        <v>34</v>
      </c>
      <c r="AB24" s="70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102</v>
      </c>
      <c r="D25" s="12" t="s">
        <v>89</v>
      </c>
      <c r="E25" s="44" t="s">
        <v>23</v>
      </c>
      <c r="F25" s="17">
        <v>13.0</v>
      </c>
      <c r="G25" s="90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22" t="s">
        <v>38</v>
      </c>
      <c r="AB25" s="70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92</v>
      </c>
      <c r="D26" s="12" t="s">
        <v>89</v>
      </c>
      <c r="E26" s="44" t="s">
        <v>61</v>
      </c>
      <c r="F26" s="17">
        <v>7.0</v>
      </c>
      <c r="G26" s="90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52" t="s">
        <v>41</v>
      </c>
      <c r="AB26" s="70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89</v>
      </c>
      <c r="E27" s="44" t="s">
        <v>143</v>
      </c>
      <c r="F27" s="17">
        <v>9.0</v>
      </c>
      <c r="G27" s="90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6" t="s">
        <v>88</v>
      </c>
      <c r="D28" s="12" t="s">
        <v>89</v>
      </c>
      <c r="E28" s="44" t="s">
        <v>63</v>
      </c>
      <c r="F28" s="105">
        <v>12.0</v>
      </c>
      <c r="G28" s="90" t="s">
        <v>24</v>
      </c>
      <c r="H28" s="105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91</v>
      </c>
      <c r="D29" s="12" t="s">
        <v>89</v>
      </c>
      <c r="E29" s="44" t="s">
        <v>45</v>
      </c>
      <c r="F29" s="17">
        <v>2.0</v>
      </c>
      <c r="G29" s="90" t="s">
        <v>24</v>
      </c>
      <c r="H29" s="17">
        <v>14.0</v>
      </c>
      <c r="I29" s="44" t="s">
        <v>112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52" t="s">
        <v>48</v>
      </c>
      <c r="AB29" s="70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89</v>
      </c>
      <c r="E30" s="110" t="s">
        <v>145</v>
      </c>
      <c r="F30" s="17">
        <v>0.0</v>
      </c>
      <c r="G30" s="90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52" t="s">
        <v>144</v>
      </c>
      <c r="AB30" s="70" t="s">
        <v>112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3">
        <v>46072.0</v>
      </c>
      <c r="C31" s="66" t="s">
        <v>94</v>
      </c>
      <c r="D31" s="12" t="s">
        <v>89</v>
      </c>
      <c r="E31" s="44" t="s">
        <v>25</v>
      </c>
      <c r="F31" s="17">
        <v>12.0</v>
      </c>
      <c r="G31" s="90" t="s">
        <v>24</v>
      </c>
      <c r="H31" s="17">
        <v>9.0</v>
      </c>
      <c r="I31" s="44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22">
        <v>9.0</v>
      </c>
      <c r="AB31" s="70" t="s">
        <v>143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6" t="s">
        <v>95</v>
      </c>
      <c r="D32" s="12" t="s">
        <v>89</v>
      </c>
      <c r="E32" s="44" t="s">
        <v>23</v>
      </c>
      <c r="F32" s="17">
        <v>21.0</v>
      </c>
      <c r="G32" s="90" t="s">
        <v>24</v>
      </c>
      <c r="H32" s="17">
        <v>7.0</v>
      </c>
      <c r="I32" s="44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22">
        <v>10.0</v>
      </c>
      <c r="AB32" s="70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6" t="s">
        <v>53</v>
      </c>
      <c r="D33" s="12" t="s">
        <v>89</v>
      </c>
      <c r="E33" s="44" t="s">
        <v>36</v>
      </c>
      <c r="F33" s="17">
        <v>21.0</v>
      </c>
      <c r="G33" s="90" t="s">
        <v>24</v>
      </c>
      <c r="H33" s="17">
        <v>0.0</v>
      </c>
      <c r="I33" s="14" t="s">
        <v>145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22">
        <v>11.0</v>
      </c>
      <c r="AB33" s="70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6" t="s">
        <v>97</v>
      </c>
      <c r="D34" s="12" t="s">
        <v>89</v>
      </c>
      <c r="E34" s="44" t="s">
        <v>33</v>
      </c>
      <c r="F34" s="17">
        <v>21.0</v>
      </c>
      <c r="G34" s="90" t="s">
        <v>24</v>
      </c>
      <c r="H34" s="17">
        <v>2.0</v>
      </c>
      <c r="I34" s="44" t="s">
        <v>39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22">
        <v>12.0</v>
      </c>
      <c r="AB34" s="70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98</v>
      </c>
      <c r="D35" s="12" t="s">
        <v>89</v>
      </c>
      <c r="E35" s="44" t="s">
        <v>61</v>
      </c>
      <c r="F35" s="105">
        <v>6.0</v>
      </c>
      <c r="G35" s="90" t="s">
        <v>24</v>
      </c>
      <c r="H35" s="105">
        <v>12.0</v>
      </c>
      <c r="I35" s="44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22">
        <v>13.0</v>
      </c>
      <c r="AB35" s="70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6" t="s">
        <v>88</v>
      </c>
      <c r="D36" s="12" t="s">
        <v>89</v>
      </c>
      <c r="E36" s="44" t="s">
        <v>143</v>
      </c>
      <c r="F36" s="17">
        <v>10.0</v>
      </c>
      <c r="G36" s="90" t="s">
        <v>24</v>
      </c>
      <c r="H36" s="17">
        <v>11.0</v>
      </c>
      <c r="I36" s="44" t="s">
        <v>112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89</v>
      </c>
      <c r="E37" s="44" t="s">
        <v>63</v>
      </c>
      <c r="F37" s="17">
        <v>12.0</v>
      </c>
      <c r="G37" s="90" t="s">
        <v>24</v>
      </c>
      <c r="H37" s="17">
        <v>5.0</v>
      </c>
      <c r="I37" s="44" t="s">
        <v>45</v>
      </c>
      <c r="J37" s="63"/>
      <c r="K37" s="4">
        <f t="shared" si="1"/>
        <v>2</v>
      </c>
      <c r="L37" s="18">
        <f t="shared" si="2"/>
        <v>0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5" t="s">
        <v>147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3">
        <v>46099.0</v>
      </c>
      <c r="C38" s="12" t="s">
        <v>91</v>
      </c>
      <c r="D38" s="12" t="s">
        <v>89</v>
      </c>
      <c r="E38" s="44" t="s">
        <v>25</v>
      </c>
      <c r="F38" s="17">
        <v>10.0</v>
      </c>
      <c r="G38" s="90" t="s">
        <v>24</v>
      </c>
      <c r="H38" s="17">
        <v>1.0</v>
      </c>
      <c r="I38" s="44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89</v>
      </c>
      <c r="E39" s="44" t="s">
        <v>23</v>
      </c>
      <c r="F39" s="17">
        <v>10.0</v>
      </c>
      <c r="G39" s="90" t="s">
        <v>24</v>
      </c>
      <c r="H39" s="17">
        <v>8.0</v>
      </c>
      <c r="I39" s="44" t="s">
        <v>112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6" t="s">
        <v>94</v>
      </c>
      <c r="D40" s="12" t="s">
        <v>89</v>
      </c>
      <c r="E40" s="44" t="s">
        <v>36</v>
      </c>
      <c r="F40" s="17">
        <v>10.0</v>
      </c>
      <c r="G40" s="90" t="s">
        <v>24</v>
      </c>
      <c r="H40" s="17">
        <v>1.0</v>
      </c>
      <c r="I40" s="44" t="s">
        <v>39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6" t="s">
        <v>95</v>
      </c>
      <c r="D41" s="12" t="s">
        <v>89</v>
      </c>
      <c r="E41" s="44" t="s">
        <v>33</v>
      </c>
      <c r="F41" s="17">
        <v>1.0</v>
      </c>
      <c r="G41" s="90" t="s">
        <v>24</v>
      </c>
      <c r="H41" s="17">
        <v>12.0</v>
      </c>
      <c r="I41" s="44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6" t="s">
        <v>53</v>
      </c>
      <c r="D42" s="12" t="s">
        <v>89</v>
      </c>
      <c r="E42" s="44" t="s">
        <v>61</v>
      </c>
      <c r="F42" s="105">
        <v>6.0</v>
      </c>
      <c r="G42" s="90" t="s">
        <v>24</v>
      </c>
      <c r="H42" s="105">
        <v>8.0</v>
      </c>
      <c r="I42" s="44" t="s">
        <v>143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6" t="s">
        <v>97</v>
      </c>
      <c r="D43" s="12" t="s">
        <v>89</v>
      </c>
      <c r="E43" s="14" t="s">
        <v>145</v>
      </c>
      <c r="F43" s="17">
        <v>0.0</v>
      </c>
      <c r="G43" s="90" t="s">
        <v>24</v>
      </c>
      <c r="H43" s="17">
        <v>21.0</v>
      </c>
      <c r="I43" s="44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98</v>
      </c>
      <c r="D44" s="12" t="s">
        <v>89</v>
      </c>
      <c r="E44" s="14" t="s">
        <v>63</v>
      </c>
      <c r="F44" s="17">
        <v>0.0</v>
      </c>
      <c r="G44" s="90" t="s">
        <v>24</v>
      </c>
      <c r="H44" s="17">
        <v>21.0</v>
      </c>
      <c r="I44" s="44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43">
        <v>46148.0</v>
      </c>
      <c r="C45" s="12" t="s">
        <v>51</v>
      </c>
      <c r="D45" s="12" t="s">
        <v>89</v>
      </c>
      <c r="E45" s="44" t="s">
        <v>25</v>
      </c>
      <c r="F45" s="17">
        <v>7.0</v>
      </c>
      <c r="G45" s="90" t="s">
        <v>24</v>
      </c>
      <c r="H45" s="17">
        <v>5.0</v>
      </c>
      <c r="I45" s="44" t="s">
        <v>112</v>
      </c>
      <c r="J45" s="63"/>
      <c r="K45" s="4">
        <f t="shared" si="1"/>
        <v>2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102</v>
      </c>
      <c r="D46" s="12" t="s">
        <v>89</v>
      </c>
      <c r="E46" s="44" t="s">
        <v>23</v>
      </c>
      <c r="F46" s="17">
        <v>21.0</v>
      </c>
      <c r="G46" s="90" t="s">
        <v>24</v>
      </c>
      <c r="H46" s="17">
        <v>0.0</v>
      </c>
      <c r="I46" s="44" t="s">
        <v>31</v>
      </c>
      <c r="J46" s="63"/>
      <c r="K46" s="4">
        <f t="shared" si="1"/>
        <v>2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92</v>
      </c>
      <c r="D47" s="12" t="s">
        <v>89</v>
      </c>
      <c r="E47" s="44" t="s">
        <v>36</v>
      </c>
      <c r="F47" s="17">
        <v>0.0</v>
      </c>
      <c r="G47" s="90" t="s">
        <v>24</v>
      </c>
      <c r="H47" s="17">
        <v>11.0</v>
      </c>
      <c r="I47" s="44" t="s">
        <v>64</v>
      </c>
      <c r="J47" s="63"/>
      <c r="K47" s="4">
        <f t="shared" si="1"/>
        <v>0</v>
      </c>
      <c r="L47" s="18">
        <f t="shared" si="2"/>
        <v>2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8"/>
      <c r="D48" s="98"/>
      <c r="E48" s="44" t="s">
        <v>33</v>
      </c>
      <c r="F48" s="17">
        <v>21.0</v>
      </c>
      <c r="G48" s="90" t="s">
        <v>24</v>
      </c>
      <c r="H48" s="17">
        <v>0.0</v>
      </c>
      <c r="I48" s="14" t="s">
        <v>145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89</v>
      </c>
      <c r="E49" s="44" t="s">
        <v>61</v>
      </c>
      <c r="F49" s="105">
        <v>19.0</v>
      </c>
      <c r="G49" s="90" t="s">
        <v>24</v>
      </c>
      <c r="H49" s="105">
        <v>0.0</v>
      </c>
      <c r="I49" s="44" t="s">
        <v>45</v>
      </c>
      <c r="J49" s="63"/>
      <c r="K49" s="4">
        <f t="shared" si="1"/>
        <v>2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88</v>
      </c>
      <c r="D50" s="12" t="s">
        <v>89</v>
      </c>
      <c r="E50" s="44" t="s">
        <v>143</v>
      </c>
      <c r="F50" s="17">
        <v>14.0</v>
      </c>
      <c r="G50" s="90" t="s">
        <v>24</v>
      </c>
      <c r="H50" s="17">
        <v>7.0</v>
      </c>
      <c r="I50" s="44" t="s">
        <v>39</v>
      </c>
      <c r="J50" s="63"/>
      <c r="K50" s="4">
        <f t="shared" si="1"/>
        <v>2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91</v>
      </c>
      <c r="D51" s="12" t="s">
        <v>89</v>
      </c>
      <c r="E51" s="44" t="s">
        <v>63</v>
      </c>
      <c r="F51" s="17">
        <v>8.0</v>
      </c>
      <c r="G51" s="90" t="s">
        <v>24</v>
      </c>
      <c r="H51" s="17">
        <v>9.0</v>
      </c>
      <c r="I51" s="44" t="s">
        <v>68</v>
      </c>
      <c r="J51" s="63"/>
      <c r="K51" s="4">
        <f t="shared" si="1"/>
        <v>0</v>
      </c>
      <c r="L51" s="18">
        <f t="shared" si="2"/>
        <v>2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1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1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1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1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3"/>
      <c r="C58" s="12"/>
      <c r="D58" s="12"/>
      <c r="E58" s="44" t="s">
        <v>23</v>
      </c>
      <c r="F58" s="31"/>
      <c r="G58" s="16" t="s">
        <v>24</v>
      </c>
      <c r="H58" s="31"/>
      <c r="I58" s="44" t="s">
        <v>112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33</v>
      </c>
      <c r="F59" s="31"/>
      <c r="G59" s="16" t="s">
        <v>24</v>
      </c>
      <c r="H59" s="31"/>
      <c r="I59" s="44" t="s">
        <v>61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64</v>
      </c>
      <c r="F60" s="31"/>
      <c r="G60" s="16" t="s">
        <v>24</v>
      </c>
      <c r="H60" s="31"/>
      <c r="I60" s="44" t="s">
        <v>36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25</v>
      </c>
      <c r="F61" s="31"/>
      <c r="G61" s="16" t="s">
        <v>24</v>
      </c>
      <c r="H61" s="31"/>
      <c r="I61" s="44" t="s">
        <v>31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73</v>
      </c>
      <c r="B62" s="43"/>
      <c r="C62" s="12"/>
      <c r="D62" s="12"/>
      <c r="E62" s="44" t="s">
        <v>74</v>
      </c>
      <c r="F62" s="31"/>
      <c r="G62" s="16" t="s">
        <v>24</v>
      </c>
      <c r="H62" s="31"/>
      <c r="I62" s="44" t="s">
        <v>75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6"/>
      <c r="C63" s="31"/>
      <c r="D63" s="12"/>
      <c r="E63" s="51" t="s">
        <v>76</v>
      </c>
      <c r="F63" s="13"/>
      <c r="G63" s="16" t="s">
        <v>24</v>
      </c>
      <c r="H63" s="13"/>
      <c r="I63" s="44" t="s">
        <v>77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78</v>
      </c>
      <c r="B64" s="30"/>
      <c r="C64" s="31"/>
      <c r="D64" s="12"/>
      <c r="E64" s="44" t="s">
        <v>79</v>
      </c>
      <c r="F64" s="31"/>
      <c r="G64" s="16" t="s">
        <v>24</v>
      </c>
      <c r="H64" s="31"/>
      <c r="I64" s="61" t="s">
        <v>80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81</v>
      </c>
      <c r="B65" s="30"/>
      <c r="C65" s="31"/>
      <c r="D65" s="12"/>
      <c r="E65" s="44" t="s">
        <v>82</v>
      </c>
      <c r="F65" s="31"/>
      <c r="G65" s="16" t="s">
        <v>24</v>
      </c>
      <c r="H65" s="31"/>
      <c r="I65" s="44" t="s">
        <v>83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1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1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1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1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1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1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1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1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1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1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1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1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1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1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1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1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4" t="s">
        <v>149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85</v>
      </c>
      <c r="AF2" s="5" t="s">
        <v>86</v>
      </c>
      <c r="AG2" s="5" t="s">
        <v>87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3">
        <v>45965.0</v>
      </c>
      <c r="C3" s="66" t="s">
        <v>150</v>
      </c>
      <c r="D3" s="12" t="s">
        <v>89</v>
      </c>
      <c r="E3" s="44" t="s">
        <v>32</v>
      </c>
      <c r="F3" s="17">
        <v>2.0</v>
      </c>
      <c r="G3" s="90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89</v>
      </c>
      <c r="E4" s="44" t="s">
        <v>31</v>
      </c>
      <c r="F4" s="17">
        <v>3.0</v>
      </c>
      <c r="G4" s="90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3"/>
      <c r="X4" s="63"/>
      <c r="Y4" s="22" t="s">
        <v>34</v>
      </c>
      <c r="Z4" s="70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6" t="s">
        <v>49</v>
      </c>
      <c r="D5" s="12" t="s">
        <v>89</v>
      </c>
      <c r="E5" s="44" t="s">
        <v>66</v>
      </c>
      <c r="F5" s="17"/>
      <c r="G5" s="90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3"/>
      <c r="X5" s="63"/>
      <c r="Y5" s="22" t="s">
        <v>38</v>
      </c>
      <c r="Z5" s="70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6" t="s">
        <v>55</v>
      </c>
      <c r="D6" s="12" t="s">
        <v>89</v>
      </c>
      <c r="E6" s="44" t="s">
        <v>65</v>
      </c>
      <c r="F6" s="17">
        <v>4.0</v>
      </c>
      <c r="G6" s="90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2" t="s">
        <v>41</v>
      </c>
      <c r="Z6" s="70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6" t="s">
        <v>151</v>
      </c>
      <c r="D7" s="12" t="s">
        <v>89</v>
      </c>
      <c r="E7" s="44" t="s">
        <v>109</v>
      </c>
      <c r="F7" s="105"/>
      <c r="G7" s="90" t="s">
        <v>24</v>
      </c>
      <c r="H7" s="105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3"/>
      <c r="X7" s="63"/>
      <c r="Y7" s="52" t="s">
        <v>44</v>
      </c>
      <c r="Z7" s="70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6" t="s">
        <v>152</v>
      </c>
      <c r="D8" s="12" t="s">
        <v>89</v>
      </c>
      <c r="E8" s="44" t="s">
        <v>61</v>
      </c>
      <c r="F8" s="17">
        <v>3.0</v>
      </c>
      <c r="G8" s="90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3"/>
      <c r="X8" s="63"/>
      <c r="Y8" s="52" t="s">
        <v>47</v>
      </c>
      <c r="Z8" s="70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89</v>
      </c>
      <c r="E9" s="44" t="s">
        <v>107</v>
      </c>
      <c r="F9" s="17">
        <v>3.0</v>
      </c>
      <c r="G9" s="90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2" t="s">
        <v>48</v>
      </c>
      <c r="Z9" s="70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0" t="s">
        <v>24</v>
      </c>
      <c r="H10" s="17">
        <v>1.0</v>
      </c>
      <c r="I10" s="44" t="s">
        <v>153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8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3"/>
      <c r="X10" s="63"/>
      <c r="Y10" s="52" t="s">
        <v>144</v>
      </c>
      <c r="Z10" s="70" t="s">
        <v>107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0" t="s">
        <v>24</v>
      </c>
      <c r="H11" s="17">
        <v>3.0</v>
      </c>
      <c r="I11" s="44" t="s">
        <v>107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109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3"/>
      <c r="X11" s="63"/>
      <c r="Y11" s="22">
        <v>9.0</v>
      </c>
      <c r="Z11" s="70" t="s">
        <v>153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0" t="s">
        <v>24</v>
      </c>
      <c r="H12" s="17">
        <v>0.0</v>
      </c>
      <c r="I12" s="44" t="s">
        <v>109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154</v>
      </c>
      <c r="D13" s="12" t="s">
        <v>22</v>
      </c>
      <c r="E13" s="44" t="s">
        <v>65</v>
      </c>
      <c r="F13" s="17">
        <v>6.0</v>
      </c>
      <c r="G13" s="90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155</v>
      </c>
      <c r="D14" s="12" t="s">
        <v>22</v>
      </c>
      <c r="E14" s="44" t="s">
        <v>23</v>
      </c>
      <c r="F14" s="105"/>
      <c r="G14" s="90" t="s">
        <v>24</v>
      </c>
      <c r="H14" s="105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156</v>
      </c>
      <c r="D15" s="12" t="s">
        <v>22</v>
      </c>
      <c r="E15" s="44" t="s">
        <v>25</v>
      </c>
      <c r="F15" s="17">
        <v>9.0</v>
      </c>
      <c r="G15" s="90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6">
        <v>13.0</v>
      </c>
      <c r="O15" s="106" t="s">
        <v>107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0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6">
        <v>14.0</v>
      </c>
      <c r="O16" s="106" t="s">
        <v>153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0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6">
        <v>15.0</v>
      </c>
      <c r="O17" s="106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3"/>
      <c r="X17" s="63"/>
      <c r="Y17" s="52">
        <v>15.0</v>
      </c>
      <c r="Z17" s="70" t="s">
        <v>109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6" t="s">
        <v>121</v>
      </c>
      <c r="D18" s="12" t="s">
        <v>22</v>
      </c>
      <c r="E18" s="44" t="s">
        <v>153</v>
      </c>
      <c r="F18" s="17">
        <v>0.0</v>
      </c>
      <c r="G18" s="90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157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6" t="s">
        <v>158</v>
      </c>
      <c r="D19" s="12" t="s">
        <v>22</v>
      </c>
      <c r="E19" s="14" t="s">
        <v>69</v>
      </c>
      <c r="F19" s="17"/>
      <c r="G19" s="90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6" t="s">
        <v>51</v>
      </c>
      <c r="D20" s="12" t="s">
        <v>22</v>
      </c>
      <c r="E20" s="44" t="s">
        <v>109</v>
      </c>
      <c r="F20" s="17">
        <v>0.0</v>
      </c>
      <c r="G20" s="90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6" t="s">
        <v>159</v>
      </c>
      <c r="D21" s="12" t="s">
        <v>22</v>
      </c>
      <c r="E21" s="44" t="s">
        <v>33</v>
      </c>
      <c r="F21" s="105">
        <v>0.0</v>
      </c>
      <c r="G21" s="90" t="s">
        <v>24</v>
      </c>
      <c r="H21" s="105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6" t="s">
        <v>160</v>
      </c>
      <c r="D22" s="12" t="s">
        <v>22</v>
      </c>
      <c r="E22" s="44" t="s">
        <v>61</v>
      </c>
      <c r="F22" s="17">
        <v>0.0</v>
      </c>
      <c r="G22" s="90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6" t="s">
        <v>30</v>
      </c>
      <c r="D23" s="12" t="s">
        <v>22</v>
      </c>
      <c r="E23" s="44" t="s">
        <v>107</v>
      </c>
      <c r="F23" s="17"/>
      <c r="G23" s="90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3">
        <v>46062.0</v>
      </c>
      <c r="C24" s="12" t="s">
        <v>151</v>
      </c>
      <c r="D24" s="12" t="s">
        <v>89</v>
      </c>
      <c r="E24" s="44" t="s">
        <v>36</v>
      </c>
      <c r="F24" s="17">
        <v>3.0</v>
      </c>
      <c r="G24" s="90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154</v>
      </c>
      <c r="D25" s="12" t="s">
        <v>89</v>
      </c>
      <c r="E25" s="44" t="s">
        <v>63</v>
      </c>
      <c r="F25" s="17">
        <v>2.0</v>
      </c>
      <c r="G25" s="90" t="s">
        <v>24</v>
      </c>
      <c r="H25" s="17">
        <v>11.0</v>
      </c>
      <c r="I25" s="44" t="s">
        <v>153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89</v>
      </c>
      <c r="E26" s="44" t="s">
        <v>65</v>
      </c>
      <c r="F26" s="17">
        <v>3.0</v>
      </c>
      <c r="G26" s="90" t="s">
        <v>24</v>
      </c>
      <c r="H26" s="17">
        <v>0.0</v>
      </c>
      <c r="I26" s="44" t="s">
        <v>107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0"/>
      <c r="D27" s="90"/>
      <c r="E27" s="44" t="s">
        <v>61</v>
      </c>
      <c r="F27" s="90"/>
      <c r="G27" s="90" t="s">
        <v>24</v>
      </c>
      <c r="H27" s="90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89</v>
      </c>
      <c r="E28" s="44" t="s">
        <v>109</v>
      </c>
      <c r="F28" s="105">
        <v>1.0</v>
      </c>
      <c r="G28" s="90" t="s">
        <v>24</v>
      </c>
      <c r="H28" s="105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0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0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151</v>
      </c>
      <c r="D31" s="12" t="s">
        <v>22</v>
      </c>
      <c r="E31" s="44" t="s">
        <v>23</v>
      </c>
      <c r="F31" s="17">
        <v>10.0</v>
      </c>
      <c r="G31" s="90" t="s">
        <v>24</v>
      </c>
      <c r="H31" s="17">
        <v>1.0</v>
      </c>
      <c r="I31" s="44" t="s">
        <v>109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154</v>
      </c>
      <c r="D32" s="12" t="s">
        <v>22</v>
      </c>
      <c r="E32" s="44" t="s">
        <v>25</v>
      </c>
      <c r="F32" s="17"/>
      <c r="G32" s="90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0"/>
      <c r="D33" s="90"/>
      <c r="E33" s="14" t="s">
        <v>69</v>
      </c>
      <c r="F33" s="17"/>
      <c r="G33" s="90" t="s">
        <v>24</v>
      </c>
      <c r="H33" s="17"/>
      <c r="I33" s="44" t="s">
        <v>107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159</v>
      </c>
      <c r="D34" s="12" t="s">
        <v>89</v>
      </c>
      <c r="E34" s="44" t="s">
        <v>33</v>
      </c>
      <c r="F34" s="17">
        <v>6.0</v>
      </c>
      <c r="G34" s="90" t="s">
        <v>24</v>
      </c>
      <c r="H34" s="17">
        <v>0.0</v>
      </c>
      <c r="I34" s="44" t="s">
        <v>61</v>
      </c>
      <c r="J34" s="63"/>
      <c r="K34" s="4">
        <f t="shared" si="1"/>
        <v>3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5">
        <v>6.0</v>
      </c>
      <c r="G35" s="90" t="s">
        <v>24</v>
      </c>
      <c r="H35" s="105">
        <v>0.0</v>
      </c>
      <c r="I35" s="44" t="s">
        <v>153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3">
        <v>46085.0</v>
      </c>
      <c r="C36" s="12" t="s">
        <v>55</v>
      </c>
      <c r="D36" s="12" t="s">
        <v>89</v>
      </c>
      <c r="E36" s="44" t="s">
        <v>107</v>
      </c>
      <c r="F36" s="17">
        <v>3.0</v>
      </c>
      <c r="G36" s="90" t="s">
        <v>24</v>
      </c>
      <c r="H36" s="17">
        <v>3.0</v>
      </c>
      <c r="I36" s="44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160</v>
      </c>
      <c r="D37" s="12" t="s">
        <v>89</v>
      </c>
      <c r="E37" s="44" t="s">
        <v>63</v>
      </c>
      <c r="F37" s="17">
        <v>0.0</v>
      </c>
      <c r="G37" s="90" t="s">
        <v>24</v>
      </c>
      <c r="H37" s="17">
        <v>11.0</v>
      </c>
      <c r="I37" s="44" t="s">
        <v>31</v>
      </c>
      <c r="J37" s="63"/>
      <c r="K37" s="4">
        <f t="shared" si="1"/>
        <v>0</v>
      </c>
      <c r="L37" s="18">
        <f t="shared" si="2"/>
        <v>3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0" t="s">
        <v>24</v>
      </c>
      <c r="H38" s="17">
        <v>8.0</v>
      </c>
      <c r="I38" s="44" t="s">
        <v>66</v>
      </c>
      <c r="J38" s="63"/>
      <c r="K38" s="4">
        <f t="shared" si="1"/>
        <v>0</v>
      </c>
      <c r="L38" s="18">
        <f t="shared" si="2"/>
        <v>3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8"/>
      <c r="D39" s="98"/>
      <c r="E39" s="14" t="s">
        <v>69</v>
      </c>
      <c r="F39" s="90"/>
      <c r="G39" s="90" t="s">
        <v>24</v>
      </c>
      <c r="H39" s="90"/>
      <c r="I39" s="44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151</v>
      </c>
      <c r="D40" s="12" t="s">
        <v>89</v>
      </c>
      <c r="E40" s="44" t="s">
        <v>25</v>
      </c>
      <c r="F40" s="17">
        <v>2.0</v>
      </c>
      <c r="G40" s="90" t="s">
        <v>24</v>
      </c>
      <c r="H40" s="17">
        <v>5.0</v>
      </c>
      <c r="I40" s="44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154</v>
      </c>
      <c r="D41" s="12" t="s">
        <v>89</v>
      </c>
      <c r="E41" s="44" t="s">
        <v>33</v>
      </c>
      <c r="F41" s="17">
        <v>0.0</v>
      </c>
      <c r="G41" s="90" t="s">
        <v>24</v>
      </c>
      <c r="H41" s="17">
        <v>4.0</v>
      </c>
      <c r="I41" s="44" t="s">
        <v>36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89</v>
      </c>
      <c r="E42" s="44" t="s">
        <v>153</v>
      </c>
      <c r="F42" s="105"/>
      <c r="G42" s="90" t="s">
        <v>24</v>
      </c>
      <c r="H42" s="105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3">
        <v>46091.0</v>
      </c>
      <c r="C43" s="12" t="s">
        <v>55</v>
      </c>
      <c r="D43" s="12" t="s">
        <v>89</v>
      </c>
      <c r="E43" s="44" t="s">
        <v>32</v>
      </c>
      <c r="F43" s="17">
        <v>1.0</v>
      </c>
      <c r="G43" s="90" t="s">
        <v>24</v>
      </c>
      <c r="H43" s="17">
        <v>6.0</v>
      </c>
      <c r="I43" s="44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151</v>
      </c>
      <c r="D44" s="12" t="s">
        <v>89</v>
      </c>
      <c r="E44" s="44" t="s">
        <v>31</v>
      </c>
      <c r="F44" s="17"/>
      <c r="G44" s="90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151</v>
      </c>
      <c r="D45" s="12" t="s">
        <v>89</v>
      </c>
      <c r="E45" s="44" t="s">
        <v>66</v>
      </c>
      <c r="F45" s="17">
        <v>3.0</v>
      </c>
      <c r="G45" s="90" t="s">
        <v>24</v>
      </c>
      <c r="H45" s="17">
        <v>0.0</v>
      </c>
      <c r="I45" s="44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154</v>
      </c>
      <c r="D46" s="12" t="s">
        <v>89</v>
      </c>
      <c r="E46" s="44" t="s">
        <v>65</v>
      </c>
      <c r="F46" s="17">
        <v>3.0</v>
      </c>
      <c r="G46" s="90" t="s">
        <v>24</v>
      </c>
      <c r="H46" s="17">
        <v>2.0</v>
      </c>
      <c r="I46" s="44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154</v>
      </c>
      <c r="D47" s="12" t="s">
        <v>89</v>
      </c>
      <c r="E47" s="44" t="s">
        <v>109</v>
      </c>
      <c r="F47" s="17">
        <v>1.0</v>
      </c>
      <c r="G47" s="90" t="s">
        <v>24</v>
      </c>
      <c r="H47" s="17">
        <v>2.0</v>
      </c>
      <c r="I47" s="44" t="s">
        <v>153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89</v>
      </c>
      <c r="E48" s="44" t="s">
        <v>61</v>
      </c>
      <c r="F48" s="17">
        <v>1.0</v>
      </c>
      <c r="G48" s="90" t="s">
        <v>24</v>
      </c>
      <c r="H48" s="17">
        <v>5.0</v>
      </c>
      <c r="I48" s="44" t="s">
        <v>36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0"/>
      <c r="D49" s="90"/>
      <c r="E49" s="118" t="s">
        <v>69</v>
      </c>
      <c r="F49" s="28"/>
      <c r="G49" s="90" t="s">
        <v>24</v>
      </c>
      <c r="H49" s="28"/>
      <c r="I49" s="44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3">
        <v>46105.0</v>
      </c>
      <c r="C50" s="12" t="s">
        <v>151</v>
      </c>
      <c r="D50" s="12" t="s">
        <v>89</v>
      </c>
      <c r="E50" s="44" t="s">
        <v>66</v>
      </c>
      <c r="F50" s="17">
        <v>3.0</v>
      </c>
      <c r="G50" s="90" t="s">
        <v>24</v>
      </c>
      <c r="H50" s="17">
        <v>0.0</v>
      </c>
      <c r="I50" s="44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151</v>
      </c>
      <c r="D51" s="12" t="s">
        <v>89</v>
      </c>
      <c r="E51" s="44" t="s">
        <v>65</v>
      </c>
      <c r="F51" s="17">
        <v>4.0</v>
      </c>
      <c r="G51" s="90" t="s">
        <v>24</v>
      </c>
      <c r="H51" s="17">
        <v>2.0</v>
      </c>
      <c r="I51" s="44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154</v>
      </c>
      <c r="D52" s="12" t="s">
        <v>89</v>
      </c>
      <c r="E52" s="44" t="s">
        <v>153</v>
      </c>
      <c r="F52" s="17">
        <v>2.0</v>
      </c>
      <c r="G52" s="90" t="s">
        <v>24</v>
      </c>
      <c r="H52" s="17">
        <v>8.0</v>
      </c>
      <c r="I52" s="44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89</v>
      </c>
      <c r="E53" s="44" t="s">
        <v>107</v>
      </c>
      <c r="F53" s="17">
        <v>3.0</v>
      </c>
      <c r="G53" s="90" t="s">
        <v>24</v>
      </c>
      <c r="H53" s="17">
        <v>2.0</v>
      </c>
      <c r="I53" s="44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89</v>
      </c>
      <c r="E54" s="44" t="s">
        <v>36</v>
      </c>
      <c r="F54" s="17"/>
      <c r="G54" s="90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89</v>
      </c>
      <c r="E55" s="44" t="s">
        <v>63</v>
      </c>
      <c r="F55" s="17">
        <v>0.0</v>
      </c>
      <c r="G55" s="90" t="s">
        <v>24</v>
      </c>
      <c r="H55" s="17">
        <v>8.0</v>
      </c>
      <c r="I55" s="44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0"/>
      <c r="D56" s="90"/>
      <c r="E56" s="44" t="s">
        <v>61</v>
      </c>
      <c r="F56" s="105"/>
      <c r="G56" s="90" t="s">
        <v>24</v>
      </c>
      <c r="H56" s="105"/>
      <c r="I56" s="44" t="s">
        <v>109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3">
        <v>46133.0</v>
      </c>
      <c r="C57" s="66" t="s">
        <v>154</v>
      </c>
      <c r="D57" s="12" t="s">
        <v>22</v>
      </c>
      <c r="E57" s="44" t="s">
        <v>66</v>
      </c>
      <c r="F57" s="17">
        <v>5.0</v>
      </c>
      <c r="G57" s="90" t="s">
        <v>24</v>
      </c>
      <c r="H57" s="17">
        <v>0.0</v>
      </c>
      <c r="I57" s="44" t="s">
        <v>36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6" t="s">
        <v>55</v>
      </c>
      <c r="D58" s="12" t="s">
        <v>22</v>
      </c>
      <c r="E58" s="44" t="s">
        <v>31</v>
      </c>
      <c r="F58" s="17">
        <v>9.0</v>
      </c>
      <c r="G58" s="90" t="s">
        <v>24</v>
      </c>
      <c r="H58" s="17">
        <v>0.0</v>
      </c>
      <c r="I58" s="44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6" t="s">
        <v>151</v>
      </c>
      <c r="D59" s="12" t="s">
        <v>22</v>
      </c>
      <c r="E59" s="44" t="s">
        <v>153</v>
      </c>
      <c r="F59" s="17">
        <v>1.0</v>
      </c>
      <c r="G59" s="90" t="s">
        <v>24</v>
      </c>
      <c r="H59" s="17">
        <v>1.0</v>
      </c>
      <c r="I59" s="44" t="s">
        <v>107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8"/>
      <c r="D60" s="98"/>
      <c r="E60" s="14" t="s">
        <v>43</v>
      </c>
      <c r="F60" s="90"/>
      <c r="G60" s="90" t="s">
        <v>24</v>
      </c>
      <c r="H60" s="90"/>
      <c r="I60" s="116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109</v>
      </c>
      <c r="F61" s="17">
        <v>0.0</v>
      </c>
      <c r="G61" s="90" t="s">
        <v>24</v>
      </c>
      <c r="H61" s="17">
        <v>11.0</v>
      </c>
      <c r="I61" s="44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6" t="s">
        <v>35</v>
      </c>
      <c r="D62" s="12" t="s">
        <v>22</v>
      </c>
      <c r="E62" s="44" t="s">
        <v>23</v>
      </c>
      <c r="F62" s="17">
        <v>3.0</v>
      </c>
      <c r="G62" s="90" t="s">
        <v>24</v>
      </c>
      <c r="H62" s="17">
        <v>0.0</v>
      </c>
      <c r="I62" s="44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43">
        <v>46146.0</v>
      </c>
      <c r="C63" s="66" t="s">
        <v>35</v>
      </c>
      <c r="D63" s="12" t="s">
        <v>89</v>
      </c>
      <c r="E63" s="44" t="s">
        <v>109</v>
      </c>
      <c r="F63" s="17">
        <v>1.0</v>
      </c>
      <c r="G63" s="90" t="s">
        <v>24</v>
      </c>
      <c r="H63" s="17">
        <v>10.0</v>
      </c>
      <c r="I63" s="44" t="s">
        <v>107</v>
      </c>
      <c r="J63" s="63"/>
      <c r="K63" s="4">
        <f t="shared" si="1"/>
        <v>0</v>
      </c>
      <c r="L63" s="18">
        <f t="shared" si="2"/>
        <v>3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151</v>
      </c>
      <c r="D64" s="12" t="s">
        <v>89</v>
      </c>
      <c r="E64" s="44" t="s">
        <v>23</v>
      </c>
      <c r="F64" s="17">
        <v>0.0</v>
      </c>
      <c r="G64" s="90" t="s">
        <v>24</v>
      </c>
      <c r="H64" s="17">
        <v>4.0</v>
      </c>
      <c r="I64" s="44" t="s">
        <v>66</v>
      </c>
      <c r="J64" s="63"/>
      <c r="K64" s="4">
        <f t="shared" si="1"/>
        <v>0</v>
      </c>
      <c r="L64" s="18">
        <f t="shared" si="2"/>
        <v>3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154</v>
      </c>
      <c r="D65" s="12" t="s">
        <v>89</v>
      </c>
      <c r="E65" s="44" t="s">
        <v>61</v>
      </c>
      <c r="F65" s="17">
        <v>0.0</v>
      </c>
      <c r="G65" s="90" t="s">
        <v>24</v>
      </c>
      <c r="H65" s="17">
        <v>7.0</v>
      </c>
      <c r="I65" s="44" t="s">
        <v>65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0"/>
      <c r="D66" s="90"/>
      <c r="E66" s="44" t="s">
        <v>63</v>
      </c>
      <c r="F66" s="90"/>
      <c r="G66" s="90" t="s">
        <v>24</v>
      </c>
      <c r="H66" s="90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0" t="s">
        <v>24</v>
      </c>
      <c r="H67" s="17">
        <v>0.0</v>
      </c>
      <c r="I67" s="44" t="s">
        <v>153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151</v>
      </c>
      <c r="D68" s="12" t="s">
        <v>22</v>
      </c>
      <c r="E68" s="44" t="s">
        <v>107</v>
      </c>
      <c r="F68" s="17">
        <v>11.0</v>
      </c>
      <c r="G68" s="90" t="s">
        <v>24</v>
      </c>
      <c r="H68" s="17">
        <v>0.0</v>
      </c>
      <c r="I68" s="44" t="s">
        <v>63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154</v>
      </c>
      <c r="D69" s="12" t="s">
        <v>22</v>
      </c>
      <c r="E69" s="44" t="s">
        <v>25</v>
      </c>
      <c r="F69" s="17">
        <v>2.0</v>
      </c>
      <c r="G69" s="90" t="s">
        <v>24</v>
      </c>
      <c r="H69" s="17">
        <v>1.0</v>
      </c>
      <c r="I69" s="44" t="s">
        <v>36</v>
      </c>
      <c r="J69" s="63"/>
      <c r="K69" s="4">
        <f t="shared" si="1"/>
        <v>3</v>
      </c>
      <c r="L69" s="18">
        <f t="shared" si="2"/>
        <v>0</v>
      </c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89</v>
      </c>
      <c r="E70" s="44" t="s">
        <v>33</v>
      </c>
      <c r="F70" s="17">
        <v>1.0</v>
      </c>
      <c r="G70" s="90" t="s">
        <v>24</v>
      </c>
      <c r="H70" s="17">
        <v>3.0</v>
      </c>
      <c r="I70" s="44" t="s">
        <v>31</v>
      </c>
      <c r="J70" s="63"/>
      <c r="K70" s="4">
        <f t="shared" si="1"/>
        <v>0</v>
      </c>
      <c r="L70" s="18">
        <f t="shared" si="2"/>
        <v>3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161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>
        <v>46156.0</v>
      </c>
      <c r="C75" s="12" t="s">
        <v>49</v>
      </c>
      <c r="D75" s="12" t="s">
        <v>22</v>
      </c>
      <c r="E75" s="91" t="s">
        <v>66</v>
      </c>
      <c r="F75" s="31"/>
      <c r="G75" s="16" t="s">
        <v>24</v>
      </c>
      <c r="H75" s="31"/>
      <c r="I75" s="91" t="s">
        <v>107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21</v>
      </c>
      <c r="D76" s="12" t="s">
        <v>22</v>
      </c>
      <c r="E76" s="91" t="s">
        <v>65</v>
      </c>
      <c r="F76" s="31"/>
      <c r="G76" s="16" t="s">
        <v>24</v>
      </c>
      <c r="H76" s="31"/>
      <c r="I76" s="91" t="s">
        <v>36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30</v>
      </c>
      <c r="D77" s="12" t="s">
        <v>22</v>
      </c>
      <c r="E77" s="91" t="s">
        <v>23</v>
      </c>
      <c r="F77" s="31"/>
      <c r="G77" s="16" t="s">
        <v>24</v>
      </c>
      <c r="H77" s="31"/>
      <c r="I77" s="91" t="s">
        <v>33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35</v>
      </c>
      <c r="D78" s="12" t="s">
        <v>22</v>
      </c>
      <c r="E78" s="91" t="s">
        <v>31</v>
      </c>
      <c r="F78" s="31"/>
      <c r="G78" s="16" t="s">
        <v>24</v>
      </c>
      <c r="H78" s="31"/>
      <c r="I78" s="91" t="s">
        <v>25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73</v>
      </c>
      <c r="B79" s="43"/>
      <c r="C79" s="12"/>
      <c r="D79" s="12"/>
      <c r="E79" s="44" t="s">
        <v>74</v>
      </c>
      <c r="F79" s="31"/>
      <c r="G79" s="16" t="s">
        <v>24</v>
      </c>
      <c r="H79" s="31"/>
      <c r="I79" s="44" t="s">
        <v>75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6"/>
      <c r="C80" s="31"/>
      <c r="D80" s="12"/>
      <c r="E80" s="51" t="s">
        <v>76</v>
      </c>
      <c r="F80" s="13"/>
      <c r="G80" s="16" t="s">
        <v>24</v>
      </c>
      <c r="H80" s="13"/>
      <c r="I80" s="44" t="s">
        <v>77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78</v>
      </c>
      <c r="B81" s="30"/>
      <c r="C81" s="31"/>
      <c r="D81" s="12"/>
      <c r="E81" s="44" t="s">
        <v>79</v>
      </c>
      <c r="F81" s="31"/>
      <c r="G81" s="16" t="s">
        <v>24</v>
      </c>
      <c r="H81" s="31"/>
      <c r="I81" s="61" t="s">
        <v>80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81</v>
      </c>
      <c r="B82" s="30"/>
      <c r="C82" s="31"/>
      <c r="D82" s="12"/>
      <c r="E82" s="44" t="s">
        <v>82</v>
      </c>
      <c r="F82" s="31"/>
      <c r="G82" s="16" t="s">
        <v>24</v>
      </c>
      <c r="H82" s="31"/>
      <c r="I82" s="44" t="s">
        <v>83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162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120" t="s">
        <v>163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164</v>
      </c>
      <c r="D3" s="12" t="s">
        <v>22</v>
      </c>
      <c r="E3" s="17" t="s">
        <v>36</v>
      </c>
      <c r="F3" s="17">
        <v>3.0</v>
      </c>
      <c r="G3" s="90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22"/>
      <c r="AB3" s="122"/>
      <c r="AC3" s="122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0" t="s">
        <v>24</v>
      </c>
      <c r="H4" s="17">
        <v>2.0</v>
      </c>
      <c r="I4" s="17" t="s">
        <v>110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165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95"/>
      <c r="AB4" s="95"/>
      <c r="AC4" s="95"/>
      <c r="AD4" s="63"/>
      <c r="AE4" s="22" t="s">
        <v>34</v>
      </c>
      <c r="AF4" s="23" t="s">
        <v>165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166</v>
      </c>
      <c r="F5" s="17">
        <v>1.0</v>
      </c>
      <c r="G5" s="90" t="s">
        <v>24</v>
      </c>
      <c r="H5" s="17">
        <v>1.0</v>
      </c>
      <c r="I5" s="17" t="s">
        <v>167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36</v>
      </c>
      <c r="Z5" s="28">
        <v>0.0</v>
      </c>
      <c r="AA5" s="95"/>
      <c r="AB5" s="95"/>
      <c r="AC5" s="95"/>
      <c r="AD5" s="63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0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41</v>
      </c>
      <c r="AF6" s="23" t="s">
        <v>110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0" t="s">
        <v>24</v>
      </c>
      <c r="H7" s="17">
        <v>4.0</v>
      </c>
      <c r="I7" s="17" t="s">
        <v>107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110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107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168</v>
      </c>
      <c r="F8" s="17">
        <v>2.0</v>
      </c>
      <c r="G8" s="90" t="s">
        <v>24</v>
      </c>
      <c r="H8" s="17">
        <v>3.0</v>
      </c>
      <c r="I8" s="44" t="s">
        <v>165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2">
        <v>6.0</v>
      </c>
      <c r="AF8" s="23" t="s">
        <v>167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169</v>
      </c>
      <c r="D9" s="12" t="s">
        <v>89</v>
      </c>
      <c r="E9" s="17" t="s">
        <v>33</v>
      </c>
      <c r="F9" s="17">
        <v>6.0</v>
      </c>
      <c r="G9" s="90" t="s">
        <v>24</v>
      </c>
      <c r="H9" s="17">
        <v>0.0</v>
      </c>
      <c r="I9" s="17" t="s">
        <v>168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167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160</v>
      </c>
      <c r="D10" s="12" t="s">
        <v>89</v>
      </c>
      <c r="E10" s="17" t="s">
        <v>110</v>
      </c>
      <c r="F10" s="17">
        <v>2.0</v>
      </c>
      <c r="G10" s="90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166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154</v>
      </c>
      <c r="D11" s="12" t="s">
        <v>89</v>
      </c>
      <c r="E11" s="17" t="s">
        <v>167</v>
      </c>
      <c r="F11" s="17">
        <v>2.0</v>
      </c>
      <c r="G11" s="90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96</v>
      </c>
      <c r="AF11" s="23" t="s">
        <v>166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0" t="s">
        <v>24</v>
      </c>
      <c r="H12" s="17">
        <v>3.0</v>
      </c>
      <c r="I12" s="17" t="s">
        <v>166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170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168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107</v>
      </c>
      <c r="F13" s="17">
        <v>3.0</v>
      </c>
      <c r="G13" s="90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107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165</v>
      </c>
      <c r="F14" s="17">
        <v>3.0</v>
      </c>
      <c r="G14" s="90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23">
        <v>12.0</v>
      </c>
      <c r="AF14" s="90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0" t="s">
        <v>24</v>
      </c>
      <c r="H15" s="17">
        <v>0.0</v>
      </c>
      <c r="I15" s="17" t="s">
        <v>110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171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0" t="s">
        <v>24</v>
      </c>
      <c r="H16" s="17">
        <v>8.0</v>
      </c>
      <c r="I16" s="17" t="s">
        <v>167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0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89</v>
      </c>
      <c r="E18" s="17" t="s">
        <v>166</v>
      </c>
      <c r="F18" s="17">
        <v>2.0</v>
      </c>
      <c r="G18" s="90" t="s">
        <v>24</v>
      </c>
      <c r="H18" s="17">
        <v>2.0</v>
      </c>
      <c r="I18" s="17" t="s">
        <v>107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0" t="s">
        <v>24</v>
      </c>
      <c r="H19" s="17">
        <v>3.0</v>
      </c>
      <c r="I19" s="44" t="s">
        <v>165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89</v>
      </c>
      <c r="E20" s="17" t="s">
        <v>168</v>
      </c>
      <c r="F20" s="17">
        <v>10.0</v>
      </c>
      <c r="G20" s="90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110</v>
      </c>
      <c r="F21" s="17">
        <v>3.0</v>
      </c>
      <c r="G21" s="90" t="s">
        <v>24</v>
      </c>
      <c r="H21" s="17">
        <v>0.0</v>
      </c>
      <c r="I21" s="17" t="s">
        <v>168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167</v>
      </c>
      <c r="F22" s="17">
        <v>2.0</v>
      </c>
      <c r="G22" s="90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0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107</v>
      </c>
      <c r="F24" s="17">
        <v>1.0</v>
      </c>
      <c r="G24" s="90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165</v>
      </c>
      <c r="F25" s="17">
        <v>5.0</v>
      </c>
      <c r="G25" s="90" t="s">
        <v>24</v>
      </c>
      <c r="H25" s="17">
        <v>1.0</v>
      </c>
      <c r="I25" s="44" t="s">
        <v>166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0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110</v>
      </c>
      <c r="F27" s="17">
        <v>6.0</v>
      </c>
      <c r="G27" s="90" t="s">
        <v>24</v>
      </c>
      <c r="H27" s="17">
        <v>2.0</v>
      </c>
      <c r="I27" s="17" t="s">
        <v>167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0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89</v>
      </c>
      <c r="E29" s="17" t="s">
        <v>36</v>
      </c>
      <c r="F29" s="17">
        <v>1.0</v>
      </c>
      <c r="G29" s="90" t="s">
        <v>24</v>
      </c>
      <c r="H29" s="17">
        <v>2.0</v>
      </c>
      <c r="I29" s="17" t="s">
        <v>107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0" t="s">
        <v>24</v>
      </c>
      <c r="H30" s="17">
        <v>2.0</v>
      </c>
      <c r="I30" s="44" t="s">
        <v>165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89</v>
      </c>
      <c r="E31" s="17" t="s">
        <v>166</v>
      </c>
      <c r="F31" s="17">
        <v>7.0</v>
      </c>
      <c r="G31" s="90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168</v>
      </c>
      <c r="F32" s="17">
        <v>6.0</v>
      </c>
      <c r="G32" s="90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121</v>
      </c>
      <c r="D33" s="12" t="s">
        <v>89</v>
      </c>
      <c r="E33" s="17" t="s">
        <v>167</v>
      </c>
      <c r="F33" s="17">
        <v>2.0</v>
      </c>
      <c r="G33" s="90" t="s">
        <v>24</v>
      </c>
      <c r="H33" s="17">
        <v>0.0</v>
      </c>
      <c r="I33" s="17" t="s">
        <v>168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156</v>
      </c>
      <c r="D34" s="12" t="s">
        <v>89</v>
      </c>
      <c r="E34" s="17" t="s">
        <v>66</v>
      </c>
      <c r="F34" s="17">
        <v>2.0</v>
      </c>
      <c r="G34" s="90" t="s">
        <v>24</v>
      </c>
      <c r="H34" s="17">
        <v>2.0</v>
      </c>
      <c r="I34" s="17" t="s">
        <v>110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169</v>
      </c>
      <c r="D35" s="12" t="s">
        <v>89</v>
      </c>
      <c r="E35" s="17" t="s">
        <v>107</v>
      </c>
      <c r="F35" s="17">
        <v>0.0</v>
      </c>
      <c r="G35" s="90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160</v>
      </c>
      <c r="D36" s="12" t="s">
        <v>89</v>
      </c>
      <c r="E36" s="44" t="s">
        <v>165</v>
      </c>
      <c r="F36" s="17">
        <v>4.0</v>
      </c>
      <c r="G36" s="90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154</v>
      </c>
      <c r="D37" s="12" t="s">
        <v>89</v>
      </c>
      <c r="E37" s="17" t="s">
        <v>45</v>
      </c>
      <c r="F37" s="17">
        <v>1.0</v>
      </c>
      <c r="G37" s="90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152</v>
      </c>
      <c r="D38" s="12" t="s">
        <v>89</v>
      </c>
      <c r="E38" s="17" t="s">
        <v>25</v>
      </c>
      <c r="F38" s="17">
        <v>4.0</v>
      </c>
      <c r="G38" s="90" t="s">
        <v>24</v>
      </c>
      <c r="H38" s="17">
        <v>1.0</v>
      </c>
      <c r="I38" s="17" t="s">
        <v>166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89</v>
      </c>
      <c r="E39" s="17" t="s">
        <v>167</v>
      </c>
      <c r="F39" s="17">
        <v>6.0</v>
      </c>
      <c r="G39" s="90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89</v>
      </c>
      <c r="E40" s="17" t="s">
        <v>110</v>
      </c>
      <c r="F40" s="17">
        <v>3.0</v>
      </c>
      <c r="G40" s="90" t="s">
        <v>24</v>
      </c>
      <c r="H40" s="17">
        <v>0.0</v>
      </c>
      <c r="I40" s="14" t="s">
        <v>107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89</v>
      </c>
      <c r="E41" s="44" t="s">
        <v>33</v>
      </c>
      <c r="F41" s="17">
        <v>4.0</v>
      </c>
      <c r="G41" s="90" t="s">
        <v>24</v>
      </c>
      <c r="H41" s="17">
        <v>3.0</v>
      </c>
      <c r="I41" s="44" t="s">
        <v>165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89</v>
      </c>
      <c r="E42" s="17" t="s">
        <v>36</v>
      </c>
      <c r="F42" s="17">
        <v>5.0</v>
      </c>
      <c r="G42" s="90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89</v>
      </c>
      <c r="E43" s="17" t="s">
        <v>23</v>
      </c>
      <c r="F43" s="17">
        <v>1.0</v>
      </c>
      <c r="G43" s="90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89</v>
      </c>
      <c r="E44" s="17" t="s">
        <v>168</v>
      </c>
      <c r="F44" s="17">
        <v>2.0</v>
      </c>
      <c r="G44" s="90" t="s">
        <v>24</v>
      </c>
      <c r="H44" s="17">
        <v>4.0</v>
      </c>
      <c r="I44" s="17" t="s">
        <v>166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89</v>
      </c>
      <c r="E45" s="17" t="s">
        <v>66</v>
      </c>
      <c r="F45" s="17">
        <v>6.0</v>
      </c>
      <c r="G45" s="90" t="s">
        <v>24</v>
      </c>
      <c r="H45" s="17">
        <v>2.0</v>
      </c>
      <c r="I45" s="17" t="s">
        <v>168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89</v>
      </c>
      <c r="E46" s="17" t="s">
        <v>107</v>
      </c>
      <c r="F46" s="17">
        <v>3.0</v>
      </c>
      <c r="G46" s="90" t="s">
        <v>24</v>
      </c>
      <c r="H46" s="17">
        <v>3.0</v>
      </c>
      <c r="I46" s="17" t="s">
        <v>167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89</v>
      </c>
      <c r="E47" s="44" t="s">
        <v>165</v>
      </c>
      <c r="F47" s="17">
        <v>3.0</v>
      </c>
      <c r="G47" s="90" t="s">
        <v>24</v>
      </c>
      <c r="H47" s="17">
        <v>0.0</v>
      </c>
      <c r="I47" s="17" t="s">
        <v>110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89</v>
      </c>
      <c r="E48" s="44" t="s">
        <v>45</v>
      </c>
      <c r="F48" s="17">
        <v>0.0</v>
      </c>
      <c r="G48" s="90" t="s">
        <v>24</v>
      </c>
      <c r="H48" s="17">
        <v>2.0</v>
      </c>
      <c r="I48" s="44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89</v>
      </c>
      <c r="E49" s="17" t="s">
        <v>25</v>
      </c>
      <c r="F49" s="17">
        <v>5.0</v>
      </c>
      <c r="G49" s="90" t="s">
        <v>24</v>
      </c>
      <c r="H49" s="17">
        <v>0.0</v>
      </c>
      <c r="I49" s="17" t="s">
        <v>36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89</v>
      </c>
      <c r="E50" s="17" t="s">
        <v>166</v>
      </c>
      <c r="F50" s="17">
        <v>3.0</v>
      </c>
      <c r="G50" s="90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89</v>
      </c>
      <c r="E51" s="17" t="s">
        <v>66</v>
      </c>
      <c r="F51" s="17">
        <v>3.0</v>
      </c>
      <c r="G51" s="90" t="s">
        <v>24</v>
      </c>
      <c r="H51" s="17">
        <v>3.0</v>
      </c>
      <c r="I51" s="17" t="s">
        <v>107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89</v>
      </c>
      <c r="E52" s="44" t="s">
        <v>167</v>
      </c>
      <c r="F52" s="17">
        <v>3.0</v>
      </c>
      <c r="G52" s="90" t="s">
        <v>24</v>
      </c>
      <c r="H52" s="17">
        <v>7.0</v>
      </c>
      <c r="I52" s="44" t="s">
        <v>165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89</v>
      </c>
      <c r="E53" s="17" t="s">
        <v>110</v>
      </c>
      <c r="F53" s="17">
        <v>10.0</v>
      </c>
      <c r="G53" s="90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89</v>
      </c>
      <c r="E54" s="17" t="s">
        <v>33</v>
      </c>
      <c r="F54" s="17">
        <v>0.0</v>
      </c>
      <c r="G54" s="90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169</v>
      </c>
      <c r="D55" s="12" t="s">
        <v>89</v>
      </c>
      <c r="E55" s="17" t="s">
        <v>36</v>
      </c>
      <c r="F55" s="17">
        <v>3.0</v>
      </c>
      <c r="G55" s="90" t="s">
        <v>24</v>
      </c>
      <c r="H55" s="17">
        <v>7.0</v>
      </c>
      <c r="I55" s="17" t="s">
        <v>166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89</v>
      </c>
      <c r="E56" s="17" t="s">
        <v>168</v>
      </c>
      <c r="F56" s="17">
        <v>2.0</v>
      </c>
      <c r="G56" s="90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89</v>
      </c>
      <c r="E57" s="17" t="s">
        <v>168</v>
      </c>
      <c r="F57" s="17">
        <v>3.0</v>
      </c>
      <c r="G57" s="90" t="s">
        <v>24</v>
      </c>
      <c r="H57" s="17">
        <v>1.0</v>
      </c>
      <c r="I57" s="17" t="s">
        <v>107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89</v>
      </c>
      <c r="E58" s="44" t="s">
        <v>165</v>
      </c>
      <c r="F58" s="17">
        <v>4.0</v>
      </c>
      <c r="G58" s="90" t="s">
        <v>24</v>
      </c>
      <c r="H58" s="17">
        <v>4.0</v>
      </c>
      <c r="I58" s="44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164</v>
      </c>
      <c r="D59" s="12" t="s">
        <v>22</v>
      </c>
      <c r="E59" s="17" t="s">
        <v>45</v>
      </c>
      <c r="F59" s="17">
        <v>0.0</v>
      </c>
      <c r="G59" s="90" t="s">
        <v>24</v>
      </c>
      <c r="H59" s="17">
        <v>3.0</v>
      </c>
      <c r="I59" s="17" t="s">
        <v>167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89</v>
      </c>
      <c r="E60" s="17" t="s">
        <v>25</v>
      </c>
      <c r="F60" s="17">
        <v>1.0</v>
      </c>
      <c r="G60" s="90" t="s">
        <v>24</v>
      </c>
      <c r="H60" s="17">
        <v>1.0</v>
      </c>
      <c r="I60" s="17" t="s">
        <v>110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166</v>
      </c>
      <c r="F61" s="17">
        <v>1.0</v>
      </c>
      <c r="G61" s="90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89</v>
      </c>
      <c r="E62" s="17" t="s">
        <v>23</v>
      </c>
      <c r="F62" s="17">
        <v>5.0</v>
      </c>
      <c r="G62" s="90" t="s">
        <v>24</v>
      </c>
      <c r="H62" s="17">
        <v>2.0</v>
      </c>
      <c r="I62" s="17" t="s">
        <v>36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107</v>
      </c>
      <c r="F63" s="17">
        <v>10.0</v>
      </c>
      <c r="G63" s="90" t="s">
        <v>24</v>
      </c>
      <c r="H63" s="17">
        <v>6.0</v>
      </c>
      <c r="I63" s="44" t="s">
        <v>165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89</v>
      </c>
      <c r="E64" s="44" t="s">
        <v>66</v>
      </c>
      <c r="F64" s="17">
        <v>11.0</v>
      </c>
      <c r="G64" s="90" t="s">
        <v>24</v>
      </c>
      <c r="H64" s="17">
        <v>0.0</v>
      </c>
      <c r="I64" s="44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89</v>
      </c>
      <c r="E65" s="44" t="s">
        <v>167</v>
      </c>
      <c r="F65" s="17">
        <v>1.0</v>
      </c>
      <c r="G65" s="90" t="s">
        <v>24</v>
      </c>
      <c r="H65" s="17">
        <v>2.0</v>
      </c>
      <c r="I65" s="44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164</v>
      </c>
      <c r="D66" s="12" t="s">
        <v>22</v>
      </c>
      <c r="E66" s="17" t="s">
        <v>110</v>
      </c>
      <c r="F66" s="17">
        <v>7.0</v>
      </c>
      <c r="G66" s="90" t="s">
        <v>24</v>
      </c>
      <c r="H66" s="17">
        <v>5.0</v>
      </c>
      <c r="I66" s="44" t="s">
        <v>166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89</v>
      </c>
      <c r="E67" s="44" t="s">
        <v>33</v>
      </c>
      <c r="F67" s="17">
        <v>10.0</v>
      </c>
      <c r="G67" s="90" t="s">
        <v>24</v>
      </c>
      <c r="H67" s="17">
        <v>2.0</v>
      </c>
      <c r="I67" s="44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89</v>
      </c>
      <c r="E68" s="44" t="s">
        <v>36</v>
      </c>
      <c r="F68" s="17">
        <v>7.0</v>
      </c>
      <c r="G68" s="90" t="s">
        <v>24</v>
      </c>
      <c r="H68" s="17">
        <v>3.0</v>
      </c>
      <c r="I68" s="44" t="s">
        <v>168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172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89</v>
      </c>
      <c r="E75" s="44" t="s">
        <v>109</v>
      </c>
      <c r="F75" s="44">
        <v>3.0</v>
      </c>
      <c r="G75" s="90" t="s">
        <v>24</v>
      </c>
      <c r="H75" s="44">
        <v>1.0</v>
      </c>
      <c r="I75" s="44" t="s">
        <v>112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6" t="s">
        <v>112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89</v>
      </c>
      <c r="E76" s="44" t="s">
        <v>67</v>
      </c>
      <c r="F76" s="44">
        <v>0.0</v>
      </c>
      <c r="G76" s="90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6" t="s">
        <v>109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3"/>
      <c r="X76" s="63"/>
      <c r="Y76" s="63"/>
      <c r="Z76" s="63"/>
      <c r="AA76" s="63"/>
      <c r="AB76" s="63"/>
      <c r="AC76" s="63"/>
      <c r="AD76" s="63"/>
      <c r="AE76" s="124" t="s">
        <v>111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89</v>
      </c>
      <c r="E77" s="44" t="s">
        <v>32</v>
      </c>
      <c r="F77" s="44">
        <v>12.0</v>
      </c>
      <c r="G77" s="90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6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89</v>
      </c>
      <c r="E78" s="44" t="s">
        <v>63</v>
      </c>
      <c r="F78" s="44">
        <v>12.0</v>
      </c>
      <c r="G78" s="90" t="s">
        <v>24</v>
      </c>
      <c r="H78" s="44">
        <v>3.0</v>
      </c>
      <c r="I78" s="44" t="s">
        <v>173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6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109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0"/>
      <c r="D79" s="67"/>
      <c r="E79" s="44" t="s">
        <v>59</v>
      </c>
      <c r="F79" s="67"/>
      <c r="G79" s="90" t="s">
        <v>24</v>
      </c>
      <c r="H79" s="67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6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89</v>
      </c>
      <c r="E80" s="44" t="s">
        <v>112</v>
      </c>
      <c r="F80" s="44">
        <v>3.0</v>
      </c>
      <c r="G80" s="90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6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7"/>
      <c r="C81" s="98"/>
      <c r="D81" s="94"/>
      <c r="E81" s="44">
        <v>0.0</v>
      </c>
      <c r="F81" s="67"/>
      <c r="G81" s="90" t="s">
        <v>24</v>
      </c>
      <c r="H81" s="67"/>
      <c r="I81" s="44" t="s">
        <v>109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6" t="s">
        <v>173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89</v>
      </c>
      <c r="E82" s="44" t="s">
        <v>43</v>
      </c>
      <c r="F82" s="44">
        <v>2.0</v>
      </c>
      <c r="G82" s="90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6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173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89</v>
      </c>
      <c r="E83" s="44" t="s">
        <v>68</v>
      </c>
      <c r="F83" s="44">
        <v>4.0</v>
      </c>
      <c r="G83" s="90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6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112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89</v>
      </c>
      <c r="E84" s="44" t="s">
        <v>173</v>
      </c>
      <c r="F84" s="44">
        <v>2.0</v>
      </c>
      <c r="G84" s="90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174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0" t="s">
        <v>24</v>
      </c>
      <c r="H85" s="44">
        <v>4.0</v>
      </c>
      <c r="I85" s="44" t="s">
        <v>112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175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0" t="s">
        <v>24</v>
      </c>
      <c r="H86" s="44">
        <v>5.0</v>
      </c>
      <c r="I86" s="44" t="s">
        <v>109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0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164</v>
      </c>
      <c r="D88" s="39" t="s">
        <v>22</v>
      </c>
      <c r="E88" s="44" t="s">
        <v>59</v>
      </c>
      <c r="F88" s="44">
        <v>5.0</v>
      </c>
      <c r="G88" s="90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E88" s="81" t="s">
        <v>103</v>
      </c>
      <c r="AF88" s="82"/>
      <c r="AG88" s="82"/>
      <c r="AH88" s="82"/>
      <c r="AI88" s="82"/>
      <c r="AJ88" s="82"/>
      <c r="AK88" s="82"/>
      <c r="AL88" s="82"/>
      <c r="AM88" s="83"/>
      <c r="AN88" s="4"/>
    </row>
    <row r="89" ht="15.75" customHeight="1">
      <c r="A89" s="25"/>
      <c r="B89" s="125"/>
      <c r="C89" s="90"/>
      <c r="D89" s="90"/>
      <c r="E89" s="44">
        <v>0.0</v>
      </c>
      <c r="F89" s="67"/>
      <c r="G89" s="90" t="s">
        <v>24</v>
      </c>
      <c r="H89" s="67"/>
      <c r="I89" s="44" t="s">
        <v>173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E89" s="84"/>
      <c r="AF89" s="85"/>
      <c r="AG89" s="85"/>
      <c r="AH89" s="85"/>
      <c r="AI89" s="85"/>
      <c r="AJ89" s="85"/>
      <c r="AK89" s="85"/>
      <c r="AL89" s="85"/>
      <c r="AM89" s="86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112</v>
      </c>
      <c r="F90" s="44">
        <v>0.0</v>
      </c>
      <c r="G90" s="90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109</v>
      </c>
      <c r="F91" s="44">
        <v>2.0</v>
      </c>
      <c r="G91" s="90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1">
        <v>46.0</v>
      </c>
      <c r="AL91" s="61">
        <v>19.0</v>
      </c>
      <c r="AM91" s="61">
        <v>27.0</v>
      </c>
      <c r="AN91" s="4"/>
    </row>
    <row r="92" ht="15.75" customHeight="1">
      <c r="A92" s="25"/>
      <c r="B92" s="128"/>
      <c r="C92" s="98"/>
      <c r="D92" s="90"/>
      <c r="E92" s="44" t="s">
        <v>67</v>
      </c>
      <c r="F92" s="67"/>
      <c r="G92" s="90" t="s">
        <v>24</v>
      </c>
      <c r="H92" s="67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124" t="s">
        <v>111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0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22">
        <v>3.0</v>
      </c>
      <c r="AF93" s="23" t="s">
        <v>109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0" t="s">
        <v>24</v>
      </c>
      <c r="H94" s="44">
        <v>0.0</v>
      </c>
      <c r="I94" s="44" t="s">
        <v>173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89</v>
      </c>
      <c r="E95" s="44" t="s">
        <v>59</v>
      </c>
      <c r="F95" s="44">
        <v>2.0</v>
      </c>
      <c r="G95" s="90" t="s">
        <v>24</v>
      </c>
      <c r="H95" s="44">
        <v>3.0</v>
      </c>
      <c r="I95" s="44" t="s">
        <v>112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89</v>
      </c>
      <c r="E96" s="44" t="s">
        <v>63</v>
      </c>
      <c r="F96" s="44">
        <v>0.0</v>
      </c>
      <c r="G96" s="90" t="s">
        <v>24</v>
      </c>
      <c r="H96" s="44">
        <v>1.0</v>
      </c>
      <c r="I96" s="44" t="s">
        <v>109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89</v>
      </c>
      <c r="E97" s="44" t="s">
        <v>32</v>
      </c>
      <c r="F97" s="44">
        <v>4.0</v>
      </c>
      <c r="G97" s="90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89</v>
      </c>
      <c r="E98" s="44" t="s">
        <v>173</v>
      </c>
      <c r="F98" s="44">
        <v>0.0</v>
      </c>
      <c r="G98" s="90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22">
        <v>8.0</v>
      </c>
      <c r="AF98" s="23" t="s">
        <v>173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0"/>
      <c r="D99" s="90"/>
      <c r="E99" s="44">
        <v>0.0</v>
      </c>
      <c r="F99" s="67"/>
      <c r="G99" s="90" t="s">
        <v>24</v>
      </c>
      <c r="H99" s="67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22">
        <v>9.0</v>
      </c>
      <c r="AF99" s="23" t="s">
        <v>112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89</v>
      </c>
      <c r="E100" s="44" t="s">
        <v>112</v>
      </c>
      <c r="F100" s="44">
        <v>1.0</v>
      </c>
      <c r="G100" s="90" t="s">
        <v>24</v>
      </c>
      <c r="H100" s="44">
        <v>2.0</v>
      </c>
      <c r="I100" s="44" t="s">
        <v>173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35" t="s">
        <v>176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89</v>
      </c>
      <c r="E101" s="44" t="s">
        <v>109</v>
      </c>
      <c r="F101" s="44">
        <v>5.0</v>
      </c>
      <c r="G101" s="90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79" t="s">
        <v>175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89</v>
      </c>
      <c r="E102" s="44" t="s">
        <v>67</v>
      </c>
      <c r="F102" s="44">
        <v>2.0</v>
      </c>
      <c r="G102" s="90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7"/>
      <c r="C103" s="94"/>
      <c r="D103" s="94"/>
      <c r="E103" s="44" t="s">
        <v>32</v>
      </c>
      <c r="F103" s="67"/>
      <c r="G103" s="90" t="s">
        <v>24</v>
      </c>
      <c r="H103" s="67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89</v>
      </c>
      <c r="E104" s="44" t="s">
        <v>43</v>
      </c>
      <c r="F104" s="44">
        <v>4.0</v>
      </c>
      <c r="G104" s="90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89</v>
      </c>
      <c r="E105" s="44" t="s">
        <v>68</v>
      </c>
      <c r="F105" s="44">
        <v>3.0</v>
      </c>
      <c r="G105" s="90" t="s">
        <v>24</v>
      </c>
      <c r="H105" s="44">
        <v>0.0</v>
      </c>
      <c r="I105" s="14" t="s">
        <v>112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89</v>
      </c>
      <c r="E106" s="14" t="s">
        <v>173</v>
      </c>
      <c r="F106" s="44">
        <v>0.0</v>
      </c>
      <c r="G106" s="90" t="s">
        <v>24</v>
      </c>
      <c r="H106" s="44">
        <v>3.0</v>
      </c>
      <c r="I106" s="44" t="s">
        <v>109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G106" s="63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89</v>
      </c>
      <c r="E107" s="44" t="s">
        <v>59</v>
      </c>
      <c r="F107" s="44">
        <v>8.0</v>
      </c>
      <c r="G107" s="90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G107" s="63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89</v>
      </c>
      <c r="E108" s="44" t="s">
        <v>63</v>
      </c>
      <c r="F108" s="44">
        <v>2.0</v>
      </c>
      <c r="G108" s="90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G108" s="63"/>
      <c r="AJ108" s="4"/>
      <c r="AK108" s="4"/>
      <c r="AL108" s="4"/>
      <c r="AM108" s="4"/>
      <c r="AN108" s="4"/>
    </row>
    <row r="109" ht="15.75" customHeight="1">
      <c r="A109" s="25"/>
      <c r="B109" s="125"/>
      <c r="C109" s="90"/>
      <c r="D109" s="90"/>
      <c r="E109" s="44">
        <v>0.0</v>
      </c>
      <c r="F109" s="67"/>
      <c r="G109" s="90" t="s">
        <v>24</v>
      </c>
      <c r="H109" s="67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89</v>
      </c>
      <c r="E110" s="44" t="s">
        <v>112</v>
      </c>
      <c r="F110" s="44">
        <v>1.0</v>
      </c>
      <c r="G110" s="90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89</v>
      </c>
      <c r="E111" s="44" t="s">
        <v>109</v>
      </c>
      <c r="F111" s="44">
        <v>3.0</v>
      </c>
      <c r="G111" s="90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89</v>
      </c>
      <c r="E112" s="44" t="s">
        <v>67</v>
      </c>
      <c r="F112" s="44">
        <v>10.0</v>
      </c>
      <c r="G112" s="90" t="s">
        <v>24</v>
      </c>
      <c r="H112" s="44">
        <v>2.0</v>
      </c>
      <c r="I112" s="44" t="s">
        <v>173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89</v>
      </c>
      <c r="E113" s="44" t="s">
        <v>32</v>
      </c>
      <c r="F113" s="44">
        <v>3.0</v>
      </c>
      <c r="G113" s="90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0"/>
      <c r="D114" s="90"/>
      <c r="E114" s="44" t="s">
        <v>63</v>
      </c>
      <c r="F114" s="67"/>
      <c r="G114" s="90" t="s">
        <v>24</v>
      </c>
      <c r="H114" s="67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0"/>
      <c r="D115" s="90"/>
      <c r="E115" s="44">
        <v>0.0</v>
      </c>
      <c r="F115" s="67"/>
      <c r="G115" s="90" t="s">
        <v>24</v>
      </c>
      <c r="H115" s="67"/>
      <c r="I115" s="44" t="s">
        <v>112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89</v>
      </c>
      <c r="E116" s="44" t="s">
        <v>43</v>
      </c>
      <c r="F116" s="44">
        <v>3.0</v>
      </c>
      <c r="G116" s="90" t="s">
        <v>24</v>
      </c>
      <c r="H116" s="44">
        <v>1.0</v>
      </c>
      <c r="I116" s="44" t="s">
        <v>109</v>
      </c>
      <c r="J116" s="63"/>
      <c r="K116" s="4">
        <f t="shared" si="11"/>
        <v>3</v>
      </c>
      <c r="L116" s="18">
        <f t="shared" si="12"/>
        <v>0</v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154</v>
      </c>
      <c r="D117" s="39" t="s">
        <v>89</v>
      </c>
      <c r="E117" s="14" t="s">
        <v>68</v>
      </c>
      <c r="F117" s="44">
        <v>0.0</v>
      </c>
      <c r="G117" s="90" t="s">
        <v>24</v>
      </c>
      <c r="H117" s="44">
        <v>3.0</v>
      </c>
      <c r="I117" s="44" t="s">
        <v>67</v>
      </c>
      <c r="J117" s="63"/>
      <c r="K117" s="4">
        <f t="shared" si="11"/>
        <v>0</v>
      </c>
      <c r="L117" s="18">
        <f t="shared" si="12"/>
        <v>3</v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89</v>
      </c>
      <c r="E118" s="44" t="s">
        <v>173</v>
      </c>
      <c r="F118" s="44">
        <v>3.0</v>
      </c>
      <c r="G118" s="90" t="s">
        <v>24</v>
      </c>
      <c r="H118" s="44">
        <v>2.0</v>
      </c>
      <c r="I118" s="17" t="s">
        <v>32</v>
      </c>
      <c r="J118" s="63"/>
      <c r="K118" s="4">
        <f t="shared" si="11"/>
        <v>3</v>
      </c>
      <c r="L118" s="18">
        <f t="shared" si="12"/>
        <v>0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89</v>
      </c>
      <c r="E119" s="44" t="s">
        <v>59</v>
      </c>
      <c r="F119" s="44">
        <v>3.0</v>
      </c>
      <c r="G119" s="90" t="s">
        <v>24</v>
      </c>
      <c r="H119" s="44">
        <v>5.0</v>
      </c>
      <c r="I119" s="44" t="s">
        <v>63</v>
      </c>
      <c r="J119" s="63"/>
      <c r="K119" s="4">
        <f t="shared" si="11"/>
        <v>0</v>
      </c>
      <c r="L119" s="18">
        <f t="shared" si="12"/>
        <v>3</v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177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89</v>
      </c>
      <c r="E126" s="44" t="s">
        <v>65</v>
      </c>
      <c r="F126" s="44">
        <v>5.0</v>
      </c>
      <c r="G126" s="90" t="s">
        <v>24</v>
      </c>
      <c r="H126" s="44">
        <v>0.0</v>
      </c>
      <c r="I126" s="44" t="s">
        <v>178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6" t="s">
        <v>178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160</v>
      </c>
      <c r="D127" s="12" t="s">
        <v>89</v>
      </c>
      <c r="E127" s="44" t="s">
        <v>113</v>
      </c>
      <c r="F127" s="44">
        <v>3.0</v>
      </c>
      <c r="G127" s="90" t="s">
        <v>24</v>
      </c>
      <c r="H127" s="44">
        <v>6.0</v>
      </c>
      <c r="I127" s="44" t="s">
        <v>127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6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3"/>
      <c r="X127" s="63"/>
      <c r="Y127" s="63"/>
      <c r="Z127" s="63"/>
      <c r="AA127" s="63"/>
      <c r="AB127" s="63"/>
      <c r="AC127" s="63"/>
      <c r="AD127" s="63"/>
      <c r="AE127" s="124" t="s">
        <v>111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89</v>
      </c>
      <c r="E128" s="44" t="s">
        <v>143</v>
      </c>
      <c r="F128" s="44">
        <v>1.0</v>
      </c>
      <c r="G128" s="90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6" t="s">
        <v>113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127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89</v>
      </c>
      <c r="E129" s="44" t="s">
        <v>60</v>
      </c>
      <c r="F129" s="44">
        <v>3.0</v>
      </c>
      <c r="G129" s="90" t="s">
        <v>24</v>
      </c>
      <c r="H129" s="44">
        <v>5.0</v>
      </c>
      <c r="I129" s="44" t="s">
        <v>179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6" t="s">
        <v>143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0"/>
      <c r="D130" s="67"/>
      <c r="E130" s="44" t="s">
        <v>180</v>
      </c>
      <c r="F130" s="67"/>
      <c r="G130" s="90" t="s">
        <v>24</v>
      </c>
      <c r="H130" s="67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6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113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178</v>
      </c>
      <c r="F131" s="44">
        <v>0.0</v>
      </c>
      <c r="G131" s="90" t="s">
        <v>24</v>
      </c>
      <c r="H131" s="44">
        <v>3.0</v>
      </c>
      <c r="I131" s="44" t="s">
        <v>113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6" t="s">
        <v>180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180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8"/>
      <c r="D132" s="98"/>
      <c r="E132" s="44">
        <v>0.0</v>
      </c>
      <c r="F132" s="67"/>
      <c r="G132" s="90" t="s">
        <v>24</v>
      </c>
      <c r="H132" s="67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6" t="s">
        <v>179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178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127</v>
      </c>
      <c r="F133" s="44">
        <v>6.0</v>
      </c>
      <c r="G133" s="90" t="s">
        <v>24</v>
      </c>
      <c r="H133" s="44">
        <v>1.0</v>
      </c>
      <c r="I133" s="44" t="s">
        <v>143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6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89</v>
      </c>
      <c r="E134" s="44" t="s">
        <v>61</v>
      </c>
      <c r="F134" s="44">
        <v>2.0</v>
      </c>
      <c r="G134" s="90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6" t="s">
        <v>127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143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89</v>
      </c>
      <c r="E135" s="44" t="s">
        <v>179</v>
      </c>
      <c r="F135" s="44">
        <v>5.0</v>
      </c>
      <c r="G135" s="90" t="s">
        <v>24</v>
      </c>
      <c r="H135" s="44">
        <v>2.0</v>
      </c>
      <c r="I135" s="44" t="s">
        <v>180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181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143</v>
      </c>
      <c r="F136" s="44">
        <v>2.0</v>
      </c>
      <c r="G136" s="90" t="s">
        <v>24</v>
      </c>
      <c r="H136" s="44">
        <v>2.0</v>
      </c>
      <c r="I136" s="44" t="s">
        <v>178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175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113</v>
      </c>
      <c r="F137" s="44">
        <v>3.0</v>
      </c>
      <c r="G137" s="90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0" t="s">
        <v>24</v>
      </c>
      <c r="H138" s="44">
        <v>4.0</v>
      </c>
      <c r="I138" s="44" t="s">
        <v>127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E138" s="81" t="s">
        <v>103</v>
      </c>
      <c r="AF138" s="82"/>
      <c r="AG138" s="82"/>
      <c r="AH138" s="82"/>
      <c r="AI138" s="82"/>
      <c r="AJ138" s="82"/>
      <c r="AK138" s="82"/>
      <c r="AL138" s="82"/>
      <c r="AM138" s="83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180</v>
      </c>
      <c r="F139" s="44">
        <v>6.0</v>
      </c>
      <c r="G139" s="90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E139" s="84"/>
      <c r="AF139" s="85"/>
      <c r="AG139" s="85"/>
      <c r="AH139" s="85"/>
      <c r="AI139" s="85"/>
      <c r="AJ139" s="85"/>
      <c r="AK139" s="85"/>
      <c r="AL139" s="85"/>
      <c r="AM139" s="86"/>
      <c r="AN139" s="4"/>
    </row>
    <row r="140" ht="15.75" customHeight="1">
      <c r="A140" s="25"/>
      <c r="B140" s="125"/>
      <c r="C140" s="90"/>
      <c r="D140" s="90"/>
      <c r="E140" s="44">
        <v>0.0</v>
      </c>
      <c r="F140" s="67"/>
      <c r="G140" s="90" t="s">
        <v>24</v>
      </c>
      <c r="H140" s="67"/>
      <c r="I140" s="44" t="s">
        <v>179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178</v>
      </c>
      <c r="F141" s="12">
        <v>0.0</v>
      </c>
      <c r="G141" s="90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E141" s="129"/>
      <c r="AF141" s="23" t="s">
        <v>179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0" t="s">
        <v>24</v>
      </c>
      <c r="H142" s="44">
        <v>1.0</v>
      </c>
      <c r="I142" s="44" t="s">
        <v>143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45" t="s">
        <v>29</v>
      </c>
      <c r="AF142" s="23" t="s">
        <v>127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8"/>
      <c r="D143" s="98"/>
      <c r="E143" s="44" t="s">
        <v>113</v>
      </c>
      <c r="F143" s="98"/>
      <c r="G143" s="90" t="s">
        <v>24</v>
      </c>
      <c r="H143" s="67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124" t="s">
        <v>111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127</v>
      </c>
      <c r="F144" s="12">
        <v>6.0</v>
      </c>
      <c r="G144" s="90" t="s">
        <v>24</v>
      </c>
      <c r="H144" s="44">
        <v>3.0</v>
      </c>
      <c r="I144" s="44" t="s">
        <v>180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0" t="s">
        <v>24</v>
      </c>
      <c r="H145" s="44">
        <v>6.0</v>
      </c>
      <c r="I145" s="44" t="s">
        <v>179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52">
        <v>4.0</v>
      </c>
      <c r="AF145" s="23" t="s">
        <v>113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89</v>
      </c>
      <c r="E146" s="44" t="s">
        <v>180</v>
      </c>
      <c r="F146" s="44">
        <v>8.0</v>
      </c>
      <c r="G146" s="90" t="s">
        <v>24</v>
      </c>
      <c r="H146" s="44">
        <v>4.0</v>
      </c>
      <c r="I146" s="44" t="s">
        <v>178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52">
        <v>5.0</v>
      </c>
      <c r="AF146" s="23" t="s">
        <v>180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89</v>
      </c>
      <c r="E147" s="44" t="s">
        <v>60</v>
      </c>
      <c r="F147" s="44">
        <v>5.0</v>
      </c>
      <c r="G147" s="90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52">
        <v>6.0</v>
      </c>
      <c r="AF147" s="23" t="s">
        <v>178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89</v>
      </c>
      <c r="E148" s="44" t="s">
        <v>143</v>
      </c>
      <c r="F148" s="44">
        <v>1.0</v>
      </c>
      <c r="G148" s="90" t="s">
        <v>24</v>
      </c>
      <c r="H148" s="44">
        <v>5.0</v>
      </c>
      <c r="I148" s="44" t="s">
        <v>113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89</v>
      </c>
      <c r="E149" s="44" t="s">
        <v>179</v>
      </c>
      <c r="F149" s="44">
        <v>3.0</v>
      </c>
      <c r="G149" s="90" t="s">
        <v>24</v>
      </c>
      <c r="H149" s="44">
        <v>1.0</v>
      </c>
      <c r="I149" s="44" t="s">
        <v>127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52">
        <v>8.0</v>
      </c>
      <c r="AF149" s="23" t="s">
        <v>143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0"/>
      <c r="D150" s="90"/>
      <c r="E150" s="44">
        <v>0.0</v>
      </c>
      <c r="F150" s="67"/>
      <c r="G150" s="90" t="s">
        <v>24</v>
      </c>
      <c r="H150" s="67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35" t="s">
        <v>182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89</v>
      </c>
      <c r="E151" s="44" t="s">
        <v>178</v>
      </c>
      <c r="F151" s="44">
        <v>3.0</v>
      </c>
      <c r="G151" s="90" t="s">
        <v>24</v>
      </c>
      <c r="H151" s="44">
        <v>11.0</v>
      </c>
      <c r="I151" s="44" t="s">
        <v>179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79" t="s">
        <v>175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89</v>
      </c>
      <c r="E152" s="44" t="s">
        <v>65</v>
      </c>
      <c r="F152" s="44">
        <v>4.0</v>
      </c>
      <c r="G152" s="90" t="s">
        <v>24</v>
      </c>
      <c r="H152" s="44">
        <v>6.0</v>
      </c>
      <c r="I152" s="44" t="s">
        <v>180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G152" s="63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89</v>
      </c>
      <c r="E153" s="44" t="s">
        <v>113</v>
      </c>
      <c r="F153" s="44">
        <v>0.0</v>
      </c>
      <c r="G153" s="90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G153" s="63"/>
      <c r="AJ153" s="4"/>
      <c r="AK153" s="4"/>
      <c r="AL153" s="4"/>
      <c r="AM153" s="4"/>
      <c r="AN153" s="4"/>
    </row>
    <row r="154" ht="15.75" customHeight="1">
      <c r="A154" s="25"/>
      <c r="B154" s="128"/>
      <c r="C154" s="94"/>
      <c r="D154" s="98"/>
      <c r="E154" s="44" t="s">
        <v>143</v>
      </c>
      <c r="F154" s="67"/>
      <c r="G154" s="90" t="s">
        <v>24</v>
      </c>
      <c r="H154" s="67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G154" s="63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89</v>
      </c>
      <c r="E155" s="44" t="s">
        <v>127</v>
      </c>
      <c r="F155" s="44">
        <v>7.0</v>
      </c>
      <c r="G155" s="90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89</v>
      </c>
      <c r="E156" s="44" t="s">
        <v>61</v>
      </c>
      <c r="F156" s="44">
        <v>4.0</v>
      </c>
      <c r="G156" s="90" t="s">
        <v>24</v>
      </c>
      <c r="H156" s="44">
        <v>8.0</v>
      </c>
      <c r="I156" s="44" t="s">
        <v>178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89</v>
      </c>
      <c r="E157" s="44" t="s">
        <v>179</v>
      </c>
      <c r="F157" s="44">
        <v>3.0</v>
      </c>
      <c r="G157" s="90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53</v>
      </c>
      <c r="D158" s="12" t="s">
        <v>89</v>
      </c>
      <c r="E158" s="44" t="s">
        <v>180</v>
      </c>
      <c r="F158" s="44">
        <v>1.0</v>
      </c>
      <c r="G158" s="90" t="s">
        <v>24</v>
      </c>
      <c r="H158" s="44">
        <v>3.0</v>
      </c>
      <c r="I158" s="44" t="s">
        <v>113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89</v>
      </c>
      <c r="E159" s="44" t="s">
        <v>60</v>
      </c>
      <c r="F159" s="44">
        <v>9.0</v>
      </c>
      <c r="G159" s="90" t="s">
        <v>24</v>
      </c>
      <c r="H159" s="44">
        <v>0.0</v>
      </c>
      <c r="I159" s="44" t="s">
        <v>143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0"/>
      <c r="D160" s="90"/>
      <c r="E160" s="44">
        <v>0.0</v>
      </c>
      <c r="F160" s="67"/>
      <c r="G160" s="90" t="s">
        <v>24</v>
      </c>
      <c r="H160" s="67"/>
      <c r="I160" s="44" t="s">
        <v>127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89</v>
      </c>
      <c r="E161" s="44" t="s">
        <v>178</v>
      </c>
      <c r="F161" s="44">
        <v>0.0</v>
      </c>
      <c r="G161" s="90" t="s">
        <v>24</v>
      </c>
      <c r="H161" s="44">
        <v>11.0</v>
      </c>
      <c r="I161" s="44" t="s">
        <v>127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89</v>
      </c>
      <c r="E162" s="44" t="s">
        <v>65</v>
      </c>
      <c r="F162" s="44">
        <v>3.0</v>
      </c>
      <c r="G162" s="90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53</v>
      </c>
      <c r="D163" s="12" t="s">
        <v>89</v>
      </c>
      <c r="E163" s="44" t="s">
        <v>113</v>
      </c>
      <c r="F163" s="44">
        <v>3.0</v>
      </c>
      <c r="G163" s="90" t="s">
        <v>24</v>
      </c>
      <c r="H163" s="44">
        <v>6.0</v>
      </c>
      <c r="I163" s="44" t="s">
        <v>179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183</v>
      </c>
      <c r="D164" s="12" t="s">
        <v>22</v>
      </c>
      <c r="E164" s="44" t="s">
        <v>143</v>
      </c>
      <c r="F164" s="44">
        <v>1.0</v>
      </c>
      <c r="G164" s="90" t="s">
        <v>24</v>
      </c>
      <c r="H164" s="44">
        <v>9.0</v>
      </c>
      <c r="I164" s="44" t="s">
        <v>180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0"/>
      <c r="D165" s="12"/>
      <c r="E165" s="44" t="s">
        <v>60</v>
      </c>
      <c r="F165" s="67"/>
      <c r="G165" s="90" t="s">
        <v>24</v>
      </c>
      <c r="H165" s="67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0"/>
      <c r="D166" s="90"/>
      <c r="E166" s="44">
        <v>0.0</v>
      </c>
      <c r="F166" s="67"/>
      <c r="G166" s="90" t="s">
        <v>24</v>
      </c>
      <c r="H166" s="67"/>
      <c r="I166" s="44" t="s">
        <v>178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89</v>
      </c>
      <c r="E167" s="44" t="s">
        <v>127</v>
      </c>
      <c r="F167" s="44">
        <v>1.0</v>
      </c>
      <c r="G167" s="90" t="s">
        <v>24</v>
      </c>
      <c r="H167" s="44">
        <v>3.0</v>
      </c>
      <c r="I167" s="44" t="s">
        <v>65</v>
      </c>
      <c r="J167" s="63"/>
      <c r="K167" s="4">
        <f t="shared" si="20"/>
        <v>0</v>
      </c>
      <c r="L167" s="18">
        <f t="shared" si="21"/>
        <v>3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0" t="s">
        <v>24</v>
      </c>
      <c r="H168" s="44">
        <v>4.0</v>
      </c>
      <c r="I168" s="44" t="s">
        <v>113</v>
      </c>
      <c r="J168" s="63"/>
      <c r="K168" s="4">
        <f t="shared" si="20"/>
        <v>0</v>
      </c>
      <c r="L168" s="18">
        <f t="shared" si="21"/>
        <v>3</v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179</v>
      </c>
      <c r="F169" s="44">
        <v>7.0</v>
      </c>
      <c r="G169" s="90" t="s">
        <v>24</v>
      </c>
      <c r="H169" s="44">
        <v>1.0</v>
      </c>
      <c r="I169" s="17" t="s">
        <v>143</v>
      </c>
      <c r="J169" s="63"/>
      <c r="K169" s="4">
        <f t="shared" si="20"/>
        <v>3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180</v>
      </c>
      <c r="F170" s="44">
        <v>2.0</v>
      </c>
      <c r="G170" s="90" t="s">
        <v>24</v>
      </c>
      <c r="H170" s="44">
        <v>8.0</v>
      </c>
      <c r="I170" s="44" t="s">
        <v>60</v>
      </c>
      <c r="J170" s="63"/>
      <c r="K170" s="4">
        <f t="shared" si="20"/>
        <v>0</v>
      </c>
      <c r="L170" s="18">
        <f t="shared" si="21"/>
        <v>3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184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89</v>
      </c>
      <c r="E177" s="44" t="s">
        <v>31</v>
      </c>
      <c r="F177" s="44">
        <v>2.0</v>
      </c>
      <c r="G177" s="90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6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89</v>
      </c>
      <c r="E178" s="44" t="s">
        <v>58</v>
      </c>
      <c r="F178" s="44">
        <v>2.0</v>
      </c>
      <c r="G178" s="90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6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24" t="s">
        <v>111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89</v>
      </c>
      <c r="E179" s="44" t="s">
        <v>125</v>
      </c>
      <c r="F179" s="44">
        <v>1.0</v>
      </c>
      <c r="G179" s="90" t="s">
        <v>24</v>
      </c>
      <c r="H179" s="44">
        <v>1.0</v>
      </c>
      <c r="I179" s="44" t="s">
        <v>153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6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185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169</v>
      </c>
      <c r="D180" s="12" t="s">
        <v>89</v>
      </c>
      <c r="E180" s="44" t="s">
        <v>37</v>
      </c>
      <c r="F180" s="44">
        <v>0.0</v>
      </c>
      <c r="G180" s="90" t="s">
        <v>24</v>
      </c>
      <c r="H180" s="44">
        <v>3.0</v>
      </c>
      <c r="I180" s="44" t="s">
        <v>185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6" t="s">
        <v>125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90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89</v>
      </c>
      <c r="E181" s="44" t="s">
        <v>64</v>
      </c>
      <c r="F181" s="44">
        <v>2.0</v>
      </c>
      <c r="G181" s="90" t="s">
        <v>24</v>
      </c>
      <c r="H181" s="44">
        <v>1.0</v>
      </c>
      <c r="I181" s="44" t="s">
        <v>90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6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153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0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6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125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90</v>
      </c>
      <c r="F183" s="44">
        <v>3.0</v>
      </c>
      <c r="G183" s="90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6" t="s">
        <v>185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0" t="s">
        <v>24</v>
      </c>
      <c r="H184" s="44">
        <v>2.0</v>
      </c>
      <c r="I184" s="44" t="s">
        <v>125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6" t="s">
        <v>153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153</v>
      </c>
      <c r="F185" s="44">
        <v>7.0</v>
      </c>
      <c r="G185" s="90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6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185</v>
      </c>
      <c r="F186" s="44">
        <v>13.0</v>
      </c>
      <c r="G186" s="90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6" t="s">
        <v>90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125</v>
      </c>
      <c r="F187" s="44">
        <v>0.0</v>
      </c>
      <c r="G187" s="90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186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0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175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156</v>
      </c>
      <c r="D189" s="12" t="s">
        <v>89</v>
      </c>
      <c r="E189" s="44" t="s">
        <v>37</v>
      </c>
      <c r="F189" s="44">
        <v>1.0</v>
      </c>
      <c r="G189" s="90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89</v>
      </c>
      <c r="E190" s="44" t="s">
        <v>64</v>
      </c>
      <c r="F190" s="44">
        <v>1.0</v>
      </c>
      <c r="G190" s="90" t="s">
        <v>24</v>
      </c>
      <c r="H190" s="44">
        <v>6.0</v>
      </c>
      <c r="I190" s="44" t="s">
        <v>153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169</v>
      </c>
      <c r="D191" s="12" t="s">
        <v>89</v>
      </c>
      <c r="E191" s="44" t="s">
        <v>90</v>
      </c>
      <c r="F191" s="44">
        <v>1.0</v>
      </c>
      <c r="G191" s="90" t="s">
        <v>24</v>
      </c>
      <c r="H191" s="44">
        <v>2.0</v>
      </c>
      <c r="I191" s="44" t="s">
        <v>185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E191" s="131" t="s">
        <v>103</v>
      </c>
      <c r="AF191" s="82"/>
      <c r="AG191" s="82"/>
      <c r="AH191" s="82"/>
      <c r="AI191" s="82"/>
      <c r="AJ191" s="82"/>
      <c r="AK191" s="82"/>
      <c r="AL191" s="82"/>
      <c r="AM191" s="83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0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E192" s="84"/>
      <c r="AF192" s="85"/>
      <c r="AG192" s="85"/>
      <c r="AH192" s="85"/>
      <c r="AI192" s="85"/>
      <c r="AJ192" s="85"/>
      <c r="AK192" s="85"/>
      <c r="AL192" s="85"/>
      <c r="AM192" s="86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89</v>
      </c>
      <c r="E193" s="44" t="s">
        <v>31</v>
      </c>
      <c r="F193" s="44">
        <v>3.0</v>
      </c>
      <c r="G193" s="90" t="s">
        <v>24</v>
      </c>
      <c r="H193" s="44">
        <v>3.0</v>
      </c>
      <c r="I193" s="44" t="s">
        <v>125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89</v>
      </c>
      <c r="E194" s="44" t="s">
        <v>58</v>
      </c>
      <c r="F194" s="44">
        <v>4.0</v>
      </c>
      <c r="G194" s="90" t="s">
        <v>24</v>
      </c>
      <c r="H194" s="44">
        <v>5.0</v>
      </c>
      <c r="I194" s="44" t="s">
        <v>90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89</v>
      </c>
      <c r="E195" s="44" t="s">
        <v>42</v>
      </c>
      <c r="F195" s="44">
        <v>10.0</v>
      </c>
      <c r="G195" s="90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124" t="s">
        <v>111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89</v>
      </c>
      <c r="E196" s="44" t="s">
        <v>153</v>
      </c>
      <c r="F196" s="44">
        <v>5.0</v>
      </c>
      <c r="G196" s="90" t="s">
        <v>24</v>
      </c>
      <c r="H196" s="44">
        <v>2.0</v>
      </c>
      <c r="I196" s="44" t="s">
        <v>185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22">
        <v>3.0</v>
      </c>
      <c r="AF196" s="23" t="s">
        <v>153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89</v>
      </c>
      <c r="E197" s="44" t="s">
        <v>64</v>
      </c>
      <c r="F197" s="44">
        <v>2.0</v>
      </c>
      <c r="G197" s="90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22">
        <v>4.0</v>
      </c>
      <c r="AF197" s="23" t="s">
        <v>90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89</v>
      </c>
      <c r="E198" s="44" t="s">
        <v>37</v>
      </c>
      <c r="F198" s="44">
        <v>2.0</v>
      </c>
      <c r="G198" s="90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22">
        <v>5.0</v>
      </c>
      <c r="AF198" s="23" t="s">
        <v>185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89</v>
      </c>
      <c r="E199" s="44" t="s">
        <v>125</v>
      </c>
      <c r="F199" s="44">
        <v>3.0</v>
      </c>
      <c r="G199" s="90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22">
        <v>6.0</v>
      </c>
      <c r="AF199" s="23" t="s">
        <v>125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89</v>
      </c>
      <c r="E200" s="44" t="s">
        <v>185</v>
      </c>
      <c r="F200" s="44">
        <v>5.0</v>
      </c>
      <c r="G200" s="90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89</v>
      </c>
      <c r="E201" s="44" t="s">
        <v>90</v>
      </c>
      <c r="F201" s="44">
        <v>2.0</v>
      </c>
      <c r="G201" s="90" t="s">
        <v>24</v>
      </c>
      <c r="H201" s="44">
        <v>0.0</v>
      </c>
      <c r="I201" s="44" t="s">
        <v>153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89</v>
      </c>
      <c r="E202" s="44" t="s">
        <v>39</v>
      </c>
      <c r="F202" s="44">
        <v>3.0</v>
      </c>
      <c r="G202" s="90" t="s">
        <v>24</v>
      </c>
      <c r="H202" s="44">
        <v>3.0</v>
      </c>
      <c r="I202" s="44" t="s">
        <v>185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89</v>
      </c>
      <c r="E203" s="44" t="s">
        <v>31</v>
      </c>
      <c r="F203" s="44">
        <v>4.0</v>
      </c>
      <c r="G203" s="90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89</v>
      </c>
      <c r="E204" s="44" t="s">
        <v>58</v>
      </c>
      <c r="F204" s="44">
        <v>3.0</v>
      </c>
      <c r="G204" s="90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35" t="s">
        <v>187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118</v>
      </c>
      <c r="D205" s="39" t="s">
        <v>22</v>
      </c>
      <c r="E205" s="44" t="s">
        <v>125</v>
      </c>
      <c r="F205" s="44">
        <v>2.0</v>
      </c>
      <c r="G205" s="90" t="s">
        <v>24</v>
      </c>
      <c r="H205" s="44">
        <v>4.0</v>
      </c>
      <c r="I205" s="44" t="s">
        <v>90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79" t="s">
        <v>175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121</v>
      </c>
      <c r="D206" s="39" t="s">
        <v>22</v>
      </c>
      <c r="E206" s="44" t="s">
        <v>42</v>
      </c>
      <c r="F206" s="44">
        <v>8.0</v>
      </c>
      <c r="G206" s="90" t="s">
        <v>24</v>
      </c>
      <c r="H206" s="44">
        <v>3.0</v>
      </c>
      <c r="I206" s="44" t="s">
        <v>153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153</v>
      </c>
      <c r="F207" s="44">
        <v>0.0</v>
      </c>
      <c r="G207" s="90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185</v>
      </c>
      <c r="F208" s="44">
        <v>2.0</v>
      </c>
      <c r="G208" s="90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89</v>
      </c>
      <c r="E209" s="44" t="s">
        <v>64</v>
      </c>
      <c r="F209" s="44">
        <v>3.0</v>
      </c>
      <c r="G209" s="90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89</v>
      </c>
      <c r="E210" s="44" t="s">
        <v>37</v>
      </c>
      <c r="F210" s="44">
        <v>0.0</v>
      </c>
      <c r="G210" s="90" t="s">
        <v>24</v>
      </c>
      <c r="H210" s="44">
        <v>3.0</v>
      </c>
      <c r="I210" s="44" t="s">
        <v>125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89</v>
      </c>
      <c r="E211" s="44" t="s">
        <v>90</v>
      </c>
      <c r="F211" s="44">
        <v>2.0</v>
      </c>
      <c r="G211" s="90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0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0" t="s">
        <v>24</v>
      </c>
      <c r="H213" s="44">
        <v>8.0</v>
      </c>
      <c r="I213" s="44" t="s">
        <v>153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89</v>
      </c>
      <c r="E214" s="44" t="s">
        <v>58</v>
      </c>
      <c r="F214" s="44">
        <v>2.0</v>
      </c>
      <c r="G214" s="90" t="s">
        <v>24</v>
      </c>
      <c r="H214" s="44">
        <v>6.0</v>
      </c>
      <c r="I214" s="44" t="s">
        <v>185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89</v>
      </c>
      <c r="E215" s="44" t="s">
        <v>125</v>
      </c>
      <c r="F215" s="44">
        <v>3.0</v>
      </c>
      <c r="G215" s="90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89</v>
      </c>
      <c r="E216" s="44" t="s">
        <v>37</v>
      </c>
      <c r="F216" s="44">
        <v>3.0</v>
      </c>
      <c r="G216" s="90" t="s">
        <v>24</v>
      </c>
      <c r="H216" s="44">
        <v>17.0</v>
      </c>
      <c r="I216" s="44" t="s">
        <v>90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89</v>
      </c>
      <c r="E217" s="44" t="s">
        <v>90</v>
      </c>
      <c r="F217" s="44">
        <v>2.0</v>
      </c>
      <c r="G217" s="90" t="s">
        <v>24</v>
      </c>
      <c r="H217" s="44">
        <v>2.0</v>
      </c>
      <c r="I217" s="44" t="s">
        <v>39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89</v>
      </c>
      <c r="E218" s="44" t="s">
        <v>42</v>
      </c>
      <c r="F218" s="44">
        <v>5.0</v>
      </c>
      <c r="G218" s="90" t="s">
        <v>24</v>
      </c>
      <c r="H218" s="44">
        <v>1.0</v>
      </c>
      <c r="I218" s="44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89</v>
      </c>
      <c r="E219" s="44" t="s">
        <v>153</v>
      </c>
      <c r="F219" s="44">
        <v>5.0</v>
      </c>
      <c r="G219" s="90" t="s">
        <v>24</v>
      </c>
      <c r="H219" s="44">
        <v>4.0</v>
      </c>
      <c r="I219" s="44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89</v>
      </c>
      <c r="E220" s="44" t="s">
        <v>185</v>
      </c>
      <c r="F220" s="44">
        <v>2.0</v>
      </c>
      <c r="G220" s="90" t="s">
        <v>24</v>
      </c>
      <c r="H220" s="44">
        <v>4.0</v>
      </c>
      <c r="I220" s="17" t="s">
        <v>125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89</v>
      </c>
      <c r="E221" s="44" t="s">
        <v>64</v>
      </c>
      <c r="F221" s="44">
        <v>11.0</v>
      </c>
      <c r="G221" s="90" t="s">
        <v>24</v>
      </c>
      <c r="H221" s="44">
        <v>6.0</v>
      </c>
      <c r="I221" s="44" t="s">
        <v>37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188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73</v>
      </c>
      <c r="B228" s="43"/>
      <c r="C228" s="12"/>
      <c r="D228" s="12"/>
      <c r="E228" s="44" t="s">
        <v>166</v>
      </c>
      <c r="F228" s="13"/>
      <c r="G228" s="16" t="s">
        <v>24</v>
      </c>
      <c r="H228" s="13"/>
      <c r="I228" s="44" t="s">
        <v>60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3"/>
      <c r="C229" s="12"/>
      <c r="D229" s="12"/>
      <c r="E229" s="44" t="s">
        <v>43</v>
      </c>
      <c r="F229" s="13"/>
      <c r="G229" s="16" t="s">
        <v>24</v>
      </c>
      <c r="H229" s="13"/>
      <c r="I229" s="44" t="s">
        <v>42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102" t="s">
        <v>81</v>
      </c>
      <c r="B230" s="43"/>
      <c r="C230" s="12"/>
      <c r="D230" s="12"/>
      <c r="E230" s="44" t="s">
        <v>82</v>
      </c>
      <c r="F230" s="13"/>
      <c r="G230" s="16" t="s">
        <v>24</v>
      </c>
      <c r="H230" s="13"/>
      <c r="I230" s="44" t="s">
        <v>83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189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3"/>
      <c r="C237" s="12"/>
      <c r="D237" s="12"/>
      <c r="E237" s="44" t="s">
        <v>33</v>
      </c>
      <c r="F237" s="31"/>
      <c r="G237" s="16" t="s">
        <v>24</v>
      </c>
      <c r="H237" s="31"/>
      <c r="I237" s="44" t="s">
        <v>39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3"/>
      <c r="C238" s="12"/>
      <c r="D238" s="12"/>
      <c r="E238" s="44" t="s">
        <v>165</v>
      </c>
      <c r="F238" s="31"/>
      <c r="G238" s="16" t="s">
        <v>24</v>
      </c>
      <c r="H238" s="31"/>
      <c r="I238" s="44" t="s">
        <v>127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3"/>
      <c r="C239" s="12"/>
      <c r="D239" s="12"/>
      <c r="E239" s="44" t="s">
        <v>25</v>
      </c>
      <c r="F239" s="31"/>
      <c r="G239" s="16" t="s">
        <v>24</v>
      </c>
      <c r="H239" s="31"/>
      <c r="I239" s="44" t="s">
        <v>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3"/>
      <c r="C240" s="12"/>
      <c r="D240" s="12"/>
      <c r="E240" s="44" t="s">
        <v>110</v>
      </c>
      <c r="F240" s="31"/>
      <c r="G240" s="16" t="s">
        <v>24</v>
      </c>
      <c r="H240" s="31"/>
      <c r="I240" s="44" t="s">
        <v>107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73</v>
      </c>
      <c r="B241" s="43"/>
      <c r="C241" s="12"/>
      <c r="D241" s="12"/>
      <c r="E241" s="44" t="s">
        <v>74</v>
      </c>
      <c r="F241" s="31"/>
      <c r="G241" s="16" t="s">
        <v>24</v>
      </c>
      <c r="H241" s="31"/>
      <c r="I241" s="44" t="s">
        <v>75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6"/>
      <c r="C242" s="31"/>
      <c r="D242" s="12"/>
      <c r="E242" s="51" t="s">
        <v>76</v>
      </c>
      <c r="F242" s="13"/>
      <c r="G242" s="16" t="s">
        <v>24</v>
      </c>
      <c r="H242" s="13"/>
      <c r="I242" s="44" t="s">
        <v>77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78</v>
      </c>
      <c r="B243" s="30"/>
      <c r="C243" s="31"/>
      <c r="D243" s="12"/>
      <c r="E243" s="44" t="s">
        <v>79</v>
      </c>
      <c r="F243" s="31"/>
      <c r="G243" s="16" t="s">
        <v>24</v>
      </c>
      <c r="H243" s="31"/>
      <c r="I243" s="61" t="s">
        <v>80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81</v>
      </c>
      <c r="B244" s="30"/>
      <c r="C244" s="31"/>
      <c r="D244" s="12"/>
      <c r="E244" s="44" t="s">
        <v>82</v>
      </c>
      <c r="F244" s="31"/>
      <c r="G244" s="16" t="s">
        <v>24</v>
      </c>
      <c r="H244" s="31"/>
      <c r="I244" s="44" t="s">
        <v>83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190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163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191</v>
      </c>
      <c r="E3" s="44" t="s">
        <v>110</v>
      </c>
      <c r="F3" s="17">
        <v>2.0</v>
      </c>
      <c r="G3" s="90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110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191</v>
      </c>
      <c r="E4" s="44" t="s">
        <v>39</v>
      </c>
      <c r="F4" s="17">
        <v>1.0</v>
      </c>
      <c r="G4" s="90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191</v>
      </c>
      <c r="E5" s="44" t="s">
        <v>23</v>
      </c>
      <c r="F5" s="17">
        <v>1.0</v>
      </c>
      <c r="G5" s="90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165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191</v>
      </c>
      <c r="E6" s="44" t="s">
        <v>25</v>
      </c>
      <c r="F6" s="17">
        <v>2.0</v>
      </c>
      <c r="G6" s="90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110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191</v>
      </c>
      <c r="E7" s="44" t="s">
        <v>66</v>
      </c>
      <c r="F7" s="17"/>
      <c r="G7" s="90" t="s">
        <v>24</v>
      </c>
      <c r="H7" s="133"/>
      <c r="I7" s="14" t="s">
        <v>165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191</v>
      </c>
      <c r="E8" s="44" t="s">
        <v>107</v>
      </c>
      <c r="F8" s="15">
        <v>1.0</v>
      </c>
      <c r="G8" s="90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191</v>
      </c>
      <c r="E9" s="44" t="s">
        <v>58</v>
      </c>
      <c r="F9" s="15">
        <v>0.0</v>
      </c>
      <c r="G9" s="90" t="s">
        <v>24</v>
      </c>
      <c r="H9" s="133">
        <v>1.0</v>
      </c>
      <c r="I9" s="44" t="s">
        <v>107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160</v>
      </c>
      <c r="D10" s="12" t="s">
        <v>191</v>
      </c>
      <c r="E10" s="44" t="s">
        <v>63</v>
      </c>
      <c r="F10" s="15">
        <v>1.0</v>
      </c>
      <c r="G10" s="90" t="s">
        <v>24</v>
      </c>
      <c r="H10" s="133">
        <v>8.0</v>
      </c>
      <c r="I10" s="44" t="s">
        <v>110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192</v>
      </c>
      <c r="D11" s="12" t="s">
        <v>191</v>
      </c>
      <c r="E11" s="44" t="s">
        <v>37</v>
      </c>
      <c r="F11" s="15">
        <v>3.0</v>
      </c>
      <c r="G11" s="90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96</v>
      </c>
      <c r="AB11" s="28" t="s">
        <v>107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193</v>
      </c>
      <c r="D12" s="12" t="s">
        <v>191</v>
      </c>
      <c r="E12" s="44" t="s">
        <v>36</v>
      </c>
      <c r="F12" s="17">
        <v>0.0</v>
      </c>
      <c r="G12" s="90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6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194</v>
      </c>
      <c r="D13" s="12" t="s">
        <v>191</v>
      </c>
      <c r="E13" s="14" t="s">
        <v>165</v>
      </c>
      <c r="F13" s="17"/>
      <c r="G13" s="90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165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6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154</v>
      </c>
      <c r="D14" s="12" t="s">
        <v>191</v>
      </c>
      <c r="E14" s="44" t="s">
        <v>33</v>
      </c>
      <c r="F14" s="17">
        <v>6.0</v>
      </c>
      <c r="G14" s="90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107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6">
        <v>12.0</v>
      </c>
      <c r="AB14" s="28" t="s">
        <v>165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191</v>
      </c>
      <c r="E15" s="44" t="s">
        <v>58</v>
      </c>
      <c r="F15" s="17">
        <v>1.0</v>
      </c>
      <c r="G15" s="90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195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191</v>
      </c>
      <c r="E16" s="44" t="s">
        <v>110</v>
      </c>
      <c r="F16" s="17">
        <v>1.0</v>
      </c>
      <c r="G16" s="90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101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191</v>
      </c>
      <c r="E17" s="44" t="s">
        <v>39</v>
      </c>
      <c r="F17" s="17">
        <v>1.0</v>
      </c>
      <c r="G17" s="90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192</v>
      </c>
      <c r="D18" s="12" t="s">
        <v>191</v>
      </c>
      <c r="E18" s="44" t="s">
        <v>23</v>
      </c>
      <c r="F18" s="14"/>
      <c r="G18" s="90" t="s">
        <v>24</v>
      </c>
      <c r="H18" s="133"/>
      <c r="I18" s="14" t="s">
        <v>165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193</v>
      </c>
      <c r="D19" s="12" t="s">
        <v>191</v>
      </c>
      <c r="E19" s="44" t="s">
        <v>25</v>
      </c>
      <c r="F19" s="17">
        <v>2.0</v>
      </c>
      <c r="G19" s="90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194</v>
      </c>
      <c r="D20" s="12" t="s">
        <v>191</v>
      </c>
      <c r="E20" s="44" t="s">
        <v>107</v>
      </c>
      <c r="F20" s="17">
        <v>5.0</v>
      </c>
      <c r="G20" s="90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9">
        <v>46000.0</v>
      </c>
      <c r="C21" s="12" t="s">
        <v>55</v>
      </c>
      <c r="D21" s="12" t="s">
        <v>191</v>
      </c>
      <c r="E21" s="44" t="s">
        <v>63</v>
      </c>
      <c r="F21" s="17">
        <v>4.0</v>
      </c>
      <c r="G21" s="90" t="s">
        <v>24</v>
      </c>
      <c r="H21" s="133">
        <v>1.0</v>
      </c>
      <c r="I21" s="44" t="s">
        <v>107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9">
        <v>46078.0</v>
      </c>
      <c r="C22" s="12" t="s">
        <v>169</v>
      </c>
      <c r="D22" s="12" t="s">
        <v>191</v>
      </c>
      <c r="E22" s="44" t="s">
        <v>37</v>
      </c>
      <c r="F22" s="17">
        <v>5.0</v>
      </c>
      <c r="G22" s="90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9">
        <v>46078.0</v>
      </c>
      <c r="C23" s="12" t="s">
        <v>160</v>
      </c>
      <c r="D23" s="12" t="s">
        <v>191</v>
      </c>
      <c r="E23" s="44" t="s">
        <v>36</v>
      </c>
      <c r="F23" s="17">
        <v>1.0</v>
      </c>
      <c r="G23" s="90" t="s">
        <v>24</v>
      </c>
      <c r="H23" s="133">
        <v>7.0</v>
      </c>
      <c r="I23" s="44" t="s">
        <v>110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9">
        <v>46000.0</v>
      </c>
      <c r="C24" s="39" t="s">
        <v>53</v>
      </c>
      <c r="D24" s="12" t="s">
        <v>191</v>
      </c>
      <c r="E24" s="14" t="s">
        <v>165</v>
      </c>
      <c r="F24" s="17"/>
      <c r="G24" s="90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9">
        <v>46078.0</v>
      </c>
      <c r="C25" s="12" t="s">
        <v>154</v>
      </c>
      <c r="D25" s="12" t="s">
        <v>191</v>
      </c>
      <c r="E25" s="44" t="s">
        <v>33</v>
      </c>
      <c r="F25" s="17">
        <v>1.0</v>
      </c>
      <c r="G25" s="90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9">
        <v>46000.0</v>
      </c>
      <c r="C26" s="12" t="s">
        <v>52</v>
      </c>
      <c r="D26" s="12" t="s">
        <v>191</v>
      </c>
      <c r="E26" s="44" t="s">
        <v>66</v>
      </c>
      <c r="F26" s="17">
        <v>1.0</v>
      </c>
      <c r="G26" s="90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191</v>
      </c>
      <c r="E27" s="44" t="s">
        <v>63</v>
      </c>
      <c r="F27" s="17">
        <v>1.0</v>
      </c>
      <c r="G27" s="90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191</v>
      </c>
      <c r="E28" s="44" t="s">
        <v>58</v>
      </c>
      <c r="F28" s="17">
        <v>1.0</v>
      </c>
      <c r="G28" s="90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191</v>
      </c>
      <c r="E29" s="44" t="s">
        <v>110</v>
      </c>
      <c r="F29" s="17"/>
      <c r="G29" s="90" t="s">
        <v>24</v>
      </c>
      <c r="H29" s="133"/>
      <c r="I29" s="14" t="s">
        <v>165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191</v>
      </c>
      <c r="E30" s="44" t="s">
        <v>39</v>
      </c>
      <c r="F30" s="17">
        <v>1.0</v>
      </c>
      <c r="G30" s="90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191</v>
      </c>
      <c r="E31" s="44" t="s">
        <v>23</v>
      </c>
      <c r="F31" s="17">
        <v>3.0</v>
      </c>
      <c r="G31" s="90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191</v>
      </c>
      <c r="E32" s="55" t="s">
        <v>107</v>
      </c>
      <c r="F32" s="17">
        <v>0.0</v>
      </c>
      <c r="G32" s="90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191</v>
      </c>
      <c r="E33" s="44" t="s">
        <v>37</v>
      </c>
      <c r="F33" s="17">
        <v>5.0</v>
      </c>
      <c r="G33" s="90" t="s">
        <v>24</v>
      </c>
      <c r="H33" s="133">
        <v>0.0</v>
      </c>
      <c r="I33" s="44" t="s">
        <v>107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191</v>
      </c>
      <c r="E34" s="44" t="s">
        <v>36</v>
      </c>
      <c r="F34" s="17">
        <v>7.0</v>
      </c>
      <c r="G34" s="90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191</v>
      </c>
      <c r="E35" s="14" t="s">
        <v>165</v>
      </c>
      <c r="F35" s="17"/>
      <c r="G35" s="90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191</v>
      </c>
      <c r="E36" s="44" t="s">
        <v>33</v>
      </c>
      <c r="F36" s="17">
        <v>3.0</v>
      </c>
      <c r="G36" s="90" t="s">
        <v>24</v>
      </c>
      <c r="H36" s="133">
        <v>0.0</v>
      </c>
      <c r="I36" s="44" t="s">
        <v>110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191</v>
      </c>
      <c r="E37" s="44" t="s">
        <v>66</v>
      </c>
      <c r="F37" s="17">
        <v>1.0</v>
      </c>
      <c r="G37" s="90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191</v>
      </c>
      <c r="E38" s="44" t="s">
        <v>25</v>
      </c>
      <c r="F38" s="17">
        <v>0.0</v>
      </c>
      <c r="G38" s="90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191</v>
      </c>
      <c r="E39" s="44" t="s">
        <v>37</v>
      </c>
      <c r="F39" s="17">
        <v>2.0</v>
      </c>
      <c r="G39" s="90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191</v>
      </c>
      <c r="E40" s="44" t="s">
        <v>63</v>
      </c>
      <c r="F40" s="90"/>
      <c r="G40" s="90" t="s">
        <v>24</v>
      </c>
      <c r="H40" s="138"/>
      <c r="I40" s="14" t="s">
        <v>165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191</v>
      </c>
      <c r="E41" s="44" t="s">
        <v>58</v>
      </c>
      <c r="F41" s="17">
        <v>0.0</v>
      </c>
      <c r="G41" s="90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191</v>
      </c>
      <c r="E42" s="44" t="s">
        <v>110</v>
      </c>
      <c r="F42" s="17">
        <v>6.0</v>
      </c>
      <c r="G42" s="90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191</v>
      </c>
      <c r="E43" s="44" t="s">
        <v>39</v>
      </c>
      <c r="F43" s="17">
        <v>1.0</v>
      </c>
      <c r="G43" s="90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191</v>
      </c>
      <c r="E44" s="44" t="s">
        <v>107</v>
      </c>
      <c r="F44" s="17">
        <v>2.0</v>
      </c>
      <c r="G44" s="90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191</v>
      </c>
      <c r="E45" s="44" t="s">
        <v>36</v>
      </c>
      <c r="F45" s="17">
        <v>5.0</v>
      </c>
      <c r="G45" s="90" t="s">
        <v>24</v>
      </c>
      <c r="H45" s="133">
        <v>1.0</v>
      </c>
      <c r="I45" s="44" t="s">
        <v>107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191</v>
      </c>
      <c r="E46" s="14" t="s">
        <v>165</v>
      </c>
      <c r="F46" s="90"/>
      <c r="G46" s="90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191</v>
      </c>
      <c r="E47" s="44" t="s">
        <v>33</v>
      </c>
      <c r="F47" s="17">
        <v>8.0</v>
      </c>
      <c r="G47" s="90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191</v>
      </c>
      <c r="E48" s="44" t="s">
        <v>66</v>
      </c>
      <c r="F48" s="17">
        <v>3.0</v>
      </c>
      <c r="G48" s="90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191</v>
      </c>
      <c r="E49" s="44" t="s">
        <v>25</v>
      </c>
      <c r="F49" s="17">
        <v>7.0</v>
      </c>
      <c r="G49" s="90" t="s">
        <v>24</v>
      </c>
      <c r="H49" s="133">
        <v>0.0</v>
      </c>
      <c r="I49" s="44" t="s">
        <v>110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191</v>
      </c>
      <c r="E50" s="44" t="s">
        <v>23</v>
      </c>
      <c r="F50" s="17">
        <v>2.0</v>
      </c>
      <c r="G50" s="90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0"/>
      <c r="G51" s="90" t="s">
        <v>24</v>
      </c>
      <c r="H51" s="138"/>
      <c r="I51" s="14" t="s">
        <v>165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191</v>
      </c>
      <c r="E52" s="44" t="s">
        <v>37</v>
      </c>
      <c r="F52" s="17">
        <v>1.0</v>
      </c>
      <c r="G52" s="90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191</v>
      </c>
      <c r="E53" s="44" t="s">
        <v>63</v>
      </c>
      <c r="F53" s="17">
        <v>3.0</v>
      </c>
      <c r="G53" s="90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191</v>
      </c>
      <c r="E54" s="44" t="s">
        <v>58</v>
      </c>
      <c r="F54" s="17">
        <v>0.0</v>
      </c>
      <c r="G54" s="90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191</v>
      </c>
      <c r="E55" s="44" t="s">
        <v>110</v>
      </c>
      <c r="F55" s="17">
        <v>2.0</v>
      </c>
      <c r="G55" s="90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191</v>
      </c>
      <c r="E56" s="14" t="s">
        <v>107</v>
      </c>
      <c r="F56" s="17">
        <v>0.0</v>
      </c>
      <c r="G56" s="90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107</v>
      </c>
      <c r="F57" s="31"/>
      <c r="G57" s="90" t="s">
        <v>24</v>
      </c>
      <c r="H57" s="138"/>
      <c r="I57" s="14" t="s">
        <v>165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191</v>
      </c>
      <c r="E58" s="44" t="s">
        <v>33</v>
      </c>
      <c r="F58" s="15">
        <v>2.0</v>
      </c>
      <c r="G58" s="90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191</v>
      </c>
      <c r="E59" s="44" t="s">
        <v>66</v>
      </c>
      <c r="F59" s="13">
        <v>0.0</v>
      </c>
      <c r="G59" s="90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191</v>
      </c>
      <c r="E60" s="44" t="s">
        <v>25</v>
      </c>
      <c r="F60" s="13">
        <v>3.0</v>
      </c>
      <c r="G60" s="90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191</v>
      </c>
      <c r="E61" s="44" t="s">
        <v>23</v>
      </c>
      <c r="F61" s="13">
        <v>3.0</v>
      </c>
      <c r="G61" s="90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191</v>
      </c>
      <c r="E62" s="44" t="s">
        <v>39</v>
      </c>
      <c r="F62" s="13">
        <v>0.0</v>
      </c>
      <c r="G62" s="90" t="s">
        <v>24</v>
      </c>
      <c r="H62" s="133">
        <v>1.0</v>
      </c>
      <c r="I62" s="44" t="s">
        <v>110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165</v>
      </c>
      <c r="F63" s="90"/>
      <c r="G63" s="90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9">
        <v>46149.0</v>
      </c>
      <c r="C64" s="12" t="s">
        <v>55</v>
      </c>
      <c r="D64" s="12" t="s">
        <v>191</v>
      </c>
      <c r="E64" s="44" t="s">
        <v>36</v>
      </c>
      <c r="F64" s="17">
        <v>2.0</v>
      </c>
      <c r="G64" s="90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191</v>
      </c>
      <c r="E65" s="44" t="s">
        <v>37</v>
      </c>
      <c r="F65" s="17">
        <v>1.0</v>
      </c>
      <c r="G65" s="90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191</v>
      </c>
      <c r="E66" s="44" t="s">
        <v>63</v>
      </c>
      <c r="F66" s="17">
        <v>0.0</v>
      </c>
      <c r="G66" s="90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191</v>
      </c>
      <c r="E67" s="44" t="s">
        <v>58</v>
      </c>
      <c r="F67" s="17">
        <v>0.0</v>
      </c>
      <c r="G67" s="90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191</v>
      </c>
      <c r="E68" s="44" t="s">
        <v>110</v>
      </c>
      <c r="F68" s="17">
        <v>2.0</v>
      </c>
      <c r="G68" s="90" t="s">
        <v>24</v>
      </c>
      <c r="H68" s="133">
        <v>1.0</v>
      </c>
      <c r="I68" s="44" t="s">
        <v>107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196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191</v>
      </c>
      <c r="E75" s="17" t="s">
        <v>61</v>
      </c>
      <c r="F75" s="91">
        <v>1.0</v>
      </c>
      <c r="G75" s="90" t="s">
        <v>24</v>
      </c>
      <c r="H75" s="91">
        <v>5.0</v>
      </c>
      <c r="I75" s="17" t="s">
        <v>197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197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191</v>
      </c>
      <c r="E76" s="17" t="s">
        <v>32</v>
      </c>
      <c r="F76" s="91"/>
      <c r="G76" s="90" t="s">
        <v>24</v>
      </c>
      <c r="H76" s="91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111</v>
      </c>
      <c r="AB76" s="23" t="s">
        <v>93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191</v>
      </c>
      <c r="E77" s="44" t="s">
        <v>43</v>
      </c>
      <c r="F77" s="91">
        <v>1.0</v>
      </c>
      <c r="G77" s="90" t="s">
        <v>24</v>
      </c>
      <c r="H77" s="91">
        <v>4.0</v>
      </c>
      <c r="I77" s="44" t="s">
        <v>93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127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125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191</v>
      </c>
      <c r="E78" s="17" t="s">
        <v>125</v>
      </c>
      <c r="F78" s="91">
        <v>7.0</v>
      </c>
      <c r="G78" s="90"/>
      <c r="H78" s="91">
        <v>2.0</v>
      </c>
      <c r="I78" s="44" t="s">
        <v>127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127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191</v>
      </c>
      <c r="E79" s="17" t="s">
        <v>197</v>
      </c>
      <c r="F79" s="91">
        <v>1.0</v>
      </c>
      <c r="G79" s="90"/>
      <c r="H79" s="91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197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191</v>
      </c>
      <c r="E80" s="44" t="s">
        <v>127</v>
      </c>
      <c r="F80" s="15">
        <v>7.0</v>
      </c>
      <c r="G80" s="90" t="s">
        <v>24</v>
      </c>
      <c r="H80" s="91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125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191</v>
      </c>
      <c r="E81" s="14" t="s">
        <v>45</v>
      </c>
      <c r="F81" s="15"/>
      <c r="G81" s="90" t="s">
        <v>24</v>
      </c>
      <c r="H81" s="91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93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191</v>
      </c>
      <c r="E82" s="17" t="s">
        <v>93</v>
      </c>
      <c r="F82" s="15">
        <v>1.0</v>
      </c>
      <c r="G82" s="90" t="s">
        <v>24</v>
      </c>
      <c r="H82" s="91">
        <v>1.0</v>
      </c>
      <c r="I82" s="17" t="s">
        <v>125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191</v>
      </c>
      <c r="E83" s="17" t="s">
        <v>43</v>
      </c>
      <c r="F83" s="15">
        <v>3.0</v>
      </c>
      <c r="G83" s="90" t="s">
        <v>24</v>
      </c>
      <c r="H83" s="91">
        <v>3.0</v>
      </c>
      <c r="I83" s="17" t="s">
        <v>197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198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191</v>
      </c>
      <c r="E84" s="17" t="s">
        <v>32</v>
      </c>
      <c r="F84" s="15">
        <v>4.0</v>
      </c>
      <c r="G84" s="90" t="s">
        <v>24</v>
      </c>
      <c r="H84" s="91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101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169</v>
      </c>
      <c r="D85" s="39" t="s">
        <v>191</v>
      </c>
      <c r="E85" s="17" t="s">
        <v>125</v>
      </c>
      <c r="F85" s="91"/>
      <c r="G85" s="90" t="s">
        <v>24</v>
      </c>
      <c r="H85" s="91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169</v>
      </c>
      <c r="D86" s="39" t="s">
        <v>191</v>
      </c>
      <c r="E86" s="44" t="s">
        <v>127</v>
      </c>
      <c r="F86" s="91">
        <v>1.0</v>
      </c>
      <c r="G86" s="90" t="s">
        <v>24</v>
      </c>
      <c r="H86" s="91">
        <v>5.0</v>
      </c>
      <c r="I86" s="17" t="s">
        <v>93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191</v>
      </c>
      <c r="E87" s="17" t="s">
        <v>197</v>
      </c>
      <c r="F87" s="91">
        <v>3.0</v>
      </c>
      <c r="G87" s="90" t="s">
        <v>24</v>
      </c>
      <c r="H87" s="91">
        <v>3.0</v>
      </c>
      <c r="I87" s="17" t="s">
        <v>125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191</v>
      </c>
      <c r="E88" s="17" t="s">
        <v>61</v>
      </c>
      <c r="F88" s="91">
        <v>1.0</v>
      </c>
      <c r="G88" s="90" t="s">
        <v>24</v>
      </c>
      <c r="H88" s="91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191</v>
      </c>
      <c r="E89" s="44" t="s">
        <v>32</v>
      </c>
      <c r="F89" s="91">
        <v>2.0</v>
      </c>
      <c r="G89" s="90" t="s">
        <v>24</v>
      </c>
      <c r="H89" s="91">
        <v>1.0</v>
      </c>
      <c r="I89" s="44" t="s">
        <v>127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0" t="s">
        <v>24</v>
      </c>
      <c r="H90" s="142"/>
      <c r="I90" s="17" t="s">
        <v>93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191</v>
      </c>
      <c r="E91" s="17" t="s">
        <v>93</v>
      </c>
      <c r="F91" s="91">
        <v>3.0</v>
      </c>
      <c r="G91" s="90" t="s">
        <v>24</v>
      </c>
      <c r="H91" s="91">
        <v>4.0</v>
      </c>
      <c r="I91" s="17" t="s">
        <v>197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191</v>
      </c>
      <c r="E92" s="17" t="s">
        <v>125</v>
      </c>
      <c r="F92" s="91">
        <v>4.0</v>
      </c>
      <c r="G92" s="90" t="s">
        <v>24</v>
      </c>
      <c r="H92" s="91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191</v>
      </c>
      <c r="E93" s="17" t="s">
        <v>43</v>
      </c>
      <c r="F93" s="91">
        <v>0.0</v>
      </c>
      <c r="G93" s="90" t="s">
        <v>24</v>
      </c>
      <c r="H93" s="91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127</v>
      </c>
      <c r="F94" s="142"/>
      <c r="G94" s="90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41"/>
      <c r="C95" s="16"/>
      <c r="D95" s="139"/>
      <c r="E95" s="17" t="s">
        <v>197</v>
      </c>
      <c r="F95" s="142"/>
      <c r="G95" s="90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154</v>
      </c>
      <c r="D96" s="39" t="s">
        <v>191</v>
      </c>
      <c r="E96" s="17" t="s">
        <v>61</v>
      </c>
      <c r="F96" s="91">
        <v>0.0</v>
      </c>
      <c r="G96" s="90" t="s">
        <v>24</v>
      </c>
      <c r="H96" s="91">
        <v>8.0</v>
      </c>
      <c r="I96" s="17" t="s">
        <v>93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152</v>
      </c>
      <c r="D97" s="39" t="s">
        <v>191</v>
      </c>
      <c r="E97" s="17" t="s">
        <v>32</v>
      </c>
      <c r="F97" s="91">
        <v>2.0</v>
      </c>
      <c r="G97" s="90" t="s">
        <v>24</v>
      </c>
      <c r="H97" s="91">
        <v>1.0</v>
      </c>
      <c r="I97" s="17" t="s">
        <v>125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191</v>
      </c>
      <c r="E98" s="44" t="s">
        <v>43</v>
      </c>
      <c r="F98" s="91">
        <v>2.0</v>
      </c>
      <c r="G98" s="90" t="s">
        <v>24</v>
      </c>
      <c r="H98" s="91">
        <v>3.0</v>
      </c>
      <c r="I98" s="44" t="s">
        <v>127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26">
        <v>46111.0</v>
      </c>
      <c r="C99" s="39" t="s">
        <v>52</v>
      </c>
      <c r="D99" s="39" t="s">
        <v>191</v>
      </c>
      <c r="E99" s="44" t="s">
        <v>127</v>
      </c>
      <c r="F99" s="91">
        <v>4.0</v>
      </c>
      <c r="G99" s="90" t="s">
        <v>24</v>
      </c>
      <c r="H99" s="91">
        <v>1.0</v>
      </c>
      <c r="I99" s="44" t="s">
        <v>197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0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191</v>
      </c>
      <c r="E101" s="17" t="s">
        <v>93</v>
      </c>
      <c r="F101" s="91">
        <v>4.0</v>
      </c>
      <c r="G101" s="90" t="s">
        <v>24</v>
      </c>
      <c r="H101" s="91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191</v>
      </c>
      <c r="E102" s="17" t="s">
        <v>125</v>
      </c>
      <c r="F102" s="91">
        <v>3.0</v>
      </c>
      <c r="G102" s="90" t="s">
        <v>24</v>
      </c>
      <c r="H102" s="91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199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191</v>
      </c>
      <c r="E111" s="17" t="s">
        <v>42</v>
      </c>
      <c r="F111" s="91">
        <v>1.0</v>
      </c>
      <c r="G111" s="90" t="s">
        <v>24</v>
      </c>
      <c r="H111" s="91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191</v>
      </c>
      <c r="E112" s="17" t="s">
        <v>60</v>
      </c>
      <c r="F112" s="91">
        <v>7.0</v>
      </c>
      <c r="G112" s="90" t="s">
        <v>24</v>
      </c>
      <c r="H112" s="91">
        <v>0.0</v>
      </c>
      <c r="I112" s="17" t="s">
        <v>109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111</v>
      </c>
      <c r="AB112" s="23" t="s">
        <v>153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191</v>
      </c>
      <c r="E113" s="17" t="s">
        <v>166</v>
      </c>
      <c r="F113" s="91">
        <v>6.0</v>
      </c>
      <c r="G113" s="90" t="s">
        <v>24</v>
      </c>
      <c r="H113" s="91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191</v>
      </c>
      <c r="E114" s="44" t="s">
        <v>31</v>
      </c>
      <c r="F114" s="91">
        <v>4.0</v>
      </c>
      <c r="G114" s="90" t="s">
        <v>24</v>
      </c>
      <c r="H114" s="91">
        <v>3.0</v>
      </c>
      <c r="I114" s="44" t="s">
        <v>153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166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166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0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191</v>
      </c>
      <c r="E116" s="44" t="s">
        <v>65</v>
      </c>
      <c r="F116" s="15">
        <v>0.0</v>
      </c>
      <c r="G116" s="90" t="s">
        <v>24</v>
      </c>
      <c r="H116" s="91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7"/>
      <c r="C117" s="98"/>
      <c r="D117" s="94"/>
      <c r="E117" s="17">
        <v>0.0</v>
      </c>
      <c r="F117" s="16"/>
      <c r="G117" s="90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153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191</v>
      </c>
      <c r="E118" s="17" t="s">
        <v>109</v>
      </c>
      <c r="F118" s="15">
        <v>1.0</v>
      </c>
      <c r="G118" s="90" t="s">
        <v>24</v>
      </c>
      <c r="H118" s="91">
        <v>4.0</v>
      </c>
      <c r="I118" s="17" t="s">
        <v>166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109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191</v>
      </c>
      <c r="E119" s="17" t="s">
        <v>64</v>
      </c>
      <c r="F119" s="15">
        <v>0.0</v>
      </c>
      <c r="G119" s="90" t="s">
        <v>24</v>
      </c>
      <c r="H119" s="91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109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191</v>
      </c>
      <c r="E120" s="17" t="s">
        <v>153</v>
      </c>
      <c r="F120" s="15">
        <v>6.0</v>
      </c>
      <c r="G120" s="90" t="s">
        <v>24</v>
      </c>
      <c r="H120" s="91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200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191</v>
      </c>
      <c r="E121" s="17" t="s">
        <v>166</v>
      </c>
      <c r="F121" s="91">
        <v>2.0</v>
      </c>
      <c r="G121" s="90" t="s">
        <v>24</v>
      </c>
      <c r="H121" s="91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101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191</v>
      </c>
      <c r="E122" s="44" t="s">
        <v>60</v>
      </c>
      <c r="F122" s="91">
        <v>7.0</v>
      </c>
      <c r="G122" s="90" t="s">
        <v>24</v>
      </c>
      <c r="H122" s="91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191</v>
      </c>
      <c r="E123" s="17" t="s">
        <v>31</v>
      </c>
      <c r="F123" s="91">
        <v>4.0</v>
      </c>
      <c r="G123" s="90" t="s">
        <v>24</v>
      </c>
      <c r="H123" s="91">
        <v>3.0</v>
      </c>
      <c r="I123" s="17" t="s">
        <v>109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191</v>
      </c>
      <c r="E124" s="17" t="s">
        <v>59</v>
      </c>
      <c r="F124" s="91">
        <v>2.0</v>
      </c>
      <c r="G124" s="90" t="s">
        <v>24</v>
      </c>
      <c r="H124" s="91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0" t="s">
        <v>24</v>
      </c>
      <c r="H125" s="142"/>
      <c r="I125" s="44" t="s">
        <v>153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191</v>
      </c>
      <c r="E126" s="17" t="s">
        <v>65</v>
      </c>
      <c r="F126" s="91">
        <v>3.0</v>
      </c>
      <c r="G126" s="90" t="s">
        <v>24</v>
      </c>
      <c r="H126" s="91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183</v>
      </c>
      <c r="D127" s="39" t="s">
        <v>191</v>
      </c>
      <c r="E127" s="17" t="s">
        <v>42</v>
      </c>
      <c r="F127" s="91">
        <v>0.0</v>
      </c>
      <c r="G127" s="90" t="s">
        <v>24</v>
      </c>
      <c r="H127" s="91">
        <v>8.0</v>
      </c>
      <c r="I127" s="17" t="s">
        <v>166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7"/>
      <c r="C128" s="94"/>
      <c r="D128" s="39" t="s">
        <v>191</v>
      </c>
      <c r="E128" s="17" t="s">
        <v>60</v>
      </c>
      <c r="F128" s="142"/>
      <c r="G128" s="90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164</v>
      </c>
      <c r="D129" s="39" t="s">
        <v>191</v>
      </c>
      <c r="E129" s="17" t="s">
        <v>109</v>
      </c>
      <c r="F129" s="91">
        <v>2.0</v>
      </c>
      <c r="G129" s="90" t="s">
        <v>24</v>
      </c>
      <c r="H129" s="91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191</v>
      </c>
      <c r="E130" s="44" t="s">
        <v>64</v>
      </c>
      <c r="F130" s="91">
        <v>0.0</v>
      </c>
      <c r="G130" s="90" t="s">
        <v>24</v>
      </c>
      <c r="H130" s="91">
        <v>4.0</v>
      </c>
      <c r="I130" s="44" t="s">
        <v>153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191</v>
      </c>
      <c r="E131" s="17" t="s">
        <v>59</v>
      </c>
      <c r="F131" s="91">
        <v>0.0</v>
      </c>
      <c r="G131" s="90" t="s">
        <v>24</v>
      </c>
      <c r="H131" s="91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191</v>
      </c>
      <c r="E132" s="17" t="s">
        <v>31</v>
      </c>
      <c r="F132" s="91">
        <v>2.0</v>
      </c>
      <c r="G132" s="90" t="s">
        <v>24</v>
      </c>
      <c r="H132" s="91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191</v>
      </c>
      <c r="E133" s="17" t="s">
        <v>166</v>
      </c>
      <c r="F133" s="91">
        <v>1.0</v>
      </c>
      <c r="G133" s="90" t="s">
        <v>24</v>
      </c>
      <c r="H133" s="91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191</v>
      </c>
      <c r="E134" s="44" t="s">
        <v>153</v>
      </c>
      <c r="F134" s="91">
        <v>6.0</v>
      </c>
      <c r="G134" s="90" t="s">
        <v>24</v>
      </c>
      <c r="H134" s="91">
        <v>3.0</v>
      </c>
      <c r="I134" s="44" t="s">
        <v>109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0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191</v>
      </c>
      <c r="E136" s="44" t="s">
        <v>65</v>
      </c>
      <c r="F136" s="91">
        <v>1.0</v>
      </c>
      <c r="G136" s="90" t="s">
        <v>24</v>
      </c>
      <c r="H136" s="91">
        <v>4.0</v>
      </c>
      <c r="I136" s="44" t="s">
        <v>153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191</v>
      </c>
      <c r="E137" s="17" t="s">
        <v>42</v>
      </c>
      <c r="F137" s="91">
        <v>3.0</v>
      </c>
      <c r="G137" s="90" t="s">
        <v>24</v>
      </c>
      <c r="H137" s="91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191</v>
      </c>
      <c r="E138" s="17" t="s">
        <v>60</v>
      </c>
      <c r="F138" s="91">
        <v>3.0</v>
      </c>
      <c r="G138" s="90" t="s">
        <v>24</v>
      </c>
      <c r="H138" s="91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7"/>
      <c r="C139" s="94"/>
      <c r="D139" s="94"/>
      <c r="E139" s="17" t="s">
        <v>166</v>
      </c>
      <c r="F139" s="142"/>
      <c r="G139" s="90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191</v>
      </c>
      <c r="E140" s="17" t="s">
        <v>109</v>
      </c>
      <c r="F140" s="91">
        <v>0.0</v>
      </c>
      <c r="G140" s="90" t="s">
        <v>24</v>
      </c>
      <c r="H140" s="91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191</v>
      </c>
      <c r="E141" s="17" t="s">
        <v>64</v>
      </c>
      <c r="F141" s="91">
        <v>2.0</v>
      </c>
      <c r="G141" s="90" t="s">
        <v>24</v>
      </c>
      <c r="H141" s="91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191</v>
      </c>
      <c r="E142" s="17" t="s">
        <v>153</v>
      </c>
      <c r="F142" s="91">
        <v>8.0</v>
      </c>
      <c r="G142" s="90" t="s">
        <v>24</v>
      </c>
      <c r="H142" s="91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191</v>
      </c>
      <c r="E143" s="17" t="s">
        <v>59</v>
      </c>
      <c r="F143" s="91">
        <v>0.0</v>
      </c>
      <c r="G143" s="90" t="s">
        <v>24</v>
      </c>
      <c r="H143" s="91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191</v>
      </c>
      <c r="E144" s="17" t="s">
        <v>31</v>
      </c>
      <c r="F144" s="91">
        <v>7.0</v>
      </c>
      <c r="G144" s="90" t="s">
        <v>24</v>
      </c>
      <c r="H144" s="91">
        <v>1.0</v>
      </c>
      <c r="I144" s="17" t="s">
        <v>166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0" t="s">
        <v>24</v>
      </c>
      <c r="H145" s="142"/>
      <c r="I145" s="17" t="s">
        <v>109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169</v>
      </c>
      <c r="D146" s="39" t="s">
        <v>191</v>
      </c>
      <c r="E146" s="17" t="s">
        <v>65</v>
      </c>
      <c r="F146" s="91">
        <v>2.0</v>
      </c>
      <c r="G146" s="90" t="s">
        <v>24</v>
      </c>
      <c r="H146" s="91">
        <v>2.0</v>
      </c>
      <c r="I146" s="17" t="s">
        <v>109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160</v>
      </c>
      <c r="D147" s="39" t="s">
        <v>191</v>
      </c>
      <c r="E147" s="17" t="s">
        <v>42</v>
      </c>
      <c r="F147" s="91">
        <v>14.0</v>
      </c>
      <c r="G147" s="90" t="s">
        <v>24</v>
      </c>
      <c r="H147" s="91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191</v>
      </c>
      <c r="E148" s="17" t="s">
        <v>60</v>
      </c>
      <c r="F148" s="91">
        <v>1.0</v>
      </c>
      <c r="G148" s="90" t="s">
        <v>24</v>
      </c>
      <c r="H148" s="91">
        <v>6.0</v>
      </c>
      <c r="I148" s="17" t="s">
        <v>153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191</v>
      </c>
      <c r="E149" s="17" t="s">
        <v>166</v>
      </c>
      <c r="F149" s="91">
        <v>3.0</v>
      </c>
      <c r="G149" s="90" t="s">
        <v>24</v>
      </c>
      <c r="H149" s="91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0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0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191</v>
      </c>
      <c r="E152" s="17" t="s">
        <v>109</v>
      </c>
      <c r="F152" s="91">
        <v>2.0</v>
      </c>
      <c r="G152" s="90" t="s">
        <v>24</v>
      </c>
      <c r="H152" s="91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191</v>
      </c>
      <c r="E153" s="17" t="s">
        <v>64</v>
      </c>
      <c r="F153" s="91">
        <v>6.0</v>
      </c>
      <c r="G153" s="90" t="s">
        <v>24</v>
      </c>
      <c r="H153" s="91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191</v>
      </c>
      <c r="E154" s="17" t="s">
        <v>153</v>
      </c>
      <c r="F154" s="91">
        <v>2.0</v>
      </c>
      <c r="G154" s="90" t="s">
        <v>24</v>
      </c>
      <c r="H154" s="91">
        <v>1.0</v>
      </c>
      <c r="I154" s="17" t="s">
        <v>166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191</v>
      </c>
      <c r="E155" s="17" t="s">
        <v>59</v>
      </c>
      <c r="F155" s="91">
        <v>2.0</v>
      </c>
      <c r="G155" s="90" t="s">
        <v>24</v>
      </c>
      <c r="H155" s="91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201</v>
      </c>
      <c r="H160" s="2"/>
      <c r="I160" s="3"/>
      <c r="J160" s="63"/>
      <c r="K160" s="4" t="str">
        <f t="shared" si="19"/>
        <v/>
      </c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85</v>
      </c>
      <c r="U161" s="9" t="s">
        <v>86</v>
      </c>
      <c r="V161" s="9" t="s">
        <v>87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85</v>
      </c>
      <c r="AK161" s="5" t="s">
        <v>86</v>
      </c>
      <c r="AL161" s="5" t="s">
        <v>87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>
        <v>1.0</v>
      </c>
      <c r="B162" s="43">
        <v>46155.0</v>
      </c>
      <c r="C162" s="12" t="s">
        <v>55</v>
      </c>
      <c r="D162" s="12" t="s">
        <v>191</v>
      </c>
      <c r="E162" s="28" t="s">
        <v>107</v>
      </c>
      <c r="F162" s="13"/>
      <c r="G162" s="16" t="s">
        <v>24</v>
      </c>
      <c r="H162" s="13"/>
      <c r="I162" s="44" t="s">
        <v>93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107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103">
        <v>1.0</v>
      </c>
      <c r="AB162" s="70" t="str">
        <f t="array" ref="AB162:AJ164">SORT(O162:X164,2,FALSE,9,FALSE,8,FALSE())</f>
        <v>Contabilidade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>
        <v>2.0</v>
      </c>
      <c r="B163" s="43"/>
      <c r="C163" s="12"/>
      <c r="D163" s="12"/>
      <c r="E163" s="44" t="s">
        <v>93</v>
      </c>
      <c r="F163" s="13"/>
      <c r="G163" s="16" t="s">
        <v>24</v>
      </c>
      <c r="H163" s="13"/>
      <c r="I163" s="44" t="s">
        <v>153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5" t="s">
        <v>93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103">
        <v>2.0</v>
      </c>
      <c r="AB163" s="70" t="s">
        <v>93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>
        <v>3.0</v>
      </c>
      <c r="B164" s="43"/>
      <c r="C164" s="12"/>
      <c r="D164" s="12"/>
      <c r="E164" s="44" t="s">
        <v>153</v>
      </c>
      <c r="F164" s="13"/>
      <c r="G164" s="16" t="s">
        <v>24</v>
      </c>
      <c r="H164" s="13"/>
      <c r="I164" s="28" t="s">
        <v>107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153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153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202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191</v>
      </c>
      <c r="E171" s="44" t="s">
        <v>23</v>
      </c>
      <c r="F171" s="31"/>
      <c r="G171" s="16" t="s">
        <v>24</v>
      </c>
      <c r="H171" s="31"/>
      <c r="I171" s="17" t="s">
        <v>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191</v>
      </c>
      <c r="E172" s="28" t="s">
        <v>25</v>
      </c>
      <c r="F172" s="31"/>
      <c r="G172" s="16" t="s">
        <v>24</v>
      </c>
      <c r="H172" s="31"/>
      <c r="I172" s="17" t="s">
        <v>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191</v>
      </c>
      <c r="E173" s="28" t="s">
        <v>33</v>
      </c>
      <c r="F173" s="31"/>
      <c r="G173" s="16" t="s">
        <v>24</v>
      </c>
      <c r="H173" s="31"/>
      <c r="I173" s="28" t="s">
        <v>36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191</v>
      </c>
      <c r="E174" s="28" t="s">
        <v>110</v>
      </c>
      <c r="F174" s="31"/>
      <c r="G174" s="16" t="s">
        <v>24</v>
      </c>
      <c r="H174" s="31"/>
      <c r="I174" s="28" t="s">
        <v>37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73</v>
      </c>
      <c r="B175" s="43"/>
      <c r="C175" s="12"/>
      <c r="D175" s="12"/>
      <c r="E175" s="44" t="s">
        <v>74</v>
      </c>
      <c r="F175" s="31"/>
      <c r="G175" s="16" t="s">
        <v>24</v>
      </c>
      <c r="H175" s="31"/>
      <c r="I175" s="44" t="s">
        <v>75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6"/>
      <c r="C176" s="31"/>
      <c r="D176" s="12"/>
      <c r="E176" s="51" t="s">
        <v>76</v>
      </c>
      <c r="F176" s="13"/>
      <c r="G176" s="16" t="s">
        <v>24</v>
      </c>
      <c r="H176" s="13"/>
      <c r="I176" s="44" t="s">
        <v>77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78</v>
      </c>
      <c r="B177" s="30"/>
      <c r="C177" s="31"/>
      <c r="D177" s="12"/>
      <c r="E177" s="44" t="s">
        <v>79</v>
      </c>
      <c r="F177" s="31"/>
      <c r="G177" s="16" t="s">
        <v>24</v>
      </c>
      <c r="H177" s="31"/>
      <c r="I177" s="61" t="s">
        <v>80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81</v>
      </c>
      <c r="B178" s="30"/>
      <c r="C178" s="31"/>
      <c r="D178" s="12"/>
      <c r="E178" s="44" t="s">
        <v>82</v>
      </c>
      <c r="F178" s="31"/>
      <c r="G178" s="16" t="s">
        <v>24</v>
      </c>
      <c r="H178" s="31"/>
      <c r="I178" s="44" t="s">
        <v>83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1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1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1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1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1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1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1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1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1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1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1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1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1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1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1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1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1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1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1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1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1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1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1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1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1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1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1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1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1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1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1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1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1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1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1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1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1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1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1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1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1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1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1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1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1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1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1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1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1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1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1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1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1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1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1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1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1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1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1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1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6" t="s">
        <v>203</v>
      </c>
      <c r="I1" s="147"/>
      <c r="AA1" s="3"/>
      <c r="AB1" s="147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8"/>
      <c r="K3" s="149">
        <f t="shared" ref="K3:K68" si="1">IFS(F3=H3+2,3,F3=H3-2,0,F3=H3+1,2,F3=H3-1,1,F3="","")</f>
        <v>1</v>
      </c>
      <c r="L3" s="150">
        <f t="shared" ref="L3:L68" si="2">IFS(H3=F3+2,3,H3=F3-2,0,H3=F3+1,2,H3=F3-1,1,H3="","")</f>
        <v>2</v>
      </c>
      <c r="M3" s="148"/>
      <c r="N3" s="150">
        <v>1.0</v>
      </c>
      <c r="O3" s="151" t="s">
        <v>23</v>
      </c>
      <c r="P3" s="150">
        <f t="shared" ref="P3:P14" si="3">SUMIF(E$3:E$68,O3,K$3:K$68)+SUMIF(I$3:I$68,O3,L$3:L$68)</f>
        <v>29</v>
      </c>
      <c r="Q3" s="152">
        <f t="shared" ref="Q3:Q14" si="4">COUNTIFS(E$3:E$68,O3,K$3:K$68,2)+COUNTIFS(I$3:I$68,O3,L$3:L$68,2)+COUNTIFS(E$3:E$68,O3,K$3:K$68,3)+COUNTIFS(I$3:I$68,O3,L$3:L$68,3)</f>
        <v>10</v>
      </c>
      <c r="R3" s="152"/>
      <c r="S3" s="153">
        <f t="shared" ref="S3:S14" si="5">COUNTIFS(E$3:E$68,O3,K$3:K$68,1)+COUNTIFS(I$3:I$68,O3,L$3:L$68,1)+COUNTIFS(E$3:E$68,O3,K$3:K$68,0)+COUNTIFS(I$3:I$68,O3,L$3:L$68,0)</f>
        <v>1</v>
      </c>
      <c r="T3" s="150">
        <f t="shared" ref="T3:T14" si="6">SUMIF(E$3:E$68,O3,F$3:F$68)+SUMIF(I$3:I$68,O3,H$3:H$68)</f>
        <v>21</v>
      </c>
      <c r="U3" s="153">
        <f t="shared" ref="U3:U14" si="7">SUMIF(E$3:E$68,O3,H$3:H$68)+SUMIF(I$3:I$68,O3,F$3:F$68)</f>
        <v>4</v>
      </c>
      <c r="V3" s="150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112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153</v>
      </c>
      <c r="P4" s="150">
        <f t="shared" si="3"/>
        <v>22</v>
      </c>
      <c r="Q4" s="152">
        <f t="shared" si="4"/>
        <v>7</v>
      </c>
      <c r="R4" s="152"/>
      <c r="S4" s="153">
        <f t="shared" si="5"/>
        <v>4</v>
      </c>
      <c r="T4" s="150">
        <f t="shared" si="6"/>
        <v>15</v>
      </c>
      <c r="U4" s="153">
        <f t="shared" si="7"/>
        <v>8</v>
      </c>
      <c r="V4" s="150">
        <f t="shared" si="8"/>
        <v>7</v>
      </c>
      <c r="X4" s="137" t="s">
        <v>66</v>
      </c>
      <c r="Y4" s="137">
        <v>2.0</v>
      </c>
      <c r="AA4" s="22" t="s">
        <v>34</v>
      </c>
      <c r="AB4" s="70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197</v>
      </c>
      <c r="J5" s="148"/>
      <c r="K5" s="149">
        <f t="shared" si="1"/>
        <v>0</v>
      </c>
      <c r="L5" s="150">
        <f t="shared" si="2"/>
        <v>3</v>
      </c>
      <c r="M5" s="148"/>
      <c r="N5" s="150">
        <v>3.0</v>
      </c>
      <c r="O5" s="151" t="s">
        <v>25</v>
      </c>
      <c r="P5" s="150">
        <f t="shared" si="3"/>
        <v>30</v>
      </c>
      <c r="Q5" s="152">
        <f t="shared" si="4"/>
        <v>10</v>
      </c>
      <c r="R5" s="152"/>
      <c r="S5" s="153">
        <f t="shared" si="5"/>
        <v>1</v>
      </c>
      <c r="T5" s="150">
        <f t="shared" si="6"/>
        <v>21</v>
      </c>
      <c r="U5" s="153">
        <f t="shared" si="7"/>
        <v>3</v>
      </c>
      <c r="V5" s="150">
        <f t="shared" si="8"/>
        <v>18</v>
      </c>
      <c r="X5" s="137" t="s">
        <v>31</v>
      </c>
      <c r="Y5" s="137">
        <v>1.0</v>
      </c>
      <c r="AA5" s="22" t="s">
        <v>38</v>
      </c>
      <c r="AB5" s="70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110</v>
      </c>
      <c r="P6" s="150">
        <f t="shared" si="3"/>
        <v>10</v>
      </c>
      <c r="Q6" s="152">
        <f t="shared" si="4"/>
        <v>4</v>
      </c>
      <c r="R6" s="152"/>
      <c r="S6" s="153">
        <f t="shared" si="5"/>
        <v>7</v>
      </c>
      <c r="T6" s="150">
        <f t="shared" si="6"/>
        <v>8</v>
      </c>
      <c r="U6" s="153">
        <f t="shared" si="7"/>
        <v>16</v>
      </c>
      <c r="V6" s="150">
        <f t="shared" si="8"/>
        <v>-8</v>
      </c>
      <c r="AA6" s="22" t="s">
        <v>41</v>
      </c>
      <c r="AB6" s="70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110</v>
      </c>
      <c r="F7" s="13">
        <v>2.0</v>
      </c>
      <c r="G7" s="31" t="s">
        <v>24</v>
      </c>
      <c r="H7" s="13">
        <v>0.0</v>
      </c>
      <c r="I7" s="17" t="s">
        <v>66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112</v>
      </c>
      <c r="P7" s="150">
        <f t="shared" si="3"/>
        <v>15</v>
      </c>
      <c r="Q7" s="152">
        <f t="shared" si="4"/>
        <v>5</v>
      </c>
      <c r="R7" s="152"/>
      <c r="S7" s="153">
        <f t="shared" si="5"/>
        <v>6</v>
      </c>
      <c r="T7" s="150">
        <f t="shared" si="6"/>
        <v>11</v>
      </c>
      <c r="U7" s="153">
        <f t="shared" si="7"/>
        <v>13</v>
      </c>
      <c r="V7" s="150">
        <f t="shared" si="8"/>
        <v>-2</v>
      </c>
      <c r="AA7" s="22" t="s">
        <v>44</v>
      </c>
      <c r="AB7" s="70" t="s">
        <v>153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153</v>
      </c>
      <c r="J8" s="148"/>
      <c r="K8" s="149">
        <f t="shared" si="1"/>
        <v>3</v>
      </c>
      <c r="L8" s="150">
        <f t="shared" si="2"/>
        <v>0</v>
      </c>
      <c r="M8" s="148"/>
      <c r="N8" s="150">
        <v>6.0</v>
      </c>
      <c r="O8" s="151" t="s">
        <v>36</v>
      </c>
      <c r="P8" s="150">
        <f t="shared" si="3"/>
        <v>26</v>
      </c>
      <c r="Q8" s="152">
        <f t="shared" si="4"/>
        <v>9</v>
      </c>
      <c r="R8" s="152"/>
      <c r="S8" s="153">
        <f t="shared" si="5"/>
        <v>2</v>
      </c>
      <c r="T8" s="150">
        <f t="shared" si="6"/>
        <v>18</v>
      </c>
      <c r="U8" s="153">
        <f t="shared" si="7"/>
        <v>5</v>
      </c>
      <c r="V8" s="150">
        <f t="shared" si="8"/>
        <v>13</v>
      </c>
      <c r="AA8" s="22" t="s">
        <v>47</v>
      </c>
      <c r="AB8" s="70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197</v>
      </c>
      <c r="P9" s="150">
        <f t="shared" si="3"/>
        <v>9</v>
      </c>
      <c r="Q9" s="152">
        <f t="shared" si="4"/>
        <v>3</v>
      </c>
      <c r="R9" s="152"/>
      <c r="S9" s="153">
        <f t="shared" si="5"/>
        <v>8</v>
      </c>
      <c r="T9" s="150">
        <f t="shared" si="6"/>
        <v>7</v>
      </c>
      <c r="U9" s="153">
        <f t="shared" si="7"/>
        <v>17</v>
      </c>
      <c r="V9" s="150">
        <f t="shared" si="8"/>
        <v>-10</v>
      </c>
      <c r="AA9" s="22">
        <v>7.0</v>
      </c>
      <c r="AB9" s="70" t="s">
        <v>112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112</v>
      </c>
      <c r="F10" s="13">
        <v>0.0</v>
      </c>
      <c r="G10" s="31" t="s">
        <v>24</v>
      </c>
      <c r="H10" s="13">
        <v>2.0</v>
      </c>
      <c r="I10" s="17" t="s">
        <v>23</v>
      </c>
      <c r="J10" s="148"/>
      <c r="K10" s="149">
        <f t="shared" si="1"/>
        <v>0</v>
      </c>
      <c r="L10" s="150">
        <f t="shared" si="2"/>
        <v>3</v>
      </c>
      <c r="M10" s="148"/>
      <c r="N10" s="150">
        <v>8.0</v>
      </c>
      <c r="O10" s="151" t="s">
        <v>32</v>
      </c>
      <c r="P10" s="150">
        <f t="shared" si="3"/>
        <v>6</v>
      </c>
      <c r="Q10" s="152">
        <f t="shared" si="4"/>
        <v>2</v>
      </c>
      <c r="R10" s="152"/>
      <c r="S10" s="153">
        <f t="shared" si="5"/>
        <v>9</v>
      </c>
      <c r="T10" s="150">
        <f t="shared" si="6"/>
        <v>5</v>
      </c>
      <c r="U10" s="153">
        <f t="shared" si="7"/>
        <v>19</v>
      </c>
      <c r="V10" s="150">
        <f t="shared" si="8"/>
        <v>-14</v>
      </c>
      <c r="AA10" s="22">
        <v>8.0</v>
      </c>
      <c r="AB10" s="70" t="s">
        <v>110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197</v>
      </c>
      <c r="F11" s="13">
        <v>0.0</v>
      </c>
      <c r="G11" s="31" t="s">
        <v>24</v>
      </c>
      <c r="H11" s="13">
        <v>2.0</v>
      </c>
      <c r="I11" s="17" t="s">
        <v>31</v>
      </c>
      <c r="J11" s="148"/>
      <c r="K11" s="149">
        <f t="shared" si="1"/>
        <v>0</v>
      </c>
      <c r="L11" s="150">
        <f t="shared" si="2"/>
        <v>3</v>
      </c>
      <c r="M11" s="148"/>
      <c r="N11" s="150">
        <v>9.0</v>
      </c>
      <c r="O11" s="151" t="s">
        <v>43</v>
      </c>
      <c r="P11" s="150">
        <f t="shared" si="3"/>
        <v>17</v>
      </c>
      <c r="Q11" s="152">
        <f t="shared" si="4"/>
        <v>5</v>
      </c>
      <c r="R11" s="152"/>
      <c r="S11" s="153">
        <f t="shared" si="5"/>
        <v>6</v>
      </c>
      <c r="T11" s="150">
        <f t="shared" si="6"/>
        <v>13</v>
      </c>
      <c r="U11" s="153">
        <f t="shared" si="7"/>
        <v>13</v>
      </c>
      <c r="V11" s="150">
        <f t="shared" si="8"/>
        <v>0</v>
      </c>
      <c r="AA11" s="124" t="s">
        <v>96</v>
      </c>
      <c r="AB11" s="70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8"/>
      <c r="K12" s="149">
        <f t="shared" si="1"/>
        <v>2</v>
      </c>
      <c r="L12" s="150">
        <f t="shared" si="2"/>
        <v>1</v>
      </c>
      <c r="M12" s="148"/>
      <c r="N12" s="150">
        <v>10.0</v>
      </c>
      <c r="O12" s="154" t="s">
        <v>31</v>
      </c>
      <c r="P12" s="150">
        <f t="shared" si="3"/>
        <v>10</v>
      </c>
      <c r="Q12" s="152">
        <f t="shared" si="4"/>
        <v>3</v>
      </c>
      <c r="R12" s="152"/>
      <c r="S12" s="153">
        <f t="shared" si="5"/>
        <v>8</v>
      </c>
      <c r="T12" s="150">
        <f t="shared" si="6"/>
        <v>7</v>
      </c>
      <c r="U12" s="153">
        <f t="shared" si="7"/>
        <v>16</v>
      </c>
      <c r="V12" s="150">
        <f t="shared" si="8"/>
        <v>-9</v>
      </c>
      <c r="AA12" s="76">
        <v>10.0</v>
      </c>
      <c r="AB12" s="70" t="s">
        <v>197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66</v>
      </c>
      <c r="P13" s="150">
        <f t="shared" si="3"/>
        <v>1</v>
      </c>
      <c r="Q13" s="152">
        <f t="shared" si="4"/>
        <v>0</v>
      </c>
      <c r="R13" s="152"/>
      <c r="S13" s="153">
        <f t="shared" si="5"/>
        <v>11</v>
      </c>
      <c r="T13" s="150">
        <f t="shared" si="6"/>
        <v>1</v>
      </c>
      <c r="U13" s="153">
        <f t="shared" si="7"/>
        <v>22</v>
      </c>
      <c r="V13" s="150">
        <f t="shared" si="8"/>
        <v>-21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6" t="s">
        <v>35</v>
      </c>
      <c r="D14" s="12" t="s">
        <v>22</v>
      </c>
      <c r="E14" s="17" t="s">
        <v>153</v>
      </c>
      <c r="F14" s="13">
        <v>2.0</v>
      </c>
      <c r="G14" s="31" t="s">
        <v>24</v>
      </c>
      <c r="H14" s="13">
        <v>0.0</v>
      </c>
      <c r="I14" s="17" t="s">
        <v>110</v>
      </c>
      <c r="J14" s="148"/>
      <c r="K14" s="149">
        <f t="shared" si="1"/>
        <v>3</v>
      </c>
      <c r="L14" s="150">
        <f t="shared" si="2"/>
        <v>0</v>
      </c>
      <c r="M14" s="148"/>
      <c r="N14" s="156">
        <v>12.0</v>
      </c>
      <c r="O14" s="155" t="s">
        <v>61</v>
      </c>
      <c r="P14" s="150">
        <f t="shared" si="3"/>
        <v>23</v>
      </c>
      <c r="Q14" s="152">
        <f t="shared" si="4"/>
        <v>8</v>
      </c>
      <c r="S14" s="153">
        <f t="shared" si="5"/>
        <v>3</v>
      </c>
      <c r="T14" s="150">
        <f t="shared" si="6"/>
        <v>17</v>
      </c>
      <c r="U14" s="153">
        <f t="shared" si="7"/>
        <v>8</v>
      </c>
      <c r="V14" s="150">
        <f t="shared" si="8"/>
        <v>9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6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112</v>
      </c>
      <c r="J15" s="148"/>
      <c r="K15" s="149">
        <f t="shared" si="1"/>
        <v>3</v>
      </c>
      <c r="L15" s="150">
        <f t="shared" si="2"/>
        <v>0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207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197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8"/>
      <c r="K17" s="149">
        <f t="shared" si="1"/>
        <v>0</v>
      </c>
      <c r="L17" s="150">
        <f t="shared" si="2"/>
        <v>3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183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8"/>
      <c r="K18" s="149">
        <f t="shared" si="1"/>
        <v>2</v>
      </c>
      <c r="L18" s="150">
        <f t="shared" si="2"/>
        <v>1</v>
      </c>
      <c r="M18" s="148"/>
      <c r="N18" s="148"/>
      <c r="O18" s="148"/>
      <c r="P18" s="148"/>
      <c r="R18" s="148"/>
      <c r="S18" s="148"/>
      <c r="T18" s="148"/>
      <c r="U18" s="148"/>
      <c r="V18" s="148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164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153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110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6" t="s">
        <v>30</v>
      </c>
      <c r="D21" s="12" t="s">
        <v>22</v>
      </c>
      <c r="E21" s="17" t="s">
        <v>112</v>
      </c>
      <c r="F21" s="13">
        <v>2.0</v>
      </c>
      <c r="G21" s="31" t="s">
        <v>24</v>
      </c>
      <c r="H21" s="13">
        <v>0.0</v>
      </c>
      <c r="I21" s="17" t="s">
        <v>61</v>
      </c>
      <c r="J21" s="148"/>
      <c r="K21" s="149">
        <f t="shared" si="1"/>
        <v>3</v>
      </c>
      <c r="L21" s="150">
        <f t="shared" si="2"/>
        <v>0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197</v>
      </c>
      <c r="F22" s="13">
        <v>0.0</v>
      </c>
      <c r="G22" s="31" t="s">
        <v>24</v>
      </c>
      <c r="H22" s="13">
        <v>2.0</v>
      </c>
      <c r="I22" s="17" t="s">
        <v>25</v>
      </c>
      <c r="J22" s="148"/>
      <c r="K22" s="149">
        <f t="shared" si="1"/>
        <v>0</v>
      </c>
      <c r="L22" s="150">
        <f t="shared" si="2"/>
        <v>3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35</v>
      </c>
      <c r="D25" s="12" t="s">
        <v>22</v>
      </c>
      <c r="E25" s="17" t="s">
        <v>153</v>
      </c>
      <c r="F25" s="13">
        <v>2.0</v>
      </c>
      <c r="G25" s="31" t="s">
        <v>24</v>
      </c>
      <c r="H25" s="13">
        <v>0.0</v>
      </c>
      <c r="I25" s="17" t="s">
        <v>32</v>
      </c>
      <c r="J25" s="148"/>
      <c r="K25" s="149">
        <f t="shared" si="1"/>
        <v>3</v>
      </c>
      <c r="L25" s="150">
        <f t="shared" si="2"/>
        <v>0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3"/>
      <c r="AB25" s="147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35</v>
      </c>
      <c r="D26" s="12" t="s">
        <v>22</v>
      </c>
      <c r="E26" s="17" t="s">
        <v>110</v>
      </c>
      <c r="F26" s="13">
        <v>0.0</v>
      </c>
      <c r="G26" s="31" t="s">
        <v>24</v>
      </c>
      <c r="H26" s="13">
        <v>2.0</v>
      </c>
      <c r="I26" s="17" t="s">
        <v>36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3"/>
      <c r="AB26" s="14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112</v>
      </c>
      <c r="F27" s="13">
        <v>1.0</v>
      </c>
      <c r="G27" s="31" t="s">
        <v>24</v>
      </c>
      <c r="H27" s="13">
        <v>2.0</v>
      </c>
      <c r="I27" s="17" t="s">
        <v>197</v>
      </c>
      <c r="J27" s="148"/>
      <c r="K27" s="149">
        <f t="shared" si="1"/>
        <v>1</v>
      </c>
      <c r="L27" s="150">
        <f t="shared" si="2"/>
        <v>2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3"/>
      <c r="AB27" s="147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3"/>
      <c r="AB28" s="147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3"/>
      <c r="AB29" s="147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153</v>
      </c>
      <c r="J30" s="148"/>
      <c r="K30" s="149">
        <f t="shared" si="1"/>
        <v>0</v>
      </c>
      <c r="L30" s="150">
        <f t="shared" si="2"/>
        <v>3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3"/>
      <c r="AB30" s="147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110</v>
      </c>
      <c r="J31" s="148"/>
      <c r="K31" s="149">
        <f t="shared" si="1"/>
        <v>0</v>
      </c>
      <c r="L31" s="150">
        <f t="shared" si="2"/>
        <v>3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3"/>
      <c r="AB31" s="147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3"/>
      <c r="AB32" s="14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197</v>
      </c>
      <c r="F33" s="13">
        <v>0.0</v>
      </c>
      <c r="G33" s="31" t="s">
        <v>24</v>
      </c>
      <c r="H33" s="13">
        <v>2.0</v>
      </c>
      <c r="I33" s="17" t="s">
        <v>61</v>
      </c>
      <c r="J33" s="148"/>
      <c r="K33" s="149">
        <f t="shared" si="1"/>
        <v>0</v>
      </c>
      <c r="L33" s="150">
        <f t="shared" si="2"/>
        <v>3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"/>
      <c r="AB33" s="147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112</v>
      </c>
      <c r="J34" s="148"/>
      <c r="K34" s="149">
        <f t="shared" si="1"/>
        <v>1</v>
      </c>
      <c r="L34" s="150">
        <f t="shared" si="2"/>
        <v>2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3"/>
      <c r="AB34" s="147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3"/>
      <c r="AB35" s="147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35</v>
      </c>
      <c r="D36" s="12" t="s">
        <v>22</v>
      </c>
      <c r="E36" s="17" t="s">
        <v>153</v>
      </c>
      <c r="F36" s="13">
        <v>1.0</v>
      </c>
      <c r="G36" s="31" t="s">
        <v>24</v>
      </c>
      <c r="H36" s="13">
        <v>2.0</v>
      </c>
      <c r="I36" s="17" t="s">
        <v>23</v>
      </c>
      <c r="J36" s="148"/>
      <c r="K36" s="149">
        <f t="shared" si="1"/>
        <v>1</v>
      </c>
      <c r="L36" s="150">
        <f t="shared" si="2"/>
        <v>2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A36" s="3"/>
      <c r="AB36" s="147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35</v>
      </c>
      <c r="D37" s="12" t="s">
        <v>22</v>
      </c>
      <c r="E37" s="17" t="s">
        <v>110</v>
      </c>
      <c r="F37" s="13">
        <v>2.0</v>
      </c>
      <c r="G37" s="31" t="s">
        <v>24</v>
      </c>
      <c r="H37" s="13">
        <v>1.0</v>
      </c>
      <c r="I37" s="17" t="s">
        <v>31</v>
      </c>
      <c r="J37" s="148"/>
      <c r="K37" s="149">
        <f t="shared" si="1"/>
        <v>2</v>
      </c>
      <c r="L37" s="150">
        <f t="shared" si="2"/>
        <v>1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A37" s="3"/>
      <c r="AB37" s="147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8"/>
      <c r="K38" s="149">
        <f t="shared" si="1"/>
        <v>3</v>
      </c>
      <c r="L38" s="150">
        <f t="shared" si="2"/>
        <v>0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A38" s="3"/>
      <c r="AB38" s="14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154</v>
      </c>
      <c r="D39" s="12" t="s">
        <v>22</v>
      </c>
      <c r="E39" s="17" t="s">
        <v>197</v>
      </c>
      <c r="F39" s="13">
        <v>0.0</v>
      </c>
      <c r="G39" s="31" t="s">
        <v>24</v>
      </c>
      <c r="H39" s="13">
        <v>2.0</v>
      </c>
      <c r="I39" s="17" t="s">
        <v>43</v>
      </c>
      <c r="J39" s="148"/>
      <c r="K39" s="149">
        <f t="shared" si="1"/>
        <v>0</v>
      </c>
      <c r="L39" s="150">
        <f t="shared" si="2"/>
        <v>3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A39" s="3"/>
      <c r="AB39" s="147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154</v>
      </c>
      <c r="D40" s="12" t="s">
        <v>22</v>
      </c>
      <c r="E40" s="17" t="s">
        <v>112</v>
      </c>
      <c r="F40" s="13">
        <v>2.0</v>
      </c>
      <c r="G40" s="31" t="s">
        <v>24</v>
      </c>
      <c r="H40" s="13">
        <v>0.0</v>
      </c>
      <c r="I40" s="17" t="s">
        <v>66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A40" s="3"/>
      <c r="AB40" s="147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154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153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A41" s="3"/>
      <c r="AB41" s="147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152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110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A42" s="3"/>
      <c r="AB42" s="147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152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8"/>
      <c r="K43" s="149">
        <f t="shared" si="1"/>
        <v>0</v>
      </c>
      <c r="L43" s="150">
        <f t="shared" si="2"/>
        <v>3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A43" s="3"/>
      <c r="AB43" s="147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152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8"/>
      <c r="K44" s="149">
        <f t="shared" si="1"/>
        <v>3</v>
      </c>
      <c r="L44" s="150">
        <f t="shared" si="2"/>
        <v>0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A44" s="3"/>
      <c r="AB44" s="14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A45" s="3"/>
      <c r="AB45" s="147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197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A46" s="3"/>
      <c r="AB46" s="147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6" t="s">
        <v>49</v>
      </c>
      <c r="D47" s="12" t="s">
        <v>22</v>
      </c>
      <c r="E47" s="17" t="s">
        <v>153</v>
      </c>
      <c r="F47" s="13">
        <v>2.0</v>
      </c>
      <c r="G47" s="31" t="s">
        <v>24</v>
      </c>
      <c r="H47" s="13">
        <v>0.0</v>
      </c>
      <c r="I47" s="17" t="s">
        <v>112</v>
      </c>
      <c r="J47" s="148"/>
      <c r="K47" s="149">
        <f t="shared" si="1"/>
        <v>3</v>
      </c>
      <c r="L47" s="150">
        <f t="shared" si="2"/>
        <v>0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A47" s="3"/>
      <c r="AB47" s="147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6" t="s">
        <v>35</v>
      </c>
      <c r="D48" s="12" t="s">
        <v>22</v>
      </c>
      <c r="E48" s="44" t="s">
        <v>110</v>
      </c>
      <c r="F48" s="13">
        <v>0.0</v>
      </c>
      <c r="G48" s="31" t="s">
        <v>24</v>
      </c>
      <c r="H48" s="13">
        <v>2.0</v>
      </c>
      <c r="I48" s="44" t="s">
        <v>25</v>
      </c>
      <c r="K48" s="149">
        <f t="shared" si="1"/>
        <v>0</v>
      </c>
      <c r="L48" s="150">
        <f t="shared" si="2"/>
        <v>3</v>
      </c>
      <c r="AA48" s="3"/>
      <c r="AB48" s="147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6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49">
        <f t="shared" si="1"/>
        <v>0</v>
      </c>
      <c r="L49" s="150">
        <f t="shared" si="2"/>
        <v>3</v>
      </c>
      <c r="AA49" s="3"/>
      <c r="AB49" s="147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6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49">
        <f t="shared" si="1"/>
        <v>0</v>
      </c>
      <c r="L50" s="150">
        <f t="shared" si="2"/>
        <v>3</v>
      </c>
      <c r="AA50" s="3"/>
      <c r="AB50" s="14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6" t="s">
        <v>121</v>
      </c>
      <c r="D51" s="12" t="s">
        <v>22</v>
      </c>
      <c r="E51" s="17" t="s">
        <v>43</v>
      </c>
      <c r="F51" s="159">
        <v>2.0</v>
      </c>
      <c r="G51" s="31" t="s">
        <v>24</v>
      </c>
      <c r="H51" s="13">
        <v>0.0</v>
      </c>
      <c r="I51" s="17" t="s">
        <v>66</v>
      </c>
      <c r="K51" s="149">
        <f t="shared" si="1"/>
        <v>3</v>
      </c>
      <c r="L51" s="150">
        <f t="shared" si="2"/>
        <v>0</v>
      </c>
      <c r="AA51" s="3"/>
      <c r="AB51" s="147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6" t="s">
        <v>121</v>
      </c>
      <c r="D52" s="12" t="s">
        <v>22</v>
      </c>
      <c r="E52" s="17" t="s">
        <v>197</v>
      </c>
      <c r="F52" s="159">
        <v>0.0</v>
      </c>
      <c r="G52" s="31" t="s">
        <v>24</v>
      </c>
      <c r="H52" s="13">
        <v>2.0</v>
      </c>
      <c r="I52" s="17" t="s">
        <v>153</v>
      </c>
      <c r="K52" s="149">
        <f t="shared" si="1"/>
        <v>0</v>
      </c>
      <c r="L52" s="150">
        <f t="shared" si="2"/>
        <v>3</v>
      </c>
      <c r="AA52" s="3"/>
      <c r="AB52" s="147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6" t="s">
        <v>30</v>
      </c>
      <c r="D53" s="12" t="s">
        <v>22</v>
      </c>
      <c r="E53" s="17" t="s">
        <v>112</v>
      </c>
      <c r="F53" s="159">
        <v>2.0</v>
      </c>
      <c r="G53" s="31" t="s">
        <v>24</v>
      </c>
      <c r="H53" s="13">
        <v>0.0</v>
      </c>
      <c r="I53" s="17" t="s">
        <v>110</v>
      </c>
      <c r="K53" s="149">
        <f t="shared" si="1"/>
        <v>3</v>
      </c>
      <c r="L53" s="150">
        <f t="shared" si="2"/>
        <v>0</v>
      </c>
      <c r="AA53" s="3"/>
      <c r="AB53" s="147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6" t="s">
        <v>121</v>
      </c>
      <c r="D54" s="12" t="s">
        <v>22</v>
      </c>
      <c r="E54" s="17" t="s">
        <v>25</v>
      </c>
      <c r="F54" s="159">
        <v>2.0</v>
      </c>
      <c r="G54" s="31" t="s">
        <v>24</v>
      </c>
      <c r="H54" s="13">
        <v>0.0</v>
      </c>
      <c r="I54" s="17" t="s">
        <v>36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6" t="s">
        <v>156</v>
      </c>
      <c r="D55" s="12" t="s">
        <v>22</v>
      </c>
      <c r="E55" s="17" t="s">
        <v>23</v>
      </c>
      <c r="F55" s="159">
        <v>2.0</v>
      </c>
      <c r="G55" s="31" t="s">
        <v>24</v>
      </c>
      <c r="H55" s="13">
        <v>0.0</v>
      </c>
      <c r="I55" s="17" t="s">
        <v>32</v>
      </c>
      <c r="K55" s="149">
        <f t="shared" si="1"/>
        <v>3</v>
      </c>
      <c r="L55" s="150">
        <f t="shared" si="2"/>
        <v>0</v>
      </c>
      <c r="AA55" s="3"/>
      <c r="AB55" s="147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6" t="s">
        <v>156</v>
      </c>
      <c r="D56" s="12" t="s">
        <v>22</v>
      </c>
      <c r="E56" s="17" t="s">
        <v>61</v>
      </c>
      <c r="F56" s="159">
        <v>2.0</v>
      </c>
      <c r="G56" s="31" t="s">
        <v>24</v>
      </c>
      <c r="H56" s="13">
        <v>0.0</v>
      </c>
      <c r="I56" s="17" t="s">
        <v>31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169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169</v>
      </c>
      <c r="D58" s="12" t="s">
        <v>22</v>
      </c>
      <c r="E58" s="17" t="s">
        <v>153</v>
      </c>
      <c r="F58" s="13">
        <v>2.0</v>
      </c>
      <c r="G58" s="31" t="s">
        <v>24</v>
      </c>
      <c r="H58" s="13">
        <v>0.0</v>
      </c>
      <c r="I58" s="17" t="s">
        <v>43</v>
      </c>
      <c r="K58" s="149">
        <f t="shared" si="1"/>
        <v>3</v>
      </c>
      <c r="L58" s="150">
        <f t="shared" si="2"/>
        <v>0</v>
      </c>
      <c r="AA58" s="3"/>
      <c r="AB58" s="147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169</v>
      </c>
      <c r="D59" s="12" t="s">
        <v>22</v>
      </c>
      <c r="E59" s="17" t="s">
        <v>110</v>
      </c>
      <c r="F59" s="13">
        <v>2.0</v>
      </c>
      <c r="G59" s="31" t="s">
        <v>24</v>
      </c>
      <c r="H59" s="13">
        <v>1.0</v>
      </c>
      <c r="I59" s="17" t="s">
        <v>197</v>
      </c>
      <c r="K59" s="149">
        <f t="shared" si="1"/>
        <v>2</v>
      </c>
      <c r="L59" s="150">
        <f t="shared" si="2"/>
        <v>1</v>
      </c>
      <c r="AA59" s="3"/>
      <c r="AB59" s="147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160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112</v>
      </c>
      <c r="K60" s="149">
        <f t="shared" si="1"/>
        <v>3</v>
      </c>
      <c r="L60" s="150">
        <f t="shared" si="2"/>
        <v>0</v>
      </c>
      <c r="AA60" s="3"/>
      <c r="AB60" s="147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160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49">
        <f t="shared" si="1"/>
        <v>0</v>
      </c>
      <c r="L61" s="150">
        <f t="shared" si="2"/>
        <v>3</v>
      </c>
      <c r="AA61" s="3"/>
      <c r="AB61" s="147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160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153</v>
      </c>
      <c r="K63" s="149">
        <f t="shared" si="1"/>
        <v>0</v>
      </c>
      <c r="L63" s="150">
        <f t="shared" si="2"/>
        <v>3</v>
      </c>
      <c r="AA63" s="3"/>
      <c r="AB63" s="147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110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197</v>
      </c>
      <c r="F65" s="13">
        <v>0.0</v>
      </c>
      <c r="G65" s="31" t="s">
        <v>24</v>
      </c>
      <c r="H65" s="13">
        <v>2.0</v>
      </c>
      <c r="I65" s="17" t="s">
        <v>36</v>
      </c>
      <c r="K65" s="149">
        <f t="shared" si="1"/>
        <v>0</v>
      </c>
      <c r="L65" s="150">
        <f t="shared" si="2"/>
        <v>3</v>
      </c>
      <c r="AA65" s="3"/>
      <c r="AB65" s="147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35</v>
      </c>
      <c r="D66" s="12" t="s">
        <v>22</v>
      </c>
      <c r="E66" s="14" t="s">
        <v>112</v>
      </c>
      <c r="F66" s="13">
        <v>0.0</v>
      </c>
      <c r="G66" s="31" t="s">
        <v>24</v>
      </c>
      <c r="H66" s="13">
        <v>2.0</v>
      </c>
      <c r="I66" s="17" t="s">
        <v>32</v>
      </c>
      <c r="K66" s="149">
        <f t="shared" si="1"/>
        <v>0</v>
      </c>
      <c r="L66" s="150">
        <f t="shared" si="2"/>
        <v>3</v>
      </c>
      <c r="AA66" s="3"/>
      <c r="AB66" s="147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49">
        <f t="shared" si="1"/>
        <v>3</v>
      </c>
      <c r="L67" s="150">
        <f t="shared" si="2"/>
        <v>0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6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49">
        <f t="shared" si="1"/>
        <v>3</v>
      </c>
      <c r="L68" s="150">
        <f t="shared" si="2"/>
        <v>0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</row>
    <row r="72" ht="15.75" customHeight="1">
      <c r="A72" s="146" t="s">
        <v>208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</row>
    <row r="74" ht="15.75" customHeight="1">
      <c r="A74" s="65">
        <v>1.0</v>
      </c>
      <c r="B74" s="11">
        <v>45944.0</v>
      </c>
      <c r="C74" s="12" t="s">
        <v>169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167</v>
      </c>
      <c r="J74" s="148"/>
      <c r="K74" s="149">
        <f t="shared" ref="K74:K139" si="9">IFS(F74=H74+2,3,F74=H74-2,0,F74=H74+1,2,F74=H74-1,1,F74="","")</f>
        <v>1</v>
      </c>
      <c r="L74" s="150">
        <f t="shared" ref="L74:L139" si="10">IFS(H74=F74+2,3,H74=F74-2,0,H74=F74+1,2,H74=F74-1,1,H74="","")</f>
        <v>2</v>
      </c>
      <c r="M74" s="148"/>
      <c r="N74" s="150">
        <v>1.0</v>
      </c>
      <c r="O74" s="151" t="s">
        <v>39</v>
      </c>
      <c r="P74" s="150">
        <f t="shared" ref="P74:P84" si="11">SUMIF(E$74:E$139,O74,K$74:K$139)+SUMIF(I$74:I$139,O74,L$74:L$139)</f>
        <v>7</v>
      </c>
      <c r="Q74" s="152">
        <f t="shared" ref="Q74:Q84" si="12">COUNTIFS(E$74:E$139,O74,K$74:K$139,2)+COUNTIFS(I$74:I$139,O74,L$74:L$139,2)+COUNTIFS(E$74:E$139,O74,K$74:K$139,3)+COUNTIFS(I$74:I$139,O74,L$74:L$139,3)</f>
        <v>1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9</v>
      </c>
      <c r="T74" s="150">
        <f t="shared" ref="T74:T84" si="14">SUMIF(E$74:E$139,O74,F$74:F$139)+SUMIF(I$74:I$139,O74,H$74:H$139)</f>
        <v>6</v>
      </c>
      <c r="U74" s="153">
        <f t="shared" ref="U74:U84" si="15">SUMIF(E$74:E$139,O74,H$74:H$139)+SUMIF(I$74:I$139,O74,F$74:F$139)</f>
        <v>18</v>
      </c>
      <c r="V74" s="150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154</v>
      </c>
      <c r="D75" s="12" t="s">
        <v>22</v>
      </c>
      <c r="E75" s="17" t="s">
        <v>180</v>
      </c>
      <c r="F75" s="13">
        <v>2.0</v>
      </c>
      <c r="G75" s="31" t="s">
        <v>24</v>
      </c>
      <c r="H75" s="13">
        <v>0.0</v>
      </c>
      <c r="I75" s="17" t="s">
        <v>64</v>
      </c>
      <c r="J75" s="148"/>
      <c r="K75" s="149">
        <f t="shared" si="9"/>
        <v>3</v>
      </c>
      <c r="L75" s="150">
        <f t="shared" si="10"/>
        <v>0</v>
      </c>
      <c r="M75" s="148"/>
      <c r="N75" s="150">
        <v>2.0</v>
      </c>
      <c r="O75" s="151" t="s">
        <v>40</v>
      </c>
      <c r="P75" s="150">
        <f t="shared" si="11"/>
        <v>10</v>
      </c>
      <c r="Q75" s="152">
        <f t="shared" si="12"/>
        <v>3</v>
      </c>
      <c r="R75" s="153"/>
      <c r="S75" s="153">
        <f t="shared" si="13"/>
        <v>7</v>
      </c>
      <c r="T75" s="150">
        <f t="shared" si="14"/>
        <v>8</v>
      </c>
      <c r="U75" s="153">
        <f t="shared" si="15"/>
        <v>15</v>
      </c>
      <c r="V75" s="150">
        <f t="shared" si="16"/>
        <v>-7</v>
      </c>
      <c r="X75" s="137" t="s">
        <v>33</v>
      </c>
      <c r="Y75" s="137">
        <v>3.0</v>
      </c>
      <c r="AA75" s="124" t="s">
        <v>111</v>
      </c>
      <c r="AB75" s="70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169</v>
      </c>
      <c r="D76" s="12" t="s">
        <v>22</v>
      </c>
      <c r="E76" s="17" t="s">
        <v>209</v>
      </c>
      <c r="F76" s="13">
        <v>2.0</v>
      </c>
      <c r="G76" s="31" t="s">
        <v>24</v>
      </c>
      <c r="H76" s="13">
        <v>0.0</v>
      </c>
      <c r="I76" s="17" t="s">
        <v>143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167</v>
      </c>
      <c r="P76" s="150">
        <f t="shared" si="11"/>
        <v>18</v>
      </c>
      <c r="Q76" s="152">
        <f t="shared" si="12"/>
        <v>6</v>
      </c>
      <c r="R76" s="153"/>
      <c r="S76" s="153">
        <f t="shared" si="13"/>
        <v>4</v>
      </c>
      <c r="T76" s="150">
        <f t="shared" si="14"/>
        <v>14</v>
      </c>
      <c r="U76" s="153">
        <f t="shared" si="15"/>
        <v>10</v>
      </c>
      <c r="V76" s="150">
        <f t="shared" si="16"/>
        <v>4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160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107</v>
      </c>
      <c r="J77" s="148"/>
      <c r="K77" s="149">
        <f t="shared" si="9"/>
        <v>2</v>
      </c>
      <c r="L77" s="150">
        <f t="shared" si="10"/>
        <v>1</v>
      </c>
      <c r="M77" s="148"/>
      <c r="N77" s="150">
        <v>4.0</v>
      </c>
      <c r="O77" s="151" t="s">
        <v>113</v>
      </c>
      <c r="P77" s="150">
        <f t="shared" si="11"/>
        <v>16</v>
      </c>
      <c r="Q77" s="152">
        <f t="shared" si="12"/>
        <v>6</v>
      </c>
      <c r="R77" s="153"/>
      <c r="S77" s="153">
        <f t="shared" si="13"/>
        <v>4</v>
      </c>
      <c r="T77" s="150">
        <f t="shared" si="14"/>
        <v>13</v>
      </c>
      <c r="U77" s="153">
        <f t="shared" si="15"/>
        <v>11</v>
      </c>
      <c r="V77" s="150">
        <f t="shared" si="16"/>
        <v>2</v>
      </c>
      <c r="AA77" s="22">
        <v>4.0</v>
      </c>
      <c r="AB77" s="70" t="s">
        <v>209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160</v>
      </c>
      <c r="D78" s="12" t="s">
        <v>22</v>
      </c>
      <c r="E78" s="17" t="s">
        <v>113</v>
      </c>
      <c r="F78" s="13">
        <v>0.0</v>
      </c>
      <c r="G78" s="31" t="s">
        <v>24</v>
      </c>
      <c r="H78" s="13">
        <v>2.0</v>
      </c>
      <c r="I78" s="17" t="s">
        <v>68</v>
      </c>
      <c r="J78" s="148"/>
      <c r="K78" s="149">
        <f t="shared" si="9"/>
        <v>0</v>
      </c>
      <c r="L78" s="150">
        <f t="shared" si="10"/>
        <v>3</v>
      </c>
      <c r="M78" s="148"/>
      <c r="N78" s="150">
        <v>5.0</v>
      </c>
      <c r="O78" s="151" t="s">
        <v>64</v>
      </c>
      <c r="P78" s="150">
        <f t="shared" si="11"/>
        <v>16</v>
      </c>
      <c r="Q78" s="152">
        <f t="shared" si="12"/>
        <v>5</v>
      </c>
      <c r="R78" s="153"/>
      <c r="S78" s="153">
        <f t="shared" si="13"/>
        <v>5</v>
      </c>
      <c r="T78" s="150">
        <f t="shared" si="14"/>
        <v>12</v>
      </c>
      <c r="U78" s="153">
        <f t="shared" si="15"/>
        <v>11</v>
      </c>
      <c r="V78" s="150">
        <f t="shared" si="16"/>
        <v>1</v>
      </c>
      <c r="AA78" s="22">
        <v>5.0</v>
      </c>
      <c r="AB78" s="70" t="s">
        <v>113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40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69</v>
      </c>
      <c r="P79" s="150">
        <f t="shared" si="11"/>
        <v>3</v>
      </c>
      <c r="Q79" s="152">
        <f t="shared" si="12"/>
        <v>1</v>
      </c>
      <c r="R79" s="153"/>
      <c r="S79" s="153">
        <f t="shared" si="13"/>
        <v>9</v>
      </c>
      <c r="T79" s="150">
        <f t="shared" si="14"/>
        <v>3</v>
      </c>
      <c r="U79" s="153">
        <f t="shared" si="15"/>
        <v>19</v>
      </c>
      <c r="V79" s="150">
        <f t="shared" si="16"/>
        <v>-16</v>
      </c>
      <c r="AA79" s="22">
        <v>6.0</v>
      </c>
      <c r="AB79" s="70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5">
        <v>2.0</v>
      </c>
      <c r="B80" s="162"/>
      <c r="C80" s="163"/>
      <c r="D80" s="164"/>
      <c r="E80" s="17" t="s">
        <v>167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143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9</v>
      </c>
      <c r="U80" s="153">
        <f t="shared" si="15"/>
        <v>15</v>
      </c>
      <c r="V80" s="150">
        <f t="shared" si="16"/>
        <v>-6</v>
      </c>
      <c r="AA80" s="22">
        <v>7.0</v>
      </c>
      <c r="AB80" s="70" t="s">
        <v>107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160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8"/>
      <c r="K81" s="149">
        <f t="shared" si="9"/>
        <v>3</v>
      </c>
      <c r="L81" s="150">
        <f t="shared" si="10"/>
        <v>0</v>
      </c>
      <c r="M81" s="148"/>
      <c r="N81" s="150">
        <v>8.0</v>
      </c>
      <c r="O81" s="151" t="s">
        <v>209</v>
      </c>
      <c r="P81" s="150">
        <f t="shared" si="11"/>
        <v>17</v>
      </c>
      <c r="Q81" s="152">
        <f t="shared" si="12"/>
        <v>5</v>
      </c>
      <c r="R81" s="153"/>
      <c r="S81" s="153">
        <f t="shared" si="13"/>
        <v>5</v>
      </c>
      <c r="T81" s="150">
        <f t="shared" si="14"/>
        <v>13</v>
      </c>
      <c r="U81" s="153">
        <f t="shared" si="15"/>
        <v>11</v>
      </c>
      <c r="V81" s="150">
        <f t="shared" si="16"/>
        <v>2</v>
      </c>
      <c r="AA81" s="22">
        <v>8.0</v>
      </c>
      <c r="AB81" s="70" t="s">
        <v>143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143</v>
      </c>
      <c r="F82" s="13">
        <v>0.0</v>
      </c>
      <c r="G82" s="31" t="s">
        <v>24</v>
      </c>
      <c r="H82" s="13">
        <v>2.0</v>
      </c>
      <c r="I82" s="17" t="s">
        <v>180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107</v>
      </c>
      <c r="P82" s="150">
        <f t="shared" si="11"/>
        <v>14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12</v>
      </c>
      <c r="U82" s="153">
        <f t="shared" si="15"/>
        <v>13</v>
      </c>
      <c r="V82" s="150">
        <f t="shared" si="16"/>
        <v>-1</v>
      </c>
      <c r="AA82" s="22">
        <v>9.0</v>
      </c>
      <c r="AB82" s="70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107</v>
      </c>
      <c r="F83" s="13">
        <v>2.0</v>
      </c>
      <c r="G83" s="31" t="s">
        <v>24</v>
      </c>
      <c r="H83" s="13">
        <v>1.0</v>
      </c>
      <c r="I83" s="17" t="s">
        <v>209</v>
      </c>
      <c r="J83" s="148"/>
      <c r="K83" s="149">
        <f t="shared" si="9"/>
        <v>2</v>
      </c>
      <c r="L83" s="150">
        <f t="shared" si="10"/>
        <v>1</v>
      </c>
      <c r="M83" s="148"/>
      <c r="N83" s="150">
        <v>10.0</v>
      </c>
      <c r="O83" s="151" t="s">
        <v>180</v>
      </c>
      <c r="P83" s="150">
        <f t="shared" si="11"/>
        <v>28</v>
      </c>
      <c r="Q83" s="152">
        <f t="shared" si="12"/>
        <v>10</v>
      </c>
      <c r="R83" s="153"/>
      <c r="S83" s="153">
        <f t="shared" si="13"/>
        <v>0</v>
      </c>
      <c r="T83" s="150">
        <f t="shared" si="14"/>
        <v>20</v>
      </c>
      <c r="U83" s="153">
        <f t="shared" si="15"/>
        <v>2</v>
      </c>
      <c r="V83" s="150">
        <f t="shared" si="16"/>
        <v>18</v>
      </c>
      <c r="AA83" s="22">
        <v>10.0</v>
      </c>
      <c r="AB83" s="70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68</v>
      </c>
      <c r="P84" s="150">
        <f t="shared" si="11"/>
        <v>26</v>
      </c>
      <c r="Q84" s="152">
        <f t="shared" si="12"/>
        <v>9</v>
      </c>
      <c r="S84" s="153">
        <f t="shared" si="13"/>
        <v>1</v>
      </c>
      <c r="T84" s="150">
        <f t="shared" si="14"/>
        <v>19</v>
      </c>
      <c r="U84" s="153">
        <f t="shared" si="15"/>
        <v>4</v>
      </c>
      <c r="V84" s="150">
        <f t="shared" si="16"/>
        <v>15</v>
      </c>
      <c r="AA84" s="52">
        <v>11.0</v>
      </c>
      <c r="AB84" s="70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113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210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167</v>
      </c>
      <c r="F86" s="13">
        <v>2.0</v>
      </c>
      <c r="G86" s="31" t="s">
        <v>24</v>
      </c>
      <c r="H86" s="13">
        <v>0.0</v>
      </c>
      <c r="I86" s="17" t="s">
        <v>64</v>
      </c>
      <c r="J86" s="148"/>
      <c r="K86" s="149">
        <f t="shared" si="9"/>
        <v>3</v>
      </c>
      <c r="L86" s="150">
        <f t="shared" si="10"/>
        <v>0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143</v>
      </c>
      <c r="J87" s="148"/>
      <c r="K87" s="149">
        <f t="shared" si="9"/>
        <v>1</v>
      </c>
      <c r="L87" s="150">
        <f t="shared" si="10"/>
        <v>2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180</v>
      </c>
      <c r="F88" s="13">
        <v>2.0</v>
      </c>
      <c r="G88" s="31" t="s">
        <v>24</v>
      </c>
      <c r="H88" s="13">
        <v>0.0</v>
      </c>
      <c r="I88" s="17" t="s">
        <v>107</v>
      </c>
      <c r="J88" s="148"/>
      <c r="K88" s="149">
        <f t="shared" si="9"/>
        <v>3</v>
      </c>
      <c r="L88" s="150">
        <f t="shared" si="10"/>
        <v>0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209</v>
      </c>
      <c r="F89" s="13">
        <v>0.0</v>
      </c>
      <c r="G89" s="31" t="s">
        <v>24</v>
      </c>
      <c r="H89" s="13">
        <v>2.0</v>
      </c>
      <c r="I89" s="17" t="s">
        <v>68</v>
      </c>
      <c r="J89" s="158"/>
      <c r="K89" s="149">
        <f t="shared" si="9"/>
        <v>0</v>
      </c>
      <c r="L89" s="150">
        <f t="shared" si="10"/>
        <v>3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113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143</v>
      </c>
      <c r="F93" s="13">
        <v>2.0</v>
      </c>
      <c r="G93" s="31" t="s">
        <v>24</v>
      </c>
      <c r="H93" s="13">
        <v>1.0</v>
      </c>
      <c r="I93" s="17" t="s">
        <v>167</v>
      </c>
      <c r="J93" s="148"/>
      <c r="K93" s="149">
        <f t="shared" si="9"/>
        <v>2</v>
      </c>
      <c r="L93" s="150">
        <f t="shared" si="10"/>
        <v>1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107</v>
      </c>
      <c r="F94" s="13">
        <v>2.0</v>
      </c>
      <c r="G94" s="31" t="s">
        <v>24</v>
      </c>
      <c r="H94" s="13">
        <v>0.0</v>
      </c>
      <c r="I94" s="17" t="s">
        <v>39</v>
      </c>
      <c r="J94" s="148"/>
      <c r="K94" s="149">
        <f t="shared" si="9"/>
        <v>3</v>
      </c>
      <c r="L94" s="150">
        <f t="shared" si="10"/>
        <v>0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180</v>
      </c>
      <c r="J95" s="148"/>
      <c r="K95" s="149">
        <f t="shared" si="9"/>
        <v>1</v>
      </c>
      <c r="L95" s="150">
        <f t="shared" si="10"/>
        <v>2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209</v>
      </c>
      <c r="J96" s="148"/>
      <c r="K96" s="149">
        <f t="shared" si="9"/>
        <v>0</v>
      </c>
      <c r="L96" s="150">
        <f t="shared" si="10"/>
        <v>3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113</v>
      </c>
      <c r="F97" s="13">
        <v>2.0</v>
      </c>
      <c r="G97" s="31" t="s">
        <v>24</v>
      </c>
      <c r="H97" s="13">
        <v>1.0</v>
      </c>
      <c r="I97" s="17" t="s">
        <v>69</v>
      </c>
      <c r="J97" s="148"/>
      <c r="K97" s="149">
        <f t="shared" si="9"/>
        <v>2</v>
      </c>
      <c r="L97" s="150">
        <f t="shared" si="10"/>
        <v>1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155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143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211</v>
      </c>
      <c r="D99" s="12" t="s">
        <v>22</v>
      </c>
      <c r="E99" s="17" t="s">
        <v>167</v>
      </c>
      <c r="F99" s="159">
        <v>2.0</v>
      </c>
      <c r="G99" s="31" t="s">
        <v>24</v>
      </c>
      <c r="H99" s="13">
        <v>0.0</v>
      </c>
      <c r="I99" s="17" t="s">
        <v>107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158</v>
      </c>
      <c r="D100" s="12" t="s">
        <v>22</v>
      </c>
      <c r="E100" s="17" t="s">
        <v>39</v>
      </c>
      <c r="F100" s="159">
        <v>1.0</v>
      </c>
      <c r="G100" s="31" t="s">
        <v>24</v>
      </c>
      <c r="H100" s="13">
        <v>2.0</v>
      </c>
      <c r="I100" s="17" t="s">
        <v>68</v>
      </c>
      <c r="J100" s="148"/>
      <c r="K100" s="149">
        <f t="shared" si="9"/>
        <v>1</v>
      </c>
      <c r="L100" s="150">
        <f t="shared" si="10"/>
        <v>2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158</v>
      </c>
      <c r="D101" s="12" t="s">
        <v>22</v>
      </c>
      <c r="E101" s="17" t="s">
        <v>180</v>
      </c>
      <c r="F101" s="159">
        <v>2.0</v>
      </c>
      <c r="G101" s="31" t="s">
        <v>24</v>
      </c>
      <c r="H101" s="13">
        <v>0.0</v>
      </c>
      <c r="I101" s="17" t="s">
        <v>40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158</v>
      </c>
      <c r="D102" s="12" t="s">
        <v>22</v>
      </c>
      <c r="E102" s="17" t="s">
        <v>209</v>
      </c>
      <c r="F102" s="159">
        <v>1.0</v>
      </c>
      <c r="G102" s="31" t="s">
        <v>24</v>
      </c>
      <c r="H102" s="13">
        <v>2.0</v>
      </c>
      <c r="I102" s="17" t="s">
        <v>113</v>
      </c>
      <c r="J102" s="148"/>
      <c r="K102" s="149">
        <f t="shared" si="9"/>
        <v>1</v>
      </c>
      <c r="L102" s="150">
        <f t="shared" si="10"/>
        <v>2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69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62"/>
      <c r="C104" s="163"/>
      <c r="D104" s="164"/>
      <c r="E104" s="17" t="s">
        <v>143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155</v>
      </c>
      <c r="D105" s="12" t="s">
        <v>22</v>
      </c>
      <c r="E105" s="17" t="s">
        <v>107</v>
      </c>
      <c r="F105" s="13">
        <v>1.0</v>
      </c>
      <c r="G105" s="31" t="s">
        <v>24</v>
      </c>
      <c r="H105" s="13">
        <v>2.0</v>
      </c>
      <c r="I105" s="17" t="s">
        <v>64</v>
      </c>
      <c r="J105" s="148"/>
      <c r="K105" s="149">
        <f t="shared" si="9"/>
        <v>1</v>
      </c>
      <c r="L105" s="150">
        <f t="shared" si="10"/>
        <v>2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155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167</v>
      </c>
      <c r="J106" s="148"/>
      <c r="K106" s="149">
        <f t="shared" si="9"/>
        <v>2</v>
      </c>
      <c r="L106" s="150">
        <f t="shared" si="10"/>
        <v>1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155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8"/>
      <c r="K107" s="149">
        <f t="shared" si="9"/>
        <v>2</v>
      </c>
      <c r="L107" s="150">
        <f t="shared" si="10"/>
        <v>1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158</v>
      </c>
      <c r="D108" s="12" t="s">
        <v>22</v>
      </c>
      <c r="E108" s="17" t="s">
        <v>113</v>
      </c>
      <c r="F108" s="13">
        <v>1.0</v>
      </c>
      <c r="G108" s="31" t="s">
        <v>24</v>
      </c>
      <c r="H108" s="13">
        <v>2.0</v>
      </c>
      <c r="I108" s="17" t="s">
        <v>180</v>
      </c>
      <c r="J108" s="148"/>
      <c r="K108" s="149">
        <f t="shared" si="9"/>
        <v>1</v>
      </c>
      <c r="L108" s="150">
        <f t="shared" si="10"/>
        <v>2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158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209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158</v>
      </c>
      <c r="D110" s="12" t="s">
        <v>22</v>
      </c>
      <c r="E110" s="17" t="s">
        <v>143</v>
      </c>
      <c r="F110" s="13">
        <v>1.0</v>
      </c>
      <c r="G110" s="31" t="s">
        <v>24</v>
      </c>
      <c r="H110" s="13">
        <v>2.0</v>
      </c>
      <c r="I110" s="17" t="s">
        <v>107</v>
      </c>
      <c r="J110" s="148"/>
      <c r="K110" s="149">
        <f t="shared" si="9"/>
        <v>1</v>
      </c>
      <c r="L110" s="150">
        <f t="shared" si="10"/>
        <v>2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121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8"/>
      <c r="K111" s="149">
        <f t="shared" si="9"/>
        <v>0</v>
      </c>
      <c r="L111" s="150">
        <f t="shared" si="10"/>
        <v>3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121</v>
      </c>
      <c r="D112" s="39" t="s">
        <v>22</v>
      </c>
      <c r="E112" s="17" t="s">
        <v>167</v>
      </c>
      <c r="F112" s="13">
        <v>0.0</v>
      </c>
      <c r="G112" s="31" t="s">
        <v>24</v>
      </c>
      <c r="H112" s="13">
        <v>2.0</v>
      </c>
      <c r="I112" s="17" t="s">
        <v>40</v>
      </c>
      <c r="J112" s="148"/>
      <c r="K112" s="149">
        <f t="shared" si="9"/>
        <v>0</v>
      </c>
      <c r="L112" s="150">
        <f t="shared" si="10"/>
        <v>3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121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113</v>
      </c>
      <c r="J113" s="148"/>
      <c r="K113" s="149">
        <f t="shared" si="9"/>
        <v>0</v>
      </c>
      <c r="L113" s="150">
        <f t="shared" si="10"/>
        <v>3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6" t="s">
        <v>49</v>
      </c>
      <c r="D114" s="12" t="s">
        <v>22</v>
      </c>
      <c r="E114" s="17" t="s">
        <v>180</v>
      </c>
      <c r="F114" s="13">
        <v>2.0</v>
      </c>
      <c r="G114" s="31" t="s">
        <v>24</v>
      </c>
      <c r="H114" s="13">
        <v>0.0</v>
      </c>
      <c r="I114" s="17" t="s">
        <v>69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209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62"/>
      <c r="C116" s="163"/>
      <c r="D116" s="164"/>
      <c r="E116" s="17" t="s">
        <v>107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156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143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156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113</v>
      </c>
      <c r="F119" s="13">
        <v>0.0</v>
      </c>
      <c r="G119" s="31" t="s">
        <v>24</v>
      </c>
      <c r="H119" s="13">
        <v>2.0</v>
      </c>
      <c r="I119" s="17" t="s">
        <v>167</v>
      </c>
      <c r="J119" s="148"/>
      <c r="K119" s="149">
        <f t="shared" si="9"/>
        <v>0</v>
      </c>
      <c r="L119" s="150">
        <f t="shared" si="10"/>
        <v>3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209</v>
      </c>
      <c r="F121" s="13">
        <v>0.0</v>
      </c>
      <c r="G121" s="31" t="s">
        <v>24</v>
      </c>
      <c r="H121" s="13">
        <v>2.0</v>
      </c>
      <c r="I121" s="17" t="s">
        <v>180</v>
      </c>
      <c r="J121" s="148"/>
      <c r="K121" s="149">
        <f t="shared" si="9"/>
        <v>0</v>
      </c>
      <c r="L121" s="150">
        <f t="shared" si="10"/>
        <v>3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107</v>
      </c>
      <c r="F122" s="13">
        <v>0.0</v>
      </c>
      <c r="G122" s="31" t="s">
        <v>24</v>
      </c>
      <c r="H122" s="13">
        <v>2.0</v>
      </c>
      <c r="I122" s="17" t="s">
        <v>68</v>
      </c>
      <c r="J122" s="148"/>
      <c r="K122" s="149">
        <f t="shared" si="9"/>
        <v>0</v>
      </c>
      <c r="L122" s="150">
        <f t="shared" si="10"/>
        <v>3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143</v>
      </c>
      <c r="F123" s="13">
        <v>2.0</v>
      </c>
      <c r="G123" s="31" t="s">
        <v>24</v>
      </c>
      <c r="H123" s="13">
        <v>1.0</v>
      </c>
      <c r="I123" s="17" t="s">
        <v>40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113</v>
      </c>
      <c r="J124" s="148"/>
      <c r="K124" s="149">
        <f t="shared" si="9"/>
        <v>1</v>
      </c>
      <c r="L124" s="150">
        <f t="shared" si="10"/>
        <v>2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167</v>
      </c>
      <c r="F125" s="13">
        <v>2.0</v>
      </c>
      <c r="G125" s="31" t="s">
        <v>24</v>
      </c>
      <c r="H125" s="13">
        <v>0.0</v>
      </c>
      <c r="I125" s="17" t="s">
        <v>69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209</v>
      </c>
      <c r="J126" s="148"/>
      <c r="K126" s="149">
        <f t="shared" si="9"/>
        <v>0</v>
      </c>
      <c r="L126" s="150">
        <f t="shared" si="10"/>
        <v>3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180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68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107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113</v>
      </c>
      <c r="F130" s="13">
        <v>2.0</v>
      </c>
      <c r="G130" s="31" t="s">
        <v>24</v>
      </c>
      <c r="H130" s="13">
        <v>0.0</v>
      </c>
      <c r="I130" s="17" t="s">
        <v>143</v>
      </c>
      <c r="J130" s="148"/>
      <c r="K130" s="149">
        <f t="shared" si="9"/>
        <v>3</v>
      </c>
      <c r="L130" s="150">
        <f t="shared" si="10"/>
        <v>0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209</v>
      </c>
      <c r="F132" s="13">
        <v>1.0</v>
      </c>
      <c r="G132" s="31" t="s">
        <v>24</v>
      </c>
      <c r="H132" s="13">
        <v>2.0</v>
      </c>
      <c r="I132" s="17" t="s">
        <v>167</v>
      </c>
      <c r="J132" s="148"/>
      <c r="K132" s="149">
        <f t="shared" si="9"/>
        <v>1</v>
      </c>
      <c r="L132" s="150">
        <f t="shared" si="10"/>
        <v>2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180</v>
      </c>
      <c r="F133" s="13">
        <v>2.0</v>
      </c>
      <c r="G133" s="31" t="s">
        <v>24</v>
      </c>
      <c r="H133" s="13">
        <v>0.0</v>
      </c>
      <c r="I133" s="17" t="s">
        <v>39</v>
      </c>
      <c r="J133" s="148"/>
      <c r="K133" s="149">
        <f t="shared" si="9"/>
        <v>3</v>
      </c>
      <c r="L133" s="150">
        <f t="shared" si="10"/>
        <v>0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1">
        <v>46147.0</v>
      </c>
      <c r="C134" s="66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8"/>
      <c r="K134" s="149">
        <f t="shared" si="9"/>
        <v>3</v>
      </c>
      <c r="L134" s="150">
        <f t="shared" si="10"/>
        <v>0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6" t="s">
        <v>49</v>
      </c>
      <c r="D135" s="12" t="s">
        <v>22</v>
      </c>
      <c r="E135" s="17" t="s">
        <v>107</v>
      </c>
      <c r="F135" s="13">
        <v>2.0</v>
      </c>
      <c r="G135" s="31" t="s">
        <v>24</v>
      </c>
      <c r="H135" s="13">
        <v>0.0</v>
      </c>
      <c r="I135" s="17" t="s">
        <v>113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6" t="s">
        <v>21</v>
      </c>
      <c r="D136" s="12" t="s">
        <v>22</v>
      </c>
      <c r="E136" s="17" t="s">
        <v>143</v>
      </c>
      <c r="F136" s="13">
        <v>2.0</v>
      </c>
      <c r="G136" s="31" t="s">
        <v>24</v>
      </c>
      <c r="H136" s="13">
        <v>0.0</v>
      </c>
      <c r="I136" s="17" t="s">
        <v>69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6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209</v>
      </c>
      <c r="J137" s="148"/>
      <c r="K137" s="149">
        <f t="shared" si="9"/>
        <v>1</v>
      </c>
      <c r="L137" s="150">
        <f t="shared" si="10"/>
        <v>2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6" t="s">
        <v>21</v>
      </c>
      <c r="D138" s="12" t="s">
        <v>22</v>
      </c>
      <c r="E138" s="17" t="s">
        <v>167</v>
      </c>
      <c r="F138" s="13">
        <v>0.0</v>
      </c>
      <c r="G138" s="31" t="s">
        <v>24</v>
      </c>
      <c r="H138" s="13">
        <v>2.0</v>
      </c>
      <c r="I138" s="17" t="s">
        <v>180</v>
      </c>
      <c r="J138" s="148"/>
      <c r="K138" s="149">
        <f t="shared" si="9"/>
        <v>0</v>
      </c>
      <c r="L138" s="150">
        <f t="shared" si="10"/>
        <v>3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2"/>
      <c r="C139" s="164"/>
      <c r="D139" s="164"/>
      <c r="E139" s="17" t="s">
        <v>39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</row>
    <row r="144" ht="15.75" customHeight="1">
      <c r="A144" s="170" t="s">
        <v>212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</row>
    <row r="146" ht="15.75" customHeight="1">
      <c r="A146" s="65">
        <v>1.0</v>
      </c>
      <c r="B146" s="11">
        <v>45944.0</v>
      </c>
      <c r="C146" s="12" t="s">
        <v>154</v>
      </c>
      <c r="D146" s="12" t="s">
        <v>22</v>
      </c>
      <c r="E146" s="17" t="s">
        <v>126</v>
      </c>
      <c r="F146" s="13">
        <v>2.0</v>
      </c>
      <c r="G146" s="31" t="s">
        <v>24</v>
      </c>
      <c r="H146" s="13">
        <v>1.0</v>
      </c>
      <c r="I146" s="17" t="s">
        <v>60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126</v>
      </c>
      <c r="P146" s="150">
        <f t="shared" ref="P146:P156" si="19">SUMIF(E$146:E$211,O146,K$146:K$211)+SUMIF(I$146:I$211,O146,L$146:L$211)</f>
        <v>20</v>
      </c>
      <c r="Q146" s="152">
        <f t="shared" ref="Q146:Q156" si="20">COUNTIFS(E$146:E$211,O146,K$146:K$211,2)+COUNTIFS(I$146:I$211,O146,L$146:L$211,2)+COUNTIFS(E$146:E$211,O146,K$146:K$211,3)+COUNTIFS(I$146:I$211,O146,L$146:L$211,3)</f>
        <v>7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3</v>
      </c>
      <c r="T146" s="150">
        <f t="shared" ref="T146:T156" si="22">SUMIF(E$146:E$211,O146,F$146:F$211)+SUMIF(I$146:I$211,O146,H$146:H$211)</f>
        <v>15</v>
      </c>
      <c r="U146" s="153">
        <f t="shared" ref="U146:U156" si="23">SUMIF(E$146:E$211,O146,H$146:H$211)+SUMIF(I$146:I$211,O146,F$146:F$211)</f>
        <v>8</v>
      </c>
      <c r="V146" s="150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154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166</v>
      </c>
      <c r="P147" s="150">
        <f t="shared" si="19"/>
        <v>20</v>
      </c>
      <c r="Q147" s="152">
        <f t="shared" si="20"/>
        <v>7</v>
      </c>
      <c r="R147" s="153"/>
      <c r="S147" s="153">
        <f t="shared" si="21"/>
        <v>3</v>
      </c>
      <c r="T147" s="150">
        <f t="shared" si="22"/>
        <v>16</v>
      </c>
      <c r="U147" s="153">
        <f t="shared" si="23"/>
        <v>9</v>
      </c>
      <c r="V147" s="150">
        <f t="shared" si="24"/>
        <v>7</v>
      </c>
      <c r="X147" s="137" t="s">
        <v>33</v>
      </c>
      <c r="Y147" s="137">
        <v>3.0</v>
      </c>
      <c r="AA147" s="124" t="s">
        <v>111</v>
      </c>
      <c r="AB147" s="70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169</v>
      </c>
      <c r="D148" s="12" t="s">
        <v>22</v>
      </c>
      <c r="E148" s="17" t="s">
        <v>213</v>
      </c>
      <c r="F148" s="13">
        <v>2.0</v>
      </c>
      <c r="G148" s="31" t="s">
        <v>24</v>
      </c>
      <c r="H148" s="13">
        <v>0.0</v>
      </c>
      <c r="I148" s="17" t="s">
        <v>65</v>
      </c>
      <c r="J148" s="148"/>
      <c r="K148" s="149">
        <f t="shared" si="17"/>
        <v>3</v>
      </c>
      <c r="L148" s="150">
        <f t="shared" si="18"/>
        <v>0</v>
      </c>
      <c r="M148" s="148"/>
      <c r="N148" s="150">
        <v>3.0</v>
      </c>
      <c r="O148" s="151" t="s">
        <v>60</v>
      </c>
      <c r="P148" s="150">
        <f t="shared" si="19"/>
        <v>25</v>
      </c>
      <c r="Q148" s="152">
        <f t="shared" si="20"/>
        <v>8</v>
      </c>
      <c r="R148" s="153"/>
      <c r="S148" s="153">
        <f t="shared" si="21"/>
        <v>2</v>
      </c>
      <c r="T148" s="150">
        <f t="shared" si="22"/>
        <v>18</v>
      </c>
      <c r="U148" s="153">
        <f t="shared" si="23"/>
        <v>5</v>
      </c>
      <c r="V148" s="150">
        <f t="shared" si="24"/>
        <v>13</v>
      </c>
      <c r="X148" s="137" t="s">
        <v>40</v>
      </c>
      <c r="Y148" s="137">
        <v>0.0</v>
      </c>
      <c r="AA148" s="22">
        <v>3.0</v>
      </c>
      <c r="AB148" s="70" t="s">
        <v>126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152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109</v>
      </c>
      <c r="J149" s="148"/>
      <c r="K149" s="149">
        <f t="shared" si="17"/>
        <v>1</v>
      </c>
      <c r="L149" s="150">
        <f t="shared" si="18"/>
        <v>2</v>
      </c>
      <c r="M149" s="148"/>
      <c r="N149" s="150">
        <v>4.0</v>
      </c>
      <c r="O149" s="151" t="s">
        <v>63</v>
      </c>
      <c r="P149" s="150">
        <f t="shared" si="19"/>
        <v>5</v>
      </c>
      <c r="Q149" s="152">
        <f t="shared" si="20"/>
        <v>2</v>
      </c>
      <c r="R149" s="153"/>
      <c r="S149" s="153">
        <f t="shared" si="21"/>
        <v>8</v>
      </c>
      <c r="T149" s="150">
        <f t="shared" si="22"/>
        <v>4</v>
      </c>
      <c r="U149" s="153">
        <f t="shared" si="23"/>
        <v>17</v>
      </c>
      <c r="V149" s="150">
        <f t="shared" si="24"/>
        <v>-13</v>
      </c>
      <c r="AA149" s="22">
        <v>4.0</v>
      </c>
      <c r="AB149" s="70" t="s">
        <v>166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152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8"/>
      <c r="K150" s="149">
        <f t="shared" si="17"/>
        <v>0</v>
      </c>
      <c r="L150" s="150">
        <f t="shared" si="18"/>
        <v>3</v>
      </c>
      <c r="M150" s="148"/>
      <c r="N150" s="150">
        <v>5.0</v>
      </c>
      <c r="O150" s="151" t="s">
        <v>42</v>
      </c>
      <c r="P150" s="150">
        <f t="shared" si="19"/>
        <v>6</v>
      </c>
      <c r="Q150" s="152">
        <f t="shared" si="20"/>
        <v>1</v>
      </c>
      <c r="R150" s="153"/>
      <c r="S150" s="153">
        <f t="shared" si="21"/>
        <v>9</v>
      </c>
      <c r="T150" s="150">
        <f t="shared" si="22"/>
        <v>5</v>
      </c>
      <c r="U150" s="153">
        <f t="shared" si="23"/>
        <v>18</v>
      </c>
      <c r="V150" s="150">
        <f t="shared" si="24"/>
        <v>-13</v>
      </c>
      <c r="AA150" s="22">
        <v>5.0</v>
      </c>
      <c r="AB150" s="70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166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59</v>
      </c>
      <c r="P151" s="150">
        <f t="shared" si="19"/>
        <v>16</v>
      </c>
      <c r="Q151" s="152">
        <f t="shared" si="20"/>
        <v>5</v>
      </c>
      <c r="R151" s="153"/>
      <c r="S151" s="153">
        <f t="shared" si="21"/>
        <v>5</v>
      </c>
      <c r="T151" s="150">
        <f t="shared" si="22"/>
        <v>11</v>
      </c>
      <c r="U151" s="153">
        <f t="shared" si="23"/>
        <v>10</v>
      </c>
      <c r="V151" s="150">
        <f t="shared" si="24"/>
        <v>1</v>
      </c>
      <c r="AA151" s="22">
        <v>6.0</v>
      </c>
      <c r="AB151" s="70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5">
        <v>2.0</v>
      </c>
      <c r="B152" s="162"/>
      <c r="C152" s="163"/>
      <c r="D152" s="164"/>
      <c r="E152" s="17" t="s">
        <v>60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65</v>
      </c>
      <c r="P152" s="150">
        <f t="shared" si="19"/>
        <v>5</v>
      </c>
      <c r="Q152" s="152">
        <f t="shared" si="20"/>
        <v>2</v>
      </c>
      <c r="R152" s="153"/>
      <c r="S152" s="153">
        <f t="shared" si="21"/>
        <v>8</v>
      </c>
      <c r="T152" s="150">
        <f t="shared" si="22"/>
        <v>4</v>
      </c>
      <c r="U152" s="153">
        <f t="shared" si="23"/>
        <v>17</v>
      </c>
      <c r="V152" s="150">
        <f t="shared" si="24"/>
        <v>-13</v>
      </c>
      <c r="AA152" s="22">
        <v>7.0</v>
      </c>
      <c r="AB152" s="70" t="s">
        <v>109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152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126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213</v>
      </c>
      <c r="P153" s="150">
        <f t="shared" si="19"/>
        <v>11</v>
      </c>
      <c r="Q153" s="152">
        <f t="shared" si="20"/>
        <v>3</v>
      </c>
      <c r="R153" s="153"/>
      <c r="S153" s="153">
        <f t="shared" si="21"/>
        <v>7</v>
      </c>
      <c r="T153" s="150">
        <f t="shared" si="22"/>
        <v>8</v>
      </c>
      <c r="U153" s="153">
        <f t="shared" si="23"/>
        <v>14</v>
      </c>
      <c r="V153" s="150">
        <f t="shared" si="24"/>
        <v>-6</v>
      </c>
      <c r="AA153" s="22">
        <v>8.0</v>
      </c>
      <c r="AB153" s="70" t="s">
        <v>213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6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8"/>
      <c r="K154" s="149">
        <f t="shared" si="17"/>
        <v>0</v>
      </c>
      <c r="L154" s="150">
        <f t="shared" si="18"/>
        <v>3</v>
      </c>
      <c r="M154" s="148"/>
      <c r="N154" s="150">
        <v>9.0</v>
      </c>
      <c r="O154" s="151" t="s">
        <v>109</v>
      </c>
      <c r="P154" s="150">
        <f t="shared" si="19"/>
        <v>15</v>
      </c>
      <c r="Q154" s="152">
        <f t="shared" si="20"/>
        <v>6</v>
      </c>
      <c r="R154" s="153"/>
      <c r="S154" s="153">
        <f t="shared" si="21"/>
        <v>4</v>
      </c>
      <c r="T154" s="150">
        <f t="shared" si="22"/>
        <v>13</v>
      </c>
      <c r="U154" s="153">
        <f t="shared" si="23"/>
        <v>12</v>
      </c>
      <c r="V154" s="150">
        <f t="shared" si="24"/>
        <v>1</v>
      </c>
      <c r="AA154" s="22">
        <v>9.0</v>
      </c>
      <c r="AB154" s="70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109</v>
      </c>
      <c r="F155" s="13">
        <v>2.0</v>
      </c>
      <c r="G155" s="31" t="s">
        <v>24</v>
      </c>
      <c r="H155" s="13">
        <v>1.0</v>
      </c>
      <c r="I155" s="17" t="s">
        <v>213</v>
      </c>
      <c r="J155" s="148"/>
      <c r="K155" s="149">
        <f t="shared" si="17"/>
        <v>2</v>
      </c>
      <c r="L155" s="150">
        <f t="shared" si="18"/>
        <v>1</v>
      </c>
      <c r="M155" s="148"/>
      <c r="N155" s="150">
        <v>10.0</v>
      </c>
      <c r="O155" s="151" t="s">
        <v>45</v>
      </c>
      <c r="P155" s="150">
        <f t="shared" si="19"/>
        <v>22</v>
      </c>
      <c r="Q155" s="152">
        <f t="shared" si="20"/>
        <v>7</v>
      </c>
      <c r="R155" s="153"/>
      <c r="S155" s="153">
        <f t="shared" si="21"/>
        <v>3</v>
      </c>
      <c r="T155" s="150">
        <f t="shared" si="22"/>
        <v>15</v>
      </c>
      <c r="U155" s="153">
        <f t="shared" si="23"/>
        <v>6</v>
      </c>
      <c r="V155" s="150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8"/>
      <c r="K156" s="149">
        <f t="shared" si="17"/>
        <v>0</v>
      </c>
      <c r="L156" s="150">
        <f t="shared" si="18"/>
        <v>3</v>
      </c>
      <c r="M156" s="148"/>
      <c r="N156" s="165">
        <v>11.0</v>
      </c>
      <c r="O156" s="165" t="s">
        <v>33</v>
      </c>
      <c r="P156" s="150">
        <f t="shared" si="19"/>
        <v>20</v>
      </c>
      <c r="Q156" s="152">
        <f t="shared" si="20"/>
        <v>7</v>
      </c>
      <c r="S156" s="153">
        <f t="shared" si="21"/>
        <v>3</v>
      </c>
      <c r="T156" s="150">
        <f t="shared" si="22"/>
        <v>15</v>
      </c>
      <c r="U156" s="153">
        <f t="shared" si="23"/>
        <v>8</v>
      </c>
      <c r="V156" s="150">
        <f t="shared" si="24"/>
        <v>7</v>
      </c>
      <c r="AA156" s="52">
        <v>11.0</v>
      </c>
      <c r="AB156" s="70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166</v>
      </c>
      <c r="F157" s="13">
        <v>1.0</v>
      </c>
      <c r="G157" s="31" t="s">
        <v>24</v>
      </c>
      <c r="H157" s="13">
        <v>2.0</v>
      </c>
      <c r="I157" s="17" t="s">
        <v>63</v>
      </c>
      <c r="J157" s="148"/>
      <c r="K157" s="149">
        <f t="shared" si="17"/>
        <v>1</v>
      </c>
      <c r="L157" s="150">
        <f t="shared" si="18"/>
        <v>2</v>
      </c>
      <c r="M157" s="148"/>
      <c r="AA157" s="35" t="s">
        <v>214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8"/>
      <c r="K158" s="149">
        <f t="shared" si="17"/>
        <v>3</v>
      </c>
      <c r="L158" s="150">
        <f t="shared" si="18"/>
        <v>0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126</v>
      </c>
      <c r="F159" s="13">
        <v>2.0</v>
      </c>
      <c r="G159" s="31" t="s">
        <v>24</v>
      </c>
      <c r="H159" s="13">
        <v>0.0</v>
      </c>
      <c r="I159" s="17" t="s">
        <v>65</v>
      </c>
      <c r="J159" s="148"/>
      <c r="K159" s="149">
        <f t="shared" si="17"/>
        <v>3</v>
      </c>
      <c r="L159" s="150">
        <f t="shared" si="18"/>
        <v>0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109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213</v>
      </c>
      <c r="F161" s="13">
        <v>0.0</v>
      </c>
      <c r="G161" s="31" t="s">
        <v>24</v>
      </c>
      <c r="H161" s="13">
        <v>2.0</v>
      </c>
      <c r="I161" s="17" t="s">
        <v>33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166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63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A163" s="81" t="s">
        <v>103</v>
      </c>
      <c r="AB163" s="82"/>
      <c r="AC163" s="82"/>
      <c r="AD163" s="82"/>
      <c r="AE163" s="82"/>
      <c r="AF163" s="82"/>
      <c r="AG163" s="82"/>
      <c r="AH163" s="82"/>
      <c r="AI163" s="83"/>
    </row>
    <row r="164" ht="15.75" customHeight="1">
      <c r="A164" s="143">
        <v>4.0</v>
      </c>
      <c r="B164" s="162"/>
      <c r="C164" s="164"/>
      <c r="D164" s="164"/>
      <c r="E164" s="17" t="s">
        <v>42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A164" s="84"/>
      <c r="AB164" s="85"/>
      <c r="AC164" s="85"/>
      <c r="AD164" s="85"/>
      <c r="AE164" s="85"/>
      <c r="AF164" s="85"/>
      <c r="AG164" s="85"/>
      <c r="AH164" s="85"/>
      <c r="AI164" s="86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8"/>
      <c r="K165" s="149">
        <f t="shared" si="17"/>
        <v>0</v>
      </c>
      <c r="L165" s="150">
        <f t="shared" si="18"/>
        <v>3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204</v>
      </c>
      <c r="AH165" s="5" t="s">
        <v>205</v>
      </c>
      <c r="AI165" s="5" t="s">
        <v>206</v>
      </c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109</v>
      </c>
      <c r="F166" s="13">
        <v>2.0</v>
      </c>
      <c r="G166" s="31" t="s">
        <v>24</v>
      </c>
      <c r="H166" s="13">
        <v>1.0</v>
      </c>
      <c r="I166" s="17" t="s">
        <v>126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A166" s="45" t="s">
        <v>29</v>
      </c>
      <c r="AB166" s="70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121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8"/>
      <c r="K167" s="149">
        <f t="shared" si="17"/>
        <v>2</v>
      </c>
      <c r="L167" s="150">
        <f t="shared" si="18"/>
        <v>1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124" t="s">
        <v>111</v>
      </c>
      <c r="AB167" s="70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156</v>
      </c>
      <c r="D168" s="12" t="s">
        <v>22</v>
      </c>
      <c r="E168" s="17" t="s">
        <v>166</v>
      </c>
      <c r="F168" s="13">
        <v>2.0</v>
      </c>
      <c r="G168" s="31" t="s">
        <v>24</v>
      </c>
      <c r="H168" s="13">
        <v>1.0</v>
      </c>
      <c r="I168" s="17" t="s">
        <v>213</v>
      </c>
      <c r="J168" s="148"/>
      <c r="K168" s="149">
        <f t="shared" si="17"/>
        <v>2</v>
      </c>
      <c r="L168" s="150">
        <f t="shared" si="18"/>
        <v>1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22">
        <v>3.0</v>
      </c>
      <c r="AB168" s="70" t="s">
        <v>126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8"/>
      <c r="K169" s="149">
        <f t="shared" si="17"/>
        <v>0</v>
      </c>
      <c r="L169" s="150">
        <f t="shared" si="18"/>
        <v>3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22">
        <v>4.0</v>
      </c>
      <c r="AB169" s="70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8"/>
      <c r="K170" s="149">
        <f t="shared" si="17"/>
        <v>1</v>
      </c>
      <c r="L170" s="150">
        <f t="shared" si="18"/>
        <v>2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22">
        <v>5.0</v>
      </c>
      <c r="AB170" s="70" t="s">
        <v>166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59">
        <v>2.0</v>
      </c>
      <c r="G171" s="31" t="s">
        <v>24</v>
      </c>
      <c r="H171" s="13">
        <v>0.0</v>
      </c>
      <c r="I171" s="17" t="s">
        <v>109</v>
      </c>
      <c r="J171" s="148"/>
      <c r="K171" s="149">
        <f t="shared" si="17"/>
        <v>3</v>
      </c>
      <c r="L171" s="150">
        <f t="shared" si="18"/>
        <v>0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22">
        <v>6.0</v>
      </c>
      <c r="AB171" s="70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126</v>
      </c>
      <c r="F172" s="159">
        <v>2.0</v>
      </c>
      <c r="G172" s="31" t="s">
        <v>24</v>
      </c>
      <c r="H172" s="13">
        <v>0.0</v>
      </c>
      <c r="I172" s="17" t="s">
        <v>33</v>
      </c>
      <c r="J172" s="148"/>
      <c r="K172" s="149">
        <f t="shared" si="17"/>
        <v>3</v>
      </c>
      <c r="L172" s="150">
        <f t="shared" si="18"/>
        <v>0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22">
        <v>7.0</v>
      </c>
      <c r="AB172" s="70" t="s">
        <v>109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59">
        <v>0.0</v>
      </c>
      <c r="G173" s="31" t="s">
        <v>24</v>
      </c>
      <c r="H173" s="13">
        <v>2.0</v>
      </c>
      <c r="I173" s="17" t="s">
        <v>166</v>
      </c>
      <c r="J173" s="148"/>
      <c r="K173" s="149">
        <f t="shared" si="17"/>
        <v>0</v>
      </c>
      <c r="L173" s="150">
        <f t="shared" si="18"/>
        <v>3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22">
        <v>8.0</v>
      </c>
      <c r="AB173" s="70" t="s">
        <v>213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213</v>
      </c>
      <c r="F174" s="159">
        <v>0.0</v>
      </c>
      <c r="G174" s="31" t="s">
        <v>24</v>
      </c>
      <c r="H174" s="13">
        <v>2.0</v>
      </c>
      <c r="I174" s="17" t="s">
        <v>63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22">
        <v>9.0</v>
      </c>
      <c r="AB174" s="70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59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22">
        <v>10.0</v>
      </c>
      <c r="AB175" s="70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5">
        <v>6.0</v>
      </c>
      <c r="B176" s="162"/>
      <c r="C176" s="163"/>
      <c r="D176" s="164"/>
      <c r="E176" s="17" t="s">
        <v>65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52">
        <v>11.0</v>
      </c>
      <c r="AB176" s="70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109</v>
      </c>
      <c r="F177" s="13">
        <v>2.0</v>
      </c>
      <c r="G177" s="31" t="s">
        <v>24</v>
      </c>
      <c r="H177" s="13">
        <v>1.0</v>
      </c>
      <c r="I177" s="17" t="s">
        <v>42</v>
      </c>
      <c r="J177" s="148"/>
      <c r="K177" s="149">
        <f t="shared" si="17"/>
        <v>2</v>
      </c>
      <c r="L177" s="150">
        <f t="shared" si="18"/>
        <v>1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5" t="s">
        <v>215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79" t="s">
        <v>101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166</v>
      </c>
      <c r="F179" s="13">
        <v>0.0</v>
      </c>
      <c r="G179" s="31" t="s">
        <v>24</v>
      </c>
      <c r="H179" s="13">
        <v>2.0</v>
      </c>
      <c r="I179" s="17" t="s">
        <v>126</v>
      </c>
      <c r="J179" s="148"/>
      <c r="K179" s="149">
        <f t="shared" si="17"/>
        <v>0</v>
      </c>
      <c r="L179" s="150">
        <f t="shared" si="18"/>
        <v>3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213</v>
      </c>
      <c r="J181" s="148"/>
      <c r="K181" s="149">
        <f t="shared" si="17"/>
        <v>3</v>
      </c>
      <c r="L181" s="150">
        <f t="shared" si="18"/>
        <v>0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109</v>
      </c>
      <c r="J182" s="148"/>
      <c r="K182" s="149">
        <f t="shared" si="17"/>
        <v>0</v>
      </c>
      <c r="L182" s="150">
        <f t="shared" si="18"/>
        <v>3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157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169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169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166</v>
      </c>
      <c r="J184" s="148"/>
      <c r="K184" s="149">
        <f t="shared" si="17"/>
        <v>1</v>
      </c>
      <c r="L184" s="150">
        <f t="shared" si="18"/>
        <v>2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G184" s="3"/>
      <c r="AH184" s="3"/>
      <c r="AI184" s="3"/>
    </row>
    <row r="185" ht="15.75" customHeight="1">
      <c r="A185" s="25"/>
      <c r="B185" s="11">
        <v>46089.0</v>
      </c>
      <c r="C185" s="12" t="s">
        <v>169</v>
      </c>
      <c r="D185" s="12" t="s">
        <v>22</v>
      </c>
      <c r="E185" s="17" t="s">
        <v>126</v>
      </c>
      <c r="F185" s="13">
        <v>2.0</v>
      </c>
      <c r="G185" s="31" t="s">
        <v>24</v>
      </c>
      <c r="H185" s="13">
        <v>0.0</v>
      </c>
      <c r="I185" s="17" t="s">
        <v>63</v>
      </c>
      <c r="J185" s="148"/>
      <c r="K185" s="149">
        <f t="shared" si="17"/>
        <v>3</v>
      </c>
      <c r="L185" s="150">
        <f t="shared" si="18"/>
        <v>0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G185" s="3"/>
      <c r="AH185" s="3"/>
      <c r="AI185" s="3"/>
    </row>
    <row r="186" ht="15.75" customHeight="1">
      <c r="A186" s="25"/>
      <c r="B186" s="11">
        <v>46089.0</v>
      </c>
      <c r="C186" s="12" t="s">
        <v>160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G186" s="3"/>
      <c r="AH186" s="3"/>
      <c r="AI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213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G187" s="3"/>
      <c r="AH187" s="3"/>
      <c r="AI187" s="3"/>
    </row>
    <row r="188" ht="15.75" customHeight="1">
      <c r="A188" s="65">
        <v>8.0</v>
      </c>
      <c r="B188" s="162"/>
      <c r="C188" s="163"/>
      <c r="D188" s="164"/>
      <c r="E188" s="17" t="s">
        <v>109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G188" s="3"/>
      <c r="AH188" s="3"/>
      <c r="AI188" s="3"/>
    </row>
    <row r="189" ht="15.75" customHeight="1">
      <c r="A189" s="25"/>
      <c r="B189" s="11">
        <v>46089.0</v>
      </c>
      <c r="C189" s="12" t="s">
        <v>160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8"/>
      <c r="K189" s="149">
        <f t="shared" si="17"/>
        <v>3</v>
      </c>
      <c r="L189" s="150">
        <f t="shared" si="18"/>
        <v>0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160</v>
      </c>
      <c r="D190" s="12" t="s">
        <v>22</v>
      </c>
      <c r="E190" s="17" t="s">
        <v>166</v>
      </c>
      <c r="F190" s="13">
        <v>2.0</v>
      </c>
      <c r="G190" s="31" t="s">
        <v>24</v>
      </c>
      <c r="H190" s="13">
        <v>0.0</v>
      </c>
      <c r="I190" s="17" t="s">
        <v>42</v>
      </c>
      <c r="J190" s="148"/>
      <c r="K190" s="149">
        <f t="shared" si="17"/>
        <v>3</v>
      </c>
      <c r="L190" s="150">
        <f t="shared" si="18"/>
        <v>0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8"/>
      <c r="K191" s="149">
        <f t="shared" si="17"/>
        <v>0</v>
      </c>
      <c r="L191" s="150">
        <f t="shared" si="18"/>
        <v>3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126</v>
      </c>
      <c r="J192" s="148"/>
      <c r="K192" s="149">
        <f t="shared" si="17"/>
        <v>0</v>
      </c>
      <c r="L192" s="150">
        <f t="shared" si="18"/>
        <v>3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1">
        <v>46148.0</v>
      </c>
      <c r="C193" s="66" t="s">
        <v>106</v>
      </c>
      <c r="D193" s="66" t="s">
        <v>22</v>
      </c>
      <c r="E193" s="17" t="s">
        <v>213</v>
      </c>
      <c r="F193" s="13">
        <v>0.0</v>
      </c>
      <c r="G193" s="31" t="s">
        <v>24</v>
      </c>
      <c r="H193" s="13">
        <v>2.0</v>
      </c>
      <c r="I193" s="17" t="s">
        <v>45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109</v>
      </c>
      <c r="F194" s="13">
        <v>0.0</v>
      </c>
      <c r="G194" s="31" t="s">
        <v>24</v>
      </c>
      <c r="H194" s="13">
        <v>2.0</v>
      </c>
      <c r="I194" s="17" t="s">
        <v>33</v>
      </c>
      <c r="J194" s="148"/>
      <c r="K194" s="149">
        <f t="shared" si="17"/>
        <v>0</v>
      </c>
      <c r="L194" s="150">
        <f t="shared" si="18"/>
        <v>3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166</v>
      </c>
      <c r="J195" s="148"/>
      <c r="K195" s="149">
        <f t="shared" si="17"/>
        <v>0</v>
      </c>
      <c r="L195" s="150">
        <f t="shared" si="18"/>
        <v>3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8"/>
      <c r="K196" s="149">
        <f t="shared" si="17"/>
        <v>3</v>
      </c>
      <c r="L196" s="150">
        <f t="shared" si="18"/>
        <v>0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126</v>
      </c>
      <c r="F198" s="13">
        <v>0.0</v>
      </c>
      <c r="G198" s="31" t="s">
        <v>24</v>
      </c>
      <c r="H198" s="13">
        <v>2.0</v>
      </c>
      <c r="I198" s="17" t="s">
        <v>213</v>
      </c>
      <c r="J198" s="148"/>
      <c r="K198" s="149">
        <f t="shared" si="17"/>
        <v>0</v>
      </c>
      <c r="L198" s="150">
        <f t="shared" si="18"/>
        <v>3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45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33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166</v>
      </c>
      <c r="F201" s="13">
        <v>2.0</v>
      </c>
      <c r="G201" s="31" t="s">
        <v>24</v>
      </c>
      <c r="H201" s="13">
        <v>1.0</v>
      </c>
      <c r="I201" s="17" t="s">
        <v>109</v>
      </c>
      <c r="J201" s="148"/>
      <c r="K201" s="149">
        <f t="shared" si="17"/>
        <v>2</v>
      </c>
      <c r="L201" s="150">
        <f t="shared" si="18"/>
        <v>1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213</v>
      </c>
      <c r="F204" s="13">
        <v>0.0</v>
      </c>
      <c r="G204" s="31" t="s">
        <v>24</v>
      </c>
      <c r="H204" s="13">
        <v>2.0</v>
      </c>
      <c r="I204" s="17" t="s">
        <v>60</v>
      </c>
      <c r="J204" s="148"/>
      <c r="K204" s="149">
        <f t="shared" si="17"/>
        <v>0</v>
      </c>
      <c r="L204" s="150">
        <f t="shared" si="18"/>
        <v>3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126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1">
        <v>46148.0</v>
      </c>
      <c r="C206" s="66" t="s">
        <v>106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166</v>
      </c>
      <c r="J206" s="148"/>
      <c r="K206" s="149">
        <f t="shared" si="17"/>
        <v>2</v>
      </c>
      <c r="L206" s="150">
        <f t="shared" si="18"/>
        <v>1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6" t="s">
        <v>106</v>
      </c>
      <c r="D207" s="12" t="s">
        <v>22</v>
      </c>
      <c r="E207" s="17" t="s">
        <v>109</v>
      </c>
      <c r="F207" s="13">
        <v>2.0</v>
      </c>
      <c r="G207" s="31" t="s">
        <v>24</v>
      </c>
      <c r="H207" s="13">
        <v>0.0</v>
      </c>
      <c r="I207" s="17" t="s">
        <v>63</v>
      </c>
      <c r="J207" s="148"/>
      <c r="K207" s="149">
        <f t="shared" si="17"/>
        <v>3</v>
      </c>
      <c r="L207" s="150">
        <f t="shared" si="18"/>
        <v>0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6" t="s">
        <v>106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8"/>
      <c r="K208" s="149">
        <f t="shared" si="17"/>
        <v>0</v>
      </c>
      <c r="L208" s="150">
        <f t="shared" si="18"/>
        <v>3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6" t="s">
        <v>118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213</v>
      </c>
      <c r="J209" s="148"/>
      <c r="K209" s="149">
        <f t="shared" si="17"/>
        <v>0</v>
      </c>
      <c r="L209" s="150">
        <f t="shared" si="18"/>
        <v>3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6" t="s">
        <v>118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8"/>
      <c r="K210" s="149">
        <f t="shared" si="17"/>
        <v>3</v>
      </c>
      <c r="L210" s="150">
        <f t="shared" si="18"/>
        <v>0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2"/>
      <c r="C211" s="164"/>
      <c r="D211" s="164"/>
      <c r="E211" s="17" t="s">
        <v>126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216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</row>
    <row r="218" ht="15.75" customHeight="1">
      <c r="A218" s="102">
        <v>1.0</v>
      </c>
      <c r="B218" s="43"/>
      <c r="C218" s="12"/>
      <c r="D218" s="12"/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2">
        <v>2.0</v>
      </c>
      <c r="B219" s="43"/>
      <c r="C219" s="12"/>
      <c r="D219" s="12"/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2">
        <v>3.0</v>
      </c>
      <c r="B220" s="43"/>
      <c r="C220" s="12"/>
      <c r="D220" s="12"/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3"/>
      <c r="X220" s="63"/>
      <c r="Y220" s="63"/>
      <c r="Z220" s="63"/>
      <c r="AA220" s="22">
        <v>3.0</v>
      </c>
      <c r="AB220" s="70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217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31"/>
      <c r="G227" s="16" t="s">
        <v>24</v>
      </c>
      <c r="H227" s="31"/>
      <c r="I227" s="44" t="s">
        <v>60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31"/>
      <c r="G228" s="16" t="s">
        <v>24</v>
      </c>
      <c r="H228" s="31"/>
      <c r="I228" s="44" t="s">
        <v>180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31"/>
      <c r="G229" s="16" t="s">
        <v>24</v>
      </c>
      <c r="H229" s="31"/>
      <c r="I229" s="44" t="s">
        <v>43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160</v>
      </c>
      <c r="D230" s="12" t="s">
        <v>22</v>
      </c>
      <c r="E230" s="44" t="s">
        <v>61</v>
      </c>
      <c r="F230" s="31"/>
      <c r="G230" s="16" t="s">
        <v>24</v>
      </c>
      <c r="H230" s="31"/>
      <c r="I230" s="44" t="s">
        <v>153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0" t="s">
        <v>218</v>
      </c>
      <c r="I1" s="147"/>
      <c r="AA1" s="3"/>
      <c r="AB1" s="14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93</v>
      </c>
      <c r="J3" s="148"/>
      <c r="K3" s="149">
        <f t="shared" ref="K3:K68" si="1">IFS(F3=H3+2,3,F3=H3-2,0,F3=H3+1,2,F3=H3-1,1,F3="","")</f>
        <v>3</v>
      </c>
      <c r="L3" s="150">
        <f t="shared" ref="L3:L68" si="2">IFS(H3=F3+2,3,H3=F3-2,0,H3=F3+1,2,H3=F3-1,1,H3="","")</f>
        <v>0</v>
      </c>
      <c r="M3" s="148"/>
      <c r="N3" s="150">
        <v>1.0</v>
      </c>
      <c r="O3" s="151" t="s">
        <v>33</v>
      </c>
      <c r="P3" s="150">
        <f t="shared" ref="P3:P14" si="3">SUMIF(E$3:E$68,O3,K$3:K$68)+SUMIF(I$3:I$68,O3,L$3:L$68)</f>
        <v>25</v>
      </c>
      <c r="Q3" s="152">
        <f t="shared" ref="Q3:Q14" si="4">COUNTIFS(E$3:E$68,O3,K$3:K$68,2)+COUNTIFS(I$3:I$68,O3,L$3:L$68,2)+COUNTIFS(E$3:E$68,O3,K$3:K$68,3)+COUNTIFS(I$3:I$68,O3,L$3:L$68,3)</f>
        <v>9</v>
      </c>
      <c r="R3" s="152"/>
      <c r="S3" s="153">
        <f t="shared" ref="S3:S14" si="5">COUNTIFS(E$3:E$68,O3,K$3:K$68,1)+COUNTIFS(I$3:I$68,O3,L$3:L$68,1)+COUNTIFS(E$3:E$68,O3,K$3:K$68,0)+COUNTIFS(I$3:I$68,O3,L$3:L$68,0)</f>
        <v>2</v>
      </c>
      <c r="T3" s="150">
        <f t="shared" ref="T3:T14" si="6">SUMIF(E$3:E$68,O3,F$3:F$68)+SUMIF(I$3:I$68,O3,H$3:H$68)</f>
        <v>19</v>
      </c>
      <c r="U3" s="153">
        <f t="shared" ref="U3:U14" si="7">SUMIF(E$3:E$68,O3,H$3:H$68)+SUMIF(I$3:I$68,O3,F$3:F$68)</f>
        <v>7</v>
      </c>
      <c r="V3" s="150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110</v>
      </c>
      <c r="P4" s="150">
        <f t="shared" si="3"/>
        <v>2</v>
      </c>
      <c r="Q4" s="152">
        <f t="shared" si="4"/>
        <v>0</v>
      </c>
      <c r="R4" s="152"/>
      <c r="S4" s="153">
        <f t="shared" si="5"/>
        <v>11</v>
      </c>
      <c r="T4" s="150">
        <f t="shared" si="6"/>
        <v>2</v>
      </c>
      <c r="U4" s="153">
        <f t="shared" si="7"/>
        <v>22</v>
      </c>
      <c r="V4" s="150">
        <f t="shared" si="8"/>
        <v>-20</v>
      </c>
      <c r="X4" s="137" t="s">
        <v>66</v>
      </c>
      <c r="Y4" s="137">
        <v>2.0</v>
      </c>
      <c r="AA4" s="22" t="s">
        <v>34</v>
      </c>
      <c r="AB4" s="70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8"/>
      <c r="K5" s="149">
        <f t="shared" si="1"/>
        <v>3</v>
      </c>
      <c r="L5" s="150">
        <f t="shared" si="2"/>
        <v>0</v>
      </c>
      <c r="M5" s="148"/>
      <c r="N5" s="150">
        <v>3.0</v>
      </c>
      <c r="O5" s="151" t="s">
        <v>93</v>
      </c>
      <c r="P5" s="150">
        <f t="shared" si="3"/>
        <v>18</v>
      </c>
      <c r="Q5" s="152">
        <f t="shared" si="4"/>
        <v>6</v>
      </c>
      <c r="R5" s="152"/>
      <c r="S5" s="153">
        <f t="shared" si="5"/>
        <v>5</v>
      </c>
      <c r="T5" s="150">
        <f t="shared" si="6"/>
        <v>13</v>
      </c>
      <c r="U5" s="153">
        <f t="shared" si="7"/>
        <v>11</v>
      </c>
      <c r="V5" s="150">
        <f t="shared" si="8"/>
        <v>2</v>
      </c>
      <c r="X5" s="137" t="s">
        <v>31</v>
      </c>
      <c r="Y5" s="137">
        <v>1.0</v>
      </c>
      <c r="AA5" s="22" t="s">
        <v>38</v>
      </c>
      <c r="AB5" s="70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113</v>
      </c>
      <c r="P6" s="150">
        <f t="shared" si="3"/>
        <v>10</v>
      </c>
      <c r="Q6" s="152">
        <f t="shared" si="4"/>
        <v>3</v>
      </c>
      <c r="R6" s="152"/>
      <c r="S6" s="153">
        <f t="shared" si="5"/>
        <v>8</v>
      </c>
      <c r="T6" s="150">
        <f t="shared" si="6"/>
        <v>7</v>
      </c>
      <c r="U6" s="153">
        <f t="shared" si="7"/>
        <v>16</v>
      </c>
      <c r="V6" s="150">
        <f t="shared" si="8"/>
        <v>-9</v>
      </c>
      <c r="AA6" s="22" t="s">
        <v>41</v>
      </c>
      <c r="AB6" s="70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113</v>
      </c>
      <c r="F7" s="13">
        <v>2.0</v>
      </c>
      <c r="G7" s="31" t="s">
        <v>24</v>
      </c>
      <c r="H7" s="13">
        <v>0.0</v>
      </c>
      <c r="I7" s="17" t="s">
        <v>109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36</v>
      </c>
      <c r="P7" s="150">
        <f t="shared" si="3"/>
        <v>30</v>
      </c>
      <c r="Q7" s="152">
        <f t="shared" si="4"/>
        <v>10</v>
      </c>
      <c r="R7" s="152"/>
      <c r="S7" s="153">
        <f t="shared" si="5"/>
        <v>1</v>
      </c>
      <c r="T7" s="150">
        <f t="shared" si="6"/>
        <v>21</v>
      </c>
      <c r="U7" s="153">
        <f t="shared" si="7"/>
        <v>3</v>
      </c>
      <c r="V7" s="150">
        <f t="shared" si="8"/>
        <v>18</v>
      </c>
      <c r="AA7" s="22" t="s">
        <v>44</v>
      </c>
      <c r="AB7" s="70" t="s">
        <v>112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112</v>
      </c>
      <c r="F8" s="13">
        <v>2.0</v>
      </c>
      <c r="G8" s="31" t="s">
        <v>24</v>
      </c>
      <c r="H8" s="13">
        <v>1.0</v>
      </c>
      <c r="I8" s="17" t="s">
        <v>110</v>
      </c>
      <c r="J8" s="148"/>
      <c r="K8" s="149">
        <f t="shared" si="1"/>
        <v>2</v>
      </c>
      <c r="L8" s="150">
        <f t="shared" si="2"/>
        <v>1</v>
      </c>
      <c r="M8" s="148"/>
      <c r="N8" s="150">
        <v>6.0</v>
      </c>
      <c r="O8" s="151" t="s">
        <v>25</v>
      </c>
      <c r="P8" s="150">
        <f t="shared" si="3"/>
        <v>21</v>
      </c>
      <c r="Q8" s="152">
        <f t="shared" si="4"/>
        <v>8</v>
      </c>
      <c r="R8" s="152"/>
      <c r="S8" s="153">
        <f t="shared" si="5"/>
        <v>3</v>
      </c>
      <c r="T8" s="150">
        <f t="shared" si="6"/>
        <v>17</v>
      </c>
      <c r="U8" s="153">
        <f t="shared" si="7"/>
        <v>10</v>
      </c>
      <c r="V8" s="150">
        <f t="shared" si="8"/>
        <v>7</v>
      </c>
      <c r="AA8" s="22" t="s">
        <v>47</v>
      </c>
      <c r="AB8" s="70" t="s">
        <v>93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93</v>
      </c>
      <c r="F9" s="13">
        <v>1.0</v>
      </c>
      <c r="G9" s="31" t="s">
        <v>24</v>
      </c>
      <c r="H9" s="13">
        <v>2.0</v>
      </c>
      <c r="I9" s="17" t="s">
        <v>112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66</v>
      </c>
      <c r="P9" s="150">
        <f t="shared" si="3"/>
        <v>16</v>
      </c>
      <c r="Q9" s="152">
        <f t="shared" si="4"/>
        <v>5</v>
      </c>
      <c r="R9" s="152"/>
      <c r="S9" s="153">
        <f t="shared" si="5"/>
        <v>6</v>
      </c>
      <c r="T9" s="150">
        <f t="shared" si="6"/>
        <v>12</v>
      </c>
      <c r="U9" s="153">
        <f t="shared" si="7"/>
        <v>13</v>
      </c>
      <c r="V9" s="150">
        <f t="shared" si="8"/>
        <v>-1</v>
      </c>
      <c r="AA9" s="22">
        <v>7.0</v>
      </c>
      <c r="AB9" s="70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8"/>
      <c r="K10" s="149">
        <f t="shared" si="1"/>
        <v>3</v>
      </c>
      <c r="L10" s="150">
        <f t="shared" si="2"/>
        <v>0</v>
      </c>
      <c r="M10" s="148"/>
      <c r="N10" s="150">
        <v>8.0</v>
      </c>
      <c r="O10" s="151" t="s">
        <v>43</v>
      </c>
      <c r="P10" s="150">
        <f t="shared" si="3"/>
        <v>28</v>
      </c>
      <c r="Q10" s="152">
        <f t="shared" si="4"/>
        <v>9</v>
      </c>
      <c r="R10" s="152"/>
      <c r="S10" s="153">
        <f t="shared" si="5"/>
        <v>2</v>
      </c>
      <c r="T10" s="150">
        <f t="shared" si="6"/>
        <v>20</v>
      </c>
      <c r="U10" s="153">
        <f t="shared" si="7"/>
        <v>5</v>
      </c>
      <c r="V10" s="150">
        <f t="shared" si="8"/>
        <v>15</v>
      </c>
      <c r="AA10" s="22">
        <v>8.0</v>
      </c>
      <c r="AB10" s="70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8"/>
      <c r="K11" s="149">
        <f t="shared" si="1"/>
        <v>3</v>
      </c>
      <c r="L11" s="150">
        <f t="shared" si="2"/>
        <v>0</v>
      </c>
      <c r="M11" s="148"/>
      <c r="N11" s="150">
        <v>9.0</v>
      </c>
      <c r="O11" s="151" t="s">
        <v>39</v>
      </c>
      <c r="P11" s="150">
        <f t="shared" si="3"/>
        <v>11</v>
      </c>
      <c r="Q11" s="152">
        <f t="shared" si="4"/>
        <v>3</v>
      </c>
      <c r="R11" s="152"/>
      <c r="S11" s="153">
        <f t="shared" si="5"/>
        <v>8</v>
      </c>
      <c r="T11" s="150">
        <f t="shared" si="6"/>
        <v>9</v>
      </c>
      <c r="U11" s="153">
        <f t="shared" si="7"/>
        <v>17</v>
      </c>
      <c r="V11" s="150">
        <f t="shared" si="8"/>
        <v>-8</v>
      </c>
      <c r="AA11" s="124" t="s">
        <v>96</v>
      </c>
      <c r="AB11" s="70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8"/>
      <c r="K12" s="149">
        <f t="shared" si="1"/>
        <v>0</v>
      </c>
      <c r="L12" s="150">
        <f t="shared" si="2"/>
        <v>3</v>
      </c>
      <c r="M12" s="148"/>
      <c r="N12" s="150">
        <v>10.0</v>
      </c>
      <c r="O12" s="154" t="s">
        <v>67</v>
      </c>
      <c r="P12" s="150">
        <f t="shared" si="3"/>
        <v>13</v>
      </c>
      <c r="Q12" s="152">
        <f t="shared" si="4"/>
        <v>4</v>
      </c>
      <c r="R12" s="152"/>
      <c r="S12" s="153">
        <f t="shared" si="5"/>
        <v>7</v>
      </c>
      <c r="T12" s="150">
        <f t="shared" si="6"/>
        <v>10</v>
      </c>
      <c r="U12" s="153">
        <f t="shared" si="7"/>
        <v>15</v>
      </c>
      <c r="V12" s="150">
        <f t="shared" si="8"/>
        <v>-5</v>
      </c>
      <c r="AA12" s="76">
        <v>10.0</v>
      </c>
      <c r="AB12" s="70" t="s">
        <v>113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109</v>
      </c>
      <c r="F13" s="13">
        <v>0.0</v>
      </c>
      <c r="G13" s="31" t="s">
        <v>24</v>
      </c>
      <c r="H13" s="13">
        <v>2.0</v>
      </c>
      <c r="I13" s="17" t="s">
        <v>25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109</v>
      </c>
      <c r="P13" s="150">
        <f t="shared" si="3"/>
        <v>3</v>
      </c>
      <c r="Q13" s="152">
        <f t="shared" si="4"/>
        <v>1</v>
      </c>
      <c r="R13" s="152"/>
      <c r="S13" s="153">
        <f t="shared" si="5"/>
        <v>10</v>
      </c>
      <c r="T13" s="150">
        <f t="shared" si="6"/>
        <v>3</v>
      </c>
      <c r="U13" s="153">
        <f t="shared" si="7"/>
        <v>21</v>
      </c>
      <c r="V13" s="150">
        <f t="shared" si="8"/>
        <v>-18</v>
      </c>
      <c r="AA13" s="76">
        <v>11.0</v>
      </c>
      <c r="AB13" s="70" t="s">
        <v>109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110</v>
      </c>
      <c r="F14" s="13">
        <v>0.0</v>
      </c>
      <c r="G14" s="31" t="s">
        <v>24</v>
      </c>
      <c r="H14" s="13">
        <v>2.0</v>
      </c>
      <c r="I14" s="17" t="s">
        <v>113</v>
      </c>
      <c r="J14" s="148"/>
      <c r="K14" s="149">
        <f t="shared" si="1"/>
        <v>0</v>
      </c>
      <c r="L14" s="150">
        <f t="shared" si="2"/>
        <v>3</v>
      </c>
      <c r="M14" s="148"/>
      <c r="N14" s="156">
        <v>12.0</v>
      </c>
      <c r="O14" s="155" t="s">
        <v>112</v>
      </c>
      <c r="P14" s="150">
        <f t="shared" si="3"/>
        <v>21</v>
      </c>
      <c r="Q14" s="152">
        <f t="shared" si="4"/>
        <v>8</v>
      </c>
      <c r="S14" s="153">
        <f t="shared" si="5"/>
        <v>3</v>
      </c>
      <c r="T14" s="150">
        <f t="shared" si="6"/>
        <v>18</v>
      </c>
      <c r="U14" s="153">
        <f t="shared" si="7"/>
        <v>11</v>
      </c>
      <c r="V14" s="150">
        <f t="shared" si="8"/>
        <v>7</v>
      </c>
      <c r="AA14" s="76">
        <v>12.0</v>
      </c>
      <c r="AB14" s="28" t="s">
        <v>110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93</v>
      </c>
      <c r="F15" s="13">
        <v>0.0</v>
      </c>
      <c r="G15" s="31" t="s">
        <v>24</v>
      </c>
      <c r="H15" s="13">
        <v>2.0</v>
      </c>
      <c r="I15" s="17" t="s">
        <v>36</v>
      </c>
      <c r="J15" s="148"/>
      <c r="K15" s="149">
        <f t="shared" si="1"/>
        <v>0</v>
      </c>
      <c r="L15" s="150">
        <f t="shared" si="2"/>
        <v>3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219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8"/>
      <c r="K17" s="149">
        <f t="shared" si="1"/>
        <v>3</v>
      </c>
      <c r="L17" s="150">
        <f t="shared" si="2"/>
        <v>0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B17" s="157"/>
      <c r="AC17" s="157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109</v>
      </c>
      <c r="J18" s="158"/>
      <c r="K18" s="149">
        <f t="shared" si="1"/>
        <v>3</v>
      </c>
      <c r="L18" s="150">
        <f t="shared" si="2"/>
        <v>0</v>
      </c>
      <c r="M18" s="148"/>
      <c r="N18" s="148"/>
      <c r="O18" s="148"/>
      <c r="P18" s="148"/>
      <c r="R18" s="148"/>
      <c r="S18" s="148"/>
      <c r="T18" s="148"/>
      <c r="U18" s="148"/>
      <c r="V18" s="148"/>
      <c r="AA18" s="81" t="s">
        <v>103</v>
      </c>
      <c r="AB18" s="82"/>
      <c r="AC18" s="82"/>
      <c r="AD18" s="82"/>
      <c r="AE18" s="82"/>
      <c r="AF18" s="82"/>
      <c r="AG18" s="82"/>
      <c r="AH18" s="82"/>
      <c r="AI18" s="8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110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A19" s="84"/>
      <c r="AB19" s="85"/>
      <c r="AC19" s="85"/>
      <c r="AD19" s="85"/>
      <c r="AE19" s="85"/>
      <c r="AF19" s="85"/>
      <c r="AG19" s="85"/>
      <c r="AH19" s="85"/>
      <c r="AI19" s="86"/>
      <c r="AJ19" s="3"/>
    </row>
    <row r="20" ht="15.75" customHeight="1">
      <c r="A20" s="29"/>
      <c r="B20" s="11">
        <v>45966.0</v>
      </c>
      <c r="C20" s="12" t="s">
        <v>164</v>
      </c>
      <c r="D20" s="12" t="s">
        <v>22</v>
      </c>
      <c r="E20" s="17" t="s">
        <v>112</v>
      </c>
      <c r="F20" s="13">
        <v>2.0</v>
      </c>
      <c r="G20" s="31" t="s">
        <v>24</v>
      </c>
      <c r="H20" s="13">
        <v>0.0</v>
      </c>
      <c r="I20" s="17" t="s">
        <v>113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204</v>
      </c>
      <c r="AH20" s="5" t="s">
        <v>205</v>
      </c>
      <c r="AI20" s="5" t="s">
        <v>206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112</v>
      </c>
      <c r="J21" s="148"/>
      <c r="K21" s="149">
        <f t="shared" si="1"/>
        <v>1</v>
      </c>
      <c r="L21" s="150">
        <f t="shared" si="2"/>
        <v>2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A21" s="22" t="s">
        <v>29</v>
      </c>
      <c r="AB21" s="70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93</v>
      </c>
      <c r="J22" s="148"/>
      <c r="K22" s="149">
        <f t="shared" si="1"/>
        <v>3</v>
      </c>
      <c r="L22" s="150">
        <f t="shared" si="2"/>
        <v>0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A22" s="22" t="s">
        <v>34</v>
      </c>
      <c r="AB22" s="70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155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A23" s="22" t="s">
        <v>38</v>
      </c>
      <c r="AB23" s="70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109</v>
      </c>
      <c r="F24" s="13">
        <v>0.0</v>
      </c>
      <c r="G24" s="31" t="s">
        <v>24</v>
      </c>
      <c r="H24" s="13">
        <v>2.0</v>
      </c>
      <c r="I24" s="17" t="s">
        <v>67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A24" s="22" t="s">
        <v>41</v>
      </c>
      <c r="AB24" s="70" t="s">
        <v>112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110</v>
      </c>
      <c r="F25" s="13">
        <v>0.0</v>
      </c>
      <c r="G25" s="31" t="s">
        <v>24</v>
      </c>
      <c r="H25" s="13">
        <v>2.0</v>
      </c>
      <c r="I25" s="17" t="s">
        <v>43</v>
      </c>
      <c r="J25" s="148"/>
      <c r="K25" s="149">
        <f t="shared" si="1"/>
        <v>0</v>
      </c>
      <c r="L25" s="150">
        <f t="shared" si="2"/>
        <v>3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22" t="s">
        <v>44</v>
      </c>
      <c r="AB25" s="70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113</v>
      </c>
      <c r="F26" s="13">
        <v>0.0</v>
      </c>
      <c r="G26" s="31" t="s">
        <v>24</v>
      </c>
      <c r="H26" s="13">
        <v>2.0</v>
      </c>
      <c r="I26" s="17" t="s">
        <v>25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22" t="s">
        <v>47</v>
      </c>
      <c r="AB26" s="70" t="s">
        <v>93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8"/>
      <c r="K27" s="149">
        <f t="shared" si="1"/>
        <v>3</v>
      </c>
      <c r="L27" s="150">
        <f t="shared" si="2"/>
        <v>0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22">
        <v>7.0</v>
      </c>
      <c r="AB27" s="70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93</v>
      </c>
      <c r="F28" s="13">
        <v>2.0</v>
      </c>
      <c r="G28" s="31" t="s">
        <v>24</v>
      </c>
      <c r="H28" s="13">
        <v>0.0</v>
      </c>
      <c r="I28" s="17" t="s">
        <v>39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22">
        <v>8.0</v>
      </c>
      <c r="AB28" s="70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109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124" t="s">
        <v>96</v>
      </c>
      <c r="AB29" s="70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110</v>
      </c>
      <c r="J30" s="148"/>
      <c r="K30" s="149">
        <f t="shared" si="1"/>
        <v>3</v>
      </c>
      <c r="L30" s="150">
        <f t="shared" si="2"/>
        <v>0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76">
        <v>10.0</v>
      </c>
      <c r="AB30" s="70" t="s">
        <v>113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113</v>
      </c>
      <c r="J31" s="148"/>
      <c r="K31" s="149">
        <f t="shared" si="1"/>
        <v>3</v>
      </c>
      <c r="L31" s="150">
        <f t="shared" si="2"/>
        <v>0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76">
        <v>11.0</v>
      </c>
      <c r="AB31" s="70" t="s">
        <v>109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112</v>
      </c>
      <c r="F32" s="13">
        <v>1.0</v>
      </c>
      <c r="G32" s="31" t="s">
        <v>24</v>
      </c>
      <c r="H32" s="13">
        <v>2.0</v>
      </c>
      <c r="I32" s="17" t="s">
        <v>25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76">
        <v>12.0</v>
      </c>
      <c r="AB32" s="28" t="s">
        <v>110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154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112</v>
      </c>
      <c r="J33" s="148"/>
      <c r="K33" s="149">
        <f t="shared" si="1"/>
        <v>1</v>
      </c>
      <c r="L33" s="150">
        <f t="shared" si="2"/>
        <v>2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5" t="s">
        <v>220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154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8"/>
      <c r="K34" s="149">
        <f t="shared" si="1"/>
        <v>0</v>
      </c>
      <c r="L34" s="150">
        <f t="shared" si="2"/>
        <v>3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79" t="s">
        <v>101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154</v>
      </c>
      <c r="D35" s="12" t="s">
        <v>22</v>
      </c>
      <c r="E35" s="17" t="s">
        <v>109</v>
      </c>
      <c r="F35" s="13">
        <v>0.0</v>
      </c>
      <c r="G35" s="31" t="s">
        <v>24</v>
      </c>
      <c r="H35" s="13">
        <v>2.0</v>
      </c>
      <c r="I35" s="17" t="s">
        <v>93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157"/>
      <c r="AD35" s="37"/>
      <c r="AJ35" s="3"/>
    </row>
    <row r="36" ht="15.75" customHeight="1">
      <c r="A36" s="25"/>
      <c r="B36" s="11">
        <v>46082.0</v>
      </c>
      <c r="C36" s="12" t="s">
        <v>152</v>
      </c>
      <c r="D36" s="12" t="s">
        <v>22</v>
      </c>
      <c r="E36" s="17" t="s">
        <v>110</v>
      </c>
      <c r="F36" s="13">
        <v>0.0</v>
      </c>
      <c r="G36" s="31" t="s">
        <v>24</v>
      </c>
      <c r="H36" s="13">
        <v>2.0</v>
      </c>
      <c r="I36" s="17" t="s">
        <v>33</v>
      </c>
      <c r="J36" s="148"/>
      <c r="K36" s="149">
        <f t="shared" si="1"/>
        <v>0</v>
      </c>
      <c r="L36" s="150">
        <f t="shared" si="2"/>
        <v>3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J36" s="3"/>
    </row>
    <row r="37" ht="15.75" customHeight="1">
      <c r="A37" s="25"/>
      <c r="B37" s="11">
        <v>46082.0</v>
      </c>
      <c r="C37" s="12" t="s">
        <v>152</v>
      </c>
      <c r="D37" s="12" t="s">
        <v>22</v>
      </c>
      <c r="E37" s="17" t="s">
        <v>113</v>
      </c>
      <c r="F37" s="13">
        <v>1.0</v>
      </c>
      <c r="G37" s="31" t="s">
        <v>24</v>
      </c>
      <c r="H37" s="13">
        <v>2.0</v>
      </c>
      <c r="I37" s="17" t="s">
        <v>67</v>
      </c>
      <c r="J37" s="148"/>
      <c r="K37" s="149">
        <f t="shared" si="1"/>
        <v>1</v>
      </c>
      <c r="L37" s="150">
        <f t="shared" si="2"/>
        <v>2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J37" s="3"/>
    </row>
    <row r="38" ht="15.75" customHeight="1">
      <c r="A38" s="29"/>
      <c r="B38" s="11">
        <v>46082.0</v>
      </c>
      <c r="C38" s="12" t="s">
        <v>152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8"/>
      <c r="K38" s="149">
        <f t="shared" si="1"/>
        <v>1</v>
      </c>
      <c r="L38" s="150">
        <f t="shared" si="2"/>
        <v>2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8"/>
      <c r="K39" s="149">
        <f t="shared" si="1"/>
        <v>2</v>
      </c>
      <c r="L39" s="150">
        <f t="shared" si="2"/>
        <v>1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109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93</v>
      </c>
      <c r="F41" s="13">
        <v>2.0</v>
      </c>
      <c r="G41" s="31" t="s">
        <v>24</v>
      </c>
      <c r="H41" s="13">
        <v>0.0</v>
      </c>
      <c r="I41" s="44" t="s">
        <v>110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113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8"/>
      <c r="K43" s="149">
        <f t="shared" si="1"/>
        <v>1</v>
      </c>
      <c r="L43" s="150">
        <f t="shared" si="2"/>
        <v>2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112</v>
      </c>
      <c r="F44" s="13">
        <v>0.0</v>
      </c>
      <c r="G44" s="31" t="s">
        <v>24</v>
      </c>
      <c r="H44" s="13">
        <v>2.0</v>
      </c>
      <c r="I44" s="17" t="s">
        <v>43</v>
      </c>
      <c r="J44" s="148"/>
      <c r="K44" s="149">
        <f t="shared" si="1"/>
        <v>0</v>
      </c>
      <c r="L44" s="150">
        <f t="shared" si="2"/>
        <v>3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112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109</v>
      </c>
      <c r="F46" s="13">
        <v>0.0</v>
      </c>
      <c r="G46" s="31" t="s">
        <v>24</v>
      </c>
      <c r="H46" s="13">
        <v>2.0</v>
      </c>
      <c r="I46" s="17" t="s">
        <v>66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110</v>
      </c>
      <c r="F47" s="13">
        <v>0.0</v>
      </c>
      <c r="G47" s="31" t="s">
        <v>24</v>
      </c>
      <c r="H47" s="13">
        <v>2.0</v>
      </c>
      <c r="I47" s="17" t="s">
        <v>36</v>
      </c>
      <c r="J47" s="148"/>
      <c r="K47" s="149">
        <f t="shared" si="1"/>
        <v>0</v>
      </c>
      <c r="L47" s="150">
        <f t="shared" si="2"/>
        <v>3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113</v>
      </c>
      <c r="F48" s="13">
        <v>0.0</v>
      </c>
      <c r="G48" s="31" t="s">
        <v>24</v>
      </c>
      <c r="H48" s="13">
        <v>2.0</v>
      </c>
      <c r="I48" s="44" t="s">
        <v>93</v>
      </c>
      <c r="K48" s="149">
        <f t="shared" si="1"/>
        <v>0</v>
      </c>
      <c r="L48" s="150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49">
        <f t="shared" si="1"/>
        <v>2</v>
      </c>
      <c r="L49" s="150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49">
        <f t="shared" si="1"/>
        <v>3</v>
      </c>
      <c r="L50" s="150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59">
        <v>2.0</v>
      </c>
      <c r="G51" s="31" t="s">
        <v>24</v>
      </c>
      <c r="H51" s="13">
        <v>1.0</v>
      </c>
      <c r="I51" s="17" t="s">
        <v>109</v>
      </c>
      <c r="K51" s="149">
        <f t="shared" si="1"/>
        <v>2</v>
      </c>
      <c r="L51" s="150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59">
        <v>2.0</v>
      </c>
      <c r="G52" s="31" t="s">
        <v>24</v>
      </c>
      <c r="H52" s="13">
        <v>0.0</v>
      </c>
      <c r="I52" s="17" t="s">
        <v>110</v>
      </c>
      <c r="K52" s="149">
        <f t="shared" si="1"/>
        <v>3</v>
      </c>
      <c r="L52" s="150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59">
        <v>2.0</v>
      </c>
      <c r="G53" s="31" t="s">
        <v>24</v>
      </c>
      <c r="H53" s="13">
        <v>0.0</v>
      </c>
      <c r="I53" s="17" t="s">
        <v>113</v>
      </c>
      <c r="K53" s="149">
        <f t="shared" si="1"/>
        <v>3</v>
      </c>
      <c r="L53" s="150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93</v>
      </c>
      <c r="F54" s="159">
        <v>2.0</v>
      </c>
      <c r="G54" s="31" t="s">
        <v>24</v>
      </c>
      <c r="H54" s="13">
        <v>0.0</v>
      </c>
      <c r="I54" s="14" t="s">
        <v>25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59">
        <v>2.0</v>
      </c>
      <c r="G55" s="31" t="s">
        <v>24</v>
      </c>
      <c r="H55" s="13">
        <v>1.0</v>
      </c>
      <c r="I55" s="17" t="s">
        <v>43</v>
      </c>
      <c r="K55" s="149">
        <f t="shared" si="1"/>
        <v>2</v>
      </c>
      <c r="L55" s="150">
        <f t="shared" si="2"/>
        <v>1</v>
      </c>
      <c r="AA55" s="3"/>
      <c r="AB55" s="14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112</v>
      </c>
      <c r="F56" s="159">
        <v>2.0</v>
      </c>
      <c r="G56" s="31" t="s">
        <v>24</v>
      </c>
      <c r="H56" s="13">
        <v>0.0</v>
      </c>
      <c r="I56" s="17" t="s">
        <v>67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112</v>
      </c>
      <c r="F57" s="13">
        <v>2.0</v>
      </c>
      <c r="G57" s="31" t="s">
        <v>24</v>
      </c>
      <c r="H57" s="13">
        <v>0.0</v>
      </c>
      <c r="I57" s="17" t="s">
        <v>109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110</v>
      </c>
      <c r="F58" s="13">
        <v>0.0</v>
      </c>
      <c r="G58" s="31" t="s">
        <v>24</v>
      </c>
      <c r="H58" s="13">
        <v>2.0</v>
      </c>
      <c r="I58" s="17" t="s">
        <v>39</v>
      </c>
      <c r="K58" s="149">
        <f t="shared" si="1"/>
        <v>0</v>
      </c>
      <c r="L58" s="150">
        <f t="shared" si="2"/>
        <v>3</v>
      </c>
      <c r="AA58" s="3"/>
      <c r="AB58" s="14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113</v>
      </c>
      <c r="F59" s="13">
        <v>2.0</v>
      </c>
      <c r="G59" s="31" t="s">
        <v>24</v>
      </c>
      <c r="H59" s="13">
        <v>0.0</v>
      </c>
      <c r="I59" s="17" t="s">
        <v>66</v>
      </c>
      <c r="K59" s="149">
        <f t="shared" si="1"/>
        <v>3</v>
      </c>
      <c r="L59" s="150">
        <f t="shared" si="2"/>
        <v>0</v>
      </c>
      <c r="AA59" s="3"/>
      <c r="AB59" s="14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49">
        <f t="shared" si="1"/>
        <v>0</v>
      </c>
      <c r="L60" s="150">
        <f t="shared" si="2"/>
        <v>3</v>
      </c>
      <c r="AA60" s="3"/>
      <c r="AB60" s="14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93</v>
      </c>
      <c r="K61" s="149">
        <f t="shared" si="1"/>
        <v>3</v>
      </c>
      <c r="L61" s="150">
        <f t="shared" si="2"/>
        <v>0</v>
      </c>
      <c r="AA61" s="3"/>
      <c r="AB61" s="14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109</v>
      </c>
      <c r="F63" s="13">
        <v>2.0</v>
      </c>
      <c r="G63" s="31" t="s">
        <v>24</v>
      </c>
      <c r="H63" s="13">
        <v>1.0</v>
      </c>
      <c r="I63" s="17" t="s">
        <v>110</v>
      </c>
      <c r="K63" s="149">
        <f t="shared" si="1"/>
        <v>2</v>
      </c>
      <c r="L63" s="150">
        <f t="shared" si="2"/>
        <v>1</v>
      </c>
      <c r="AA63" s="3"/>
      <c r="AB63" s="14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113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49">
        <f t="shared" si="1"/>
        <v>1</v>
      </c>
      <c r="L65" s="150">
        <f t="shared" si="2"/>
        <v>2</v>
      </c>
      <c r="AA65" s="3"/>
      <c r="AB65" s="14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49">
        <f t="shared" si="1"/>
        <v>2</v>
      </c>
      <c r="L66" s="150">
        <f t="shared" si="2"/>
        <v>1</v>
      </c>
      <c r="AA66" s="3"/>
      <c r="AB66" s="14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93</v>
      </c>
      <c r="F67" s="13">
        <v>2.0</v>
      </c>
      <c r="G67" s="31" t="s">
        <v>24</v>
      </c>
      <c r="H67" s="13">
        <v>1.0</v>
      </c>
      <c r="I67" s="17" t="s">
        <v>67</v>
      </c>
      <c r="K67" s="149">
        <f t="shared" si="1"/>
        <v>2</v>
      </c>
      <c r="L67" s="150">
        <f t="shared" si="2"/>
        <v>1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112</v>
      </c>
      <c r="K68" s="149">
        <f t="shared" si="1"/>
        <v>2</v>
      </c>
      <c r="L68" s="150">
        <f t="shared" si="2"/>
        <v>1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0" t="s">
        <v>221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153</v>
      </c>
      <c r="F74" s="13">
        <v>0.0</v>
      </c>
      <c r="G74" s="31" t="s">
        <v>24</v>
      </c>
      <c r="H74" s="13">
        <v>2.0</v>
      </c>
      <c r="I74" s="17" t="s">
        <v>58</v>
      </c>
      <c r="J74" s="148"/>
      <c r="K74" s="149">
        <f t="shared" ref="K74:K139" si="9">IFS(F74=H74+2,3,F74=H74-2,0,F74=H74+1,2,F74=H74-1,1,F74="","")</f>
        <v>0</v>
      </c>
      <c r="L74" s="150">
        <f t="shared" ref="L74:L139" si="10">IFS(H74=F74+2,3,H74=F74-2,0,H74=F74+1,2,H74=F74-1,1,H74="","")</f>
        <v>3</v>
      </c>
      <c r="M74" s="148"/>
      <c r="N74" s="150">
        <v>1.0</v>
      </c>
      <c r="O74" s="151" t="s">
        <v>153</v>
      </c>
      <c r="P74" s="150">
        <f t="shared" ref="P74:P84" si="11">SUMIF(E$74:E$139,O74,K$74:K$139)+SUMIF(I$74:I$139,O74,L$74:L$139)</f>
        <v>24</v>
      </c>
      <c r="Q74" s="152">
        <f t="shared" ref="Q74:Q84" si="12">COUNTIFS(E$74:E$139,O74,K$74:K$139,2)+COUNTIFS(I$74:I$139,O74,L$74:L$139,2)+COUNTIFS(E$74:E$139,O74,K$74:K$139,3)+COUNTIFS(I$74:I$139,O74,L$74:L$139,3)</f>
        <v>8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2</v>
      </c>
      <c r="T74" s="150">
        <f t="shared" ref="T74:T84" si="14">SUMIF(E$74:E$139,O74,F$74:F$139)+SUMIF(I$74:I$139,O74,H$74:H$139)</f>
        <v>17</v>
      </c>
      <c r="U74" s="153">
        <f t="shared" ref="U74:U84" si="15">SUMIF(E$74:E$139,O74,H$74:H$139)+SUMIF(I$74:I$139,O74,F$74:F$139)</f>
        <v>5</v>
      </c>
      <c r="V74" s="150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197</v>
      </c>
      <c r="F75" s="13">
        <v>0.0</v>
      </c>
      <c r="G75" s="31" t="s">
        <v>24</v>
      </c>
      <c r="H75" s="13">
        <v>2.0</v>
      </c>
      <c r="I75" s="17" t="s">
        <v>167</v>
      </c>
      <c r="J75" s="148"/>
      <c r="K75" s="149">
        <f t="shared" si="9"/>
        <v>0</v>
      </c>
      <c r="L75" s="150">
        <f t="shared" si="10"/>
        <v>3</v>
      </c>
      <c r="M75" s="148"/>
      <c r="N75" s="150">
        <v>2.0</v>
      </c>
      <c r="O75" s="151" t="s">
        <v>32</v>
      </c>
      <c r="P75" s="150">
        <f t="shared" si="11"/>
        <v>8</v>
      </c>
      <c r="Q75" s="152">
        <f t="shared" si="12"/>
        <v>2</v>
      </c>
      <c r="R75" s="153"/>
      <c r="S75" s="153">
        <f t="shared" si="13"/>
        <v>8</v>
      </c>
      <c r="T75" s="150">
        <f t="shared" si="14"/>
        <v>7</v>
      </c>
      <c r="U75" s="153">
        <f t="shared" si="15"/>
        <v>17</v>
      </c>
      <c r="V75" s="150">
        <f t="shared" si="16"/>
        <v>-10</v>
      </c>
      <c r="X75" s="137" t="s">
        <v>33</v>
      </c>
      <c r="Y75" s="137">
        <v>3.0</v>
      </c>
      <c r="AA75" s="124" t="s">
        <v>111</v>
      </c>
      <c r="AB75" s="70" t="s">
        <v>153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58</v>
      </c>
      <c r="P76" s="150">
        <f t="shared" si="11"/>
        <v>27</v>
      </c>
      <c r="Q76" s="152">
        <f t="shared" si="12"/>
        <v>10</v>
      </c>
      <c r="R76" s="153"/>
      <c r="S76" s="153">
        <f t="shared" si="13"/>
        <v>0</v>
      </c>
      <c r="T76" s="150">
        <f t="shared" si="14"/>
        <v>20</v>
      </c>
      <c r="U76" s="153">
        <f t="shared" si="15"/>
        <v>3</v>
      </c>
      <c r="V76" s="150">
        <f t="shared" si="16"/>
        <v>17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8"/>
      <c r="K77" s="149">
        <f t="shared" si="9"/>
        <v>0</v>
      </c>
      <c r="L77" s="150">
        <f t="shared" si="10"/>
        <v>3</v>
      </c>
      <c r="M77" s="148"/>
      <c r="N77" s="150">
        <v>4.0</v>
      </c>
      <c r="O77" s="151" t="s">
        <v>180</v>
      </c>
      <c r="P77" s="150">
        <f t="shared" si="11"/>
        <v>16</v>
      </c>
      <c r="Q77" s="152">
        <f t="shared" si="12"/>
        <v>5</v>
      </c>
      <c r="R77" s="153"/>
      <c r="S77" s="153">
        <f t="shared" si="13"/>
        <v>5</v>
      </c>
      <c r="T77" s="150">
        <f t="shared" si="14"/>
        <v>12</v>
      </c>
      <c r="U77" s="153">
        <f t="shared" si="15"/>
        <v>11</v>
      </c>
      <c r="V77" s="150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180</v>
      </c>
      <c r="F78" s="13">
        <v>2.0</v>
      </c>
      <c r="G78" s="31" t="s">
        <v>24</v>
      </c>
      <c r="H78" s="13">
        <v>0.0</v>
      </c>
      <c r="I78" s="17" t="s">
        <v>222</v>
      </c>
      <c r="J78" s="148"/>
      <c r="K78" s="149">
        <f t="shared" si="9"/>
        <v>3</v>
      </c>
      <c r="L78" s="150">
        <f t="shared" si="10"/>
        <v>0</v>
      </c>
      <c r="M78" s="148"/>
      <c r="N78" s="150">
        <v>5.0</v>
      </c>
      <c r="O78" s="151" t="s">
        <v>167</v>
      </c>
      <c r="P78" s="150">
        <f t="shared" si="11"/>
        <v>24</v>
      </c>
      <c r="Q78" s="152">
        <f t="shared" si="12"/>
        <v>8</v>
      </c>
      <c r="R78" s="153"/>
      <c r="S78" s="153">
        <f t="shared" si="13"/>
        <v>2</v>
      </c>
      <c r="T78" s="150">
        <f t="shared" si="14"/>
        <v>17</v>
      </c>
      <c r="U78" s="153">
        <f t="shared" si="15"/>
        <v>5</v>
      </c>
      <c r="V78" s="150">
        <f t="shared" si="16"/>
        <v>12</v>
      </c>
      <c r="AA78" s="22">
        <v>5.0</v>
      </c>
      <c r="AB78" s="70" t="s">
        <v>180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32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63</v>
      </c>
      <c r="P79" s="150">
        <f t="shared" si="11"/>
        <v>0</v>
      </c>
      <c r="Q79" s="152">
        <f t="shared" si="12"/>
        <v>0</v>
      </c>
      <c r="R79" s="153"/>
      <c r="S79" s="153">
        <f t="shared" si="13"/>
        <v>10</v>
      </c>
      <c r="T79" s="150">
        <f t="shared" si="14"/>
        <v>0</v>
      </c>
      <c r="U79" s="153">
        <f t="shared" si="15"/>
        <v>20</v>
      </c>
      <c r="V79" s="150">
        <f t="shared" si="16"/>
        <v>-20</v>
      </c>
      <c r="AA79" s="22">
        <v>6.0</v>
      </c>
      <c r="AB79" s="70" t="s">
        <v>222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62"/>
      <c r="C80" s="163"/>
      <c r="D80" s="164"/>
      <c r="E80" s="17" t="s">
        <v>58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37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8</v>
      </c>
      <c r="U80" s="153">
        <f t="shared" si="15"/>
        <v>14</v>
      </c>
      <c r="V80" s="150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167</v>
      </c>
      <c r="F81" s="13">
        <v>0.0</v>
      </c>
      <c r="G81" s="31" t="s">
        <v>24</v>
      </c>
      <c r="H81" s="13">
        <v>2.0</v>
      </c>
      <c r="I81" s="17" t="s">
        <v>153</v>
      </c>
      <c r="J81" s="148"/>
      <c r="K81" s="149">
        <f t="shared" si="9"/>
        <v>0</v>
      </c>
      <c r="L81" s="150">
        <f t="shared" si="10"/>
        <v>3</v>
      </c>
      <c r="M81" s="148"/>
      <c r="N81" s="150">
        <v>8.0</v>
      </c>
      <c r="O81" s="151" t="s">
        <v>23</v>
      </c>
      <c r="P81" s="150">
        <f t="shared" si="11"/>
        <v>19</v>
      </c>
      <c r="Q81" s="152">
        <f t="shared" si="12"/>
        <v>7</v>
      </c>
      <c r="R81" s="153"/>
      <c r="S81" s="153">
        <f t="shared" si="13"/>
        <v>3</v>
      </c>
      <c r="T81" s="150">
        <f t="shared" si="14"/>
        <v>15</v>
      </c>
      <c r="U81" s="153">
        <f t="shared" si="15"/>
        <v>9</v>
      </c>
      <c r="V81" s="150">
        <f t="shared" si="16"/>
        <v>6</v>
      </c>
      <c r="AA81" s="22">
        <v>8.0</v>
      </c>
      <c r="AB81" s="70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197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61</v>
      </c>
      <c r="P82" s="150">
        <f t="shared" si="11"/>
        <v>13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11</v>
      </c>
      <c r="U82" s="153">
        <f t="shared" si="15"/>
        <v>13</v>
      </c>
      <c r="V82" s="150">
        <f t="shared" si="16"/>
        <v>-2</v>
      </c>
      <c r="AA82" s="22">
        <v>9.0</v>
      </c>
      <c r="AB82" s="70" t="s">
        <v>197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8"/>
      <c r="K83" s="149">
        <f t="shared" si="9"/>
        <v>1</v>
      </c>
      <c r="L83" s="150">
        <f t="shared" si="10"/>
        <v>2</v>
      </c>
      <c r="M83" s="148"/>
      <c r="N83" s="150">
        <v>10.0</v>
      </c>
      <c r="O83" s="151" t="s">
        <v>197</v>
      </c>
      <c r="P83" s="150">
        <f t="shared" si="11"/>
        <v>10</v>
      </c>
      <c r="Q83" s="152">
        <f t="shared" si="12"/>
        <v>3</v>
      </c>
      <c r="R83" s="153"/>
      <c r="S83" s="153">
        <f t="shared" si="13"/>
        <v>7</v>
      </c>
      <c r="T83" s="150">
        <f t="shared" si="14"/>
        <v>7</v>
      </c>
      <c r="U83" s="153">
        <f t="shared" si="15"/>
        <v>14</v>
      </c>
      <c r="V83" s="150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222</v>
      </c>
      <c r="F84" s="13">
        <v>2.0</v>
      </c>
      <c r="G84" s="31" t="s">
        <v>24</v>
      </c>
      <c r="H84" s="13">
        <v>0.0</v>
      </c>
      <c r="I84" s="14" t="s">
        <v>63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222</v>
      </c>
      <c r="P84" s="150">
        <f t="shared" si="11"/>
        <v>14</v>
      </c>
      <c r="Q84" s="152">
        <f t="shared" si="12"/>
        <v>3</v>
      </c>
      <c r="S84" s="153">
        <f t="shared" si="13"/>
        <v>7</v>
      </c>
      <c r="T84" s="150">
        <f t="shared" si="14"/>
        <v>11</v>
      </c>
      <c r="U84" s="153">
        <f t="shared" si="15"/>
        <v>14</v>
      </c>
      <c r="V84" s="150">
        <f t="shared" si="16"/>
        <v>-3</v>
      </c>
      <c r="AA84" s="52">
        <v>11.0</v>
      </c>
      <c r="AB84" s="70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6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180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223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167</v>
      </c>
      <c r="J86" s="148"/>
      <c r="K86" s="149">
        <f t="shared" si="9"/>
        <v>2</v>
      </c>
      <c r="L86" s="150">
        <f t="shared" si="10"/>
        <v>1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35</v>
      </c>
      <c r="D87" s="12" t="s">
        <v>22</v>
      </c>
      <c r="E87" s="17" t="s">
        <v>153</v>
      </c>
      <c r="F87" s="13">
        <v>2.0</v>
      </c>
      <c r="G87" s="31" t="s">
        <v>24</v>
      </c>
      <c r="H87" s="13">
        <v>0.0</v>
      </c>
      <c r="I87" s="17" t="s">
        <v>37</v>
      </c>
      <c r="J87" s="148"/>
      <c r="K87" s="149">
        <f t="shared" si="9"/>
        <v>3</v>
      </c>
      <c r="L87" s="150">
        <f t="shared" si="10"/>
        <v>0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183</v>
      </c>
      <c r="D88" s="12" t="s">
        <v>22</v>
      </c>
      <c r="E88" s="17" t="s">
        <v>197</v>
      </c>
      <c r="F88" s="13">
        <v>1.0</v>
      </c>
      <c r="G88" s="31" t="s">
        <v>24</v>
      </c>
      <c r="H88" s="13">
        <v>2.0</v>
      </c>
      <c r="I88" s="17" t="s">
        <v>61</v>
      </c>
      <c r="J88" s="148"/>
      <c r="K88" s="149">
        <f t="shared" si="9"/>
        <v>1</v>
      </c>
      <c r="L88" s="150">
        <f t="shared" si="10"/>
        <v>2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222</v>
      </c>
      <c r="J89" s="158"/>
      <c r="K89" s="149">
        <f t="shared" si="9"/>
        <v>2</v>
      </c>
      <c r="L89" s="150">
        <f t="shared" si="10"/>
        <v>1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  <c r="AJ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180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  <c r="AJ91" s="3"/>
    </row>
    <row r="92" ht="15.75" customHeight="1">
      <c r="A92" s="143">
        <v>4.0</v>
      </c>
      <c r="B92" s="162"/>
      <c r="C92" s="164"/>
      <c r="D92" s="164"/>
      <c r="E92" s="17" t="s">
        <v>167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8"/>
      <c r="K93" s="149">
        <f t="shared" si="9"/>
        <v>0</v>
      </c>
      <c r="L93" s="150">
        <f t="shared" si="10"/>
        <v>3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153</v>
      </c>
      <c r="J94" s="148"/>
      <c r="K94" s="149">
        <f t="shared" si="9"/>
        <v>0</v>
      </c>
      <c r="L94" s="150">
        <f t="shared" si="10"/>
        <v>3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222</v>
      </c>
      <c r="F95" s="13">
        <v>2.0</v>
      </c>
      <c r="G95" s="31" t="s">
        <v>24</v>
      </c>
      <c r="H95" s="13">
        <v>0.0</v>
      </c>
      <c r="I95" s="17" t="s">
        <v>197</v>
      </c>
      <c r="J95" s="148"/>
      <c r="K95" s="149">
        <f t="shared" si="9"/>
        <v>3</v>
      </c>
      <c r="L95" s="150">
        <f t="shared" si="10"/>
        <v>0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8"/>
      <c r="K96" s="149">
        <f t="shared" si="9"/>
        <v>1</v>
      </c>
      <c r="L96" s="150">
        <f t="shared" si="10"/>
        <v>2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180</v>
      </c>
      <c r="F97" s="13">
        <v>2.0</v>
      </c>
      <c r="G97" s="31" t="s">
        <v>24</v>
      </c>
      <c r="H97" s="13">
        <v>0.0</v>
      </c>
      <c r="I97" s="17" t="s">
        <v>63</v>
      </c>
      <c r="J97" s="148"/>
      <c r="K97" s="149">
        <f t="shared" si="9"/>
        <v>3</v>
      </c>
      <c r="L97" s="150">
        <f t="shared" si="10"/>
        <v>0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167</v>
      </c>
      <c r="F98" s="13">
        <v>2.0</v>
      </c>
      <c r="G98" s="31" t="s">
        <v>24</v>
      </c>
      <c r="H98" s="13">
        <v>0.0</v>
      </c>
      <c r="I98" s="17" t="s">
        <v>37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59">
        <v>2.0</v>
      </c>
      <c r="G99" s="31" t="s">
        <v>24</v>
      </c>
      <c r="H99" s="13">
        <v>0.0</v>
      </c>
      <c r="I99" s="17" t="s">
        <v>61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153</v>
      </c>
      <c r="F100" s="159">
        <v>2.0</v>
      </c>
      <c r="G100" s="31" t="s">
        <v>24</v>
      </c>
      <c r="H100" s="13">
        <v>1.0</v>
      </c>
      <c r="I100" s="17" t="s">
        <v>222</v>
      </c>
      <c r="J100" s="148"/>
      <c r="K100" s="149">
        <f t="shared" si="9"/>
        <v>2</v>
      </c>
      <c r="L100" s="150">
        <f t="shared" si="10"/>
        <v>1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197</v>
      </c>
      <c r="F101" s="159">
        <v>2.0</v>
      </c>
      <c r="G101" s="31" t="s">
        <v>24</v>
      </c>
      <c r="H101" s="13">
        <v>0.0</v>
      </c>
      <c r="I101" s="17" t="s">
        <v>32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59">
        <v>2.0</v>
      </c>
      <c r="G102" s="31" t="s">
        <v>24</v>
      </c>
      <c r="H102" s="13">
        <v>0.0</v>
      </c>
      <c r="I102" s="17" t="s">
        <v>180</v>
      </c>
      <c r="J102" s="148"/>
      <c r="K102" s="149">
        <f t="shared" si="9"/>
        <v>3</v>
      </c>
      <c r="L102" s="150">
        <f t="shared" si="10"/>
        <v>0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63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62"/>
      <c r="C104" s="163"/>
      <c r="D104" s="164"/>
      <c r="E104" s="17" t="s">
        <v>37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121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167</v>
      </c>
      <c r="J105" s="148"/>
      <c r="K105" s="149">
        <f t="shared" si="9"/>
        <v>0</v>
      </c>
      <c r="L105" s="150">
        <f t="shared" si="10"/>
        <v>3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121</v>
      </c>
      <c r="D106" s="12" t="s">
        <v>22</v>
      </c>
      <c r="E106" s="17" t="s">
        <v>222</v>
      </c>
      <c r="F106" s="13">
        <v>1.0</v>
      </c>
      <c r="G106" s="31" t="s">
        <v>24</v>
      </c>
      <c r="H106" s="13">
        <v>2.0</v>
      </c>
      <c r="I106" s="17" t="s">
        <v>58</v>
      </c>
      <c r="J106" s="148"/>
      <c r="K106" s="149">
        <f t="shared" si="9"/>
        <v>1</v>
      </c>
      <c r="L106" s="150">
        <f t="shared" si="10"/>
        <v>2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121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153</v>
      </c>
      <c r="J107" s="148"/>
      <c r="K107" s="149">
        <f t="shared" si="9"/>
        <v>0</v>
      </c>
      <c r="L107" s="150">
        <f t="shared" si="10"/>
        <v>3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156</v>
      </c>
      <c r="D108" s="12" t="s">
        <v>22</v>
      </c>
      <c r="E108" s="17" t="s">
        <v>180</v>
      </c>
      <c r="F108" s="13">
        <v>2.0</v>
      </c>
      <c r="G108" s="31" t="s">
        <v>24</v>
      </c>
      <c r="H108" s="13">
        <v>0.0</v>
      </c>
      <c r="I108" s="17" t="s">
        <v>197</v>
      </c>
      <c r="J108" s="148"/>
      <c r="K108" s="149">
        <f t="shared" si="9"/>
        <v>3</v>
      </c>
      <c r="L108" s="150">
        <f t="shared" si="10"/>
        <v>0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156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156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8"/>
      <c r="K110" s="149">
        <f t="shared" si="9"/>
        <v>3</v>
      </c>
      <c r="L110" s="150">
        <f t="shared" si="10"/>
        <v>0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167</v>
      </c>
      <c r="F111" s="13">
        <v>2.0</v>
      </c>
      <c r="G111" s="31" t="s">
        <v>24</v>
      </c>
      <c r="H111" s="13">
        <v>0.0</v>
      </c>
      <c r="I111" s="17" t="s">
        <v>222</v>
      </c>
      <c r="J111" s="148"/>
      <c r="K111" s="149">
        <f t="shared" si="9"/>
        <v>3</v>
      </c>
      <c r="L111" s="150">
        <f t="shared" si="10"/>
        <v>0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8"/>
      <c r="K112" s="149">
        <f t="shared" si="9"/>
        <v>3</v>
      </c>
      <c r="L112" s="150">
        <f t="shared" si="10"/>
        <v>0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153</v>
      </c>
      <c r="F113" s="13">
        <v>1.0</v>
      </c>
      <c r="G113" s="31" t="s">
        <v>24</v>
      </c>
      <c r="H113" s="13">
        <v>2.0</v>
      </c>
      <c r="I113" s="17" t="s">
        <v>180</v>
      </c>
      <c r="J113" s="148"/>
      <c r="K113" s="149">
        <f t="shared" si="9"/>
        <v>1</v>
      </c>
      <c r="L113" s="150">
        <f t="shared" si="10"/>
        <v>2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155</v>
      </c>
      <c r="D114" s="12" t="s">
        <v>22</v>
      </c>
      <c r="E114" s="17" t="s">
        <v>197</v>
      </c>
      <c r="F114" s="13">
        <v>2.0</v>
      </c>
      <c r="G114" s="31" t="s">
        <v>24</v>
      </c>
      <c r="H114" s="13">
        <v>0.0</v>
      </c>
      <c r="I114" s="17" t="s">
        <v>63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23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62"/>
      <c r="C116" s="163"/>
      <c r="D116" s="164"/>
      <c r="E116" s="17" t="s">
        <v>61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222</v>
      </c>
      <c r="F117" s="13">
        <v>2.0</v>
      </c>
      <c r="G117" s="31" t="s">
        <v>24</v>
      </c>
      <c r="H117" s="13">
        <v>0.0</v>
      </c>
      <c r="I117" s="17" t="s">
        <v>37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167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155</v>
      </c>
      <c r="D119" s="12" t="s">
        <v>22</v>
      </c>
      <c r="E119" s="17" t="s">
        <v>180</v>
      </c>
      <c r="F119" s="13">
        <v>1.0</v>
      </c>
      <c r="G119" s="31" t="s">
        <v>24</v>
      </c>
      <c r="H119" s="13">
        <v>2.0</v>
      </c>
      <c r="I119" s="17" t="s">
        <v>58</v>
      </c>
      <c r="J119" s="148"/>
      <c r="K119" s="149">
        <f t="shared" si="9"/>
        <v>1</v>
      </c>
      <c r="L119" s="150">
        <f t="shared" si="10"/>
        <v>2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153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158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197</v>
      </c>
      <c r="J121" s="148"/>
      <c r="K121" s="149">
        <f t="shared" si="9"/>
        <v>3</v>
      </c>
      <c r="L121" s="150">
        <f t="shared" si="10"/>
        <v>0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158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222</v>
      </c>
      <c r="J122" s="148"/>
      <c r="K122" s="149">
        <f t="shared" si="9"/>
        <v>2</v>
      </c>
      <c r="L122" s="150">
        <f t="shared" si="10"/>
        <v>1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155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158</v>
      </c>
      <c r="D124" s="12" t="s">
        <v>22</v>
      </c>
      <c r="E124" s="17" t="s">
        <v>167</v>
      </c>
      <c r="F124" s="13">
        <v>2.0</v>
      </c>
      <c r="G124" s="31" t="s">
        <v>24</v>
      </c>
      <c r="H124" s="13">
        <v>0.0</v>
      </c>
      <c r="I124" s="17" t="s">
        <v>180</v>
      </c>
      <c r="J124" s="148"/>
      <c r="K124" s="149">
        <f t="shared" si="9"/>
        <v>3</v>
      </c>
      <c r="L124" s="150">
        <f t="shared" si="10"/>
        <v>0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153</v>
      </c>
      <c r="F126" s="13">
        <v>2.0</v>
      </c>
      <c r="G126" s="31" t="s">
        <v>24</v>
      </c>
      <c r="H126" s="13">
        <v>0.0</v>
      </c>
      <c r="I126" s="17" t="s">
        <v>23</v>
      </c>
      <c r="J126" s="148"/>
      <c r="K126" s="149">
        <f t="shared" si="9"/>
        <v>3</v>
      </c>
      <c r="L126" s="150">
        <f t="shared" si="10"/>
        <v>0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197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222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180</v>
      </c>
      <c r="F130" s="13">
        <v>1.0</v>
      </c>
      <c r="G130" s="31" t="s">
        <v>24</v>
      </c>
      <c r="H130" s="13">
        <v>2.0</v>
      </c>
      <c r="I130" s="17" t="s">
        <v>37</v>
      </c>
      <c r="J130" s="148"/>
      <c r="K130" s="149">
        <f t="shared" si="9"/>
        <v>1</v>
      </c>
      <c r="L130" s="150">
        <f t="shared" si="10"/>
        <v>2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167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8"/>
      <c r="K132" s="149">
        <f t="shared" si="9"/>
        <v>0</v>
      </c>
      <c r="L132" s="150">
        <f t="shared" si="10"/>
        <v>3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197</v>
      </c>
      <c r="F133" s="13">
        <v>0.0</v>
      </c>
      <c r="G133" s="31" t="s">
        <v>24</v>
      </c>
      <c r="H133" s="13">
        <v>2.0</v>
      </c>
      <c r="I133" s="17" t="s">
        <v>153</v>
      </c>
      <c r="J133" s="148"/>
      <c r="K133" s="149">
        <f t="shared" si="9"/>
        <v>0</v>
      </c>
      <c r="L133" s="150">
        <f t="shared" si="10"/>
        <v>3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222</v>
      </c>
      <c r="F134" s="13">
        <v>1.0</v>
      </c>
      <c r="G134" s="31" t="s">
        <v>24</v>
      </c>
      <c r="H134" s="13">
        <v>2.0</v>
      </c>
      <c r="I134" s="17" t="s">
        <v>32</v>
      </c>
      <c r="J134" s="148"/>
      <c r="K134" s="149">
        <f t="shared" si="9"/>
        <v>1</v>
      </c>
      <c r="L134" s="150">
        <f t="shared" si="10"/>
        <v>2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180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167</v>
      </c>
      <c r="F137" s="13">
        <v>2.0</v>
      </c>
      <c r="G137" s="31" t="s">
        <v>24</v>
      </c>
      <c r="H137" s="13">
        <v>1.0</v>
      </c>
      <c r="I137" s="17" t="s">
        <v>23</v>
      </c>
      <c r="J137" s="148"/>
      <c r="K137" s="149">
        <f t="shared" si="9"/>
        <v>2</v>
      </c>
      <c r="L137" s="150">
        <f t="shared" si="10"/>
        <v>1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197</v>
      </c>
      <c r="J138" s="148"/>
      <c r="K138" s="149">
        <f t="shared" si="9"/>
        <v>3</v>
      </c>
      <c r="L138" s="150">
        <f t="shared" si="10"/>
        <v>0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2"/>
      <c r="C139" s="164"/>
      <c r="D139" s="164"/>
      <c r="E139" s="17" t="s">
        <v>153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0" t="s">
        <v>224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225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31</v>
      </c>
      <c r="P146" s="150">
        <f t="shared" ref="P146:P156" si="19">SUMIF(E$146:E$211,O146,K$146:K$211)+SUMIF(I$146:I$211,O146,L$146:L$211)</f>
        <v>14</v>
      </c>
      <c r="Q146" s="152">
        <f t="shared" ref="Q146:Q156" si="20">COUNTIFS(E$146:E$211,O146,K$146:K$211,2)+COUNTIFS(I$146:I$211,O146,L$146:L$211,2)+COUNTIFS(E$146:E$211,O146,K$146:K$211,3)+COUNTIFS(I$146:I$211,O146,L$146:L$211,3)</f>
        <v>6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4</v>
      </c>
      <c r="T146" s="150">
        <f t="shared" ref="T146:T156" si="22">SUMIF(E$146:E$211,O146,F$146:F$211)+SUMIF(I$146:I$211,O146,H$146:H$211)</f>
        <v>13</v>
      </c>
      <c r="U146" s="153">
        <f t="shared" ref="U146:U156" si="23">SUMIF(E$146:E$211,O146,H$146:H$211)+SUMIF(I$146:I$211,O146,F$146:F$211)</f>
        <v>13</v>
      </c>
      <c r="V146" s="150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114</v>
      </c>
      <c r="F147" s="13">
        <v>2.0</v>
      </c>
      <c r="G147" s="31" t="s">
        <v>24</v>
      </c>
      <c r="H147" s="13">
        <v>0.0</v>
      </c>
      <c r="I147" s="17" t="s">
        <v>226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60</v>
      </c>
      <c r="P147" s="150">
        <f t="shared" si="19"/>
        <v>8</v>
      </c>
      <c r="Q147" s="152">
        <f t="shared" si="20"/>
        <v>2</v>
      </c>
      <c r="R147" s="153"/>
      <c r="S147" s="153">
        <f t="shared" si="21"/>
        <v>8</v>
      </c>
      <c r="T147" s="150">
        <f t="shared" si="22"/>
        <v>6</v>
      </c>
      <c r="U147" s="153">
        <f t="shared" si="23"/>
        <v>16</v>
      </c>
      <c r="V147" s="150">
        <f t="shared" si="24"/>
        <v>-10</v>
      </c>
      <c r="X147" s="137" t="s">
        <v>33</v>
      </c>
      <c r="Y147" s="137">
        <v>3.0</v>
      </c>
      <c r="AA147" s="124" t="s">
        <v>111</v>
      </c>
      <c r="AB147" s="70" t="s">
        <v>114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107</v>
      </c>
      <c r="J148" s="148"/>
      <c r="K148" s="149">
        <f t="shared" si="17"/>
        <v>0</v>
      </c>
      <c r="L148" s="150">
        <f t="shared" si="18"/>
        <v>3</v>
      </c>
      <c r="M148" s="148"/>
      <c r="N148" s="150">
        <v>3.0</v>
      </c>
      <c r="O148" s="151" t="s">
        <v>225</v>
      </c>
      <c r="P148" s="150">
        <f t="shared" si="19"/>
        <v>19</v>
      </c>
      <c r="Q148" s="152">
        <f t="shared" si="20"/>
        <v>7</v>
      </c>
      <c r="R148" s="153"/>
      <c r="S148" s="153">
        <f t="shared" si="21"/>
        <v>3</v>
      </c>
      <c r="T148" s="150">
        <f t="shared" si="22"/>
        <v>17</v>
      </c>
      <c r="U148" s="153">
        <f t="shared" si="23"/>
        <v>11</v>
      </c>
      <c r="V148" s="150">
        <f t="shared" si="24"/>
        <v>6</v>
      </c>
      <c r="X148" s="137" t="s">
        <v>40</v>
      </c>
      <c r="Y148" s="137">
        <v>0.0</v>
      </c>
      <c r="AA148" s="22">
        <v>3.0</v>
      </c>
      <c r="AB148" s="70" t="s">
        <v>225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127</v>
      </c>
      <c r="F149" s="13">
        <v>2.0</v>
      </c>
      <c r="G149" s="31" t="s">
        <v>24</v>
      </c>
      <c r="H149" s="13">
        <v>1.0</v>
      </c>
      <c r="I149" s="17" t="s">
        <v>65</v>
      </c>
      <c r="J149" s="148"/>
      <c r="K149" s="149">
        <f t="shared" si="17"/>
        <v>2</v>
      </c>
      <c r="L149" s="150">
        <f t="shared" si="18"/>
        <v>1</v>
      </c>
      <c r="M149" s="148"/>
      <c r="N149" s="150">
        <v>4.0</v>
      </c>
      <c r="O149" s="151" t="s">
        <v>45</v>
      </c>
      <c r="P149" s="150">
        <f t="shared" si="19"/>
        <v>19</v>
      </c>
      <c r="Q149" s="152">
        <f t="shared" si="20"/>
        <v>7</v>
      </c>
      <c r="R149" s="153"/>
      <c r="S149" s="153">
        <f t="shared" si="21"/>
        <v>3</v>
      </c>
      <c r="T149" s="150">
        <f t="shared" si="22"/>
        <v>15</v>
      </c>
      <c r="U149" s="153">
        <f t="shared" si="23"/>
        <v>9</v>
      </c>
      <c r="V149" s="150">
        <f t="shared" si="24"/>
        <v>6</v>
      </c>
      <c r="AA149" s="22">
        <v>4.0</v>
      </c>
      <c r="AB149" s="70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8"/>
      <c r="K150" s="149">
        <f t="shared" si="17"/>
        <v>2</v>
      </c>
      <c r="L150" s="150">
        <f t="shared" si="18"/>
        <v>1</v>
      </c>
      <c r="M150" s="148"/>
      <c r="N150" s="150">
        <v>5.0</v>
      </c>
      <c r="O150" s="151" t="s">
        <v>226</v>
      </c>
      <c r="P150" s="150">
        <f t="shared" si="19"/>
        <v>9</v>
      </c>
      <c r="Q150" s="152">
        <f t="shared" si="20"/>
        <v>2</v>
      </c>
      <c r="R150" s="153"/>
      <c r="S150" s="153">
        <f t="shared" si="21"/>
        <v>8</v>
      </c>
      <c r="T150" s="150">
        <f t="shared" si="22"/>
        <v>7</v>
      </c>
      <c r="U150" s="153">
        <f t="shared" si="23"/>
        <v>16</v>
      </c>
      <c r="V150" s="150">
        <f t="shared" si="24"/>
        <v>-9</v>
      </c>
      <c r="AA150" s="22">
        <v>5.0</v>
      </c>
      <c r="AB150" s="70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60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127</v>
      </c>
      <c r="P151" s="150">
        <f t="shared" si="19"/>
        <v>9</v>
      </c>
      <c r="Q151" s="152">
        <f t="shared" si="20"/>
        <v>3</v>
      </c>
      <c r="R151" s="153"/>
      <c r="S151" s="153">
        <f t="shared" si="21"/>
        <v>7</v>
      </c>
      <c r="T151" s="150">
        <f t="shared" si="22"/>
        <v>8</v>
      </c>
      <c r="U151" s="153">
        <f t="shared" si="23"/>
        <v>16</v>
      </c>
      <c r="V151" s="150">
        <f t="shared" si="24"/>
        <v>-8</v>
      </c>
      <c r="AA151" s="22">
        <v>6.0</v>
      </c>
      <c r="AB151" s="70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5">
        <v>2.0</v>
      </c>
      <c r="B152" s="162"/>
      <c r="C152" s="163"/>
      <c r="D152" s="164"/>
      <c r="E152" s="17" t="s">
        <v>225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107</v>
      </c>
      <c r="P152" s="150">
        <f t="shared" si="19"/>
        <v>28</v>
      </c>
      <c r="Q152" s="152">
        <f t="shared" si="20"/>
        <v>10</v>
      </c>
      <c r="R152" s="153"/>
      <c r="S152" s="153">
        <f t="shared" si="21"/>
        <v>0</v>
      </c>
      <c r="T152" s="150">
        <f t="shared" si="22"/>
        <v>20</v>
      </c>
      <c r="U152" s="153">
        <f t="shared" si="23"/>
        <v>2</v>
      </c>
      <c r="V152" s="150">
        <f t="shared" si="24"/>
        <v>18</v>
      </c>
      <c r="AA152" s="22">
        <v>7.0</v>
      </c>
      <c r="AB152" s="70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226</v>
      </c>
      <c r="F153" s="13">
        <v>1.0</v>
      </c>
      <c r="G153" s="31" t="s">
        <v>24</v>
      </c>
      <c r="H153" s="13">
        <v>2.0</v>
      </c>
      <c r="I153" s="17" t="s">
        <v>31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68</v>
      </c>
      <c r="P153" s="150">
        <f t="shared" si="19"/>
        <v>2</v>
      </c>
      <c r="Q153" s="152">
        <f t="shared" si="20"/>
        <v>0</v>
      </c>
      <c r="R153" s="153"/>
      <c r="S153" s="153">
        <f t="shared" si="21"/>
        <v>10</v>
      </c>
      <c r="T153" s="150">
        <f t="shared" si="22"/>
        <v>2</v>
      </c>
      <c r="U153" s="153">
        <f t="shared" si="23"/>
        <v>20</v>
      </c>
      <c r="V153" s="150">
        <f t="shared" si="24"/>
        <v>-18</v>
      </c>
      <c r="AA153" s="22">
        <v>8.0</v>
      </c>
      <c r="AB153" s="70" t="s">
        <v>127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107</v>
      </c>
      <c r="F154" s="13">
        <v>2.0</v>
      </c>
      <c r="G154" s="31" t="s">
        <v>24</v>
      </c>
      <c r="H154" s="13">
        <v>1.0</v>
      </c>
      <c r="I154" s="17" t="s">
        <v>114</v>
      </c>
      <c r="J154" s="148"/>
      <c r="K154" s="149">
        <f t="shared" si="17"/>
        <v>2</v>
      </c>
      <c r="L154" s="150">
        <f t="shared" si="18"/>
        <v>1</v>
      </c>
      <c r="M154" s="148"/>
      <c r="N154" s="150">
        <v>9.0</v>
      </c>
      <c r="O154" s="151" t="s">
        <v>65</v>
      </c>
      <c r="P154" s="150">
        <f t="shared" si="19"/>
        <v>13</v>
      </c>
      <c r="Q154" s="152">
        <f t="shared" si="20"/>
        <v>4</v>
      </c>
      <c r="R154" s="153"/>
      <c r="S154" s="153">
        <f t="shared" si="21"/>
        <v>6</v>
      </c>
      <c r="T154" s="150">
        <f t="shared" si="22"/>
        <v>11</v>
      </c>
      <c r="U154" s="153">
        <f t="shared" si="23"/>
        <v>14</v>
      </c>
      <c r="V154" s="150">
        <f t="shared" si="24"/>
        <v>-3</v>
      </c>
      <c r="AA154" s="22">
        <v>9.0</v>
      </c>
      <c r="AB154" s="70" t="s">
        <v>226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8"/>
      <c r="K155" s="149">
        <f t="shared" si="17"/>
        <v>3</v>
      </c>
      <c r="L155" s="150">
        <f t="shared" si="18"/>
        <v>0</v>
      </c>
      <c r="M155" s="148"/>
      <c r="N155" s="150">
        <v>10.0</v>
      </c>
      <c r="O155" s="151" t="s">
        <v>114</v>
      </c>
      <c r="P155" s="150">
        <f t="shared" si="19"/>
        <v>27</v>
      </c>
      <c r="Q155" s="152">
        <f t="shared" si="20"/>
        <v>9</v>
      </c>
      <c r="R155" s="153"/>
      <c r="S155" s="153">
        <f t="shared" si="21"/>
        <v>1</v>
      </c>
      <c r="T155" s="150">
        <f t="shared" si="22"/>
        <v>19</v>
      </c>
      <c r="U155" s="153">
        <f t="shared" si="23"/>
        <v>3</v>
      </c>
      <c r="V155" s="150">
        <f t="shared" si="24"/>
        <v>16</v>
      </c>
      <c r="AA155" s="22">
        <v>10.0</v>
      </c>
      <c r="AB155" s="70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127</v>
      </c>
      <c r="J156" s="148"/>
      <c r="K156" s="149">
        <f t="shared" si="17"/>
        <v>3</v>
      </c>
      <c r="L156" s="150">
        <f t="shared" si="18"/>
        <v>0</v>
      </c>
      <c r="M156" s="148"/>
      <c r="N156" s="165">
        <v>11.0</v>
      </c>
      <c r="O156" s="165" t="s">
        <v>64</v>
      </c>
      <c r="P156" s="150">
        <f t="shared" si="19"/>
        <v>17</v>
      </c>
      <c r="Q156" s="152">
        <f t="shared" si="20"/>
        <v>5</v>
      </c>
      <c r="S156" s="153">
        <f t="shared" si="21"/>
        <v>5</v>
      </c>
      <c r="T156" s="150">
        <f t="shared" si="22"/>
        <v>13</v>
      </c>
      <c r="U156" s="153">
        <f t="shared" si="23"/>
        <v>11</v>
      </c>
      <c r="V156" s="150">
        <f t="shared" si="24"/>
        <v>2</v>
      </c>
      <c r="AA156" s="52">
        <v>11.0</v>
      </c>
      <c r="AB156" s="70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8"/>
      <c r="K157" s="149">
        <f t="shared" si="17"/>
        <v>0</v>
      </c>
      <c r="L157" s="150">
        <f t="shared" si="18"/>
        <v>3</v>
      </c>
      <c r="M157" s="148"/>
      <c r="AA157" s="35" t="s">
        <v>227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225</v>
      </c>
      <c r="F158" s="13">
        <v>2.0</v>
      </c>
      <c r="G158" s="31" t="s">
        <v>24</v>
      </c>
      <c r="H158" s="13">
        <v>1.0</v>
      </c>
      <c r="I158" s="17" t="s">
        <v>226</v>
      </c>
      <c r="J158" s="148"/>
      <c r="K158" s="149">
        <f t="shared" si="17"/>
        <v>2</v>
      </c>
      <c r="L158" s="150">
        <f t="shared" si="18"/>
        <v>1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107</v>
      </c>
      <c r="J159" s="148"/>
      <c r="K159" s="149">
        <f t="shared" si="17"/>
        <v>0</v>
      </c>
      <c r="L159" s="150">
        <f t="shared" si="18"/>
        <v>3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A159" s="157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183</v>
      </c>
      <c r="D160" s="12" t="s">
        <v>22</v>
      </c>
      <c r="E160" s="17" t="s">
        <v>114</v>
      </c>
      <c r="F160" s="13">
        <v>2.0</v>
      </c>
      <c r="G160" s="31" t="s">
        <v>24</v>
      </c>
      <c r="H160" s="13">
        <v>0.0</v>
      </c>
      <c r="I160" s="17" t="s">
        <v>65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164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127</v>
      </c>
      <c r="F162" s="13">
        <v>0.0</v>
      </c>
      <c r="G162" s="31" t="s">
        <v>24</v>
      </c>
      <c r="H162" s="13">
        <v>2.0</v>
      </c>
      <c r="I162" s="17" t="s">
        <v>60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  <c r="AJ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45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G163" s="3"/>
      <c r="AH163" s="3"/>
      <c r="AI163" s="3"/>
      <c r="AJ163" s="3"/>
    </row>
    <row r="164" ht="15.75" customHeight="1">
      <c r="A164" s="143">
        <v>4.0</v>
      </c>
      <c r="B164" s="162"/>
      <c r="C164" s="164"/>
      <c r="D164" s="164"/>
      <c r="E164" s="17" t="s">
        <v>226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107</v>
      </c>
      <c r="F165" s="13">
        <v>2.0</v>
      </c>
      <c r="G165" s="31" t="s">
        <v>24</v>
      </c>
      <c r="H165" s="13">
        <v>1.0</v>
      </c>
      <c r="I165" s="17" t="s">
        <v>225</v>
      </c>
      <c r="J165" s="148"/>
      <c r="K165" s="149">
        <f t="shared" si="17"/>
        <v>2</v>
      </c>
      <c r="L165" s="150">
        <f t="shared" si="18"/>
        <v>1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156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114</v>
      </c>
      <c r="J167" s="148"/>
      <c r="K167" s="149">
        <f t="shared" si="17"/>
        <v>0</v>
      </c>
      <c r="L167" s="150">
        <f t="shared" si="18"/>
        <v>3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3"/>
      <c r="AB167" s="14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8"/>
      <c r="K168" s="149">
        <f t="shared" si="17"/>
        <v>3</v>
      </c>
      <c r="L168" s="150">
        <f t="shared" si="18"/>
        <v>0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3"/>
      <c r="AB168" s="14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127</v>
      </c>
      <c r="J169" s="148"/>
      <c r="K169" s="149">
        <f t="shared" si="17"/>
        <v>2</v>
      </c>
      <c r="L169" s="150">
        <f t="shared" si="18"/>
        <v>1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3"/>
      <c r="AB169" s="14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226</v>
      </c>
      <c r="F170" s="13">
        <v>0.0</v>
      </c>
      <c r="G170" s="31" t="s">
        <v>24</v>
      </c>
      <c r="H170" s="13">
        <v>2.0</v>
      </c>
      <c r="I170" s="17" t="s">
        <v>107</v>
      </c>
      <c r="J170" s="148"/>
      <c r="K170" s="149">
        <f t="shared" si="17"/>
        <v>0</v>
      </c>
      <c r="L170" s="150">
        <f t="shared" si="18"/>
        <v>3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3"/>
      <c r="AB170" s="14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211</v>
      </c>
      <c r="D171" s="12" t="s">
        <v>22</v>
      </c>
      <c r="E171" s="17" t="s">
        <v>225</v>
      </c>
      <c r="F171" s="159">
        <v>2.0</v>
      </c>
      <c r="G171" s="31" t="s">
        <v>24</v>
      </c>
      <c r="H171" s="13">
        <v>1.0</v>
      </c>
      <c r="I171" s="17" t="s">
        <v>65</v>
      </c>
      <c r="J171" s="148"/>
      <c r="K171" s="149">
        <f t="shared" si="17"/>
        <v>2</v>
      </c>
      <c r="L171" s="150">
        <f t="shared" si="18"/>
        <v>1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3"/>
      <c r="AB171" s="14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211</v>
      </c>
      <c r="D172" s="12" t="s">
        <v>22</v>
      </c>
      <c r="E172" s="17" t="s">
        <v>31</v>
      </c>
      <c r="F172" s="159">
        <v>2.0</v>
      </c>
      <c r="G172" s="31" t="s">
        <v>24</v>
      </c>
      <c r="H172" s="13">
        <v>1.0</v>
      </c>
      <c r="I172" s="17" t="s">
        <v>64</v>
      </c>
      <c r="J172" s="148"/>
      <c r="K172" s="149">
        <f t="shared" si="17"/>
        <v>2</v>
      </c>
      <c r="L172" s="150">
        <f t="shared" si="18"/>
        <v>1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3"/>
      <c r="AB172" s="14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155</v>
      </c>
      <c r="D173" s="12" t="s">
        <v>22</v>
      </c>
      <c r="E173" s="17" t="s">
        <v>114</v>
      </c>
      <c r="F173" s="159">
        <v>2.0</v>
      </c>
      <c r="G173" s="31" t="s">
        <v>24</v>
      </c>
      <c r="H173" s="13">
        <v>0.0</v>
      </c>
      <c r="I173" s="17" t="s">
        <v>60</v>
      </c>
      <c r="J173" s="148"/>
      <c r="K173" s="149">
        <f t="shared" si="17"/>
        <v>3</v>
      </c>
      <c r="L173" s="150">
        <f t="shared" si="18"/>
        <v>0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3"/>
      <c r="AB173" s="14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59">
        <v>0.0</v>
      </c>
      <c r="G174" s="31" t="s">
        <v>24</v>
      </c>
      <c r="H174" s="13">
        <v>2.0</v>
      </c>
      <c r="I174" s="17" t="s">
        <v>45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3"/>
      <c r="AB174" s="14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127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3"/>
      <c r="AB175" s="14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62"/>
      <c r="C176" s="163"/>
      <c r="D176" s="164"/>
      <c r="E176" s="17" t="s">
        <v>107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3"/>
      <c r="AB176" s="14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169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226</v>
      </c>
      <c r="J177" s="148"/>
      <c r="K177" s="149">
        <f t="shared" si="17"/>
        <v>3</v>
      </c>
      <c r="L177" s="150">
        <f t="shared" si="18"/>
        <v>0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"/>
      <c r="AB177" s="14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169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225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3"/>
      <c r="AB178" s="14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160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8"/>
      <c r="K179" s="149">
        <f t="shared" si="17"/>
        <v>1</v>
      </c>
      <c r="L179" s="150">
        <f t="shared" si="18"/>
        <v>2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160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114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169</v>
      </c>
      <c r="D181" s="12" t="s">
        <v>22</v>
      </c>
      <c r="E181" s="17" t="s">
        <v>127</v>
      </c>
      <c r="F181" s="13">
        <v>2.0</v>
      </c>
      <c r="G181" s="31" t="s">
        <v>24</v>
      </c>
      <c r="H181" s="13">
        <v>1.0</v>
      </c>
      <c r="I181" s="17" t="s">
        <v>68</v>
      </c>
      <c r="J181" s="148"/>
      <c r="K181" s="149">
        <f t="shared" si="17"/>
        <v>2</v>
      </c>
      <c r="L181" s="150">
        <f t="shared" si="18"/>
        <v>1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160</v>
      </c>
      <c r="D182" s="12" t="s">
        <v>22</v>
      </c>
      <c r="E182" s="17" t="s">
        <v>107</v>
      </c>
      <c r="F182" s="13">
        <v>2.0</v>
      </c>
      <c r="G182" s="31" t="s">
        <v>24</v>
      </c>
      <c r="H182" s="13">
        <v>0.0</v>
      </c>
      <c r="I182" s="17" t="s">
        <v>65</v>
      </c>
      <c r="J182" s="148"/>
      <c r="K182" s="149">
        <f t="shared" si="17"/>
        <v>3</v>
      </c>
      <c r="L182" s="150">
        <f t="shared" si="18"/>
        <v>0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3"/>
      <c r="AB182" s="14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155</v>
      </c>
      <c r="D183" s="12" t="s">
        <v>22</v>
      </c>
      <c r="E183" s="17" t="s">
        <v>226</v>
      </c>
      <c r="F183" s="13">
        <v>0.0</v>
      </c>
      <c r="G183" s="31" t="s">
        <v>24</v>
      </c>
      <c r="H183" s="13">
        <v>2.0</v>
      </c>
      <c r="I183" s="17" t="s">
        <v>64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A183" s="3"/>
      <c r="AB183" s="14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155</v>
      </c>
      <c r="D184" s="12" t="s">
        <v>22</v>
      </c>
      <c r="E184" s="17" t="s">
        <v>225</v>
      </c>
      <c r="F184" s="13">
        <v>2.0</v>
      </c>
      <c r="G184" s="31" t="s">
        <v>24</v>
      </c>
      <c r="H184" s="13">
        <v>0.0</v>
      </c>
      <c r="I184" s="17" t="s">
        <v>60</v>
      </c>
      <c r="J184" s="148"/>
      <c r="K184" s="149">
        <f t="shared" si="17"/>
        <v>3</v>
      </c>
      <c r="L184" s="150">
        <f t="shared" si="18"/>
        <v>0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A184" s="3"/>
      <c r="AB184" s="14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155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8"/>
      <c r="K185" s="149">
        <f t="shared" si="17"/>
        <v>0</v>
      </c>
      <c r="L185" s="150">
        <f t="shared" si="18"/>
        <v>3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A185" s="3"/>
      <c r="AB185" s="14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158</v>
      </c>
      <c r="D186" s="12" t="s">
        <v>22</v>
      </c>
      <c r="E186" s="17" t="s">
        <v>114</v>
      </c>
      <c r="F186" s="13">
        <v>2.0</v>
      </c>
      <c r="G186" s="31" t="s">
        <v>24</v>
      </c>
      <c r="H186" s="13">
        <v>0.0</v>
      </c>
      <c r="I186" s="17" t="s">
        <v>127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A186" s="3"/>
      <c r="AB186" s="14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68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A187" s="3"/>
      <c r="AB187" s="14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A188" s="3"/>
      <c r="AB188" s="14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158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107</v>
      </c>
      <c r="J189" s="148"/>
      <c r="K189" s="149">
        <f t="shared" si="17"/>
        <v>0</v>
      </c>
      <c r="L189" s="150">
        <f t="shared" si="18"/>
        <v>3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A189" s="3"/>
      <c r="AB189" s="14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158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226</v>
      </c>
      <c r="J190" s="148"/>
      <c r="K190" s="149">
        <f t="shared" si="17"/>
        <v>0</v>
      </c>
      <c r="L190" s="150">
        <f t="shared" si="18"/>
        <v>3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225</v>
      </c>
      <c r="J191" s="148"/>
      <c r="K191" s="149">
        <f t="shared" si="17"/>
        <v>1</v>
      </c>
      <c r="L191" s="150">
        <f t="shared" si="18"/>
        <v>2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127</v>
      </c>
      <c r="F192" s="13">
        <v>1.0</v>
      </c>
      <c r="G192" s="31" t="s">
        <v>24</v>
      </c>
      <c r="H192" s="13">
        <v>2.0</v>
      </c>
      <c r="I192" s="17" t="s">
        <v>31</v>
      </c>
      <c r="J192" s="148"/>
      <c r="K192" s="149">
        <f t="shared" si="17"/>
        <v>1</v>
      </c>
      <c r="L192" s="150">
        <f t="shared" si="18"/>
        <v>2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114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8"/>
      <c r="K194" s="149">
        <f t="shared" si="17"/>
        <v>1</v>
      </c>
      <c r="L194" s="150">
        <f t="shared" si="18"/>
        <v>2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107</v>
      </c>
      <c r="F195" s="13">
        <v>2.0</v>
      </c>
      <c r="G195" s="31" t="s">
        <v>24</v>
      </c>
      <c r="H195" s="13">
        <v>0.0</v>
      </c>
      <c r="I195" s="17" t="s">
        <v>60</v>
      </c>
      <c r="J195" s="148"/>
      <c r="K195" s="149">
        <f t="shared" si="17"/>
        <v>3</v>
      </c>
      <c r="L195" s="150">
        <f t="shared" si="18"/>
        <v>0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226</v>
      </c>
      <c r="F196" s="13">
        <v>1.0</v>
      </c>
      <c r="G196" s="31" t="s">
        <v>24</v>
      </c>
      <c r="H196" s="13">
        <v>2.0</v>
      </c>
      <c r="I196" s="17" t="s">
        <v>45</v>
      </c>
      <c r="J196" s="148"/>
      <c r="K196" s="149">
        <f t="shared" si="17"/>
        <v>1</v>
      </c>
      <c r="L196" s="150">
        <f t="shared" si="18"/>
        <v>2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225</v>
      </c>
      <c r="F197" s="13">
        <v>2.0</v>
      </c>
      <c r="G197" s="31" t="s">
        <v>24</v>
      </c>
      <c r="H197" s="13">
        <v>0.0</v>
      </c>
      <c r="I197" s="17" t="s">
        <v>127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8"/>
      <c r="K198" s="149">
        <f t="shared" si="17"/>
        <v>3</v>
      </c>
      <c r="L198" s="150">
        <f t="shared" si="18"/>
        <v>0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114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64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8"/>
      <c r="K201" s="149">
        <f t="shared" si="17"/>
        <v>1</v>
      </c>
      <c r="L201" s="150">
        <f t="shared" si="18"/>
        <v>2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107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127</v>
      </c>
      <c r="F203" s="13">
        <v>2.0</v>
      </c>
      <c r="G203" s="31" t="s">
        <v>24</v>
      </c>
      <c r="H203" s="13">
        <v>0.0</v>
      </c>
      <c r="I203" s="17" t="s">
        <v>226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225</v>
      </c>
      <c r="J204" s="148"/>
      <c r="K204" s="149">
        <f t="shared" si="17"/>
        <v>1</v>
      </c>
      <c r="L204" s="150">
        <f t="shared" si="18"/>
        <v>2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114</v>
      </c>
      <c r="F205" s="13">
        <v>2.0</v>
      </c>
      <c r="G205" s="31" t="s">
        <v>24</v>
      </c>
      <c r="H205" s="13">
        <v>0.0</v>
      </c>
      <c r="I205" s="17" t="s">
        <v>31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8"/>
      <c r="K206" s="149">
        <f t="shared" si="17"/>
        <v>3</v>
      </c>
      <c r="L206" s="150">
        <f t="shared" si="18"/>
        <v>0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8"/>
      <c r="K207" s="149">
        <f t="shared" si="17"/>
        <v>0</v>
      </c>
      <c r="L207" s="150">
        <f t="shared" si="18"/>
        <v>3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107</v>
      </c>
      <c r="F208" s="13">
        <v>2.0</v>
      </c>
      <c r="G208" s="31" t="s">
        <v>24</v>
      </c>
      <c r="H208" s="13">
        <v>0.0</v>
      </c>
      <c r="I208" s="17" t="s">
        <v>127</v>
      </c>
      <c r="J208" s="148"/>
      <c r="K208" s="149">
        <f t="shared" si="17"/>
        <v>3</v>
      </c>
      <c r="L208" s="150">
        <f t="shared" si="18"/>
        <v>0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226</v>
      </c>
      <c r="F209" s="13">
        <v>2.0</v>
      </c>
      <c r="G209" s="31" t="s">
        <v>24</v>
      </c>
      <c r="H209" s="13">
        <v>0.0</v>
      </c>
      <c r="I209" s="17" t="s">
        <v>68</v>
      </c>
      <c r="J209" s="148"/>
      <c r="K209" s="149">
        <f t="shared" si="17"/>
        <v>3</v>
      </c>
      <c r="L209" s="150">
        <f t="shared" si="18"/>
        <v>0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225</v>
      </c>
      <c r="F210" s="13">
        <v>1.0</v>
      </c>
      <c r="G210" s="31" t="s">
        <v>24</v>
      </c>
      <c r="H210" s="13">
        <v>2.0</v>
      </c>
      <c r="I210" s="17" t="s">
        <v>114</v>
      </c>
      <c r="J210" s="148"/>
      <c r="K210" s="149">
        <f t="shared" si="17"/>
        <v>1</v>
      </c>
      <c r="L210" s="150">
        <f t="shared" si="18"/>
        <v>2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2"/>
      <c r="C211" s="164"/>
      <c r="D211" s="164"/>
      <c r="E211" s="17" t="s">
        <v>31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  <c r="AJ217" s="3"/>
    </row>
    <row r="218" ht="15.75" customHeight="1">
      <c r="A218" s="102">
        <v>1.0</v>
      </c>
      <c r="B218" s="43"/>
      <c r="C218" s="12"/>
      <c r="D218" s="12"/>
      <c r="E218" s="44" t="s">
        <v>39</v>
      </c>
      <c r="F218" s="13"/>
      <c r="G218" s="16" t="s">
        <v>24</v>
      </c>
      <c r="H218" s="13"/>
      <c r="I218" s="44" t="s">
        <v>153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2">
        <v>2.0</v>
      </c>
      <c r="B219" s="43"/>
      <c r="C219" s="12"/>
      <c r="D219" s="12"/>
      <c r="E219" s="44" t="s">
        <v>153</v>
      </c>
      <c r="F219" s="13"/>
      <c r="G219" s="16" t="s">
        <v>24</v>
      </c>
      <c r="H219" s="13"/>
      <c r="I219" s="44" t="s">
        <v>114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229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229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2">
        <v>3.0</v>
      </c>
      <c r="B220" s="43"/>
      <c r="C220" s="12"/>
      <c r="D220" s="12"/>
      <c r="E220" s="44" t="s">
        <v>114</v>
      </c>
      <c r="F220" s="13"/>
      <c r="G220" s="16" t="s">
        <v>24</v>
      </c>
      <c r="H220" s="13"/>
      <c r="I220" s="44" t="s">
        <v>39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114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114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230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160</v>
      </c>
      <c r="D227" s="12" t="s">
        <v>22</v>
      </c>
      <c r="E227" s="44" t="s">
        <v>36</v>
      </c>
      <c r="F227" s="31"/>
      <c r="G227" s="16" t="s">
        <v>24</v>
      </c>
      <c r="H227" s="31"/>
      <c r="I227" s="44" t="s">
        <v>107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3">
        <v>46155.0</v>
      </c>
      <c r="C228" s="12" t="s">
        <v>160</v>
      </c>
      <c r="D228" s="12" t="s">
        <v>22</v>
      </c>
      <c r="E228" s="44" t="s">
        <v>43</v>
      </c>
      <c r="F228" s="31"/>
      <c r="G228" s="16" t="s">
        <v>24</v>
      </c>
      <c r="H228" s="31"/>
      <c r="I228" s="44" t="s">
        <v>231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31"/>
      <c r="G229" s="16" t="s">
        <v>24</v>
      </c>
      <c r="H229" s="31"/>
      <c r="I229" s="44" t="s">
        <v>93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31"/>
      <c r="G230" s="16" t="s">
        <v>24</v>
      </c>
      <c r="H230" s="31"/>
      <c r="I230" s="44" t="s">
        <v>112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72"/>
      <c r="E235" s="147"/>
      <c r="I235" s="147"/>
      <c r="AA235" s="3"/>
      <c r="AB235" s="14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4" t="s">
        <v>232</v>
      </c>
      <c r="B1" s="175" t="s">
        <v>233</v>
      </c>
      <c r="C1" s="175" t="s">
        <v>234</v>
      </c>
      <c r="D1" s="175" t="s">
        <v>235</v>
      </c>
      <c r="E1" s="175" t="s">
        <v>236</v>
      </c>
      <c r="F1" s="175" t="s">
        <v>237</v>
      </c>
      <c r="G1" s="175" t="s">
        <v>238</v>
      </c>
      <c r="H1" s="175" t="s">
        <v>239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ht="15.75" customHeight="1">
      <c r="A2" s="177" t="s">
        <v>240</v>
      </c>
      <c r="B2" s="178" t="s">
        <v>241</v>
      </c>
      <c r="C2" s="179" t="s">
        <v>31</v>
      </c>
      <c r="D2" s="179" t="s">
        <v>242</v>
      </c>
      <c r="E2" s="180">
        <v>108125.0</v>
      </c>
      <c r="F2" s="181" t="s">
        <v>243</v>
      </c>
      <c r="G2" s="178" t="s">
        <v>244</v>
      </c>
      <c r="H2" s="179" t="s">
        <v>245</v>
      </c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ht="15.75" customHeight="1">
      <c r="A3" s="177" t="s">
        <v>240</v>
      </c>
      <c r="B3" s="178" t="s">
        <v>246</v>
      </c>
      <c r="C3" s="178" t="s">
        <v>32</v>
      </c>
      <c r="D3" s="178" t="s">
        <v>247</v>
      </c>
      <c r="E3" s="182">
        <v>89159.0</v>
      </c>
      <c r="F3" s="183" t="s">
        <v>248</v>
      </c>
      <c r="G3" s="178" t="s">
        <v>244</v>
      </c>
      <c r="H3" s="178" t="s">
        <v>249</v>
      </c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ht="15.75" customHeight="1">
      <c r="A4" s="177" t="s">
        <v>240</v>
      </c>
      <c r="B4" s="178" t="s">
        <v>250</v>
      </c>
      <c r="C4" s="178" t="s">
        <v>107</v>
      </c>
      <c r="D4" s="178" t="s">
        <v>251</v>
      </c>
      <c r="E4" s="182">
        <v>100096.0</v>
      </c>
      <c r="F4" s="183" t="s">
        <v>252</v>
      </c>
      <c r="G4" s="178" t="s">
        <v>244</v>
      </c>
      <c r="H4" s="178" t="s">
        <v>253</v>
      </c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ht="15.75" customHeight="1">
      <c r="A5" s="177" t="s">
        <v>240</v>
      </c>
      <c r="B5" s="178" t="s">
        <v>254</v>
      </c>
      <c r="C5" s="178" t="s">
        <v>59</v>
      </c>
      <c r="D5" s="178" t="s">
        <v>255</v>
      </c>
      <c r="E5" s="182">
        <v>108498.0</v>
      </c>
      <c r="F5" s="183" t="s">
        <v>256</v>
      </c>
      <c r="G5" s="178" t="s">
        <v>244</v>
      </c>
      <c r="H5" s="178" t="s">
        <v>257</v>
      </c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ht="15.75" customHeight="1">
      <c r="A6" s="177" t="s">
        <v>240</v>
      </c>
      <c r="B6" s="178" t="s">
        <v>258</v>
      </c>
      <c r="C6" s="178" t="s">
        <v>67</v>
      </c>
      <c r="D6" s="178" t="s">
        <v>259</v>
      </c>
      <c r="E6" s="182">
        <v>110713.0</v>
      </c>
      <c r="F6" s="183" t="s">
        <v>252</v>
      </c>
      <c r="G6" s="178" t="s">
        <v>244</v>
      </c>
      <c r="H6" s="178" t="s">
        <v>260</v>
      </c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ht="15.75" customHeight="1">
      <c r="A7" s="177" t="s">
        <v>240</v>
      </c>
      <c r="B7" s="178" t="s">
        <v>261</v>
      </c>
      <c r="C7" s="178" t="s">
        <v>63</v>
      </c>
      <c r="D7" s="178" t="s">
        <v>262</v>
      </c>
      <c r="E7" s="182">
        <v>108196.0</v>
      </c>
      <c r="F7" s="183" t="s">
        <v>256</v>
      </c>
      <c r="G7" s="178" t="s">
        <v>244</v>
      </c>
      <c r="H7" s="178" t="s">
        <v>257</v>
      </c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ht="15.75" customHeight="1">
      <c r="A8" s="177" t="s">
        <v>263</v>
      </c>
      <c r="B8" s="178" t="s">
        <v>264</v>
      </c>
      <c r="C8" s="178" t="s">
        <v>166</v>
      </c>
      <c r="D8" s="178" t="s">
        <v>265</v>
      </c>
      <c r="E8" s="182">
        <v>103269.0</v>
      </c>
      <c r="F8" s="183" t="s">
        <v>256</v>
      </c>
      <c r="G8" s="178" t="s">
        <v>244</v>
      </c>
      <c r="H8" s="178" t="s">
        <v>257</v>
      </c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ht="15.75" customHeight="1">
      <c r="A9" s="177" t="s">
        <v>240</v>
      </c>
      <c r="B9" s="178" t="s">
        <v>266</v>
      </c>
      <c r="C9" s="178" t="s">
        <v>40</v>
      </c>
      <c r="D9" s="178" t="s">
        <v>267</v>
      </c>
      <c r="E9" s="182">
        <v>109271.0</v>
      </c>
      <c r="F9" s="183" t="s">
        <v>256</v>
      </c>
      <c r="G9" s="178" t="s">
        <v>268</v>
      </c>
      <c r="H9" s="178" t="s">
        <v>269</v>
      </c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ht="15.75" customHeight="1">
      <c r="A10" s="177" t="s">
        <v>240</v>
      </c>
      <c r="B10" s="178" t="s">
        <v>270</v>
      </c>
      <c r="C10" s="178" t="s">
        <v>125</v>
      </c>
      <c r="D10" s="178" t="s">
        <v>271</v>
      </c>
      <c r="E10" s="182">
        <v>108249.0</v>
      </c>
      <c r="F10" s="183" t="s">
        <v>256</v>
      </c>
      <c r="G10" s="178" t="s">
        <v>268</v>
      </c>
      <c r="H10" s="178" t="s">
        <v>269</v>
      </c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ht="15.75" customHeight="1">
      <c r="A11" s="177" t="s">
        <v>240</v>
      </c>
      <c r="B11" s="178" t="s">
        <v>272</v>
      </c>
      <c r="C11" s="178" t="s">
        <v>39</v>
      </c>
      <c r="D11" s="178" t="s">
        <v>273</v>
      </c>
      <c r="E11" s="182">
        <v>103583.0</v>
      </c>
      <c r="F11" s="183" t="s">
        <v>256</v>
      </c>
      <c r="G11" s="178" t="s">
        <v>268</v>
      </c>
      <c r="H11" s="178" t="s">
        <v>274</v>
      </c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ht="15.75" customHeight="1">
      <c r="A12" s="177" t="s">
        <v>240</v>
      </c>
      <c r="B12" s="178" t="s">
        <v>272</v>
      </c>
      <c r="C12" s="178" t="s">
        <v>39</v>
      </c>
      <c r="D12" s="178" t="s">
        <v>275</v>
      </c>
      <c r="E12" s="182">
        <v>93245.0</v>
      </c>
      <c r="F12" s="184" t="s">
        <v>276</v>
      </c>
      <c r="G12" s="185">
        <v>44870.0</v>
      </c>
      <c r="H12" s="18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