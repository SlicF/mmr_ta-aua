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<sst xmlns="http://schemas.openxmlformats.org/spreadsheetml/2006/main" count="7109" uniqueCount="267">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</sst>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16</v>
      </c>
      <c r="Q4" s="18">
        <f t="shared" si="4"/>
        <v>4</v>
      </c>
      <c r="R4" s="20">
        <f t="shared" si="5"/>
        <v>1</v>
      </c>
      <c r="S4" s="20">
        <f t="shared" si="6"/>
        <v>2</v>
      </c>
      <c r="T4" s="18">
        <f t="shared" si="7"/>
        <v>161</v>
      </c>
      <c r="U4" s="20">
        <f t="shared" si="8"/>
        <v>148</v>
      </c>
      <c r="V4" s="18">
        <f t="shared" si="9"/>
        <v>13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33</v>
      </c>
      <c r="AG5" s="23">
        <v>19.0</v>
      </c>
      <c r="AH5" s="23">
        <v>5.0</v>
      </c>
      <c r="AI5" s="24">
        <v>2.0</v>
      </c>
      <c r="AJ5" s="23">
        <v>0.0</v>
      </c>
      <c r="AK5" s="23">
        <v>153.0</v>
      </c>
      <c r="AL5" s="24">
        <v>100.0</v>
      </c>
      <c r="AM5" s="23">
        <v>53.0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37</v>
      </c>
      <c r="AG6" s="23">
        <v>19.0</v>
      </c>
      <c r="AH6" s="23">
        <v>5.0</v>
      </c>
      <c r="AI6" s="24">
        <v>1.0</v>
      </c>
      <c r="AJ6" s="23">
        <v>2.0</v>
      </c>
      <c r="AK6" s="23">
        <v>186.0</v>
      </c>
      <c r="AL6" s="24">
        <v>170.0</v>
      </c>
      <c r="AM6" s="23">
        <v>16.0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31</v>
      </c>
      <c r="AG7" s="23">
        <v>17.0</v>
      </c>
      <c r="AH7" s="23">
        <v>3.0</v>
      </c>
      <c r="AI7" s="24">
        <v>2.0</v>
      </c>
      <c r="AJ7" s="23">
        <v>4.0</v>
      </c>
      <c r="AK7" s="23">
        <v>171.0</v>
      </c>
      <c r="AL7" s="24">
        <v>173.0</v>
      </c>
      <c r="AM7" s="23">
        <v>-2.0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19</v>
      </c>
      <c r="Q8" s="18">
        <f t="shared" si="4"/>
        <v>5</v>
      </c>
      <c r="R8" s="20">
        <f t="shared" si="5"/>
        <v>2</v>
      </c>
      <c r="S8" s="20">
        <f t="shared" si="6"/>
        <v>0</v>
      </c>
      <c r="T8" s="18">
        <f t="shared" si="7"/>
        <v>153</v>
      </c>
      <c r="U8" s="20">
        <f t="shared" si="8"/>
        <v>100</v>
      </c>
      <c r="V8" s="18">
        <f t="shared" si="9"/>
        <v>53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43</v>
      </c>
      <c r="AG8" s="23">
        <v>17.0</v>
      </c>
      <c r="AH8" s="23">
        <v>4.0</v>
      </c>
      <c r="AI8" s="24">
        <v>1.0</v>
      </c>
      <c r="AJ8" s="23">
        <v>3.0</v>
      </c>
      <c r="AK8" s="23">
        <v>159.0</v>
      </c>
      <c r="AL8" s="24">
        <v>172.0</v>
      </c>
      <c r="AM8" s="23">
        <v>-13.0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10</v>
      </c>
      <c r="Q9" s="18">
        <f t="shared" si="4"/>
        <v>1</v>
      </c>
      <c r="R9" s="20">
        <f t="shared" si="5"/>
        <v>0</v>
      </c>
      <c r="S9" s="20">
        <f t="shared" si="6"/>
        <v>7</v>
      </c>
      <c r="T9" s="18">
        <f t="shared" si="7"/>
        <v>175</v>
      </c>
      <c r="U9" s="20">
        <f t="shared" si="8"/>
        <v>216</v>
      </c>
      <c r="V9" s="18">
        <f t="shared" si="9"/>
        <v>-41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16.0</v>
      </c>
      <c r="AH9" s="23">
        <v>4.0</v>
      </c>
      <c r="AI9" s="24">
        <v>1.0</v>
      </c>
      <c r="AJ9" s="23">
        <v>2.0</v>
      </c>
      <c r="AK9" s="23">
        <v>161.0</v>
      </c>
      <c r="AL9" s="24">
        <v>148.0</v>
      </c>
      <c r="AM9" s="23">
        <v>13.0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10.0</v>
      </c>
      <c r="AH11" s="23">
        <v>1.0</v>
      </c>
      <c r="AI11" s="24">
        <v>0.0</v>
      </c>
      <c r="AJ11" s="23">
        <v>7.0</v>
      </c>
      <c r="AK11" s="23">
        <v>175.0</v>
      </c>
      <c r="AL11" s="24">
        <v>216.0</v>
      </c>
      <c r="AM11" s="23">
        <v>-41.0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40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41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22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178</v>
      </c>
      <c r="U78" s="20">
        <f t="shared" ref="U78:U89" si="18">SUMIF(E$78:E$143,O78,H$78:H$143)+SUMIF(I$78:I$143,O78,F$78:F$143)</f>
        <v>151</v>
      </c>
      <c r="V78" s="18">
        <f t="shared" ref="V78:V89" si="19">T78-U78</f>
        <v>27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185</v>
      </c>
      <c r="V79" s="18">
        <f t="shared" si="19"/>
        <v>7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22.0</v>
      </c>
      <c r="AH81" s="23">
        <v>6.0</v>
      </c>
      <c r="AI81" s="24">
        <v>1.0</v>
      </c>
      <c r="AJ81" s="24">
        <v>2.0</v>
      </c>
      <c r="AK81" s="23">
        <v>178.0</v>
      </c>
      <c r="AL81" s="24">
        <v>151.0</v>
      </c>
      <c r="AM81" s="23">
        <v>27.0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19.0</v>
      </c>
      <c r="AH82" s="23">
        <v>5.0</v>
      </c>
      <c r="AI82" s="24">
        <v>0.0</v>
      </c>
      <c r="AJ82" s="24">
        <v>4.0</v>
      </c>
      <c r="AK82" s="23">
        <v>143.0</v>
      </c>
      <c r="AL82" s="24">
        <v>151.0</v>
      </c>
      <c r="AM82" s="23">
        <v>-8.0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19</v>
      </c>
      <c r="Q83" s="18">
        <f t="shared" si="14"/>
        <v>5</v>
      </c>
      <c r="R83" s="20">
        <f t="shared" si="15"/>
        <v>0</v>
      </c>
      <c r="S83" s="20">
        <f t="shared" si="16"/>
        <v>4</v>
      </c>
      <c r="T83" s="18">
        <f t="shared" si="17"/>
        <v>143</v>
      </c>
      <c r="U83" s="20">
        <f t="shared" si="18"/>
        <v>151</v>
      </c>
      <c r="V83" s="18">
        <f t="shared" si="19"/>
        <v>-8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17.0</v>
      </c>
      <c r="AH83" s="23">
        <v>4.0</v>
      </c>
      <c r="AI83" s="24">
        <v>0.0</v>
      </c>
      <c r="AJ83" s="24">
        <v>5.0</v>
      </c>
      <c r="AK83" s="23">
        <v>192.0</v>
      </c>
      <c r="AL83" s="24">
        <v>185.0</v>
      </c>
      <c r="AM83" s="23">
        <v>7.0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17.0</v>
      </c>
      <c r="AH84" s="23">
        <v>4.0</v>
      </c>
      <c r="AI84" s="24">
        <v>0.0</v>
      </c>
      <c r="AJ84" s="24">
        <v>5.0</v>
      </c>
      <c r="AK84" s="23">
        <v>158.0</v>
      </c>
      <c r="AL84" s="24">
        <v>158.0</v>
      </c>
      <c r="AM84" s="23">
        <v>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67</v>
      </c>
      <c r="AG85" s="23">
        <v>16.0</v>
      </c>
      <c r="AH85" s="23">
        <v>3.0</v>
      </c>
      <c r="AI85" s="24">
        <v>0.0</v>
      </c>
      <c r="AJ85" s="24">
        <v>7.0</v>
      </c>
      <c r="AK85" s="23">
        <v>171.0</v>
      </c>
      <c r="AL85" s="24">
        <v>195.0</v>
      </c>
      <c r="AM85" s="23">
        <v>-24.0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15.0</v>
      </c>
      <c r="AH86" s="23">
        <v>3.0</v>
      </c>
      <c r="AI86" s="24">
        <v>0.0</v>
      </c>
      <c r="AJ86" s="24">
        <v>6.0</v>
      </c>
      <c r="AK86" s="23">
        <v>177.0</v>
      </c>
      <c r="AL86" s="24">
        <v>205.0</v>
      </c>
      <c r="AM86" s="23">
        <v>-28.0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15</v>
      </c>
      <c r="Q87" s="18">
        <f t="shared" si="14"/>
        <v>3</v>
      </c>
      <c r="R87" s="20">
        <f t="shared" si="15"/>
        <v>0</v>
      </c>
      <c r="S87" s="20">
        <f t="shared" si="16"/>
        <v>6</v>
      </c>
      <c r="T87" s="18">
        <f t="shared" si="17"/>
        <v>177</v>
      </c>
      <c r="U87" s="20">
        <f t="shared" si="18"/>
        <v>205</v>
      </c>
      <c r="V87" s="18">
        <f t="shared" si="19"/>
        <v>-28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37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10</v>
      </c>
      <c r="Q7" s="18">
        <f t="shared" si="4"/>
        <v>5</v>
      </c>
      <c r="R7" s="18">
        <f t="shared" si="5"/>
        <v>0</v>
      </c>
      <c r="S7" s="20">
        <f t="shared" si="6"/>
        <v>6</v>
      </c>
      <c r="T7" s="18">
        <f t="shared" si="7"/>
        <v>115</v>
      </c>
      <c r="U7" s="20">
        <f t="shared" si="8"/>
        <v>119</v>
      </c>
      <c r="V7" s="18">
        <f t="shared" si="9"/>
        <v>-4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8</v>
      </c>
      <c r="Q8" s="18">
        <f t="shared" si="4"/>
        <v>4</v>
      </c>
      <c r="R8" s="18">
        <f t="shared" si="5"/>
        <v>0</v>
      </c>
      <c r="S8" s="20">
        <f t="shared" si="6"/>
        <v>7</v>
      </c>
      <c r="T8" s="18">
        <f t="shared" si="7"/>
        <v>96</v>
      </c>
      <c r="U8" s="20">
        <f t="shared" si="8"/>
        <v>103</v>
      </c>
      <c r="V8" s="18">
        <f t="shared" si="9"/>
        <v>-7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10.0</v>
      </c>
      <c r="AG8" s="23">
        <v>5.0</v>
      </c>
      <c r="AH8" s="23">
        <v>0.0</v>
      </c>
      <c r="AI8" s="24">
        <v>6.0</v>
      </c>
      <c r="AJ8" s="23">
        <v>115.0</v>
      </c>
      <c r="AK8" s="24">
        <v>119.0</v>
      </c>
      <c r="AL8" s="23">
        <v>-4.0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101</v>
      </c>
      <c r="AF9" s="23">
        <v>8.0</v>
      </c>
      <c r="AG9" s="23">
        <v>4.0</v>
      </c>
      <c r="AH9" s="23">
        <v>0.0</v>
      </c>
      <c r="AI9" s="24">
        <v>7.0</v>
      </c>
      <c r="AJ9" s="23">
        <v>96.0</v>
      </c>
      <c r="AK9" s="24">
        <v>103.0</v>
      </c>
      <c r="AL9" s="23">
        <v>-7.0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61</v>
      </c>
      <c r="AF10" s="23">
        <v>8.0</v>
      </c>
      <c r="AG10" s="23">
        <v>4.0</v>
      </c>
      <c r="AH10" s="23">
        <v>0.0</v>
      </c>
      <c r="AI10" s="24">
        <v>7.0</v>
      </c>
      <c r="AJ10" s="23">
        <v>85.0</v>
      </c>
      <c r="AK10" s="24">
        <v>124.0</v>
      </c>
      <c r="AL10" s="23">
        <v>-39.0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98</v>
      </c>
      <c r="AF11" s="48">
        <v>6.0</v>
      </c>
      <c r="AG11" s="48">
        <v>3.0</v>
      </c>
      <c r="AH11" s="48">
        <v>0.0</v>
      </c>
      <c r="AI11" s="49">
        <v>8.0</v>
      </c>
      <c r="AJ11" s="48">
        <v>94.0</v>
      </c>
      <c r="AK11" s="49">
        <v>118.0</v>
      </c>
      <c r="AL11" s="48">
        <v>-24.0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65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6.0</v>
      </c>
      <c r="AG12" s="23">
        <v>3.0</v>
      </c>
      <c r="AH12" s="23">
        <v>0.0</v>
      </c>
      <c r="AI12" s="24">
        <v>8.0</v>
      </c>
      <c r="AJ12" s="23">
        <v>93.0</v>
      </c>
      <c r="AK12" s="24">
        <v>118.0</v>
      </c>
      <c r="AL12" s="23">
        <v>-25.0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65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65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65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6" t="s">
        <v>24</v>
      </c>
      <c r="H57" s="44">
        <v>9.0</v>
      </c>
      <c r="I57" s="44" t="s">
        <v>37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44">
        <v>14.0</v>
      </c>
      <c r="G58" s="66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44">
        <v>1.0</v>
      </c>
      <c r="G59" s="66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44">
        <v>17.0</v>
      </c>
      <c r="G60" s="66" t="s">
        <v>24</v>
      </c>
      <c r="H60" s="44">
        <v>4.0</v>
      </c>
      <c r="I60" s="44" t="s">
        <v>43</v>
      </c>
      <c r="J60" s="4"/>
      <c r="K60" s="4">
        <f t="shared" si="1"/>
        <v>2</v>
      </c>
      <c r="L60" s="18">
        <f t="shared" si="2"/>
        <v>0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44">
        <v>12.0</v>
      </c>
      <c r="G61" s="66" t="s">
        <v>24</v>
      </c>
      <c r="H61" s="44">
        <v>9.0</v>
      </c>
      <c r="I61" s="44" t="s">
        <v>98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44">
        <v>9.0</v>
      </c>
      <c r="G62" s="66" t="s">
        <v>24</v>
      </c>
      <c r="H62" s="44">
        <v>7.0</v>
      </c>
      <c r="I62" s="44" t="s">
        <v>40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44">
        <v>16.0</v>
      </c>
      <c r="G63" s="66" t="s">
        <v>24</v>
      </c>
      <c r="H63" s="44">
        <v>6.0</v>
      </c>
      <c r="I63" s="44" t="s">
        <v>38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65</v>
      </c>
      <c r="F64" s="44">
        <v>17.0</v>
      </c>
      <c r="G64" s="66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44">
        <v>17.0</v>
      </c>
      <c r="G65" s="66" t="s">
        <v>24</v>
      </c>
      <c r="H65" s="44">
        <v>8.0</v>
      </c>
      <c r="I65" s="44" t="s">
        <v>101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44">
        <v>13.0</v>
      </c>
      <c r="G66" s="66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44">
        <v>9.0</v>
      </c>
      <c r="G67" s="66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>
        <v>10.0</v>
      </c>
      <c r="G68" s="66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17">
        <v>5.0</v>
      </c>
      <c r="G76" s="66" t="s">
        <v>24</v>
      </c>
      <c r="H76" s="17">
        <v>15.0</v>
      </c>
      <c r="I76" s="84" t="s">
        <v>117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6" t="s">
        <v>114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118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119</v>
      </c>
      <c r="F77" s="17">
        <v>7.0</v>
      </c>
      <c r="G77" s="66" t="s">
        <v>24</v>
      </c>
      <c r="H77" s="17">
        <v>10.0</v>
      </c>
      <c r="I77" s="84" t="s">
        <v>118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115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119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117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119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118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119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118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119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118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119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118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119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118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17">
        <v>6.0</v>
      </c>
      <c r="G99" s="66" t="s">
        <v>24</v>
      </c>
      <c r="H99" s="17">
        <v>10.0</v>
      </c>
      <c r="I99" s="84" t="s">
        <v>118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119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17">
        <v>9.0</v>
      </c>
      <c r="G104" s="66" t="s">
        <v>24</v>
      </c>
      <c r="H104" s="17">
        <v>10.0</v>
      </c>
      <c r="I104" s="84" t="s">
        <v>112</v>
      </c>
      <c r="J104" s="62"/>
      <c r="K104" s="4">
        <f t="shared" si="11"/>
        <v>0</v>
      </c>
      <c r="L104" s="18">
        <f t="shared" si="12"/>
        <v>2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118</v>
      </c>
      <c r="F105" s="17">
        <v>12.0</v>
      </c>
      <c r="G105" s="66" t="s">
        <v>24</v>
      </c>
      <c r="H105" s="17">
        <v>13.0</v>
      </c>
      <c r="I105" s="84" t="s">
        <v>31</v>
      </c>
      <c r="J105" s="62"/>
      <c r="K105" s="4">
        <f t="shared" si="11"/>
        <v>0</v>
      </c>
      <c r="L105" s="18">
        <f t="shared" si="12"/>
        <v>2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17">
        <v>6.0</v>
      </c>
      <c r="G106" s="66" t="s">
        <v>24</v>
      </c>
      <c r="H106" s="17">
        <v>8.0</v>
      </c>
      <c r="I106" s="84" t="s">
        <v>114</v>
      </c>
      <c r="J106" s="62"/>
      <c r="K106" s="4">
        <f t="shared" si="11"/>
        <v>0</v>
      </c>
      <c r="L106" s="18">
        <f t="shared" si="12"/>
        <v>2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119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118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119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118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119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118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66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66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66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66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66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66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2"/>
      <c r="X4" s="62"/>
      <c r="Y4" s="62"/>
      <c r="Z4" s="62"/>
      <c r="AA4" s="22" t="s">
        <v>34</v>
      </c>
      <c r="AB4" s="69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2"/>
      <c r="X5" s="62"/>
      <c r="Y5" s="62"/>
      <c r="Z5" s="62"/>
      <c r="AA5" s="22" t="s">
        <v>39</v>
      </c>
      <c r="AB5" s="69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2"/>
      <c r="X9" s="62"/>
      <c r="Y9" s="62"/>
      <c r="Z9" s="62"/>
      <c r="AA9" s="52" t="s">
        <v>48</v>
      </c>
      <c r="AB9" s="69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2"/>
      <c r="X10" s="62"/>
      <c r="Y10" s="62"/>
      <c r="Z10" s="62"/>
      <c r="AA10" s="52" t="s">
        <v>135</v>
      </c>
      <c r="AB10" s="69" t="s">
        <v>117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134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2"/>
      <c r="X12" s="62"/>
      <c r="Y12" s="62"/>
      <c r="Z12" s="62"/>
      <c r="AA12" s="22">
        <v>10.0</v>
      </c>
      <c r="AB12" s="69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2"/>
      <c r="X13" s="62"/>
      <c r="Y13" s="62"/>
      <c r="Z13" s="62"/>
      <c r="AA13" s="22">
        <v>11.0</v>
      </c>
      <c r="AB13" s="69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2"/>
      <c r="X14" s="62"/>
      <c r="Y14" s="62"/>
      <c r="Z14" s="62"/>
      <c r="AA14" s="22">
        <v>12.0</v>
      </c>
      <c r="AB14" s="69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2"/>
      <c r="X15" s="62"/>
      <c r="Y15" s="62"/>
      <c r="Z15" s="62"/>
      <c r="AA15" s="22">
        <v>13.0</v>
      </c>
      <c r="AB15" s="69" t="s">
        <v>40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97</v>
      </c>
      <c r="E37" s="44" t="s">
        <v>63</v>
      </c>
      <c r="F37" s="17">
        <v>12.0</v>
      </c>
      <c r="G37" s="83" t="s">
        <v>24</v>
      </c>
      <c r="H37" s="17">
        <v>5.0</v>
      </c>
      <c r="I37" s="44" t="s">
        <v>45</v>
      </c>
      <c r="J37" s="62"/>
      <c r="K37" s="4">
        <f t="shared" si="1"/>
        <v>2</v>
      </c>
      <c r="L37" s="18">
        <f t="shared" si="2"/>
        <v>0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17">
        <v>7.0</v>
      </c>
      <c r="G45" s="83" t="s">
        <v>24</v>
      </c>
      <c r="H45" s="17">
        <v>5.0</v>
      </c>
      <c r="I45" s="44" t="s">
        <v>117</v>
      </c>
      <c r="J45" s="62"/>
      <c r="K45" s="4">
        <f t="shared" si="1"/>
        <v>2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17">
        <v>21.0</v>
      </c>
      <c r="G46" s="83" t="s">
        <v>24</v>
      </c>
      <c r="H46" s="17">
        <v>0.0</v>
      </c>
      <c r="I46" s="44" t="s">
        <v>31</v>
      </c>
      <c r="J46" s="62"/>
      <c r="K46" s="4">
        <f t="shared" si="1"/>
        <v>2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>
        <v>0.0</v>
      </c>
      <c r="G47" s="83" t="s">
        <v>24</v>
      </c>
      <c r="H47" s="17">
        <v>11.0</v>
      </c>
      <c r="I47" s="44" t="s">
        <v>64</v>
      </c>
      <c r="J47" s="62"/>
      <c r="K47" s="4">
        <f t="shared" si="1"/>
        <v>0</v>
      </c>
      <c r="L47" s="18">
        <f t="shared" si="2"/>
        <v>2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98">
        <v>19.0</v>
      </c>
      <c r="G49" s="83" t="s">
        <v>24</v>
      </c>
      <c r="H49" s="98">
        <v>0.0</v>
      </c>
      <c r="I49" s="44" t="s">
        <v>45</v>
      </c>
      <c r="J49" s="62"/>
      <c r="K49" s="4">
        <f t="shared" si="1"/>
        <v>2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17">
        <v>14.0</v>
      </c>
      <c r="G50" s="83" t="s">
        <v>24</v>
      </c>
      <c r="H50" s="17">
        <v>7.0</v>
      </c>
      <c r="I50" s="44" t="s">
        <v>40</v>
      </c>
      <c r="J50" s="62"/>
      <c r="K50" s="4">
        <f t="shared" si="1"/>
        <v>2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17">
        <v>8.0</v>
      </c>
      <c r="G51" s="83" t="s">
        <v>24</v>
      </c>
      <c r="H51" s="17">
        <v>9.0</v>
      </c>
      <c r="I51" s="44" t="s">
        <v>68</v>
      </c>
      <c r="J51" s="62"/>
      <c r="K51" s="4">
        <f t="shared" si="1"/>
        <v>0</v>
      </c>
      <c r="L51" s="18">
        <f t="shared" si="2"/>
        <v>2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24.0</v>
      </c>
      <c r="AB3" s="23">
        <v>8.0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15</v>
      </c>
      <c r="Q4" s="18">
        <f t="shared" si="4"/>
        <v>5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16</v>
      </c>
      <c r="V4" s="18">
        <f t="shared" si="9"/>
        <v>10</v>
      </c>
      <c r="W4" s="62"/>
      <c r="X4" s="62"/>
      <c r="Y4" s="22" t="s">
        <v>34</v>
      </c>
      <c r="Z4" s="69" t="s">
        <v>66</v>
      </c>
      <c r="AA4" s="23">
        <v>21.0</v>
      </c>
      <c r="AB4" s="23">
        <v>7.0</v>
      </c>
      <c r="AC4" s="23">
        <v>0.0</v>
      </c>
      <c r="AD4" s="24">
        <v>0.0</v>
      </c>
      <c r="AE4" s="23">
        <v>47.0</v>
      </c>
      <c r="AF4" s="24">
        <v>1.0</v>
      </c>
      <c r="AG4" s="23">
        <v>46.0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66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66</v>
      </c>
      <c r="P5" s="18">
        <f t="shared" si="3"/>
        <v>21</v>
      </c>
      <c r="Q5" s="18">
        <f t="shared" si="4"/>
        <v>7</v>
      </c>
      <c r="R5" s="18">
        <f t="shared" si="5"/>
        <v>0</v>
      </c>
      <c r="S5" s="20">
        <f t="shared" si="6"/>
        <v>0</v>
      </c>
      <c r="T5" s="18">
        <f t="shared" si="7"/>
        <v>47</v>
      </c>
      <c r="U5" s="20">
        <f t="shared" si="8"/>
        <v>1</v>
      </c>
      <c r="V5" s="18">
        <f t="shared" si="9"/>
        <v>46</v>
      </c>
      <c r="W5" s="62"/>
      <c r="X5" s="62"/>
      <c r="Y5" s="22" t="s">
        <v>39</v>
      </c>
      <c r="Z5" s="69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65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15.0</v>
      </c>
      <c r="AB6" s="23">
        <v>5.0</v>
      </c>
      <c r="AC6" s="23">
        <v>0.0</v>
      </c>
      <c r="AD6" s="24">
        <v>2.0</v>
      </c>
      <c r="AE6" s="23">
        <v>26.0</v>
      </c>
      <c r="AF6" s="24">
        <v>16.0</v>
      </c>
      <c r="AG6" s="23">
        <v>10.0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4.0</v>
      </c>
      <c r="AE7" s="23">
        <v>26.0</v>
      </c>
      <c r="AF7" s="24">
        <v>21.0</v>
      </c>
      <c r="AG7" s="23">
        <v>5.0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9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26</v>
      </c>
      <c r="U8" s="20">
        <f t="shared" si="8"/>
        <v>16</v>
      </c>
      <c r="V8" s="18">
        <f t="shared" si="9"/>
        <v>10</v>
      </c>
      <c r="W8" s="62"/>
      <c r="X8" s="62"/>
      <c r="Y8" s="52" t="s">
        <v>47</v>
      </c>
      <c r="Z8" s="69" t="s">
        <v>112</v>
      </c>
      <c r="AA8" s="23">
        <v>11.0</v>
      </c>
      <c r="AB8" s="23">
        <v>3.0</v>
      </c>
      <c r="AC8" s="23">
        <v>2.0</v>
      </c>
      <c r="AD8" s="24">
        <v>3.0</v>
      </c>
      <c r="AE8" s="23">
        <v>24.0</v>
      </c>
      <c r="AF8" s="24">
        <v>22.0</v>
      </c>
      <c r="AG8" s="23">
        <v>2.0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144</v>
      </c>
      <c r="AA9" s="23">
        <v>10.0</v>
      </c>
      <c r="AB9" s="23">
        <v>3.0</v>
      </c>
      <c r="AC9" s="23">
        <v>1.0</v>
      </c>
      <c r="AD9" s="24">
        <v>4.0</v>
      </c>
      <c r="AE9" s="23">
        <v>17.0</v>
      </c>
      <c r="AF9" s="24">
        <v>35.0</v>
      </c>
      <c r="AG9" s="23">
        <v>-18.0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4</v>
      </c>
      <c r="T10" s="18">
        <f t="shared" si="7"/>
        <v>27</v>
      </c>
      <c r="U10" s="20">
        <f t="shared" si="8"/>
        <v>20</v>
      </c>
      <c r="V10" s="18">
        <f t="shared" si="9"/>
        <v>7</v>
      </c>
      <c r="W10" s="62"/>
      <c r="X10" s="62"/>
      <c r="Y10" s="52" t="s">
        <v>135</v>
      </c>
      <c r="Z10" s="69" t="s">
        <v>25</v>
      </c>
      <c r="AA10" s="23">
        <v>9.0</v>
      </c>
      <c r="AB10" s="23">
        <v>3.0</v>
      </c>
      <c r="AC10" s="23">
        <v>0.0</v>
      </c>
      <c r="AD10" s="24">
        <v>4.0</v>
      </c>
      <c r="AE10" s="23">
        <v>26.0</v>
      </c>
      <c r="AF10" s="24">
        <v>16.0</v>
      </c>
      <c r="AG10" s="23">
        <v>10.0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6</v>
      </c>
      <c r="T11" s="18">
        <f t="shared" si="7"/>
        <v>3</v>
      </c>
      <c r="U11" s="20">
        <f t="shared" si="8"/>
        <v>66</v>
      </c>
      <c r="V11" s="18">
        <f t="shared" si="9"/>
        <v>-63</v>
      </c>
      <c r="W11" s="62"/>
      <c r="X11" s="62"/>
      <c r="Y11" s="22">
        <v>9.0</v>
      </c>
      <c r="Z11" s="69" t="s">
        <v>33</v>
      </c>
      <c r="AA11" s="23">
        <v>9.0</v>
      </c>
      <c r="AB11" s="23">
        <v>3.0</v>
      </c>
      <c r="AC11" s="23">
        <v>0.0</v>
      </c>
      <c r="AD11" s="24">
        <v>4.0</v>
      </c>
      <c r="AE11" s="23">
        <v>27.0</v>
      </c>
      <c r="AF11" s="24">
        <v>20.0</v>
      </c>
      <c r="AG11" s="23">
        <v>7.0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65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4</v>
      </c>
      <c r="T13" s="18">
        <f t="shared" si="7"/>
        <v>4</v>
      </c>
      <c r="U13" s="20">
        <f t="shared" si="8"/>
        <v>32</v>
      </c>
      <c r="V13" s="18">
        <f t="shared" si="9"/>
        <v>-28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4.0</v>
      </c>
      <c r="AE13" s="23">
        <v>4.0</v>
      </c>
      <c r="AF13" s="24">
        <v>32.0</v>
      </c>
      <c r="AG13" s="23">
        <v>-28.0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7</v>
      </c>
      <c r="T14" s="18">
        <f t="shared" si="7"/>
        <v>3</v>
      </c>
      <c r="U14" s="20">
        <f t="shared" si="8"/>
        <v>54</v>
      </c>
      <c r="V14" s="18">
        <f t="shared" si="9"/>
        <v>-51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7.0</v>
      </c>
      <c r="AE16" s="23">
        <v>3.0</v>
      </c>
      <c r="AF16" s="24">
        <v>54.0</v>
      </c>
      <c r="AG16" s="23">
        <v>-51.0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6.0</v>
      </c>
      <c r="AE17" s="23">
        <v>3.0</v>
      </c>
      <c r="AF17" s="24">
        <v>66.0</v>
      </c>
      <c r="AG17" s="23">
        <v>-63.0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65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66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65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66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65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66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65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66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>
        <v>1.0</v>
      </c>
      <c r="G63" s="83" t="s">
        <v>24</v>
      </c>
      <c r="H63" s="17">
        <v>10.0</v>
      </c>
      <c r="I63" s="44" t="s">
        <v>112</v>
      </c>
      <c r="J63" s="62"/>
      <c r="K63" s="4">
        <f t="shared" si="1"/>
        <v>0</v>
      </c>
      <c r="L63" s="18">
        <f t="shared" si="2"/>
        <v>3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17">
        <v>0.0</v>
      </c>
      <c r="G64" s="83" t="s">
        <v>24</v>
      </c>
      <c r="H64" s="17">
        <v>4.0</v>
      </c>
      <c r="I64" s="44" t="s">
        <v>66</v>
      </c>
      <c r="J64" s="62"/>
      <c r="K64" s="4">
        <f t="shared" si="1"/>
        <v>0</v>
      </c>
      <c r="L64" s="18">
        <f t="shared" si="2"/>
        <v>3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17">
        <v>0.0</v>
      </c>
      <c r="G65" s="83" t="s">
        <v>24</v>
      </c>
      <c r="H65" s="17">
        <v>7.0</v>
      </c>
      <c r="I65" s="44" t="s">
        <v>65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4">
        <f t="shared" si="1"/>
        <v>3</v>
      </c>
      <c r="L69" s="18">
        <f t="shared" si="2"/>
        <v>0</v>
      </c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17">
        <v>1.0</v>
      </c>
      <c r="G70" s="83" t="s">
        <v>24</v>
      </c>
      <c r="H70" s="17">
        <v>3.0</v>
      </c>
      <c r="I70" s="44" t="s">
        <v>31</v>
      </c>
      <c r="J70" s="62"/>
      <c r="K70" s="4">
        <f t="shared" si="1"/>
        <v>0</v>
      </c>
      <c r="L70" s="18">
        <f t="shared" si="2"/>
        <v>3</v>
      </c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66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66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19.0</v>
      </c>
      <c r="AH75" s="23">
        <v>6.0</v>
      </c>
      <c r="AI75" s="23">
        <v>1.0</v>
      </c>
      <c r="AJ75" s="23">
        <v>1.0</v>
      </c>
      <c r="AK75" s="23">
        <v>47.0</v>
      </c>
      <c r="AL75" s="23">
        <v>19.0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18.0</v>
      </c>
      <c r="AH76" s="23">
        <v>6.0</v>
      </c>
      <c r="AI76" s="23">
        <v>0.0</v>
      </c>
      <c r="AJ76" s="23">
        <v>2.0</v>
      </c>
      <c r="AK76" s="23">
        <v>44.0</v>
      </c>
      <c r="AL76" s="23">
        <v>12.0</v>
      </c>
      <c r="AM76" s="23">
        <v>32.0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19</v>
      </c>
      <c r="Q78" s="18">
        <f t="shared" si="14"/>
        <v>6</v>
      </c>
      <c r="R78" s="20">
        <f t="shared" si="15"/>
        <v>1</v>
      </c>
      <c r="S78" s="20">
        <f t="shared" si="16"/>
        <v>1</v>
      </c>
      <c r="T78" s="18">
        <f t="shared" si="17"/>
        <v>47</v>
      </c>
      <c r="U78" s="20">
        <f t="shared" si="18"/>
        <v>19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114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5</v>
      </c>
      <c r="Q81" s="18">
        <f t="shared" si="14"/>
        <v>1</v>
      </c>
      <c r="R81" s="20">
        <f t="shared" si="15"/>
        <v>2</v>
      </c>
      <c r="S81" s="20">
        <f t="shared" si="16"/>
        <v>5</v>
      </c>
      <c r="T81" s="18">
        <f t="shared" si="17"/>
        <v>12</v>
      </c>
      <c r="U81" s="20">
        <f t="shared" si="18"/>
        <v>48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165</v>
      </c>
      <c r="AG82" s="23">
        <v>5.0</v>
      </c>
      <c r="AH82" s="23">
        <v>1.0</v>
      </c>
      <c r="AI82" s="23">
        <v>2.0</v>
      </c>
      <c r="AJ82" s="23">
        <v>5.0</v>
      </c>
      <c r="AK82" s="23">
        <v>12.0</v>
      </c>
      <c r="AL82" s="23">
        <v>48.0</v>
      </c>
      <c r="AM82" s="23">
        <v>-36.0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117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44">
        <v>3.0</v>
      </c>
      <c r="G116" s="83" t="s">
        <v>24</v>
      </c>
      <c r="H116" s="44">
        <v>1.0</v>
      </c>
      <c r="I116" s="44" t="s">
        <v>114</v>
      </c>
      <c r="J116" s="62"/>
      <c r="K116" s="4">
        <f t="shared" si="11"/>
        <v>3</v>
      </c>
      <c r="L116" s="18">
        <f t="shared" si="12"/>
        <v>0</v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44">
        <v>3.0</v>
      </c>
      <c r="G118" s="83" t="s">
        <v>24</v>
      </c>
      <c r="H118" s="44">
        <v>3.0</v>
      </c>
      <c r="I118" s="17" t="s">
        <v>32</v>
      </c>
      <c r="J118" s="62"/>
      <c r="K118" s="4">
        <f t="shared" si="11"/>
        <v>1</v>
      </c>
      <c r="L118" s="18">
        <f t="shared" si="12"/>
        <v>1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44">
        <v>3.0</v>
      </c>
      <c r="G119" s="83" t="s">
        <v>24</v>
      </c>
      <c r="H119" s="44">
        <v>5.0</v>
      </c>
      <c r="I119" s="44" t="s">
        <v>63</v>
      </c>
      <c r="J119" s="62"/>
      <c r="K119" s="4">
        <f t="shared" si="11"/>
        <v>0</v>
      </c>
      <c r="L119" s="18">
        <f t="shared" si="12"/>
        <v>3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118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118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118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118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118</v>
      </c>
      <c r="F137" s="44">
        <v>3.0</v>
      </c>
      <c r="G137" s="8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118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118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118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118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118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65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118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21</v>
      </c>
      <c r="Q3" s="117">
        <f t="shared" ref="Q3:Q14" si="4">COUNTIFS(E$3:E$68,O3,K$3:K$68,3)+COUNTIFS(I$3:I$68,O3,L$3:L$68,3)</f>
        <v>7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29</v>
      </c>
      <c r="U3" s="118">
        <f t="shared" ref="U3:U14" si="8">SUMIF(E$3:E$68,O3,H$3:H$68)+SUMIF(I$3:I$68,O3,F$3:F$68)</f>
        <v>18</v>
      </c>
      <c r="V3" s="117">
        <f t="shared" ref="V3:V14" si="9">T3-U3</f>
        <v>11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66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66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6</v>
      </c>
      <c r="T7" s="117">
        <f t="shared" si="7"/>
        <v>17</v>
      </c>
      <c r="U7" s="118">
        <f t="shared" si="8"/>
        <v>46</v>
      </c>
      <c r="V7" s="117">
        <f t="shared" si="9"/>
        <v>-29</v>
      </c>
      <c r="W7" s="2"/>
      <c r="X7" s="2"/>
      <c r="Y7" s="2"/>
      <c r="Z7" s="2"/>
      <c r="AA7" s="22" t="s">
        <v>44</v>
      </c>
      <c r="AB7" s="28" t="s">
        <v>38</v>
      </c>
      <c r="AC7" s="28">
        <v>17.0</v>
      </c>
      <c r="AD7" s="28">
        <v>5.0</v>
      </c>
      <c r="AE7" s="28">
        <v>2.0</v>
      </c>
      <c r="AF7" s="28">
        <v>2.0</v>
      </c>
      <c r="AG7" s="28">
        <v>23.0</v>
      </c>
      <c r="AH7" s="28">
        <v>15.0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6.0</v>
      </c>
      <c r="AG8" s="28">
        <v>17.0</v>
      </c>
      <c r="AH8" s="28">
        <v>46.0</v>
      </c>
      <c r="AI8" s="28">
        <v>-29.0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17</v>
      </c>
      <c r="Q9" s="117">
        <f t="shared" si="4"/>
        <v>5</v>
      </c>
      <c r="R9" s="117">
        <f t="shared" si="5"/>
        <v>2</v>
      </c>
      <c r="S9" s="118">
        <f t="shared" si="6"/>
        <v>2</v>
      </c>
      <c r="T9" s="117">
        <f t="shared" si="7"/>
        <v>23</v>
      </c>
      <c r="U9" s="118">
        <f t="shared" si="8"/>
        <v>15</v>
      </c>
      <c r="V9" s="117">
        <f t="shared" si="9"/>
        <v>8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28</v>
      </c>
      <c r="Q10" s="117">
        <f t="shared" si="4"/>
        <v>9</v>
      </c>
      <c r="R10" s="117">
        <f t="shared" si="5"/>
        <v>1</v>
      </c>
      <c r="S10" s="118">
        <f t="shared" si="6"/>
        <v>0</v>
      </c>
      <c r="T10" s="117">
        <f t="shared" si="7"/>
        <v>38</v>
      </c>
      <c r="U10" s="118">
        <f t="shared" si="8"/>
        <v>8</v>
      </c>
      <c r="V10" s="117">
        <f t="shared" si="9"/>
        <v>30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8</v>
      </c>
      <c r="T14" s="117">
        <f t="shared" si="7"/>
        <v>12</v>
      </c>
      <c r="U14" s="118">
        <f t="shared" si="8"/>
        <v>29</v>
      </c>
      <c r="V14" s="117">
        <f t="shared" si="9"/>
        <v>-17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66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17">
        <v>5.0</v>
      </c>
      <c r="G33" s="83" t="s">
        <v>24</v>
      </c>
      <c r="H33" s="116">
        <v>0.0</v>
      </c>
      <c r="I33" s="44" t="s">
        <v>112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66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66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66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17">
        <v>0.0</v>
      </c>
      <c r="G66" s="83" t="s">
        <v>24</v>
      </c>
      <c r="H66" s="116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>
        <v>2.0</v>
      </c>
      <c r="G68" s="83" t="s">
        <v>24</v>
      </c>
      <c r="H68" s="116">
        <v>1.0</v>
      </c>
      <c r="I68" s="44" t="s">
        <v>112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65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65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65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29</v>
      </c>
      <c r="Q3" s="134">
        <f t="shared" ref="Q3:Q14" si="4">COUNTIFS(E$3:E$68,O3,K$3:K$68,2)+COUNTIFS(I$3:I$68,O3,L$3:L$68,2)+COUNTIFS(E$3:E$68,O3,K$3:K$68,3)+COUNTIFS(I$3:I$68,O3,L$3:L$68,3)</f>
        <v>10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21</v>
      </c>
      <c r="U3" s="135">
        <f t="shared" ref="U3:U14" si="7">SUMIF(E$3:E$68,O3,H$3:H$68)+SUMIF(I$3:I$68,O3,F$3:F$68)</f>
        <v>4</v>
      </c>
      <c r="V3" s="132">
        <f t="shared" ref="V3:V14" si="8">T3-U3</f>
        <v>17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22</v>
      </c>
      <c r="Q4" s="134">
        <f t="shared" si="4"/>
        <v>7</v>
      </c>
      <c r="R4" s="134"/>
      <c r="S4" s="135">
        <f t="shared" si="5"/>
        <v>4</v>
      </c>
      <c r="T4" s="132">
        <f t="shared" si="6"/>
        <v>15</v>
      </c>
      <c r="U4" s="135">
        <f t="shared" si="7"/>
        <v>8</v>
      </c>
      <c r="V4" s="132">
        <f t="shared" si="8"/>
        <v>7</v>
      </c>
      <c r="X4" s="120" t="s">
        <v>66</v>
      </c>
      <c r="Y4" s="120">
        <v>2.0</v>
      </c>
      <c r="AA4" s="22" t="s">
        <v>34</v>
      </c>
      <c r="AB4" s="69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30</v>
      </c>
      <c r="Q5" s="134">
        <f t="shared" si="4"/>
        <v>10</v>
      </c>
      <c r="R5" s="134"/>
      <c r="S5" s="135">
        <f t="shared" si="5"/>
        <v>1</v>
      </c>
      <c r="T5" s="132">
        <f t="shared" si="6"/>
        <v>21</v>
      </c>
      <c r="U5" s="135">
        <f t="shared" si="7"/>
        <v>3</v>
      </c>
      <c r="V5" s="132">
        <f t="shared" si="8"/>
        <v>18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2</v>
      </c>
      <c r="T8" s="132">
        <f t="shared" si="6"/>
        <v>18</v>
      </c>
      <c r="U8" s="135">
        <f t="shared" si="7"/>
        <v>5</v>
      </c>
      <c r="V8" s="132">
        <f t="shared" si="8"/>
        <v>13</v>
      </c>
      <c r="AA8" s="22" t="s">
        <v>47</v>
      </c>
      <c r="AB8" s="69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8</v>
      </c>
      <c r="T9" s="132">
        <f t="shared" si="6"/>
        <v>7</v>
      </c>
      <c r="U9" s="135">
        <f t="shared" si="7"/>
        <v>17</v>
      </c>
      <c r="V9" s="132">
        <f t="shared" si="8"/>
        <v>-10</v>
      </c>
      <c r="AA9" s="22">
        <v>7.0</v>
      </c>
      <c r="AB9" s="69" t="s">
        <v>117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9</v>
      </c>
      <c r="T10" s="132">
        <f t="shared" si="6"/>
        <v>5</v>
      </c>
      <c r="U10" s="135">
        <f t="shared" si="7"/>
        <v>19</v>
      </c>
      <c r="V10" s="132">
        <f t="shared" si="8"/>
        <v>-14</v>
      </c>
      <c r="AA10" s="22">
        <v>8.0</v>
      </c>
      <c r="AB10" s="69" t="s">
        <v>115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17</v>
      </c>
      <c r="Q11" s="134">
        <f t="shared" si="4"/>
        <v>5</v>
      </c>
      <c r="R11" s="134"/>
      <c r="S11" s="135">
        <f t="shared" si="5"/>
        <v>6</v>
      </c>
      <c r="T11" s="132">
        <f t="shared" si="6"/>
        <v>13</v>
      </c>
      <c r="U11" s="135">
        <f t="shared" si="7"/>
        <v>13</v>
      </c>
      <c r="V11" s="132">
        <f t="shared" si="8"/>
        <v>0</v>
      </c>
      <c r="AA11" s="110" t="s">
        <v>104</v>
      </c>
      <c r="AB11" s="69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8</v>
      </c>
      <c r="T12" s="132">
        <f t="shared" si="6"/>
        <v>7</v>
      </c>
      <c r="U12" s="135">
        <f t="shared" si="7"/>
        <v>16</v>
      </c>
      <c r="V12" s="132">
        <f t="shared" si="8"/>
        <v>-9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11</v>
      </c>
      <c r="T13" s="132">
        <f t="shared" si="6"/>
        <v>1</v>
      </c>
      <c r="U13" s="135">
        <f t="shared" si="7"/>
        <v>22</v>
      </c>
      <c r="V13" s="132">
        <f t="shared" si="8"/>
        <v>-21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23</v>
      </c>
      <c r="Q14" s="134">
        <f t="shared" si="4"/>
        <v>8</v>
      </c>
      <c r="S14" s="135">
        <f t="shared" si="5"/>
        <v>3</v>
      </c>
      <c r="T14" s="132">
        <f t="shared" si="6"/>
        <v>17</v>
      </c>
      <c r="U14" s="135">
        <f t="shared" si="7"/>
        <v>8</v>
      </c>
      <c r="V14" s="132">
        <f t="shared" si="8"/>
        <v>9</v>
      </c>
      <c r="AA14" s="75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>
        <v>2.0</v>
      </c>
      <c r="G51" s="31" t="s">
        <v>24</v>
      </c>
      <c r="H51" s="13">
        <v>0.0</v>
      </c>
      <c r="I51" s="17" t="s">
        <v>66</v>
      </c>
      <c r="K51" s="131">
        <f t="shared" si="1"/>
        <v>3</v>
      </c>
      <c r="L51" s="132">
        <f t="shared" si="2"/>
        <v>0</v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>
        <v>0.0</v>
      </c>
      <c r="G52" s="31" t="s">
        <v>24</v>
      </c>
      <c r="H52" s="13">
        <v>2.0</v>
      </c>
      <c r="I52" s="17" t="s">
        <v>144</v>
      </c>
      <c r="K52" s="131">
        <f t="shared" si="1"/>
        <v>0</v>
      </c>
      <c r="L52" s="132">
        <f t="shared" si="2"/>
        <v>3</v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1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>
        <v>2.0</v>
      </c>
      <c r="G54" s="31" t="s">
        <v>24</v>
      </c>
      <c r="H54" s="13">
        <v>0.0</v>
      </c>
      <c r="I54" s="17" t="s">
        <v>37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>
        <v>2.0</v>
      </c>
      <c r="G55" s="31" t="s">
        <v>24</v>
      </c>
      <c r="H55" s="13">
        <v>0.0</v>
      </c>
      <c r="I55" s="17" t="s">
        <v>32</v>
      </c>
      <c r="K55" s="131">
        <f t="shared" si="1"/>
        <v>3</v>
      </c>
      <c r="L55" s="132">
        <f t="shared" si="2"/>
        <v>0</v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>
        <v>2.0</v>
      </c>
      <c r="G56" s="31" t="s">
        <v>24</v>
      </c>
      <c r="H56" s="13">
        <v>0.0</v>
      </c>
      <c r="I56" s="17" t="s">
        <v>31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2"/>
      <c r="B69" s="143"/>
      <c r="C69" s="143"/>
      <c r="D69" s="143"/>
      <c r="E69" s="1"/>
      <c r="F69" s="143"/>
      <c r="G69" s="143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2"/>
      <c r="B70" s="143"/>
      <c r="C70" s="143"/>
      <c r="D70" s="143"/>
      <c r="E70" s="1"/>
      <c r="F70" s="143"/>
      <c r="G70" s="143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2"/>
      <c r="B71" s="143"/>
      <c r="C71" s="143"/>
      <c r="D71" s="143"/>
      <c r="E71" s="1"/>
      <c r="F71" s="143"/>
      <c r="G71" s="143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7</v>
      </c>
      <c r="T75" s="132">
        <f t="shared" si="14"/>
        <v>8</v>
      </c>
      <c r="U75" s="135">
        <f t="shared" si="15"/>
        <v>15</v>
      </c>
      <c r="V75" s="132">
        <f t="shared" si="16"/>
        <v>-7</v>
      </c>
      <c r="X75" s="120" t="s">
        <v>33</v>
      </c>
      <c r="Y75" s="120">
        <v>3.0</v>
      </c>
      <c r="AA75" s="110" t="s">
        <v>116</v>
      </c>
      <c r="AB75" s="69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4</v>
      </c>
      <c r="T76" s="132">
        <f t="shared" si="14"/>
        <v>14</v>
      </c>
      <c r="U76" s="135">
        <f t="shared" si="15"/>
        <v>10</v>
      </c>
      <c r="V76" s="132">
        <f t="shared" si="16"/>
        <v>4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118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4</v>
      </c>
      <c r="T77" s="132">
        <f t="shared" si="14"/>
        <v>13</v>
      </c>
      <c r="U77" s="135">
        <f t="shared" si="15"/>
        <v>11</v>
      </c>
      <c r="V77" s="132">
        <f t="shared" si="16"/>
        <v>2</v>
      </c>
      <c r="AA77" s="22">
        <v>4.0</v>
      </c>
      <c r="AB77" s="69" t="s">
        <v>202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118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16</v>
      </c>
      <c r="Q78" s="134">
        <f t="shared" si="12"/>
        <v>5</v>
      </c>
      <c r="R78" s="135"/>
      <c r="S78" s="135">
        <f t="shared" si="13"/>
        <v>5</v>
      </c>
      <c r="T78" s="132">
        <f t="shared" si="14"/>
        <v>12</v>
      </c>
      <c r="U78" s="135">
        <f t="shared" si="15"/>
        <v>11</v>
      </c>
      <c r="V78" s="132">
        <f t="shared" si="16"/>
        <v>1</v>
      </c>
      <c r="AA78" s="22">
        <v>5.0</v>
      </c>
      <c r="AB78" s="69" t="s">
        <v>118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44"/>
      <c r="C79" s="145"/>
      <c r="D79" s="146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9</v>
      </c>
      <c r="T79" s="132">
        <f t="shared" si="14"/>
        <v>3</v>
      </c>
      <c r="U79" s="135">
        <f t="shared" si="15"/>
        <v>19</v>
      </c>
      <c r="V79" s="132">
        <f t="shared" si="16"/>
        <v>-16</v>
      </c>
      <c r="AA79" s="22">
        <v>6.0</v>
      </c>
      <c r="AB79" s="69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4">
        <v>2.0</v>
      </c>
      <c r="B80" s="144"/>
      <c r="C80" s="145"/>
      <c r="D80" s="146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9</v>
      </c>
      <c r="U80" s="135">
        <f t="shared" si="15"/>
        <v>15</v>
      </c>
      <c r="V80" s="132">
        <f t="shared" si="16"/>
        <v>-6</v>
      </c>
      <c r="AA80" s="22">
        <v>7.0</v>
      </c>
      <c r="AB80" s="69" t="s">
        <v>112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17</v>
      </c>
      <c r="Q81" s="134">
        <f t="shared" si="12"/>
        <v>5</v>
      </c>
      <c r="R81" s="135"/>
      <c r="S81" s="135">
        <f t="shared" si="13"/>
        <v>5</v>
      </c>
      <c r="T81" s="132">
        <f t="shared" si="14"/>
        <v>13</v>
      </c>
      <c r="U81" s="135">
        <f t="shared" si="15"/>
        <v>11</v>
      </c>
      <c r="V81" s="132">
        <f t="shared" si="16"/>
        <v>2</v>
      </c>
      <c r="AA81" s="22">
        <v>8.0</v>
      </c>
      <c r="AB81" s="69" t="s">
        <v>134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14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12</v>
      </c>
      <c r="U82" s="135">
        <f t="shared" si="15"/>
        <v>13</v>
      </c>
      <c r="V82" s="132">
        <f t="shared" si="16"/>
        <v>-1</v>
      </c>
      <c r="AA82" s="22">
        <v>9.0</v>
      </c>
      <c r="AB82" s="69" t="s">
        <v>41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28</v>
      </c>
      <c r="Q83" s="134">
        <f t="shared" si="12"/>
        <v>10</v>
      </c>
      <c r="R83" s="135"/>
      <c r="S83" s="135">
        <f t="shared" si="13"/>
        <v>0</v>
      </c>
      <c r="T83" s="132">
        <f t="shared" si="14"/>
        <v>20</v>
      </c>
      <c r="U83" s="135">
        <f t="shared" si="15"/>
        <v>2</v>
      </c>
      <c r="V83" s="132">
        <f t="shared" si="16"/>
        <v>18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26</v>
      </c>
      <c r="Q84" s="134">
        <f t="shared" si="12"/>
        <v>9</v>
      </c>
      <c r="S84" s="135">
        <f t="shared" si="13"/>
        <v>1</v>
      </c>
      <c r="T84" s="132">
        <f t="shared" si="14"/>
        <v>19</v>
      </c>
      <c r="U84" s="135">
        <f t="shared" si="15"/>
        <v>4</v>
      </c>
      <c r="V84" s="132">
        <f t="shared" si="16"/>
        <v>15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118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4"/>
      <c r="C91" s="146"/>
      <c r="D91" s="146"/>
      <c r="E91" s="17">
        <v>0.0</v>
      </c>
      <c r="F91" s="31"/>
      <c r="G91" s="31" t="s">
        <v>24</v>
      </c>
      <c r="H91" s="31"/>
      <c r="I91" s="17" t="s">
        <v>118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118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1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1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1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1">
        <v>1.0</v>
      </c>
      <c r="G102" s="31" t="s">
        <v>24</v>
      </c>
      <c r="H102" s="13">
        <v>2.0</v>
      </c>
      <c r="I102" s="17" t="s">
        <v>118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4"/>
      <c r="C103" s="146"/>
      <c r="D103" s="146"/>
      <c r="E103" s="17">
        <v>0.0</v>
      </c>
      <c r="F103" s="146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4"/>
      <c r="C104" s="145"/>
      <c r="D104" s="146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118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118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4"/>
      <c r="C115" s="146"/>
      <c r="D115" s="146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4"/>
      <c r="C116" s="145"/>
      <c r="D116" s="146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118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118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4"/>
      <c r="C127" s="146"/>
      <c r="D127" s="146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4"/>
      <c r="C128" s="145"/>
      <c r="D128" s="146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118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41</v>
      </c>
      <c r="J134" s="130"/>
      <c r="K134" s="131">
        <f t="shared" si="9"/>
        <v>3</v>
      </c>
      <c r="L134" s="132">
        <f t="shared" si="10"/>
        <v>0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13">
        <v>2.0</v>
      </c>
      <c r="G135" s="31" t="s">
        <v>24</v>
      </c>
      <c r="H135" s="13">
        <v>0.0</v>
      </c>
      <c r="I135" s="17" t="s">
        <v>118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>
        <v>2.0</v>
      </c>
      <c r="G136" s="31" t="s">
        <v>24</v>
      </c>
      <c r="H136" s="13">
        <v>0.0</v>
      </c>
      <c r="I136" s="17" t="s">
        <v>69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202</v>
      </c>
      <c r="J137" s="130"/>
      <c r="K137" s="131">
        <f t="shared" si="9"/>
        <v>1</v>
      </c>
      <c r="L137" s="132">
        <f t="shared" si="10"/>
        <v>2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>
        <v>0.0</v>
      </c>
      <c r="G138" s="31" t="s">
        <v>24</v>
      </c>
      <c r="H138" s="13">
        <v>2.0</v>
      </c>
      <c r="I138" s="17" t="s">
        <v>170</v>
      </c>
      <c r="J138" s="130"/>
      <c r="K138" s="131">
        <f t="shared" si="9"/>
        <v>0</v>
      </c>
      <c r="L138" s="132">
        <f t="shared" si="10"/>
        <v>3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4"/>
      <c r="C139" s="146"/>
      <c r="D139" s="146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20</v>
      </c>
      <c r="Q147" s="134">
        <f t="shared" si="20"/>
        <v>7</v>
      </c>
      <c r="R147" s="135"/>
      <c r="S147" s="135">
        <f t="shared" si="21"/>
        <v>3</v>
      </c>
      <c r="T147" s="132">
        <f t="shared" si="22"/>
        <v>16</v>
      </c>
      <c r="U147" s="135">
        <f t="shared" si="23"/>
        <v>9</v>
      </c>
      <c r="V147" s="132">
        <f t="shared" si="24"/>
        <v>7</v>
      </c>
      <c r="X147" s="120" t="s">
        <v>33</v>
      </c>
      <c r="Y147" s="120">
        <v>3.0</v>
      </c>
      <c r="AA147" s="110" t="s">
        <v>116</v>
      </c>
      <c r="AB147" s="69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25</v>
      </c>
      <c r="Q148" s="134">
        <f t="shared" si="20"/>
        <v>8</v>
      </c>
      <c r="R148" s="135"/>
      <c r="S148" s="135">
        <f t="shared" si="21"/>
        <v>2</v>
      </c>
      <c r="T148" s="132">
        <f t="shared" si="22"/>
        <v>18</v>
      </c>
      <c r="U148" s="135">
        <f t="shared" si="23"/>
        <v>5</v>
      </c>
      <c r="V148" s="132">
        <f t="shared" si="24"/>
        <v>13</v>
      </c>
      <c r="X148" s="120" t="s">
        <v>41</v>
      </c>
      <c r="Y148" s="120">
        <v>0.0</v>
      </c>
      <c r="AA148" s="22">
        <v>3.0</v>
      </c>
      <c r="AB148" s="69" t="s">
        <v>123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8</v>
      </c>
      <c r="T149" s="132">
        <f t="shared" si="22"/>
        <v>4</v>
      </c>
      <c r="U149" s="135">
        <f t="shared" si="23"/>
        <v>17</v>
      </c>
      <c r="V149" s="132">
        <f t="shared" si="24"/>
        <v>-13</v>
      </c>
      <c r="AA149" s="22">
        <v>4.0</v>
      </c>
      <c r="AB149" s="69" t="s">
        <v>157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9</v>
      </c>
      <c r="T150" s="132">
        <f t="shared" si="22"/>
        <v>5</v>
      </c>
      <c r="U150" s="135">
        <f t="shared" si="23"/>
        <v>18</v>
      </c>
      <c r="V150" s="132">
        <f t="shared" si="24"/>
        <v>-13</v>
      </c>
      <c r="AA150" s="22">
        <v>5.0</v>
      </c>
      <c r="AB150" s="69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44"/>
      <c r="C151" s="145"/>
      <c r="D151" s="146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16</v>
      </c>
      <c r="Q151" s="134">
        <f t="shared" si="20"/>
        <v>5</v>
      </c>
      <c r="R151" s="135"/>
      <c r="S151" s="135">
        <f t="shared" si="21"/>
        <v>5</v>
      </c>
      <c r="T151" s="132">
        <f t="shared" si="22"/>
        <v>11</v>
      </c>
      <c r="U151" s="135">
        <f t="shared" si="23"/>
        <v>10</v>
      </c>
      <c r="V151" s="132">
        <f t="shared" si="24"/>
        <v>1</v>
      </c>
      <c r="AA151" s="22">
        <v>6.0</v>
      </c>
      <c r="AB151" s="69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4">
        <v>2.0</v>
      </c>
      <c r="B152" s="144"/>
      <c r="C152" s="145"/>
      <c r="D152" s="146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8</v>
      </c>
      <c r="T152" s="132">
        <f t="shared" si="22"/>
        <v>4</v>
      </c>
      <c r="U152" s="135">
        <f t="shared" si="23"/>
        <v>17</v>
      </c>
      <c r="V152" s="132">
        <f t="shared" si="24"/>
        <v>-13</v>
      </c>
      <c r="AA152" s="22">
        <v>7.0</v>
      </c>
      <c r="AB152" s="69" t="s">
        <v>114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11</v>
      </c>
      <c r="Q153" s="134">
        <f t="shared" si="20"/>
        <v>3</v>
      </c>
      <c r="R153" s="135"/>
      <c r="S153" s="135">
        <f t="shared" si="21"/>
        <v>7</v>
      </c>
      <c r="T153" s="132">
        <f t="shared" si="22"/>
        <v>8</v>
      </c>
      <c r="U153" s="135">
        <f t="shared" si="23"/>
        <v>14</v>
      </c>
      <c r="V153" s="132">
        <f t="shared" si="24"/>
        <v>-6</v>
      </c>
      <c r="AA153" s="22">
        <v>8.0</v>
      </c>
      <c r="AB153" s="69" t="s">
        <v>206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15</v>
      </c>
      <c r="Q154" s="134">
        <f t="shared" si="20"/>
        <v>6</v>
      </c>
      <c r="R154" s="135"/>
      <c r="S154" s="135">
        <f t="shared" si="21"/>
        <v>4</v>
      </c>
      <c r="T154" s="132">
        <f t="shared" si="22"/>
        <v>13</v>
      </c>
      <c r="U154" s="135">
        <f t="shared" si="23"/>
        <v>12</v>
      </c>
      <c r="V154" s="132">
        <f t="shared" si="24"/>
        <v>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22</v>
      </c>
      <c r="Q155" s="134">
        <f t="shared" si="20"/>
        <v>7</v>
      </c>
      <c r="R155" s="135"/>
      <c r="S155" s="135">
        <f t="shared" si="21"/>
        <v>3</v>
      </c>
      <c r="T155" s="132">
        <f t="shared" si="22"/>
        <v>15</v>
      </c>
      <c r="U155" s="135">
        <f t="shared" si="23"/>
        <v>6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20</v>
      </c>
      <c r="Q156" s="134">
        <f t="shared" si="20"/>
        <v>7</v>
      </c>
      <c r="S156" s="135">
        <f t="shared" si="21"/>
        <v>3</v>
      </c>
      <c r="T156" s="132">
        <f t="shared" si="22"/>
        <v>15</v>
      </c>
      <c r="U156" s="135">
        <f t="shared" si="23"/>
        <v>8</v>
      </c>
      <c r="V156" s="132">
        <f t="shared" si="24"/>
        <v>7</v>
      </c>
      <c r="AA156" s="52">
        <v>11.0</v>
      </c>
      <c r="AB156" s="69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4"/>
      <c r="C163" s="146"/>
      <c r="D163" s="146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4"/>
      <c r="C164" s="146"/>
      <c r="D164" s="146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1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1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1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1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4"/>
      <c r="C175" s="146"/>
      <c r="D175" s="146"/>
      <c r="E175" s="17">
        <v>0.0</v>
      </c>
      <c r="F175" s="146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4"/>
      <c r="C176" s="145"/>
      <c r="D176" s="146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4"/>
      <c r="C187" s="146"/>
      <c r="D187" s="146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4"/>
      <c r="C188" s="145"/>
      <c r="D188" s="146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13">
        <v>0.0</v>
      </c>
      <c r="G193" s="31" t="s">
        <v>24</v>
      </c>
      <c r="H193" s="13">
        <v>2.0</v>
      </c>
      <c r="I193" s="17" t="s">
        <v>45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4"/>
      <c r="C199" s="146"/>
      <c r="D199" s="146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4"/>
      <c r="C200" s="145"/>
      <c r="D200" s="146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157</v>
      </c>
      <c r="J206" s="130"/>
      <c r="K206" s="131">
        <f t="shared" si="17"/>
        <v>2</v>
      </c>
      <c r="L206" s="132">
        <f t="shared" si="18"/>
        <v>1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13">
        <v>2.0</v>
      </c>
      <c r="G207" s="31" t="s">
        <v>24</v>
      </c>
      <c r="H207" s="13">
        <v>0.0</v>
      </c>
      <c r="I207" s="17" t="s">
        <v>63</v>
      </c>
      <c r="J207" s="130"/>
      <c r="K207" s="131">
        <f t="shared" si="17"/>
        <v>3</v>
      </c>
      <c r="L207" s="132">
        <f t="shared" si="18"/>
        <v>0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30"/>
      <c r="K208" s="131">
        <f t="shared" si="17"/>
        <v>0</v>
      </c>
      <c r="L208" s="132">
        <f t="shared" si="18"/>
        <v>3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13">
        <v>0.0</v>
      </c>
      <c r="G209" s="31" t="s">
        <v>24</v>
      </c>
      <c r="H209" s="13">
        <v>2.0</v>
      </c>
      <c r="I209" s="17" t="s">
        <v>206</v>
      </c>
      <c r="J209" s="130"/>
      <c r="K209" s="131">
        <f t="shared" si="17"/>
        <v>0</v>
      </c>
      <c r="L209" s="132">
        <f t="shared" si="18"/>
        <v>3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30"/>
      <c r="K210" s="131">
        <f t="shared" si="17"/>
        <v>3</v>
      </c>
      <c r="L210" s="132">
        <f t="shared" si="18"/>
        <v>0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4"/>
      <c r="C211" s="146"/>
      <c r="D211" s="146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25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7</v>
      </c>
      <c r="V3" s="132">
        <f t="shared" ref="V3:V14" si="8">T3-U3</f>
        <v>12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2</v>
      </c>
      <c r="Q4" s="134">
        <f t="shared" si="4"/>
        <v>0</v>
      </c>
      <c r="R4" s="134"/>
      <c r="S4" s="135">
        <f t="shared" si="5"/>
        <v>11</v>
      </c>
      <c r="T4" s="132">
        <f t="shared" si="6"/>
        <v>2</v>
      </c>
      <c r="U4" s="135">
        <f t="shared" si="7"/>
        <v>22</v>
      </c>
      <c r="V4" s="132">
        <f t="shared" si="8"/>
        <v>-20</v>
      </c>
      <c r="X4" s="120" t="s">
        <v>66</v>
      </c>
      <c r="Y4" s="120">
        <v>2.0</v>
      </c>
      <c r="AA4" s="22" t="s">
        <v>34</v>
      </c>
      <c r="AB4" s="69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18</v>
      </c>
      <c r="Q5" s="134">
        <f t="shared" si="4"/>
        <v>6</v>
      </c>
      <c r="R5" s="134"/>
      <c r="S5" s="135">
        <f t="shared" si="5"/>
        <v>5</v>
      </c>
      <c r="T5" s="132">
        <f t="shared" si="6"/>
        <v>13</v>
      </c>
      <c r="U5" s="135">
        <f t="shared" si="7"/>
        <v>11</v>
      </c>
      <c r="V5" s="132">
        <f t="shared" si="8"/>
        <v>2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118</v>
      </c>
      <c r="P6" s="132">
        <f t="shared" si="3"/>
        <v>10</v>
      </c>
      <c r="Q6" s="134">
        <f t="shared" si="4"/>
        <v>3</v>
      </c>
      <c r="R6" s="134"/>
      <c r="S6" s="135">
        <f t="shared" si="5"/>
        <v>8</v>
      </c>
      <c r="T6" s="132">
        <f t="shared" si="6"/>
        <v>7</v>
      </c>
      <c r="U6" s="135">
        <f t="shared" si="7"/>
        <v>16</v>
      </c>
      <c r="V6" s="132">
        <f t="shared" si="8"/>
        <v>-9</v>
      </c>
      <c r="AA6" s="22" t="s">
        <v>42</v>
      </c>
      <c r="AB6" s="69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118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30</v>
      </c>
      <c r="Q7" s="134">
        <f t="shared" si="4"/>
        <v>10</v>
      </c>
      <c r="R7" s="134"/>
      <c r="S7" s="135">
        <f t="shared" si="5"/>
        <v>1</v>
      </c>
      <c r="T7" s="132">
        <f t="shared" si="6"/>
        <v>21</v>
      </c>
      <c r="U7" s="135">
        <f t="shared" si="7"/>
        <v>3</v>
      </c>
      <c r="V7" s="132">
        <f t="shared" si="8"/>
        <v>18</v>
      </c>
      <c r="AA7" s="22" t="s">
        <v>44</v>
      </c>
      <c r="AB7" s="69" t="s">
        <v>117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21</v>
      </c>
      <c r="Q8" s="134">
        <f t="shared" si="4"/>
        <v>8</v>
      </c>
      <c r="R8" s="134"/>
      <c r="S8" s="135">
        <f t="shared" si="5"/>
        <v>3</v>
      </c>
      <c r="T8" s="132">
        <f t="shared" si="6"/>
        <v>17</v>
      </c>
      <c r="U8" s="135">
        <f t="shared" si="7"/>
        <v>10</v>
      </c>
      <c r="V8" s="132">
        <f t="shared" si="8"/>
        <v>7</v>
      </c>
      <c r="AA8" s="22" t="s">
        <v>47</v>
      </c>
      <c r="AB8" s="69" t="s">
        <v>101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16</v>
      </c>
      <c r="Q9" s="134">
        <f t="shared" si="4"/>
        <v>5</v>
      </c>
      <c r="R9" s="134"/>
      <c r="S9" s="135">
        <f t="shared" si="5"/>
        <v>6</v>
      </c>
      <c r="T9" s="132">
        <f t="shared" si="6"/>
        <v>12</v>
      </c>
      <c r="U9" s="135">
        <f t="shared" si="7"/>
        <v>13</v>
      </c>
      <c r="V9" s="132">
        <f t="shared" si="8"/>
        <v>-1</v>
      </c>
      <c r="AA9" s="22">
        <v>7.0</v>
      </c>
      <c r="AB9" s="69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28</v>
      </c>
      <c r="Q10" s="134">
        <f t="shared" si="4"/>
        <v>9</v>
      </c>
      <c r="R10" s="134"/>
      <c r="S10" s="135">
        <f t="shared" si="5"/>
        <v>2</v>
      </c>
      <c r="T10" s="132">
        <f t="shared" si="6"/>
        <v>20</v>
      </c>
      <c r="U10" s="135">
        <f t="shared" si="7"/>
        <v>5</v>
      </c>
      <c r="V10" s="132">
        <f t="shared" si="8"/>
        <v>15</v>
      </c>
      <c r="AA10" s="22">
        <v>8.0</v>
      </c>
      <c r="AB10" s="69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11</v>
      </c>
      <c r="Q11" s="134">
        <f t="shared" si="4"/>
        <v>3</v>
      </c>
      <c r="R11" s="134"/>
      <c r="S11" s="135">
        <f t="shared" si="5"/>
        <v>8</v>
      </c>
      <c r="T11" s="132">
        <f t="shared" si="6"/>
        <v>9</v>
      </c>
      <c r="U11" s="135">
        <f t="shared" si="7"/>
        <v>17</v>
      </c>
      <c r="V11" s="132">
        <f t="shared" si="8"/>
        <v>-8</v>
      </c>
      <c r="AA11" s="110" t="s">
        <v>104</v>
      </c>
      <c r="AB11" s="69" t="s">
        <v>40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13</v>
      </c>
      <c r="Q12" s="134">
        <f t="shared" si="4"/>
        <v>4</v>
      </c>
      <c r="R12" s="134"/>
      <c r="S12" s="135">
        <f t="shared" si="5"/>
        <v>7</v>
      </c>
      <c r="T12" s="132">
        <f t="shared" si="6"/>
        <v>10</v>
      </c>
      <c r="U12" s="135">
        <f t="shared" si="7"/>
        <v>15</v>
      </c>
      <c r="V12" s="132">
        <f t="shared" si="8"/>
        <v>-5</v>
      </c>
      <c r="AA12" s="75">
        <v>10.0</v>
      </c>
      <c r="AB12" s="69" t="s">
        <v>118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3</v>
      </c>
      <c r="Q13" s="134">
        <f t="shared" si="4"/>
        <v>1</v>
      </c>
      <c r="R13" s="134"/>
      <c r="S13" s="135">
        <f t="shared" si="5"/>
        <v>10</v>
      </c>
      <c r="T13" s="132">
        <f t="shared" si="6"/>
        <v>3</v>
      </c>
      <c r="U13" s="135">
        <f t="shared" si="7"/>
        <v>21</v>
      </c>
      <c r="V13" s="132">
        <f t="shared" si="8"/>
        <v>-18</v>
      </c>
      <c r="AA13" s="75">
        <v>11.0</v>
      </c>
      <c r="AB13" s="69" t="s">
        <v>114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118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21</v>
      </c>
      <c r="Q14" s="134">
        <f t="shared" si="4"/>
        <v>8</v>
      </c>
      <c r="S14" s="135">
        <f t="shared" si="5"/>
        <v>3</v>
      </c>
      <c r="T14" s="132">
        <f t="shared" si="6"/>
        <v>18</v>
      </c>
      <c r="U14" s="135">
        <f t="shared" si="7"/>
        <v>11</v>
      </c>
      <c r="V14" s="132">
        <f t="shared" si="8"/>
        <v>7</v>
      </c>
      <c r="AA14" s="75">
        <v>12.0</v>
      </c>
      <c r="AB14" s="28" t="s">
        <v>115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118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118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118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118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118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118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1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1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1">
        <v>2.0</v>
      </c>
      <c r="G53" s="31" t="s">
        <v>24</v>
      </c>
      <c r="H53" s="13">
        <v>0.0</v>
      </c>
      <c r="I53" s="17" t="s">
        <v>118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1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1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1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118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13">
        <v>2.0</v>
      </c>
      <c r="G63" s="31" t="s">
        <v>24</v>
      </c>
      <c r="H63" s="13">
        <v>1.0</v>
      </c>
      <c r="I63" s="17" t="s">
        <v>115</v>
      </c>
      <c r="K63" s="131">
        <f t="shared" si="1"/>
        <v>2</v>
      </c>
      <c r="L63" s="132">
        <f t="shared" si="2"/>
        <v>1</v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13">
        <v>2.0</v>
      </c>
      <c r="G64" s="31" t="s">
        <v>24</v>
      </c>
      <c r="H64" s="13">
        <v>0.0</v>
      </c>
      <c r="I64" s="17" t="s">
        <v>118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31">
        <f t="shared" si="1"/>
        <v>1</v>
      </c>
      <c r="L65" s="132">
        <f t="shared" si="2"/>
        <v>2</v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13">
        <v>2.0</v>
      </c>
      <c r="G66" s="31" t="s">
        <v>24</v>
      </c>
      <c r="H66" s="13">
        <v>1.0</v>
      </c>
      <c r="I66" s="17" t="s">
        <v>43</v>
      </c>
      <c r="K66" s="131">
        <f t="shared" si="1"/>
        <v>2</v>
      </c>
      <c r="L66" s="132">
        <f t="shared" si="2"/>
        <v>1</v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13">
        <v>2.0</v>
      </c>
      <c r="G67" s="31" t="s">
        <v>24</v>
      </c>
      <c r="H67" s="13">
        <v>1.0</v>
      </c>
      <c r="I67" s="17" t="s">
        <v>67</v>
      </c>
      <c r="K67" s="131">
        <f t="shared" si="1"/>
        <v>2</v>
      </c>
      <c r="L67" s="132">
        <f t="shared" si="2"/>
        <v>1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117</v>
      </c>
      <c r="K68" s="131">
        <f t="shared" si="1"/>
        <v>2</v>
      </c>
      <c r="L68" s="132">
        <f t="shared" si="2"/>
        <v>1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2"/>
      <c r="B69" s="143"/>
      <c r="C69" s="143"/>
      <c r="D69" s="143"/>
      <c r="E69" s="1"/>
      <c r="F69" s="143"/>
      <c r="G69" s="143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2"/>
      <c r="B70" s="143"/>
      <c r="C70" s="143"/>
      <c r="D70" s="143"/>
      <c r="E70" s="1"/>
      <c r="F70" s="143"/>
      <c r="G70" s="143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2"/>
      <c r="B71" s="143"/>
      <c r="C71" s="143"/>
      <c r="D71" s="143"/>
      <c r="E71" s="1"/>
      <c r="F71" s="143"/>
      <c r="G71" s="143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4"/>
      <c r="C79" s="145"/>
      <c r="D79" s="146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4"/>
      <c r="C80" s="145"/>
      <c r="D80" s="146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4"/>
      <c r="C91" s="146"/>
      <c r="D91" s="146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4"/>
      <c r="C92" s="146"/>
      <c r="D92" s="146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1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1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1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1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4"/>
      <c r="C103" s="146"/>
      <c r="D103" s="146"/>
      <c r="E103" s="17">
        <v>0.0</v>
      </c>
      <c r="F103" s="146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4"/>
      <c r="C104" s="145"/>
      <c r="D104" s="146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4"/>
      <c r="C115" s="146"/>
      <c r="D115" s="146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4"/>
      <c r="C116" s="145"/>
      <c r="D116" s="146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4"/>
      <c r="C127" s="146"/>
      <c r="D127" s="146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4"/>
      <c r="C128" s="145"/>
      <c r="D128" s="146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4"/>
      <c r="C139" s="146"/>
      <c r="D139" s="146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119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119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4"/>
      <c r="C151" s="145"/>
      <c r="D151" s="146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4"/>
      <c r="C152" s="145"/>
      <c r="D152" s="146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119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119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119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4"/>
      <c r="C163" s="146"/>
      <c r="D163" s="146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4"/>
      <c r="C164" s="146"/>
      <c r="D164" s="146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119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1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1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119</v>
      </c>
      <c r="F173" s="141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1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4"/>
      <c r="C175" s="146"/>
      <c r="D175" s="146"/>
      <c r="E175" s="17">
        <v>0.0</v>
      </c>
      <c r="F175" s="146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4"/>
      <c r="C176" s="145"/>
      <c r="D176" s="146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119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119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4"/>
      <c r="C187" s="146"/>
      <c r="D187" s="146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119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4"/>
      <c r="C199" s="146"/>
      <c r="D199" s="146"/>
      <c r="E199" s="17">
        <v>0.0</v>
      </c>
      <c r="F199" s="31"/>
      <c r="G199" s="31" t="s">
        <v>24</v>
      </c>
      <c r="H199" s="31"/>
      <c r="I199" s="17" t="s">
        <v>119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4"/>
      <c r="C200" s="145"/>
      <c r="D200" s="146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119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119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4"/>
      <c r="C211" s="146"/>
      <c r="D211" s="146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