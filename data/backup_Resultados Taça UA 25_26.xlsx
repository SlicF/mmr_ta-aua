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<sst xmlns="http://schemas.openxmlformats.org/spreadsheetml/2006/main" count="5875" uniqueCount="265">
  <si>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</si>
  <si>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</si>
  <si>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</si>
  <si>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</si>
  <si>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</si>
  <si>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</si>
  <si>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</si>
  <si>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</si>
  <si>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</si>
  <si>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</si>
  <si>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</si>
  <si>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</si>
  <si>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</si>
  <si>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</si>
  <si>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</si>
  <si>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</si>
  <si>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</si>
  <si>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</si>
  <si>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</si>
  <si>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</si>
  <si>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</si>
  <si>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</si>
  <si>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</si>
  <si>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</si>
  <si>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</si>
  <si>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</si>
  <si>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</si>
  <si>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</si>
  <si>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</si>
  <si>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</si>
  <si>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</si>
  <si>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</si>
  <si>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</si>
  <si>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</si>
  <si>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</si>
  <si>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</si>
  <si>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</si>
  <si>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</si>
  <si>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</si>
  <si>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</si>
  <si>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Eng. Informática</t>
  </si>
  <si>
    <t>ECT</t>
  </si>
  <si>
    <t>Gestão Comercial</t>
  </si>
  <si>
    <t>4*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</si>
  <si>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</si>
  <si>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</si>
  <si>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</si>
  <si>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</si>
  <si>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</si>
  <si>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</si>
  <si>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</si>
  <si>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</si>
  <si>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</si>
  <si>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</si>
  <si>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</si>
  <si>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</si>
  <si>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</si>
  <si>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</si>
  <si>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</si>
  <si>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</si>
  <si>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</si>
  <si>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Eng. Biomédica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</si>
  <si>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</si>
  <si>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</si>
  <si>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</si>
  <si>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</si>
  <si>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</si>
  <si>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</si>
  <si>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</si>
  <si>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</si>
  <si>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</si>
  <si>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</si>
  <si>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</si>
  <si>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</si>
  <si>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</si>
  <si>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</si>
  <si>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</si>
  <si>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</si>
  <si>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</si>
  <si>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</si>
  <si>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</si>
  <si>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</si>
  <si>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</si>
  <si>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</si>
  <si>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</si>
  <si>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</si>
  <si>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</si>
  <si>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</si>
  <si>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</si>
  <si>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</si>
  <si>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</si>
  <si>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</si>
  <si>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</si>
  <si>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</si>
  <si>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Caixa UA</t>
  </si>
  <si>
    <t>21h00</t>
  </si>
  <si>
    <t>Tecnologias de Informação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</si>
  <si>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</si>
  <si>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</si>
  <si>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</si>
  <si>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</si>
  <si>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</si>
  <si>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</si>
  <si>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</si>
  <si>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</si>
  <si>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</si>
  <si>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</si>
  <si>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</si>
  <si>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</si>
  <si>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</si>
  <si>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</si>
  <si>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</si>
  <si>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</si>
  <si>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</si>
  <si>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</si>
  <si>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</si>
  <si>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</si>
  <si>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</si>
  <si>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</si>
  <si>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</si>
  <si>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</si>
  <si>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</si>
  <si>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</si>
  <si>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</si>
  <si>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</si>
  <si>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</si>
  <si>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</si>
  <si>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</si>
  <si>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</si>
  <si>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</si>
  <si>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</si>
  <si>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</si>
  <si>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</si>
  <si>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</si>
  <si>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</si>
  <si>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</si>
  <si>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t>19h00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</si>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</sst>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3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rgb="FFFF0000"/>
      <name val="Arial"/>
    </font>
    <font>
      <sz val="11.0"/>
      <color theme="5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1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2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9" numFmtId="164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3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0" fillId="0" fontId="9" numFmtId="0" xfId="0" applyAlignment="1" applyFont="1">
      <alignment horizontal="center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 readingOrder="0" vertical="center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0" fillId="0" fontId="14" numFmtId="0" xfId="0" applyAlignment="1" applyFont="1">
      <alignment horizontal="center" readingOrder="0"/>
    </xf>
    <xf borderId="1" fillId="0" fontId="14" numFmtId="0" xfId="0" applyAlignment="1" applyBorder="1" applyFont="1">
      <alignment horizontal="center" readingOrder="0" shrinkToFit="0" vertical="bottom" wrapText="0"/>
    </xf>
    <xf borderId="1" fillId="5" fontId="14" numFmtId="0" xfId="0" applyAlignment="1" applyBorder="1" applyFont="1">
      <alignment horizontal="center" readingOrder="0"/>
    </xf>
    <xf borderId="1" fillId="5" fontId="14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2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2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3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horizontal="center" shrinkToFit="0" wrapText="0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shrinkToFit="0" vertical="bottom" wrapText="0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3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1" fillId="0" fontId="15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readingOrder="0"/>
    </xf>
    <xf borderId="0" fillId="0" fontId="13" numFmtId="0" xfId="0" applyAlignment="1" applyFont="1">
      <alignment readingOrder="0" vertical="bottom"/>
    </xf>
    <xf borderId="0" fillId="0" fontId="2" numFmtId="0" xfId="0" applyFont="1"/>
    <xf borderId="0" fillId="0" fontId="17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8" numFmtId="0" xfId="0" applyAlignment="1" applyFont="1">
      <alignment readingOrder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19" numFmtId="0" xfId="0" applyAlignment="1" applyBorder="1" applyFill="1" applyFont="1">
      <alignment horizontal="center" vertical="center"/>
    </xf>
    <xf borderId="4" fillId="9" fontId="19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3" numFmtId="0" xfId="0" applyAlignment="1" applyBorder="1" applyFont="1">
      <alignment vertical="center"/>
    </xf>
    <xf borderId="9" fillId="0" fontId="13" numFmtId="0" xfId="0" applyAlignment="1" applyBorder="1" applyFont="1">
      <alignment vertical="center"/>
    </xf>
    <xf borderId="9" fillId="0" fontId="20" numFmtId="0" xfId="0" applyAlignment="1" applyBorder="1" applyFont="1">
      <alignment vertical="center"/>
    </xf>
    <xf borderId="9" fillId="0" fontId="20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13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shrinkToFit="0" vertical="center" wrapText="1"/>
    </xf>
    <xf borderId="9" fillId="0" fontId="13" numFmtId="166" xfId="0" applyAlignment="1" applyBorder="1" applyFont="1" applyNumberFormat="1">
      <alignment horizontal="left" vertical="center"/>
    </xf>
    <xf borderId="9" fillId="0" fontId="16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4" t="s">
        <v>25</v>
      </c>
      <c r="J3" s="4"/>
      <c r="K3" s="4" t="str">
        <f t="shared" ref="K3:K68" si="1">IF(F3="","",IFS(F3&gt;H3,3,F3=H3,2,H3&gt;F3,1,F3="",0))</f>
        <v/>
      </c>
      <c r="L3" s="17" t="str">
        <f t="shared" ref="L3:L68" si="2">IF(H3="","",IFS(F3&lt;H3,3,F3=H3,2,H3&lt;F3,1))</f>
        <v/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0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0</v>
      </c>
      <c r="T3" s="17">
        <f t="shared" ref="T3:T13" si="7">SUMIF(E$3:E$68,O3,F$3:F$68)+SUMIF(I$3:I$68,O3,H$3:H$68)</f>
        <v>0</v>
      </c>
      <c r="U3" s="19">
        <f t="shared" ref="U3:U13" si="8">SUMIF(E$3:E$68,O3,H$3:H$68)+SUMIF(I$3:I$68,O3,F$3:F$68)</f>
        <v>0</v>
      </c>
      <c r="V3" s="17">
        <f t="shared" ref="V3:V13" si="9">T3-U3</f>
        <v>0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Gestão Comercial</v>
      </c>
      <c r="AG3" s="22">
        <v>15.0</v>
      </c>
      <c r="AH3" s="22">
        <v>5.0</v>
      </c>
      <c r="AI3" s="23">
        <v>0.0</v>
      </c>
      <c r="AJ3" s="22">
        <v>0.0</v>
      </c>
      <c r="AK3" s="22">
        <v>118.0</v>
      </c>
      <c r="AL3" s="23">
        <v>88.0</v>
      </c>
      <c r="AM3" s="22">
        <v>30.0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4</v>
      </c>
      <c r="Q4" s="17">
        <f t="shared" si="4"/>
        <v>1</v>
      </c>
      <c r="R4" s="19">
        <f t="shared" si="5"/>
        <v>0</v>
      </c>
      <c r="S4" s="19">
        <f t="shared" si="6"/>
        <v>1</v>
      </c>
      <c r="T4" s="17">
        <f t="shared" si="7"/>
        <v>48</v>
      </c>
      <c r="U4" s="19">
        <f t="shared" si="8"/>
        <v>49</v>
      </c>
      <c r="V4" s="17">
        <f t="shared" si="9"/>
        <v>-1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10.0</v>
      </c>
      <c r="AH4" s="22">
        <v>3.0</v>
      </c>
      <c r="AI4" s="23">
        <v>0.0</v>
      </c>
      <c r="AJ4" s="22">
        <v>1.0</v>
      </c>
      <c r="AK4" s="22">
        <v>106.0</v>
      </c>
      <c r="AL4" s="23">
        <v>96.0</v>
      </c>
      <c r="AM4" s="22">
        <v>10.0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9</v>
      </c>
      <c r="Q5" s="17">
        <f t="shared" si="4"/>
        <v>2</v>
      </c>
      <c r="R5" s="19">
        <f t="shared" si="5"/>
        <v>0</v>
      </c>
      <c r="S5" s="19">
        <f t="shared" si="6"/>
        <v>3</v>
      </c>
      <c r="T5" s="17">
        <f t="shared" si="7"/>
        <v>100</v>
      </c>
      <c r="U5" s="19">
        <f t="shared" si="8"/>
        <v>96</v>
      </c>
      <c r="V5" s="17">
        <f t="shared" si="9"/>
        <v>4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40</v>
      </c>
      <c r="AG5" s="22">
        <v>10.0</v>
      </c>
      <c r="AH5" s="22">
        <v>3.0</v>
      </c>
      <c r="AI5" s="23">
        <v>0.0</v>
      </c>
      <c r="AJ5" s="22">
        <v>1.0</v>
      </c>
      <c r="AK5" s="22">
        <v>87.0</v>
      </c>
      <c r="AL5" s="23">
        <v>87.0</v>
      </c>
      <c r="AM5" s="22">
        <v>0.0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41</v>
      </c>
      <c r="F6" s="15">
        <v>16.0</v>
      </c>
      <c r="G6" s="16" t="s">
        <v>24</v>
      </c>
      <c r="H6" s="15">
        <v>25.0</v>
      </c>
      <c r="I6" s="14" t="s">
        <v>42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4</v>
      </c>
      <c r="Q6" s="17">
        <f t="shared" si="4"/>
        <v>0</v>
      </c>
      <c r="R6" s="19">
        <f t="shared" si="5"/>
        <v>0</v>
      </c>
      <c r="S6" s="19">
        <f t="shared" si="6"/>
        <v>4</v>
      </c>
      <c r="T6" s="17">
        <f t="shared" si="7"/>
        <v>79</v>
      </c>
      <c r="U6" s="19">
        <f t="shared" si="8"/>
        <v>109</v>
      </c>
      <c r="V6" s="17">
        <f t="shared" si="9"/>
        <v>-30</v>
      </c>
      <c r="W6" s="2"/>
      <c r="X6" s="3"/>
      <c r="Y6" s="3"/>
      <c r="Z6" s="2"/>
      <c r="AA6" s="2"/>
      <c r="AB6" s="2"/>
      <c r="AC6" s="2"/>
      <c r="AD6" s="2"/>
      <c r="AE6" s="21" t="s">
        <v>43</v>
      </c>
      <c r="AF6" s="22" t="s">
        <v>37</v>
      </c>
      <c r="AG6" s="22">
        <v>10.0</v>
      </c>
      <c r="AH6" s="22">
        <v>2.0</v>
      </c>
      <c r="AI6" s="23">
        <v>1.0</v>
      </c>
      <c r="AJ6" s="22">
        <v>2.0</v>
      </c>
      <c r="AK6" s="22">
        <v>101.0</v>
      </c>
      <c r="AL6" s="23">
        <v>104.0</v>
      </c>
      <c r="AM6" s="22">
        <v>-3.0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40</v>
      </c>
      <c r="F7" s="15">
        <v>17.0</v>
      </c>
      <c r="G7" s="16" t="s">
        <v>24</v>
      </c>
      <c r="H7" s="15">
        <v>26.0</v>
      </c>
      <c r="I7" s="14" t="s">
        <v>35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10</v>
      </c>
      <c r="Q7" s="17">
        <f t="shared" si="4"/>
        <v>2</v>
      </c>
      <c r="R7" s="19">
        <f t="shared" si="5"/>
        <v>1</v>
      </c>
      <c r="S7" s="19">
        <f t="shared" si="6"/>
        <v>2</v>
      </c>
      <c r="T7" s="17">
        <f t="shared" si="7"/>
        <v>101</v>
      </c>
      <c r="U7" s="19">
        <f t="shared" si="8"/>
        <v>104</v>
      </c>
      <c r="V7" s="17">
        <f t="shared" si="9"/>
        <v>-3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31</v>
      </c>
      <c r="AG7" s="22">
        <v>9.0</v>
      </c>
      <c r="AH7" s="22">
        <v>2.0</v>
      </c>
      <c r="AI7" s="23">
        <v>0.0</v>
      </c>
      <c r="AJ7" s="22">
        <v>3.0</v>
      </c>
      <c r="AK7" s="22">
        <v>100.0</v>
      </c>
      <c r="AL7" s="23">
        <v>96.0</v>
      </c>
      <c r="AM7" s="22">
        <v>4.0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8</v>
      </c>
      <c r="Q8" s="17">
        <f t="shared" si="4"/>
        <v>2</v>
      </c>
      <c r="R8" s="19">
        <f t="shared" si="5"/>
        <v>1</v>
      </c>
      <c r="S8" s="19">
        <f t="shared" si="6"/>
        <v>0</v>
      </c>
      <c r="T8" s="17">
        <f t="shared" si="7"/>
        <v>62</v>
      </c>
      <c r="U8" s="19">
        <f t="shared" si="8"/>
        <v>45</v>
      </c>
      <c r="V8" s="17">
        <f t="shared" si="9"/>
        <v>17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33</v>
      </c>
      <c r="AG8" s="22">
        <v>8.0</v>
      </c>
      <c r="AH8" s="22">
        <v>2.0</v>
      </c>
      <c r="AI8" s="23">
        <v>1.0</v>
      </c>
      <c r="AJ8" s="22">
        <v>0.0</v>
      </c>
      <c r="AK8" s="22">
        <v>62.0</v>
      </c>
      <c r="AL8" s="23">
        <v>45.0</v>
      </c>
      <c r="AM8" s="22">
        <v>17.0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41</v>
      </c>
      <c r="P9" s="17">
        <f t="shared" si="3"/>
        <v>6</v>
      </c>
      <c r="Q9" s="17">
        <f t="shared" si="4"/>
        <v>1</v>
      </c>
      <c r="R9" s="19">
        <f t="shared" si="5"/>
        <v>0</v>
      </c>
      <c r="S9" s="19">
        <f t="shared" si="6"/>
        <v>3</v>
      </c>
      <c r="T9" s="17">
        <f t="shared" si="7"/>
        <v>86</v>
      </c>
      <c r="U9" s="19">
        <f t="shared" si="8"/>
        <v>89</v>
      </c>
      <c r="V9" s="17">
        <f t="shared" si="9"/>
        <v>-3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41</v>
      </c>
      <c r="AG9" s="22">
        <v>6.0</v>
      </c>
      <c r="AH9" s="22">
        <v>1.0</v>
      </c>
      <c r="AI9" s="23">
        <v>0.0</v>
      </c>
      <c r="AJ9" s="22">
        <v>3.0</v>
      </c>
      <c r="AK9" s="22">
        <v>86.0</v>
      </c>
      <c r="AL9" s="23">
        <v>89.0</v>
      </c>
      <c r="AM9" s="22">
        <v>-3.0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7" t="str">
        <f t="shared" si="2"/>
        <v/>
      </c>
      <c r="M10" s="4"/>
      <c r="N10" s="17">
        <v>8.0</v>
      </c>
      <c r="O10" s="18" t="s">
        <v>42</v>
      </c>
      <c r="P10" s="17">
        <f t="shared" si="3"/>
        <v>15</v>
      </c>
      <c r="Q10" s="17">
        <f t="shared" si="4"/>
        <v>5</v>
      </c>
      <c r="R10" s="19">
        <f t="shared" si="5"/>
        <v>0</v>
      </c>
      <c r="S10" s="19">
        <f t="shared" si="6"/>
        <v>0</v>
      </c>
      <c r="T10" s="17">
        <f t="shared" si="7"/>
        <v>118</v>
      </c>
      <c r="U10" s="19">
        <f t="shared" si="8"/>
        <v>88</v>
      </c>
      <c r="V10" s="17">
        <f t="shared" si="9"/>
        <v>30</v>
      </c>
      <c r="W10" s="2"/>
      <c r="X10" s="26" t="s">
        <v>40</v>
      </c>
      <c r="Y10" s="26">
        <v>5.0</v>
      </c>
      <c r="AC10" s="2"/>
      <c r="AD10" s="2"/>
      <c r="AE10" s="21">
        <v>8.0</v>
      </c>
      <c r="AF10" s="22" t="s">
        <v>25</v>
      </c>
      <c r="AG10" s="22">
        <v>4.0</v>
      </c>
      <c r="AH10" s="22">
        <v>1.0</v>
      </c>
      <c r="AI10" s="23">
        <v>0.0</v>
      </c>
      <c r="AJ10" s="22">
        <v>1.0</v>
      </c>
      <c r="AK10" s="22">
        <v>48.0</v>
      </c>
      <c r="AL10" s="23">
        <v>49.0</v>
      </c>
      <c r="AM10" s="22">
        <v>-1.0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40</v>
      </c>
      <c r="P11" s="17">
        <f t="shared" si="3"/>
        <v>10</v>
      </c>
      <c r="Q11" s="17">
        <f t="shared" si="4"/>
        <v>3</v>
      </c>
      <c r="R11" s="19">
        <f t="shared" si="5"/>
        <v>0</v>
      </c>
      <c r="S11" s="19">
        <f t="shared" si="6"/>
        <v>1</v>
      </c>
      <c r="T11" s="17">
        <f t="shared" si="7"/>
        <v>87</v>
      </c>
      <c r="U11" s="19">
        <f t="shared" si="8"/>
        <v>87</v>
      </c>
      <c r="V11" s="17">
        <f t="shared" si="9"/>
        <v>0</v>
      </c>
      <c r="W11" s="2"/>
      <c r="X11" s="26" t="s">
        <v>41</v>
      </c>
      <c r="Y11" s="26">
        <v>4.0</v>
      </c>
      <c r="AC11" s="2"/>
      <c r="AD11" s="2"/>
      <c r="AE11" s="21">
        <v>9.0</v>
      </c>
      <c r="AF11" s="22" t="s">
        <v>45</v>
      </c>
      <c r="AG11" s="22">
        <v>4.0</v>
      </c>
      <c r="AH11" s="22">
        <v>0.0</v>
      </c>
      <c r="AI11" s="23">
        <v>0.0</v>
      </c>
      <c r="AJ11" s="22">
        <v>4.0</v>
      </c>
      <c r="AK11" s="22">
        <v>71.0</v>
      </c>
      <c r="AL11" s="23">
        <v>95.0</v>
      </c>
      <c r="AM11" s="22">
        <v>-24.0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42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35</v>
      </c>
      <c r="P12" s="17">
        <f t="shared" si="3"/>
        <v>10</v>
      </c>
      <c r="Q12" s="17">
        <f t="shared" si="4"/>
        <v>3</v>
      </c>
      <c r="R12" s="19">
        <f t="shared" si="5"/>
        <v>0</v>
      </c>
      <c r="S12" s="19">
        <f t="shared" si="6"/>
        <v>1</v>
      </c>
      <c r="T12" s="17">
        <f t="shared" si="7"/>
        <v>106</v>
      </c>
      <c r="U12" s="19">
        <f t="shared" si="8"/>
        <v>96</v>
      </c>
      <c r="V12" s="17">
        <f t="shared" si="9"/>
        <v>10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32</v>
      </c>
      <c r="AG12" s="22">
        <v>4.0</v>
      </c>
      <c r="AH12" s="22">
        <v>0.0</v>
      </c>
      <c r="AI12" s="23">
        <v>0.0</v>
      </c>
      <c r="AJ12" s="22">
        <v>4.0</v>
      </c>
      <c r="AK12" s="22">
        <v>79.0</v>
      </c>
      <c r="AL12" s="23">
        <v>109.0</v>
      </c>
      <c r="AM12" s="22">
        <v>-30.0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35</v>
      </c>
      <c r="F13" s="15">
        <v>23.0</v>
      </c>
      <c r="G13" s="16" t="s">
        <v>24</v>
      </c>
      <c r="H13" s="15">
        <v>22.0</v>
      </c>
      <c r="I13" s="14" t="s">
        <v>41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4</v>
      </c>
      <c r="Q13" s="17">
        <f t="shared" si="4"/>
        <v>0</v>
      </c>
      <c r="R13" s="19">
        <f t="shared" si="5"/>
        <v>0</v>
      </c>
      <c r="S13" s="19">
        <f t="shared" si="6"/>
        <v>4</v>
      </c>
      <c r="T13" s="17">
        <f t="shared" si="7"/>
        <v>71</v>
      </c>
      <c r="U13" s="19">
        <f t="shared" si="8"/>
        <v>95</v>
      </c>
      <c r="V13" s="17">
        <f t="shared" si="9"/>
        <v>-24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23</v>
      </c>
      <c r="AG13" s="22">
        <v>0.0</v>
      </c>
      <c r="AH13" s="22">
        <v>0.0</v>
      </c>
      <c r="AI13" s="23">
        <v>0.0</v>
      </c>
      <c r="AJ13" s="22">
        <v>0.0</v>
      </c>
      <c r="AK13" s="22">
        <v>0.0</v>
      </c>
      <c r="AL13" s="23">
        <v>0.0</v>
      </c>
      <c r="AM13" s="22">
        <v>0.0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40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4" t="s">
        <v>25</v>
      </c>
      <c r="F15" s="15">
        <v>26.0</v>
      </c>
      <c r="G15" s="16" t="s">
        <v>24</v>
      </c>
      <c r="H15" s="15">
        <v>22.0</v>
      </c>
      <c r="I15" s="14" t="s">
        <v>32</v>
      </c>
      <c r="J15" s="4"/>
      <c r="K15" s="4">
        <f t="shared" si="1"/>
        <v>3</v>
      </c>
      <c r="L15" s="17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4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11">
        <v>46009.0</v>
      </c>
      <c r="C17" s="12" t="s">
        <v>51</v>
      </c>
      <c r="D17" s="12" t="s">
        <v>22</v>
      </c>
      <c r="E17" s="14" t="s">
        <v>31</v>
      </c>
      <c r="F17" s="15">
        <v>12.0</v>
      </c>
      <c r="G17" s="16" t="s">
        <v>24</v>
      </c>
      <c r="H17" s="15">
        <v>18.0</v>
      </c>
      <c r="I17" s="14" t="s">
        <v>42</v>
      </c>
      <c r="J17" s="4"/>
      <c r="K17" s="4">
        <f t="shared" si="1"/>
        <v>1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11">
        <v>45987.0</v>
      </c>
      <c r="C18" s="12" t="s">
        <v>30</v>
      </c>
      <c r="D18" s="12" t="s">
        <v>22</v>
      </c>
      <c r="E18" s="14" t="s">
        <v>37</v>
      </c>
      <c r="F18" s="15">
        <v>32.0</v>
      </c>
      <c r="G18" s="16" t="s">
        <v>24</v>
      </c>
      <c r="H18" s="15">
        <v>27.0</v>
      </c>
      <c r="I18" s="14" t="s">
        <v>35</v>
      </c>
      <c r="J18" s="37"/>
      <c r="K18" s="4">
        <f t="shared" si="1"/>
        <v>3</v>
      </c>
      <c r="L18" s="17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11">
        <v>45987.0</v>
      </c>
      <c r="C19" s="12" t="s">
        <v>36</v>
      </c>
      <c r="D19" s="12" t="s">
        <v>22</v>
      </c>
      <c r="E19" s="14" t="s">
        <v>41</v>
      </c>
      <c r="F19" s="15">
        <v>30.0</v>
      </c>
      <c r="G19" s="16" t="s">
        <v>24</v>
      </c>
      <c r="H19" s="15">
        <v>22.0</v>
      </c>
      <c r="I19" s="14" t="s">
        <v>45</v>
      </c>
      <c r="J19" s="4"/>
      <c r="K19" s="4">
        <f t="shared" si="1"/>
        <v>3</v>
      </c>
      <c r="L19" s="17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40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11"/>
      <c r="C22" s="12"/>
      <c r="D22" s="12" t="s">
        <v>22</v>
      </c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11">
        <v>46006.0</v>
      </c>
      <c r="C23" s="12" t="s">
        <v>49</v>
      </c>
      <c r="D23" s="12" t="s">
        <v>22</v>
      </c>
      <c r="E23" s="14" t="s">
        <v>42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11">
        <v>46006.0</v>
      </c>
      <c r="C24" s="12" t="s">
        <v>21</v>
      </c>
      <c r="D24" s="12" t="s">
        <v>22</v>
      </c>
      <c r="E24" s="14" t="s">
        <v>35</v>
      </c>
      <c r="F24" s="15">
        <v>30.0</v>
      </c>
      <c r="G24" s="16" t="s">
        <v>24</v>
      </c>
      <c r="H24" s="15">
        <v>25.0</v>
      </c>
      <c r="I24" s="14" t="s">
        <v>31</v>
      </c>
      <c r="J24" s="4"/>
      <c r="K24" s="4">
        <f t="shared" si="1"/>
        <v>3</v>
      </c>
      <c r="L24" s="17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11">
        <v>46006.0</v>
      </c>
      <c r="C25" s="12" t="s">
        <v>30</v>
      </c>
      <c r="D25" s="12" t="s">
        <v>22</v>
      </c>
      <c r="E25" s="14" t="s">
        <v>45</v>
      </c>
      <c r="F25" s="15">
        <v>16.0</v>
      </c>
      <c r="G25" s="16" t="s">
        <v>24</v>
      </c>
      <c r="H25" s="15">
        <v>19.0</v>
      </c>
      <c r="I25" s="14" t="s">
        <v>37</v>
      </c>
      <c r="J25" s="4"/>
      <c r="K25" s="4">
        <f t="shared" si="1"/>
        <v>1</v>
      </c>
      <c r="L25" s="17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11">
        <v>46006.0</v>
      </c>
      <c r="C26" s="12" t="s">
        <v>36</v>
      </c>
      <c r="D26" s="12" t="s">
        <v>22</v>
      </c>
      <c r="E26" s="14" t="s">
        <v>40</v>
      </c>
      <c r="F26" s="15">
        <v>19.0</v>
      </c>
      <c r="G26" s="16" t="s">
        <v>24</v>
      </c>
      <c r="H26" s="15">
        <v>18.0</v>
      </c>
      <c r="I26" s="14" t="s">
        <v>41</v>
      </c>
      <c r="J26" s="4"/>
      <c r="K26" s="4">
        <f t="shared" si="1"/>
        <v>3</v>
      </c>
      <c r="L26" s="17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29"/>
      <c r="C27" s="30"/>
      <c r="D27" s="13"/>
      <c r="E27" s="14" t="s">
        <v>32</v>
      </c>
      <c r="F27" s="15">
        <v>16.0</v>
      </c>
      <c r="G27" s="16" t="s">
        <v>24</v>
      </c>
      <c r="H27" s="15">
        <v>31.0</v>
      </c>
      <c r="I27" s="14" t="s">
        <v>33</v>
      </c>
      <c r="J27" s="4"/>
      <c r="K27" s="4">
        <f t="shared" si="1"/>
        <v>1</v>
      </c>
      <c r="L27" s="17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29"/>
      <c r="C28" s="30"/>
      <c r="D28" s="13"/>
      <c r="E28" s="14" t="s">
        <v>25</v>
      </c>
      <c r="F28" s="15">
        <v>22.0</v>
      </c>
      <c r="G28" s="16" t="s">
        <v>24</v>
      </c>
      <c r="H28" s="15">
        <v>27.0</v>
      </c>
      <c r="I28" s="14" t="s">
        <v>42</v>
      </c>
      <c r="J28" s="4"/>
      <c r="K28" s="4">
        <f t="shared" si="1"/>
        <v>1</v>
      </c>
      <c r="L28" s="17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35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29"/>
      <c r="C30" s="30"/>
      <c r="D30" s="13"/>
      <c r="E30" s="14" t="s">
        <v>31</v>
      </c>
      <c r="F30" s="15">
        <v>21.0</v>
      </c>
      <c r="G30" s="16" t="s">
        <v>24</v>
      </c>
      <c r="H30" s="15">
        <v>13.0</v>
      </c>
      <c r="I30" s="14" t="s">
        <v>45</v>
      </c>
      <c r="J30" s="4"/>
      <c r="K30" s="4">
        <f t="shared" si="1"/>
        <v>3</v>
      </c>
      <c r="L30" s="17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29"/>
      <c r="C31" s="30"/>
      <c r="D31" s="13"/>
      <c r="E31" s="14" t="s">
        <v>37</v>
      </c>
      <c r="F31" s="15">
        <v>23.0</v>
      </c>
      <c r="G31" s="16" t="s">
        <v>24</v>
      </c>
      <c r="H31" s="15">
        <v>26.0</v>
      </c>
      <c r="I31" s="14" t="s">
        <v>40</v>
      </c>
      <c r="J31" s="4"/>
      <c r="K31" s="4">
        <f t="shared" si="1"/>
        <v>1</v>
      </c>
      <c r="L31" s="17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41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29"/>
      <c r="C34" s="30"/>
      <c r="D34" s="13"/>
      <c r="E34" s="14" t="s">
        <v>42</v>
      </c>
      <c r="F34" s="15">
        <v>26.0</v>
      </c>
      <c r="G34" s="16" t="s">
        <v>24</v>
      </c>
      <c r="H34" s="15">
        <v>24.0</v>
      </c>
      <c r="I34" s="14" t="s">
        <v>32</v>
      </c>
      <c r="J34" s="4"/>
      <c r="K34" s="4">
        <f t="shared" si="1"/>
        <v>3</v>
      </c>
      <c r="L34" s="17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29"/>
      <c r="C35" s="30"/>
      <c r="D35" s="13"/>
      <c r="E35" s="14" t="s">
        <v>35</v>
      </c>
      <c r="F35" s="16"/>
      <c r="G35" s="16" t="s">
        <v>24</v>
      </c>
      <c r="H35" s="16"/>
      <c r="I35" s="14" t="s">
        <v>25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29"/>
      <c r="C37" s="30"/>
      <c r="D37" s="13"/>
      <c r="E37" s="14" t="s">
        <v>40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41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6"/>
      <c r="G39" s="16" t="s">
        <v>24</v>
      </c>
      <c r="H39" s="16"/>
      <c r="I39" s="14" t="s">
        <v>42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29"/>
      <c r="C40" s="30"/>
      <c r="D40" s="13"/>
      <c r="E40" s="14" t="s">
        <v>32</v>
      </c>
      <c r="F40" s="16"/>
      <c r="G40" s="16" t="s">
        <v>24</v>
      </c>
      <c r="H40" s="16"/>
      <c r="I40" s="14" t="s">
        <v>35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29"/>
      <c r="C41" s="30"/>
      <c r="D41" s="15"/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40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41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42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29"/>
      <c r="C46" s="30"/>
      <c r="D46" s="13"/>
      <c r="E46" s="14" t="s">
        <v>35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29"/>
      <c r="C47" s="30"/>
      <c r="D47" s="13"/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29"/>
      <c r="C48" s="30"/>
      <c r="D48" s="13"/>
      <c r="E48" s="14" t="s">
        <v>40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29"/>
      <c r="C49" s="30"/>
      <c r="D49" s="13"/>
      <c r="E49" s="14" t="s">
        <v>41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37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42</v>
      </c>
      <c r="F51" s="16"/>
      <c r="G51" s="16" t="s">
        <v>24</v>
      </c>
      <c r="H51" s="16"/>
      <c r="I51" s="14" t="s">
        <v>35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40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41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35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42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40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41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35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29"/>
      <c r="C64" s="30"/>
      <c r="D64" s="13"/>
      <c r="E64" s="14" t="s">
        <v>42</v>
      </c>
      <c r="F64" s="16"/>
      <c r="G64" s="16" t="s">
        <v>24</v>
      </c>
      <c r="H64" s="16"/>
      <c r="I64" s="14" t="s">
        <v>40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29"/>
      <c r="C65" s="30"/>
      <c r="D65" s="13"/>
      <c r="E65" s="14" t="s">
        <v>33</v>
      </c>
      <c r="F65" s="16"/>
      <c r="G65" s="16" t="s">
        <v>24</v>
      </c>
      <c r="H65" s="16"/>
      <c r="I65" s="14" t="s">
        <v>41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29"/>
      <c r="C66" s="30"/>
      <c r="D66" s="13"/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29"/>
      <c r="C67" s="30"/>
      <c r="D67" s="13"/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52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53</v>
      </c>
    </row>
    <row r="78" ht="15.75" customHeight="1">
      <c r="A78" s="10">
        <v>1.0</v>
      </c>
      <c r="B78" s="39">
        <v>45950.0</v>
      </c>
      <c r="C78" s="12" t="s">
        <v>49</v>
      </c>
      <c r="D78" s="12" t="s">
        <v>22</v>
      </c>
      <c r="E78" s="40" t="s">
        <v>54</v>
      </c>
      <c r="F78" s="13">
        <v>11.0</v>
      </c>
      <c r="G78" s="16" t="s">
        <v>24</v>
      </c>
      <c r="H78" s="13">
        <v>18.0</v>
      </c>
      <c r="I78" s="40" t="s">
        <v>55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54</v>
      </c>
      <c r="P78" s="17">
        <f t="shared" ref="P78:P89" si="13">SUMIF(E$78:E$143,O78,K$78:K$143)+SUMIF(I$78:I$143,O78,L$78:L$143)</f>
        <v>12</v>
      </c>
      <c r="Q78" s="17">
        <f t="shared" ref="Q78:Q89" si="14">COUNTIFS(E$78:E$143,O78,K$78:K$143,3)+COUNTIFS(I$78:I$143,O78,L$78:L$143,3)</f>
        <v>3</v>
      </c>
      <c r="R78" s="19">
        <f t="shared" ref="R78:R89" si="15">COUNTIFS(E$78:E$143,O78,K$78:K$143,2)+COUNTIFS(I$78:I$143,O78,L$78:L$143,2)</f>
        <v>1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91</v>
      </c>
      <c r="U78" s="19">
        <f t="shared" ref="U78:U89" si="18">SUMIF(E$78:E$143,O78,H$78:H$143)+SUMIF(I$78:I$143,O78,F$78:F$143)</f>
        <v>83</v>
      </c>
      <c r="V78" s="17">
        <f t="shared" ref="V78:V89" si="19">T78-U78</f>
        <v>8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2" t="str">
        <f t="array" ref="AF78:AM89">SORT(O78:V89,2,FALSE,9,FALSE,8,FALSE())</f>
        <v>Biologia e Geologia</v>
      </c>
      <c r="AG78" s="22">
        <v>18.0</v>
      </c>
      <c r="AH78" s="22">
        <v>6.0</v>
      </c>
      <c r="AI78" s="23">
        <v>0.0</v>
      </c>
      <c r="AJ78" s="23">
        <v>0.0</v>
      </c>
      <c r="AK78" s="22">
        <v>145.0</v>
      </c>
      <c r="AL78" s="23">
        <v>90.0</v>
      </c>
      <c r="AM78" s="22">
        <v>55.0</v>
      </c>
      <c r="AN78" s="17"/>
    </row>
    <row r="79" ht="15.75" customHeight="1">
      <c r="A79" s="24"/>
      <c r="B79" s="39">
        <v>45950.0</v>
      </c>
      <c r="C79" s="12" t="s">
        <v>21</v>
      </c>
      <c r="D79" s="12" t="s">
        <v>22</v>
      </c>
      <c r="E79" s="40" t="s">
        <v>56</v>
      </c>
      <c r="F79" s="13">
        <v>23.0</v>
      </c>
      <c r="G79" s="16" t="s">
        <v>24</v>
      </c>
      <c r="H79" s="13">
        <v>16.0</v>
      </c>
      <c r="I79" s="40" t="s">
        <v>57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58</v>
      </c>
      <c r="P79" s="17">
        <f t="shared" si="13"/>
        <v>9</v>
      </c>
      <c r="Q79" s="17">
        <f t="shared" si="14"/>
        <v>2</v>
      </c>
      <c r="R79" s="19">
        <f t="shared" si="15"/>
        <v>0</v>
      </c>
      <c r="S79" s="19">
        <f t="shared" si="16"/>
        <v>3</v>
      </c>
      <c r="T79" s="17">
        <f t="shared" si="17"/>
        <v>105</v>
      </c>
      <c r="U79" s="19">
        <f t="shared" si="18"/>
        <v>108</v>
      </c>
      <c r="V79" s="17">
        <f t="shared" si="19"/>
        <v>-3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2" t="s">
        <v>59</v>
      </c>
      <c r="AG79" s="22">
        <v>18.0</v>
      </c>
      <c r="AH79" s="22">
        <v>6.0</v>
      </c>
      <c r="AI79" s="23">
        <v>0.0</v>
      </c>
      <c r="AJ79" s="23">
        <v>0.0</v>
      </c>
      <c r="AK79" s="22">
        <v>135.0</v>
      </c>
      <c r="AL79" s="23">
        <v>99.0</v>
      </c>
      <c r="AM79" s="22">
        <v>36.0</v>
      </c>
      <c r="AN79" s="17"/>
    </row>
    <row r="80" ht="15.75" customHeight="1">
      <c r="A80" s="24"/>
      <c r="B80" s="39">
        <v>45950.0</v>
      </c>
      <c r="C80" s="12" t="s">
        <v>30</v>
      </c>
      <c r="D80" s="12" t="s">
        <v>22</v>
      </c>
      <c r="E80" s="40" t="s">
        <v>59</v>
      </c>
      <c r="F80" s="13">
        <v>22.0</v>
      </c>
      <c r="G80" s="16" t="s">
        <v>24</v>
      </c>
      <c r="H80" s="13">
        <v>19.0</v>
      </c>
      <c r="I80" s="40" t="s">
        <v>60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55</v>
      </c>
      <c r="P80" s="17">
        <f t="shared" si="13"/>
        <v>18</v>
      </c>
      <c r="Q80" s="17">
        <f t="shared" si="14"/>
        <v>6</v>
      </c>
      <c r="R80" s="19">
        <f t="shared" si="15"/>
        <v>0</v>
      </c>
      <c r="S80" s="19">
        <f t="shared" si="16"/>
        <v>0</v>
      </c>
      <c r="T80" s="17">
        <f t="shared" si="17"/>
        <v>145</v>
      </c>
      <c r="U80" s="19">
        <f t="shared" si="18"/>
        <v>90</v>
      </c>
      <c r="V80" s="17">
        <f t="shared" si="19"/>
        <v>55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61</v>
      </c>
      <c r="AG80" s="22">
        <v>13.0</v>
      </c>
      <c r="AH80" s="22">
        <v>4.0</v>
      </c>
      <c r="AI80" s="23">
        <v>0.0</v>
      </c>
      <c r="AJ80" s="23">
        <v>1.0</v>
      </c>
      <c r="AK80" s="22">
        <v>83.0</v>
      </c>
      <c r="AL80" s="23">
        <v>72.0</v>
      </c>
      <c r="AM80" s="22">
        <v>11.0</v>
      </c>
      <c r="AN80" s="17"/>
    </row>
    <row r="81" ht="15.75" customHeight="1">
      <c r="A81" s="24"/>
      <c r="B81" s="39">
        <v>45950.0</v>
      </c>
      <c r="C81" s="12" t="s">
        <v>36</v>
      </c>
      <c r="D81" s="12" t="s">
        <v>22</v>
      </c>
      <c r="E81" s="40" t="s">
        <v>61</v>
      </c>
      <c r="F81" s="13">
        <v>24.0</v>
      </c>
      <c r="G81" s="16" t="s">
        <v>24</v>
      </c>
      <c r="H81" s="13">
        <v>18.0</v>
      </c>
      <c r="I81" s="40" t="s">
        <v>62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63</v>
      </c>
      <c r="P81" s="17">
        <f t="shared" si="13"/>
        <v>11</v>
      </c>
      <c r="Q81" s="17">
        <f t="shared" si="14"/>
        <v>3</v>
      </c>
      <c r="R81" s="19">
        <f t="shared" si="15"/>
        <v>0</v>
      </c>
      <c r="S81" s="19">
        <f t="shared" si="16"/>
        <v>2</v>
      </c>
      <c r="T81" s="17">
        <f t="shared" si="17"/>
        <v>100</v>
      </c>
      <c r="U81" s="19">
        <f t="shared" si="18"/>
        <v>97</v>
      </c>
      <c r="V81" s="17">
        <f t="shared" si="19"/>
        <v>3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54</v>
      </c>
      <c r="AG81" s="22">
        <v>12.0</v>
      </c>
      <c r="AH81" s="22">
        <v>3.0</v>
      </c>
      <c r="AI81" s="23">
        <v>1.0</v>
      </c>
      <c r="AJ81" s="23">
        <v>1.0</v>
      </c>
      <c r="AK81" s="22">
        <v>91.0</v>
      </c>
      <c r="AL81" s="23">
        <v>83.0</v>
      </c>
      <c r="AM81" s="22">
        <v>8.0</v>
      </c>
      <c r="AN81" s="17"/>
    </row>
    <row r="82" ht="15.75" customHeight="1">
      <c r="A82" s="24"/>
      <c r="B82" s="39">
        <v>45951.0</v>
      </c>
      <c r="C82" s="12" t="s">
        <v>49</v>
      </c>
      <c r="D82" s="12" t="s">
        <v>22</v>
      </c>
      <c r="E82" s="40" t="s">
        <v>63</v>
      </c>
      <c r="F82" s="13">
        <v>17.0</v>
      </c>
      <c r="G82" s="16" t="s">
        <v>24</v>
      </c>
      <c r="H82" s="13">
        <v>9.0</v>
      </c>
      <c r="I82" s="40" t="s">
        <v>64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57</v>
      </c>
      <c r="P82" s="17">
        <f t="shared" si="13"/>
        <v>5</v>
      </c>
      <c r="Q82" s="17">
        <f t="shared" si="14"/>
        <v>0</v>
      </c>
      <c r="R82" s="19">
        <f t="shared" si="15"/>
        <v>0</v>
      </c>
      <c r="S82" s="19">
        <f t="shared" si="16"/>
        <v>5</v>
      </c>
      <c r="T82" s="17">
        <f t="shared" si="17"/>
        <v>67</v>
      </c>
      <c r="U82" s="19">
        <f t="shared" si="18"/>
        <v>101</v>
      </c>
      <c r="V82" s="17">
        <f t="shared" si="19"/>
        <v>-34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62</v>
      </c>
      <c r="AG82" s="22">
        <v>11.0</v>
      </c>
      <c r="AH82" s="22">
        <v>2.0</v>
      </c>
      <c r="AI82" s="23">
        <v>1.0</v>
      </c>
      <c r="AJ82" s="23">
        <v>3.0</v>
      </c>
      <c r="AK82" s="22">
        <v>126.0</v>
      </c>
      <c r="AL82" s="23">
        <v>117.0</v>
      </c>
      <c r="AM82" s="22">
        <v>9.0</v>
      </c>
      <c r="AN82" s="17"/>
    </row>
    <row r="83" ht="15.75" customHeight="1">
      <c r="A83" s="24"/>
      <c r="B83" s="39">
        <v>45972.0</v>
      </c>
      <c r="C83" s="12" t="s">
        <v>30</v>
      </c>
      <c r="D83" s="12" t="s">
        <v>22</v>
      </c>
      <c r="E83" s="42" t="s">
        <v>65</v>
      </c>
      <c r="F83" s="13">
        <v>13.0</v>
      </c>
      <c r="G83" s="16" t="s">
        <v>24</v>
      </c>
      <c r="H83" s="13">
        <v>24.0</v>
      </c>
      <c r="I83" s="40" t="s">
        <v>58</v>
      </c>
      <c r="J83" s="4"/>
      <c r="K83" s="4">
        <f t="shared" si="11"/>
        <v>1</v>
      </c>
      <c r="L83" s="17">
        <f t="shared" si="12"/>
        <v>3</v>
      </c>
      <c r="M83" s="4"/>
      <c r="N83" s="17">
        <v>6.0</v>
      </c>
      <c r="O83" s="18" t="s">
        <v>61</v>
      </c>
      <c r="P83" s="17">
        <f t="shared" si="13"/>
        <v>13</v>
      </c>
      <c r="Q83" s="17">
        <f t="shared" si="14"/>
        <v>4</v>
      </c>
      <c r="R83" s="19">
        <f t="shared" si="15"/>
        <v>0</v>
      </c>
      <c r="S83" s="19">
        <f t="shared" si="16"/>
        <v>1</v>
      </c>
      <c r="T83" s="17">
        <f t="shared" si="17"/>
        <v>83</v>
      </c>
      <c r="U83" s="19">
        <f t="shared" si="18"/>
        <v>72</v>
      </c>
      <c r="V83" s="17">
        <f t="shared" si="19"/>
        <v>11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63</v>
      </c>
      <c r="AG83" s="22">
        <v>11.0</v>
      </c>
      <c r="AH83" s="22">
        <v>3.0</v>
      </c>
      <c r="AI83" s="23">
        <v>0.0</v>
      </c>
      <c r="AJ83" s="23">
        <v>2.0</v>
      </c>
      <c r="AK83" s="22">
        <v>100.0</v>
      </c>
      <c r="AL83" s="23">
        <v>97.0</v>
      </c>
      <c r="AM83" s="22">
        <v>3.0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0" t="s">
        <v>55</v>
      </c>
      <c r="F84" s="13">
        <v>22.0</v>
      </c>
      <c r="G84" s="16" t="s">
        <v>24</v>
      </c>
      <c r="H84" s="13">
        <v>13.0</v>
      </c>
      <c r="I84" s="43" t="s">
        <v>65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60</v>
      </c>
      <c r="P84" s="17">
        <f t="shared" si="13"/>
        <v>7</v>
      </c>
      <c r="Q84" s="17">
        <f t="shared" si="14"/>
        <v>1</v>
      </c>
      <c r="R84" s="19">
        <f t="shared" si="15"/>
        <v>0</v>
      </c>
      <c r="S84" s="19">
        <f t="shared" si="16"/>
        <v>4</v>
      </c>
      <c r="T84" s="17">
        <f t="shared" si="17"/>
        <v>95</v>
      </c>
      <c r="U84" s="19">
        <f t="shared" si="18"/>
        <v>109</v>
      </c>
      <c r="V84" s="17">
        <f t="shared" si="19"/>
        <v>-14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56</v>
      </c>
      <c r="AG84" s="22">
        <v>11.0</v>
      </c>
      <c r="AH84" s="22">
        <v>3.0</v>
      </c>
      <c r="AI84" s="23">
        <v>0.0</v>
      </c>
      <c r="AJ84" s="23">
        <v>2.0</v>
      </c>
      <c r="AK84" s="22">
        <v>106.0</v>
      </c>
      <c r="AL84" s="23">
        <v>103.0</v>
      </c>
      <c r="AM84" s="22">
        <v>3.0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0" t="s">
        <v>57</v>
      </c>
      <c r="F85" s="13">
        <v>15.0</v>
      </c>
      <c r="G85" s="16" t="s">
        <v>24</v>
      </c>
      <c r="H85" s="13">
        <v>17.0</v>
      </c>
      <c r="I85" s="40" t="s">
        <v>54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59</v>
      </c>
      <c r="P85" s="17">
        <f t="shared" si="13"/>
        <v>18</v>
      </c>
      <c r="Q85" s="17">
        <f t="shared" si="14"/>
        <v>6</v>
      </c>
      <c r="R85" s="19">
        <f t="shared" si="15"/>
        <v>0</v>
      </c>
      <c r="S85" s="19">
        <f t="shared" si="16"/>
        <v>0</v>
      </c>
      <c r="T85" s="17">
        <f t="shared" si="17"/>
        <v>135</v>
      </c>
      <c r="U85" s="19">
        <f t="shared" si="18"/>
        <v>99</v>
      </c>
      <c r="V85" s="17">
        <f t="shared" si="19"/>
        <v>36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58</v>
      </c>
      <c r="AG85" s="22">
        <v>9.0</v>
      </c>
      <c r="AH85" s="22">
        <v>2.0</v>
      </c>
      <c r="AI85" s="23">
        <v>0.0</v>
      </c>
      <c r="AJ85" s="23">
        <v>3.0</v>
      </c>
      <c r="AK85" s="22">
        <v>105.0</v>
      </c>
      <c r="AL85" s="23">
        <v>108.0</v>
      </c>
      <c r="AM85" s="22">
        <v>-3.0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0" t="s">
        <v>60</v>
      </c>
      <c r="F86" s="13">
        <v>19.0</v>
      </c>
      <c r="G86" s="16" t="s">
        <v>24</v>
      </c>
      <c r="H86" s="13">
        <v>24.0</v>
      </c>
      <c r="I86" s="40" t="s">
        <v>56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62</v>
      </c>
      <c r="P86" s="17">
        <f t="shared" si="13"/>
        <v>11</v>
      </c>
      <c r="Q86" s="17">
        <f t="shared" si="14"/>
        <v>2</v>
      </c>
      <c r="R86" s="19">
        <f t="shared" si="15"/>
        <v>1</v>
      </c>
      <c r="S86" s="19">
        <f t="shared" si="16"/>
        <v>3</v>
      </c>
      <c r="T86" s="17">
        <f t="shared" si="17"/>
        <v>126</v>
      </c>
      <c r="U86" s="19">
        <f t="shared" si="18"/>
        <v>117</v>
      </c>
      <c r="V86" s="17">
        <f t="shared" si="19"/>
        <v>9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65</v>
      </c>
      <c r="AG86" s="22">
        <v>8.0</v>
      </c>
      <c r="AH86" s="22">
        <v>1.0</v>
      </c>
      <c r="AI86" s="23">
        <v>0.0</v>
      </c>
      <c r="AJ86" s="23">
        <v>5.0</v>
      </c>
      <c r="AK86" s="22">
        <v>91.0</v>
      </c>
      <c r="AL86" s="23">
        <v>123.0</v>
      </c>
      <c r="AM86" s="22">
        <v>-32.0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0" t="s">
        <v>62</v>
      </c>
      <c r="F87" s="13">
        <v>18.0</v>
      </c>
      <c r="G87" s="16" t="s">
        <v>24</v>
      </c>
      <c r="H87" s="13">
        <v>19.0</v>
      </c>
      <c r="I87" s="40" t="s">
        <v>59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56</v>
      </c>
      <c r="P87" s="17">
        <f t="shared" si="13"/>
        <v>11</v>
      </c>
      <c r="Q87" s="17">
        <f t="shared" si="14"/>
        <v>3</v>
      </c>
      <c r="R87" s="19">
        <f t="shared" si="15"/>
        <v>0</v>
      </c>
      <c r="S87" s="19">
        <f t="shared" si="16"/>
        <v>2</v>
      </c>
      <c r="T87" s="17">
        <f t="shared" si="17"/>
        <v>106</v>
      </c>
      <c r="U87" s="19">
        <f t="shared" si="18"/>
        <v>103</v>
      </c>
      <c r="V87" s="17">
        <f t="shared" si="19"/>
        <v>3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60</v>
      </c>
      <c r="AG87" s="22">
        <v>7.0</v>
      </c>
      <c r="AH87" s="44">
        <v>1.0</v>
      </c>
      <c r="AI87" s="45">
        <v>0.0</v>
      </c>
      <c r="AJ87" s="45">
        <v>4.0</v>
      </c>
      <c r="AK87" s="44">
        <v>95.0</v>
      </c>
      <c r="AL87" s="45">
        <v>109.0</v>
      </c>
      <c r="AM87" s="44">
        <v>-14.0</v>
      </c>
      <c r="AN87" s="17"/>
    </row>
    <row r="88" ht="15.75" customHeight="1">
      <c r="A88" s="24"/>
      <c r="B88" s="11">
        <v>45965.0</v>
      </c>
      <c r="C88" s="12" t="s">
        <v>30</v>
      </c>
      <c r="D88" s="12" t="s">
        <v>22</v>
      </c>
      <c r="E88" s="40" t="s">
        <v>64</v>
      </c>
      <c r="F88" s="13">
        <v>11.0</v>
      </c>
      <c r="G88" s="16" t="s">
        <v>24</v>
      </c>
      <c r="H88" s="13">
        <v>20.0</v>
      </c>
      <c r="I88" s="40" t="s">
        <v>61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64</v>
      </c>
      <c r="P88" s="17">
        <f t="shared" si="13"/>
        <v>5</v>
      </c>
      <c r="Q88" s="17">
        <f t="shared" si="14"/>
        <v>0</v>
      </c>
      <c r="R88" s="19">
        <f t="shared" si="15"/>
        <v>0</v>
      </c>
      <c r="S88" s="19">
        <f t="shared" si="16"/>
        <v>5</v>
      </c>
      <c r="T88" s="17">
        <f t="shared" si="17"/>
        <v>78</v>
      </c>
      <c r="U88" s="19">
        <f t="shared" si="18"/>
        <v>120</v>
      </c>
      <c r="V88" s="17">
        <f t="shared" si="19"/>
        <v>-42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57</v>
      </c>
      <c r="AG88" s="22">
        <v>5.0</v>
      </c>
      <c r="AH88" s="22">
        <v>0.0</v>
      </c>
      <c r="AI88" s="23">
        <v>0.0</v>
      </c>
      <c r="AJ88" s="23">
        <v>5.0</v>
      </c>
      <c r="AK88" s="22">
        <v>67.0</v>
      </c>
      <c r="AL88" s="23">
        <v>101.0</v>
      </c>
      <c r="AM88" s="22">
        <v>-34.0</v>
      </c>
      <c r="AN88" s="17"/>
    </row>
    <row r="89" ht="15.75" customHeight="1">
      <c r="A89" s="28"/>
      <c r="B89" s="11">
        <v>45965.0</v>
      </c>
      <c r="C89" s="12" t="s">
        <v>36</v>
      </c>
      <c r="D89" s="12" t="s">
        <v>22</v>
      </c>
      <c r="E89" s="40" t="s">
        <v>58</v>
      </c>
      <c r="F89" s="13">
        <v>25.0</v>
      </c>
      <c r="G89" s="16" t="s">
        <v>24</v>
      </c>
      <c r="H89" s="13">
        <v>16.0</v>
      </c>
      <c r="I89" s="40" t="s">
        <v>63</v>
      </c>
      <c r="J89" s="4"/>
      <c r="K89" s="4">
        <f t="shared" si="11"/>
        <v>3</v>
      </c>
      <c r="L89" s="17">
        <f t="shared" si="12"/>
        <v>1</v>
      </c>
      <c r="M89" s="4"/>
      <c r="N89" s="46">
        <v>12.0</v>
      </c>
      <c r="O89" s="42" t="s">
        <v>65</v>
      </c>
      <c r="P89" s="17">
        <f t="shared" si="13"/>
        <v>8</v>
      </c>
      <c r="Q89" s="17">
        <f t="shared" si="14"/>
        <v>1</v>
      </c>
      <c r="R89" s="19">
        <f t="shared" si="15"/>
        <v>0</v>
      </c>
      <c r="S89" s="19">
        <f t="shared" si="16"/>
        <v>5</v>
      </c>
      <c r="T89" s="17">
        <f t="shared" si="17"/>
        <v>91</v>
      </c>
      <c r="U89" s="19">
        <f t="shared" si="18"/>
        <v>123</v>
      </c>
      <c r="V89" s="17">
        <f t="shared" si="19"/>
        <v>-32</v>
      </c>
      <c r="W89" s="2"/>
      <c r="X89" s="2"/>
      <c r="Y89" s="2"/>
      <c r="Z89" s="2"/>
      <c r="AA89" s="2"/>
      <c r="AB89" s="2"/>
      <c r="AC89" s="2"/>
      <c r="AD89" s="2"/>
      <c r="AE89" s="47">
        <v>12.0</v>
      </c>
      <c r="AF89" s="22" t="s">
        <v>64</v>
      </c>
      <c r="AG89" s="22">
        <v>5.0</v>
      </c>
      <c r="AH89" s="22">
        <v>0.0</v>
      </c>
      <c r="AI89" s="23">
        <v>0.0</v>
      </c>
      <c r="AJ89" s="23">
        <v>5.0</v>
      </c>
      <c r="AK89" s="22">
        <v>78.0</v>
      </c>
      <c r="AL89" s="23">
        <v>120.0</v>
      </c>
      <c r="AM89" s="22">
        <v>-42.0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0" t="s">
        <v>55</v>
      </c>
      <c r="F90" s="13">
        <v>18.0</v>
      </c>
      <c r="G90" s="16" t="s">
        <v>24</v>
      </c>
      <c r="H90" s="13">
        <v>8.0</v>
      </c>
      <c r="I90" s="40" t="s">
        <v>57</v>
      </c>
      <c r="J90" s="4"/>
      <c r="K90" s="4">
        <f t="shared" si="11"/>
        <v>3</v>
      </c>
      <c r="L90" s="17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4"/>
      <c r="B91" s="11">
        <v>45986.0</v>
      </c>
      <c r="C91" s="12" t="s">
        <v>21</v>
      </c>
      <c r="D91" s="12" t="s">
        <v>22</v>
      </c>
      <c r="E91" s="40" t="s">
        <v>54</v>
      </c>
      <c r="F91" s="13">
        <v>13.0</v>
      </c>
      <c r="G91" s="16" t="s">
        <v>24</v>
      </c>
      <c r="H91" s="13">
        <v>10.0</v>
      </c>
      <c r="I91" s="40" t="s">
        <v>60</v>
      </c>
      <c r="J91" s="4"/>
      <c r="K91" s="4">
        <f t="shared" si="11"/>
        <v>3</v>
      </c>
      <c r="L91" s="17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11">
        <v>45986.0</v>
      </c>
      <c r="C92" s="12" t="s">
        <v>30</v>
      </c>
      <c r="D92" s="12" t="s">
        <v>22</v>
      </c>
      <c r="E92" s="40" t="s">
        <v>56</v>
      </c>
      <c r="F92" s="13">
        <v>15.0</v>
      </c>
      <c r="G92" s="16" t="s">
        <v>24</v>
      </c>
      <c r="H92" s="13">
        <v>21.0</v>
      </c>
      <c r="I92" s="40" t="s">
        <v>62</v>
      </c>
      <c r="J92" s="4"/>
      <c r="K92" s="4">
        <f t="shared" si="11"/>
        <v>1</v>
      </c>
      <c r="L92" s="17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11">
        <v>45986.0</v>
      </c>
      <c r="C93" s="12" t="s">
        <v>36</v>
      </c>
      <c r="D93" s="12" t="s">
        <v>22</v>
      </c>
      <c r="E93" s="40" t="s">
        <v>59</v>
      </c>
      <c r="F93" s="13">
        <v>26.0</v>
      </c>
      <c r="G93" s="16" t="s">
        <v>24</v>
      </c>
      <c r="H93" s="13">
        <v>22.0</v>
      </c>
      <c r="I93" s="40" t="s">
        <v>64</v>
      </c>
      <c r="J93" s="37"/>
      <c r="K93" s="4">
        <f t="shared" si="11"/>
        <v>3</v>
      </c>
      <c r="L93" s="17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11">
        <v>45985.0</v>
      </c>
      <c r="C94" s="12" t="s">
        <v>30</v>
      </c>
      <c r="D94" s="12" t="s">
        <v>22</v>
      </c>
      <c r="E94" s="40" t="s">
        <v>61</v>
      </c>
      <c r="F94" s="13">
        <v>25.0</v>
      </c>
      <c r="G94" s="16" t="s">
        <v>24</v>
      </c>
      <c r="H94" s="13">
        <v>16.0</v>
      </c>
      <c r="I94" s="40" t="s">
        <v>58</v>
      </c>
      <c r="J94" s="4"/>
      <c r="K94" s="4">
        <f t="shared" si="11"/>
        <v>3</v>
      </c>
      <c r="L94" s="17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11">
        <v>45985.0</v>
      </c>
      <c r="C95" s="12" t="s">
        <v>36</v>
      </c>
      <c r="D95" s="12" t="s">
        <v>22</v>
      </c>
      <c r="E95" s="42" t="s">
        <v>65</v>
      </c>
      <c r="F95" s="13">
        <v>17.0</v>
      </c>
      <c r="G95" s="16" t="s">
        <v>24</v>
      </c>
      <c r="H95" s="13">
        <v>24.0</v>
      </c>
      <c r="I95" s="40" t="s">
        <v>63</v>
      </c>
      <c r="J95" s="4"/>
      <c r="K95" s="4">
        <f t="shared" si="11"/>
        <v>1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8">
        <v>4.0</v>
      </c>
      <c r="B96" s="39">
        <v>46000.0</v>
      </c>
      <c r="C96" s="12" t="s">
        <v>49</v>
      </c>
      <c r="D96" s="12" t="s">
        <v>22</v>
      </c>
      <c r="E96" s="40" t="s">
        <v>57</v>
      </c>
      <c r="F96" s="13">
        <v>15.0</v>
      </c>
      <c r="G96" s="16" t="s">
        <v>24</v>
      </c>
      <c r="H96" s="13">
        <v>17.0</v>
      </c>
      <c r="I96" s="40" t="s">
        <v>65</v>
      </c>
      <c r="J96" s="4"/>
      <c r="K96" s="4">
        <f t="shared" si="11"/>
        <v>1</v>
      </c>
      <c r="L96" s="17">
        <f t="shared" si="12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39">
        <v>46000.0</v>
      </c>
      <c r="C97" s="12" t="s">
        <v>21</v>
      </c>
      <c r="D97" s="12" t="s">
        <v>22</v>
      </c>
      <c r="E97" s="40" t="s">
        <v>60</v>
      </c>
      <c r="F97" s="13">
        <v>23.0</v>
      </c>
      <c r="G97" s="16" t="s">
        <v>24</v>
      </c>
      <c r="H97" s="13">
        <v>31.0</v>
      </c>
      <c r="I97" s="40" t="s">
        <v>55</v>
      </c>
      <c r="J97" s="4"/>
      <c r="K97" s="4">
        <f t="shared" si="11"/>
        <v>1</v>
      </c>
      <c r="L97" s="17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39">
        <v>46000.0</v>
      </c>
      <c r="C98" s="12" t="s">
        <v>30</v>
      </c>
      <c r="D98" s="12" t="s">
        <v>22</v>
      </c>
      <c r="E98" s="40" t="s">
        <v>62</v>
      </c>
      <c r="F98" s="13">
        <v>21.0</v>
      </c>
      <c r="G98" s="16" t="s">
        <v>24</v>
      </c>
      <c r="H98" s="13">
        <v>21.0</v>
      </c>
      <c r="I98" s="40" t="s">
        <v>54</v>
      </c>
      <c r="J98" s="4"/>
      <c r="K98" s="4">
        <f t="shared" si="11"/>
        <v>2</v>
      </c>
      <c r="L98" s="17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39">
        <v>46000.0</v>
      </c>
      <c r="C99" s="12" t="s">
        <v>36</v>
      </c>
      <c r="D99" s="12" t="s">
        <v>22</v>
      </c>
      <c r="E99" s="40" t="s">
        <v>64</v>
      </c>
      <c r="F99" s="13">
        <v>23.0</v>
      </c>
      <c r="G99" s="16" t="s">
        <v>24</v>
      </c>
      <c r="H99" s="13">
        <v>26.0</v>
      </c>
      <c r="I99" s="40" t="s">
        <v>56</v>
      </c>
      <c r="J99" s="4"/>
      <c r="K99" s="4">
        <f t="shared" si="11"/>
        <v>1</v>
      </c>
      <c r="L99" s="17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39"/>
      <c r="C100" s="12"/>
      <c r="D100" s="12" t="s">
        <v>22</v>
      </c>
      <c r="E100" s="40" t="s">
        <v>58</v>
      </c>
      <c r="F100" s="13">
        <v>21.0</v>
      </c>
      <c r="G100" s="16" t="s">
        <v>24</v>
      </c>
      <c r="H100" s="13">
        <v>25.0</v>
      </c>
      <c r="I100" s="40" t="s">
        <v>59</v>
      </c>
      <c r="J100" s="4"/>
      <c r="K100" s="4">
        <f t="shared" si="11"/>
        <v>1</v>
      </c>
      <c r="L100" s="17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39"/>
      <c r="C101" s="12"/>
      <c r="D101" s="12" t="s">
        <v>22</v>
      </c>
      <c r="E101" s="40" t="s">
        <v>63</v>
      </c>
      <c r="F101" s="30"/>
      <c r="G101" s="16" t="s">
        <v>24</v>
      </c>
      <c r="H101" s="30"/>
      <c r="I101" s="40" t="s">
        <v>61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9"/>
      <c r="C102" s="30"/>
      <c r="D102" s="30"/>
      <c r="E102" s="40" t="s">
        <v>57</v>
      </c>
      <c r="F102" s="30"/>
      <c r="G102" s="16" t="s">
        <v>24</v>
      </c>
      <c r="H102" s="30"/>
      <c r="I102" s="40" t="s">
        <v>60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49"/>
      <c r="C103" s="30"/>
      <c r="D103" s="30"/>
      <c r="E103" s="40" t="s">
        <v>55</v>
      </c>
      <c r="F103" s="13">
        <v>25.0</v>
      </c>
      <c r="G103" s="16" t="s">
        <v>24</v>
      </c>
      <c r="H103" s="13">
        <v>22.0</v>
      </c>
      <c r="I103" s="40" t="s">
        <v>62</v>
      </c>
      <c r="J103" s="4"/>
      <c r="K103" s="4">
        <f t="shared" si="11"/>
        <v>3</v>
      </c>
      <c r="L103" s="17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49"/>
      <c r="C104" s="30"/>
      <c r="D104" s="30"/>
      <c r="E104" s="40" t="s">
        <v>54</v>
      </c>
      <c r="F104" s="30"/>
      <c r="G104" s="16" t="s">
        <v>24</v>
      </c>
      <c r="H104" s="3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49"/>
      <c r="C105" s="30"/>
      <c r="D105" s="30"/>
      <c r="E105" s="40" t="s">
        <v>56</v>
      </c>
      <c r="F105" s="30"/>
      <c r="G105" s="16" t="s">
        <v>24</v>
      </c>
      <c r="H105" s="30"/>
      <c r="I105" s="40" t="s">
        <v>58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49"/>
      <c r="C106" s="30"/>
      <c r="D106" s="30"/>
      <c r="E106" s="40" t="s">
        <v>59</v>
      </c>
      <c r="F106" s="13">
        <v>28.0</v>
      </c>
      <c r="G106" s="16" t="s">
        <v>24</v>
      </c>
      <c r="H106" s="13">
        <v>19.0</v>
      </c>
      <c r="I106" s="40" t="s">
        <v>63</v>
      </c>
      <c r="J106" s="4"/>
      <c r="K106" s="4">
        <f t="shared" si="11"/>
        <v>3</v>
      </c>
      <c r="L106" s="17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9"/>
      <c r="C107" s="30"/>
      <c r="D107" s="30"/>
      <c r="E107" s="40" t="s">
        <v>65</v>
      </c>
      <c r="F107" s="13">
        <v>12.0</v>
      </c>
      <c r="G107" s="16" t="s">
        <v>24</v>
      </c>
      <c r="H107" s="13">
        <v>14.0</v>
      </c>
      <c r="I107" s="40" t="s">
        <v>61</v>
      </c>
      <c r="J107" s="4"/>
      <c r="K107" s="4">
        <f t="shared" si="11"/>
        <v>1</v>
      </c>
      <c r="L107" s="17">
        <f t="shared" si="12"/>
        <v>3</v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9"/>
      <c r="C108" s="30"/>
      <c r="D108" s="30"/>
      <c r="E108" s="40" t="s">
        <v>60</v>
      </c>
      <c r="F108" s="13">
        <v>24.0</v>
      </c>
      <c r="G108" s="16" t="s">
        <v>24</v>
      </c>
      <c r="H108" s="13">
        <v>19.0</v>
      </c>
      <c r="I108" s="40" t="s">
        <v>65</v>
      </c>
      <c r="J108" s="4"/>
      <c r="K108" s="4">
        <f t="shared" si="11"/>
        <v>3</v>
      </c>
      <c r="L108" s="17">
        <f t="shared" si="12"/>
        <v>1</v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49"/>
      <c r="C109" s="30"/>
      <c r="D109" s="30"/>
      <c r="E109" s="40" t="s">
        <v>62</v>
      </c>
      <c r="F109" s="13">
        <v>26.0</v>
      </c>
      <c r="G109" s="16" t="s">
        <v>24</v>
      </c>
      <c r="H109" s="13">
        <v>13.0</v>
      </c>
      <c r="I109" s="40" t="s">
        <v>57</v>
      </c>
      <c r="J109" s="4"/>
      <c r="K109" s="4">
        <f t="shared" si="11"/>
        <v>3</v>
      </c>
      <c r="L109" s="17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49"/>
      <c r="C110" s="30"/>
      <c r="D110" s="30"/>
      <c r="E110" s="40" t="s">
        <v>64</v>
      </c>
      <c r="F110" s="13">
        <v>13.0</v>
      </c>
      <c r="G110" s="16" t="s">
        <v>24</v>
      </c>
      <c r="H110" s="13">
        <v>31.0</v>
      </c>
      <c r="I110" s="40" t="s">
        <v>55</v>
      </c>
      <c r="J110" s="4"/>
      <c r="K110" s="4">
        <f t="shared" si="11"/>
        <v>1</v>
      </c>
      <c r="L110" s="17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49"/>
      <c r="C111" s="30"/>
      <c r="D111" s="30"/>
      <c r="E111" s="40" t="s">
        <v>58</v>
      </c>
      <c r="F111" s="13">
        <v>19.0</v>
      </c>
      <c r="G111" s="16" t="s">
        <v>24</v>
      </c>
      <c r="H111" s="13">
        <v>29.0</v>
      </c>
      <c r="I111" s="40" t="s">
        <v>54</v>
      </c>
      <c r="J111" s="4"/>
      <c r="K111" s="4">
        <f t="shared" si="11"/>
        <v>1</v>
      </c>
      <c r="L111" s="17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49"/>
      <c r="C112" s="30"/>
      <c r="D112" s="30"/>
      <c r="E112" s="40" t="s">
        <v>63</v>
      </c>
      <c r="F112" s="13">
        <v>24.0</v>
      </c>
      <c r="G112" s="16" t="s">
        <v>24</v>
      </c>
      <c r="H112" s="13">
        <v>18.0</v>
      </c>
      <c r="I112" s="40" t="s">
        <v>56</v>
      </c>
      <c r="J112" s="4"/>
      <c r="K112" s="4">
        <f t="shared" si="11"/>
        <v>3</v>
      </c>
      <c r="L112" s="17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9"/>
      <c r="C113" s="30"/>
      <c r="D113" s="30"/>
      <c r="E113" s="40" t="s">
        <v>61</v>
      </c>
      <c r="F113" s="13">
        <v>0.0</v>
      </c>
      <c r="G113" s="16" t="s">
        <v>24</v>
      </c>
      <c r="H113" s="13">
        <v>15.0</v>
      </c>
      <c r="I113" s="40" t="s">
        <v>59</v>
      </c>
      <c r="J113" s="4"/>
      <c r="K113" s="4">
        <f t="shared" si="11"/>
        <v>1</v>
      </c>
      <c r="L113" s="17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9"/>
      <c r="C114" s="30"/>
      <c r="D114" s="30"/>
      <c r="E114" s="40" t="s">
        <v>60</v>
      </c>
      <c r="F114" s="30"/>
      <c r="G114" s="16" t="s">
        <v>24</v>
      </c>
      <c r="H114" s="30"/>
      <c r="I114" s="40" t="s">
        <v>62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9"/>
      <c r="C115" s="30"/>
      <c r="D115" s="30"/>
      <c r="E115" s="40" t="s">
        <v>57</v>
      </c>
      <c r="F115" s="30"/>
      <c r="G115" s="16" t="s">
        <v>24</v>
      </c>
      <c r="H115" s="30"/>
      <c r="I115" s="40" t="s">
        <v>64</v>
      </c>
      <c r="J115" s="4"/>
      <c r="K115" s="4" t="str">
        <f t="shared" si="11"/>
        <v/>
      </c>
      <c r="L115" s="17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49"/>
      <c r="C116" s="30"/>
      <c r="D116" s="16"/>
      <c r="E116" s="14" t="s">
        <v>55</v>
      </c>
      <c r="F116" s="30"/>
      <c r="G116" s="16" t="s">
        <v>24</v>
      </c>
      <c r="H116" s="30"/>
      <c r="I116" s="40" t="s">
        <v>58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9"/>
      <c r="C117" s="30"/>
      <c r="D117" s="30"/>
      <c r="E117" s="40" t="s">
        <v>54</v>
      </c>
      <c r="F117" s="30"/>
      <c r="G117" s="16" t="s">
        <v>24</v>
      </c>
      <c r="H117" s="30"/>
      <c r="I117" s="40" t="s">
        <v>63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9"/>
      <c r="C118" s="30"/>
      <c r="D118" s="30"/>
      <c r="E118" s="40" t="s">
        <v>56</v>
      </c>
      <c r="F118" s="30"/>
      <c r="G118" s="16" t="s">
        <v>24</v>
      </c>
      <c r="H118" s="30"/>
      <c r="I118" s="40" t="s">
        <v>61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50"/>
      <c r="C119" s="16"/>
      <c r="D119" s="16"/>
      <c r="E119" s="40" t="s">
        <v>65</v>
      </c>
      <c r="F119" s="30"/>
      <c r="G119" s="30" t="s">
        <v>24</v>
      </c>
      <c r="H119" s="30"/>
      <c r="I119" s="40" t="s">
        <v>59</v>
      </c>
      <c r="J119" s="4"/>
      <c r="K119" s="4" t="str">
        <f t="shared" si="11"/>
        <v/>
      </c>
      <c r="L119" s="17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9"/>
      <c r="C120" s="30"/>
      <c r="D120" s="30"/>
      <c r="E120" s="40" t="s">
        <v>62</v>
      </c>
      <c r="F120" s="30"/>
      <c r="G120" s="30" t="s">
        <v>24</v>
      </c>
      <c r="H120" s="30"/>
      <c r="I120" s="40" t="s">
        <v>65</v>
      </c>
      <c r="J120" s="4"/>
      <c r="K120" s="4" t="str">
        <f t="shared" si="11"/>
        <v/>
      </c>
      <c r="L120" s="17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9"/>
      <c r="C121" s="30"/>
      <c r="D121" s="30"/>
      <c r="E121" s="40" t="s">
        <v>64</v>
      </c>
      <c r="F121" s="30"/>
      <c r="G121" s="16" t="s">
        <v>24</v>
      </c>
      <c r="H121" s="30"/>
      <c r="I121" s="40" t="s">
        <v>60</v>
      </c>
      <c r="J121" s="4"/>
      <c r="K121" s="4" t="str">
        <f t="shared" si="11"/>
        <v/>
      </c>
      <c r="L121" s="17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9"/>
      <c r="C122" s="30"/>
      <c r="D122" s="30"/>
      <c r="E122" s="40" t="s">
        <v>58</v>
      </c>
      <c r="F122" s="30"/>
      <c r="G122" s="16" t="s">
        <v>24</v>
      </c>
      <c r="H122" s="30"/>
      <c r="I122" s="40" t="s">
        <v>57</v>
      </c>
      <c r="J122" s="4"/>
      <c r="K122" s="4" t="str">
        <f t="shared" si="11"/>
        <v/>
      </c>
      <c r="L122" s="17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9"/>
      <c r="C123" s="16"/>
      <c r="D123" s="30"/>
      <c r="E123" s="40" t="s">
        <v>63</v>
      </c>
      <c r="F123" s="30"/>
      <c r="G123" s="16" t="s">
        <v>24</v>
      </c>
      <c r="H123" s="30"/>
      <c r="I123" s="40" t="s">
        <v>55</v>
      </c>
      <c r="J123" s="2"/>
      <c r="K123" s="4" t="str">
        <f t="shared" si="11"/>
        <v/>
      </c>
      <c r="L123" s="17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9"/>
      <c r="C124" s="30"/>
      <c r="D124" s="30"/>
      <c r="E124" s="40" t="s">
        <v>61</v>
      </c>
      <c r="F124" s="30"/>
      <c r="G124" s="16" t="s">
        <v>24</v>
      </c>
      <c r="H124" s="30"/>
      <c r="I124" s="40" t="s">
        <v>54</v>
      </c>
      <c r="J124" s="2"/>
      <c r="K124" s="4" t="str">
        <f t="shared" si="11"/>
        <v/>
      </c>
      <c r="L124" s="17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9"/>
      <c r="C125" s="30"/>
      <c r="D125" s="30"/>
      <c r="E125" s="40" t="s">
        <v>59</v>
      </c>
      <c r="F125" s="30"/>
      <c r="G125" s="16" t="s">
        <v>24</v>
      </c>
      <c r="H125" s="30"/>
      <c r="I125" s="40" t="s">
        <v>56</v>
      </c>
      <c r="J125" s="2"/>
      <c r="K125" s="4" t="str">
        <f t="shared" si="11"/>
        <v/>
      </c>
      <c r="L125" s="17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9"/>
      <c r="C126" s="30"/>
      <c r="D126" s="30"/>
      <c r="E126" s="40" t="s">
        <v>62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9"/>
      <c r="C127" s="30"/>
      <c r="D127" s="30"/>
      <c r="E127" s="40" t="s">
        <v>60</v>
      </c>
      <c r="F127" s="30"/>
      <c r="G127" s="16" t="s">
        <v>24</v>
      </c>
      <c r="H127" s="30"/>
      <c r="I127" s="40" t="s">
        <v>58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9"/>
      <c r="C128" s="30"/>
      <c r="D128" s="30"/>
      <c r="E128" s="40" t="s">
        <v>57</v>
      </c>
      <c r="F128" s="30"/>
      <c r="G128" s="16" t="s">
        <v>24</v>
      </c>
      <c r="H128" s="30"/>
      <c r="I128" s="40" t="s">
        <v>63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9"/>
      <c r="C129" s="30"/>
      <c r="D129" s="30"/>
      <c r="E129" s="40" t="s">
        <v>55</v>
      </c>
      <c r="F129" s="30"/>
      <c r="G129" s="16" t="s">
        <v>24</v>
      </c>
      <c r="H129" s="30"/>
      <c r="I129" s="40" t="s">
        <v>61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9"/>
      <c r="C130" s="30"/>
      <c r="D130" s="30"/>
      <c r="E130" s="40" t="s">
        <v>54</v>
      </c>
      <c r="F130" s="30"/>
      <c r="G130" s="16" t="s">
        <v>24</v>
      </c>
      <c r="H130" s="30"/>
      <c r="I130" s="40" t="s">
        <v>59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9"/>
      <c r="C131" s="30"/>
      <c r="D131" s="30"/>
      <c r="E131" s="40" t="s">
        <v>65</v>
      </c>
      <c r="F131" s="30"/>
      <c r="G131" s="16" t="s">
        <v>24</v>
      </c>
      <c r="H131" s="30"/>
      <c r="I131" s="40" t="s">
        <v>56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9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7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9"/>
      <c r="C133" s="30"/>
      <c r="D133" s="30"/>
      <c r="E133" s="40" t="s">
        <v>58</v>
      </c>
      <c r="F133" s="30"/>
      <c r="G133" s="16" t="s">
        <v>24</v>
      </c>
      <c r="H133" s="30"/>
      <c r="I133" s="40" t="s">
        <v>62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9"/>
      <c r="C134" s="30"/>
      <c r="D134" s="30"/>
      <c r="E134" s="40" t="s">
        <v>63</v>
      </c>
      <c r="F134" s="30"/>
      <c r="G134" s="16" t="s">
        <v>24</v>
      </c>
      <c r="H134" s="30"/>
      <c r="I134" s="40" t="s">
        <v>60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9"/>
      <c r="C135" s="30"/>
      <c r="D135" s="30"/>
      <c r="E135" s="40" t="s">
        <v>61</v>
      </c>
      <c r="F135" s="30"/>
      <c r="G135" s="16" t="s">
        <v>24</v>
      </c>
      <c r="H135" s="30"/>
      <c r="I135" s="40" t="s">
        <v>57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49"/>
      <c r="C136" s="30"/>
      <c r="D136" s="30"/>
      <c r="E136" s="40" t="s">
        <v>59</v>
      </c>
      <c r="F136" s="30"/>
      <c r="G136" s="16" t="s">
        <v>24</v>
      </c>
      <c r="H136" s="30"/>
      <c r="I136" s="40" t="s">
        <v>55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9"/>
      <c r="C137" s="30"/>
      <c r="D137" s="30"/>
      <c r="E137" s="40" t="s">
        <v>56</v>
      </c>
      <c r="F137" s="30"/>
      <c r="G137" s="16" t="s">
        <v>24</v>
      </c>
      <c r="H137" s="30"/>
      <c r="I137" s="40" t="s">
        <v>54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9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49"/>
      <c r="C139" s="30"/>
      <c r="D139" s="30"/>
      <c r="E139" s="40" t="s">
        <v>62</v>
      </c>
      <c r="F139" s="30"/>
      <c r="G139" s="16" t="s">
        <v>24</v>
      </c>
      <c r="H139" s="30"/>
      <c r="I139" s="40" t="s">
        <v>63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49"/>
      <c r="C140" s="30"/>
      <c r="D140" s="30"/>
      <c r="E140" s="40" t="s">
        <v>60</v>
      </c>
      <c r="F140" s="30"/>
      <c r="G140" s="16" t="s">
        <v>24</v>
      </c>
      <c r="H140" s="30"/>
      <c r="I140" s="40" t="s">
        <v>61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49"/>
      <c r="C141" s="30"/>
      <c r="D141" s="30"/>
      <c r="E141" s="40" t="s">
        <v>57</v>
      </c>
      <c r="F141" s="30"/>
      <c r="G141" s="16" t="s">
        <v>24</v>
      </c>
      <c r="H141" s="30"/>
      <c r="I141" s="14" t="s">
        <v>59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49"/>
      <c r="C142" s="30"/>
      <c r="D142" s="30"/>
      <c r="E142" s="40" t="s">
        <v>55</v>
      </c>
      <c r="F142" s="30"/>
      <c r="G142" s="16" t="s">
        <v>24</v>
      </c>
      <c r="H142" s="30"/>
      <c r="I142" s="14" t="s">
        <v>56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9"/>
      <c r="C143" s="30"/>
      <c r="D143" s="30"/>
      <c r="E143" s="40" t="s">
        <v>54</v>
      </c>
      <c r="F143" s="30"/>
      <c r="G143" s="16" t="s">
        <v>24</v>
      </c>
      <c r="H143" s="30"/>
      <c r="I143" s="40" t="s">
        <v>65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68</v>
      </c>
      <c r="B150" s="39"/>
      <c r="C150" s="12"/>
      <c r="D150" s="12"/>
      <c r="E150" s="40" t="s">
        <v>69</v>
      </c>
      <c r="F150" s="30"/>
      <c r="G150" s="16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39"/>
      <c r="C151" s="12"/>
      <c r="D151" s="12"/>
      <c r="E151" s="40" t="s">
        <v>71</v>
      </c>
      <c r="F151" s="30"/>
      <c r="G151" s="16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39"/>
      <c r="C152" s="12"/>
      <c r="D152" s="12"/>
      <c r="E152" s="40" t="s">
        <v>73</v>
      </c>
      <c r="F152" s="30"/>
      <c r="G152" s="16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6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77</v>
      </c>
      <c r="B154" s="39"/>
      <c r="C154" s="12"/>
      <c r="D154" s="12"/>
      <c r="E154" s="40" t="s">
        <v>78</v>
      </c>
      <c r="F154" s="30"/>
      <c r="G154" s="16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49"/>
      <c r="C155" s="30"/>
      <c r="D155" s="12"/>
      <c r="E155" s="42" t="s">
        <v>80</v>
      </c>
      <c r="F155" s="13"/>
      <c r="G155" s="16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82</v>
      </c>
      <c r="B156" s="29"/>
      <c r="C156" s="30"/>
      <c r="D156" s="12"/>
      <c r="E156" s="40" t="s">
        <v>83</v>
      </c>
      <c r="F156" s="30"/>
      <c r="G156" s="16" t="s">
        <v>24</v>
      </c>
      <c r="H156" s="30"/>
      <c r="I156" s="43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85</v>
      </c>
      <c r="B157" s="29"/>
      <c r="C157" s="30"/>
      <c r="D157" s="12"/>
      <c r="E157" s="40" t="s">
        <v>86</v>
      </c>
      <c r="F157" s="30"/>
      <c r="G157" s="16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88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6"/>
    </row>
    <row r="3" ht="15.75" customHeight="1">
      <c r="A3" s="58">
        <v>1.0</v>
      </c>
      <c r="B3" s="39"/>
      <c r="C3" s="59"/>
      <c r="D3" s="12"/>
      <c r="E3" s="40" t="s">
        <v>41</v>
      </c>
      <c r="F3" s="60"/>
      <c r="G3" s="60" t="s">
        <v>24</v>
      </c>
      <c r="H3" s="60"/>
      <c r="I3" s="40" t="s">
        <v>92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1" t="s">
        <v>41</v>
      </c>
      <c r="P3" s="17">
        <f t="shared" ref="P3:P14" si="3">SUMIF(E$3:E$68,O3,K$3:K$68)+SUMIF(I$3:I$68,O3,L$3:L$68)</f>
        <v>6</v>
      </c>
      <c r="Q3" s="17">
        <f t="shared" ref="Q3:Q14" si="4">COUNTIFS(E$3:E$68,O3,K$3:K$68,2)+COUNTIFS(I$3:I$68,O3,L$3:L$68,2)</f>
        <v>3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2</v>
      </c>
      <c r="T3" s="17">
        <f t="shared" ref="T3:T14" si="7">SUMIF(E$3:E$68,O3,F$3:F$68)+SUMIF(I$3:I$68,O3,H$3:H$68)</f>
        <v>46</v>
      </c>
      <c r="U3" s="19">
        <f t="shared" ref="U3:U14" si="8">SUMIF(E$3:E$68,O3,H$3:H$68)+SUMIF(I$3:I$68,O3,F$3:F$68)</f>
        <v>37</v>
      </c>
      <c r="V3" s="17">
        <f t="shared" ref="V3:V14" si="9">T3-U3</f>
        <v>9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1" t="s">
        <v>29</v>
      </c>
      <c r="AE3" s="63" t="str">
        <f t="array" ref="AE3:AL14">SORT(O3:V14,2,FALSE,9,FALSE,8,FALSE())</f>
        <v>Eng. Materiais</v>
      </c>
      <c r="AF3" s="22">
        <v>10.0</v>
      </c>
      <c r="AG3" s="22">
        <v>5.0</v>
      </c>
      <c r="AH3" s="22">
        <v>0.0</v>
      </c>
      <c r="AI3" s="23">
        <v>0.0</v>
      </c>
      <c r="AJ3" s="22">
        <v>63.0</v>
      </c>
      <c r="AK3" s="23">
        <v>48.0</v>
      </c>
      <c r="AL3" s="22">
        <v>15.0</v>
      </c>
      <c r="AM3" s="56"/>
    </row>
    <row r="4" ht="15.75" customHeight="1">
      <c r="A4" s="24"/>
      <c r="B4" s="39"/>
      <c r="C4" s="59"/>
      <c r="D4" s="12"/>
      <c r="E4" s="40" t="s">
        <v>32</v>
      </c>
      <c r="F4" s="60"/>
      <c r="G4" s="60" t="s">
        <v>24</v>
      </c>
      <c r="H4" s="60"/>
      <c r="I4" s="40" t="s">
        <v>40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1" t="s">
        <v>38</v>
      </c>
      <c r="P4" s="17">
        <f t="shared" si="3"/>
        <v>2</v>
      </c>
      <c r="Q4" s="17">
        <f t="shared" si="4"/>
        <v>1</v>
      </c>
      <c r="R4" s="17">
        <f t="shared" si="5"/>
        <v>0</v>
      </c>
      <c r="S4" s="19">
        <f t="shared" si="6"/>
        <v>5</v>
      </c>
      <c r="T4" s="17">
        <f t="shared" si="7"/>
        <v>41</v>
      </c>
      <c r="U4" s="19">
        <f t="shared" si="8"/>
        <v>59</v>
      </c>
      <c r="V4" s="17">
        <f t="shared" si="9"/>
        <v>-18</v>
      </c>
      <c r="W4" s="36"/>
      <c r="X4" s="27" t="s">
        <v>33</v>
      </c>
      <c r="Y4" s="27">
        <v>6.0</v>
      </c>
      <c r="Z4" s="56"/>
      <c r="AA4" s="56"/>
      <c r="AB4" s="56"/>
      <c r="AC4" s="56"/>
      <c r="AD4" s="21" t="s">
        <v>34</v>
      </c>
      <c r="AE4" s="63" t="s">
        <v>33</v>
      </c>
      <c r="AF4" s="22">
        <v>10.0</v>
      </c>
      <c r="AG4" s="22">
        <v>5.0</v>
      </c>
      <c r="AH4" s="22">
        <v>0.0</v>
      </c>
      <c r="AI4" s="23">
        <v>1.0</v>
      </c>
      <c r="AJ4" s="22">
        <v>59.0</v>
      </c>
      <c r="AK4" s="23">
        <v>49.0</v>
      </c>
      <c r="AL4" s="22">
        <v>10.0</v>
      </c>
      <c r="AM4" s="56"/>
    </row>
    <row r="5" ht="15.75" customHeight="1">
      <c r="A5" s="24"/>
      <c r="B5" s="39">
        <v>45952.0</v>
      </c>
      <c r="C5" s="59" t="s">
        <v>93</v>
      </c>
      <c r="D5" s="64" t="s">
        <v>94</v>
      </c>
      <c r="E5" s="40" t="s">
        <v>60</v>
      </c>
      <c r="F5" s="40">
        <v>6.0</v>
      </c>
      <c r="G5" s="60" t="s">
        <v>24</v>
      </c>
      <c r="H5" s="40">
        <v>11.0</v>
      </c>
      <c r="I5" s="40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1" t="s">
        <v>92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3</v>
      </c>
      <c r="T5" s="17">
        <f t="shared" si="7"/>
        <v>43</v>
      </c>
      <c r="U5" s="19">
        <f t="shared" si="8"/>
        <v>39</v>
      </c>
      <c r="V5" s="17">
        <f t="shared" si="9"/>
        <v>4</v>
      </c>
      <c r="W5" s="36"/>
      <c r="X5" s="27" t="s">
        <v>32</v>
      </c>
      <c r="Y5" s="27">
        <v>3.0</v>
      </c>
      <c r="Z5" s="56"/>
      <c r="AA5" s="56"/>
      <c r="AB5" s="56"/>
      <c r="AC5" s="56"/>
      <c r="AD5" s="21" t="s">
        <v>39</v>
      </c>
      <c r="AE5" s="63" t="s">
        <v>25</v>
      </c>
      <c r="AF5" s="22">
        <v>10.0</v>
      </c>
      <c r="AG5" s="22">
        <v>5.0</v>
      </c>
      <c r="AH5" s="22">
        <v>0.0</v>
      </c>
      <c r="AI5" s="23">
        <v>1.0</v>
      </c>
      <c r="AJ5" s="22">
        <v>45.0</v>
      </c>
      <c r="AK5" s="23">
        <v>37.0</v>
      </c>
      <c r="AL5" s="22">
        <v>8.0</v>
      </c>
      <c r="AM5" s="56"/>
    </row>
    <row r="6" ht="15.75" customHeight="1">
      <c r="A6" s="24"/>
      <c r="B6" s="39">
        <v>45952.0</v>
      </c>
      <c r="C6" s="12" t="s">
        <v>95</v>
      </c>
      <c r="D6" s="64" t="s">
        <v>94</v>
      </c>
      <c r="E6" s="40" t="s">
        <v>96</v>
      </c>
      <c r="F6" s="40">
        <v>4.0</v>
      </c>
      <c r="G6" s="60" t="s">
        <v>24</v>
      </c>
      <c r="H6" s="40">
        <v>7.0</v>
      </c>
      <c r="I6" s="40" t="s">
        <v>62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1" t="s">
        <v>57</v>
      </c>
      <c r="P6" s="17">
        <f t="shared" si="3"/>
        <v>6</v>
      </c>
      <c r="Q6" s="17">
        <f t="shared" si="4"/>
        <v>3</v>
      </c>
      <c r="R6" s="17">
        <f t="shared" si="5"/>
        <v>0</v>
      </c>
      <c r="S6" s="19">
        <f t="shared" si="6"/>
        <v>3</v>
      </c>
      <c r="T6" s="17">
        <f t="shared" si="7"/>
        <v>47</v>
      </c>
      <c r="U6" s="19">
        <f t="shared" si="8"/>
        <v>51</v>
      </c>
      <c r="V6" s="17">
        <f t="shared" si="9"/>
        <v>-4</v>
      </c>
      <c r="W6" s="56"/>
      <c r="X6" s="27" t="s">
        <v>37</v>
      </c>
      <c r="Y6" s="27">
        <v>0.0</v>
      </c>
      <c r="Z6" s="56"/>
      <c r="AA6" s="56"/>
      <c r="AB6" s="56"/>
      <c r="AC6" s="56"/>
      <c r="AD6" s="21" t="s">
        <v>43</v>
      </c>
      <c r="AE6" s="63" t="s">
        <v>37</v>
      </c>
      <c r="AF6" s="22">
        <v>8.0</v>
      </c>
      <c r="AG6" s="22">
        <v>4.0</v>
      </c>
      <c r="AH6" s="22">
        <v>0.0</v>
      </c>
      <c r="AI6" s="23">
        <v>2.0</v>
      </c>
      <c r="AJ6" s="22">
        <v>57.0</v>
      </c>
      <c r="AK6" s="23">
        <v>54.0</v>
      </c>
      <c r="AL6" s="22">
        <v>3.0</v>
      </c>
      <c r="AM6" s="56"/>
    </row>
    <row r="7" ht="15.75" customHeight="1">
      <c r="A7" s="24"/>
      <c r="B7" s="39">
        <v>45952.0</v>
      </c>
      <c r="C7" s="65" t="s">
        <v>97</v>
      </c>
      <c r="D7" s="64" t="s">
        <v>94</v>
      </c>
      <c r="E7" s="40" t="s">
        <v>57</v>
      </c>
      <c r="F7" s="40">
        <v>3.0</v>
      </c>
      <c r="G7" s="60" t="s">
        <v>24</v>
      </c>
      <c r="H7" s="40">
        <v>8.0</v>
      </c>
      <c r="I7" s="40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40</v>
      </c>
      <c r="P7" s="17">
        <f t="shared" si="3"/>
        <v>2</v>
      </c>
      <c r="Q7" s="17">
        <f t="shared" si="4"/>
        <v>1</v>
      </c>
      <c r="R7" s="17">
        <f t="shared" si="5"/>
        <v>0</v>
      </c>
      <c r="S7" s="19">
        <f t="shared" si="6"/>
        <v>4</v>
      </c>
      <c r="T7" s="17">
        <f t="shared" si="7"/>
        <v>44</v>
      </c>
      <c r="U7" s="19">
        <f t="shared" si="8"/>
        <v>50</v>
      </c>
      <c r="V7" s="17">
        <f t="shared" si="9"/>
        <v>-6</v>
      </c>
      <c r="W7" s="56"/>
      <c r="X7" s="36"/>
      <c r="Y7" s="56"/>
      <c r="Z7" s="56"/>
      <c r="AA7" s="56"/>
      <c r="AB7" s="56"/>
      <c r="AC7" s="56"/>
      <c r="AD7" s="21" t="s">
        <v>44</v>
      </c>
      <c r="AE7" s="63" t="s">
        <v>41</v>
      </c>
      <c r="AF7" s="22">
        <v>6.0</v>
      </c>
      <c r="AG7" s="22">
        <v>3.0</v>
      </c>
      <c r="AH7" s="22">
        <v>0.0</v>
      </c>
      <c r="AI7" s="23">
        <v>2.0</v>
      </c>
      <c r="AJ7" s="22">
        <v>46.0</v>
      </c>
      <c r="AK7" s="23">
        <v>37.0</v>
      </c>
      <c r="AL7" s="22">
        <v>9.0</v>
      </c>
      <c r="AM7" s="56"/>
    </row>
    <row r="8" ht="15.75" customHeight="1">
      <c r="A8" s="28"/>
      <c r="B8" s="39">
        <v>45952.0</v>
      </c>
      <c r="C8" s="12" t="s">
        <v>98</v>
      </c>
      <c r="D8" s="64" t="s">
        <v>94</v>
      </c>
      <c r="E8" s="40" t="s">
        <v>25</v>
      </c>
      <c r="F8" s="40">
        <v>5.0</v>
      </c>
      <c r="G8" s="60" t="s">
        <v>24</v>
      </c>
      <c r="H8" s="40">
        <v>3.0</v>
      </c>
      <c r="I8" s="40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1" t="s">
        <v>96</v>
      </c>
      <c r="P8" s="17">
        <f t="shared" si="3"/>
        <v>4</v>
      </c>
      <c r="Q8" s="17">
        <f t="shared" si="4"/>
        <v>2</v>
      </c>
      <c r="R8" s="17">
        <f t="shared" si="5"/>
        <v>0</v>
      </c>
      <c r="S8" s="19">
        <f t="shared" si="6"/>
        <v>4</v>
      </c>
      <c r="T8" s="17">
        <f t="shared" si="7"/>
        <v>53</v>
      </c>
      <c r="U8" s="19">
        <f t="shared" si="8"/>
        <v>49</v>
      </c>
      <c r="V8" s="17">
        <f t="shared" si="9"/>
        <v>4</v>
      </c>
      <c r="W8" s="56"/>
      <c r="X8" s="6" t="s">
        <v>46</v>
      </c>
      <c r="Y8" s="7"/>
      <c r="Z8" s="7"/>
      <c r="AA8" s="7"/>
      <c r="AB8" s="8"/>
      <c r="AC8" s="56"/>
      <c r="AD8" s="21" t="s">
        <v>47</v>
      </c>
      <c r="AE8" s="63" t="s">
        <v>57</v>
      </c>
      <c r="AF8" s="22">
        <v>6.0</v>
      </c>
      <c r="AG8" s="22">
        <v>3.0</v>
      </c>
      <c r="AH8" s="22">
        <v>0.0</v>
      </c>
      <c r="AI8" s="23">
        <v>3.0</v>
      </c>
      <c r="AJ8" s="22">
        <v>47.0</v>
      </c>
      <c r="AK8" s="23">
        <v>51.0</v>
      </c>
      <c r="AL8" s="22">
        <v>-4.0</v>
      </c>
      <c r="AM8" s="56"/>
    </row>
    <row r="9" ht="15.75" customHeight="1">
      <c r="A9" s="58">
        <v>2.0</v>
      </c>
      <c r="B9" s="39">
        <v>45952.0</v>
      </c>
      <c r="C9" s="12" t="s">
        <v>99</v>
      </c>
      <c r="D9" s="64" t="s">
        <v>94</v>
      </c>
      <c r="E9" s="40" t="s">
        <v>92</v>
      </c>
      <c r="F9" s="40">
        <v>4.0</v>
      </c>
      <c r="G9" s="60" t="s">
        <v>24</v>
      </c>
      <c r="H9" s="40">
        <v>9.0</v>
      </c>
      <c r="I9" s="40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33</v>
      </c>
      <c r="P9" s="17">
        <f t="shared" si="3"/>
        <v>10</v>
      </c>
      <c r="Q9" s="17">
        <f t="shared" si="4"/>
        <v>5</v>
      </c>
      <c r="R9" s="17">
        <f t="shared" si="5"/>
        <v>0</v>
      </c>
      <c r="S9" s="19">
        <f t="shared" si="6"/>
        <v>1</v>
      </c>
      <c r="T9" s="17">
        <f t="shared" si="7"/>
        <v>59</v>
      </c>
      <c r="U9" s="19">
        <f t="shared" si="8"/>
        <v>49</v>
      </c>
      <c r="V9" s="17">
        <f t="shared" si="9"/>
        <v>10</v>
      </c>
      <c r="W9" s="56"/>
      <c r="X9" s="62" t="s">
        <v>26</v>
      </c>
      <c r="Y9" s="62" t="s">
        <v>13</v>
      </c>
      <c r="Z9" s="62" t="s">
        <v>89</v>
      </c>
      <c r="AA9" s="62" t="s">
        <v>90</v>
      </c>
      <c r="AB9" s="62" t="s">
        <v>91</v>
      </c>
      <c r="AC9" s="56"/>
      <c r="AD9" s="47">
        <v>7.0</v>
      </c>
      <c r="AE9" s="63" t="s">
        <v>92</v>
      </c>
      <c r="AF9" s="22">
        <v>4.0</v>
      </c>
      <c r="AG9" s="22">
        <v>2.0</v>
      </c>
      <c r="AH9" s="22">
        <v>0.0</v>
      </c>
      <c r="AI9" s="23">
        <v>3.0</v>
      </c>
      <c r="AJ9" s="22">
        <v>43.0</v>
      </c>
      <c r="AK9" s="23">
        <v>39.0</v>
      </c>
      <c r="AL9" s="22">
        <v>4.0</v>
      </c>
      <c r="AM9" s="56"/>
    </row>
    <row r="10" ht="15.75" customHeight="1">
      <c r="A10" s="24"/>
      <c r="B10" s="39">
        <v>45952.0</v>
      </c>
      <c r="C10" s="65" t="s">
        <v>100</v>
      </c>
      <c r="D10" s="64" t="s">
        <v>94</v>
      </c>
      <c r="E10" s="40" t="s">
        <v>40</v>
      </c>
      <c r="F10" s="40">
        <v>5.0</v>
      </c>
      <c r="G10" s="60" t="s">
        <v>24</v>
      </c>
      <c r="H10" s="40">
        <v>8.0</v>
      </c>
      <c r="I10" s="40" t="s">
        <v>41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1" t="s">
        <v>60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5</v>
      </c>
      <c r="T10" s="17">
        <f t="shared" si="7"/>
        <v>49</v>
      </c>
      <c r="U10" s="19">
        <f t="shared" si="8"/>
        <v>57</v>
      </c>
      <c r="V10" s="17">
        <f t="shared" si="9"/>
        <v>-8</v>
      </c>
      <c r="W10" s="56"/>
      <c r="X10" s="66" t="s">
        <v>57</v>
      </c>
      <c r="Y10" s="66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56"/>
      <c r="AD10" s="47">
        <v>8.0</v>
      </c>
      <c r="AE10" s="63" t="s">
        <v>96</v>
      </c>
      <c r="AF10" s="22">
        <v>4.0</v>
      </c>
      <c r="AG10" s="22">
        <v>2.0</v>
      </c>
      <c r="AH10" s="22">
        <v>0.0</v>
      </c>
      <c r="AI10" s="23">
        <v>4.0</v>
      </c>
      <c r="AJ10" s="22">
        <v>53.0</v>
      </c>
      <c r="AK10" s="23">
        <v>49.0</v>
      </c>
      <c r="AL10" s="22">
        <v>4.0</v>
      </c>
      <c r="AM10" s="56"/>
    </row>
    <row r="11" ht="15.75" customHeight="1">
      <c r="A11" s="24"/>
      <c r="B11" s="39">
        <v>45952.0</v>
      </c>
      <c r="C11" s="65" t="s">
        <v>101</v>
      </c>
      <c r="D11" s="64" t="s">
        <v>94</v>
      </c>
      <c r="E11" s="40" t="s">
        <v>33</v>
      </c>
      <c r="F11" s="40">
        <v>13.0</v>
      </c>
      <c r="G11" s="60" t="s">
        <v>24</v>
      </c>
      <c r="H11" s="40">
        <v>15.0</v>
      </c>
      <c r="I11" s="40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1" t="s">
        <v>62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4</v>
      </c>
      <c r="T11" s="17">
        <f t="shared" si="7"/>
        <v>41</v>
      </c>
      <c r="U11" s="19">
        <f t="shared" si="8"/>
        <v>58</v>
      </c>
      <c r="V11" s="17">
        <f t="shared" si="9"/>
        <v>-17</v>
      </c>
      <c r="W11" s="56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56"/>
      <c r="AD11" s="67" t="s">
        <v>102</v>
      </c>
      <c r="AE11" s="68" t="s">
        <v>62</v>
      </c>
      <c r="AF11" s="44">
        <v>4.0</v>
      </c>
      <c r="AG11" s="44">
        <v>2.0</v>
      </c>
      <c r="AH11" s="44">
        <v>0.0</v>
      </c>
      <c r="AI11" s="45">
        <v>4.0</v>
      </c>
      <c r="AJ11" s="44">
        <v>41.0</v>
      </c>
      <c r="AK11" s="45">
        <v>58.0</v>
      </c>
      <c r="AL11" s="44">
        <v>-17.0</v>
      </c>
      <c r="AM11" s="56"/>
    </row>
    <row r="12" ht="15.75" customHeight="1">
      <c r="A12" s="24"/>
      <c r="B12" s="39">
        <v>45952.0</v>
      </c>
      <c r="C12" s="65" t="s">
        <v>103</v>
      </c>
      <c r="D12" s="64" t="s">
        <v>94</v>
      </c>
      <c r="E12" s="40" t="s">
        <v>62</v>
      </c>
      <c r="F12" s="40">
        <v>7.0</v>
      </c>
      <c r="G12" s="60" t="s">
        <v>24</v>
      </c>
      <c r="H12" s="40">
        <v>5.0</v>
      </c>
      <c r="I12" s="40" t="s">
        <v>60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69" t="s">
        <v>32</v>
      </c>
      <c r="P12" s="17">
        <f t="shared" si="3"/>
        <v>10</v>
      </c>
      <c r="Q12" s="17">
        <f t="shared" si="4"/>
        <v>5</v>
      </c>
      <c r="R12" s="17">
        <f t="shared" si="5"/>
        <v>0</v>
      </c>
      <c r="S12" s="19">
        <f t="shared" si="6"/>
        <v>0</v>
      </c>
      <c r="T12" s="17">
        <f t="shared" si="7"/>
        <v>63</v>
      </c>
      <c r="U12" s="19">
        <f t="shared" si="8"/>
        <v>48</v>
      </c>
      <c r="V12" s="17">
        <f t="shared" si="9"/>
        <v>15</v>
      </c>
      <c r="W12" s="56"/>
      <c r="X12" s="27" t="s">
        <v>92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56"/>
      <c r="AD12" s="70">
        <v>10.0</v>
      </c>
      <c r="AE12" s="63" t="s">
        <v>40</v>
      </c>
      <c r="AF12" s="22">
        <v>2.0</v>
      </c>
      <c r="AG12" s="22">
        <v>1.0</v>
      </c>
      <c r="AH12" s="22">
        <v>0.0</v>
      </c>
      <c r="AI12" s="23">
        <v>4.0</v>
      </c>
      <c r="AJ12" s="22">
        <v>44.0</v>
      </c>
      <c r="AK12" s="23">
        <v>50.0</v>
      </c>
      <c r="AL12" s="22">
        <v>-6.0</v>
      </c>
      <c r="AM12" s="56"/>
    </row>
    <row r="13" ht="15.75" customHeight="1">
      <c r="A13" s="24"/>
      <c r="B13" s="11">
        <v>45952.0</v>
      </c>
      <c r="C13" s="65" t="s">
        <v>104</v>
      </c>
      <c r="D13" s="64" t="s">
        <v>94</v>
      </c>
      <c r="E13" s="40" t="s">
        <v>37</v>
      </c>
      <c r="F13" s="40">
        <v>4.0</v>
      </c>
      <c r="G13" s="60" t="s">
        <v>24</v>
      </c>
      <c r="H13" s="40">
        <v>13.0</v>
      </c>
      <c r="I13" s="40" t="s">
        <v>96</v>
      </c>
      <c r="J13" s="4"/>
      <c r="K13" s="4">
        <f t="shared" si="1"/>
        <v>0</v>
      </c>
      <c r="L13" s="17">
        <f t="shared" si="2"/>
        <v>2</v>
      </c>
      <c r="M13" s="4"/>
      <c r="N13" s="71">
        <v>11.0</v>
      </c>
      <c r="O13" s="71" t="s">
        <v>37</v>
      </c>
      <c r="P13" s="17">
        <f t="shared" si="3"/>
        <v>8</v>
      </c>
      <c r="Q13" s="17">
        <f t="shared" si="4"/>
        <v>4</v>
      </c>
      <c r="R13" s="17">
        <f t="shared" si="5"/>
        <v>0</v>
      </c>
      <c r="S13" s="19">
        <f t="shared" si="6"/>
        <v>2</v>
      </c>
      <c r="T13" s="17">
        <f t="shared" si="7"/>
        <v>57</v>
      </c>
      <c r="U13" s="19">
        <f t="shared" si="8"/>
        <v>54</v>
      </c>
      <c r="V13" s="17">
        <f t="shared" si="9"/>
        <v>3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2" t="s">
        <v>60</v>
      </c>
      <c r="AF13" s="22">
        <v>2.0</v>
      </c>
      <c r="AG13" s="22">
        <v>1.0</v>
      </c>
      <c r="AH13" s="22">
        <v>0.0</v>
      </c>
      <c r="AI13" s="22">
        <v>5.0</v>
      </c>
      <c r="AJ13" s="22">
        <v>49.0</v>
      </c>
      <c r="AK13" s="22">
        <v>57.0</v>
      </c>
      <c r="AL13" s="22">
        <v>-8.0</v>
      </c>
      <c r="AM13" s="56"/>
    </row>
    <row r="14" ht="15.75" customHeight="1">
      <c r="A14" s="28"/>
      <c r="B14" s="11">
        <v>45952.0</v>
      </c>
      <c r="C14" s="65" t="s">
        <v>105</v>
      </c>
      <c r="D14" s="64" t="s">
        <v>94</v>
      </c>
      <c r="E14" s="40" t="s">
        <v>38</v>
      </c>
      <c r="F14" s="40">
        <v>9.0</v>
      </c>
      <c r="G14" s="60" t="s">
        <v>24</v>
      </c>
      <c r="H14" s="40">
        <v>10.0</v>
      </c>
      <c r="I14" s="40" t="s">
        <v>57</v>
      </c>
      <c r="J14" s="4"/>
      <c r="K14" s="4">
        <f t="shared" si="1"/>
        <v>0</v>
      </c>
      <c r="L14" s="17">
        <f t="shared" si="2"/>
        <v>2</v>
      </c>
      <c r="M14" s="4"/>
      <c r="N14" s="71">
        <v>12.0</v>
      </c>
      <c r="O14" s="71" t="s">
        <v>25</v>
      </c>
      <c r="P14" s="17">
        <f t="shared" si="3"/>
        <v>10</v>
      </c>
      <c r="Q14" s="17">
        <f t="shared" si="4"/>
        <v>5</v>
      </c>
      <c r="R14" s="17">
        <f t="shared" si="5"/>
        <v>0</v>
      </c>
      <c r="S14" s="19">
        <f t="shared" si="6"/>
        <v>1</v>
      </c>
      <c r="T14" s="17">
        <f t="shared" si="7"/>
        <v>45</v>
      </c>
      <c r="U14" s="19">
        <f t="shared" si="8"/>
        <v>37</v>
      </c>
      <c r="V14" s="17">
        <f t="shared" si="9"/>
        <v>8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2" t="s">
        <v>38</v>
      </c>
      <c r="AF14" s="22">
        <v>2.0</v>
      </c>
      <c r="AG14" s="22">
        <v>1.0</v>
      </c>
      <c r="AH14" s="22">
        <v>0.0</v>
      </c>
      <c r="AI14" s="22">
        <v>5.0</v>
      </c>
      <c r="AJ14" s="22">
        <v>41.0</v>
      </c>
      <c r="AK14" s="22">
        <v>59.0</v>
      </c>
      <c r="AL14" s="22">
        <v>-18.0</v>
      </c>
      <c r="AM14" s="56"/>
    </row>
    <row r="15" ht="15.75" customHeight="1">
      <c r="A15" s="58">
        <v>3.0</v>
      </c>
      <c r="B15" s="11">
        <v>46008.0</v>
      </c>
      <c r="C15" s="12" t="s">
        <v>106</v>
      </c>
      <c r="D15" s="64" t="s">
        <v>94</v>
      </c>
      <c r="E15" s="40" t="s">
        <v>92</v>
      </c>
      <c r="F15" s="40">
        <v>13.0</v>
      </c>
      <c r="G15" s="60" t="s">
        <v>24</v>
      </c>
      <c r="H15" s="40">
        <v>3.0</v>
      </c>
      <c r="I15" s="40" t="s">
        <v>40</v>
      </c>
      <c r="J15" s="4"/>
      <c r="K15" s="4">
        <f t="shared" si="1"/>
        <v>2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107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4"/>
      <c r="B16" s="11">
        <v>46008.0</v>
      </c>
      <c r="C16" s="59" t="s">
        <v>51</v>
      </c>
      <c r="D16" s="64" t="s">
        <v>94</v>
      </c>
      <c r="E16" s="40" t="s">
        <v>41</v>
      </c>
      <c r="F16" s="40">
        <v>8.0</v>
      </c>
      <c r="G16" s="60" t="s">
        <v>24</v>
      </c>
      <c r="H16" s="40">
        <v>10.0</v>
      </c>
      <c r="I16" s="40" t="s">
        <v>33</v>
      </c>
      <c r="J16" s="4"/>
      <c r="K16" s="4">
        <f t="shared" si="1"/>
        <v>0</v>
      </c>
      <c r="L16" s="17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108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4"/>
      <c r="B17" s="11">
        <v>46008.0</v>
      </c>
      <c r="C17" s="59" t="s">
        <v>109</v>
      </c>
      <c r="D17" s="64" t="s">
        <v>94</v>
      </c>
      <c r="E17" s="40" t="s">
        <v>32</v>
      </c>
      <c r="F17" s="40">
        <v>12.0</v>
      </c>
      <c r="G17" s="60" t="s">
        <v>24</v>
      </c>
      <c r="H17" s="40">
        <v>8.0</v>
      </c>
      <c r="I17" s="40" t="s">
        <v>62</v>
      </c>
      <c r="J17" s="4"/>
      <c r="K17" s="4">
        <f t="shared" si="1"/>
        <v>2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4"/>
      <c r="B18" s="11">
        <v>46008.0</v>
      </c>
      <c r="C18" s="59" t="s">
        <v>93</v>
      </c>
      <c r="D18" s="64" t="s">
        <v>94</v>
      </c>
      <c r="E18" s="40" t="s">
        <v>60</v>
      </c>
      <c r="F18" s="40">
        <v>10.0</v>
      </c>
      <c r="G18" s="60" t="s">
        <v>24</v>
      </c>
      <c r="H18" s="40">
        <v>12.0</v>
      </c>
      <c r="I18" s="40" t="s">
        <v>37</v>
      </c>
      <c r="J18" s="37"/>
      <c r="K18" s="4">
        <f t="shared" si="1"/>
        <v>0</v>
      </c>
      <c r="L18" s="17">
        <f t="shared" si="2"/>
        <v>2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4"/>
      <c r="B19" s="11">
        <v>46008.0</v>
      </c>
      <c r="C19" s="12" t="s">
        <v>95</v>
      </c>
      <c r="D19" s="64" t="s">
        <v>94</v>
      </c>
      <c r="E19" s="40" t="s">
        <v>96</v>
      </c>
      <c r="F19" s="40">
        <v>8.0</v>
      </c>
      <c r="G19" s="60" t="s">
        <v>24</v>
      </c>
      <c r="H19" s="40">
        <v>10.0</v>
      </c>
      <c r="I19" s="40" t="s">
        <v>38</v>
      </c>
      <c r="J19" s="4"/>
      <c r="K19" s="4">
        <f t="shared" si="1"/>
        <v>0</v>
      </c>
      <c r="L19" s="17">
        <f t="shared" si="2"/>
        <v>2</v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11">
        <v>46008.0</v>
      </c>
      <c r="C20" s="65" t="s">
        <v>97</v>
      </c>
      <c r="D20" s="64" t="s">
        <v>94</v>
      </c>
      <c r="E20" s="40" t="s">
        <v>25</v>
      </c>
      <c r="F20" s="40">
        <v>7.0</v>
      </c>
      <c r="G20" s="60" t="s">
        <v>24</v>
      </c>
      <c r="H20" s="40">
        <v>6.0</v>
      </c>
      <c r="I20" s="40" t="s">
        <v>57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11">
        <v>46008.0</v>
      </c>
      <c r="C21" s="12" t="s">
        <v>98</v>
      </c>
      <c r="D21" s="64" t="s">
        <v>94</v>
      </c>
      <c r="E21" s="40" t="s">
        <v>40</v>
      </c>
      <c r="F21" s="40">
        <v>12.0</v>
      </c>
      <c r="G21" s="60" t="s">
        <v>24</v>
      </c>
      <c r="H21" s="40">
        <v>13.0</v>
      </c>
      <c r="I21" s="40" t="s">
        <v>25</v>
      </c>
      <c r="J21" s="4"/>
      <c r="K21" s="4">
        <f t="shared" si="1"/>
        <v>0</v>
      </c>
      <c r="L21" s="17">
        <f t="shared" si="2"/>
        <v>2</v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4"/>
      <c r="B22" s="11">
        <v>46008.0</v>
      </c>
      <c r="C22" s="12" t="s">
        <v>99</v>
      </c>
      <c r="D22" s="64" t="s">
        <v>94</v>
      </c>
      <c r="E22" s="40" t="s">
        <v>33</v>
      </c>
      <c r="F22" s="40">
        <v>11.0</v>
      </c>
      <c r="G22" s="60" t="s">
        <v>24</v>
      </c>
      <c r="H22" s="40">
        <v>10.0</v>
      </c>
      <c r="I22" s="40" t="s">
        <v>92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4"/>
      <c r="B23" s="11">
        <v>46008.0</v>
      </c>
      <c r="C23" s="65" t="s">
        <v>100</v>
      </c>
      <c r="D23" s="64" t="s">
        <v>94</v>
      </c>
      <c r="E23" s="40" t="s">
        <v>62</v>
      </c>
      <c r="F23" s="40">
        <v>8.0</v>
      </c>
      <c r="G23" s="60" t="s">
        <v>24</v>
      </c>
      <c r="H23" s="40">
        <v>13.0</v>
      </c>
      <c r="I23" s="40" t="s">
        <v>41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4"/>
      <c r="B24" s="11">
        <v>46008.0</v>
      </c>
      <c r="C24" s="65" t="s">
        <v>101</v>
      </c>
      <c r="D24" s="64" t="s">
        <v>94</v>
      </c>
      <c r="E24" s="40" t="s">
        <v>37</v>
      </c>
      <c r="F24" s="40">
        <v>10.0</v>
      </c>
      <c r="G24" s="60" t="s">
        <v>24</v>
      </c>
      <c r="H24" s="40">
        <v>12.0</v>
      </c>
      <c r="I24" s="40" t="s">
        <v>32</v>
      </c>
      <c r="J24" s="4"/>
      <c r="K24" s="4">
        <f t="shared" si="1"/>
        <v>0</v>
      </c>
      <c r="L24" s="17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4"/>
      <c r="B25" s="11">
        <v>46008.0</v>
      </c>
      <c r="C25" s="65" t="s">
        <v>103</v>
      </c>
      <c r="D25" s="64" t="s">
        <v>94</v>
      </c>
      <c r="E25" s="40" t="s">
        <v>38</v>
      </c>
      <c r="F25" s="40">
        <v>8.0</v>
      </c>
      <c r="G25" s="60" t="s">
        <v>24</v>
      </c>
      <c r="H25" s="40">
        <v>17.0</v>
      </c>
      <c r="I25" s="40" t="s">
        <v>60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11">
        <v>46008.0</v>
      </c>
      <c r="C26" s="65" t="s">
        <v>104</v>
      </c>
      <c r="D26" s="64" t="s">
        <v>94</v>
      </c>
      <c r="E26" s="40" t="s">
        <v>57</v>
      </c>
      <c r="F26" s="40">
        <v>11.0</v>
      </c>
      <c r="G26" s="60" t="s">
        <v>24</v>
      </c>
      <c r="H26" s="40">
        <v>10.0</v>
      </c>
      <c r="I26" s="40" t="s">
        <v>96</v>
      </c>
      <c r="J26" s="4"/>
      <c r="K26" s="4">
        <f t="shared" si="1"/>
        <v>2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75"/>
      <c r="C27" s="60"/>
      <c r="D27" s="76"/>
      <c r="E27" s="40" t="s">
        <v>40</v>
      </c>
      <c r="F27" s="40">
        <v>8.0</v>
      </c>
      <c r="G27" s="60" t="s">
        <v>24</v>
      </c>
      <c r="H27" s="40">
        <v>10.0</v>
      </c>
      <c r="I27" s="40" t="s">
        <v>33</v>
      </c>
      <c r="J27" s="4"/>
      <c r="K27" s="4">
        <f t="shared" si="1"/>
        <v>0</v>
      </c>
      <c r="L27" s="17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4"/>
      <c r="B28" s="75"/>
      <c r="C28" s="60"/>
      <c r="D28" s="76"/>
      <c r="E28" s="40" t="s">
        <v>92</v>
      </c>
      <c r="F28" s="40">
        <v>8.0</v>
      </c>
      <c r="G28" s="60" t="s">
        <v>24</v>
      </c>
      <c r="H28" s="40">
        <v>5.0</v>
      </c>
      <c r="I28" s="40" t="s">
        <v>62</v>
      </c>
      <c r="J28" s="4"/>
      <c r="K28" s="4">
        <f t="shared" si="1"/>
        <v>2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4"/>
      <c r="B29" s="75"/>
      <c r="C29" s="60"/>
      <c r="D29" s="76"/>
      <c r="E29" s="40" t="s">
        <v>41</v>
      </c>
      <c r="F29" s="40">
        <v>8.0</v>
      </c>
      <c r="G29" s="60" t="s">
        <v>24</v>
      </c>
      <c r="H29" s="40">
        <v>12.0</v>
      </c>
      <c r="I29" s="40" t="s">
        <v>37</v>
      </c>
      <c r="J29" s="4"/>
      <c r="K29" s="4">
        <f t="shared" si="1"/>
        <v>0</v>
      </c>
      <c r="L29" s="17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4"/>
      <c r="B30" s="75"/>
      <c r="C30" s="60"/>
      <c r="D30" s="76"/>
      <c r="E30" s="40" t="s">
        <v>32</v>
      </c>
      <c r="F30" s="40">
        <v>10.0</v>
      </c>
      <c r="G30" s="60" t="s">
        <v>24</v>
      </c>
      <c r="H30" s="40">
        <v>9.0</v>
      </c>
      <c r="I30" s="40" t="s">
        <v>38</v>
      </c>
      <c r="J30" s="4"/>
      <c r="K30" s="4">
        <f t="shared" si="1"/>
        <v>2</v>
      </c>
      <c r="L30" s="17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4"/>
      <c r="B31" s="75"/>
      <c r="C31" s="60"/>
      <c r="D31" s="76"/>
      <c r="E31" s="40" t="s">
        <v>60</v>
      </c>
      <c r="F31" s="40">
        <v>3.0</v>
      </c>
      <c r="G31" s="60" t="s">
        <v>24</v>
      </c>
      <c r="H31" s="40">
        <v>9.0</v>
      </c>
      <c r="I31" s="40" t="s">
        <v>57</v>
      </c>
      <c r="J31" s="4"/>
      <c r="K31" s="4">
        <f t="shared" si="1"/>
        <v>0</v>
      </c>
      <c r="L31" s="17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75"/>
      <c r="C32" s="60"/>
      <c r="D32" s="76"/>
      <c r="E32" s="40" t="s">
        <v>25</v>
      </c>
      <c r="F32" s="40">
        <v>9.0</v>
      </c>
      <c r="G32" s="60" t="s">
        <v>24</v>
      </c>
      <c r="H32" s="40">
        <v>8.0</v>
      </c>
      <c r="I32" s="40" t="s">
        <v>96</v>
      </c>
      <c r="J32" s="4"/>
      <c r="K32" s="4">
        <f t="shared" si="1"/>
        <v>2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75"/>
      <c r="C33" s="60"/>
      <c r="D33" s="60"/>
      <c r="E33" s="40" t="s">
        <v>33</v>
      </c>
      <c r="F33" s="40">
        <v>4.0</v>
      </c>
      <c r="G33" s="60" t="s">
        <v>24</v>
      </c>
      <c r="H33" s="40">
        <v>2.0</v>
      </c>
      <c r="I33" s="40" t="s">
        <v>25</v>
      </c>
      <c r="J33" s="4"/>
      <c r="K33" s="4">
        <f t="shared" si="1"/>
        <v>2</v>
      </c>
      <c r="L33" s="17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4"/>
      <c r="B34" s="75"/>
      <c r="C34" s="60"/>
      <c r="D34" s="60"/>
      <c r="E34" s="40" t="s">
        <v>62</v>
      </c>
      <c r="F34" s="40">
        <v>6.0</v>
      </c>
      <c r="G34" s="60" t="s">
        <v>24</v>
      </c>
      <c r="H34" s="40">
        <v>16.0</v>
      </c>
      <c r="I34" s="40" t="s">
        <v>40</v>
      </c>
      <c r="J34" s="4"/>
      <c r="K34" s="4">
        <f t="shared" si="1"/>
        <v>0</v>
      </c>
      <c r="L34" s="17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4"/>
      <c r="B35" s="75"/>
      <c r="C35" s="60"/>
      <c r="D35" s="60"/>
      <c r="E35" s="40" t="s">
        <v>37</v>
      </c>
      <c r="F35" s="40">
        <v>11.0</v>
      </c>
      <c r="G35" s="60" t="s">
        <v>24</v>
      </c>
      <c r="H35" s="40">
        <v>8.0</v>
      </c>
      <c r="I35" s="40" t="s">
        <v>92</v>
      </c>
      <c r="J35" s="4"/>
      <c r="K35" s="4">
        <f t="shared" si="1"/>
        <v>2</v>
      </c>
      <c r="L35" s="17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4"/>
      <c r="B36" s="75"/>
      <c r="C36" s="60"/>
      <c r="D36" s="60"/>
      <c r="E36" s="40" t="s">
        <v>38</v>
      </c>
      <c r="F36" s="40">
        <v>2.0</v>
      </c>
      <c r="G36" s="60" t="s">
        <v>24</v>
      </c>
      <c r="H36" s="40">
        <v>9.0</v>
      </c>
      <c r="I36" s="40" t="s">
        <v>41</v>
      </c>
      <c r="J36" s="4"/>
      <c r="K36" s="4">
        <f t="shared" si="1"/>
        <v>0</v>
      </c>
      <c r="L36" s="17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4"/>
      <c r="B37" s="75"/>
      <c r="C37" s="60"/>
      <c r="D37" s="60"/>
      <c r="E37" s="40" t="s">
        <v>57</v>
      </c>
      <c r="F37" s="40">
        <v>8.0</v>
      </c>
      <c r="G37" s="60" t="s">
        <v>24</v>
      </c>
      <c r="H37" s="40">
        <v>14.0</v>
      </c>
      <c r="I37" s="40" t="s">
        <v>32</v>
      </c>
      <c r="J37" s="4"/>
      <c r="K37" s="4">
        <f t="shared" si="1"/>
        <v>0</v>
      </c>
      <c r="L37" s="17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75"/>
      <c r="C38" s="60"/>
      <c r="D38" s="60"/>
      <c r="E38" s="40" t="s">
        <v>96</v>
      </c>
      <c r="F38" s="40">
        <v>10.0</v>
      </c>
      <c r="G38" s="60" t="s">
        <v>24</v>
      </c>
      <c r="H38" s="40">
        <v>8.0</v>
      </c>
      <c r="I38" s="40" t="s">
        <v>60</v>
      </c>
      <c r="J38" s="4"/>
      <c r="K38" s="4">
        <f t="shared" si="1"/>
        <v>2</v>
      </c>
      <c r="L38" s="17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75"/>
      <c r="C39" s="60"/>
      <c r="D39" s="60"/>
      <c r="E39" s="40" t="s">
        <v>33</v>
      </c>
      <c r="F39" s="60"/>
      <c r="G39" s="60" t="s">
        <v>24</v>
      </c>
      <c r="H39" s="60"/>
      <c r="I39" s="40" t="s">
        <v>62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4"/>
      <c r="B40" s="75"/>
      <c r="C40" s="60"/>
      <c r="D40" s="60"/>
      <c r="E40" s="40" t="s">
        <v>40</v>
      </c>
      <c r="F40" s="60"/>
      <c r="G40" s="60" t="s">
        <v>24</v>
      </c>
      <c r="H40" s="60"/>
      <c r="I40" s="40" t="s">
        <v>37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4"/>
      <c r="B41" s="75"/>
      <c r="C41" s="60"/>
      <c r="D41" s="60"/>
      <c r="E41" s="40" t="s">
        <v>92</v>
      </c>
      <c r="F41" s="60"/>
      <c r="G41" s="60" t="s">
        <v>24</v>
      </c>
      <c r="H41" s="60"/>
      <c r="I41" s="40" t="s">
        <v>38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4"/>
      <c r="B42" s="75"/>
      <c r="C42" s="60"/>
      <c r="D42" s="60"/>
      <c r="E42" s="40" t="s">
        <v>41</v>
      </c>
      <c r="F42" s="60"/>
      <c r="G42" s="60" t="s">
        <v>24</v>
      </c>
      <c r="H42" s="60"/>
      <c r="I42" s="40" t="s">
        <v>57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4"/>
      <c r="B43" s="75"/>
      <c r="C43" s="60"/>
      <c r="D43" s="60"/>
      <c r="E43" s="40" t="s">
        <v>32</v>
      </c>
      <c r="F43" s="60"/>
      <c r="G43" s="60" t="s">
        <v>24</v>
      </c>
      <c r="H43" s="60"/>
      <c r="I43" s="40" t="s">
        <v>96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75"/>
      <c r="C44" s="60"/>
      <c r="D44" s="60"/>
      <c r="E44" s="40" t="s">
        <v>25</v>
      </c>
      <c r="F44" s="60"/>
      <c r="G44" s="60" t="s">
        <v>24</v>
      </c>
      <c r="H44" s="60"/>
      <c r="I44" s="40" t="s">
        <v>60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75"/>
      <c r="C45" s="60"/>
      <c r="D45" s="60"/>
      <c r="E45" s="40" t="s">
        <v>62</v>
      </c>
      <c r="F45" s="60"/>
      <c r="G45" s="60" t="s">
        <v>24</v>
      </c>
      <c r="H45" s="60"/>
      <c r="I45" s="40" t="s">
        <v>25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4"/>
      <c r="B46" s="75"/>
      <c r="C46" s="60"/>
      <c r="D46" s="60"/>
      <c r="E46" s="40" t="s">
        <v>37</v>
      </c>
      <c r="F46" s="60"/>
      <c r="G46" s="60" t="s">
        <v>24</v>
      </c>
      <c r="H46" s="60"/>
      <c r="I46" s="40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4"/>
      <c r="B47" s="75"/>
      <c r="C47" s="60"/>
      <c r="D47" s="60"/>
      <c r="E47" s="40" t="s">
        <v>38</v>
      </c>
      <c r="F47" s="60"/>
      <c r="G47" s="60" t="s">
        <v>24</v>
      </c>
      <c r="H47" s="60"/>
      <c r="I47" s="40" t="s">
        <v>40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4"/>
      <c r="B48" s="75"/>
      <c r="C48" s="60"/>
      <c r="D48" s="60"/>
      <c r="E48" s="40" t="s">
        <v>57</v>
      </c>
      <c r="F48" s="60"/>
      <c r="G48" s="60" t="s">
        <v>24</v>
      </c>
      <c r="H48" s="60"/>
      <c r="I48" s="40" t="s">
        <v>92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4"/>
      <c r="B49" s="75"/>
      <c r="C49" s="60"/>
      <c r="D49" s="60"/>
      <c r="E49" s="40" t="s">
        <v>96</v>
      </c>
      <c r="F49" s="60"/>
      <c r="G49" s="60" t="s">
        <v>24</v>
      </c>
      <c r="H49" s="60"/>
      <c r="I49" s="40" t="s">
        <v>41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75"/>
      <c r="C50" s="60"/>
      <c r="D50" s="60"/>
      <c r="E50" s="40" t="s">
        <v>60</v>
      </c>
      <c r="F50" s="60"/>
      <c r="G50" s="60" t="s">
        <v>24</v>
      </c>
      <c r="H50" s="60"/>
      <c r="I50" s="40" t="s">
        <v>32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5"/>
      <c r="C51" s="60"/>
      <c r="D51" s="60"/>
      <c r="E51" s="40" t="s">
        <v>62</v>
      </c>
      <c r="F51" s="60"/>
      <c r="G51" s="60" t="s">
        <v>24</v>
      </c>
      <c r="H51" s="60"/>
      <c r="I51" s="40" t="s">
        <v>37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4"/>
      <c r="B52" s="75"/>
      <c r="C52" s="60"/>
      <c r="D52" s="60"/>
      <c r="E52" s="40" t="s">
        <v>33</v>
      </c>
      <c r="F52" s="60"/>
      <c r="G52" s="60" t="s">
        <v>24</v>
      </c>
      <c r="H52" s="60"/>
      <c r="I52" s="40" t="s">
        <v>38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4"/>
      <c r="B53" s="75"/>
      <c r="C53" s="60"/>
      <c r="D53" s="60"/>
      <c r="E53" s="40" t="s">
        <v>40</v>
      </c>
      <c r="F53" s="60"/>
      <c r="G53" s="60" t="s">
        <v>24</v>
      </c>
      <c r="H53" s="60"/>
      <c r="I53" s="40" t="s">
        <v>57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4"/>
      <c r="B54" s="75"/>
      <c r="C54" s="60"/>
      <c r="D54" s="60"/>
      <c r="E54" s="40" t="s">
        <v>92</v>
      </c>
      <c r="F54" s="60"/>
      <c r="G54" s="60" t="s">
        <v>24</v>
      </c>
      <c r="H54" s="60"/>
      <c r="I54" s="40" t="s">
        <v>96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4"/>
      <c r="B55" s="75"/>
      <c r="C55" s="60"/>
      <c r="D55" s="60"/>
      <c r="E55" s="40" t="s">
        <v>41</v>
      </c>
      <c r="F55" s="60"/>
      <c r="G55" s="60" t="s">
        <v>24</v>
      </c>
      <c r="H55" s="60"/>
      <c r="I55" s="40" t="s">
        <v>60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5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5"/>
      <c r="C57" s="60"/>
      <c r="D57" s="60"/>
      <c r="E57" s="40" t="s">
        <v>25</v>
      </c>
      <c r="F57" s="60"/>
      <c r="G57" s="60" t="s">
        <v>24</v>
      </c>
      <c r="H57" s="60"/>
      <c r="I57" s="40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4"/>
      <c r="B58" s="75"/>
      <c r="C58" s="60"/>
      <c r="D58" s="60"/>
      <c r="E58" s="40" t="s">
        <v>38</v>
      </c>
      <c r="F58" s="60"/>
      <c r="G58" s="60" t="s">
        <v>24</v>
      </c>
      <c r="H58" s="60"/>
      <c r="I58" s="40" t="s">
        <v>62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4"/>
      <c r="B59" s="75"/>
      <c r="C59" s="60"/>
      <c r="D59" s="60"/>
      <c r="E59" s="40" t="s">
        <v>57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4"/>
      <c r="B60" s="75"/>
      <c r="C60" s="60"/>
      <c r="D60" s="60"/>
      <c r="E60" s="40" t="s">
        <v>96</v>
      </c>
      <c r="F60" s="60"/>
      <c r="G60" s="60" t="s">
        <v>24</v>
      </c>
      <c r="H60" s="60"/>
      <c r="I60" s="40" t="s">
        <v>40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4"/>
      <c r="B61" s="75"/>
      <c r="C61" s="60"/>
      <c r="D61" s="60"/>
      <c r="E61" s="40" t="s">
        <v>60</v>
      </c>
      <c r="F61" s="60"/>
      <c r="G61" s="60" t="s">
        <v>24</v>
      </c>
      <c r="H61" s="60"/>
      <c r="I61" s="40" t="s">
        <v>92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5"/>
      <c r="C62" s="60"/>
      <c r="D62" s="60"/>
      <c r="E62" s="40" t="s">
        <v>32</v>
      </c>
      <c r="F62" s="60"/>
      <c r="G62" s="60" t="s">
        <v>24</v>
      </c>
      <c r="H62" s="60"/>
      <c r="I62" s="40" t="s">
        <v>41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5"/>
      <c r="C63" s="60"/>
      <c r="D63" s="60"/>
      <c r="E63" s="40" t="s">
        <v>37</v>
      </c>
      <c r="F63" s="60"/>
      <c r="G63" s="60" t="s">
        <v>24</v>
      </c>
      <c r="H63" s="60"/>
      <c r="I63" s="40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4"/>
      <c r="B64" s="75"/>
      <c r="C64" s="60"/>
      <c r="D64" s="60"/>
      <c r="E64" s="40" t="s">
        <v>62</v>
      </c>
      <c r="F64" s="60"/>
      <c r="G64" s="60" t="s">
        <v>24</v>
      </c>
      <c r="H64" s="60"/>
      <c r="I64" s="40" t="s">
        <v>57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4"/>
      <c r="B65" s="75"/>
      <c r="C65" s="60"/>
      <c r="D65" s="60"/>
      <c r="E65" s="40" t="s">
        <v>33</v>
      </c>
      <c r="F65" s="60"/>
      <c r="G65" s="60" t="s">
        <v>24</v>
      </c>
      <c r="H65" s="60"/>
      <c r="I65" s="40" t="s">
        <v>96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4"/>
      <c r="B66" s="75"/>
      <c r="C66" s="60"/>
      <c r="D66" s="60"/>
      <c r="E66" s="40" t="s">
        <v>40</v>
      </c>
      <c r="F66" s="60"/>
      <c r="G66" s="60" t="s">
        <v>24</v>
      </c>
      <c r="H66" s="60"/>
      <c r="I66" s="40" t="s">
        <v>60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4"/>
      <c r="B67" s="75"/>
      <c r="C67" s="60"/>
      <c r="D67" s="60"/>
      <c r="E67" s="40" t="s">
        <v>92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5"/>
      <c r="C68" s="60"/>
      <c r="D68" s="60"/>
      <c r="E68" s="40" t="s">
        <v>41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7"/>
      <c r="B69" s="78"/>
      <c r="C69" s="78"/>
      <c r="D69" s="78"/>
      <c r="E69" s="78"/>
      <c r="F69" s="78"/>
      <c r="G69" s="78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7"/>
      <c r="B70" s="78"/>
      <c r="C70" s="78"/>
      <c r="D70" s="78"/>
      <c r="E70" s="78"/>
      <c r="F70" s="78"/>
      <c r="G70" s="78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7"/>
      <c r="B71" s="78"/>
      <c r="C71" s="78"/>
      <c r="D71" s="78"/>
      <c r="E71" s="78"/>
      <c r="F71" s="78"/>
      <c r="G71" s="78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110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6"/>
    </row>
    <row r="74" ht="15.75" customHeight="1">
      <c r="A74" s="10">
        <v>1.0</v>
      </c>
      <c r="B74" s="39"/>
      <c r="C74" s="59"/>
      <c r="D74" s="59"/>
      <c r="E74" s="14" t="s">
        <v>31</v>
      </c>
      <c r="F74" s="76"/>
      <c r="G74" s="60" t="s">
        <v>24</v>
      </c>
      <c r="H74" s="76"/>
      <c r="I74" s="79" t="s">
        <v>111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1" t="s">
        <v>111</v>
      </c>
      <c r="P74" s="17">
        <f t="shared" ref="P74:P82" si="13">SUMIF(E$74:E$118,O74,K$74:K$118)+SUMIF(I$74:I$118,O74,L$74:L$118)</f>
        <v>8</v>
      </c>
      <c r="Q74" s="17">
        <f t="shared" ref="Q74:Q82" si="14">COUNTIFS(E$74:E$118,O74,K$74:K$118,2)+COUNTIFS(I$74:I$118,O74,L$74:L$118,2)</f>
        <v>4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52</v>
      </c>
      <c r="U74" s="19">
        <f t="shared" ref="U74:U82" si="18">SUMIF(E$74:E$118,O74,H$74:H$118)+SUMIF(I$74:I$118,O74,F$74:F$118)</f>
        <v>13</v>
      </c>
      <c r="V74" s="17">
        <f t="shared" ref="V74:V82" si="19">T74-U74</f>
        <v>39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Contabilidade</v>
      </c>
      <c r="AF74" s="22">
        <v>8.0</v>
      </c>
      <c r="AG74" s="22">
        <v>4.0</v>
      </c>
      <c r="AH74" s="23">
        <v>0.0</v>
      </c>
      <c r="AI74" s="23">
        <v>0.0</v>
      </c>
      <c r="AJ74" s="22">
        <v>52.0</v>
      </c>
      <c r="AK74" s="23">
        <v>13.0</v>
      </c>
      <c r="AL74" s="22">
        <v>39.0</v>
      </c>
      <c r="AM74" s="56"/>
    </row>
    <row r="75" ht="15.75" customHeight="1">
      <c r="A75" s="24"/>
      <c r="B75" s="39">
        <v>45952.0</v>
      </c>
      <c r="C75" s="59" t="s">
        <v>112</v>
      </c>
      <c r="D75" s="64" t="s">
        <v>94</v>
      </c>
      <c r="E75" s="14" t="s">
        <v>113</v>
      </c>
      <c r="F75" s="14">
        <v>0.0</v>
      </c>
      <c r="G75" s="60" t="s">
        <v>24</v>
      </c>
      <c r="H75" s="14">
        <v>9.0</v>
      </c>
      <c r="I75" s="79" t="s">
        <v>114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1" t="s">
        <v>31</v>
      </c>
      <c r="P75" s="17">
        <f t="shared" si="13"/>
        <v>6</v>
      </c>
      <c r="Q75" s="17">
        <f t="shared" si="14"/>
        <v>3</v>
      </c>
      <c r="R75" s="19">
        <f t="shared" si="15"/>
        <v>0</v>
      </c>
      <c r="S75" s="19">
        <f t="shared" si="16"/>
        <v>0</v>
      </c>
      <c r="T75" s="17">
        <f t="shared" si="17"/>
        <v>47</v>
      </c>
      <c r="U75" s="19">
        <f t="shared" si="18"/>
        <v>13</v>
      </c>
      <c r="V75" s="17">
        <f t="shared" si="19"/>
        <v>34</v>
      </c>
      <c r="W75" s="56"/>
      <c r="X75" s="56"/>
      <c r="Y75" s="56"/>
      <c r="Z75" s="56"/>
      <c r="AA75" s="56"/>
      <c r="AB75" s="56"/>
      <c r="AC75" s="56"/>
      <c r="AD75" s="67" t="s">
        <v>115</v>
      </c>
      <c r="AE75" s="63" t="s">
        <v>31</v>
      </c>
      <c r="AF75" s="22">
        <v>6.0</v>
      </c>
      <c r="AG75" s="22">
        <v>3.0</v>
      </c>
      <c r="AH75" s="23">
        <v>0.0</v>
      </c>
      <c r="AI75" s="23">
        <v>0.0</v>
      </c>
      <c r="AJ75" s="22">
        <v>47.0</v>
      </c>
      <c r="AK75" s="23">
        <v>13.0</v>
      </c>
      <c r="AL75" s="22">
        <v>34.0</v>
      </c>
      <c r="AM75" s="56"/>
    </row>
    <row r="76" ht="15.75" customHeight="1">
      <c r="A76" s="24"/>
      <c r="B76" s="39"/>
      <c r="C76" s="59"/>
      <c r="D76" s="59"/>
      <c r="E76" s="14" t="s">
        <v>59</v>
      </c>
      <c r="F76" s="76"/>
      <c r="G76" s="60" t="s">
        <v>24</v>
      </c>
      <c r="H76" s="76"/>
      <c r="I76" s="79" t="s">
        <v>116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1" t="s">
        <v>113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5</v>
      </c>
      <c r="T76" s="17">
        <f t="shared" si="17"/>
        <v>20</v>
      </c>
      <c r="U76" s="19">
        <f t="shared" si="18"/>
        <v>61</v>
      </c>
      <c r="V76" s="17">
        <f t="shared" si="19"/>
        <v>-41</v>
      </c>
      <c r="W76" s="56"/>
      <c r="X76" s="56"/>
      <c r="Y76" s="56"/>
      <c r="Z76" s="56"/>
      <c r="AA76" s="56"/>
      <c r="AB76" s="56"/>
      <c r="AC76" s="56"/>
      <c r="AD76" s="21">
        <v>3.0</v>
      </c>
      <c r="AE76" s="63" t="s">
        <v>117</v>
      </c>
      <c r="AF76" s="22">
        <v>6.0</v>
      </c>
      <c r="AG76" s="22">
        <v>3.0</v>
      </c>
      <c r="AH76" s="23">
        <v>0.0</v>
      </c>
      <c r="AI76" s="23">
        <v>1.0</v>
      </c>
      <c r="AJ76" s="22">
        <v>43.0</v>
      </c>
      <c r="AK76" s="23">
        <v>32.0</v>
      </c>
      <c r="AL76" s="22">
        <v>11.0</v>
      </c>
      <c r="AM76" s="56"/>
    </row>
    <row r="77" ht="15.75" customHeight="1">
      <c r="A77" s="24"/>
      <c r="B77" s="39">
        <v>45952.0</v>
      </c>
      <c r="C77" s="12" t="s">
        <v>106</v>
      </c>
      <c r="D77" s="64" t="s">
        <v>94</v>
      </c>
      <c r="E77" s="14" t="s">
        <v>118</v>
      </c>
      <c r="F77" s="14">
        <v>7.0</v>
      </c>
      <c r="G77" s="60" t="s">
        <v>24</v>
      </c>
      <c r="H77" s="14">
        <v>10.0</v>
      </c>
      <c r="I77" s="79" t="s">
        <v>117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1" t="s">
        <v>59</v>
      </c>
      <c r="P77" s="17">
        <f t="shared" si="13"/>
        <v>2</v>
      </c>
      <c r="Q77" s="17">
        <f t="shared" si="14"/>
        <v>1</v>
      </c>
      <c r="R77" s="19">
        <f t="shared" si="15"/>
        <v>0</v>
      </c>
      <c r="S77" s="19">
        <f t="shared" si="16"/>
        <v>3</v>
      </c>
      <c r="T77" s="17">
        <f t="shared" si="17"/>
        <v>20</v>
      </c>
      <c r="U77" s="19">
        <f t="shared" si="18"/>
        <v>45</v>
      </c>
      <c r="V77" s="17">
        <f t="shared" si="19"/>
        <v>-25</v>
      </c>
      <c r="W77" s="56"/>
      <c r="X77" s="56"/>
      <c r="Y77" s="56"/>
      <c r="Z77" s="56"/>
      <c r="AA77" s="56"/>
      <c r="AB77" s="56"/>
      <c r="AC77" s="56"/>
      <c r="AD77" s="21">
        <v>4.0</v>
      </c>
      <c r="AE77" s="63" t="s">
        <v>114</v>
      </c>
      <c r="AF77" s="22">
        <v>4.0</v>
      </c>
      <c r="AG77" s="22">
        <v>2.0</v>
      </c>
      <c r="AH77" s="23">
        <v>0.0</v>
      </c>
      <c r="AI77" s="23">
        <v>2.0</v>
      </c>
      <c r="AJ77" s="22">
        <v>41.0</v>
      </c>
      <c r="AK77" s="23">
        <v>29.0</v>
      </c>
      <c r="AL77" s="22">
        <v>12.0</v>
      </c>
      <c r="AM77" s="56"/>
    </row>
    <row r="78" ht="15.75" customHeight="1">
      <c r="A78" s="28"/>
      <c r="B78" s="80"/>
      <c r="C78" s="60"/>
      <c r="D78" s="60"/>
      <c r="E78" s="14" t="s">
        <v>55</v>
      </c>
      <c r="F78" s="76"/>
      <c r="G78" s="60" t="s">
        <v>24</v>
      </c>
      <c r="H78" s="76"/>
      <c r="I78" s="79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1" t="s">
        <v>118</v>
      </c>
      <c r="P78" s="17">
        <f t="shared" si="13"/>
        <v>2</v>
      </c>
      <c r="Q78" s="17">
        <f t="shared" si="14"/>
        <v>1</v>
      </c>
      <c r="R78" s="19">
        <f t="shared" si="15"/>
        <v>0</v>
      </c>
      <c r="S78" s="19">
        <f t="shared" si="16"/>
        <v>4</v>
      </c>
      <c r="T78" s="17">
        <f t="shared" si="17"/>
        <v>41</v>
      </c>
      <c r="U78" s="19">
        <f t="shared" si="18"/>
        <v>70</v>
      </c>
      <c r="V78" s="17">
        <f t="shared" si="19"/>
        <v>-29</v>
      </c>
      <c r="W78" s="56"/>
      <c r="X78" s="56"/>
      <c r="Y78" s="56"/>
      <c r="Z78" s="56"/>
      <c r="AA78" s="56"/>
      <c r="AB78" s="56"/>
      <c r="AC78" s="56"/>
      <c r="AD78" s="21">
        <v>5.0</v>
      </c>
      <c r="AE78" s="63" t="s">
        <v>116</v>
      </c>
      <c r="AF78" s="22">
        <v>4.0</v>
      </c>
      <c r="AG78" s="22">
        <v>2.0</v>
      </c>
      <c r="AH78" s="23">
        <v>0.0</v>
      </c>
      <c r="AI78" s="23">
        <v>1.0</v>
      </c>
      <c r="AJ78" s="22">
        <v>32.0</v>
      </c>
      <c r="AK78" s="23">
        <v>33.0</v>
      </c>
      <c r="AL78" s="22">
        <v>-1.0</v>
      </c>
      <c r="AM78" s="56"/>
    </row>
    <row r="79" ht="15.75" customHeight="1">
      <c r="A79" s="10">
        <v>2.0</v>
      </c>
      <c r="B79" s="39">
        <v>45952.0</v>
      </c>
      <c r="C79" s="59" t="s">
        <v>51</v>
      </c>
      <c r="D79" s="64" t="s">
        <v>94</v>
      </c>
      <c r="E79" s="14" t="s">
        <v>111</v>
      </c>
      <c r="F79" s="14">
        <v>7.0</v>
      </c>
      <c r="G79" s="60" t="s">
        <v>24</v>
      </c>
      <c r="H79" s="14">
        <v>2.0</v>
      </c>
      <c r="I79" s="79" t="s">
        <v>113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1" t="s">
        <v>55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2</v>
      </c>
      <c r="T79" s="17">
        <f t="shared" si="17"/>
        <v>22</v>
      </c>
      <c r="U79" s="19">
        <f t="shared" si="18"/>
        <v>23</v>
      </c>
      <c r="V79" s="17">
        <f t="shared" si="19"/>
        <v>-1</v>
      </c>
      <c r="W79" s="56"/>
      <c r="X79" s="56"/>
      <c r="Y79" s="56"/>
      <c r="Z79" s="56"/>
      <c r="AA79" s="56"/>
      <c r="AB79" s="56"/>
      <c r="AC79" s="56"/>
      <c r="AD79" s="21">
        <v>6.0</v>
      </c>
      <c r="AE79" s="63" t="s">
        <v>55</v>
      </c>
      <c r="AF79" s="22">
        <v>2.0</v>
      </c>
      <c r="AG79" s="22">
        <v>1.0</v>
      </c>
      <c r="AH79" s="23">
        <v>0.0</v>
      </c>
      <c r="AI79" s="23">
        <v>2.0</v>
      </c>
      <c r="AJ79" s="22">
        <v>22.0</v>
      </c>
      <c r="AK79" s="23">
        <v>23.0</v>
      </c>
      <c r="AL79" s="22">
        <v>-1.0</v>
      </c>
      <c r="AM79" s="56"/>
    </row>
    <row r="80" ht="15.75" customHeight="1">
      <c r="A80" s="24"/>
      <c r="B80" s="81"/>
      <c r="C80" s="82"/>
      <c r="D80" s="82"/>
      <c r="E80" s="14">
        <v>0.0</v>
      </c>
      <c r="F80" s="76"/>
      <c r="G80" s="60" t="s">
        <v>24</v>
      </c>
      <c r="H80" s="76"/>
      <c r="I80" s="79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1" t="s">
        <v>117</v>
      </c>
      <c r="P80" s="17">
        <f t="shared" si="13"/>
        <v>6</v>
      </c>
      <c r="Q80" s="17">
        <f t="shared" si="14"/>
        <v>3</v>
      </c>
      <c r="R80" s="19">
        <f t="shared" si="15"/>
        <v>0</v>
      </c>
      <c r="S80" s="19">
        <f t="shared" si="16"/>
        <v>1</v>
      </c>
      <c r="T80" s="17">
        <f t="shared" si="17"/>
        <v>43</v>
      </c>
      <c r="U80" s="19">
        <f t="shared" si="18"/>
        <v>32</v>
      </c>
      <c r="V80" s="17">
        <f t="shared" si="19"/>
        <v>11</v>
      </c>
      <c r="W80" s="56"/>
      <c r="X80" s="56"/>
      <c r="Y80" s="56"/>
      <c r="Z80" s="56"/>
      <c r="AA80" s="56"/>
      <c r="AB80" s="56"/>
      <c r="AC80" s="56"/>
      <c r="AD80" s="21">
        <v>7.0</v>
      </c>
      <c r="AE80" s="63" t="s">
        <v>59</v>
      </c>
      <c r="AF80" s="22">
        <v>2.0</v>
      </c>
      <c r="AG80" s="22">
        <v>1.0</v>
      </c>
      <c r="AH80" s="23">
        <v>0.0</v>
      </c>
      <c r="AI80" s="23">
        <v>3.0</v>
      </c>
      <c r="AJ80" s="22">
        <v>20.0</v>
      </c>
      <c r="AK80" s="23">
        <v>45.0</v>
      </c>
      <c r="AL80" s="22">
        <v>-25.0</v>
      </c>
      <c r="AM80" s="56"/>
    </row>
    <row r="81" ht="15.75" customHeight="1">
      <c r="A81" s="24"/>
      <c r="B81" s="39">
        <v>45952.0</v>
      </c>
      <c r="C81" s="59" t="s">
        <v>109</v>
      </c>
      <c r="D81" s="64" t="s">
        <v>94</v>
      </c>
      <c r="E81" s="79" t="s">
        <v>114</v>
      </c>
      <c r="F81" s="14">
        <v>16.0</v>
      </c>
      <c r="G81" s="60" t="s">
        <v>24</v>
      </c>
      <c r="H81" s="14">
        <v>5.0</v>
      </c>
      <c r="I81" s="79" t="s">
        <v>59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1" t="s">
        <v>116</v>
      </c>
      <c r="P81" s="17">
        <f t="shared" si="13"/>
        <v>4</v>
      </c>
      <c r="Q81" s="17">
        <f t="shared" si="14"/>
        <v>2</v>
      </c>
      <c r="R81" s="19">
        <f t="shared" si="15"/>
        <v>0</v>
      </c>
      <c r="S81" s="19">
        <f t="shared" si="16"/>
        <v>1</v>
      </c>
      <c r="T81" s="17">
        <f t="shared" si="17"/>
        <v>32</v>
      </c>
      <c r="U81" s="19">
        <f t="shared" si="18"/>
        <v>33</v>
      </c>
      <c r="V81" s="17">
        <f t="shared" si="19"/>
        <v>-1</v>
      </c>
      <c r="W81" s="56"/>
      <c r="X81" s="56"/>
      <c r="Y81" s="56"/>
      <c r="Z81" s="56"/>
      <c r="AA81" s="56"/>
      <c r="AB81" s="56"/>
      <c r="AC81" s="56"/>
      <c r="AD81" s="21">
        <v>8.0</v>
      </c>
      <c r="AE81" s="63" t="s">
        <v>118</v>
      </c>
      <c r="AF81" s="22">
        <v>2.0</v>
      </c>
      <c r="AG81" s="22">
        <v>1.0</v>
      </c>
      <c r="AH81" s="23">
        <v>0.0</v>
      </c>
      <c r="AI81" s="23">
        <v>4.0</v>
      </c>
      <c r="AJ81" s="22">
        <v>41.0</v>
      </c>
      <c r="AK81" s="23">
        <v>70.0</v>
      </c>
      <c r="AL81" s="22">
        <v>-29.0</v>
      </c>
      <c r="AM81" s="56"/>
    </row>
    <row r="82" ht="15.75" customHeight="1">
      <c r="A82" s="24"/>
      <c r="B82" s="11">
        <v>45952.0</v>
      </c>
      <c r="C82" s="59" t="s">
        <v>93</v>
      </c>
      <c r="D82" s="64" t="s">
        <v>94</v>
      </c>
      <c r="E82" s="14" t="s">
        <v>116</v>
      </c>
      <c r="F82" s="14">
        <v>16.0</v>
      </c>
      <c r="G82" s="60" t="s">
        <v>24</v>
      </c>
      <c r="H82" s="14">
        <v>14.0</v>
      </c>
      <c r="I82" s="79" t="s">
        <v>118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1" t="s">
        <v>114</v>
      </c>
      <c r="P82" s="17">
        <f t="shared" si="13"/>
        <v>4</v>
      </c>
      <c r="Q82" s="17">
        <f t="shared" si="14"/>
        <v>2</v>
      </c>
      <c r="R82" s="19">
        <f t="shared" si="15"/>
        <v>0</v>
      </c>
      <c r="S82" s="19">
        <f t="shared" si="16"/>
        <v>2</v>
      </c>
      <c r="T82" s="17">
        <f t="shared" si="17"/>
        <v>41</v>
      </c>
      <c r="U82" s="19">
        <f t="shared" si="18"/>
        <v>29</v>
      </c>
      <c r="V82" s="17">
        <f t="shared" si="19"/>
        <v>12</v>
      </c>
      <c r="W82" s="56"/>
      <c r="X82" s="56"/>
      <c r="Y82" s="56"/>
      <c r="Z82" s="56"/>
      <c r="AA82" s="56"/>
      <c r="AB82" s="56"/>
      <c r="AC82" s="56"/>
      <c r="AD82" s="21">
        <v>9.0</v>
      </c>
      <c r="AE82" s="27" t="s">
        <v>113</v>
      </c>
      <c r="AF82" s="22">
        <v>0.0</v>
      </c>
      <c r="AG82" s="22">
        <v>0.0</v>
      </c>
      <c r="AH82" s="22">
        <v>0.0</v>
      </c>
      <c r="AI82" s="22">
        <v>5.0</v>
      </c>
      <c r="AJ82" s="22">
        <v>20.0</v>
      </c>
      <c r="AK82" s="22">
        <v>61.0</v>
      </c>
      <c r="AL82" s="22">
        <v>-41.0</v>
      </c>
      <c r="AM82" s="56"/>
    </row>
    <row r="83" ht="15.75" customHeight="1">
      <c r="A83" s="28"/>
      <c r="B83" s="11">
        <v>45952.0</v>
      </c>
      <c r="C83" s="12" t="s">
        <v>95</v>
      </c>
      <c r="D83" s="64" t="s">
        <v>94</v>
      </c>
      <c r="E83" s="14" t="s">
        <v>117</v>
      </c>
      <c r="F83" s="14">
        <v>6.0</v>
      </c>
      <c r="G83" s="60" t="s">
        <v>24</v>
      </c>
      <c r="H83" s="14">
        <v>8.0</v>
      </c>
      <c r="I83" s="79" t="s">
        <v>55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56"/>
      <c r="X83" s="56"/>
      <c r="Y83" s="56"/>
      <c r="Z83" s="56"/>
      <c r="AA83" s="56"/>
      <c r="AB83" s="56"/>
      <c r="AC83" s="56"/>
      <c r="AD83" s="34" t="s">
        <v>119</v>
      </c>
      <c r="AG83" s="83"/>
      <c r="AH83" s="83"/>
      <c r="AI83" s="83"/>
      <c r="AJ83" s="83"/>
      <c r="AK83" s="83"/>
      <c r="AL83" s="83"/>
      <c r="AM83" s="56"/>
    </row>
    <row r="84" ht="15.75" customHeight="1">
      <c r="A84" s="10">
        <v>3.0</v>
      </c>
      <c r="B84" s="11">
        <v>46008.0</v>
      </c>
      <c r="C84" s="59" t="s">
        <v>99</v>
      </c>
      <c r="D84" s="64" t="s">
        <v>94</v>
      </c>
      <c r="E84" s="14" t="s">
        <v>59</v>
      </c>
      <c r="F84" s="14">
        <v>4.0</v>
      </c>
      <c r="G84" s="60" t="s">
        <v>24</v>
      </c>
      <c r="H84" s="14">
        <v>15.0</v>
      </c>
      <c r="I84" s="79" t="s">
        <v>111</v>
      </c>
      <c r="J84" s="4"/>
      <c r="K84" s="4">
        <f t="shared" si="11"/>
        <v>0</v>
      </c>
      <c r="L84" s="17">
        <f t="shared" si="12"/>
        <v>2</v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108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4"/>
      <c r="B85" s="11">
        <v>46008.0</v>
      </c>
      <c r="C85" s="59" t="s">
        <v>100</v>
      </c>
      <c r="D85" s="64" t="s">
        <v>94</v>
      </c>
      <c r="E85" s="14" t="s">
        <v>113</v>
      </c>
      <c r="F85" s="14">
        <v>2.0</v>
      </c>
      <c r="G85" s="60" t="s">
        <v>24</v>
      </c>
      <c r="H85" s="14">
        <v>21.0</v>
      </c>
      <c r="I85" s="79" t="s">
        <v>31</v>
      </c>
      <c r="J85" s="4"/>
      <c r="K85" s="4">
        <f t="shared" si="11"/>
        <v>0</v>
      </c>
      <c r="L85" s="17">
        <f t="shared" si="12"/>
        <v>2</v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4"/>
      <c r="B86" s="11">
        <v>46008.0</v>
      </c>
      <c r="C86" s="59" t="s">
        <v>103</v>
      </c>
      <c r="D86" s="64" t="s">
        <v>94</v>
      </c>
      <c r="E86" s="14" t="s">
        <v>118</v>
      </c>
      <c r="F86" s="14">
        <v>9.0</v>
      </c>
      <c r="G86" s="60" t="s">
        <v>24</v>
      </c>
      <c r="H86" s="14">
        <v>7.0</v>
      </c>
      <c r="I86" s="79" t="s">
        <v>114</v>
      </c>
      <c r="J86" s="4"/>
      <c r="K86" s="4">
        <f t="shared" si="11"/>
        <v>2</v>
      </c>
      <c r="L86" s="17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4"/>
      <c r="B87" s="11">
        <v>46008.0</v>
      </c>
      <c r="C87" s="59" t="s">
        <v>101</v>
      </c>
      <c r="D87" s="64" t="s">
        <v>94</v>
      </c>
      <c r="E87" s="14" t="s">
        <v>55</v>
      </c>
      <c r="F87" s="14">
        <v>7.0</v>
      </c>
      <c r="G87" s="60" t="s">
        <v>24</v>
      </c>
      <c r="H87" s="14">
        <v>8.0</v>
      </c>
      <c r="I87" s="79" t="s">
        <v>116</v>
      </c>
      <c r="J87" s="4"/>
      <c r="K87" s="4">
        <f t="shared" si="11"/>
        <v>0</v>
      </c>
      <c r="L87" s="17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5"/>
      <c r="C88" s="60"/>
      <c r="D88" s="60"/>
      <c r="E88" s="14">
        <v>0.0</v>
      </c>
      <c r="F88" s="76"/>
      <c r="G88" s="60" t="s">
        <v>24</v>
      </c>
      <c r="H88" s="76"/>
      <c r="I88" s="79" t="s">
        <v>117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75"/>
      <c r="C89" s="60"/>
      <c r="D89" s="60"/>
      <c r="E89" s="14" t="s">
        <v>111</v>
      </c>
      <c r="F89" s="14">
        <v>21.0</v>
      </c>
      <c r="G89" s="60" t="s">
        <v>24</v>
      </c>
      <c r="H89" s="14">
        <v>0.0</v>
      </c>
      <c r="I89" s="79" t="s">
        <v>118</v>
      </c>
      <c r="J89" s="37"/>
      <c r="K89" s="4">
        <f t="shared" si="11"/>
        <v>2</v>
      </c>
      <c r="L89" s="17">
        <f t="shared" si="12"/>
        <v>0</v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4"/>
      <c r="B90" s="75"/>
      <c r="C90" s="60"/>
      <c r="D90" s="60"/>
      <c r="E90" s="14" t="s">
        <v>31</v>
      </c>
      <c r="F90" s="14">
        <v>10.0</v>
      </c>
      <c r="G90" s="60" t="s">
        <v>24</v>
      </c>
      <c r="H90" s="14">
        <v>0.0</v>
      </c>
      <c r="I90" s="79" t="s">
        <v>59</v>
      </c>
      <c r="J90" s="4"/>
      <c r="K90" s="4">
        <f t="shared" si="11"/>
        <v>2</v>
      </c>
      <c r="L90" s="17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4"/>
      <c r="B91" s="75"/>
      <c r="C91" s="60"/>
      <c r="D91" s="60"/>
      <c r="E91" s="14" t="s">
        <v>113</v>
      </c>
      <c r="F91" s="14">
        <v>12.0</v>
      </c>
      <c r="G91" s="60" t="s">
        <v>24</v>
      </c>
      <c r="H91" s="14">
        <v>13.0</v>
      </c>
      <c r="I91" s="79">
        <v>0.0</v>
      </c>
      <c r="J91" s="4"/>
      <c r="K91" s="4">
        <f t="shared" si="11"/>
        <v>0</v>
      </c>
      <c r="L91" s="17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4"/>
      <c r="B92" s="75"/>
      <c r="C92" s="60"/>
      <c r="D92" s="60"/>
      <c r="E92" s="79" t="s">
        <v>114</v>
      </c>
      <c r="F92" s="76"/>
      <c r="G92" s="60" t="s">
        <v>24</v>
      </c>
      <c r="H92" s="76"/>
      <c r="I92" s="79" t="s">
        <v>55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75"/>
      <c r="C93" s="60"/>
      <c r="D93" s="60"/>
      <c r="E93" s="14" t="s">
        <v>116</v>
      </c>
      <c r="F93" s="14">
        <v>8.0</v>
      </c>
      <c r="G93" s="60" t="s">
        <v>24</v>
      </c>
      <c r="H93" s="14">
        <v>12.0</v>
      </c>
      <c r="I93" s="79" t="s">
        <v>117</v>
      </c>
      <c r="J93" s="4"/>
      <c r="K93" s="4">
        <f t="shared" si="11"/>
        <v>0</v>
      </c>
      <c r="L93" s="17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75"/>
      <c r="C94" s="60"/>
      <c r="D94" s="76"/>
      <c r="E94" s="14" t="s">
        <v>55</v>
      </c>
      <c r="F94" s="14">
        <v>7.0</v>
      </c>
      <c r="G94" s="60" t="s">
        <v>24</v>
      </c>
      <c r="H94" s="14">
        <v>9.0</v>
      </c>
      <c r="I94" s="79" t="s">
        <v>111</v>
      </c>
      <c r="J94" s="4"/>
      <c r="K94" s="4">
        <f t="shared" si="11"/>
        <v>0</v>
      </c>
      <c r="L94" s="17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4"/>
      <c r="B95" s="75"/>
      <c r="C95" s="60"/>
      <c r="D95" s="76"/>
      <c r="E95" s="14" t="s">
        <v>118</v>
      </c>
      <c r="F95" s="14">
        <v>11.0</v>
      </c>
      <c r="G95" s="60" t="s">
        <v>24</v>
      </c>
      <c r="H95" s="14">
        <v>16.0</v>
      </c>
      <c r="I95" s="79" t="s">
        <v>31</v>
      </c>
      <c r="J95" s="4"/>
      <c r="K95" s="4">
        <f t="shared" si="11"/>
        <v>0</v>
      </c>
      <c r="L95" s="17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4"/>
      <c r="B96" s="75"/>
      <c r="C96" s="60"/>
      <c r="D96" s="76"/>
      <c r="E96" s="14" t="s">
        <v>59</v>
      </c>
      <c r="F96" s="14">
        <v>11.0</v>
      </c>
      <c r="G96" s="60" t="s">
        <v>24</v>
      </c>
      <c r="H96" s="14">
        <v>4.0</v>
      </c>
      <c r="I96" s="79" t="s">
        <v>113</v>
      </c>
      <c r="J96" s="4"/>
      <c r="K96" s="4">
        <f t="shared" si="11"/>
        <v>2</v>
      </c>
      <c r="L96" s="17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4"/>
      <c r="B97" s="75"/>
      <c r="C97" s="60"/>
      <c r="D97" s="76"/>
      <c r="E97" s="14" t="s">
        <v>117</v>
      </c>
      <c r="F97" s="14">
        <v>15.0</v>
      </c>
      <c r="G97" s="60" t="s">
        <v>24</v>
      </c>
      <c r="H97" s="14">
        <v>9.0</v>
      </c>
      <c r="I97" s="79" t="s">
        <v>114</v>
      </c>
      <c r="J97" s="4"/>
      <c r="K97" s="4">
        <f t="shared" si="11"/>
        <v>2</v>
      </c>
      <c r="L97" s="17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5"/>
      <c r="C98" s="60"/>
      <c r="D98" s="76"/>
      <c r="E98" s="14">
        <v>0.0</v>
      </c>
      <c r="F98" s="76"/>
      <c r="G98" s="60" t="s">
        <v>24</v>
      </c>
      <c r="H98" s="76"/>
      <c r="I98" s="79" t="s">
        <v>116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5"/>
      <c r="C99" s="60"/>
      <c r="D99" s="76"/>
      <c r="E99" s="14" t="s">
        <v>111</v>
      </c>
      <c r="F99" s="76"/>
      <c r="G99" s="60" t="s">
        <v>24</v>
      </c>
      <c r="H99" s="76"/>
      <c r="I99" s="79" t="s">
        <v>117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4"/>
      <c r="B100" s="75"/>
      <c r="C100" s="60"/>
      <c r="D100" s="76"/>
      <c r="E100" s="14" t="s">
        <v>31</v>
      </c>
      <c r="F100" s="76"/>
      <c r="G100" s="60" t="s">
        <v>24</v>
      </c>
      <c r="H100" s="76"/>
      <c r="I100" s="79" t="s">
        <v>55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4"/>
      <c r="B101" s="75"/>
      <c r="C101" s="60"/>
      <c r="D101" s="76"/>
      <c r="E101" s="14" t="s">
        <v>113</v>
      </c>
      <c r="F101" s="76"/>
      <c r="G101" s="60" t="s">
        <v>24</v>
      </c>
      <c r="H101" s="76"/>
      <c r="I101" s="79" t="s">
        <v>118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4"/>
      <c r="B102" s="75"/>
      <c r="C102" s="60"/>
      <c r="D102" s="76"/>
      <c r="E102" s="14" t="s">
        <v>59</v>
      </c>
      <c r="F102" s="76"/>
      <c r="G102" s="60" t="s">
        <v>24</v>
      </c>
      <c r="H102" s="76"/>
      <c r="I102" s="79">
        <v>0.0</v>
      </c>
      <c r="J102" s="56"/>
      <c r="K102" s="4" t="str">
        <f t="shared" si="11"/>
        <v/>
      </c>
      <c r="L102" s="17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75"/>
      <c r="C103" s="60"/>
      <c r="D103" s="76"/>
      <c r="E103" s="79" t="s">
        <v>114</v>
      </c>
      <c r="F103" s="76"/>
      <c r="G103" s="60" t="s">
        <v>24</v>
      </c>
      <c r="H103" s="76"/>
      <c r="I103" s="79" t="s">
        <v>116</v>
      </c>
      <c r="J103" s="56"/>
      <c r="K103" s="4" t="str">
        <f t="shared" si="11"/>
        <v/>
      </c>
      <c r="L103" s="17" t="str">
        <f t="shared" si="12"/>
        <v/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5"/>
      <c r="C104" s="60"/>
      <c r="D104" s="60"/>
      <c r="E104" s="14" t="s">
        <v>116</v>
      </c>
      <c r="F104" s="76"/>
      <c r="G104" s="60" t="s">
        <v>24</v>
      </c>
      <c r="H104" s="76"/>
      <c r="I104" s="79" t="s">
        <v>111</v>
      </c>
      <c r="J104" s="56"/>
      <c r="K104" s="4" t="str">
        <f t="shared" si="11"/>
        <v/>
      </c>
      <c r="L104" s="17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4"/>
      <c r="B105" s="75"/>
      <c r="C105" s="60"/>
      <c r="D105" s="60"/>
      <c r="E105" s="14" t="s">
        <v>117</v>
      </c>
      <c r="F105" s="76"/>
      <c r="G105" s="60" t="s">
        <v>24</v>
      </c>
      <c r="H105" s="76"/>
      <c r="I105" s="79" t="s">
        <v>31</v>
      </c>
      <c r="J105" s="56"/>
      <c r="K105" s="4" t="str">
        <f t="shared" si="11"/>
        <v/>
      </c>
      <c r="L105" s="17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4"/>
      <c r="B106" s="75"/>
      <c r="C106" s="60"/>
      <c r="D106" s="60"/>
      <c r="E106" s="14" t="s">
        <v>55</v>
      </c>
      <c r="F106" s="76"/>
      <c r="G106" s="60" t="s">
        <v>24</v>
      </c>
      <c r="H106" s="76"/>
      <c r="I106" s="79" t="s">
        <v>113</v>
      </c>
      <c r="J106" s="56"/>
      <c r="K106" s="4" t="str">
        <f t="shared" si="11"/>
        <v/>
      </c>
      <c r="L106" s="17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4"/>
      <c r="B107" s="75"/>
      <c r="C107" s="60"/>
      <c r="D107" s="60"/>
      <c r="E107" s="14" t="s">
        <v>118</v>
      </c>
      <c r="F107" s="76"/>
      <c r="G107" s="60" t="s">
        <v>24</v>
      </c>
      <c r="H107" s="76"/>
      <c r="I107" s="79" t="s">
        <v>59</v>
      </c>
      <c r="J107" s="56"/>
      <c r="K107" s="4" t="str">
        <f t="shared" si="11"/>
        <v/>
      </c>
      <c r="L107" s="17" t="str">
        <f t="shared" si="12"/>
        <v/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5"/>
      <c r="C108" s="60"/>
      <c r="D108" s="60"/>
      <c r="E108" s="14">
        <v>0.0</v>
      </c>
      <c r="F108" s="76"/>
      <c r="G108" s="60" t="s">
        <v>24</v>
      </c>
      <c r="H108" s="76"/>
      <c r="I108" s="79" t="s">
        <v>114</v>
      </c>
      <c r="J108" s="56"/>
      <c r="K108" s="4" t="str">
        <f t="shared" si="11"/>
        <v/>
      </c>
      <c r="L108" s="17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5"/>
      <c r="C109" s="60"/>
      <c r="D109" s="60"/>
      <c r="E109" s="14" t="s">
        <v>111</v>
      </c>
      <c r="F109" s="76"/>
      <c r="G109" s="60" t="s">
        <v>24</v>
      </c>
      <c r="H109" s="76"/>
      <c r="I109" s="79" t="s">
        <v>114</v>
      </c>
      <c r="J109" s="56"/>
      <c r="K109" s="4" t="str">
        <f t="shared" si="11"/>
        <v/>
      </c>
      <c r="L109" s="17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4"/>
      <c r="B110" s="75"/>
      <c r="C110" s="60"/>
      <c r="D110" s="60"/>
      <c r="E110" s="14" t="s">
        <v>31</v>
      </c>
      <c r="F110" s="76"/>
      <c r="G110" s="60" t="s">
        <v>24</v>
      </c>
      <c r="H110" s="76"/>
      <c r="I110" s="79" t="s">
        <v>116</v>
      </c>
      <c r="J110" s="56"/>
      <c r="K110" s="4" t="str">
        <f t="shared" si="11"/>
        <v/>
      </c>
      <c r="L110" s="17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4"/>
      <c r="B111" s="75"/>
      <c r="C111" s="60"/>
      <c r="D111" s="60"/>
      <c r="E111" s="14" t="s">
        <v>113</v>
      </c>
      <c r="F111" s="76"/>
      <c r="G111" s="60" t="s">
        <v>24</v>
      </c>
      <c r="H111" s="76"/>
      <c r="I111" s="79" t="s">
        <v>117</v>
      </c>
      <c r="J111" s="56"/>
      <c r="K111" s="4" t="str">
        <f t="shared" si="11"/>
        <v/>
      </c>
      <c r="L111" s="17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4"/>
      <c r="B112" s="75"/>
      <c r="C112" s="60"/>
      <c r="D112" s="60"/>
      <c r="E112" s="14" t="s">
        <v>59</v>
      </c>
      <c r="F112" s="76"/>
      <c r="G112" s="60" t="s">
        <v>24</v>
      </c>
      <c r="H112" s="76"/>
      <c r="I112" s="79" t="s">
        <v>55</v>
      </c>
      <c r="J112" s="56"/>
      <c r="K112" s="4" t="str">
        <f t="shared" si="11"/>
        <v/>
      </c>
      <c r="L112" s="17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5"/>
      <c r="C113" s="60"/>
      <c r="D113" s="60"/>
      <c r="E113" s="14" t="s">
        <v>118</v>
      </c>
      <c r="F113" s="76"/>
      <c r="G113" s="60" t="s">
        <v>24</v>
      </c>
      <c r="H113" s="76"/>
      <c r="I113" s="79">
        <v>0.0</v>
      </c>
      <c r="J113" s="56"/>
      <c r="K113" s="4" t="str">
        <f t="shared" si="11"/>
        <v/>
      </c>
      <c r="L113" s="17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5"/>
      <c r="C114" s="60"/>
      <c r="D114" s="60"/>
      <c r="E114" s="14">
        <v>0.0</v>
      </c>
      <c r="F114" s="76"/>
      <c r="G114" s="60" t="s">
        <v>24</v>
      </c>
      <c r="H114" s="76"/>
      <c r="I114" s="79" t="s">
        <v>111</v>
      </c>
      <c r="J114" s="56"/>
      <c r="K114" s="4" t="str">
        <f t="shared" si="11"/>
        <v/>
      </c>
      <c r="L114" s="17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4"/>
      <c r="B115" s="75"/>
      <c r="C115" s="60"/>
      <c r="D115" s="60"/>
      <c r="E115" s="14" t="s">
        <v>114</v>
      </c>
      <c r="F115" s="76"/>
      <c r="G115" s="60" t="s">
        <v>24</v>
      </c>
      <c r="H115" s="76"/>
      <c r="I115" s="79" t="s">
        <v>31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4"/>
      <c r="B116" s="75"/>
      <c r="C116" s="60"/>
      <c r="D116" s="60"/>
      <c r="E116" s="14" t="s">
        <v>116</v>
      </c>
      <c r="F116" s="76"/>
      <c r="G116" s="60" t="s">
        <v>24</v>
      </c>
      <c r="H116" s="76"/>
      <c r="I116" s="79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4"/>
      <c r="B117" s="75"/>
      <c r="C117" s="60"/>
      <c r="D117" s="60"/>
      <c r="E117" s="14" t="s">
        <v>117</v>
      </c>
      <c r="F117" s="76"/>
      <c r="G117" s="60" t="s">
        <v>24</v>
      </c>
      <c r="H117" s="76"/>
      <c r="I117" s="79" t="s">
        <v>59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5"/>
      <c r="C118" s="60"/>
      <c r="D118" s="60"/>
      <c r="E118" s="14" t="s">
        <v>55</v>
      </c>
      <c r="F118" s="76"/>
      <c r="G118" s="60" t="s">
        <v>24</v>
      </c>
      <c r="H118" s="76"/>
      <c r="I118" s="79" t="s">
        <v>118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7"/>
      <c r="B123" s="78"/>
      <c r="C123" s="78"/>
      <c r="D123" s="78"/>
      <c r="E123" s="78"/>
      <c r="F123" s="78"/>
      <c r="G123" s="78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7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6"/>
    </row>
    <row r="126" ht="15.75" customHeight="1">
      <c r="A126" s="10">
        <v>1.0</v>
      </c>
      <c r="B126" s="39">
        <v>45952.0</v>
      </c>
      <c r="C126" s="12" t="s">
        <v>97</v>
      </c>
      <c r="D126" s="64" t="s">
        <v>94</v>
      </c>
      <c r="E126" s="14" t="s">
        <v>64</v>
      </c>
      <c r="F126" s="14">
        <v>11.0</v>
      </c>
      <c r="G126" s="60" t="s">
        <v>24</v>
      </c>
      <c r="H126" s="14">
        <v>2.0</v>
      </c>
      <c r="I126" s="14" t="s">
        <v>121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1" t="s">
        <v>121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4</v>
      </c>
      <c r="T126" s="17">
        <f t="shared" ref="T126:T134" si="26">SUMIF(E$126:E$170,O126,F$126:F$170)+SUMIF(I$126:I$170,O126,H$126:H$170)</f>
        <v>30</v>
      </c>
      <c r="U126" s="19">
        <f t="shared" ref="U126:U134" si="27">SUMIF(E$126:E$170,O126,H$126:H$170)+SUMIF(I$126:I$170,O126,F$126:F$170)</f>
        <v>51</v>
      </c>
      <c r="V126" s="17">
        <f t="shared" ref="V126:V134" si="28">T126-U126</f>
        <v>-21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Administração Pública</v>
      </c>
      <c r="AF126" s="22">
        <v>8.0</v>
      </c>
      <c r="AG126" s="22">
        <v>4.0</v>
      </c>
      <c r="AH126" s="23">
        <v>0.0</v>
      </c>
      <c r="AI126" s="23">
        <v>1.0</v>
      </c>
      <c r="AJ126" s="22">
        <v>63.0</v>
      </c>
      <c r="AK126" s="23">
        <v>50.0</v>
      </c>
      <c r="AL126" s="22">
        <v>13.0</v>
      </c>
      <c r="AM126" s="56"/>
    </row>
    <row r="127" ht="15.75" customHeight="1">
      <c r="A127" s="24"/>
      <c r="B127" s="39">
        <v>45952.0</v>
      </c>
      <c r="C127" s="12" t="s">
        <v>98</v>
      </c>
      <c r="D127" s="64" t="s">
        <v>94</v>
      </c>
      <c r="E127" s="14" t="s">
        <v>45</v>
      </c>
      <c r="F127" s="14">
        <v>11.0</v>
      </c>
      <c r="G127" s="60" t="s">
        <v>24</v>
      </c>
      <c r="H127" s="14">
        <v>9.0</v>
      </c>
      <c r="I127" s="14" t="s">
        <v>122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1" t="s">
        <v>64</v>
      </c>
      <c r="P127" s="17">
        <f t="shared" si="22"/>
        <v>4</v>
      </c>
      <c r="Q127" s="17">
        <f t="shared" si="23"/>
        <v>2</v>
      </c>
      <c r="R127" s="19">
        <f t="shared" si="24"/>
        <v>0</v>
      </c>
      <c r="S127" s="19">
        <f t="shared" si="25"/>
        <v>2</v>
      </c>
      <c r="T127" s="17">
        <f t="shared" si="26"/>
        <v>44</v>
      </c>
      <c r="U127" s="19">
        <f t="shared" si="27"/>
        <v>37</v>
      </c>
      <c r="V127" s="17">
        <f t="shared" si="28"/>
        <v>7</v>
      </c>
      <c r="W127" s="56"/>
      <c r="X127" s="27" t="s">
        <v>38</v>
      </c>
      <c r="Y127" s="27">
        <v>3.0</v>
      </c>
      <c r="Z127" s="56"/>
      <c r="AA127" s="56"/>
      <c r="AB127" s="56"/>
      <c r="AC127" s="56"/>
      <c r="AD127" s="67" t="s">
        <v>115</v>
      </c>
      <c r="AE127" s="63" t="s">
        <v>61</v>
      </c>
      <c r="AF127" s="22">
        <v>6.0</v>
      </c>
      <c r="AG127" s="22">
        <v>3.0</v>
      </c>
      <c r="AH127" s="23">
        <v>0.0</v>
      </c>
      <c r="AI127" s="23">
        <v>1.0</v>
      </c>
      <c r="AJ127" s="22">
        <v>53.0</v>
      </c>
      <c r="AK127" s="23">
        <v>42.0</v>
      </c>
      <c r="AL127" s="22">
        <v>11.0</v>
      </c>
      <c r="AM127" s="56"/>
    </row>
    <row r="128" ht="15.75" customHeight="1">
      <c r="A128" s="24"/>
      <c r="B128" s="39">
        <v>45952.0</v>
      </c>
      <c r="C128" s="12" t="s">
        <v>99</v>
      </c>
      <c r="D128" s="64" t="s">
        <v>94</v>
      </c>
      <c r="E128" s="14" t="s">
        <v>56</v>
      </c>
      <c r="F128" s="14">
        <v>8.0</v>
      </c>
      <c r="G128" s="60" t="s">
        <v>24</v>
      </c>
      <c r="H128" s="14">
        <v>14.0</v>
      </c>
      <c r="I128" s="14" t="s">
        <v>61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1" t="s">
        <v>45</v>
      </c>
      <c r="P128" s="17">
        <f t="shared" si="22"/>
        <v>4</v>
      </c>
      <c r="Q128" s="17">
        <f t="shared" si="23"/>
        <v>2</v>
      </c>
      <c r="R128" s="19">
        <f t="shared" si="24"/>
        <v>0</v>
      </c>
      <c r="S128" s="19">
        <f t="shared" si="25"/>
        <v>2</v>
      </c>
      <c r="T128" s="17">
        <f t="shared" si="26"/>
        <v>28</v>
      </c>
      <c r="U128" s="19">
        <f t="shared" si="27"/>
        <v>34</v>
      </c>
      <c r="V128" s="17">
        <f t="shared" si="28"/>
        <v>-6</v>
      </c>
      <c r="W128" s="56"/>
      <c r="X128" s="27" t="s">
        <v>117</v>
      </c>
      <c r="Y128" s="27">
        <v>0.0</v>
      </c>
      <c r="Z128" s="56"/>
      <c r="AA128" s="56"/>
      <c r="AB128" s="56"/>
      <c r="AC128" s="56"/>
      <c r="AD128" s="21">
        <v>3.0</v>
      </c>
      <c r="AE128" s="63" t="s">
        <v>56</v>
      </c>
      <c r="AF128" s="22">
        <v>6.0</v>
      </c>
      <c r="AG128" s="22">
        <v>3.0</v>
      </c>
      <c r="AH128" s="23">
        <v>0.0</v>
      </c>
      <c r="AI128" s="23">
        <v>2.0</v>
      </c>
      <c r="AJ128" s="22">
        <v>51.0</v>
      </c>
      <c r="AK128" s="23">
        <v>42.0</v>
      </c>
      <c r="AL128" s="22">
        <v>9.0</v>
      </c>
      <c r="AM128" s="56"/>
    </row>
    <row r="129" ht="15.75" customHeight="1">
      <c r="A129" s="24"/>
      <c r="B129" s="39">
        <v>45952.0</v>
      </c>
      <c r="C129" s="65" t="s">
        <v>100</v>
      </c>
      <c r="D129" s="64" t="s">
        <v>94</v>
      </c>
      <c r="E129" s="14" t="s">
        <v>54</v>
      </c>
      <c r="F129" s="14">
        <v>17.0</v>
      </c>
      <c r="G129" s="60" t="s">
        <v>24</v>
      </c>
      <c r="H129" s="14">
        <v>12.0</v>
      </c>
      <c r="I129" s="14" t="s">
        <v>123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1" t="s">
        <v>56</v>
      </c>
      <c r="P129" s="17">
        <f t="shared" si="22"/>
        <v>6</v>
      </c>
      <c r="Q129" s="17">
        <f t="shared" si="23"/>
        <v>3</v>
      </c>
      <c r="R129" s="19">
        <f t="shared" si="24"/>
        <v>0</v>
      </c>
      <c r="S129" s="19">
        <f t="shared" si="25"/>
        <v>2</v>
      </c>
      <c r="T129" s="17">
        <f t="shared" si="26"/>
        <v>51</v>
      </c>
      <c r="U129" s="19">
        <f t="shared" si="27"/>
        <v>42</v>
      </c>
      <c r="V129" s="17">
        <f t="shared" si="28"/>
        <v>9</v>
      </c>
      <c r="W129" s="56"/>
      <c r="X129" s="56"/>
      <c r="Y129" s="56"/>
      <c r="Z129" s="56"/>
      <c r="AA129" s="56"/>
      <c r="AB129" s="56"/>
      <c r="AC129" s="56"/>
      <c r="AD129" s="21">
        <v>4.0</v>
      </c>
      <c r="AE129" s="63" t="s">
        <v>64</v>
      </c>
      <c r="AF129" s="22">
        <v>4.0</v>
      </c>
      <c r="AG129" s="22">
        <v>2.0</v>
      </c>
      <c r="AH129" s="23">
        <v>0.0</v>
      </c>
      <c r="AI129" s="23">
        <v>2.0</v>
      </c>
      <c r="AJ129" s="22">
        <v>44.0</v>
      </c>
      <c r="AK129" s="23">
        <v>37.0</v>
      </c>
      <c r="AL129" s="22">
        <v>7.0</v>
      </c>
      <c r="AM129" s="56"/>
    </row>
    <row r="130" ht="15.75" customHeight="1">
      <c r="A130" s="28"/>
      <c r="B130" s="80"/>
      <c r="C130" s="60"/>
      <c r="D130" s="60"/>
      <c r="E130" s="14" t="s">
        <v>63</v>
      </c>
      <c r="F130" s="76"/>
      <c r="G130" s="60" t="s">
        <v>24</v>
      </c>
      <c r="H130" s="76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1" t="s">
        <v>54</v>
      </c>
      <c r="P130" s="17">
        <f t="shared" si="22"/>
        <v>8</v>
      </c>
      <c r="Q130" s="17">
        <f t="shared" si="23"/>
        <v>4</v>
      </c>
      <c r="R130" s="19">
        <f t="shared" si="24"/>
        <v>0</v>
      </c>
      <c r="S130" s="19">
        <f t="shared" si="25"/>
        <v>1</v>
      </c>
      <c r="T130" s="17">
        <f t="shared" si="26"/>
        <v>63</v>
      </c>
      <c r="U130" s="19">
        <f t="shared" si="27"/>
        <v>50</v>
      </c>
      <c r="V130" s="17">
        <f t="shared" si="28"/>
        <v>13</v>
      </c>
      <c r="W130" s="56"/>
      <c r="X130" s="56"/>
      <c r="Y130" s="56"/>
      <c r="Z130" s="56"/>
      <c r="AA130" s="56"/>
      <c r="AB130" s="56"/>
      <c r="AC130" s="56"/>
      <c r="AD130" s="21">
        <v>5.0</v>
      </c>
      <c r="AE130" s="63" t="s">
        <v>63</v>
      </c>
      <c r="AF130" s="22">
        <v>4.0</v>
      </c>
      <c r="AG130" s="22">
        <v>2.0</v>
      </c>
      <c r="AH130" s="23">
        <v>0.0</v>
      </c>
      <c r="AI130" s="23">
        <v>2.0</v>
      </c>
      <c r="AJ130" s="22">
        <v>41.0</v>
      </c>
      <c r="AK130" s="23">
        <v>40.0</v>
      </c>
      <c r="AL130" s="22">
        <v>1.0</v>
      </c>
      <c r="AM130" s="56"/>
    </row>
    <row r="131" ht="15.75" customHeight="1">
      <c r="A131" s="10">
        <v>2.0</v>
      </c>
      <c r="B131" s="39">
        <v>45952.0</v>
      </c>
      <c r="C131" s="59" t="s">
        <v>100</v>
      </c>
      <c r="D131" s="64" t="s">
        <v>94</v>
      </c>
      <c r="E131" s="14" t="s">
        <v>121</v>
      </c>
      <c r="F131" s="14">
        <v>6.0</v>
      </c>
      <c r="G131" s="60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1" t="s">
        <v>63</v>
      </c>
      <c r="P131" s="17">
        <f t="shared" si="22"/>
        <v>4</v>
      </c>
      <c r="Q131" s="17">
        <f t="shared" si="23"/>
        <v>2</v>
      </c>
      <c r="R131" s="19">
        <f t="shared" si="24"/>
        <v>0</v>
      </c>
      <c r="S131" s="19">
        <f t="shared" si="25"/>
        <v>2</v>
      </c>
      <c r="T131" s="17">
        <f t="shared" si="26"/>
        <v>41</v>
      </c>
      <c r="U131" s="19">
        <f t="shared" si="27"/>
        <v>40</v>
      </c>
      <c r="V131" s="17">
        <f t="shared" si="28"/>
        <v>1</v>
      </c>
      <c r="W131" s="56"/>
      <c r="X131" s="56"/>
      <c r="Y131" s="56"/>
      <c r="Z131" s="56"/>
      <c r="AA131" s="56"/>
      <c r="AB131" s="56"/>
      <c r="AC131" s="56"/>
      <c r="AD131" s="21">
        <v>6.0</v>
      </c>
      <c r="AE131" s="63" t="s">
        <v>123</v>
      </c>
      <c r="AF131" s="22">
        <v>4.0</v>
      </c>
      <c r="AG131" s="22">
        <v>2.0</v>
      </c>
      <c r="AH131" s="23">
        <v>0.0</v>
      </c>
      <c r="AI131" s="23">
        <v>2.0</v>
      </c>
      <c r="AJ131" s="22">
        <v>53.0</v>
      </c>
      <c r="AK131" s="23">
        <v>58.0</v>
      </c>
      <c r="AL131" s="22">
        <v>-5.0</v>
      </c>
      <c r="AM131" s="56"/>
    </row>
    <row r="132" ht="15.75" customHeight="1">
      <c r="A132" s="24"/>
      <c r="B132" s="81"/>
      <c r="C132" s="82"/>
      <c r="D132" s="82"/>
      <c r="E132" s="14">
        <v>0.0</v>
      </c>
      <c r="F132" s="76"/>
      <c r="G132" s="60" t="s">
        <v>24</v>
      </c>
      <c r="H132" s="76"/>
      <c r="I132" s="14" t="s">
        <v>64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1" t="s">
        <v>123</v>
      </c>
      <c r="P132" s="17">
        <f t="shared" si="22"/>
        <v>4</v>
      </c>
      <c r="Q132" s="17">
        <f t="shared" si="23"/>
        <v>2</v>
      </c>
      <c r="R132" s="19">
        <f t="shared" si="24"/>
        <v>0</v>
      </c>
      <c r="S132" s="19">
        <f t="shared" si="25"/>
        <v>2</v>
      </c>
      <c r="T132" s="17">
        <f t="shared" si="26"/>
        <v>53</v>
      </c>
      <c r="U132" s="19">
        <f t="shared" si="27"/>
        <v>58</v>
      </c>
      <c r="V132" s="17">
        <f t="shared" si="28"/>
        <v>-5</v>
      </c>
      <c r="W132" s="56"/>
      <c r="X132" s="56"/>
      <c r="Y132" s="56"/>
      <c r="Z132" s="56"/>
      <c r="AA132" s="56"/>
      <c r="AB132" s="56"/>
      <c r="AC132" s="56"/>
      <c r="AD132" s="21">
        <v>7.0</v>
      </c>
      <c r="AE132" s="63" t="s">
        <v>45</v>
      </c>
      <c r="AF132" s="22">
        <v>4.0</v>
      </c>
      <c r="AG132" s="22">
        <v>2.0</v>
      </c>
      <c r="AH132" s="23">
        <v>0.0</v>
      </c>
      <c r="AI132" s="23">
        <v>2.0</v>
      </c>
      <c r="AJ132" s="22">
        <v>28.0</v>
      </c>
      <c r="AK132" s="23">
        <v>34.0</v>
      </c>
      <c r="AL132" s="22">
        <v>-6.0</v>
      </c>
      <c r="AM132" s="56"/>
    </row>
    <row r="133" ht="15.75" customHeight="1">
      <c r="A133" s="24"/>
      <c r="B133" s="39">
        <v>45952.0</v>
      </c>
      <c r="C133" s="59" t="s">
        <v>100</v>
      </c>
      <c r="D133" s="64" t="s">
        <v>94</v>
      </c>
      <c r="E133" s="14" t="s">
        <v>122</v>
      </c>
      <c r="F133" s="14">
        <v>6.0</v>
      </c>
      <c r="G133" s="60" t="s">
        <v>24</v>
      </c>
      <c r="H133" s="14">
        <v>10.0</v>
      </c>
      <c r="I133" s="14" t="s">
        <v>56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1" t="s">
        <v>61</v>
      </c>
      <c r="P133" s="17">
        <f t="shared" si="22"/>
        <v>6</v>
      </c>
      <c r="Q133" s="17">
        <f t="shared" si="23"/>
        <v>3</v>
      </c>
      <c r="R133" s="19">
        <f t="shared" si="24"/>
        <v>0</v>
      </c>
      <c r="S133" s="19">
        <f t="shared" si="25"/>
        <v>1</v>
      </c>
      <c r="T133" s="17">
        <f t="shared" si="26"/>
        <v>53</v>
      </c>
      <c r="U133" s="19">
        <f t="shared" si="27"/>
        <v>42</v>
      </c>
      <c r="V133" s="17">
        <f t="shared" si="28"/>
        <v>11</v>
      </c>
      <c r="W133" s="56"/>
      <c r="X133" s="56"/>
      <c r="Y133" s="56"/>
      <c r="Z133" s="56"/>
      <c r="AA133" s="56"/>
      <c r="AB133" s="56"/>
      <c r="AC133" s="56"/>
      <c r="AD133" s="21">
        <v>8.0</v>
      </c>
      <c r="AE133" s="63" t="s">
        <v>122</v>
      </c>
      <c r="AF133" s="22">
        <v>2.0</v>
      </c>
      <c r="AG133" s="22">
        <v>1.0</v>
      </c>
      <c r="AH133" s="22">
        <v>0.0</v>
      </c>
      <c r="AI133" s="22">
        <v>4.0</v>
      </c>
      <c r="AJ133" s="22">
        <v>50.0</v>
      </c>
      <c r="AK133" s="22">
        <v>59.0</v>
      </c>
      <c r="AL133" s="22">
        <v>-9.0</v>
      </c>
      <c r="AM133" s="56"/>
    </row>
    <row r="134" ht="15.75" customHeight="1">
      <c r="A134" s="24"/>
      <c r="B134" s="11">
        <v>45952.0</v>
      </c>
      <c r="C134" s="59" t="s">
        <v>103</v>
      </c>
      <c r="D134" s="64" t="s">
        <v>94</v>
      </c>
      <c r="E134" s="14" t="s">
        <v>61</v>
      </c>
      <c r="F134" s="14">
        <v>13.0</v>
      </c>
      <c r="G134" s="60" t="s">
        <v>24</v>
      </c>
      <c r="H134" s="14">
        <v>9.0</v>
      </c>
      <c r="I134" s="14" t="s">
        <v>54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1" t="s">
        <v>122</v>
      </c>
      <c r="P134" s="17">
        <f t="shared" si="22"/>
        <v>2</v>
      </c>
      <c r="Q134" s="17">
        <f t="shared" si="23"/>
        <v>1</v>
      </c>
      <c r="R134" s="19">
        <f t="shared" si="24"/>
        <v>0</v>
      </c>
      <c r="S134" s="19">
        <f t="shared" si="25"/>
        <v>4</v>
      </c>
      <c r="T134" s="17">
        <f t="shared" si="26"/>
        <v>50</v>
      </c>
      <c r="U134" s="19">
        <f t="shared" si="27"/>
        <v>59</v>
      </c>
      <c r="V134" s="17">
        <f t="shared" si="28"/>
        <v>-9</v>
      </c>
      <c r="W134" s="56"/>
      <c r="X134" s="56"/>
      <c r="Y134" s="56"/>
      <c r="Z134" s="56"/>
      <c r="AA134" s="56"/>
      <c r="AB134" s="56"/>
      <c r="AC134" s="56"/>
      <c r="AD134" s="21">
        <v>9.0</v>
      </c>
      <c r="AE134" s="27" t="s">
        <v>121</v>
      </c>
      <c r="AF134" s="22">
        <v>2.0</v>
      </c>
      <c r="AG134" s="22">
        <v>1.0</v>
      </c>
      <c r="AH134" s="22">
        <v>0.0</v>
      </c>
      <c r="AI134" s="22">
        <v>4.0</v>
      </c>
      <c r="AJ134" s="22">
        <v>30.0</v>
      </c>
      <c r="AK134" s="22">
        <v>51.0</v>
      </c>
      <c r="AL134" s="22">
        <v>-21.0</v>
      </c>
      <c r="AM134" s="56"/>
    </row>
    <row r="135" ht="15.75" customHeight="1">
      <c r="A135" s="28"/>
      <c r="B135" s="11">
        <v>45952.0</v>
      </c>
      <c r="C135" s="59" t="s">
        <v>103</v>
      </c>
      <c r="D135" s="64" t="s">
        <v>94</v>
      </c>
      <c r="E135" s="14" t="s">
        <v>123</v>
      </c>
      <c r="F135" s="14">
        <v>5.0</v>
      </c>
      <c r="G135" s="60" t="s">
        <v>24</v>
      </c>
      <c r="H135" s="14">
        <v>11.0</v>
      </c>
      <c r="I135" s="14" t="s">
        <v>63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3"/>
      <c r="AH135" s="83"/>
      <c r="AI135" s="83"/>
      <c r="AJ135" s="83"/>
      <c r="AK135" s="83"/>
      <c r="AL135" s="83"/>
      <c r="AM135" s="56"/>
    </row>
    <row r="136" ht="15.75" customHeight="1">
      <c r="A136" s="10">
        <v>3.0</v>
      </c>
      <c r="B136" s="11">
        <v>46008.0</v>
      </c>
      <c r="C136" s="59" t="s">
        <v>93</v>
      </c>
      <c r="D136" s="64" t="s">
        <v>94</v>
      </c>
      <c r="E136" s="14" t="s">
        <v>56</v>
      </c>
      <c r="F136" s="14">
        <v>10.0</v>
      </c>
      <c r="G136" s="60" t="s">
        <v>24</v>
      </c>
      <c r="H136" s="14">
        <v>7.0</v>
      </c>
      <c r="I136" s="14" t="s">
        <v>121</v>
      </c>
      <c r="J136" s="4"/>
      <c r="K136" s="4">
        <f t="shared" si="20"/>
        <v>2</v>
      </c>
      <c r="L136" s="17">
        <f t="shared" si="21"/>
        <v>0</v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108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4"/>
      <c r="B137" s="11">
        <v>46008.0</v>
      </c>
      <c r="C137" s="12" t="s">
        <v>95</v>
      </c>
      <c r="D137" s="64" t="s">
        <v>94</v>
      </c>
      <c r="E137" s="14" t="s">
        <v>45</v>
      </c>
      <c r="F137" s="14">
        <v>9.0</v>
      </c>
      <c r="G137" s="60" t="s">
        <v>24</v>
      </c>
      <c r="H137" s="14">
        <v>7.0</v>
      </c>
      <c r="I137" s="14" t="s">
        <v>64</v>
      </c>
      <c r="J137" s="4"/>
      <c r="K137" s="4">
        <f t="shared" si="20"/>
        <v>2</v>
      </c>
      <c r="L137" s="17">
        <f t="shared" si="21"/>
        <v>0</v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4"/>
      <c r="B138" s="11">
        <v>46008.0</v>
      </c>
      <c r="C138" s="65" t="s">
        <v>97</v>
      </c>
      <c r="D138" s="64" t="s">
        <v>94</v>
      </c>
      <c r="E138" s="14" t="s">
        <v>54</v>
      </c>
      <c r="F138" s="14">
        <v>14.0</v>
      </c>
      <c r="G138" s="60" t="s">
        <v>24</v>
      </c>
      <c r="H138" s="14">
        <v>4.0</v>
      </c>
      <c r="I138" s="14" t="s">
        <v>122</v>
      </c>
      <c r="J138" s="4"/>
      <c r="K138" s="4">
        <f t="shared" si="20"/>
        <v>2</v>
      </c>
      <c r="L138" s="17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4"/>
      <c r="B139" s="11">
        <v>46008.0</v>
      </c>
      <c r="C139" s="59" t="s">
        <v>98</v>
      </c>
      <c r="D139" s="64" t="s">
        <v>94</v>
      </c>
      <c r="E139" s="14" t="s">
        <v>63</v>
      </c>
      <c r="F139" s="14">
        <v>9.0</v>
      </c>
      <c r="G139" s="60" t="s">
        <v>24</v>
      </c>
      <c r="H139" s="14">
        <v>14.0</v>
      </c>
      <c r="I139" s="14" t="s">
        <v>61</v>
      </c>
      <c r="J139" s="4"/>
      <c r="K139" s="4">
        <f t="shared" si="20"/>
        <v>0</v>
      </c>
      <c r="L139" s="17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5"/>
      <c r="C140" s="60"/>
      <c r="D140" s="60"/>
      <c r="E140" s="14">
        <v>0.0</v>
      </c>
      <c r="F140" s="76"/>
      <c r="G140" s="60" t="s">
        <v>24</v>
      </c>
      <c r="H140" s="76"/>
      <c r="I140" s="14" t="s">
        <v>123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75"/>
      <c r="C141" s="60"/>
      <c r="D141" s="60"/>
      <c r="E141" s="14" t="s">
        <v>121</v>
      </c>
      <c r="F141" s="14">
        <v>7.0</v>
      </c>
      <c r="G141" s="60" t="s">
        <v>24</v>
      </c>
      <c r="H141" s="14">
        <v>8.0</v>
      </c>
      <c r="I141" s="14" t="s">
        <v>54</v>
      </c>
      <c r="J141" s="37"/>
      <c r="K141" s="4">
        <f t="shared" si="20"/>
        <v>0</v>
      </c>
      <c r="L141" s="17">
        <f t="shared" si="21"/>
        <v>2</v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4"/>
      <c r="B142" s="75"/>
      <c r="C142" s="60"/>
      <c r="D142" s="60"/>
      <c r="E142" s="14" t="s">
        <v>64</v>
      </c>
      <c r="F142" s="14">
        <v>12.0</v>
      </c>
      <c r="G142" s="60" t="s">
        <v>24</v>
      </c>
      <c r="H142" s="14">
        <v>11.0</v>
      </c>
      <c r="I142" s="14" t="s">
        <v>56</v>
      </c>
      <c r="J142" s="4"/>
      <c r="K142" s="4">
        <f t="shared" si="20"/>
        <v>2</v>
      </c>
      <c r="L142" s="17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4"/>
      <c r="B143" s="75"/>
      <c r="C143" s="60"/>
      <c r="D143" s="60"/>
      <c r="E143" s="14" t="s">
        <v>45</v>
      </c>
      <c r="F143" s="76"/>
      <c r="G143" s="60" t="s">
        <v>24</v>
      </c>
      <c r="H143" s="76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4"/>
      <c r="B144" s="75"/>
      <c r="C144" s="60"/>
      <c r="D144" s="60"/>
      <c r="E144" s="14" t="s">
        <v>122</v>
      </c>
      <c r="F144" s="14">
        <v>13.0</v>
      </c>
      <c r="G144" s="60" t="s">
        <v>24</v>
      </c>
      <c r="H144" s="14">
        <v>4.0</v>
      </c>
      <c r="I144" s="14" t="s">
        <v>63</v>
      </c>
      <c r="J144" s="4"/>
      <c r="K144" s="4">
        <f t="shared" si="20"/>
        <v>2</v>
      </c>
      <c r="L144" s="17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75"/>
      <c r="C145" s="60"/>
      <c r="D145" s="60"/>
      <c r="E145" s="14" t="s">
        <v>61</v>
      </c>
      <c r="F145" s="14">
        <v>12.0</v>
      </c>
      <c r="G145" s="60" t="s">
        <v>24</v>
      </c>
      <c r="H145" s="14">
        <v>16.0</v>
      </c>
      <c r="I145" s="14" t="s">
        <v>123</v>
      </c>
      <c r="J145" s="4"/>
      <c r="K145" s="4">
        <f t="shared" si="20"/>
        <v>0</v>
      </c>
      <c r="L145" s="17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75"/>
      <c r="C146" s="60"/>
      <c r="D146" s="76"/>
      <c r="E146" s="14" t="s">
        <v>63</v>
      </c>
      <c r="F146" s="14">
        <v>17.0</v>
      </c>
      <c r="G146" s="60" t="s">
        <v>24</v>
      </c>
      <c r="H146" s="14">
        <v>8.0</v>
      </c>
      <c r="I146" s="14" t="s">
        <v>121</v>
      </c>
      <c r="J146" s="4"/>
      <c r="K146" s="4">
        <f t="shared" si="20"/>
        <v>2</v>
      </c>
      <c r="L146" s="17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4"/>
      <c r="B147" s="75"/>
      <c r="C147" s="60"/>
      <c r="D147" s="76"/>
      <c r="E147" s="14" t="s">
        <v>54</v>
      </c>
      <c r="F147" s="14">
        <v>15.0</v>
      </c>
      <c r="G147" s="60" t="s">
        <v>24</v>
      </c>
      <c r="H147" s="14">
        <v>14.0</v>
      </c>
      <c r="I147" s="14" t="s">
        <v>64</v>
      </c>
      <c r="J147" s="4"/>
      <c r="K147" s="4">
        <f t="shared" si="20"/>
        <v>2</v>
      </c>
      <c r="L147" s="17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4"/>
      <c r="B148" s="75"/>
      <c r="C148" s="60"/>
      <c r="D148" s="76"/>
      <c r="E148" s="14" t="s">
        <v>56</v>
      </c>
      <c r="F148" s="14">
        <v>12.0</v>
      </c>
      <c r="G148" s="60" t="s">
        <v>24</v>
      </c>
      <c r="H148" s="14">
        <v>3.0</v>
      </c>
      <c r="I148" s="14" t="s">
        <v>45</v>
      </c>
      <c r="J148" s="4"/>
      <c r="K148" s="4">
        <f t="shared" si="20"/>
        <v>2</v>
      </c>
      <c r="L148" s="17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4"/>
      <c r="B149" s="75"/>
      <c r="C149" s="60"/>
      <c r="D149" s="76"/>
      <c r="E149" s="14" t="s">
        <v>123</v>
      </c>
      <c r="F149" s="14">
        <v>20.0</v>
      </c>
      <c r="G149" s="60" t="s">
        <v>24</v>
      </c>
      <c r="H149" s="14">
        <v>18.0</v>
      </c>
      <c r="I149" s="14" t="s">
        <v>122</v>
      </c>
      <c r="J149" s="4"/>
      <c r="K149" s="4">
        <f t="shared" si="20"/>
        <v>2</v>
      </c>
      <c r="L149" s="17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5"/>
      <c r="C150" s="76"/>
      <c r="D150" s="76"/>
      <c r="E150" s="14">
        <v>0.0</v>
      </c>
      <c r="F150" s="76"/>
      <c r="G150" s="60" t="s">
        <v>24</v>
      </c>
      <c r="H150" s="76"/>
      <c r="I150" s="14" t="s">
        <v>61</v>
      </c>
      <c r="J150" s="56"/>
      <c r="K150" s="4" t="str">
        <f t="shared" si="20"/>
        <v/>
      </c>
      <c r="L150" s="17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75"/>
      <c r="C151" s="76"/>
      <c r="D151" s="76"/>
      <c r="E151" s="14" t="s">
        <v>121</v>
      </c>
      <c r="F151" s="76"/>
      <c r="G151" s="60" t="s">
        <v>24</v>
      </c>
      <c r="H151" s="76"/>
      <c r="I151" s="14" t="s">
        <v>123</v>
      </c>
      <c r="J151" s="56"/>
      <c r="K151" s="4" t="str">
        <f t="shared" si="20"/>
        <v/>
      </c>
      <c r="L151" s="17" t="str">
        <f t="shared" si="21"/>
        <v/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4"/>
      <c r="B152" s="75"/>
      <c r="C152" s="76"/>
      <c r="D152" s="76"/>
      <c r="E152" s="14" t="s">
        <v>64</v>
      </c>
      <c r="F152" s="76"/>
      <c r="G152" s="60" t="s">
        <v>24</v>
      </c>
      <c r="H152" s="76"/>
      <c r="I152" s="14" t="s">
        <v>63</v>
      </c>
      <c r="J152" s="56"/>
      <c r="K152" s="4" t="str">
        <f t="shared" si="20"/>
        <v/>
      </c>
      <c r="L152" s="17" t="str">
        <f t="shared" si="21"/>
        <v/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4"/>
      <c r="B153" s="75"/>
      <c r="C153" s="60"/>
      <c r="D153" s="76"/>
      <c r="E153" s="14" t="s">
        <v>45</v>
      </c>
      <c r="F153" s="76"/>
      <c r="G153" s="60" t="s">
        <v>24</v>
      </c>
      <c r="H153" s="76"/>
      <c r="I153" s="14" t="s">
        <v>54</v>
      </c>
      <c r="J153" s="56"/>
      <c r="K153" s="4" t="str">
        <f t="shared" si="20"/>
        <v/>
      </c>
      <c r="L153" s="17" t="str">
        <f t="shared" si="21"/>
        <v/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4"/>
      <c r="B154" s="75"/>
      <c r="C154" s="76"/>
      <c r="D154" s="76"/>
      <c r="E154" s="14" t="s">
        <v>56</v>
      </c>
      <c r="F154" s="76"/>
      <c r="G154" s="60" t="s">
        <v>24</v>
      </c>
      <c r="H154" s="76"/>
      <c r="I154" s="14">
        <v>0.0</v>
      </c>
      <c r="J154" s="56"/>
      <c r="K154" s="4" t="str">
        <f t="shared" si="20"/>
        <v/>
      </c>
      <c r="L154" s="17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75"/>
      <c r="C155" s="60"/>
      <c r="D155" s="76"/>
      <c r="E155" s="14" t="s">
        <v>122</v>
      </c>
      <c r="F155" s="76"/>
      <c r="G155" s="60" t="s">
        <v>24</v>
      </c>
      <c r="H155" s="76"/>
      <c r="I155" s="14" t="s">
        <v>61</v>
      </c>
      <c r="J155" s="56"/>
      <c r="K155" s="4" t="str">
        <f t="shared" si="20"/>
        <v/>
      </c>
      <c r="L155" s="17" t="str">
        <f t="shared" si="21"/>
        <v/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75"/>
      <c r="C156" s="60"/>
      <c r="D156" s="60"/>
      <c r="E156" s="14" t="s">
        <v>61</v>
      </c>
      <c r="F156" s="76"/>
      <c r="G156" s="60" t="s">
        <v>24</v>
      </c>
      <c r="H156" s="76"/>
      <c r="I156" s="14" t="s">
        <v>121</v>
      </c>
      <c r="J156" s="56"/>
      <c r="K156" s="4" t="str">
        <f t="shared" si="20"/>
        <v/>
      </c>
      <c r="L156" s="17" t="str">
        <f t="shared" si="21"/>
        <v/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4"/>
      <c r="B157" s="75"/>
      <c r="C157" s="60"/>
      <c r="D157" s="60"/>
      <c r="E157" s="14" t="s">
        <v>123</v>
      </c>
      <c r="F157" s="76"/>
      <c r="G157" s="60" t="s">
        <v>24</v>
      </c>
      <c r="H157" s="76"/>
      <c r="I157" s="14" t="s">
        <v>64</v>
      </c>
      <c r="J157" s="56"/>
      <c r="K157" s="4" t="str">
        <f t="shared" si="20"/>
        <v/>
      </c>
      <c r="L157" s="17" t="str">
        <f t="shared" si="21"/>
        <v/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4"/>
      <c r="B158" s="75"/>
      <c r="C158" s="60"/>
      <c r="D158" s="60"/>
      <c r="E158" s="14" t="s">
        <v>63</v>
      </c>
      <c r="F158" s="76"/>
      <c r="G158" s="60" t="s">
        <v>24</v>
      </c>
      <c r="H158" s="76"/>
      <c r="I158" s="14" t="s">
        <v>45</v>
      </c>
      <c r="J158" s="56"/>
      <c r="K158" s="4" t="str">
        <f t="shared" si="20"/>
        <v/>
      </c>
      <c r="L158" s="17" t="str">
        <f t="shared" si="21"/>
        <v/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4"/>
      <c r="B159" s="75"/>
      <c r="C159" s="60"/>
      <c r="D159" s="60"/>
      <c r="E159" s="14" t="s">
        <v>54</v>
      </c>
      <c r="F159" s="76"/>
      <c r="G159" s="60" t="s">
        <v>24</v>
      </c>
      <c r="H159" s="76"/>
      <c r="I159" s="14" t="s">
        <v>56</v>
      </c>
      <c r="J159" s="56"/>
      <c r="K159" s="4" t="str">
        <f t="shared" si="20"/>
        <v/>
      </c>
      <c r="L159" s="17" t="str">
        <f t="shared" si="21"/>
        <v/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5"/>
      <c r="C160" s="60"/>
      <c r="D160" s="60"/>
      <c r="E160" s="14">
        <v>0.0</v>
      </c>
      <c r="F160" s="76"/>
      <c r="G160" s="60" t="s">
        <v>24</v>
      </c>
      <c r="H160" s="76"/>
      <c r="I160" s="14" t="s">
        <v>122</v>
      </c>
      <c r="J160" s="56"/>
      <c r="K160" s="4" t="str">
        <f t="shared" si="20"/>
        <v/>
      </c>
      <c r="L160" s="17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5"/>
      <c r="C161" s="60"/>
      <c r="D161" s="60"/>
      <c r="E161" s="14" t="s">
        <v>121</v>
      </c>
      <c r="F161" s="76"/>
      <c r="G161" s="60" t="s">
        <v>24</v>
      </c>
      <c r="H161" s="76"/>
      <c r="I161" s="14" t="s">
        <v>122</v>
      </c>
      <c r="J161" s="56"/>
      <c r="K161" s="4" t="str">
        <f t="shared" si="20"/>
        <v/>
      </c>
      <c r="L161" s="17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4"/>
      <c r="B162" s="75"/>
      <c r="C162" s="60"/>
      <c r="D162" s="60"/>
      <c r="E162" s="14" t="s">
        <v>64</v>
      </c>
      <c r="F162" s="76"/>
      <c r="G162" s="60" t="s">
        <v>24</v>
      </c>
      <c r="H162" s="76"/>
      <c r="I162" s="14" t="s">
        <v>61</v>
      </c>
      <c r="J162" s="56"/>
      <c r="K162" s="4" t="str">
        <f t="shared" si="20"/>
        <v/>
      </c>
      <c r="L162" s="17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4"/>
      <c r="B163" s="75"/>
      <c r="C163" s="60"/>
      <c r="D163" s="60"/>
      <c r="E163" s="14" t="s">
        <v>45</v>
      </c>
      <c r="F163" s="76"/>
      <c r="G163" s="60" t="s">
        <v>24</v>
      </c>
      <c r="H163" s="76"/>
      <c r="I163" s="14" t="s">
        <v>123</v>
      </c>
      <c r="J163" s="56"/>
      <c r="K163" s="4" t="str">
        <f t="shared" si="20"/>
        <v/>
      </c>
      <c r="L163" s="17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4"/>
      <c r="B164" s="75"/>
      <c r="C164" s="60"/>
      <c r="D164" s="60"/>
      <c r="E164" s="14" t="s">
        <v>56</v>
      </c>
      <c r="F164" s="76"/>
      <c r="G164" s="60" t="s">
        <v>24</v>
      </c>
      <c r="H164" s="76"/>
      <c r="I164" s="14" t="s">
        <v>63</v>
      </c>
      <c r="J164" s="56"/>
      <c r="K164" s="4" t="str">
        <f t="shared" si="20"/>
        <v/>
      </c>
      <c r="L164" s="17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5"/>
      <c r="C165" s="60"/>
      <c r="D165" s="60"/>
      <c r="E165" s="14" t="s">
        <v>54</v>
      </c>
      <c r="F165" s="76"/>
      <c r="G165" s="60" t="s">
        <v>24</v>
      </c>
      <c r="H165" s="76"/>
      <c r="I165" s="14">
        <v>0.0</v>
      </c>
      <c r="J165" s="56"/>
      <c r="K165" s="4" t="str">
        <f t="shared" si="20"/>
        <v/>
      </c>
      <c r="L165" s="17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5"/>
      <c r="C166" s="60"/>
      <c r="D166" s="60"/>
      <c r="E166" s="14">
        <v>0.0</v>
      </c>
      <c r="F166" s="76"/>
      <c r="G166" s="60" t="s">
        <v>24</v>
      </c>
      <c r="H166" s="76"/>
      <c r="I166" s="14" t="s">
        <v>121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4"/>
      <c r="B167" s="75"/>
      <c r="C167" s="60"/>
      <c r="D167" s="60"/>
      <c r="E167" s="14" t="s">
        <v>122</v>
      </c>
      <c r="F167" s="14"/>
      <c r="G167" s="60" t="s">
        <v>24</v>
      </c>
      <c r="H167" s="14"/>
      <c r="I167" s="14" t="s">
        <v>64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4"/>
      <c r="B168" s="75"/>
      <c r="C168" s="60"/>
      <c r="D168" s="60"/>
      <c r="E168" s="14" t="s">
        <v>61</v>
      </c>
      <c r="F168" s="76"/>
      <c r="G168" s="60" t="s">
        <v>24</v>
      </c>
      <c r="H168" s="76"/>
      <c r="I168" s="14" t="s">
        <v>45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4"/>
      <c r="B169" s="75"/>
      <c r="C169" s="60"/>
      <c r="D169" s="60"/>
      <c r="E169" s="14" t="s">
        <v>123</v>
      </c>
      <c r="F169" s="76"/>
      <c r="G169" s="60" t="s">
        <v>24</v>
      </c>
      <c r="H169" s="76"/>
      <c r="I169" s="14" t="s">
        <v>56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5"/>
      <c r="C170" s="60"/>
      <c r="D170" s="60"/>
      <c r="E170" s="14" t="s">
        <v>63</v>
      </c>
      <c r="F170" s="76"/>
      <c r="G170" s="60" t="s">
        <v>24</v>
      </c>
      <c r="H170" s="76"/>
      <c r="I170" s="14" t="s">
        <v>54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4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4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4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4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6"/>
    </row>
    <row r="177" ht="15.75" customHeight="1">
      <c r="A177" s="85">
        <v>1.0</v>
      </c>
      <c r="B177" s="39"/>
      <c r="C177" s="12"/>
      <c r="D177" s="12"/>
      <c r="E177" s="40" t="s">
        <v>126</v>
      </c>
      <c r="F177" s="13"/>
      <c r="G177" s="16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1" t="s">
        <v>126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6">
        <v>1.0</v>
      </c>
      <c r="AE177" s="63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56"/>
    </row>
    <row r="178" ht="15.75" customHeight="1">
      <c r="A178" s="85">
        <v>2.0</v>
      </c>
      <c r="B178" s="39"/>
      <c r="C178" s="12"/>
      <c r="D178" s="12"/>
      <c r="E178" s="40" t="s">
        <v>127</v>
      </c>
      <c r="F178" s="13"/>
      <c r="G178" s="16" t="s">
        <v>24</v>
      </c>
      <c r="H178" s="13"/>
      <c r="I178" s="40" t="s">
        <v>128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1" t="s">
        <v>127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56"/>
      <c r="X178" s="56"/>
      <c r="Y178" s="56"/>
      <c r="Z178" s="56"/>
      <c r="AA178" s="56"/>
      <c r="AB178" s="56"/>
      <c r="AC178" s="56"/>
      <c r="AD178" s="86">
        <v>2.0</v>
      </c>
      <c r="AE178" s="63" t="s">
        <v>127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56"/>
    </row>
    <row r="179" ht="15.75" customHeight="1">
      <c r="A179" s="85">
        <v>3.0</v>
      </c>
      <c r="B179" s="39"/>
      <c r="C179" s="12"/>
      <c r="D179" s="12"/>
      <c r="E179" s="40" t="s">
        <v>128</v>
      </c>
      <c r="F179" s="13"/>
      <c r="G179" s="16" t="s">
        <v>24</v>
      </c>
      <c r="H179" s="13"/>
      <c r="I179" s="40" t="s">
        <v>126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1" t="s">
        <v>128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56"/>
      <c r="X179" s="56"/>
      <c r="Y179" s="56"/>
      <c r="Z179" s="56"/>
      <c r="AA179" s="56"/>
      <c r="AB179" s="56"/>
      <c r="AC179" s="56"/>
      <c r="AD179" s="21">
        <v>3.0</v>
      </c>
      <c r="AE179" s="63" t="s">
        <v>128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56"/>
    </row>
    <row r="180" ht="15.75" customHeight="1">
      <c r="A180" s="84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4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4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4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68</v>
      </c>
      <c r="B186" s="39"/>
      <c r="C186" s="12"/>
      <c r="D186" s="12"/>
      <c r="E186" s="40" t="s">
        <v>69</v>
      </c>
      <c r="F186" s="30"/>
      <c r="G186" s="16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4"/>
      <c r="B187" s="39"/>
      <c r="C187" s="12"/>
      <c r="D187" s="12"/>
      <c r="E187" s="40" t="s">
        <v>71</v>
      </c>
      <c r="F187" s="30"/>
      <c r="G187" s="16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4"/>
      <c r="B188" s="39"/>
      <c r="C188" s="12"/>
      <c r="D188" s="12"/>
      <c r="E188" s="40" t="s">
        <v>73</v>
      </c>
      <c r="F188" s="30"/>
      <c r="G188" s="16" t="s">
        <v>24</v>
      </c>
      <c r="H188" s="30"/>
      <c r="I188" s="40" t="s">
        <v>74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75</v>
      </c>
      <c r="F189" s="30"/>
      <c r="G189" s="16" t="s">
        <v>24</v>
      </c>
      <c r="H189" s="30"/>
      <c r="I189" s="40" t="s">
        <v>76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77</v>
      </c>
      <c r="B190" s="39"/>
      <c r="C190" s="12"/>
      <c r="D190" s="12"/>
      <c r="E190" s="40" t="s">
        <v>78</v>
      </c>
      <c r="F190" s="30"/>
      <c r="G190" s="16" t="s">
        <v>24</v>
      </c>
      <c r="H190" s="30"/>
      <c r="I190" s="40" t="s">
        <v>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4"/>
      <c r="B191" s="49"/>
      <c r="C191" s="30"/>
      <c r="D191" s="12"/>
      <c r="E191" s="42" t="s">
        <v>80</v>
      </c>
      <c r="F191" s="13"/>
      <c r="G191" s="16" t="s">
        <v>24</v>
      </c>
      <c r="H191" s="13"/>
      <c r="I191" s="40" t="s">
        <v>81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82</v>
      </c>
      <c r="B192" s="29"/>
      <c r="C192" s="30"/>
      <c r="D192" s="12"/>
      <c r="E192" s="40" t="s">
        <v>83</v>
      </c>
      <c r="F192" s="30"/>
      <c r="G192" s="16" t="s">
        <v>24</v>
      </c>
      <c r="H192" s="30"/>
      <c r="I192" s="43" t="s">
        <v>84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85</v>
      </c>
      <c r="B193" s="29"/>
      <c r="C193" s="30"/>
      <c r="D193" s="12"/>
      <c r="E193" s="40" t="s">
        <v>86</v>
      </c>
      <c r="F193" s="30"/>
      <c r="G193" s="16" t="s">
        <v>24</v>
      </c>
      <c r="H193" s="30"/>
      <c r="I193" s="40" t="s">
        <v>87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4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4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4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4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4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4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4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4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4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4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4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4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4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4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4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4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4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4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4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4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4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4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4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4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4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4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4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4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4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4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4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4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4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4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4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4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4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4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4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4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4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4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4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4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4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4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4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4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4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4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4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4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4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4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4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4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4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4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4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4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4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4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4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4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4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4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4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4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4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4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4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4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4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4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4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4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4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4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4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4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4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4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4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4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4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4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4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4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4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4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4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4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4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4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4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4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4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4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4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4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4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4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4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4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4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4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4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4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4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4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4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4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4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4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4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4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4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4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4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4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4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4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4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4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87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97</v>
      </c>
      <c r="D3" s="64" t="s">
        <v>94</v>
      </c>
      <c r="E3" s="40" t="s">
        <v>25</v>
      </c>
      <c r="F3" s="14">
        <v>12.0</v>
      </c>
      <c r="G3" s="76" t="s">
        <v>24</v>
      </c>
      <c r="H3" s="14">
        <v>4.0</v>
      </c>
      <c r="I3" s="40" t="s">
        <v>57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1" t="s">
        <v>25</v>
      </c>
      <c r="P3" s="17">
        <f t="shared" ref="P3:P16" si="3">SUMIF(E$3:E$51,O3,K$3:K$51)+SUMIF(I$3:I$51,O3,L$3:L$51)</f>
        <v>8</v>
      </c>
      <c r="Q3" s="17">
        <f t="shared" ref="Q3:Q16" si="4">COUNTIFS(E$3:E$51,O3,K$3:K$51,2)+COUNTIFS(I$3:I$51,O3,L$3:L$51,2)</f>
        <v>4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1</v>
      </c>
      <c r="T3" s="17">
        <f t="shared" ref="T3:T16" si="7">SUMIF(E$3:E$51,O3,F$3:F$51)+SUMIF(I$3:I$51,O3,H$3:H$51)</f>
        <v>74</v>
      </c>
      <c r="U3" s="19">
        <f t="shared" ref="U3:U16" si="8">SUMIF(E$3:E$51,O3,H$3:H$51)+SUMIF(I$3:I$51,O3,F$3:F$51)</f>
        <v>44</v>
      </c>
      <c r="V3" s="17">
        <f t="shared" ref="V3:V16" si="9">T3-U3</f>
        <v>30</v>
      </c>
      <c r="W3" s="56"/>
      <c r="X3" s="56"/>
      <c r="Y3" s="56"/>
      <c r="Z3" s="56"/>
      <c r="AA3" s="21" t="s">
        <v>29</v>
      </c>
      <c r="AB3" s="63" t="str">
        <f t="array" ref="AB3:AI16">SORT(O3:V16,2,FALSE,8,FALSE,8,FALSE())</f>
        <v>Eng. Mecânica</v>
      </c>
      <c r="AC3" s="22">
        <v>10.0</v>
      </c>
      <c r="AD3" s="22">
        <v>5.0</v>
      </c>
      <c r="AE3" s="22">
        <v>0.0</v>
      </c>
      <c r="AF3" s="23">
        <v>0.0</v>
      </c>
      <c r="AG3" s="22">
        <v>85.0</v>
      </c>
      <c r="AH3" s="23">
        <v>43.0</v>
      </c>
      <c r="AI3" s="22">
        <v>42.0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39">
        <v>45951.0</v>
      </c>
      <c r="C4" s="12" t="s">
        <v>97</v>
      </c>
      <c r="D4" s="64" t="s">
        <v>94</v>
      </c>
      <c r="E4" s="40" t="s">
        <v>23</v>
      </c>
      <c r="F4" s="14">
        <v>21.0</v>
      </c>
      <c r="G4" s="76" t="s">
        <v>24</v>
      </c>
      <c r="H4" s="14">
        <v>5.0</v>
      </c>
      <c r="I4" s="40" t="s">
        <v>133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1" t="s">
        <v>23</v>
      </c>
      <c r="P4" s="17">
        <f t="shared" si="3"/>
        <v>8</v>
      </c>
      <c r="Q4" s="17">
        <f t="shared" si="4"/>
        <v>4</v>
      </c>
      <c r="R4" s="17">
        <f t="shared" si="5"/>
        <v>0</v>
      </c>
      <c r="S4" s="19">
        <f t="shared" si="6"/>
        <v>1</v>
      </c>
      <c r="T4" s="17">
        <f t="shared" si="7"/>
        <v>96</v>
      </c>
      <c r="U4" s="19">
        <f t="shared" si="8"/>
        <v>50</v>
      </c>
      <c r="V4" s="17">
        <f t="shared" si="9"/>
        <v>46</v>
      </c>
      <c r="W4" s="56"/>
      <c r="X4" s="56"/>
      <c r="Y4" s="56"/>
      <c r="Z4" s="56"/>
      <c r="AA4" s="21" t="s">
        <v>34</v>
      </c>
      <c r="AB4" s="63" t="s">
        <v>23</v>
      </c>
      <c r="AC4" s="22">
        <v>8.0</v>
      </c>
      <c r="AD4" s="22">
        <v>4.0</v>
      </c>
      <c r="AE4" s="22">
        <v>0.0</v>
      </c>
      <c r="AF4" s="23">
        <v>1.0</v>
      </c>
      <c r="AG4" s="22">
        <v>96.0</v>
      </c>
      <c r="AH4" s="23">
        <v>50.0</v>
      </c>
      <c r="AI4" s="22">
        <v>46.0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39">
        <v>45951.0</v>
      </c>
      <c r="C5" s="12" t="s">
        <v>98</v>
      </c>
      <c r="D5" s="64" t="s">
        <v>94</v>
      </c>
      <c r="E5" s="40" t="s">
        <v>37</v>
      </c>
      <c r="F5" s="14">
        <v>14.0</v>
      </c>
      <c r="G5" s="76" t="s">
        <v>24</v>
      </c>
      <c r="H5" s="14">
        <v>4.0</v>
      </c>
      <c r="I5" s="40" t="s">
        <v>59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1" t="s">
        <v>37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2</v>
      </c>
      <c r="T5" s="17">
        <f t="shared" si="7"/>
        <v>45</v>
      </c>
      <c r="U5" s="19">
        <f t="shared" si="8"/>
        <v>49</v>
      </c>
      <c r="V5" s="17">
        <f t="shared" si="9"/>
        <v>-4</v>
      </c>
      <c r="W5" s="56"/>
      <c r="X5" s="56"/>
      <c r="Y5" s="56"/>
      <c r="Z5" s="56"/>
      <c r="AA5" s="21" t="s">
        <v>39</v>
      </c>
      <c r="AB5" s="63" t="s">
        <v>25</v>
      </c>
      <c r="AC5" s="22">
        <v>8.0</v>
      </c>
      <c r="AD5" s="22">
        <v>4.0</v>
      </c>
      <c r="AE5" s="22">
        <v>0.0</v>
      </c>
      <c r="AF5" s="23">
        <v>1.0</v>
      </c>
      <c r="AG5" s="22">
        <v>74.0</v>
      </c>
      <c r="AH5" s="23">
        <v>44.0</v>
      </c>
      <c r="AI5" s="22">
        <v>30.0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39">
        <v>45951.0</v>
      </c>
      <c r="C6" s="12" t="s">
        <v>98</v>
      </c>
      <c r="D6" s="64" t="s">
        <v>94</v>
      </c>
      <c r="E6" s="40" t="s">
        <v>33</v>
      </c>
      <c r="F6" s="14">
        <v>15.0</v>
      </c>
      <c r="G6" s="76" t="s">
        <v>24</v>
      </c>
      <c r="H6" s="14">
        <v>3.0</v>
      </c>
      <c r="I6" s="40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1" t="s">
        <v>33</v>
      </c>
      <c r="P6" s="17">
        <f t="shared" si="3"/>
        <v>10</v>
      </c>
      <c r="Q6" s="17">
        <f t="shared" si="4"/>
        <v>5</v>
      </c>
      <c r="R6" s="17">
        <f t="shared" si="5"/>
        <v>0</v>
      </c>
      <c r="S6" s="19">
        <f t="shared" si="6"/>
        <v>0</v>
      </c>
      <c r="T6" s="17">
        <f t="shared" si="7"/>
        <v>85</v>
      </c>
      <c r="U6" s="19">
        <f t="shared" si="8"/>
        <v>43</v>
      </c>
      <c r="V6" s="17">
        <f t="shared" si="9"/>
        <v>42</v>
      </c>
      <c r="W6" s="56"/>
      <c r="X6" s="56"/>
      <c r="Y6" s="56"/>
      <c r="Z6" s="56"/>
      <c r="AA6" s="47" t="s">
        <v>43</v>
      </c>
      <c r="AB6" s="63" t="s">
        <v>60</v>
      </c>
      <c r="AC6" s="22">
        <v>6.0</v>
      </c>
      <c r="AD6" s="22">
        <v>3.0</v>
      </c>
      <c r="AE6" s="22">
        <v>0.0</v>
      </c>
      <c r="AF6" s="23">
        <v>1.0</v>
      </c>
      <c r="AG6" s="22">
        <v>31.0</v>
      </c>
      <c r="AH6" s="23">
        <v>23.0</v>
      </c>
      <c r="AI6" s="22">
        <v>8.0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39">
        <v>45951.0</v>
      </c>
      <c r="C7" s="12" t="s">
        <v>99</v>
      </c>
      <c r="D7" s="64" t="s">
        <v>94</v>
      </c>
      <c r="E7" s="40" t="s">
        <v>65</v>
      </c>
      <c r="F7" s="88"/>
      <c r="G7" s="76" t="s">
        <v>24</v>
      </c>
      <c r="H7" s="88"/>
      <c r="I7" s="40" t="s">
        <v>60</v>
      </c>
      <c r="J7" s="4"/>
      <c r="K7" s="4" t="str">
        <f t="shared" si="1"/>
        <v/>
      </c>
      <c r="L7" s="17" t="str">
        <f t="shared" si="2"/>
        <v/>
      </c>
      <c r="M7" s="4"/>
      <c r="N7" s="17">
        <v>5.0</v>
      </c>
      <c r="O7" s="61" t="s">
        <v>57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3</v>
      </c>
      <c r="T7" s="17">
        <f t="shared" si="7"/>
        <v>20</v>
      </c>
      <c r="U7" s="19">
        <f t="shared" si="8"/>
        <v>36</v>
      </c>
      <c r="V7" s="17">
        <f t="shared" si="9"/>
        <v>-16</v>
      </c>
      <c r="W7" s="56"/>
      <c r="X7" s="56"/>
      <c r="Y7" s="56"/>
      <c r="Z7" s="56"/>
      <c r="AA7" s="47" t="s">
        <v>44</v>
      </c>
      <c r="AB7" s="63" t="s">
        <v>31</v>
      </c>
      <c r="AC7" s="22">
        <v>4.0</v>
      </c>
      <c r="AD7" s="22">
        <v>2.0</v>
      </c>
      <c r="AE7" s="22">
        <v>0.0</v>
      </c>
      <c r="AF7" s="23">
        <v>1.0</v>
      </c>
      <c r="AG7" s="22">
        <v>34.0</v>
      </c>
      <c r="AH7" s="23">
        <v>18.0</v>
      </c>
      <c r="AI7" s="22">
        <v>16.0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39">
        <v>45951.0</v>
      </c>
      <c r="C8" s="12" t="s">
        <v>99</v>
      </c>
      <c r="D8" s="64" t="s">
        <v>94</v>
      </c>
      <c r="E8" s="40" t="s">
        <v>41</v>
      </c>
      <c r="F8" s="14">
        <v>3.0</v>
      </c>
      <c r="G8" s="76" t="s">
        <v>24</v>
      </c>
      <c r="H8" s="14">
        <v>9.0</v>
      </c>
      <c r="I8" s="40" t="s">
        <v>116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1" t="s">
        <v>133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3</v>
      </c>
      <c r="T8" s="17">
        <f t="shared" si="7"/>
        <v>32</v>
      </c>
      <c r="U8" s="19">
        <f t="shared" si="8"/>
        <v>47</v>
      </c>
      <c r="V8" s="17">
        <f t="shared" si="9"/>
        <v>-15</v>
      </c>
      <c r="W8" s="56"/>
      <c r="X8" s="56"/>
      <c r="Y8" s="56"/>
      <c r="Z8" s="56"/>
      <c r="AA8" s="47" t="s">
        <v>47</v>
      </c>
      <c r="AB8" s="63" t="s">
        <v>116</v>
      </c>
      <c r="AC8" s="22">
        <v>4.0</v>
      </c>
      <c r="AD8" s="22">
        <v>2.0</v>
      </c>
      <c r="AE8" s="22">
        <v>0.0</v>
      </c>
      <c r="AF8" s="23">
        <v>2.0</v>
      </c>
      <c r="AG8" s="22">
        <v>30.0</v>
      </c>
      <c r="AH8" s="23">
        <v>27.0</v>
      </c>
      <c r="AI8" s="22">
        <v>3.0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39">
        <v>45951.0</v>
      </c>
      <c r="C9" s="12" t="s">
        <v>100</v>
      </c>
      <c r="D9" s="64" t="s">
        <v>94</v>
      </c>
      <c r="E9" s="40" t="s">
        <v>64</v>
      </c>
      <c r="F9" s="14">
        <v>1.0</v>
      </c>
      <c r="G9" s="76" t="s">
        <v>24</v>
      </c>
      <c r="H9" s="14">
        <v>9.0</v>
      </c>
      <c r="I9" s="40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59</v>
      </c>
      <c r="P9" s="17">
        <f t="shared" si="3"/>
        <v>2</v>
      </c>
      <c r="Q9" s="17">
        <f t="shared" si="4"/>
        <v>1</v>
      </c>
      <c r="R9" s="17">
        <f t="shared" si="5"/>
        <v>0</v>
      </c>
      <c r="S9" s="19">
        <f t="shared" si="6"/>
        <v>3</v>
      </c>
      <c r="T9" s="17">
        <f t="shared" si="7"/>
        <v>30</v>
      </c>
      <c r="U9" s="19">
        <f t="shared" si="8"/>
        <v>58</v>
      </c>
      <c r="V9" s="17">
        <f t="shared" si="9"/>
        <v>-28</v>
      </c>
      <c r="W9" s="56"/>
      <c r="X9" s="56"/>
      <c r="Y9" s="56"/>
      <c r="Z9" s="56"/>
      <c r="AA9" s="47" t="s">
        <v>48</v>
      </c>
      <c r="AB9" s="63" t="s">
        <v>37</v>
      </c>
      <c r="AC9" s="22">
        <v>4.0</v>
      </c>
      <c r="AD9" s="22">
        <v>2.0</v>
      </c>
      <c r="AE9" s="22">
        <v>0.0</v>
      </c>
      <c r="AF9" s="23">
        <v>2.0</v>
      </c>
      <c r="AG9" s="22">
        <v>45.0</v>
      </c>
      <c r="AH9" s="23">
        <v>49.0</v>
      </c>
      <c r="AI9" s="22">
        <v>-4.0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58">
        <v>2.0</v>
      </c>
      <c r="B10" s="39">
        <v>45951.0</v>
      </c>
      <c r="C10" s="12" t="s">
        <v>100</v>
      </c>
      <c r="D10" s="64" t="s">
        <v>94</v>
      </c>
      <c r="E10" s="40" t="s">
        <v>25</v>
      </c>
      <c r="F10" s="14">
        <v>14.0</v>
      </c>
      <c r="G10" s="76" t="s">
        <v>24</v>
      </c>
      <c r="H10" s="14">
        <v>3.0</v>
      </c>
      <c r="I10" s="40" t="s">
        <v>45</v>
      </c>
      <c r="J10" s="4"/>
      <c r="K10" s="4">
        <f t="shared" si="1"/>
        <v>2</v>
      </c>
      <c r="L10" s="17">
        <f t="shared" si="2"/>
        <v>0</v>
      </c>
      <c r="M10" s="4"/>
      <c r="N10" s="42">
        <v>8.0</v>
      </c>
      <c r="O10" s="61" t="s">
        <v>45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3</v>
      </c>
      <c r="T10" s="17">
        <f t="shared" si="7"/>
        <v>14</v>
      </c>
      <c r="U10" s="19">
        <f t="shared" si="8"/>
        <v>43</v>
      </c>
      <c r="V10" s="17">
        <f t="shared" si="9"/>
        <v>-29</v>
      </c>
      <c r="W10" s="56"/>
      <c r="X10" s="56"/>
      <c r="Y10" s="56"/>
      <c r="Z10" s="56"/>
      <c r="AA10" s="47" t="s">
        <v>134</v>
      </c>
      <c r="AB10" s="63" t="s">
        <v>64</v>
      </c>
      <c r="AC10" s="22">
        <v>4.0</v>
      </c>
      <c r="AD10" s="22">
        <v>2.0</v>
      </c>
      <c r="AE10" s="22">
        <v>0.0</v>
      </c>
      <c r="AF10" s="23">
        <v>3.0</v>
      </c>
      <c r="AG10" s="22">
        <v>34.0</v>
      </c>
      <c r="AH10" s="23">
        <v>44.0</v>
      </c>
      <c r="AI10" s="22">
        <v>-10.0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39">
        <v>45951.0</v>
      </c>
      <c r="C11" s="12" t="s">
        <v>101</v>
      </c>
      <c r="D11" s="64" t="s">
        <v>94</v>
      </c>
      <c r="E11" s="40" t="s">
        <v>23</v>
      </c>
      <c r="F11" s="14">
        <v>21.0</v>
      </c>
      <c r="G11" s="76" t="s">
        <v>24</v>
      </c>
      <c r="H11" s="14">
        <v>10.0</v>
      </c>
      <c r="I11" s="40" t="s">
        <v>59</v>
      </c>
      <c r="J11" s="4"/>
      <c r="K11" s="4">
        <f t="shared" si="1"/>
        <v>2</v>
      </c>
      <c r="L11" s="17">
        <f t="shared" si="2"/>
        <v>0</v>
      </c>
      <c r="M11" s="4"/>
      <c r="N11" s="71">
        <v>9.0</v>
      </c>
      <c r="O11" s="71" t="s">
        <v>65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0</v>
      </c>
      <c r="T11" s="17">
        <f t="shared" si="7"/>
        <v>0</v>
      </c>
      <c r="U11" s="19">
        <f t="shared" si="8"/>
        <v>0</v>
      </c>
      <c r="V11" s="17">
        <f t="shared" si="9"/>
        <v>0</v>
      </c>
      <c r="W11" s="56"/>
      <c r="X11" s="56"/>
      <c r="Y11" s="56"/>
      <c r="Z11" s="56"/>
      <c r="AA11" s="21">
        <v>9.0</v>
      </c>
      <c r="AB11" s="63" t="s">
        <v>133</v>
      </c>
      <c r="AC11" s="22">
        <v>2.0</v>
      </c>
      <c r="AD11" s="22">
        <v>1.0</v>
      </c>
      <c r="AE11" s="22">
        <v>0.0</v>
      </c>
      <c r="AF11" s="23">
        <v>3.0</v>
      </c>
      <c r="AG11" s="22">
        <v>32.0</v>
      </c>
      <c r="AH11" s="23">
        <v>47.0</v>
      </c>
      <c r="AI11" s="22">
        <v>-15.0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45951.0</v>
      </c>
      <c r="C12" s="12" t="s">
        <v>101</v>
      </c>
      <c r="D12" s="64" t="s">
        <v>94</v>
      </c>
      <c r="E12" s="40" t="s">
        <v>37</v>
      </c>
      <c r="F12" s="14">
        <v>12.0</v>
      </c>
      <c r="G12" s="76" t="s">
        <v>24</v>
      </c>
      <c r="H12" s="14">
        <v>4.0</v>
      </c>
      <c r="I12" s="40" t="s">
        <v>133</v>
      </c>
      <c r="J12" s="4"/>
      <c r="K12" s="4">
        <f t="shared" si="1"/>
        <v>2</v>
      </c>
      <c r="L12" s="17">
        <f t="shared" si="2"/>
        <v>0</v>
      </c>
      <c r="M12" s="4"/>
      <c r="N12" s="71">
        <v>10.0</v>
      </c>
      <c r="O12" s="71" t="s">
        <v>60</v>
      </c>
      <c r="P12" s="17">
        <f t="shared" si="3"/>
        <v>6</v>
      </c>
      <c r="Q12" s="17">
        <f t="shared" si="4"/>
        <v>3</v>
      </c>
      <c r="R12" s="17">
        <f t="shared" si="5"/>
        <v>0</v>
      </c>
      <c r="S12" s="19">
        <f t="shared" si="6"/>
        <v>1</v>
      </c>
      <c r="T12" s="17">
        <f t="shared" si="7"/>
        <v>31</v>
      </c>
      <c r="U12" s="19">
        <f t="shared" si="8"/>
        <v>23</v>
      </c>
      <c r="V12" s="17">
        <f t="shared" si="9"/>
        <v>8</v>
      </c>
      <c r="W12" s="56"/>
      <c r="X12" s="56"/>
      <c r="Y12" s="56"/>
      <c r="Z12" s="56"/>
      <c r="AA12" s="21">
        <v>10.0</v>
      </c>
      <c r="AB12" s="63" t="s">
        <v>59</v>
      </c>
      <c r="AC12" s="22">
        <v>2.0</v>
      </c>
      <c r="AD12" s="22">
        <v>1.0</v>
      </c>
      <c r="AE12" s="22">
        <v>0.0</v>
      </c>
      <c r="AF12" s="23">
        <v>3.0</v>
      </c>
      <c r="AG12" s="22">
        <v>30.0</v>
      </c>
      <c r="AH12" s="23">
        <v>58.0</v>
      </c>
      <c r="AI12" s="22">
        <v>-28.0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39">
        <v>45951.0</v>
      </c>
      <c r="C13" s="12" t="s">
        <v>103</v>
      </c>
      <c r="D13" s="64" t="s">
        <v>94</v>
      </c>
      <c r="E13" s="40" t="s">
        <v>33</v>
      </c>
      <c r="F13" s="14">
        <v>12.0</v>
      </c>
      <c r="G13" s="76" t="s">
        <v>24</v>
      </c>
      <c r="H13" s="14">
        <v>10.0</v>
      </c>
      <c r="I13" s="40" t="s">
        <v>57</v>
      </c>
      <c r="J13" s="4"/>
      <c r="K13" s="4">
        <f t="shared" si="1"/>
        <v>2</v>
      </c>
      <c r="L13" s="17">
        <f t="shared" si="2"/>
        <v>0</v>
      </c>
      <c r="M13" s="4"/>
      <c r="N13" s="71">
        <v>11.0</v>
      </c>
      <c r="O13" s="71" t="s">
        <v>41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4</v>
      </c>
      <c r="T13" s="17">
        <f t="shared" si="7"/>
        <v>6</v>
      </c>
      <c r="U13" s="19">
        <f t="shared" si="8"/>
        <v>49</v>
      </c>
      <c r="V13" s="17">
        <f t="shared" si="9"/>
        <v>-43</v>
      </c>
      <c r="W13" s="56"/>
      <c r="X13" s="56"/>
      <c r="Y13" s="56"/>
      <c r="Z13" s="56"/>
      <c r="AA13" s="21">
        <v>11.0</v>
      </c>
      <c r="AB13" s="63" t="s">
        <v>45</v>
      </c>
      <c r="AC13" s="22">
        <v>2.0</v>
      </c>
      <c r="AD13" s="22">
        <v>1.0</v>
      </c>
      <c r="AE13" s="22">
        <v>0.0</v>
      </c>
      <c r="AF13" s="23">
        <v>3.0</v>
      </c>
      <c r="AG13" s="22">
        <v>14.0</v>
      </c>
      <c r="AH13" s="23">
        <v>43.0</v>
      </c>
      <c r="AI13" s="22">
        <v>-29.0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39">
        <v>45951.0</v>
      </c>
      <c r="C14" s="12" t="s">
        <v>103</v>
      </c>
      <c r="D14" s="64" t="s">
        <v>94</v>
      </c>
      <c r="E14" s="40" t="s">
        <v>135</v>
      </c>
      <c r="F14" s="88"/>
      <c r="G14" s="76" t="s">
        <v>24</v>
      </c>
      <c r="H14" s="88"/>
      <c r="I14" s="40" t="s">
        <v>31</v>
      </c>
      <c r="J14" s="4"/>
      <c r="K14" s="4" t="str">
        <f t="shared" si="1"/>
        <v/>
      </c>
      <c r="L14" s="17" t="str">
        <f t="shared" si="2"/>
        <v/>
      </c>
      <c r="M14" s="4"/>
      <c r="N14" s="71">
        <v>12.0</v>
      </c>
      <c r="O14" s="71" t="s">
        <v>116</v>
      </c>
      <c r="P14" s="17">
        <f t="shared" si="3"/>
        <v>4</v>
      </c>
      <c r="Q14" s="17">
        <f t="shared" si="4"/>
        <v>2</v>
      </c>
      <c r="R14" s="17">
        <f t="shared" si="5"/>
        <v>0</v>
      </c>
      <c r="S14" s="19">
        <f t="shared" si="6"/>
        <v>2</v>
      </c>
      <c r="T14" s="17">
        <f t="shared" si="7"/>
        <v>30</v>
      </c>
      <c r="U14" s="19">
        <f t="shared" si="8"/>
        <v>27</v>
      </c>
      <c r="V14" s="17">
        <f t="shared" si="9"/>
        <v>3</v>
      </c>
      <c r="W14" s="56"/>
      <c r="X14" s="56"/>
      <c r="Y14" s="56"/>
      <c r="Z14" s="56"/>
      <c r="AA14" s="21">
        <v>12.0</v>
      </c>
      <c r="AB14" s="63" t="s">
        <v>65</v>
      </c>
      <c r="AC14" s="22">
        <v>0.0</v>
      </c>
      <c r="AD14" s="22">
        <v>0.0</v>
      </c>
      <c r="AE14" s="22">
        <v>0.0</v>
      </c>
      <c r="AF14" s="23">
        <v>0.0</v>
      </c>
      <c r="AG14" s="22">
        <v>0.0</v>
      </c>
      <c r="AH14" s="23">
        <v>0.0</v>
      </c>
      <c r="AI14" s="22">
        <v>0.0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39">
        <v>45951.0</v>
      </c>
      <c r="C15" s="12" t="s">
        <v>104</v>
      </c>
      <c r="D15" s="64" t="s">
        <v>94</v>
      </c>
      <c r="E15" s="40" t="s">
        <v>41</v>
      </c>
      <c r="F15" s="14">
        <v>1.0</v>
      </c>
      <c r="G15" s="76" t="s">
        <v>24</v>
      </c>
      <c r="H15" s="14">
        <v>13.0</v>
      </c>
      <c r="I15" s="40" t="s">
        <v>64</v>
      </c>
      <c r="J15" s="4"/>
      <c r="K15" s="4">
        <f t="shared" si="1"/>
        <v>0</v>
      </c>
      <c r="L15" s="17">
        <f t="shared" si="2"/>
        <v>2</v>
      </c>
      <c r="M15" s="4"/>
      <c r="N15" s="89">
        <v>13.0</v>
      </c>
      <c r="O15" s="89" t="s">
        <v>64</v>
      </c>
      <c r="P15" s="17">
        <f t="shared" si="3"/>
        <v>4</v>
      </c>
      <c r="Q15" s="17">
        <f t="shared" si="4"/>
        <v>2</v>
      </c>
      <c r="R15" s="17">
        <f t="shared" si="5"/>
        <v>0</v>
      </c>
      <c r="S15" s="19">
        <f t="shared" si="6"/>
        <v>3</v>
      </c>
      <c r="T15" s="17">
        <f t="shared" si="7"/>
        <v>34</v>
      </c>
      <c r="U15" s="19">
        <f t="shared" si="8"/>
        <v>44</v>
      </c>
      <c r="V15" s="17">
        <f t="shared" si="9"/>
        <v>-10</v>
      </c>
      <c r="W15" s="56"/>
      <c r="X15" s="56"/>
      <c r="Y15" s="56"/>
      <c r="Z15" s="56"/>
      <c r="AA15" s="21">
        <v>13.0</v>
      </c>
      <c r="AB15" s="63" t="s">
        <v>57</v>
      </c>
      <c r="AC15" s="22">
        <v>0.0</v>
      </c>
      <c r="AD15" s="22">
        <v>0.0</v>
      </c>
      <c r="AE15" s="22">
        <v>0.0</v>
      </c>
      <c r="AF15" s="23">
        <v>3.0</v>
      </c>
      <c r="AG15" s="22">
        <v>20.0</v>
      </c>
      <c r="AH15" s="23">
        <v>36.0</v>
      </c>
      <c r="AI15" s="22">
        <v>-16.0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39">
        <v>45951.0</v>
      </c>
      <c r="C16" s="12" t="s">
        <v>104</v>
      </c>
      <c r="D16" s="64" t="s">
        <v>94</v>
      </c>
      <c r="E16" s="40" t="s">
        <v>60</v>
      </c>
      <c r="F16" s="14">
        <v>6.0</v>
      </c>
      <c r="G16" s="76" t="s">
        <v>24</v>
      </c>
      <c r="H16" s="14">
        <v>2.0</v>
      </c>
      <c r="I16" s="40" t="s">
        <v>116</v>
      </c>
      <c r="J16" s="4"/>
      <c r="K16" s="4">
        <f t="shared" si="1"/>
        <v>2</v>
      </c>
      <c r="L16" s="17">
        <f t="shared" si="2"/>
        <v>0</v>
      </c>
      <c r="M16" s="4"/>
      <c r="N16" s="89">
        <v>14.0</v>
      </c>
      <c r="O16" s="89" t="s">
        <v>31</v>
      </c>
      <c r="P16" s="17">
        <f t="shared" si="3"/>
        <v>4</v>
      </c>
      <c r="Q16" s="17">
        <f t="shared" si="4"/>
        <v>2</v>
      </c>
      <c r="R16" s="17">
        <f t="shared" si="5"/>
        <v>0</v>
      </c>
      <c r="S16" s="19">
        <f t="shared" si="6"/>
        <v>1</v>
      </c>
      <c r="T16" s="17">
        <f t="shared" si="7"/>
        <v>34</v>
      </c>
      <c r="U16" s="19">
        <f t="shared" si="8"/>
        <v>18</v>
      </c>
      <c r="V16" s="17">
        <f t="shared" si="9"/>
        <v>16</v>
      </c>
      <c r="W16" s="56"/>
      <c r="X16" s="56"/>
      <c r="Y16" s="56"/>
      <c r="Z16" s="56"/>
      <c r="AA16" s="21">
        <v>14.0</v>
      </c>
      <c r="AB16" s="63" t="s">
        <v>41</v>
      </c>
      <c r="AC16" s="22">
        <v>0.0</v>
      </c>
      <c r="AD16" s="22">
        <v>0.0</v>
      </c>
      <c r="AE16" s="22">
        <v>0.0</v>
      </c>
      <c r="AF16" s="23">
        <v>4.0</v>
      </c>
      <c r="AG16" s="22">
        <v>6.0</v>
      </c>
      <c r="AH16" s="23">
        <v>49.0</v>
      </c>
      <c r="AI16" s="22">
        <v>-43.0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90">
        <v>46008.0</v>
      </c>
      <c r="C17" s="12" t="s">
        <v>136</v>
      </c>
      <c r="D17" s="64" t="s">
        <v>94</v>
      </c>
      <c r="E17" s="40" t="s">
        <v>25</v>
      </c>
      <c r="F17" s="14">
        <v>15.0</v>
      </c>
      <c r="G17" s="76" t="s">
        <v>24</v>
      </c>
      <c r="H17" s="14">
        <v>20.0</v>
      </c>
      <c r="I17" s="40" t="s">
        <v>33</v>
      </c>
      <c r="J17" s="4"/>
      <c r="K17" s="4">
        <f t="shared" si="1"/>
        <v>0</v>
      </c>
      <c r="L17" s="17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90">
        <v>46008.0</v>
      </c>
      <c r="C18" s="12" t="s">
        <v>136</v>
      </c>
      <c r="D18" s="64" t="s">
        <v>94</v>
      </c>
      <c r="E18" s="40" t="s">
        <v>23</v>
      </c>
      <c r="F18" s="14">
        <v>20.0</v>
      </c>
      <c r="G18" s="76" t="s">
        <v>24</v>
      </c>
      <c r="H18" s="14">
        <v>11.0</v>
      </c>
      <c r="I18" s="40" t="s">
        <v>37</v>
      </c>
      <c r="J18" s="37"/>
      <c r="K18" s="4">
        <f t="shared" si="1"/>
        <v>2</v>
      </c>
      <c r="L18" s="17">
        <f t="shared" si="2"/>
        <v>0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90">
        <v>46008.0</v>
      </c>
      <c r="C19" s="12" t="s">
        <v>112</v>
      </c>
      <c r="D19" s="64" t="s">
        <v>94</v>
      </c>
      <c r="E19" s="40" t="s">
        <v>57</v>
      </c>
      <c r="F19" s="14"/>
      <c r="G19" s="76" t="s">
        <v>24</v>
      </c>
      <c r="H19" s="14"/>
      <c r="I19" s="40" t="s">
        <v>135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90">
        <v>46008.0</v>
      </c>
      <c r="C20" s="12" t="s">
        <v>112</v>
      </c>
      <c r="D20" s="64" t="s">
        <v>94</v>
      </c>
      <c r="E20" s="40" t="s">
        <v>133</v>
      </c>
      <c r="F20" s="14">
        <v>14.0</v>
      </c>
      <c r="G20" s="76" t="s">
        <v>24</v>
      </c>
      <c r="H20" s="14">
        <v>4.0</v>
      </c>
      <c r="I20" s="40" t="s">
        <v>59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90">
        <v>46008.0</v>
      </c>
      <c r="C21" s="12" t="s">
        <v>106</v>
      </c>
      <c r="D21" s="64" t="s">
        <v>94</v>
      </c>
      <c r="E21" s="40" t="s">
        <v>60</v>
      </c>
      <c r="F21" s="88">
        <v>4.0</v>
      </c>
      <c r="G21" s="76" t="s">
        <v>24</v>
      </c>
      <c r="H21" s="88">
        <v>3.0</v>
      </c>
      <c r="I21" s="40" t="s">
        <v>64</v>
      </c>
      <c r="J21" s="4"/>
      <c r="K21" s="4">
        <f t="shared" si="1"/>
        <v>2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90">
        <v>46008.0</v>
      </c>
      <c r="C22" s="12" t="s">
        <v>51</v>
      </c>
      <c r="D22" s="64" t="s">
        <v>94</v>
      </c>
      <c r="E22" s="40" t="s">
        <v>45</v>
      </c>
      <c r="F22" s="14">
        <v>6.0</v>
      </c>
      <c r="G22" s="76" t="s">
        <v>24</v>
      </c>
      <c r="H22" s="14">
        <v>0.0</v>
      </c>
      <c r="I22" s="40" t="s">
        <v>41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90">
        <v>46008.0</v>
      </c>
      <c r="C23" s="12" t="s">
        <v>109</v>
      </c>
      <c r="D23" s="64" t="s">
        <v>94</v>
      </c>
      <c r="E23" s="40" t="s">
        <v>116</v>
      </c>
      <c r="F23" s="14">
        <v>5.0</v>
      </c>
      <c r="G23" s="76" t="s">
        <v>24</v>
      </c>
      <c r="H23" s="14">
        <v>16.0</v>
      </c>
      <c r="I23" s="40" t="s">
        <v>31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80"/>
      <c r="C24" s="76"/>
      <c r="D24" s="76"/>
      <c r="E24" s="40" t="s">
        <v>25</v>
      </c>
      <c r="F24" s="14">
        <v>21.0</v>
      </c>
      <c r="G24" s="76" t="s">
        <v>24</v>
      </c>
      <c r="H24" s="14">
        <v>8.0</v>
      </c>
      <c r="I24" s="40" t="s">
        <v>37</v>
      </c>
      <c r="J24" s="4"/>
      <c r="K24" s="4">
        <f t="shared" si="1"/>
        <v>2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0"/>
      <c r="C25" s="76"/>
      <c r="D25" s="76"/>
      <c r="E25" s="40" t="s">
        <v>23</v>
      </c>
      <c r="F25" s="14">
        <v>13.0</v>
      </c>
      <c r="G25" s="76" t="s">
        <v>24</v>
      </c>
      <c r="H25" s="14">
        <v>17.0</v>
      </c>
      <c r="I25" s="40" t="s">
        <v>33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80"/>
      <c r="C26" s="76"/>
      <c r="D26" s="76"/>
      <c r="E26" s="40" t="s">
        <v>57</v>
      </c>
      <c r="F26" s="76"/>
      <c r="G26" s="76" t="s">
        <v>24</v>
      </c>
      <c r="H26" s="76"/>
      <c r="I26" s="40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80"/>
      <c r="C27" s="76"/>
      <c r="D27" s="76"/>
      <c r="E27" s="40" t="s">
        <v>133</v>
      </c>
      <c r="F27" s="14">
        <v>9.0</v>
      </c>
      <c r="G27" s="76" t="s">
        <v>24</v>
      </c>
      <c r="H27" s="14">
        <v>10.0</v>
      </c>
      <c r="I27" s="40" t="s">
        <v>64</v>
      </c>
      <c r="J27" s="4"/>
      <c r="K27" s="4">
        <f t="shared" si="1"/>
        <v>0</v>
      </c>
      <c r="L27" s="17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80"/>
      <c r="C28" s="76"/>
      <c r="D28" s="76"/>
      <c r="E28" s="40" t="s">
        <v>59</v>
      </c>
      <c r="F28" s="88">
        <v>12.0</v>
      </c>
      <c r="G28" s="76" t="s">
        <v>24</v>
      </c>
      <c r="H28" s="88">
        <v>9.0</v>
      </c>
      <c r="I28" s="40" t="s">
        <v>60</v>
      </c>
      <c r="J28" s="4"/>
      <c r="K28" s="4">
        <f t="shared" si="1"/>
        <v>2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80"/>
      <c r="C29" s="76"/>
      <c r="D29" s="76"/>
      <c r="E29" s="40" t="s">
        <v>45</v>
      </c>
      <c r="F29" s="14">
        <v>2.0</v>
      </c>
      <c r="G29" s="76" t="s">
        <v>24</v>
      </c>
      <c r="H29" s="14">
        <v>14.0</v>
      </c>
      <c r="I29" s="40" t="s">
        <v>116</v>
      </c>
      <c r="J29" s="4"/>
      <c r="K29" s="4">
        <f t="shared" si="1"/>
        <v>0</v>
      </c>
      <c r="L29" s="17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80"/>
      <c r="C30" s="76"/>
      <c r="D30" s="76"/>
      <c r="E30" s="40" t="s">
        <v>135</v>
      </c>
      <c r="F30" s="76"/>
      <c r="G30" s="76" t="s">
        <v>24</v>
      </c>
      <c r="H30" s="76"/>
      <c r="I30" s="40" t="s">
        <v>41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80"/>
      <c r="C31" s="76"/>
      <c r="D31" s="76"/>
      <c r="E31" s="40" t="s">
        <v>25</v>
      </c>
      <c r="F31" s="14">
        <v>12.0</v>
      </c>
      <c r="G31" s="76" t="s">
        <v>24</v>
      </c>
      <c r="H31" s="14">
        <v>9.0</v>
      </c>
      <c r="I31" s="40" t="s">
        <v>31</v>
      </c>
      <c r="J31" s="56"/>
      <c r="K31" s="4">
        <f t="shared" si="1"/>
        <v>2</v>
      </c>
      <c r="L31" s="17">
        <f t="shared" si="2"/>
        <v>0</v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80"/>
      <c r="C32" s="76"/>
      <c r="D32" s="76"/>
      <c r="E32" s="40" t="s">
        <v>23</v>
      </c>
      <c r="F32" s="14">
        <v>21.0</v>
      </c>
      <c r="G32" s="76" t="s">
        <v>24</v>
      </c>
      <c r="H32" s="14">
        <v>7.0</v>
      </c>
      <c r="I32" s="40" t="s">
        <v>64</v>
      </c>
      <c r="J32" s="56"/>
      <c r="K32" s="4">
        <f t="shared" si="1"/>
        <v>2</v>
      </c>
      <c r="L32" s="17">
        <f t="shared" si="2"/>
        <v>0</v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80"/>
      <c r="C33" s="76"/>
      <c r="D33" s="76"/>
      <c r="E33" s="40" t="s">
        <v>37</v>
      </c>
      <c r="F33" s="76"/>
      <c r="G33" s="76" t="s">
        <v>24</v>
      </c>
      <c r="H33" s="76"/>
      <c r="I33" s="40" t="s">
        <v>135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80"/>
      <c r="C34" s="76"/>
      <c r="D34" s="76"/>
      <c r="E34" s="40" t="s">
        <v>33</v>
      </c>
      <c r="F34" s="14">
        <v>21.0</v>
      </c>
      <c r="G34" s="76" t="s">
        <v>24</v>
      </c>
      <c r="H34" s="14">
        <v>2.0</v>
      </c>
      <c r="I34" s="40" t="s">
        <v>41</v>
      </c>
      <c r="J34" s="56"/>
      <c r="K34" s="4">
        <f t="shared" si="1"/>
        <v>2</v>
      </c>
      <c r="L34" s="17">
        <f t="shared" si="2"/>
        <v>0</v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80"/>
      <c r="C35" s="76"/>
      <c r="D35" s="76"/>
      <c r="E35" s="40" t="s">
        <v>57</v>
      </c>
      <c r="F35" s="88">
        <v>6.0</v>
      </c>
      <c r="G35" s="76" t="s">
        <v>24</v>
      </c>
      <c r="H35" s="88">
        <v>12.0</v>
      </c>
      <c r="I35" s="40" t="s">
        <v>60</v>
      </c>
      <c r="J35" s="56"/>
      <c r="K35" s="4">
        <f t="shared" si="1"/>
        <v>0</v>
      </c>
      <c r="L35" s="17">
        <f t="shared" si="2"/>
        <v>2</v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80"/>
      <c r="C36" s="76"/>
      <c r="D36" s="76"/>
      <c r="E36" s="40" t="s">
        <v>133</v>
      </c>
      <c r="F36" s="76"/>
      <c r="G36" s="76" t="s">
        <v>24</v>
      </c>
      <c r="H36" s="76"/>
      <c r="I36" s="40" t="s">
        <v>116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80"/>
      <c r="C37" s="76"/>
      <c r="D37" s="76"/>
      <c r="E37" s="40" t="s">
        <v>59</v>
      </c>
      <c r="F37" s="76"/>
      <c r="G37" s="76" t="s">
        <v>24</v>
      </c>
      <c r="H37" s="76"/>
      <c r="I37" s="40" t="s">
        <v>45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80"/>
      <c r="C38" s="76"/>
      <c r="D38" s="76"/>
      <c r="E38" s="40" t="s">
        <v>25</v>
      </c>
      <c r="F38" s="76"/>
      <c r="G38" s="76" t="s">
        <v>24</v>
      </c>
      <c r="H38" s="76"/>
      <c r="I38" s="40" t="s">
        <v>64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80"/>
      <c r="C39" s="76"/>
      <c r="D39" s="76"/>
      <c r="E39" s="40" t="s">
        <v>23</v>
      </c>
      <c r="F39" s="76"/>
      <c r="G39" s="76" t="s">
        <v>24</v>
      </c>
      <c r="H39" s="76"/>
      <c r="I39" s="40" t="s">
        <v>116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80"/>
      <c r="C40" s="76"/>
      <c r="D40" s="76"/>
      <c r="E40" s="40" t="s">
        <v>37</v>
      </c>
      <c r="F40" s="76"/>
      <c r="G40" s="76" t="s">
        <v>24</v>
      </c>
      <c r="H40" s="76"/>
      <c r="I40" s="40" t="s">
        <v>41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80"/>
      <c r="C41" s="76"/>
      <c r="D41" s="76"/>
      <c r="E41" s="40" t="s">
        <v>33</v>
      </c>
      <c r="F41" s="76"/>
      <c r="G41" s="76" t="s">
        <v>24</v>
      </c>
      <c r="H41" s="76"/>
      <c r="I41" s="40" t="s">
        <v>60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80"/>
      <c r="C42" s="76"/>
      <c r="D42" s="76"/>
      <c r="E42" s="40" t="s">
        <v>57</v>
      </c>
      <c r="F42" s="27"/>
      <c r="G42" s="76" t="s">
        <v>24</v>
      </c>
      <c r="H42" s="27"/>
      <c r="I42" s="40" t="s">
        <v>133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80"/>
      <c r="C43" s="76"/>
      <c r="D43" s="76"/>
      <c r="E43" s="40" t="s">
        <v>135</v>
      </c>
      <c r="F43" s="76"/>
      <c r="G43" s="76" t="s">
        <v>24</v>
      </c>
      <c r="H43" s="76"/>
      <c r="I43" s="40" t="s">
        <v>45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80"/>
      <c r="C44" s="76"/>
      <c r="D44" s="76"/>
      <c r="E44" s="40" t="s">
        <v>59</v>
      </c>
      <c r="F44" s="76"/>
      <c r="G44" s="76" t="s">
        <v>24</v>
      </c>
      <c r="H44" s="76"/>
      <c r="I44" s="40" t="s">
        <v>31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80"/>
      <c r="C45" s="76"/>
      <c r="D45" s="76"/>
      <c r="E45" s="40" t="s">
        <v>25</v>
      </c>
      <c r="F45" s="76"/>
      <c r="G45" s="76" t="s">
        <v>24</v>
      </c>
      <c r="H45" s="76"/>
      <c r="I45" s="40" t="s">
        <v>116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80"/>
      <c r="C46" s="76"/>
      <c r="D46" s="76"/>
      <c r="E46" s="40" t="s">
        <v>23</v>
      </c>
      <c r="F46" s="76"/>
      <c r="G46" s="76" t="s">
        <v>24</v>
      </c>
      <c r="H46" s="76"/>
      <c r="I46" s="40" t="s">
        <v>31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80"/>
      <c r="C47" s="76"/>
      <c r="D47" s="76"/>
      <c r="E47" s="40" t="s">
        <v>37</v>
      </c>
      <c r="F47" s="14"/>
      <c r="G47" s="76" t="s">
        <v>24</v>
      </c>
      <c r="H47" s="14"/>
      <c r="I47" s="40" t="s">
        <v>60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80"/>
      <c r="C48" s="76"/>
      <c r="D48" s="76"/>
      <c r="E48" s="40" t="s">
        <v>33</v>
      </c>
      <c r="F48" s="76"/>
      <c r="G48" s="76" t="s">
        <v>24</v>
      </c>
      <c r="H48" s="76"/>
      <c r="I48" s="40" t="s">
        <v>135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80"/>
      <c r="C49" s="76"/>
      <c r="D49" s="76"/>
      <c r="E49" s="40" t="s">
        <v>57</v>
      </c>
      <c r="F49" s="27"/>
      <c r="G49" s="76" t="s">
        <v>24</v>
      </c>
      <c r="H49" s="27"/>
      <c r="I49" s="40" t="s">
        <v>45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80"/>
      <c r="C50" s="76"/>
      <c r="D50" s="76"/>
      <c r="E50" s="40" t="s">
        <v>133</v>
      </c>
      <c r="F50" s="76"/>
      <c r="G50" s="76" t="s">
        <v>24</v>
      </c>
      <c r="H50" s="76"/>
      <c r="I50" s="40" t="s">
        <v>41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80"/>
      <c r="C51" s="76"/>
      <c r="D51" s="76"/>
      <c r="E51" s="40" t="s">
        <v>59</v>
      </c>
      <c r="F51" s="76"/>
      <c r="G51" s="76" t="s">
        <v>24</v>
      </c>
      <c r="H51" s="76"/>
      <c r="I51" s="40" t="s">
        <v>64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4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4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4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4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68</v>
      </c>
      <c r="B58" s="39"/>
      <c r="C58" s="12"/>
      <c r="D58" s="12"/>
      <c r="E58" s="40" t="s">
        <v>69</v>
      </c>
      <c r="F58" s="30"/>
      <c r="G58" s="16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39"/>
      <c r="C59" s="12"/>
      <c r="D59" s="12"/>
      <c r="E59" s="40" t="s">
        <v>71</v>
      </c>
      <c r="F59" s="30"/>
      <c r="G59" s="16" t="s">
        <v>24</v>
      </c>
      <c r="H59" s="30"/>
      <c r="I59" s="40" t="s">
        <v>72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39"/>
      <c r="C60" s="12"/>
      <c r="D60" s="12"/>
      <c r="E60" s="40" t="s">
        <v>73</v>
      </c>
      <c r="F60" s="30"/>
      <c r="G60" s="16" t="s">
        <v>24</v>
      </c>
      <c r="H60" s="30"/>
      <c r="I60" s="40" t="s">
        <v>74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6" t="s">
        <v>24</v>
      </c>
      <c r="H61" s="30"/>
      <c r="I61" s="40" t="s">
        <v>76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77</v>
      </c>
      <c r="B62" s="39"/>
      <c r="C62" s="12"/>
      <c r="D62" s="12"/>
      <c r="E62" s="40" t="s">
        <v>78</v>
      </c>
      <c r="F62" s="30"/>
      <c r="G62" s="16" t="s">
        <v>24</v>
      </c>
      <c r="H62" s="30"/>
      <c r="I62" s="40" t="s">
        <v>79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49"/>
      <c r="C63" s="30"/>
      <c r="D63" s="12"/>
      <c r="E63" s="42" t="s">
        <v>80</v>
      </c>
      <c r="F63" s="13"/>
      <c r="G63" s="16" t="s">
        <v>24</v>
      </c>
      <c r="H63" s="13"/>
      <c r="I63" s="40" t="s">
        <v>81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82</v>
      </c>
      <c r="B64" s="29"/>
      <c r="C64" s="30"/>
      <c r="D64" s="12"/>
      <c r="E64" s="40" t="s">
        <v>83</v>
      </c>
      <c r="F64" s="30"/>
      <c r="G64" s="16" t="s">
        <v>24</v>
      </c>
      <c r="H64" s="30"/>
      <c r="I64" s="43" t="s">
        <v>84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85</v>
      </c>
      <c r="B65" s="29"/>
      <c r="C65" s="30"/>
      <c r="D65" s="12"/>
      <c r="E65" s="40" t="s">
        <v>86</v>
      </c>
      <c r="F65" s="30"/>
      <c r="G65" s="16" t="s">
        <v>24</v>
      </c>
      <c r="H65" s="30"/>
      <c r="I65" s="40" t="s">
        <v>87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4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4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4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4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4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4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4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4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4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4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4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4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4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4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4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4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4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4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4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4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4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4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4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4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4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4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4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4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4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4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4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4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4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4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4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4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4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4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4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4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4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4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4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4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4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4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4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4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4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4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4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4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4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4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4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4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4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4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4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4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4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4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4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4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4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4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4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4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4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4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4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4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4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4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4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4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4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4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4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4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4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4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4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4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4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4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4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4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4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4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4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4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4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4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4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4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4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4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4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4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4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4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4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4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4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4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4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4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4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4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4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4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4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4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4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4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4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4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4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4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4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4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4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4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4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87" t="s">
        <v>140</v>
      </c>
      <c r="H1" s="36"/>
      <c r="I1" s="36"/>
      <c r="J1" s="71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45965.0</v>
      </c>
      <c r="C3" s="65" t="s">
        <v>141</v>
      </c>
      <c r="D3" s="12" t="s">
        <v>94</v>
      </c>
      <c r="E3" s="40" t="s">
        <v>32</v>
      </c>
      <c r="F3" s="14">
        <v>2.0</v>
      </c>
      <c r="G3" s="76" t="s">
        <v>24</v>
      </c>
      <c r="H3" s="14">
        <v>4.0</v>
      </c>
      <c r="I3" s="40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1" t="s">
        <v>32</v>
      </c>
      <c r="P3" s="17">
        <f t="shared" ref="P3:P17" si="3">SUMIF(E$3:E$62,O3,K$3:K$62)+SUMIF(I$3:I$62,O3,L$3:L$62)</f>
        <v>6</v>
      </c>
      <c r="Q3" s="17">
        <f t="shared" ref="Q3:Q17" si="4">COUNTIFS(E$3:E$62,O3,K$3:K$62,3)+COUNTIFS(I$3:I$62,O3,L$3:L$62,3)</f>
        <v>2</v>
      </c>
      <c r="R3" s="17">
        <f t="shared" ref="R3:R17" si="5">COUNTIFS(E$3:E$62,O3,K$3:K$62,1)+COUNTIFS(I$3:I$62,O3,L$3:L$62,1)</f>
        <v>0</v>
      </c>
      <c r="S3" s="19">
        <f t="shared" ref="S3:S17" si="6">COUNTIFS(E$3:E$62,O3,K$3:K$62,0)+COUNTIFS(I$3:I$62,O3,L$3:L$62,0)</f>
        <v>3</v>
      </c>
      <c r="T3" s="17">
        <f t="shared" ref="T3:T17" si="7">SUMIF(E$3:E$62,O3,F$3:F$62)+SUMIF(I$3:I$62,O3,H$3:H$62)</f>
        <v>16</v>
      </c>
      <c r="U3" s="19">
        <f t="shared" ref="U3:U17" si="8">SUMIF(E$3:E$62,O3,H$3:H$62)+SUMIF(I$3:I$62,O3,F$3:F$62)</f>
        <v>10</v>
      </c>
      <c r="V3" s="17">
        <f t="shared" ref="V3:V17" si="9">T3-U3</f>
        <v>6</v>
      </c>
      <c r="W3" s="56"/>
      <c r="X3" s="56"/>
      <c r="Y3" s="21" t="s">
        <v>29</v>
      </c>
      <c r="Z3" s="63" t="str">
        <f t="array" ref="Z3:AG17">SORT(O3:V17,2,FALSE,8,FALSE,8,FALSE())</f>
        <v>Matemática</v>
      </c>
      <c r="AA3" s="22">
        <v>15.0</v>
      </c>
      <c r="AB3" s="22">
        <v>5.0</v>
      </c>
      <c r="AC3" s="22">
        <v>0.0</v>
      </c>
      <c r="AD3" s="23">
        <v>0.0</v>
      </c>
      <c r="AE3" s="22">
        <v>31.0</v>
      </c>
      <c r="AF3" s="23">
        <v>3.0</v>
      </c>
      <c r="AG3" s="22">
        <v>28.0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39">
        <v>45965.0</v>
      </c>
      <c r="C4" s="12" t="s">
        <v>21</v>
      </c>
      <c r="D4" s="12" t="s">
        <v>94</v>
      </c>
      <c r="E4" s="40" t="s">
        <v>31</v>
      </c>
      <c r="F4" s="14">
        <v>3.0</v>
      </c>
      <c r="G4" s="76" t="s">
        <v>24</v>
      </c>
      <c r="H4" s="14">
        <v>0.0</v>
      </c>
      <c r="I4" s="40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1" t="s">
        <v>31</v>
      </c>
      <c r="P4" s="17">
        <f t="shared" si="3"/>
        <v>9</v>
      </c>
      <c r="Q4" s="17">
        <f t="shared" si="4"/>
        <v>3</v>
      </c>
      <c r="R4" s="17">
        <f t="shared" si="5"/>
        <v>0</v>
      </c>
      <c r="S4" s="19">
        <f t="shared" si="6"/>
        <v>1</v>
      </c>
      <c r="T4" s="17">
        <f t="shared" si="7"/>
        <v>15</v>
      </c>
      <c r="U4" s="19">
        <f t="shared" si="8"/>
        <v>11</v>
      </c>
      <c r="V4" s="17">
        <f t="shared" si="9"/>
        <v>4</v>
      </c>
      <c r="W4" s="56"/>
      <c r="X4" s="56"/>
      <c r="Y4" s="21" t="s">
        <v>34</v>
      </c>
      <c r="Z4" s="63" t="s">
        <v>23</v>
      </c>
      <c r="AA4" s="22">
        <v>9.0</v>
      </c>
      <c r="AB4" s="22">
        <v>3.0</v>
      </c>
      <c r="AC4" s="22">
        <v>0.0</v>
      </c>
      <c r="AD4" s="23">
        <v>0.0</v>
      </c>
      <c r="AE4" s="22">
        <v>22.0</v>
      </c>
      <c r="AF4" s="23">
        <v>3.0</v>
      </c>
      <c r="AG4" s="22">
        <v>19.0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39">
        <v>45964.0</v>
      </c>
      <c r="C5" s="65" t="s">
        <v>49</v>
      </c>
      <c r="D5" s="12" t="s">
        <v>94</v>
      </c>
      <c r="E5" s="40" t="s">
        <v>61</v>
      </c>
      <c r="F5" s="14">
        <v>3.0</v>
      </c>
      <c r="G5" s="76" t="s">
        <v>24</v>
      </c>
      <c r="H5" s="14">
        <v>1.0</v>
      </c>
      <c r="I5" s="40" t="s">
        <v>40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1" t="s">
        <v>61</v>
      </c>
      <c r="P5" s="17">
        <f t="shared" si="3"/>
        <v>9</v>
      </c>
      <c r="Q5" s="17">
        <f t="shared" si="4"/>
        <v>3</v>
      </c>
      <c r="R5" s="17">
        <f t="shared" si="5"/>
        <v>0</v>
      </c>
      <c r="S5" s="19">
        <f t="shared" si="6"/>
        <v>0</v>
      </c>
      <c r="T5" s="17">
        <f t="shared" si="7"/>
        <v>28</v>
      </c>
      <c r="U5" s="19">
        <f t="shared" si="8"/>
        <v>12</v>
      </c>
      <c r="V5" s="17">
        <f t="shared" si="9"/>
        <v>16</v>
      </c>
      <c r="W5" s="56"/>
      <c r="X5" s="56"/>
      <c r="Y5" s="21" t="s">
        <v>39</v>
      </c>
      <c r="Z5" s="63" t="s">
        <v>61</v>
      </c>
      <c r="AA5" s="22">
        <v>9.0</v>
      </c>
      <c r="AB5" s="22">
        <v>3.0</v>
      </c>
      <c r="AC5" s="22">
        <v>0.0</v>
      </c>
      <c r="AD5" s="23">
        <v>0.0</v>
      </c>
      <c r="AE5" s="22">
        <v>28.0</v>
      </c>
      <c r="AF5" s="23">
        <v>12.0</v>
      </c>
      <c r="AG5" s="22">
        <v>16.0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39">
        <v>45964.0</v>
      </c>
      <c r="C6" s="65" t="s">
        <v>95</v>
      </c>
      <c r="D6" s="12" t="s">
        <v>94</v>
      </c>
      <c r="E6" s="40" t="s">
        <v>62</v>
      </c>
      <c r="F6" s="14">
        <v>4.0</v>
      </c>
      <c r="G6" s="76" t="s">
        <v>24</v>
      </c>
      <c r="H6" s="14">
        <v>1.0</v>
      </c>
      <c r="I6" s="40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1" t="s">
        <v>62</v>
      </c>
      <c r="P6" s="17">
        <f t="shared" si="3"/>
        <v>15</v>
      </c>
      <c r="Q6" s="17">
        <f t="shared" si="4"/>
        <v>5</v>
      </c>
      <c r="R6" s="17">
        <f t="shared" si="5"/>
        <v>0</v>
      </c>
      <c r="S6" s="19">
        <f t="shared" si="6"/>
        <v>0</v>
      </c>
      <c r="T6" s="17">
        <f t="shared" si="7"/>
        <v>31</v>
      </c>
      <c r="U6" s="19">
        <f t="shared" si="8"/>
        <v>3</v>
      </c>
      <c r="V6" s="17">
        <f t="shared" si="9"/>
        <v>28</v>
      </c>
      <c r="W6" s="56"/>
      <c r="X6" s="56"/>
      <c r="Y6" s="47" t="s">
        <v>43</v>
      </c>
      <c r="Z6" s="63" t="s">
        <v>31</v>
      </c>
      <c r="AA6" s="22">
        <v>9.0</v>
      </c>
      <c r="AB6" s="22">
        <v>3.0</v>
      </c>
      <c r="AC6" s="22">
        <v>0.0</v>
      </c>
      <c r="AD6" s="23">
        <v>1.0</v>
      </c>
      <c r="AE6" s="22">
        <v>15.0</v>
      </c>
      <c r="AF6" s="23">
        <v>11.0</v>
      </c>
      <c r="AG6" s="22">
        <v>4.0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39">
        <v>45964.0</v>
      </c>
      <c r="C7" s="65" t="s">
        <v>142</v>
      </c>
      <c r="D7" s="12" t="s">
        <v>94</v>
      </c>
      <c r="E7" s="40" t="s">
        <v>113</v>
      </c>
      <c r="F7" s="88"/>
      <c r="G7" s="76" t="s">
        <v>24</v>
      </c>
      <c r="H7" s="88"/>
      <c r="I7" s="91" t="s">
        <v>65</v>
      </c>
      <c r="J7" s="4"/>
      <c r="K7" s="4" t="str">
        <f t="shared" si="1"/>
        <v/>
      </c>
      <c r="L7" s="17" t="str">
        <f t="shared" si="2"/>
        <v/>
      </c>
      <c r="M7" s="4"/>
      <c r="N7" s="17">
        <v>5.0</v>
      </c>
      <c r="O7" s="61" t="s">
        <v>23</v>
      </c>
      <c r="P7" s="17">
        <f t="shared" si="3"/>
        <v>9</v>
      </c>
      <c r="Q7" s="17">
        <f t="shared" si="4"/>
        <v>3</v>
      </c>
      <c r="R7" s="17">
        <f t="shared" si="5"/>
        <v>0</v>
      </c>
      <c r="S7" s="19">
        <f t="shared" si="6"/>
        <v>0</v>
      </c>
      <c r="T7" s="17">
        <f t="shared" si="7"/>
        <v>22</v>
      </c>
      <c r="U7" s="19">
        <f t="shared" si="8"/>
        <v>3</v>
      </c>
      <c r="V7" s="17">
        <f t="shared" si="9"/>
        <v>19</v>
      </c>
      <c r="W7" s="56"/>
      <c r="X7" s="56"/>
      <c r="Y7" s="47" t="s">
        <v>44</v>
      </c>
      <c r="Z7" s="63" t="s">
        <v>25</v>
      </c>
      <c r="AA7" s="22">
        <v>6.0</v>
      </c>
      <c r="AB7" s="22">
        <v>2.0</v>
      </c>
      <c r="AC7" s="22">
        <v>0.0</v>
      </c>
      <c r="AD7" s="23">
        <v>2.0</v>
      </c>
      <c r="AE7" s="22">
        <v>21.0</v>
      </c>
      <c r="AF7" s="23">
        <v>7.0</v>
      </c>
      <c r="AG7" s="22">
        <v>14.0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39">
        <v>45965.0</v>
      </c>
      <c r="C8" s="65" t="s">
        <v>143</v>
      </c>
      <c r="D8" s="12" t="s">
        <v>94</v>
      </c>
      <c r="E8" s="40" t="s">
        <v>57</v>
      </c>
      <c r="F8" s="14">
        <v>3.0</v>
      </c>
      <c r="G8" s="76" t="s">
        <v>24</v>
      </c>
      <c r="H8" s="14">
        <v>0.0</v>
      </c>
      <c r="I8" s="40" t="s">
        <v>59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1" t="s">
        <v>25</v>
      </c>
      <c r="P8" s="17">
        <f t="shared" si="3"/>
        <v>6</v>
      </c>
      <c r="Q8" s="17">
        <f t="shared" si="4"/>
        <v>2</v>
      </c>
      <c r="R8" s="17">
        <f t="shared" si="5"/>
        <v>0</v>
      </c>
      <c r="S8" s="19">
        <f t="shared" si="6"/>
        <v>2</v>
      </c>
      <c r="T8" s="17">
        <f t="shared" si="7"/>
        <v>21</v>
      </c>
      <c r="U8" s="19">
        <f t="shared" si="8"/>
        <v>7</v>
      </c>
      <c r="V8" s="17">
        <f t="shared" si="9"/>
        <v>14</v>
      </c>
      <c r="W8" s="56"/>
      <c r="X8" s="56"/>
      <c r="Y8" s="47" t="s">
        <v>47</v>
      </c>
      <c r="Z8" s="63" t="s">
        <v>32</v>
      </c>
      <c r="AA8" s="22">
        <v>6.0</v>
      </c>
      <c r="AB8" s="22">
        <v>2.0</v>
      </c>
      <c r="AC8" s="22">
        <v>0.0</v>
      </c>
      <c r="AD8" s="23">
        <v>3.0</v>
      </c>
      <c r="AE8" s="22">
        <v>16.0</v>
      </c>
      <c r="AF8" s="23">
        <v>10.0</v>
      </c>
      <c r="AG8" s="22">
        <v>6.0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39">
        <v>45965.0</v>
      </c>
      <c r="C9" s="12" t="s">
        <v>99</v>
      </c>
      <c r="D9" s="12" t="s">
        <v>94</v>
      </c>
      <c r="E9" s="40" t="s">
        <v>111</v>
      </c>
      <c r="F9" s="14">
        <v>3.0</v>
      </c>
      <c r="G9" s="76" t="s">
        <v>24</v>
      </c>
      <c r="H9" s="14">
        <v>7.0</v>
      </c>
      <c r="I9" s="40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1" t="s">
        <v>40</v>
      </c>
      <c r="P9" s="17">
        <f t="shared" si="3"/>
        <v>6</v>
      </c>
      <c r="Q9" s="17">
        <f t="shared" si="4"/>
        <v>2</v>
      </c>
      <c r="R9" s="17">
        <f t="shared" si="5"/>
        <v>0</v>
      </c>
      <c r="S9" s="19">
        <f t="shared" si="6"/>
        <v>2</v>
      </c>
      <c r="T9" s="17">
        <f t="shared" si="7"/>
        <v>11</v>
      </c>
      <c r="U9" s="19">
        <f t="shared" si="8"/>
        <v>11</v>
      </c>
      <c r="V9" s="17">
        <f t="shared" si="9"/>
        <v>0</v>
      </c>
      <c r="W9" s="56"/>
      <c r="X9" s="56"/>
      <c r="Y9" s="47" t="s">
        <v>48</v>
      </c>
      <c r="Z9" s="63" t="s">
        <v>37</v>
      </c>
      <c r="AA9" s="22">
        <v>6.0</v>
      </c>
      <c r="AB9" s="22">
        <v>2.0</v>
      </c>
      <c r="AC9" s="22">
        <v>0.0</v>
      </c>
      <c r="AD9" s="23">
        <v>2.0</v>
      </c>
      <c r="AE9" s="22">
        <v>17.0</v>
      </c>
      <c r="AF9" s="23">
        <v>13.0</v>
      </c>
      <c r="AG9" s="22">
        <v>4.0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58">
        <v>2.0</v>
      </c>
      <c r="B10" s="39">
        <v>45988.0</v>
      </c>
      <c r="C10" s="12" t="s">
        <v>49</v>
      </c>
      <c r="D10" s="12" t="s">
        <v>22</v>
      </c>
      <c r="E10" s="40" t="s">
        <v>32</v>
      </c>
      <c r="F10" s="14">
        <v>0.0</v>
      </c>
      <c r="G10" s="76" t="s">
        <v>24</v>
      </c>
      <c r="H10" s="14">
        <v>1.0</v>
      </c>
      <c r="I10" s="40" t="s">
        <v>144</v>
      </c>
      <c r="J10" s="4"/>
      <c r="K10" s="4">
        <f t="shared" si="1"/>
        <v>0</v>
      </c>
      <c r="L10" s="17">
        <f t="shared" si="2"/>
        <v>3</v>
      </c>
      <c r="M10" s="4"/>
      <c r="N10" s="42">
        <v>8.0</v>
      </c>
      <c r="O10" s="61" t="s">
        <v>33</v>
      </c>
      <c r="P10" s="17">
        <f t="shared" si="3"/>
        <v>3</v>
      </c>
      <c r="Q10" s="17">
        <f t="shared" si="4"/>
        <v>1</v>
      </c>
      <c r="R10" s="17">
        <f t="shared" si="5"/>
        <v>0</v>
      </c>
      <c r="S10" s="19">
        <f t="shared" si="6"/>
        <v>2</v>
      </c>
      <c r="T10" s="17">
        <f t="shared" si="7"/>
        <v>6</v>
      </c>
      <c r="U10" s="19">
        <f t="shared" si="8"/>
        <v>14</v>
      </c>
      <c r="V10" s="17">
        <f t="shared" si="9"/>
        <v>-8</v>
      </c>
      <c r="W10" s="56"/>
      <c r="X10" s="56"/>
      <c r="Y10" s="47" t="s">
        <v>134</v>
      </c>
      <c r="Z10" s="63" t="s">
        <v>40</v>
      </c>
      <c r="AA10" s="22">
        <v>6.0</v>
      </c>
      <c r="AB10" s="22">
        <v>2.0</v>
      </c>
      <c r="AC10" s="22">
        <v>0.0</v>
      </c>
      <c r="AD10" s="23">
        <v>2.0</v>
      </c>
      <c r="AE10" s="22">
        <v>11.0</v>
      </c>
      <c r="AF10" s="23">
        <v>11.0</v>
      </c>
      <c r="AG10" s="22">
        <v>0.0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39">
        <v>45988.0</v>
      </c>
      <c r="C11" s="12" t="s">
        <v>95</v>
      </c>
      <c r="D11" s="12" t="s">
        <v>22</v>
      </c>
      <c r="E11" s="40" t="s">
        <v>31</v>
      </c>
      <c r="F11" s="14">
        <v>5.0</v>
      </c>
      <c r="G11" s="76" t="s">
        <v>24</v>
      </c>
      <c r="H11" s="14">
        <v>3.0</v>
      </c>
      <c r="I11" s="40" t="s">
        <v>111</v>
      </c>
      <c r="J11" s="4"/>
      <c r="K11" s="4">
        <f t="shared" si="1"/>
        <v>3</v>
      </c>
      <c r="L11" s="17">
        <f t="shared" si="2"/>
        <v>0</v>
      </c>
      <c r="M11" s="4"/>
      <c r="N11" s="71">
        <v>9.0</v>
      </c>
      <c r="O11" s="71" t="s">
        <v>113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3</v>
      </c>
      <c r="T11" s="17">
        <f t="shared" si="7"/>
        <v>11</v>
      </c>
      <c r="U11" s="19">
        <f t="shared" si="8"/>
        <v>43</v>
      </c>
      <c r="V11" s="17">
        <f t="shared" si="9"/>
        <v>-32</v>
      </c>
      <c r="W11" s="56"/>
      <c r="X11" s="56"/>
      <c r="Y11" s="21">
        <v>9.0</v>
      </c>
      <c r="Z11" s="63" t="s">
        <v>144</v>
      </c>
      <c r="AA11" s="22">
        <v>6.0</v>
      </c>
      <c r="AB11" s="22">
        <v>2.0</v>
      </c>
      <c r="AC11" s="22">
        <v>0.0</v>
      </c>
      <c r="AD11" s="23">
        <v>2.0</v>
      </c>
      <c r="AE11" s="22">
        <v>12.0</v>
      </c>
      <c r="AF11" s="23">
        <v>14.0</v>
      </c>
      <c r="AG11" s="22">
        <v>-2.0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39"/>
      <c r="C12" s="12"/>
      <c r="D12" s="12" t="s">
        <v>22</v>
      </c>
      <c r="E12" s="40" t="s">
        <v>61</v>
      </c>
      <c r="F12" s="14">
        <v>17.0</v>
      </c>
      <c r="G12" s="76" t="s">
        <v>24</v>
      </c>
      <c r="H12" s="14">
        <v>10.0</v>
      </c>
      <c r="I12" s="40" t="s">
        <v>113</v>
      </c>
      <c r="J12" s="4"/>
      <c r="K12" s="4">
        <f t="shared" si="1"/>
        <v>3</v>
      </c>
      <c r="L12" s="17">
        <f t="shared" si="2"/>
        <v>0</v>
      </c>
      <c r="M12" s="4"/>
      <c r="N12" s="71">
        <v>10.0</v>
      </c>
      <c r="O12" s="71" t="s">
        <v>65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56"/>
      <c r="X12" s="56"/>
      <c r="Y12" s="21">
        <v>10.0</v>
      </c>
      <c r="Z12" s="63" t="s">
        <v>33</v>
      </c>
      <c r="AA12" s="22">
        <v>3.0</v>
      </c>
      <c r="AB12" s="22">
        <v>1.0</v>
      </c>
      <c r="AC12" s="22">
        <v>0.0</v>
      </c>
      <c r="AD12" s="23">
        <v>2.0</v>
      </c>
      <c r="AE12" s="22">
        <v>6.0</v>
      </c>
      <c r="AF12" s="23">
        <v>14.0</v>
      </c>
      <c r="AG12" s="22">
        <v>-8.0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39">
        <v>45988.0</v>
      </c>
      <c r="C13" s="12" t="s">
        <v>145</v>
      </c>
      <c r="D13" s="12" t="s">
        <v>22</v>
      </c>
      <c r="E13" s="40" t="s">
        <v>62</v>
      </c>
      <c r="F13" s="14">
        <v>6.0</v>
      </c>
      <c r="G13" s="76" t="s">
        <v>24</v>
      </c>
      <c r="H13" s="14">
        <v>1.0</v>
      </c>
      <c r="I13" s="40" t="s">
        <v>37</v>
      </c>
      <c r="J13" s="4"/>
      <c r="K13" s="4">
        <f t="shared" si="1"/>
        <v>3</v>
      </c>
      <c r="L13" s="17">
        <f t="shared" si="2"/>
        <v>0</v>
      </c>
      <c r="M13" s="4"/>
      <c r="N13" s="71">
        <v>11.0</v>
      </c>
      <c r="O13" s="71" t="s">
        <v>57</v>
      </c>
      <c r="P13" s="17">
        <f t="shared" si="3"/>
        <v>3</v>
      </c>
      <c r="Q13" s="17">
        <f t="shared" si="4"/>
        <v>1</v>
      </c>
      <c r="R13" s="17">
        <f t="shared" si="5"/>
        <v>0</v>
      </c>
      <c r="S13" s="19">
        <f t="shared" si="6"/>
        <v>1</v>
      </c>
      <c r="T13" s="17">
        <f t="shared" si="7"/>
        <v>3</v>
      </c>
      <c r="U13" s="19">
        <f t="shared" si="8"/>
        <v>11</v>
      </c>
      <c r="V13" s="17">
        <f t="shared" si="9"/>
        <v>-8</v>
      </c>
      <c r="W13" s="56"/>
      <c r="X13" s="56"/>
      <c r="Y13" s="21">
        <v>11.0</v>
      </c>
      <c r="Z13" s="63" t="s">
        <v>57</v>
      </c>
      <c r="AA13" s="22">
        <v>3.0</v>
      </c>
      <c r="AB13" s="22">
        <v>1.0</v>
      </c>
      <c r="AC13" s="22">
        <v>0.0</v>
      </c>
      <c r="AD13" s="23">
        <v>1.0</v>
      </c>
      <c r="AE13" s="22">
        <v>3.0</v>
      </c>
      <c r="AF13" s="23">
        <v>11.0</v>
      </c>
      <c r="AG13" s="22">
        <v>-8.0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39">
        <v>45987.0</v>
      </c>
      <c r="C14" s="12" t="s">
        <v>146</v>
      </c>
      <c r="D14" s="12" t="s">
        <v>22</v>
      </c>
      <c r="E14" s="40" t="s">
        <v>23</v>
      </c>
      <c r="F14" s="88"/>
      <c r="G14" s="76" t="s">
        <v>24</v>
      </c>
      <c r="H14" s="88"/>
      <c r="I14" s="91" t="s">
        <v>65</v>
      </c>
      <c r="J14" s="4"/>
      <c r="K14" s="4" t="str">
        <f t="shared" si="1"/>
        <v/>
      </c>
      <c r="L14" s="17" t="str">
        <f t="shared" si="2"/>
        <v/>
      </c>
      <c r="M14" s="4"/>
      <c r="N14" s="71">
        <v>12.0</v>
      </c>
      <c r="O14" s="71" t="s">
        <v>59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4</v>
      </c>
      <c r="T14" s="17">
        <f t="shared" si="7"/>
        <v>3</v>
      </c>
      <c r="U14" s="19">
        <f t="shared" si="8"/>
        <v>32</v>
      </c>
      <c r="V14" s="17">
        <f t="shared" si="9"/>
        <v>-29</v>
      </c>
      <c r="W14" s="56"/>
      <c r="X14" s="56"/>
      <c r="Y14" s="21">
        <v>12.0</v>
      </c>
      <c r="Z14" s="63" t="s">
        <v>65</v>
      </c>
      <c r="AA14" s="22">
        <v>0.0</v>
      </c>
      <c r="AB14" s="22">
        <v>0.0</v>
      </c>
      <c r="AC14" s="22">
        <v>0.0</v>
      </c>
      <c r="AD14" s="23">
        <v>0.0</v>
      </c>
      <c r="AE14" s="22">
        <v>0.0</v>
      </c>
      <c r="AF14" s="23">
        <v>0.0</v>
      </c>
      <c r="AG14" s="22">
        <v>0.0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39">
        <v>45987.0</v>
      </c>
      <c r="C15" s="12" t="s">
        <v>147</v>
      </c>
      <c r="D15" s="12" t="s">
        <v>22</v>
      </c>
      <c r="E15" s="40" t="s">
        <v>25</v>
      </c>
      <c r="F15" s="14">
        <v>9.0</v>
      </c>
      <c r="G15" s="76" t="s">
        <v>24</v>
      </c>
      <c r="H15" s="14">
        <v>1.0</v>
      </c>
      <c r="I15" s="40" t="s">
        <v>59</v>
      </c>
      <c r="J15" s="4"/>
      <c r="K15" s="4">
        <f t="shared" si="1"/>
        <v>3</v>
      </c>
      <c r="L15" s="17">
        <f t="shared" si="2"/>
        <v>0</v>
      </c>
      <c r="M15" s="4"/>
      <c r="N15" s="89">
        <v>13.0</v>
      </c>
      <c r="O15" s="89" t="s">
        <v>111</v>
      </c>
      <c r="P15" s="17">
        <f t="shared" si="3"/>
        <v>0</v>
      </c>
      <c r="Q15" s="17">
        <f t="shared" si="4"/>
        <v>0</v>
      </c>
      <c r="R15" s="17">
        <f t="shared" si="5"/>
        <v>0</v>
      </c>
      <c r="S15" s="19">
        <f t="shared" si="6"/>
        <v>4</v>
      </c>
      <c r="T15" s="17">
        <f t="shared" si="7"/>
        <v>8</v>
      </c>
      <c r="U15" s="19">
        <f t="shared" si="8"/>
        <v>20</v>
      </c>
      <c r="V15" s="17">
        <f t="shared" si="9"/>
        <v>-12</v>
      </c>
      <c r="W15" s="56"/>
      <c r="X15" s="56"/>
      <c r="Y15" s="21">
        <v>13.0</v>
      </c>
      <c r="Z15" s="63" t="s">
        <v>111</v>
      </c>
      <c r="AA15" s="22">
        <v>0.0</v>
      </c>
      <c r="AB15" s="22">
        <v>0.0</v>
      </c>
      <c r="AC15" s="22">
        <v>0.0</v>
      </c>
      <c r="AD15" s="23">
        <v>4.0</v>
      </c>
      <c r="AE15" s="22">
        <v>8.0</v>
      </c>
      <c r="AF15" s="23">
        <v>20.0</v>
      </c>
      <c r="AG15" s="22">
        <v>-12.0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39">
        <v>45987.0</v>
      </c>
      <c r="C16" s="12" t="s">
        <v>49</v>
      </c>
      <c r="D16" s="12" t="s">
        <v>22</v>
      </c>
      <c r="E16" s="40" t="s">
        <v>40</v>
      </c>
      <c r="F16" s="14">
        <v>2.0</v>
      </c>
      <c r="G16" s="76" t="s">
        <v>24</v>
      </c>
      <c r="H16" s="14">
        <v>5.0</v>
      </c>
      <c r="I16" s="40" t="s">
        <v>33</v>
      </c>
      <c r="J16" s="4"/>
      <c r="K16" s="4">
        <f t="shared" si="1"/>
        <v>0</v>
      </c>
      <c r="L16" s="17">
        <f t="shared" si="2"/>
        <v>3</v>
      </c>
      <c r="M16" s="4"/>
      <c r="N16" s="89">
        <v>14.0</v>
      </c>
      <c r="O16" s="89" t="s">
        <v>144</v>
      </c>
      <c r="P16" s="17">
        <f t="shared" si="3"/>
        <v>6</v>
      </c>
      <c r="Q16" s="17">
        <f t="shared" si="4"/>
        <v>2</v>
      </c>
      <c r="R16" s="17">
        <f t="shared" si="5"/>
        <v>0</v>
      </c>
      <c r="S16" s="19">
        <f t="shared" si="6"/>
        <v>2</v>
      </c>
      <c r="T16" s="17">
        <f t="shared" si="7"/>
        <v>12</v>
      </c>
      <c r="U16" s="19">
        <f t="shared" si="8"/>
        <v>14</v>
      </c>
      <c r="V16" s="17">
        <f t="shared" si="9"/>
        <v>-2</v>
      </c>
      <c r="W16" s="56"/>
      <c r="X16" s="56"/>
      <c r="Y16" s="21">
        <v>14.0</v>
      </c>
      <c r="Z16" s="63" t="s">
        <v>59</v>
      </c>
      <c r="AA16" s="22">
        <v>0.0</v>
      </c>
      <c r="AB16" s="22">
        <v>0.0</v>
      </c>
      <c r="AC16" s="22">
        <v>0.0</v>
      </c>
      <c r="AD16" s="23">
        <v>4.0</v>
      </c>
      <c r="AE16" s="22">
        <v>3.0</v>
      </c>
      <c r="AF16" s="23">
        <v>32.0</v>
      </c>
      <c r="AG16" s="22">
        <v>-29.0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39">
        <v>46373.0</v>
      </c>
      <c r="C17" s="12" t="s">
        <v>103</v>
      </c>
      <c r="D17" s="12" t="s">
        <v>22</v>
      </c>
      <c r="E17" s="40" t="s">
        <v>59</v>
      </c>
      <c r="F17" s="14">
        <v>0.0</v>
      </c>
      <c r="G17" s="76" t="s">
        <v>24</v>
      </c>
      <c r="H17" s="14">
        <v>9.0</v>
      </c>
      <c r="I17" s="40" t="s">
        <v>32</v>
      </c>
      <c r="J17" s="4"/>
      <c r="K17" s="4">
        <f t="shared" si="1"/>
        <v>0</v>
      </c>
      <c r="L17" s="17">
        <f t="shared" si="2"/>
        <v>3</v>
      </c>
      <c r="M17" s="4"/>
      <c r="N17" s="89">
        <v>15.0</v>
      </c>
      <c r="O17" s="89" t="s">
        <v>37</v>
      </c>
      <c r="P17" s="17">
        <f t="shared" si="3"/>
        <v>6</v>
      </c>
      <c r="Q17" s="17">
        <f t="shared" si="4"/>
        <v>2</v>
      </c>
      <c r="R17" s="17">
        <f t="shared" si="5"/>
        <v>0</v>
      </c>
      <c r="S17" s="19">
        <f t="shared" si="6"/>
        <v>2</v>
      </c>
      <c r="T17" s="17">
        <f t="shared" si="7"/>
        <v>17</v>
      </c>
      <c r="U17" s="19">
        <f t="shared" si="8"/>
        <v>13</v>
      </c>
      <c r="V17" s="17">
        <f t="shared" si="9"/>
        <v>4</v>
      </c>
      <c r="W17" s="56"/>
      <c r="X17" s="56"/>
      <c r="Y17" s="47">
        <v>15.0</v>
      </c>
      <c r="Z17" s="63" t="s">
        <v>113</v>
      </c>
      <c r="AA17" s="22">
        <v>0.0</v>
      </c>
      <c r="AB17" s="22">
        <v>0.0</v>
      </c>
      <c r="AC17" s="22">
        <v>0.0</v>
      </c>
      <c r="AD17" s="23">
        <v>3.0</v>
      </c>
      <c r="AE17" s="22">
        <v>11.0</v>
      </c>
      <c r="AF17" s="23">
        <v>43.0</v>
      </c>
      <c r="AG17" s="22">
        <v>-32.0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39">
        <v>46373.0</v>
      </c>
      <c r="C18" s="65" t="s">
        <v>148</v>
      </c>
      <c r="D18" s="12" t="s">
        <v>22</v>
      </c>
      <c r="E18" s="40" t="s">
        <v>144</v>
      </c>
      <c r="F18" s="14">
        <v>0.0</v>
      </c>
      <c r="G18" s="76" t="s">
        <v>24</v>
      </c>
      <c r="H18" s="14">
        <v>6.0</v>
      </c>
      <c r="I18" s="40" t="s">
        <v>31</v>
      </c>
      <c r="J18" s="37"/>
      <c r="K18" s="4">
        <f t="shared" si="1"/>
        <v>0</v>
      </c>
      <c r="L18" s="17">
        <f t="shared" si="2"/>
        <v>3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149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39">
        <v>46373.0</v>
      </c>
      <c r="C19" s="65" t="s">
        <v>150</v>
      </c>
      <c r="D19" s="12" t="s">
        <v>22</v>
      </c>
      <c r="E19" s="92" t="s">
        <v>65</v>
      </c>
      <c r="F19" s="14"/>
      <c r="G19" s="76" t="s">
        <v>24</v>
      </c>
      <c r="H19" s="14"/>
      <c r="I19" s="40" t="s">
        <v>61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39">
        <v>46373.0</v>
      </c>
      <c r="C20" s="65" t="s">
        <v>51</v>
      </c>
      <c r="D20" s="12" t="s">
        <v>22</v>
      </c>
      <c r="E20" s="40" t="s">
        <v>113</v>
      </c>
      <c r="F20" s="14">
        <v>0.0</v>
      </c>
      <c r="G20" s="76" t="s">
        <v>24</v>
      </c>
      <c r="H20" s="14">
        <v>16.0</v>
      </c>
      <c r="I20" s="40" t="s">
        <v>62</v>
      </c>
      <c r="J20" s="4"/>
      <c r="K20" s="4">
        <f t="shared" si="1"/>
        <v>0</v>
      </c>
      <c r="L20" s="17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39">
        <v>46373.0</v>
      </c>
      <c r="C21" s="65" t="s">
        <v>151</v>
      </c>
      <c r="D21" s="12" t="s">
        <v>22</v>
      </c>
      <c r="E21" s="40" t="s">
        <v>33</v>
      </c>
      <c r="F21" s="88">
        <v>0.0</v>
      </c>
      <c r="G21" s="76" t="s">
        <v>24</v>
      </c>
      <c r="H21" s="88">
        <v>8.0</v>
      </c>
      <c r="I21" s="40" t="s">
        <v>23</v>
      </c>
      <c r="J21" s="4"/>
      <c r="K21" s="4">
        <f t="shared" si="1"/>
        <v>0</v>
      </c>
      <c r="L21" s="17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39">
        <v>46373.0</v>
      </c>
      <c r="C22" s="65" t="s">
        <v>152</v>
      </c>
      <c r="D22" s="12" t="s">
        <v>22</v>
      </c>
      <c r="E22" s="40" t="s">
        <v>57</v>
      </c>
      <c r="F22" s="14">
        <v>0.0</v>
      </c>
      <c r="G22" s="76" t="s">
        <v>24</v>
      </c>
      <c r="H22" s="14">
        <v>11.0</v>
      </c>
      <c r="I22" s="40" t="s">
        <v>25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39">
        <v>46373.0</v>
      </c>
      <c r="C23" s="65" t="s">
        <v>30</v>
      </c>
      <c r="D23" s="12" t="s">
        <v>22</v>
      </c>
      <c r="E23" s="40" t="s">
        <v>111</v>
      </c>
      <c r="F23" s="14">
        <v>2.0</v>
      </c>
      <c r="G23" s="76" t="s">
        <v>24</v>
      </c>
      <c r="H23" s="14">
        <v>5.0</v>
      </c>
      <c r="I23" s="40" t="s">
        <v>40</v>
      </c>
      <c r="J23" s="4"/>
      <c r="K23" s="4">
        <f t="shared" si="1"/>
        <v>0</v>
      </c>
      <c r="L23" s="17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80"/>
      <c r="C24" s="76"/>
      <c r="D24" s="76"/>
      <c r="E24" s="40" t="s">
        <v>37</v>
      </c>
      <c r="F24" s="14">
        <v>3.0</v>
      </c>
      <c r="G24" s="76" t="s">
        <v>24</v>
      </c>
      <c r="H24" s="14">
        <v>4.0</v>
      </c>
      <c r="I24" s="40" t="s">
        <v>32</v>
      </c>
      <c r="J24" s="4"/>
      <c r="K24" s="4">
        <f t="shared" si="1"/>
        <v>0</v>
      </c>
      <c r="L24" s="17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80"/>
      <c r="C25" s="76"/>
      <c r="D25" s="76"/>
      <c r="E25" s="40" t="s">
        <v>59</v>
      </c>
      <c r="F25" s="14">
        <v>2.0</v>
      </c>
      <c r="G25" s="76" t="s">
        <v>24</v>
      </c>
      <c r="H25" s="14">
        <v>11.0</v>
      </c>
      <c r="I25" s="40" t="s">
        <v>144</v>
      </c>
      <c r="J25" s="4"/>
      <c r="K25" s="4">
        <f t="shared" si="1"/>
        <v>0</v>
      </c>
      <c r="L25" s="17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80"/>
      <c r="C26" s="76"/>
      <c r="D26" s="76"/>
      <c r="E26" s="40" t="s">
        <v>62</v>
      </c>
      <c r="F26" s="14">
        <v>3.0</v>
      </c>
      <c r="G26" s="76" t="s">
        <v>24</v>
      </c>
      <c r="H26" s="14">
        <v>0.0</v>
      </c>
      <c r="I26" s="40" t="s">
        <v>111</v>
      </c>
      <c r="J26" s="4"/>
      <c r="K26" s="4">
        <f t="shared" si="1"/>
        <v>3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80"/>
      <c r="C27" s="76"/>
      <c r="D27" s="76"/>
      <c r="E27" s="40" t="s">
        <v>57</v>
      </c>
      <c r="F27" s="76"/>
      <c r="G27" s="76" t="s">
        <v>24</v>
      </c>
      <c r="H27" s="76"/>
      <c r="I27" s="93" t="s">
        <v>65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80"/>
      <c r="C28" s="76"/>
      <c r="D28" s="76"/>
      <c r="E28" s="40" t="s">
        <v>113</v>
      </c>
      <c r="F28" s="88"/>
      <c r="G28" s="76" t="s">
        <v>24</v>
      </c>
      <c r="H28" s="88"/>
      <c r="I28" s="40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80"/>
      <c r="C29" s="76"/>
      <c r="D29" s="76"/>
      <c r="E29" s="40" t="s">
        <v>32</v>
      </c>
      <c r="F29" s="14">
        <v>1.0</v>
      </c>
      <c r="G29" s="76" t="s">
        <v>24</v>
      </c>
      <c r="H29" s="14">
        <v>2.0</v>
      </c>
      <c r="I29" s="40" t="s">
        <v>62</v>
      </c>
      <c r="J29" s="4"/>
      <c r="K29" s="4">
        <f t="shared" si="1"/>
        <v>0</v>
      </c>
      <c r="L29" s="17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80"/>
      <c r="C30" s="76"/>
      <c r="D30" s="76"/>
      <c r="E30" s="40" t="s">
        <v>31</v>
      </c>
      <c r="F30" s="14">
        <v>1.0</v>
      </c>
      <c r="G30" s="76" t="s">
        <v>24</v>
      </c>
      <c r="H30" s="14">
        <v>8.0</v>
      </c>
      <c r="I30" s="40" t="s">
        <v>61</v>
      </c>
      <c r="J30" s="4"/>
      <c r="K30" s="4">
        <f t="shared" si="1"/>
        <v>0</v>
      </c>
      <c r="L30" s="17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80"/>
      <c r="C31" s="76"/>
      <c r="D31" s="76"/>
      <c r="E31" s="40" t="s">
        <v>23</v>
      </c>
      <c r="F31" s="14">
        <v>10.0</v>
      </c>
      <c r="G31" s="76" t="s">
        <v>24</v>
      </c>
      <c r="H31" s="14">
        <v>1.0</v>
      </c>
      <c r="I31" s="40" t="s">
        <v>113</v>
      </c>
      <c r="J31" s="56"/>
      <c r="K31" s="4">
        <f t="shared" si="1"/>
        <v>3</v>
      </c>
      <c r="L31" s="17">
        <f t="shared" si="2"/>
        <v>0</v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80"/>
      <c r="C32" s="76"/>
      <c r="D32" s="76"/>
      <c r="E32" s="40" t="s">
        <v>25</v>
      </c>
      <c r="F32" s="14">
        <v>1.0</v>
      </c>
      <c r="G32" s="76" t="s">
        <v>24</v>
      </c>
      <c r="H32" s="14">
        <v>3.0</v>
      </c>
      <c r="I32" s="40" t="s">
        <v>40</v>
      </c>
      <c r="J32" s="56"/>
      <c r="K32" s="4">
        <f t="shared" si="1"/>
        <v>0</v>
      </c>
      <c r="L32" s="17">
        <f t="shared" si="2"/>
        <v>3</v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80"/>
      <c r="C33" s="76"/>
      <c r="D33" s="76"/>
      <c r="E33" s="92" t="s">
        <v>65</v>
      </c>
      <c r="F33" s="14"/>
      <c r="G33" s="76" t="s">
        <v>24</v>
      </c>
      <c r="H33" s="14"/>
      <c r="I33" s="40" t="s">
        <v>111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80"/>
      <c r="C34" s="76"/>
      <c r="D34" s="76"/>
      <c r="E34" s="40" t="s">
        <v>33</v>
      </c>
      <c r="F34" s="14"/>
      <c r="G34" s="76" t="s">
        <v>24</v>
      </c>
      <c r="H34" s="14"/>
      <c r="I34" s="40" t="s">
        <v>57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80"/>
      <c r="C35" s="76"/>
      <c r="D35" s="76"/>
      <c r="E35" s="40" t="s">
        <v>37</v>
      </c>
      <c r="F35" s="88">
        <v>6.0</v>
      </c>
      <c r="G35" s="76" t="s">
        <v>24</v>
      </c>
      <c r="H35" s="88">
        <v>0.0</v>
      </c>
      <c r="I35" s="40" t="s">
        <v>144</v>
      </c>
      <c r="J35" s="56"/>
      <c r="K35" s="4">
        <f t="shared" si="1"/>
        <v>3</v>
      </c>
      <c r="L35" s="17">
        <f t="shared" si="2"/>
        <v>0</v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80"/>
      <c r="C36" s="76"/>
      <c r="D36" s="76"/>
      <c r="E36" s="40" t="s">
        <v>111</v>
      </c>
      <c r="F36" s="76"/>
      <c r="G36" s="76" t="s">
        <v>24</v>
      </c>
      <c r="H36" s="76"/>
      <c r="I36" s="40" t="s">
        <v>32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80"/>
      <c r="C37" s="76"/>
      <c r="D37" s="76"/>
      <c r="E37" s="40" t="s">
        <v>59</v>
      </c>
      <c r="F37" s="76"/>
      <c r="G37" s="76" t="s">
        <v>24</v>
      </c>
      <c r="H37" s="76"/>
      <c r="I37" s="40" t="s">
        <v>31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80"/>
      <c r="C38" s="76"/>
      <c r="D38" s="76"/>
      <c r="E38" s="40" t="s">
        <v>57</v>
      </c>
      <c r="F38" s="76"/>
      <c r="G38" s="76" t="s">
        <v>24</v>
      </c>
      <c r="H38" s="76"/>
      <c r="I38" s="40" t="s">
        <v>61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80"/>
      <c r="C39" s="76"/>
      <c r="D39" s="76"/>
      <c r="E39" s="92" t="s">
        <v>65</v>
      </c>
      <c r="F39" s="76"/>
      <c r="G39" s="76" t="s">
        <v>24</v>
      </c>
      <c r="H39" s="76"/>
      <c r="I39" s="40" t="s">
        <v>62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80"/>
      <c r="C40" s="76"/>
      <c r="D40" s="76"/>
      <c r="E40" s="40" t="s">
        <v>25</v>
      </c>
      <c r="F40" s="14"/>
      <c r="G40" s="76" t="s">
        <v>24</v>
      </c>
      <c r="H40" s="14"/>
      <c r="I40" s="40" t="s">
        <v>23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80"/>
      <c r="C41" s="76"/>
      <c r="D41" s="76"/>
      <c r="E41" s="40" t="s">
        <v>33</v>
      </c>
      <c r="F41" s="76"/>
      <c r="G41" s="76" t="s">
        <v>24</v>
      </c>
      <c r="H41" s="76"/>
      <c r="I41" s="40" t="s">
        <v>37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80"/>
      <c r="C42" s="76"/>
      <c r="D42" s="76"/>
      <c r="E42" s="40" t="s">
        <v>144</v>
      </c>
      <c r="F42" s="27"/>
      <c r="G42" s="76" t="s">
        <v>24</v>
      </c>
      <c r="H42" s="27"/>
      <c r="I42" s="40" t="s">
        <v>40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80"/>
      <c r="C43" s="76"/>
      <c r="D43" s="76"/>
      <c r="E43" s="40" t="s">
        <v>32</v>
      </c>
      <c r="F43" s="76"/>
      <c r="G43" s="76" t="s">
        <v>24</v>
      </c>
      <c r="H43" s="76"/>
      <c r="I43" s="40" t="s">
        <v>33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80"/>
      <c r="C44" s="76"/>
      <c r="D44" s="76"/>
      <c r="E44" s="40" t="s">
        <v>31</v>
      </c>
      <c r="F44" s="76"/>
      <c r="G44" s="76" t="s">
        <v>24</v>
      </c>
      <c r="H44" s="76"/>
      <c r="I44" s="40" t="s">
        <v>40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80"/>
      <c r="C45" s="76"/>
      <c r="D45" s="76"/>
      <c r="E45" s="40" t="s">
        <v>61</v>
      </c>
      <c r="F45" s="76"/>
      <c r="G45" s="76" t="s">
        <v>24</v>
      </c>
      <c r="H45" s="76"/>
      <c r="I45" s="40" t="s">
        <v>25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80"/>
      <c r="C46" s="76"/>
      <c r="D46" s="76"/>
      <c r="E46" s="40" t="s">
        <v>62</v>
      </c>
      <c r="F46" s="76"/>
      <c r="G46" s="76" t="s">
        <v>24</v>
      </c>
      <c r="H46" s="76"/>
      <c r="I46" s="40" t="s">
        <v>23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80"/>
      <c r="C47" s="76"/>
      <c r="D47" s="76"/>
      <c r="E47" s="40" t="s">
        <v>113</v>
      </c>
      <c r="F47" s="14"/>
      <c r="G47" s="76" t="s">
        <v>24</v>
      </c>
      <c r="H47" s="14"/>
      <c r="I47" s="40" t="s">
        <v>144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80"/>
      <c r="C48" s="76"/>
      <c r="D48" s="76"/>
      <c r="E48" s="40" t="s">
        <v>57</v>
      </c>
      <c r="F48" s="76"/>
      <c r="G48" s="76" t="s">
        <v>24</v>
      </c>
      <c r="H48" s="76"/>
      <c r="I48" s="40" t="s">
        <v>37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80"/>
      <c r="C49" s="76"/>
      <c r="D49" s="76"/>
      <c r="E49" s="94" t="s">
        <v>65</v>
      </c>
      <c r="F49" s="27"/>
      <c r="G49" s="76" t="s">
        <v>24</v>
      </c>
      <c r="H49" s="27"/>
      <c r="I49" s="40" t="s">
        <v>59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80"/>
      <c r="C50" s="76"/>
      <c r="D50" s="76"/>
      <c r="E50" s="40" t="s">
        <v>61</v>
      </c>
      <c r="F50" s="76"/>
      <c r="G50" s="76" t="s">
        <v>24</v>
      </c>
      <c r="H50" s="76"/>
      <c r="I50" s="40" t="s">
        <v>32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80"/>
      <c r="C51" s="76"/>
      <c r="D51" s="76"/>
      <c r="E51" s="40" t="s">
        <v>62</v>
      </c>
      <c r="F51" s="76"/>
      <c r="G51" s="76" t="s">
        <v>24</v>
      </c>
      <c r="H51" s="76"/>
      <c r="I51" s="40" t="s">
        <v>31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80"/>
      <c r="C52" s="76"/>
      <c r="D52" s="76"/>
      <c r="E52" s="40" t="s">
        <v>144</v>
      </c>
      <c r="F52" s="76"/>
      <c r="G52" s="76" t="s">
        <v>24</v>
      </c>
      <c r="H52" s="76"/>
      <c r="I52" s="40" t="s">
        <v>23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80"/>
      <c r="C53" s="76"/>
      <c r="D53" s="76"/>
      <c r="E53" s="40" t="s">
        <v>111</v>
      </c>
      <c r="F53" s="76"/>
      <c r="G53" s="76" t="s">
        <v>24</v>
      </c>
      <c r="H53" s="76"/>
      <c r="I53" s="40" t="s">
        <v>25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80"/>
      <c r="C54" s="76"/>
      <c r="D54" s="76"/>
      <c r="E54" s="40" t="s">
        <v>37</v>
      </c>
      <c r="F54" s="14"/>
      <c r="G54" s="76" t="s">
        <v>24</v>
      </c>
      <c r="H54" s="14"/>
      <c r="I54" s="40" t="s">
        <v>40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80"/>
      <c r="C55" s="76"/>
      <c r="D55" s="76"/>
      <c r="E55" s="40" t="s">
        <v>59</v>
      </c>
      <c r="F55" s="76"/>
      <c r="G55" s="76" t="s">
        <v>24</v>
      </c>
      <c r="H55" s="76"/>
      <c r="I55" s="40" t="s">
        <v>33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80"/>
      <c r="C56" s="76"/>
      <c r="D56" s="76"/>
      <c r="E56" s="40" t="s">
        <v>57</v>
      </c>
      <c r="F56" s="27"/>
      <c r="G56" s="76" t="s">
        <v>24</v>
      </c>
      <c r="H56" s="27"/>
      <c r="I56" s="40" t="s">
        <v>113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80"/>
      <c r="C57" s="76"/>
      <c r="D57" s="76"/>
      <c r="E57" s="40" t="s">
        <v>61</v>
      </c>
      <c r="F57" s="14"/>
      <c r="G57" s="76" t="s">
        <v>24</v>
      </c>
      <c r="H57" s="14"/>
      <c r="I57" s="40" t="s">
        <v>37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80"/>
      <c r="C58" s="76"/>
      <c r="D58" s="76"/>
      <c r="E58" s="40" t="s">
        <v>31</v>
      </c>
      <c r="F58" s="76"/>
      <c r="G58" s="76" t="s">
        <v>24</v>
      </c>
      <c r="H58" s="76"/>
      <c r="I58" s="40" t="s">
        <v>57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80"/>
      <c r="C59" s="76"/>
      <c r="D59" s="76"/>
      <c r="E59" s="40" t="s">
        <v>144</v>
      </c>
      <c r="F59" s="76"/>
      <c r="G59" s="76" t="s">
        <v>24</v>
      </c>
      <c r="H59" s="76"/>
      <c r="I59" s="40" t="s">
        <v>111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80"/>
      <c r="C60" s="76"/>
      <c r="D60" s="76"/>
      <c r="E60" s="40" t="s">
        <v>40</v>
      </c>
      <c r="F60" s="76"/>
      <c r="G60" s="76" t="s">
        <v>24</v>
      </c>
      <c r="H60" s="76"/>
      <c r="I60" s="91" t="s">
        <v>65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80"/>
      <c r="C61" s="76"/>
      <c r="D61" s="76"/>
      <c r="E61" s="40" t="s">
        <v>113</v>
      </c>
      <c r="F61" s="76"/>
      <c r="G61" s="76" t="s">
        <v>24</v>
      </c>
      <c r="H61" s="76"/>
      <c r="I61" s="40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80"/>
      <c r="C62" s="76"/>
      <c r="D62" s="76"/>
      <c r="E62" s="40" t="s">
        <v>23</v>
      </c>
      <c r="F62" s="76"/>
      <c r="G62" s="76" t="s">
        <v>24</v>
      </c>
      <c r="H62" s="76"/>
      <c r="I62" s="40" t="s">
        <v>59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4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4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4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4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153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68</v>
      </c>
      <c r="B69" s="39"/>
      <c r="C69" s="12"/>
      <c r="D69" s="12"/>
      <c r="E69" s="40" t="s">
        <v>69</v>
      </c>
      <c r="F69" s="30"/>
      <c r="G69" s="16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39"/>
      <c r="C70" s="12"/>
      <c r="D70" s="12"/>
      <c r="E70" s="40" t="s">
        <v>71</v>
      </c>
      <c r="F70" s="30"/>
      <c r="G70" s="16" t="s">
        <v>24</v>
      </c>
      <c r="H70" s="30"/>
      <c r="I70" s="40" t="s">
        <v>72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39"/>
      <c r="C71" s="12"/>
      <c r="D71" s="12"/>
      <c r="E71" s="40" t="s">
        <v>73</v>
      </c>
      <c r="F71" s="30"/>
      <c r="G71" s="16" t="s">
        <v>24</v>
      </c>
      <c r="H71" s="30"/>
      <c r="I71" s="40" t="s">
        <v>74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6" t="s">
        <v>24</v>
      </c>
      <c r="H72" s="30"/>
      <c r="I72" s="40" t="s">
        <v>76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77</v>
      </c>
      <c r="B73" s="39"/>
      <c r="C73" s="12"/>
      <c r="D73" s="12"/>
      <c r="E73" s="40" t="s">
        <v>78</v>
      </c>
      <c r="F73" s="30"/>
      <c r="G73" s="16" t="s">
        <v>24</v>
      </c>
      <c r="H73" s="30"/>
      <c r="I73" s="40" t="s">
        <v>79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49"/>
      <c r="C74" s="30"/>
      <c r="D74" s="12"/>
      <c r="E74" s="42" t="s">
        <v>80</v>
      </c>
      <c r="F74" s="13"/>
      <c r="G74" s="16" t="s">
        <v>24</v>
      </c>
      <c r="H74" s="13"/>
      <c r="I74" s="40" t="s">
        <v>81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82</v>
      </c>
      <c r="B75" s="29"/>
      <c r="C75" s="30"/>
      <c r="D75" s="12"/>
      <c r="E75" s="40" t="s">
        <v>83</v>
      </c>
      <c r="F75" s="30"/>
      <c r="G75" s="16" t="s">
        <v>24</v>
      </c>
      <c r="H75" s="30"/>
      <c r="I75" s="43" t="s">
        <v>84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85</v>
      </c>
      <c r="B76" s="29"/>
      <c r="C76" s="30"/>
      <c r="D76" s="12"/>
      <c r="E76" s="40" t="s">
        <v>86</v>
      </c>
      <c r="F76" s="30"/>
      <c r="G76" s="16" t="s">
        <v>24</v>
      </c>
      <c r="H76" s="30"/>
      <c r="I76" s="40" t="s">
        <v>87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4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4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4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4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4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4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4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4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4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4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4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4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4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4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4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4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4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4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4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4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4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4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4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4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4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4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4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4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4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4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4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4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4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4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4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4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4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4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4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4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4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4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4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4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4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4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4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4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4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4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4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4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4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4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4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4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4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4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4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4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4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4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4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4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4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4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4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4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4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4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4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4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4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4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4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4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4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4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4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4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4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4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4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4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4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4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4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4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4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4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4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4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4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4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4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4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4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4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4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4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4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4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4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4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4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4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4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4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4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95" t="s">
        <v>154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4" t="s">
        <v>37</v>
      </c>
      <c r="F3" s="14">
        <v>3.0</v>
      </c>
      <c r="G3" s="76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96" t="s">
        <v>37</v>
      </c>
      <c r="P3" s="17">
        <f t="shared" ref="P3:P14" si="3">SUMIF(E$3:E$68,O3,K$3:K$68)+SUMIF(I$3:I$68,O3,L$3:L$68)</f>
        <v>0</v>
      </c>
      <c r="Q3" s="17">
        <f t="shared" ref="Q3:Q14" si="4">COUNTIFS(E$3:E$68,O3,K$3:K$68,3)+COUNTIFS(I$3:I$68,O3,L$3:L$68,3)</f>
        <v>0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6</v>
      </c>
      <c r="T3" s="17">
        <f t="shared" ref="T3:T14" si="7">SUMIF(E$3:E$68,O3,F$3:F$68)+SUMIF(I$3:I$68,O3,H$3:H$68)</f>
        <v>9</v>
      </c>
      <c r="U3" s="19">
        <f t="shared" ref="U3:U14" si="8">SUMIF(E$3:E$68,O3,H$3:H$68)+SUMIF(I$3:I$68,O3,F$3:F$68)</f>
        <v>29</v>
      </c>
      <c r="V3" s="17">
        <f t="shared" ref="V3:V14" si="9">T3-U3</f>
        <v>-20</v>
      </c>
      <c r="W3" s="56"/>
      <c r="X3" s="56"/>
      <c r="Y3" s="62" t="s">
        <v>26</v>
      </c>
      <c r="Z3" s="62" t="s">
        <v>13</v>
      </c>
      <c r="AA3" s="97"/>
      <c r="AB3" s="97"/>
      <c r="AC3" s="97"/>
      <c r="AD3" s="56"/>
      <c r="AE3" s="21" t="s">
        <v>29</v>
      </c>
      <c r="AF3" s="22" t="str">
        <f t="array" ref="AF3:AN14">SORT(O3:W14,2,FALSE,9,FALSE,8,FALSE())</f>
        <v>Eng. Mecânica</v>
      </c>
      <c r="AG3" s="22">
        <v>18.0</v>
      </c>
      <c r="AH3" s="22">
        <v>6.0</v>
      </c>
      <c r="AI3" s="22">
        <v>0.0</v>
      </c>
      <c r="AJ3" s="22">
        <v>0.0</v>
      </c>
      <c r="AK3" s="22">
        <v>25.0</v>
      </c>
      <c r="AL3" s="22">
        <v>6.0</v>
      </c>
      <c r="AM3" s="22">
        <v>19.0</v>
      </c>
      <c r="AN3" s="17"/>
    </row>
    <row r="4" ht="15.75" customHeight="1">
      <c r="A4" s="24"/>
      <c r="B4" s="11">
        <v>45945.0</v>
      </c>
      <c r="C4" s="12" t="s">
        <v>136</v>
      </c>
      <c r="D4" s="12" t="s">
        <v>22</v>
      </c>
      <c r="E4" s="14" t="s">
        <v>23</v>
      </c>
      <c r="F4" s="14">
        <v>4.0</v>
      </c>
      <c r="G4" s="76" t="s">
        <v>24</v>
      </c>
      <c r="H4" s="14">
        <v>2.0</v>
      </c>
      <c r="I4" s="14" t="s">
        <v>114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96" t="s">
        <v>156</v>
      </c>
      <c r="P4" s="17">
        <f t="shared" si="3"/>
        <v>16</v>
      </c>
      <c r="Q4" s="17">
        <f t="shared" si="4"/>
        <v>5</v>
      </c>
      <c r="R4" s="17">
        <f t="shared" si="5"/>
        <v>1</v>
      </c>
      <c r="S4" s="19">
        <f t="shared" si="6"/>
        <v>0</v>
      </c>
      <c r="T4" s="17">
        <f t="shared" si="7"/>
        <v>20</v>
      </c>
      <c r="U4" s="19">
        <f t="shared" si="8"/>
        <v>7</v>
      </c>
      <c r="V4" s="17">
        <f t="shared" si="9"/>
        <v>13</v>
      </c>
      <c r="W4" s="56"/>
      <c r="X4" s="56"/>
      <c r="Y4" s="27" t="s">
        <v>61</v>
      </c>
      <c r="Z4" s="27">
        <v>3.0</v>
      </c>
      <c r="AA4" s="83"/>
      <c r="AB4" s="83"/>
      <c r="AC4" s="83"/>
      <c r="AD4" s="56"/>
      <c r="AE4" s="21" t="s">
        <v>34</v>
      </c>
      <c r="AF4" s="22" t="s">
        <v>156</v>
      </c>
      <c r="AG4" s="22">
        <v>16.0</v>
      </c>
      <c r="AH4" s="22">
        <v>5.0</v>
      </c>
      <c r="AI4" s="22">
        <v>1.0</v>
      </c>
      <c r="AJ4" s="22">
        <v>0.0</v>
      </c>
      <c r="AK4" s="22">
        <v>20.0</v>
      </c>
      <c r="AL4" s="22">
        <v>7.0</v>
      </c>
      <c r="AM4" s="22">
        <v>13.0</v>
      </c>
      <c r="AN4" s="17"/>
    </row>
    <row r="5" ht="15.75" customHeight="1">
      <c r="A5" s="24"/>
      <c r="B5" s="11">
        <v>45945.0</v>
      </c>
      <c r="C5" s="12" t="s">
        <v>51</v>
      </c>
      <c r="D5" s="12" t="s">
        <v>22</v>
      </c>
      <c r="E5" s="14" t="s">
        <v>157</v>
      </c>
      <c r="F5" s="14">
        <v>1.0</v>
      </c>
      <c r="G5" s="76" t="s">
        <v>24</v>
      </c>
      <c r="H5" s="14">
        <v>1.0</v>
      </c>
      <c r="I5" s="14" t="s">
        <v>158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6" t="s">
        <v>33</v>
      </c>
      <c r="P5" s="17">
        <f t="shared" si="3"/>
        <v>18</v>
      </c>
      <c r="Q5" s="17">
        <f t="shared" si="4"/>
        <v>6</v>
      </c>
      <c r="R5" s="17">
        <f t="shared" si="5"/>
        <v>0</v>
      </c>
      <c r="S5" s="19">
        <f t="shared" si="6"/>
        <v>0</v>
      </c>
      <c r="T5" s="17">
        <f t="shared" si="7"/>
        <v>25</v>
      </c>
      <c r="U5" s="19">
        <f t="shared" si="8"/>
        <v>6</v>
      </c>
      <c r="V5" s="17">
        <f t="shared" si="9"/>
        <v>19</v>
      </c>
      <c r="W5" s="56"/>
      <c r="X5" s="56"/>
      <c r="Y5" s="27" t="s">
        <v>37</v>
      </c>
      <c r="Z5" s="27">
        <v>0.0</v>
      </c>
      <c r="AA5" s="83"/>
      <c r="AB5" s="83"/>
      <c r="AC5" s="83"/>
      <c r="AD5" s="56"/>
      <c r="AE5" s="21" t="s">
        <v>39</v>
      </c>
      <c r="AF5" s="22" t="s">
        <v>111</v>
      </c>
      <c r="AG5" s="22">
        <v>13.0</v>
      </c>
      <c r="AH5" s="22">
        <v>4.0</v>
      </c>
      <c r="AI5" s="22">
        <v>1.0</v>
      </c>
      <c r="AJ5" s="22">
        <v>1.0</v>
      </c>
      <c r="AK5" s="22">
        <v>12.0</v>
      </c>
      <c r="AL5" s="22">
        <v>9.0</v>
      </c>
      <c r="AM5" s="22">
        <v>3.0</v>
      </c>
      <c r="AN5" s="17"/>
    </row>
    <row r="6" ht="15.75" customHeight="1">
      <c r="A6" s="24"/>
      <c r="B6" s="11">
        <v>45945.0</v>
      </c>
      <c r="C6" s="12" t="s">
        <v>95</v>
      </c>
      <c r="D6" s="12" t="s">
        <v>22</v>
      </c>
      <c r="E6" s="14" t="s">
        <v>25</v>
      </c>
      <c r="F6" s="14">
        <v>2.0</v>
      </c>
      <c r="G6" s="76" t="s">
        <v>24</v>
      </c>
      <c r="H6" s="14">
        <v>1.0</v>
      </c>
      <c r="I6" s="14" t="s">
        <v>61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6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5</v>
      </c>
      <c r="T6" s="17">
        <f t="shared" si="7"/>
        <v>4</v>
      </c>
      <c r="U6" s="19">
        <f t="shared" si="8"/>
        <v>37</v>
      </c>
      <c r="V6" s="17">
        <f t="shared" si="9"/>
        <v>-33</v>
      </c>
      <c r="W6" s="56"/>
      <c r="X6" s="56"/>
      <c r="Y6" s="56"/>
      <c r="Z6" s="56"/>
      <c r="AA6" s="56"/>
      <c r="AB6" s="56"/>
      <c r="AC6" s="56"/>
      <c r="AD6" s="56"/>
      <c r="AE6" s="21" t="s">
        <v>43</v>
      </c>
      <c r="AF6" s="22" t="s">
        <v>158</v>
      </c>
      <c r="AG6" s="22">
        <v>10.0</v>
      </c>
      <c r="AH6" s="22">
        <v>3.0</v>
      </c>
      <c r="AI6" s="22">
        <v>1.0</v>
      </c>
      <c r="AJ6" s="22">
        <v>1.0</v>
      </c>
      <c r="AK6" s="22">
        <v>15.0</v>
      </c>
      <c r="AL6" s="22">
        <v>5.0</v>
      </c>
      <c r="AM6" s="22">
        <v>10.0</v>
      </c>
      <c r="AN6" s="17"/>
    </row>
    <row r="7" ht="15.75" customHeight="1">
      <c r="A7" s="24"/>
      <c r="B7" s="11">
        <v>45945.0</v>
      </c>
      <c r="C7" s="12" t="s">
        <v>99</v>
      </c>
      <c r="D7" s="12" t="s">
        <v>22</v>
      </c>
      <c r="E7" s="14" t="s">
        <v>45</v>
      </c>
      <c r="F7" s="14">
        <v>1.0</v>
      </c>
      <c r="G7" s="76" t="s">
        <v>24</v>
      </c>
      <c r="H7" s="14">
        <v>4.0</v>
      </c>
      <c r="I7" s="14" t="s">
        <v>111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6" t="s">
        <v>114</v>
      </c>
      <c r="P7" s="17">
        <f t="shared" si="3"/>
        <v>7</v>
      </c>
      <c r="Q7" s="17">
        <f t="shared" si="4"/>
        <v>2</v>
      </c>
      <c r="R7" s="17">
        <f t="shared" si="5"/>
        <v>1</v>
      </c>
      <c r="S7" s="19">
        <f t="shared" si="6"/>
        <v>2</v>
      </c>
      <c r="T7" s="17">
        <f t="shared" si="7"/>
        <v>9</v>
      </c>
      <c r="U7" s="19">
        <f t="shared" si="8"/>
        <v>12</v>
      </c>
      <c r="V7" s="17">
        <f t="shared" si="9"/>
        <v>-3</v>
      </c>
      <c r="W7" s="56"/>
      <c r="X7" s="56"/>
      <c r="Y7" s="56"/>
      <c r="Z7" s="56"/>
      <c r="AA7" s="56"/>
      <c r="AB7" s="56"/>
      <c r="AC7" s="56"/>
      <c r="AD7" s="56"/>
      <c r="AE7" s="21" t="s">
        <v>44</v>
      </c>
      <c r="AF7" s="22" t="s">
        <v>25</v>
      </c>
      <c r="AG7" s="22">
        <v>9.0</v>
      </c>
      <c r="AH7" s="22">
        <v>3.0</v>
      </c>
      <c r="AI7" s="22">
        <v>0.0</v>
      </c>
      <c r="AJ7" s="22">
        <v>3.0</v>
      </c>
      <c r="AK7" s="22">
        <v>23.0</v>
      </c>
      <c r="AL7" s="22">
        <v>15.0</v>
      </c>
      <c r="AM7" s="22">
        <v>8.0</v>
      </c>
      <c r="AN7" s="17"/>
    </row>
    <row r="8" ht="15.75" customHeight="1">
      <c r="A8" s="28"/>
      <c r="B8" s="11">
        <v>45945.0</v>
      </c>
      <c r="C8" s="12" t="s">
        <v>103</v>
      </c>
      <c r="D8" s="12" t="s">
        <v>22</v>
      </c>
      <c r="E8" s="40" t="s">
        <v>159</v>
      </c>
      <c r="F8" s="14">
        <v>2.0</v>
      </c>
      <c r="G8" s="76" t="s">
        <v>24</v>
      </c>
      <c r="H8" s="14">
        <v>3.0</v>
      </c>
      <c r="I8" s="40" t="s">
        <v>156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6" t="s">
        <v>25</v>
      </c>
      <c r="P8" s="17">
        <f t="shared" si="3"/>
        <v>9</v>
      </c>
      <c r="Q8" s="17">
        <f t="shared" si="4"/>
        <v>3</v>
      </c>
      <c r="R8" s="17">
        <f t="shared" si="5"/>
        <v>0</v>
      </c>
      <c r="S8" s="19">
        <f t="shared" si="6"/>
        <v>3</v>
      </c>
      <c r="T8" s="17">
        <f t="shared" si="7"/>
        <v>23</v>
      </c>
      <c r="U8" s="19">
        <f t="shared" si="8"/>
        <v>15</v>
      </c>
      <c r="V8" s="17">
        <f t="shared" si="9"/>
        <v>8</v>
      </c>
      <c r="W8" s="56"/>
      <c r="X8" s="56"/>
      <c r="Y8" s="56"/>
      <c r="Z8" s="56"/>
      <c r="AA8" s="56"/>
      <c r="AB8" s="56"/>
      <c r="AC8" s="56"/>
      <c r="AD8" s="56"/>
      <c r="AE8" s="47">
        <v>6.0</v>
      </c>
      <c r="AF8" s="22" t="s">
        <v>61</v>
      </c>
      <c r="AG8" s="22">
        <v>8.0</v>
      </c>
      <c r="AH8" s="22">
        <v>2.0</v>
      </c>
      <c r="AI8" s="22">
        <v>2.0</v>
      </c>
      <c r="AJ8" s="22">
        <v>2.0</v>
      </c>
      <c r="AK8" s="22">
        <v>20.0</v>
      </c>
      <c r="AL8" s="22">
        <v>15.0</v>
      </c>
      <c r="AM8" s="22">
        <v>5.0</v>
      </c>
      <c r="AN8" s="17"/>
    </row>
    <row r="9" ht="15.75" customHeight="1">
      <c r="A9" s="10">
        <v>2.0</v>
      </c>
      <c r="B9" s="11">
        <v>45959.0</v>
      </c>
      <c r="C9" s="12" t="s">
        <v>160</v>
      </c>
      <c r="D9" s="12" t="s">
        <v>94</v>
      </c>
      <c r="E9" s="14" t="s">
        <v>33</v>
      </c>
      <c r="F9" s="14">
        <v>6.0</v>
      </c>
      <c r="G9" s="76" t="s">
        <v>24</v>
      </c>
      <c r="H9" s="14">
        <v>0.0</v>
      </c>
      <c r="I9" s="14" t="s">
        <v>159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96" t="s">
        <v>158</v>
      </c>
      <c r="P9" s="17">
        <f t="shared" si="3"/>
        <v>10</v>
      </c>
      <c r="Q9" s="17">
        <f t="shared" si="4"/>
        <v>3</v>
      </c>
      <c r="R9" s="17">
        <f t="shared" si="5"/>
        <v>1</v>
      </c>
      <c r="S9" s="19">
        <f t="shared" si="6"/>
        <v>1</v>
      </c>
      <c r="T9" s="17">
        <f t="shared" si="7"/>
        <v>15</v>
      </c>
      <c r="U9" s="19">
        <f t="shared" si="8"/>
        <v>5</v>
      </c>
      <c r="V9" s="17">
        <f t="shared" si="9"/>
        <v>10</v>
      </c>
      <c r="W9" s="56"/>
      <c r="X9" s="56"/>
      <c r="Y9" s="6" t="s">
        <v>20</v>
      </c>
      <c r="Z9" s="7"/>
      <c r="AA9" s="7"/>
      <c r="AB9" s="7"/>
      <c r="AC9" s="8"/>
      <c r="AD9" s="56"/>
      <c r="AE9" s="21">
        <v>7.0</v>
      </c>
      <c r="AF9" s="22" t="s">
        <v>23</v>
      </c>
      <c r="AG9" s="22">
        <v>7.0</v>
      </c>
      <c r="AH9" s="22">
        <v>2.0</v>
      </c>
      <c r="AI9" s="22">
        <v>1.0</v>
      </c>
      <c r="AJ9" s="22">
        <v>3.0</v>
      </c>
      <c r="AK9" s="22">
        <v>18.0</v>
      </c>
      <c r="AL9" s="22">
        <v>13.0</v>
      </c>
      <c r="AM9" s="22">
        <v>5.0</v>
      </c>
      <c r="AN9" s="17"/>
    </row>
    <row r="10" ht="15.75" customHeight="1">
      <c r="A10" s="24"/>
      <c r="B10" s="11">
        <v>45959.0</v>
      </c>
      <c r="C10" s="12" t="s">
        <v>152</v>
      </c>
      <c r="D10" s="12" t="s">
        <v>94</v>
      </c>
      <c r="E10" s="14" t="s">
        <v>114</v>
      </c>
      <c r="F10" s="14">
        <v>2.0</v>
      </c>
      <c r="G10" s="76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96" t="s">
        <v>157</v>
      </c>
      <c r="P10" s="17">
        <f t="shared" si="3"/>
        <v>3</v>
      </c>
      <c r="Q10" s="17">
        <f t="shared" si="4"/>
        <v>0</v>
      </c>
      <c r="R10" s="17">
        <f t="shared" si="5"/>
        <v>3</v>
      </c>
      <c r="S10" s="19">
        <f t="shared" si="6"/>
        <v>2</v>
      </c>
      <c r="T10" s="17">
        <f t="shared" si="7"/>
        <v>8</v>
      </c>
      <c r="U10" s="19">
        <f t="shared" si="8"/>
        <v>15</v>
      </c>
      <c r="V10" s="17">
        <f t="shared" si="9"/>
        <v>-7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1">
        <v>8.0</v>
      </c>
      <c r="AF10" s="22" t="s">
        <v>114</v>
      </c>
      <c r="AG10" s="22">
        <v>7.0</v>
      </c>
      <c r="AH10" s="22">
        <v>2.0</v>
      </c>
      <c r="AI10" s="22">
        <v>1.0</v>
      </c>
      <c r="AJ10" s="22">
        <v>2.0</v>
      </c>
      <c r="AK10" s="22">
        <v>9.0</v>
      </c>
      <c r="AL10" s="22">
        <v>12.0</v>
      </c>
      <c r="AM10" s="22">
        <v>-3.0</v>
      </c>
      <c r="AN10" s="17"/>
    </row>
    <row r="11" ht="15.75" customHeight="1">
      <c r="A11" s="24"/>
      <c r="B11" s="11">
        <v>45959.0</v>
      </c>
      <c r="C11" s="12" t="s">
        <v>145</v>
      </c>
      <c r="D11" s="12" t="s">
        <v>94</v>
      </c>
      <c r="E11" s="14" t="s">
        <v>158</v>
      </c>
      <c r="F11" s="14">
        <v>2.0</v>
      </c>
      <c r="G11" s="76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6" t="s">
        <v>61</v>
      </c>
      <c r="P11" s="17">
        <f t="shared" si="3"/>
        <v>8</v>
      </c>
      <c r="Q11" s="17">
        <f t="shared" si="4"/>
        <v>2</v>
      </c>
      <c r="R11" s="17">
        <f t="shared" si="5"/>
        <v>2</v>
      </c>
      <c r="S11" s="19">
        <f t="shared" si="6"/>
        <v>2</v>
      </c>
      <c r="T11" s="17">
        <f t="shared" si="7"/>
        <v>20</v>
      </c>
      <c r="U11" s="19">
        <f t="shared" si="8"/>
        <v>15</v>
      </c>
      <c r="V11" s="17">
        <f t="shared" si="9"/>
        <v>5</v>
      </c>
      <c r="W11" s="56"/>
      <c r="X11" s="56"/>
      <c r="Y11" s="66" t="s">
        <v>23</v>
      </c>
      <c r="Z11" s="66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56"/>
      <c r="AE11" s="67" t="s">
        <v>102</v>
      </c>
      <c r="AF11" s="22" t="s">
        <v>159</v>
      </c>
      <c r="AG11" s="22">
        <v>6.0</v>
      </c>
      <c r="AH11" s="22">
        <v>2.0</v>
      </c>
      <c r="AI11" s="22">
        <v>0.0</v>
      </c>
      <c r="AJ11" s="22">
        <v>4.0</v>
      </c>
      <c r="AK11" s="22">
        <v>18.0</v>
      </c>
      <c r="AL11" s="22">
        <v>18.0</v>
      </c>
      <c r="AM11" s="22">
        <v>0.0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61</v>
      </c>
      <c r="F12" s="14">
        <v>3.0</v>
      </c>
      <c r="G12" s="76" t="s">
        <v>24</v>
      </c>
      <c r="H12" s="14">
        <v>3.0</v>
      </c>
      <c r="I12" s="14" t="s">
        <v>157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96" t="s">
        <v>23</v>
      </c>
      <c r="P12" s="17">
        <f t="shared" si="3"/>
        <v>7</v>
      </c>
      <c r="Q12" s="17">
        <f t="shared" si="4"/>
        <v>2</v>
      </c>
      <c r="R12" s="17">
        <f t="shared" si="5"/>
        <v>1</v>
      </c>
      <c r="S12" s="19">
        <f t="shared" si="6"/>
        <v>3</v>
      </c>
      <c r="T12" s="17">
        <f t="shared" si="7"/>
        <v>18</v>
      </c>
      <c r="U12" s="19">
        <f t="shared" si="8"/>
        <v>13</v>
      </c>
      <c r="V12" s="17">
        <f t="shared" si="9"/>
        <v>5</v>
      </c>
      <c r="W12" s="56"/>
      <c r="X12" s="56"/>
      <c r="Y12" s="27" t="s">
        <v>161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56"/>
      <c r="AE12" s="70">
        <v>10.0</v>
      </c>
      <c r="AF12" s="22" t="s">
        <v>157</v>
      </c>
      <c r="AG12" s="22">
        <v>3.0</v>
      </c>
      <c r="AH12" s="22">
        <v>0.0</v>
      </c>
      <c r="AI12" s="22">
        <v>3.0</v>
      </c>
      <c r="AJ12" s="22">
        <v>2.0</v>
      </c>
      <c r="AK12" s="22">
        <v>8.0</v>
      </c>
      <c r="AL12" s="22">
        <v>15.0</v>
      </c>
      <c r="AM12" s="22">
        <v>-7.0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111</v>
      </c>
      <c r="F13" s="14">
        <v>3.0</v>
      </c>
      <c r="G13" s="76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96" t="s">
        <v>111</v>
      </c>
      <c r="P13" s="17">
        <f t="shared" si="3"/>
        <v>13</v>
      </c>
      <c r="Q13" s="17">
        <f t="shared" si="4"/>
        <v>4</v>
      </c>
      <c r="R13" s="17">
        <f t="shared" si="5"/>
        <v>1</v>
      </c>
      <c r="S13" s="19">
        <f t="shared" si="6"/>
        <v>1</v>
      </c>
      <c r="T13" s="17">
        <f t="shared" si="7"/>
        <v>12</v>
      </c>
      <c r="U13" s="19">
        <f t="shared" si="8"/>
        <v>9</v>
      </c>
      <c r="V13" s="17">
        <f t="shared" si="9"/>
        <v>3</v>
      </c>
      <c r="W13" s="56"/>
      <c r="X13" s="56"/>
      <c r="Y13" s="56"/>
      <c r="Z13" s="56"/>
      <c r="AA13" s="56"/>
      <c r="AB13" s="56"/>
      <c r="AC13" s="56"/>
      <c r="AD13" s="56"/>
      <c r="AE13" s="98">
        <v>11.0</v>
      </c>
      <c r="AF13" s="44" t="s">
        <v>37</v>
      </c>
      <c r="AG13" s="22">
        <v>0.0</v>
      </c>
      <c r="AH13" s="22">
        <v>0.0</v>
      </c>
      <c r="AI13" s="22">
        <v>0.0</v>
      </c>
      <c r="AJ13" s="22">
        <v>6.0</v>
      </c>
      <c r="AK13" s="22">
        <v>9.0</v>
      </c>
      <c r="AL13" s="22">
        <v>29.0</v>
      </c>
      <c r="AM13" s="22">
        <v>-20.0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156</v>
      </c>
      <c r="F14" s="14">
        <v>3.0</v>
      </c>
      <c r="G14" s="76" t="s">
        <v>24</v>
      </c>
      <c r="H14" s="14">
        <v>0.0</v>
      </c>
      <c r="I14" s="40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96" t="s">
        <v>159</v>
      </c>
      <c r="P14" s="17">
        <f t="shared" si="3"/>
        <v>6</v>
      </c>
      <c r="Q14" s="17">
        <f t="shared" si="4"/>
        <v>2</v>
      </c>
      <c r="R14" s="17">
        <f t="shared" si="5"/>
        <v>0</v>
      </c>
      <c r="S14" s="19">
        <f t="shared" si="6"/>
        <v>4</v>
      </c>
      <c r="T14" s="17">
        <f t="shared" si="7"/>
        <v>18</v>
      </c>
      <c r="U14" s="19">
        <f t="shared" si="8"/>
        <v>18</v>
      </c>
      <c r="V14" s="17">
        <f t="shared" si="9"/>
        <v>0</v>
      </c>
      <c r="W14" s="56"/>
      <c r="X14" s="56"/>
      <c r="Y14" s="56"/>
      <c r="Z14" s="56"/>
      <c r="AA14" s="56"/>
      <c r="AB14" s="56"/>
      <c r="AC14" s="56"/>
      <c r="AD14" s="56"/>
      <c r="AE14" s="98">
        <v>12.0</v>
      </c>
      <c r="AF14" s="76" t="s">
        <v>45</v>
      </c>
      <c r="AG14" s="22">
        <v>0.0</v>
      </c>
      <c r="AH14" s="22">
        <v>0.0</v>
      </c>
      <c r="AI14" s="22">
        <v>0.0</v>
      </c>
      <c r="AJ14" s="22">
        <v>5.0</v>
      </c>
      <c r="AK14" s="22">
        <v>4.0</v>
      </c>
      <c r="AL14" s="22">
        <v>37.0</v>
      </c>
      <c r="AM14" s="22">
        <v>-33.0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14">
        <v>5.0</v>
      </c>
      <c r="G15" s="76" t="s">
        <v>24</v>
      </c>
      <c r="H15" s="14">
        <v>0.0</v>
      </c>
      <c r="I15" s="14" t="s">
        <v>114</v>
      </c>
      <c r="J15" s="4"/>
      <c r="K15" s="4">
        <f t="shared" si="1"/>
        <v>3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76" t="s">
        <v>24</v>
      </c>
      <c r="H16" s="14">
        <v>8.0</v>
      </c>
      <c r="I16" s="14" t="s">
        <v>158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163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14">
        <v>4.0</v>
      </c>
      <c r="G17" s="76" t="s">
        <v>24</v>
      </c>
      <c r="H17" s="14">
        <v>5.0</v>
      </c>
      <c r="I17" s="14" t="s">
        <v>61</v>
      </c>
      <c r="J17" s="4"/>
      <c r="K17" s="4">
        <f t="shared" si="1"/>
        <v>0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95</v>
      </c>
      <c r="D18" s="12" t="s">
        <v>94</v>
      </c>
      <c r="E18" s="14" t="s">
        <v>157</v>
      </c>
      <c r="F18" s="14">
        <v>2.0</v>
      </c>
      <c r="G18" s="76" t="s">
        <v>24</v>
      </c>
      <c r="H18" s="14">
        <v>2.0</v>
      </c>
      <c r="I18" s="14" t="s">
        <v>111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0" t="s">
        <v>25</v>
      </c>
      <c r="F19" s="14">
        <v>0.0</v>
      </c>
      <c r="G19" s="76" t="s">
        <v>24</v>
      </c>
      <c r="H19" s="14">
        <v>3.0</v>
      </c>
      <c r="I19" s="40" t="s">
        <v>156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99</v>
      </c>
      <c r="D20" s="12" t="s">
        <v>94</v>
      </c>
      <c r="E20" s="14" t="s">
        <v>159</v>
      </c>
      <c r="F20" s="14">
        <v>10.0</v>
      </c>
      <c r="G20" s="76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39">
        <v>45980.0</v>
      </c>
      <c r="C21" s="12" t="s">
        <v>36</v>
      </c>
      <c r="D21" s="12" t="s">
        <v>22</v>
      </c>
      <c r="E21" s="14" t="s">
        <v>114</v>
      </c>
      <c r="F21" s="14">
        <v>3.0</v>
      </c>
      <c r="G21" s="76" t="s">
        <v>24</v>
      </c>
      <c r="H21" s="14">
        <v>0.0</v>
      </c>
      <c r="I21" s="14" t="s">
        <v>159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4"/>
      <c r="B22" s="39">
        <v>45980.0</v>
      </c>
      <c r="C22" s="12" t="s">
        <v>30</v>
      </c>
      <c r="D22" s="12" t="s">
        <v>22</v>
      </c>
      <c r="E22" s="14" t="s">
        <v>158</v>
      </c>
      <c r="F22" s="14">
        <v>2.0</v>
      </c>
      <c r="G22" s="76" t="s">
        <v>24</v>
      </c>
      <c r="H22" s="14">
        <v>4.0</v>
      </c>
      <c r="I22" s="14" t="s">
        <v>33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4"/>
      <c r="B23" s="39">
        <v>45979.0</v>
      </c>
      <c r="C23" s="12" t="s">
        <v>49</v>
      </c>
      <c r="D23" s="12" t="s">
        <v>22</v>
      </c>
      <c r="E23" s="14" t="s">
        <v>61</v>
      </c>
      <c r="F23" s="14">
        <v>8.0</v>
      </c>
      <c r="G23" s="76" t="s">
        <v>24</v>
      </c>
      <c r="H23" s="14">
        <v>2.0</v>
      </c>
      <c r="I23" s="14" t="s">
        <v>37</v>
      </c>
      <c r="J23" s="4"/>
      <c r="K23" s="4">
        <f t="shared" si="1"/>
        <v>3</v>
      </c>
      <c r="L23" s="17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4"/>
      <c r="B24" s="39">
        <v>45979.0</v>
      </c>
      <c r="C24" s="12" t="s">
        <v>21</v>
      </c>
      <c r="D24" s="12" t="s">
        <v>22</v>
      </c>
      <c r="E24" s="14" t="s">
        <v>111</v>
      </c>
      <c r="F24" s="14">
        <v>1.0</v>
      </c>
      <c r="G24" s="76" t="s">
        <v>24</v>
      </c>
      <c r="H24" s="14">
        <v>0.0</v>
      </c>
      <c r="I24" s="14" t="s">
        <v>23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39">
        <v>45979.0</v>
      </c>
      <c r="C25" s="12" t="s">
        <v>30</v>
      </c>
      <c r="D25" s="12" t="s">
        <v>22</v>
      </c>
      <c r="E25" s="40" t="s">
        <v>156</v>
      </c>
      <c r="F25" s="14">
        <v>5.0</v>
      </c>
      <c r="G25" s="76" t="s">
        <v>24</v>
      </c>
      <c r="H25" s="14">
        <v>1.0</v>
      </c>
      <c r="I25" s="40" t="s">
        <v>157</v>
      </c>
      <c r="J25" s="4"/>
      <c r="K25" s="4">
        <f t="shared" si="1"/>
        <v>3</v>
      </c>
      <c r="L25" s="17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39">
        <v>45979.0</v>
      </c>
      <c r="C26" s="12" t="s">
        <v>36</v>
      </c>
      <c r="D26" s="12" t="s">
        <v>22</v>
      </c>
      <c r="E26" s="14" t="s">
        <v>45</v>
      </c>
      <c r="F26" s="14">
        <v>1.0</v>
      </c>
      <c r="G26" s="76" t="s">
        <v>24</v>
      </c>
      <c r="H26" s="14">
        <v>12.0</v>
      </c>
      <c r="I26" s="1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39">
        <v>46008.0</v>
      </c>
      <c r="C27" s="12" t="s">
        <v>36</v>
      </c>
      <c r="D27" s="12" t="s">
        <v>22</v>
      </c>
      <c r="E27" s="14" t="s">
        <v>114</v>
      </c>
      <c r="F27" s="76"/>
      <c r="G27" s="76" t="s">
        <v>24</v>
      </c>
      <c r="H27" s="76"/>
      <c r="I27" s="14" t="s">
        <v>158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39">
        <v>45995.0</v>
      </c>
      <c r="C28" s="12" t="s">
        <v>21</v>
      </c>
      <c r="D28" s="12" t="s">
        <v>22</v>
      </c>
      <c r="E28" s="14" t="s">
        <v>33</v>
      </c>
      <c r="F28" s="14">
        <v>2.0</v>
      </c>
      <c r="G28" s="76" t="s">
        <v>24</v>
      </c>
      <c r="H28" s="14">
        <v>1.0</v>
      </c>
      <c r="I28" s="14" t="s">
        <v>61</v>
      </c>
      <c r="J28" s="4"/>
      <c r="K28" s="4">
        <f t="shared" si="1"/>
        <v>3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39">
        <v>45995.0</v>
      </c>
      <c r="C29" s="12" t="s">
        <v>30</v>
      </c>
      <c r="D29" s="12" t="s">
        <v>22</v>
      </c>
      <c r="E29" s="14" t="s">
        <v>37</v>
      </c>
      <c r="F29" s="14">
        <v>1.0</v>
      </c>
      <c r="G29" s="76" t="s">
        <v>24</v>
      </c>
      <c r="H29" s="14">
        <v>2.0</v>
      </c>
      <c r="I29" s="14" t="s">
        <v>111</v>
      </c>
      <c r="J29" s="4"/>
      <c r="K29" s="4">
        <f t="shared" si="1"/>
        <v>0</v>
      </c>
      <c r="L29" s="17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39">
        <v>45995.0</v>
      </c>
      <c r="C30" s="12" t="s">
        <v>36</v>
      </c>
      <c r="D30" s="12" t="s">
        <v>22</v>
      </c>
      <c r="E30" s="40" t="s">
        <v>23</v>
      </c>
      <c r="F30" s="14">
        <v>2.0</v>
      </c>
      <c r="G30" s="76" t="s">
        <v>24</v>
      </c>
      <c r="H30" s="14">
        <v>2.0</v>
      </c>
      <c r="I30" s="40" t="s">
        <v>156</v>
      </c>
      <c r="J30" s="4"/>
      <c r="K30" s="4">
        <f t="shared" si="1"/>
        <v>1</v>
      </c>
      <c r="L30" s="17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39"/>
      <c r="C31" s="12"/>
      <c r="D31" s="12" t="s">
        <v>22</v>
      </c>
      <c r="E31" s="14" t="s">
        <v>157</v>
      </c>
      <c r="F31" s="76"/>
      <c r="G31" s="76" t="s">
        <v>24</v>
      </c>
      <c r="H31" s="76"/>
      <c r="I31" s="14" t="s">
        <v>45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39">
        <v>45995.0</v>
      </c>
      <c r="C32" s="12" t="s">
        <v>36</v>
      </c>
      <c r="D32" s="12" t="s">
        <v>22</v>
      </c>
      <c r="E32" s="14" t="s">
        <v>159</v>
      </c>
      <c r="F32" s="14">
        <v>6.0</v>
      </c>
      <c r="G32" s="76" t="s">
        <v>24</v>
      </c>
      <c r="H32" s="14">
        <v>3.0</v>
      </c>
      <c r="I32" s="14" t="s">
        <v>25</v>
      </c>
      <c r="J32" s="4"/>
      <c r="K32" s="4">
        <f t="shared" si="1"/>
        <v>3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99"/>
      <c r="C33" s="76"/>
      <c r="D33" s="76"/>
      <c r="E33" s="14" t="s">
        <v>158</v>
      </c>
      <c r="F33" s="14">
        <v>2.0</v>
      </c>
      <c r="G33" s="76" t="s">
        <v>24</v>
      </c>
      <c r="H33" s="14">
        <v>0.0</v>
      </c>
      <c r="I33" s="14" t="s">
        <v>159</v>
      </c>
      <c r="J33" s="4"/>
      <c r="K33" s="4">
        <f t="shared" si="1"/>
        <v>3</v>
      </c>
      <c r="L33" s="17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99"/>
      <c r="C34" s="76"/>
      <c r="D34" s="76"/>
      <c r="E34" s="14" t="s">
        <v>61</v>
      </c>
      <c r="F34" s="14">
        <v>2.0</v>
      </c>
      <c r="G34" s="76" t="s">
        <v>24</v>
      </c>
      <c r="H34" s="14">
        <v>2.0</v>
      </c>
      <c r="I34" s="14" t="s">
        <v>114</v>
      </c>
      <c r="J34" s="4"/>
      <c r="K34" s="4">
        <f t="shared" si="1"/>
        <v>1</v>
      </c>
      <c r="L34" s="17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99"/>
      <c r="C35" s="76"/>
      <c r="D35" s="76"/>
      <c r="E35" s="14" t="s">
        <v>111</v>
      </c>
      <c r="F35" s="14">
        <v>0.0</v>
      </c>
      <c r="G35" s="76" t="s">
        <v>24</v>
      </c>
      <c r="H35" s="14">
        <v>3.0</v>
      </c>
      <c r="I35" s="14" t="s">
        <v>33</v>
      </c>
      <c r="J35" s="4"/>
      <c r="K35" s="4">
        <f t="shared" si="1"/>
        <v>0</v>
      </c>
      <c r="L35" s="17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99"/>
      <c r="C36" s="60"/>
      <c r="D36" s="76"/>
      <c r="E36" s="40" t="s">
        <v>156</v>
      </c>
      <c r="F36" s="14">
        <v>4.0</v>
      </c>
      <c r="G36" s="76" t="s">
        <v>24</v>
      </c>
      <c r="H36" s="14">
        <v>2.0</v>
      </c>
      <c r="I36" s="40" t="s">
        <v>37</v>
      </c>
      <c r="J36" s="4"/>
      <c r="K36" s="4">
        <f t="shared" si="1"/>
        <v>3</v>
      </c>
      <c r="L36" s="17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99"/>
      <c r="C37" s="76"/>
      <c r="D37" s="76"/>
      <c r="E37" s="14" t="s">
        <v>45</v>
      </c>
      <c r="F37" s="14">
        <v>1.0</v>
      </c>
      <c r="G37" s="76" t="s">
        <v>24</v>
      </c>
      <c r="H37" s="14">
        <v>8.0</v>
      </c>
      <c r="I37" s="14" t="s">
        <v>23</v>
      </c>
      <c r="J37" s="4"/>
      <c r="K37" s="4">
        <f t="shared" si="1"/>
        <v>0</v>
      </c>
      <c r="L37" s="17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99"/>
      <c r="C38" s="60"/>
      <c r="D38" s="76"/>
      <c r="E38" s="14" t="s">
        <v>25</v>
      </c>
      <c r="F38" s="14">
        <v>4.0</v>
      </c>
      <c r="G38" s="76" t="s">
        <v>24</v>
      </c>
      <c r="H38" s="14">
        <v>1.0</v>
      </c>
      <c r="I38" s="14" t="s">
        <v>157</v>
      </c>
      <c r="J38" s="4"/>
      <c r="K38" s="4">
        <f t="shared" si="1"/>
        <v>3</v>
      </c>
      <c r="L38" s="17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99"/>
      <c r="C39" s="76"/>
      <c r="D39" s="76"/>
      <c r="E39" s="14" t="s">
        <v>158</v>
      </c>
      <c r="F39" s="76"/>
      <c r="G39" s="76" t="s">
        <v>24</v>
      </c>
      <c r="H39" s="76"/>
      <c r="I39" s="14" t="s">
        <v>61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99"/>
      <c r="C40" s="76"/>
      <c r="D40" s="76"/>
      <c r="E40" s="14" t="s">
        <v>114</v>
      </c>
      <c r="F40" s="76"/>
      <c r="G40" s="76" t="s">
        <v>24</v>
      </c>
      <c r="H40" s="76"/>
      <c r="I40" s="14" t="s">
        <v>111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99"/>
      <c r="C41" s="76"/>
      <c r="D41" s="76"/>
      <c r="E41" s="40" t="s">
        <v>33</v>
      </c>
      <c r="F41" s="76"/>
      <c r="G41" s="76" t="s">
        <v>24</v>
      </c>
      <c r="H41" s="76"/>
      <c r="I41" s="40" t="s">
        <v>156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99"/>
      <c r="C42" s="76"/>
      <c r="D42" s="76"/>
      <c r="E42" s="14" t="s">
        <v>37</v>
      </c>
      <c r="F42" s="76"/>
      <c r="G42" s="76" t="s">
        <v>24</v>
      </c>
      <c r="H42" s="76"/>
      <c r="I42" s="14" t="s">
        <v>45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99"/>
      <c r="C43" s="76"/>
      <c r="D43" s="76"/>
      <c r="E43" s="14" t="s">
        <v>23</v>
      </c>
      <c r="F43" s="76"/>
      <c r="G43" s="76" t="s">
        <v>24</v>
      </c>
      <c r="H43" s="76"/>
      <c r="I43" s="14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99"/>
      <c r="C44" s="76"/>
      <c r="D44" s="76"/>
      <c r="E44" s="14" t="s">
        <v>159</v>
      </c>
      <c r="F44" s="76"/>
      <c r="G44" s="76" t="s">
        <v>24</v>
      </c>
      <c r="H44" s="76"/>
      <c r="I44" s="14" t="s">
        <v>157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99"/>
      <c r="C45" s="76"/>
      <c r="D45" s="76"/>
      <c r="E45" s="14" t="s">
        <v>61</v>
      </c>
      <c r="F45" s="76"/>
      <c r="G45" s="76" t="s">
        <v>24</v>
      </c>
      <c r="H45" s="76"/>
      <c r="I45" s="14" t="s">
        <v>159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99"/>
      <c r="C46" s="76"/>
      <c r="D46" s="76"/>
      <c r="E46" s="14" t="s">
        <v>111</v>
      </c>
      <c r="F46" s="76"/>
      <c r="G46" s="76" t="s">
        <v>24</v>
      </c>
      <c r="H46" s="76"/>
      <c r="I46" s="14" t="s">
        <v>158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99"/>
      <c r="C47" s="76"/>
      <c r="D47" s="76"/>
      <c r="E47" s="40" t="s">
        <v>156</v>
      </c>
      <c r="F47" s="76"/>
      <c r="G47" s="76" t="s">
        <v>24</v>
      </c>
      <c r="H47" s="76"/>
      <c r="I47" s="14" t="s">
        <v>114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99"/>
      <c r="C48" s="76"/>
      <c r="D48" s="76"/>
      <c r="E48" s="40" t="s">
        <v>45</v>
      </c>
      <c r="F48" s="76"/>
      <c r="G48" s="76" t="s">
        <v>24</v>
      </c>
      <c r="H48" s="76"/>
      <c r="I48" s="40" t="s">
        <v>33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99"/>
      <c r="C49" s="76"/>
      <c r="D49" s="76"/>
      <c r="E49" s="14" t="s">
        <v>25</v>
      </c>
      <c r="F49" s="76"/>
      <c r="G49" s="76" t="s">
        <v>24</v>
      </c>
      <c r="H49" s="76"/>
      <c r="I49" s="14" t="s">
        <v>37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99"/>
      <c r="C50" s="76"/>
      <c r="D50" s="76"/>
      <c r="E50" s="14" t="s">
        <v>157</v>
      </c>
      <c r="F50" s="76"/>
      <c r="G50" s="76" t="s">
        <v>24</v>
      </c>
      <c r="H50" s="76"/>
      <c r="I50" s="14" t="s">
        <v>23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99"/>
      <c r="C51" s="60"/>
      <c r="D51" s="76"/>
      <c r="E51" s="14" t="s">
        <v>61</v>
      </c>
      <c r="F51" s="76"/>
      <c r="G51" s="76" t="s">
        <v>24</v>
      </c>
      <c r="H51" s="76"/>
      <c r="I51" s="14" t="s">
        <v>111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99"/>
      <c r="C52" s="60"/>
      <c r="D52" s="76"/>
      <c r="E52" s="40" t="s">
        <v>158</v>
      </c>
      <c r="F52" s="76"/>
      <c r="G52" s="76" t="s">
        <v>24</v>
      </c>
      <c r="H52" s="76"/>
      <c r="I52" s="40" t="s">
        <v>156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99"/>
      <c r="C53" s="76"/>
      <c r="D53" s="76"/>
      <c r="E53" s="14" t="s">
        <v>114</v>
      </c>
      <c r="F53" s="76"/>
      <c r="G53" s="76" t="s">
        <v>24</v>
      </c>
      <c r="H53" s="76"/>
      <c r="I53" s="14" t="s">
        <v>45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99"/>
      <c r="C54" s="76"/>
      <c r="D54" s="76"/>
      <c r="E54" s="14" t="s">
        <v>33</v>
      </c>
      <c r="F54" s="76"/>
      <c r="G54" s="76" t="s">
        <v>24</v>
      </c>
      <c r="H54" s="76"/>
      <c r="I54" s="14" t="s">
        <v>25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99"/>
      <c r="C55" s="76"/>
      <c r="D55" s="76"/>
      <c r="E55" s="14" t="s">
        <v>37</v>
      </c>
      <c r="F55" s="14"/>
      <c r="G55" s="76" t="s">
        <v>24</v>
      </c>
      <c r="H55" s="14"/>
      <c r="I55" s="14" t="s">
        <v>157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99"/>
      <c r="C56" s="76"/>
      <c r="D56" s="76"/>
      <c r="E56" s="14" t="s">
        <v>159</v>
      </c>
      <c r="F56" s="76"/>
      <c r="G56" s="76" t="s">
        <v>24</v>
      </c>
      <c r="H56" s="76"/>
      <c r="I56" s="14" t="s">
        <v>23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99"/>
      <c r="C57" s="76"/>
      <c r="D57" s="76"/>
      <c r="E57" s="14" t="s">
        <v>159</v>
      </c>
      <c r="F57" s="76"/>
      <c r="G57" s="76" t="s">
        <v>24</v>
      </c>
      <c r="H57" s="76"/>
      <c r="I57" s="14" t="s">
        <v>111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99"/>
      <c r="C58" s="76"/>
      <c r="D58" s="76"/>
      <c r="E58" s="40" t="s">
        <v>156</v>
      </c>
      <c r="F58" s="76"/>
      <c r="G58" s="76" t="s">
        <v>24</v>
      </c>
      <c r="H58" s="76"/>
      <c r="I58" s="40" t="s">
        <v>61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99"/>
      <c r="C59" s="76"/>
      <c r="D59" s="76"/>
      <c r="E59" s="14" t="s">
        <v>45</v>
      </c>
      <c r="F59" s="76"/>
      <c r="G59" s="76" t="s">
        <v>24</v>
      </c>
      <c r="H59" s="76"/>
      <c r="I59" s="14" t="s">
        <v>158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99"/>
      <c r="C60" s="76"/>
      <c r="D60" s="76"/>
      <c r="E60" s="14" t="s">
        <v>25</v>
      </c>
      <c r="F60" s="76"/>
      <c r="G60" s="76" t="s">
        <v>24</v>
      </c>
      <c r="H60" s="76"/>
      <c r="I60" s="14" t="s">
        <v>114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99"/>
      <c r="C61" s="76"/>
      <c r="D61" s="76"/>
      <c r="E61" s="14" t="s">
        <v>157</v>
      </c>
      <c r="F61" s="76"/>
      <c r="G61" s="76" t="s">
        <v>24</v>
      </c>
      <c r="H61" s="76"/>
      <c r="I61" s="14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99"/>
      <c r="C62" s="76"/>
      <c r="D62" s="76"/>
      <c r="E62" s="14" t="s">
        <v>23</v>
      </c>
      <c r="F62" s="76"/>
      <c r="G62" s="76" t="s">
        <v>24</v>
      </c>
      <c r="H62" s="76"/>
      <c r="I62" s="14" t="s">
        <v>37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99"/>
      <c r="C63" s="76"/>
      <c r="D63" s="76"/>
      <c r="E63" s="40" t="s">
        <v>111</v>
      </c>
      <c r="F63" s="76"/>
      <c r="G63" s="76" t="s">
        <v>24</v>
      </c>
      <c r="H63" s="76"/>
      <c r="I63" s="40" t="s">
        <v>156</v>
      </c>
      <c r="J63" s="56"/>
      <c r="K63" s="4" t="str">
        <f t="shared" si="1"/>
        <v/>
      </c>
      <c r="L63" s="17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99"/>
      <c r="C64" s="76"/>
      <c r="D64" s="76"/>
      <c r="E64" s="40" t="s">
        <v>61</v>
      </c>
      <c r="F64" s="76"/>
      <c r="G64" s="76" t="s">
        <v>24</v>
      </c>
      <c r="H64" s="76"/>
      <c r="I64" s="40" t="s">
        <v>45</v>
      </c>
      <c r="J64" s="56"/>
      <c r="K64" s="4" t="str">
        <f t="shared" si="1"/>
        <v/>
      </c>
      <c r="L64" s="17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99"/>
      <c r="C65" s="76"/>
      <c r="D65" s="76"/>
      <c r="E65" s="40" t="s">
        <v>158</v>
      </c>
      <c r="F65" s="76"/>
      <c r="G65" s="76" t="s">
        <v>24</v>
      </c>
      <c r="H65" s="76"/>
      <c r="I65" s="40" t="s">
        <v>25</v>
      </c>
      <c r="J65" s="56"/>
      <c r="K65" s="4" t="str">
        <f t="shared" si="1"/>
        <v/>
      </c>
      <c r="L65" s="17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99"/>
      <c r="C66" s="76"/>
      <c r="D66" s="76"/>
      <c r="E66" s="14" t="s">
        <v>114</v>
      </c>
      <c r="F66" s="76"/>
      <c r="G66" s="76" t="s">
        <v>24</v>
      </c>
      <c r="H66" s="76"/>
      <c r="I66" s="40" t="s">
        <v>157</v>
      </c>
      <c r="J66" s="56"/>
      <c r="K66" s="4" t="str">
        <f t="shared" si="1"/>
        <v/>
      </c>
      <c r="L66" s="17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99"/>
      <c r="C67" s="76"/>
      <c r="D67" s="76"/>
      <c r="E67" s="40" t="s">
        <v>33</v>
      </c>
      <c r="F67" s="76"/>
      <c r="G67" s="76" t="s">
        <v>24</v>
      </c>
      <c r="H67" s="76"/>
      <c r="I67" s="40" t="s">
        <v>23</v>
      </c>
      <c r="J67" s="56"/>
      <c r="K67" s="4" t="str">
        <f t="shared" si="1"/>
        <v/>
      </c>
      <c r="L67" s="17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99"/>
      <c r="C68" s="76"/>
      <c r="D68" s="76"/>
      <c r="E68" s="40" t="s">
        <v>37</v>
      </c>
      <c r="F68" s="76"/>
      <c r="G68" s="76" t="s">
        <v>24</v>
      </c>
      <c r="H68" s="76"/>
      <c r="I68" s="40" t="s">
        <v>159</v>
      </c>
      <c r="J68" s="56"/>
      <c r="K68" s="4" t="str">
        <f t="shared" si="1"/>
        <v/>
      </c>
      <c r="L68" s="17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95" t="s">
        <v>164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99</v>
      </c>
      <c r="D75" s="59" t="s">
        <v>94</v>
      </c>
      <c r="E75" s="40" t="s">
        <v>113</v>
      </c>
      <c r="F75" s="40">
        <v>3.0</v>
      </c>
      <c r="G75" s="76" t="s">
        <v>24</v>
      </c>
      <c r="H75" s="40">
        <v>1.0</v>
      </c>
      <c r="I75" s="40" t="s">
        <v>116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89" t="s">
        <v>116</v>
      </c>
      <c r="P75" s="17">
        <f t="shared" ref="P75:P83" si="13">SUMIF(E$75:E$119,O75,K$75:K$119)+SUMIF(I$75:I$119,O75,L$75:L$119)</f>
        <v>4</v>
      </c>
      <c r="Q75" s="17">
        <f t="shared" ref="Q75:Q83" si="14">COUNTIFS(E$75:E$119,O75,K$75:K$119,3)+COUNTIFS(I$75:I$119,O75,L$75:L$119,3)</f>
        <v>1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3</v>
      </c>
      <c r="T75" s="17">
        <f t="shared" ref="T75:T83" si="17">SUMIF(E$75:E$119,O75,F$75:F$119)+SUMIF(I$75:I$119,O75,H$75:H$119)</f>
        <v>11</v>
      </c>
      <c r="U75" s="19">
        <f t="shared" ref="U75:U83" si="18">SUMIF(E$75:E$119,O75,H$75:H$119)+SUMIF(I$75:I$119,O75,F$75:F$119)</f>
        <v>23</v>
      </c>
      <c r="V75" s="17">
        <f t="shared" ref="V75:V83" si="19">T75-U75</f>
        <v>-12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2" t="str">
        <f t="array" ref="AF75:AN83">SORT(O75:W83,2,FALSE,9,FALSE,8,FALSE())</f>
        <v>Eng. Materiais</v>
      </c>
      <c r="AG75" s="22">
        <v>15.0</v>
      </c>
      <c r="AH75" s="22">
        <v>5.0</v>
      </c>
      <c r="AI75" s="22">
        <v>0.0</v>
      </c>
      <c r="AJ75" s="22">
        <v>0.0</v>
      </c>
      <c r="AK75" s="22">
        <v>33.0</v>
      </c>
      <c r="AL75" s="22">
        <v>10.0</v>
      </c>
      <c r="AM75" s="22">
        <v>23.0</v>
      </c>
      <c r="AN75" s="17"/>
    </row>
    <row r="76" ht="15.75" customHeight="1">
      <c r="A76" s="24"/>
      <c r="B76" s="11">
        <v>45943.0</v>
      </c>
      <c r="C76" s="12" t="s">
        <v>103</v>
      </c>
      <c r="D76" s="59" t="s">
        <v>94</v>
      </c>
      <c r="E76" s="40" t="s">
        <v>63</v>
      </c>
      <c r="F76" s="40">
        <v>0.0</v>
      </c>
      <c r="G76" s="76" t="s">
        <v>24</v>
      </c>
      <c r="H76" s="40">
        <v>4.0</v>
      </c>
      <c r="I76" s="40" t="s">
        <v>40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89" t="s">
        <v>113</v>
      </c>
      <c r="P76" s="17">
        <f t="shared" si="13"/>
        <v>9</v>
      </c>
      <c r="Q76" s="17">
        <f t="shared" si="14"/>
        <v>3</v>
      </c>
      <c r="R76" s="19">
        <f t="shared" si="15"/>
        <v>0</v>
      </c>
      <c r="S76" s="19">
        <f t="shared" si="16"/>
        <v>2</v>
      </c>
      <c r="T76" s="17">
        <f t="shared" si="17"/>
        <v>16</v>
      </c>
      <c r="U76" s="19">
        <f t="shared" si="18"/>
        <v>18</v>
      </c>
      <c r="V76" s="17">
        <f t="shared" si="19"/>
        <v>-2</v>
      </c>
      <c r="W76" s="56"/>
      <c r="X76" s="56"/>
      <c r="Y76" s="56"/>
      <c r="Z76" s="56"/>
      <c r="AA76" s="56"/>
      <c r="AB76" s="56"/>
      <c r="AC76" s="56"/>
      <c r="AD76" s="56"/>
      <c r="AE76" s="100" t="s">
        <v>115</v>
      </c>
      <c r="AF76" s="22" t="s">
        <v>59</v>
      </c>
      <c r="AG76" s="22">
        <v>12.0</v>
      </c>
      <c r="AH76" s="22">
        <v>4.0</v>
      </c>
      <c r="AI76" s="22">
        <v>0.0</v>
      </c>
      <c r="AJ76" s="22">
        <v>2.0</v>
      </c>
      <c r="AK76" s="22">
        <v>34.0</v>
      </c>
      <c r="AL76" s="22">
        <v>12.0</v>
      </c>
      <c r="AM76" s="22">
        <v>22.0</v>
      </c>
      <c r="AN76" s="17"/>
    </row>
    <row r="77" ht="15.75" customHeight="1">
      <c r="A77" s="24"/>
      <c r="B77" s="11">
        <v>45943.0</v>
      </c>
      <c r="C77" s="12" t="s">
        <v>51</v>
      </c>
      <c r="D77" s="59" t="s">
        <v>94</v>
      </c>
      <c r="E77" s="40" t="s">
        <v>32</v>
      </c>
      <c r="F77" s="40">
        <v>12.0</v>
      </c>
      <c r="G77" s="76" t="s">
        <v>24</v>
      </c>
      <c r="H77" s="40">
        <v>1.0</v>
      </c>
      <c r="I77" s="40" t="s">
        <v>64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89" t="s">
        <v>63</v>
      </c>
      <c r="P77" s="17">
        <f t="shared" si="13"/>
        <v>7</v>
      </c>
      <c r="Q77" s="17">
        <f t="shared" si="14"/>
        <v>2</v>
      </c>
      <c r="R77" s="19">
        <f t="shared" si="15"/>
        <v>1</v>
      </c>
      <c r="S77" s="19">
        <f t="shared" si="16"/>
        <v>2</v>
      </c>
      <c r="T77" s="17">
        <f t="shared" si="17"/>
        <v>14</v>
      </c>
      <c r="U77" s="19">
        <f t="shared" si="18"/>
        <v>16</v>
      </c>
      <c r="V77" s="17">
        <f t="shared" si="19"/>
        <v>-2</v>
      </c>
      <c r="W77" s="56"/>
      <c r="X77" s="56"/>
      <c r="Y77" s="56"/>
      <c r="Z77" s="56"/>
      <c r="AA77" s="56"/>
      <c r="AB77" s="56"/>
      <c r="AC77" s="56"/>
      <c r="AD77" s="56"/>
      <c r="AE77" s="21">
        <v>3.0</v>
      </c>
      <c r="AF77" s="22" t="s">
        <v>40</v>
      </c>
      <c r="AG77" s="22">
        <v>9.0</v>
      </c>
      <c r="AH77" s="22">
        <v>3.0</v>
      </c>
      <c r="AI77" s="22">
        <v>0.0</v>
      </c>
      <c r="AJ77" s="22">
        <v>2.0</v>
      </c>
      <c r="AK77" s="22">
        <v>30.0</v>
      </c>
      <c r="AL77" s="22">
        <v>9.0</v>
      </c>
      <c r="AM77" s="22">
        <v>21.0</v>
      </c>
      <c r="AN77" s="17"/>
    </row>
    <row r="78" ht="15.75" customHeight="1">
      <c r="A78" s="24"/>
      <c r="B78" s="11">
        <v>45943.0</v>
      </c>
      <c r="C78" s="12" t="s">
        <v>95</v>
      </c>
      <c r="D78" s="59" t="s">
        <v>94</v>
      </c>
      <c r="E78" s="40" t="s">
        <v>59</v>
      </c>
      <c r="F78" s="40">
        <v>12.0</v>
      </c>
      <c r="G78" s="76" t="s">
        <v>24</v>
      </c>
      <c r="H78" s="40">
        <v>3.0</v>
      </c>
      <c r="I78" s="40" t="s">
        <v>165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89" t="s">
        <v>32</v>
      </c>
      <c r="P78" s="17">
        <f t="shared" si="13"/>
        <v>15</v>
      </c>
      <c r="Q78" s="17">
        <f t="shared" si="14"/>
        <v>5</v>
      </c>
      <c r="R78" s="19">
        <f t="shared" si="15"/>
        <v>0</v>
      </c>
      <c r="S78" s="19">
        <f t="shared" si="16"/>
        <v>0</v>
      </c>
      <c r="T78" s="17">
        <f t="shared" si="17"/>
        <v>33</v>
      </c>
      <c r="U78" s="19">
        <f t="shared" si="18"/>
        <v>10</v>
      </c>
      <c r="V78" s="17">
        <f t="shared" si="19"/>
        <v>23</v>
      </c>
      <c r="W78" s="56"/>
      <c r="X78" s="56"/>
      <c r="Y78" s="56"/>
      <c r="Z78" s="56"/>
      <c r="AA78" s="56"/>
      <c r="AB78" s="56"/>
      <c r="AC78" s="56"/>
      <c r="AD78" s="56"/>
      <c r="AE78" s="21">
        <v>4.0</v>
      </c>
      <c r="AF78" s="22" t="s">
        <v>113</v>
      </c>
      <c r="AG78" s="22">
        <v>9.0</v>
      </c>
      <c r="AH78" s="22">
        <v>3.0</v>
      </c>
      <c r="AI78" s="22">
        <v>0.0</v>
      </c>
      <c r="AJ78" s="22">
        <v>2.0</v>
      </c>
      <c r="AK78" s="22">
        <v>16.0</v>
      </c>
      <c r="AL78" s="22">
        <v>18.0</v>
      </c>
      <c r="AM78" s="22">
        <v>-2.0</v>
      </c>
      <c r="AN78" s="17"/>
    </row>
    <row r="79" ht="15.75" customHeight="1">
      <c r="A79" s="24"/>
      <c r="B79" s="101"/>
      <c r="C79" s="76"/>
      <c r="D79" s="60"/>
      <c r="E79" s="40" t="s">
        <v>55</v>
      </c>
      <c r="F79" s="60"/>
      <c r="G79" s="76" t="s">
        <v>24</v>
      </c>
      <c r="H79" s="60"/>
      <c r="I79" s="40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89" t="s">
        <v>59</v>
      </c>
      <c r="P79" s="17">
        <f t="shared" si="13"/>
        <v>12</v>
      </c>
      <c r="Q79" s="17">
        <f t="shared" si="14"/>
        <v>4</v>
      </c>
      <c r="R79" s="19">
        <f t="shared" si="15"/>
        <v>0</v>
      </c>
      <c r="S79" s="19">
        <f t="shared" si="16"/>
        <v>2</v>
      </c>
      <c r="T79" s="17">
        <f t="shared" si="17"/>
        <v>34</v>
      </c>
      <c r="U79" s="19">
        <f t="shared" si="18"/>
        <v>12</v>
      </c>
      <c r="V79" s="17">
        <f t="shared" si="19"/>
        <v>22</v>
      </c>
      <c r="W79" s="56"/>
      <c r="X79" s="56"/>
      <c r="Y79" s="56"/>
      <c r="Z79" s="56"/>
      <c r="AA79" s="56"/>
      <c r="AB79" s="56"/>
      <c r="AC79" s="56"/>
      <c r="AD79" s="56"/>
      <c r="AE79" s="21">
        <v>5.0</v>
      </c>
      <c r="AF79" s="22" t="s">
        <v>63</v>
      </c>
      <c r="AG79" s="22">
        <v>7.0</v>
      </c>
      <c r="AH79" s="22">
        <v>2.0</v>
      </c>
      <c r="AI79" s="22">
        <v>1.0</v>
      </c>
      <c r="AJ79" s="22">
        <v>2.0</v>
      </c>
      <c r="AK79" s="22">
        <v>14.0</v>
      </c>
      <c r="AL79" s="22">
        <v>16.0</v>
      </c>
      <c r="AM79" s="22">
        <v>-2.0</v>
      </c>
      <c r="AN79" s="17"/>
    </row>
    <row r="80" ht="15.75" customHeight="1">
      <c r="A80" s="10">
        <v>2.0</v>
      </c>
      <c r="B80" s="102">
        <v>45957.0</v>
      </c>
      <c r="C80" s="59" t="s">
        <v>51</v>
      </c>
      <c r="D80" s="59" t="s">
        <v>94</v>
      </c>
      <c r="E80" s="40" t="s">
        <v>116</v>
      </c>
      <c r="F80" s="40">
        <v>3.0</v>
      </c>
      <c r="G80" s="76" t="s">
        <v>24</v>
      </c>
      <c r="H80" s="40">
        <v>3.0</v>
      </c>
      <c r="I80" s="40" t="s">
        <v>63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89" t="s">
        <v>55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4</v>
      </c>
      <c r="T80" s="17">
        <f t="shared" si="17"/>
        <v>12</v>
      </c>
      <c r="U80" s="19">
        <f t="shared" si="18"/>
        <v>23</v>
      </c>
      <c r="V80" s="17">
        <f t="shared" si="19"/>
        <v>-11</v>
      </c>
      <c r="W80" s="56"/>
      <c r="X80" s="56"/>
      <c r="Y80" s="56"/>
      <c r="Z80" s="56"/>
      <c r="AA80" s="56"/>
      <c r="AB80" s="56"/>
      <c r="AC80" s="56"/>
      <c r="AD80" s="56"/>
      <c r="AE80" s="21">
        <v>6.0</v>
      </c>
      <c r="AF80" s="22" t="s">
        <v>64</v>
      </c>
      <c r="AG80" s="22">
        <v>6.0</v>
      </c>
      <c r="AH80" s="22">
        <v>2.0</v>
      </c>
      <c r="AI80" s="22">
        <v>0.0</v>
      </c>
      <c r="AJ80" s="22">
        <v>2.0</v>
      </c>
      <c r="AK80" s="22">
        <v>13.0</v>
      </c>
      <c r="AL80" s="22">
        <v>26.0</v>
      </c>
      <c r="AM80" s="22">
        <v>-13.0</v>
      </c>
      <c r="AN80" s="17"/>
    </row>
    <row r="81" ht="15.75" customHeight="1">
      <c r="A81" s="24"/>
      <c r="B81" s="103"/>
      <c r="C81" s="104"/>
      <c r="D81" s="82"/>
      <c r="E81" s="40">
        <v>0.0</v>
      </c>
      <c r="F81" s="60"/>
      <c r="G81" s="76" t="s">
        <v>24</v>
      </c>
      <c r="H81" s="60"/>
      <c r="I81" s="40" t="s">
        <v>113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89" t="s">
        <v>165</v>
      </c>
      <c r="P81" s="17">
        <f t="shared" si="13"/>
        <v>1</v>
      </c>
      <c r="Q81" s="17">
        <f t="shared" si="14"/>
        <v>0</v>
      </c>
      <c r="R81" s="19">
        <f t="shared" si="15"/>
        <v>1</v>
      </c>
      <c r="S81" s="19">
        <f t="shared" si="16"/>
        <v>3</v>
      </c>
      <c r="T81" s="17">
        <f t="shared" si="17"/>
        <v>5</v>
      </c>
      <c r="U81" s="19">
        <f t="shared" si="18"/>
        <v>31</v>
      </c>
      <c r="V81" s="17">
        <f t="shared" si="19"/>
        <v>-26</v>
      </c>
      <c r="W81" s="56"/>
      <c r="X81" s="56"/>
      <c r="Y81" s="56"/>
      <c r="Z81" s="56"/>
      <c r="AA81" s="56"/>
      <c r="AB81" s="56"/>
      <c r="AC81" s="56"/>
      <c r="AD81" s="56"/>
      <c r="AE81" s="21">
        <v>7.0</v>
      </c>
      <c r="AF81" s="22" t="s">
        <v>116</v>
      </c>
      <c r="AG81" s="22">
        <v>4.0</v>
      </c>
      <c r="AH81" s="22">
        <v>1.0</v>
      </c>
      <c r="AI81" s="22">
        <v>1.0</v>
      </c>
      <c r="AJ81" s="22">
        <v>3.0</v>
      </c>
      <c r="AK81" s="22">
        <v>11.0</v>
      </c>
      <c r="AL81" s="22">
        <v>23.0</v>
      </c>
      <c r="AM81" s="22">
        <v>-12.0</v>
      </c>
      <c r="AN81" s="17"/>
    </row>
    <row r="82" ht="15.75" customHeight="1">
      <c r="A82" s="24"/>
      <c r="B82" s="102">
        <v>45957.0</v>
      </c>
      <c r="C82" s="12" t="s">
        <v>95</v>
      </c>
      <c r="D82" s="59" t="s">
        <v>94</v>
      </c>
      <c r="E82" s="40" t="s">
        <v>40</v>
      </c>
      <c r="F82" s="40">
        <v>2.0</v>
      </c>
      <c r="G82" s="76" t="s">
        <v>24</v>
      </c>
      <c r="H82" s="40">
        <v>4.0</v>
      </c>
      <c r="I82" s="40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89" t="s">
        <v>64</v>
      </c>
      <c r="P82" s="17">
        <f t="shared" si="13"/>
        <v>6</v>
      </c>
      <c r="Q82" s="17">
        <f t="shared" si="14"/>
        <v>2</v>
      </c>
      <c r="R82" s="19">
        <f t="shared" si="15"/>
        <v>0</v>
      </c>
      <c r="S82" s="19">
        <f t="shared" si="16"/>
        <v>2</v>
      </c>
      <c r="T82" s="17">
        <f t="shared" si="17"/>
        <v>13</v>
      </c>
      <c r="U82" s="19">
        <f t="shared" si="18"/>
        <v>26</v>
      </c>
      <c r="V82" s="17">
        <f t="shared" si="19"/>
        <v>-13</v>
      </c>
      <c r="W82" s="56"/>
      <c r="X82" s="56"/>
      <c r="Y82" s="56"/>
      <c r="Z82" s="56"/>
      <c r="AA82" s="56"/>
      <c r="AB82" s="56"/>
      <c r="AC82" s="56"/>
      <c r="AD82" s="56"/>
      <c r="AE82" s="21">
        <v>8.0</v>
      </c>
      <c r="AF82" s="22" t="s">
        <v>55</v>
      </c>
      <c r="AG82" s="22">
        <v>1.0</v>
      </c>
      <c r="AH82" s="22">
        <v>0.0</v>
      </c>
      <c r="AI82" s="22">
        <v>1.0</v>
      </c>
      <c r="AJ82" s="22">
        <v>4.0</v>
      </c>
      <c r="AK82" s="22">
        <v>12.0</v>
      </c>
      <c r="AL82" s="22">
        <v>23.0</v>
      </c>
      <c r="AM82" s="22">
        <v>-11.0</v>
      </c>
      <c r="AN82" s="17"/>
    </row>
    <row r="83" ht="15.75" customHeight="1">
      <c r="A83" s="24"/>
      <c r="B83" s="102">
        <v>45957.0</v>
      </c>
      <c r="C83" s="12" t="s">
        <v>99</v>
      </c>
      <c r="D83" s="59" t="s">
        <v>94</v>
      </c>
      <c r="E83" s="40" t="s">
        <v>64</v>
      </c>
      <c r="F83" s="40">
        <v>4.0</v>
      </c>
      <c r="G83" s="76" t="s">
        <v>24</v>
      </c>
      <c r="H83" s="40">
        <v>9.0</v>
      </c>
      <c r="I83" s="40" t="s">
        <v>59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89" t="s">
        <v>40</v>
      </c>
      <c r="P83" s="17">
        <f t="shared" si="13"/>
        <v>9</v>
      </c>
      <c r="Q83" s="17">
        <f t="shared" si="14"/>
        <v>3</v>
      </c>
      <c r="R83" s="19">
        <f t="shared" si="15"/>
        <v>0</v>
      </c>
      <c r="S83" s="19">
        <f t="shared" si="16"/>
        <v>2</v>
      </c>
      <c r="T83" s="17">
        <f t="shared" si="17"/>
        <v>30</v>
      </c>
      <c r="U83" s="19">
        <f t="shared" si="18"/>
        <v>9</v>
      </c>
      <c r="V83" s="17">
        <f t="shared" si="19"/>
        <v>21</v>
      </c>
      <c r="W83" s="56"/>
      <c r="X83" s="56"/>
      <c r="Y83" s="56"/>
      <c r="Z83" s="56"/>
      <c r="AA83" s="56"/>
      <c r="AB83" s="56"/>
      <c r="AC83" s="56"/>
      <c r="AD83" s="56"/>
      <c r="AE83" s="21">
        <v>9.0</v>
      </c>
      <c r="AF83" s="22" t="s">
        <v>165</v>
      </c>
      <c r="AG83" s="22">
        <v>1.0</v>
      </c>
      <c r="AH83" s="22">
        <v>0.0</v>
      </c>
      <c r="AI83" s="22">
        <v>1.0</v>
      </c>
      <c r="AJ83" s="22">
        <v>3.0</v>
      </c>
      <c r="AK83" s="22">
        <v>5.0</v>
      </c>
      <c r="AL83" s="44">
        <v>31.0</v>
      </c>
      <c r="AM83" s="44">
        <v>-26.0</v>
      </c>
      <c r="AN83" s="17"/>
    </row>
    <row r="84" ht="15.75" customHeight="1">
      <c r="A84" s="24"/>
      <c r="B84" s="102">
        <v>45957.0</v>
      </c>
      <c r="C84" s="12" t="s">
        <v>103</v>
      </c>
      <c r="D84" s="59" t="s">
        <v>94</v>
      </c>
      <c r="E84" s="40" t="s">
        <v>165</v>
      </c>
      <c r="F84" s="40">
        <v>2.0</v>
      </c>
      <c r="G84" s="76" t="s">
        <v>24</v>
      </c>
      <c r="H84" s="40">
        <v>2.0</v>
      </c>
      <c r="I84" s="40" t="s">
        <v>55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56"/>
      <c r="X84" s="56"/>
      <c r="Y84" s="56"/>
      <c r="Z84" s="56"/>
      <c r="AA84" s="56"/>
      <c r="AB84" s="56"/>
      <c r="AC84" s="56"/>
      <c r="AD84" s="56"/>
      <c r="AE84" s="34" t="s">
        <v>166</v>
      </c>
      <c r="AH84" s="31"/>
      <c r="AI84" s="31"/>
      <c r="AJ84" s="31"/>
      <c r="AK84" s="31"/>
      <c r="AL84" s="105"/>
      <c r="AM84" s="105"/>
      <c r="AN84" s="17"/>
    </row>
    <row r="85" ht="15.75" customHeight="1">
      <c r="A85" s="10">
        <v>3.0</v>
      </c>
      <c r="B85" s="11">
        <v>45974.0</v>
      </c>
      <c r="C85" s="59" t="s">
        <v>21</v>
      </c>
      <c r="D85" s="59" t="s">
        <v>22</v>
      </c>
      <c r="E85" s="40" t="s">
        <v>32</v>
      </c>
      <c r="F85" s="40">
        <v>5.0</v>
      </c>
      <c r="G85" s="76" t="s">
        <v>24</v>
      </c>
      <c r="H85" s="40">
        <v>4.0</v>
      </c>
      <c r="I85" s="40" t="s">
        <v>116</v>
      </c>
      <c r="J85" s="4"/>
      <c r="K85" s="4">
        <f t="shared" si="11"/>
        <v>3</v>
      </c>
      <c r="L85" s="17">
        <f t="shared" si="12"/>
        <v>0</v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56"/>
      <c r="X85" s="56"/>
      <c r="Y85" s="56"/>
      <c r="Z85" s="56"/>
      <c r="AA85" s="56"/>
      <c r="AB85" s="56"/>
      <c r="AC85" s="56"/>
      <c r="AD85" s="56"/>
      <c r="AE85" s="73" t="s">
        <v>163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102">
        <v>45973.0</v>
      </c>
      <c r="C86" s="12" t="s">
        <v>136</v>
      </c>
      <c r="D86" s="59" t="s">
        <v>22</v>
      </c>
      <c r="E86" s="40" t="s">
        <v>63</v>
      </c>
      <c r="F86" s="40">
        <v>8.0</v>
      </c>
      <c r="G86" s="76" t="s">
        <v>24</v>
      </c>
      <c r="H86" s="40">
        <v>5.0</v>
      </c>
      <c r="I86" s="40" t="s">
        <v>113</v>
      </c>
      <c r="J86" s="4"/>
      <c r="K86" s="4">
        <f t="shared" si="11"/>
        <v>3</v>
      </c>
      <c r="L86" s="17">
        <f t="shared" si="12"/>
        <v>0</v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7"/>
      <c r="AK86" s="17"/>
      <c r="AL86" s="17"/>
      <c r="AM86" s="17"/>
      <c r="AN86" s="4"/>
    </row>
    <row r="87" ht="15.75" customHeight="1">
      <c r="A87" s="24"/>
      <c r="B87" s="102">
        <v>45974.0</v>
      </c>
      <c r="C87" s="59" t="s">
        <v>49</v>
      </c>
      <c r="D87" s="59" t="s">
        <v>22</v>
      </c>
      <c r="E87" s="40" t="s">
        <v>59</v>
      </c>
      <c r="F87" s="40">
        <v>3.0</v>
      </c>
      <c r="G87" s="76" t="s">
        <v>24</v>
      </c>
      <c r="H87" s="40">
        <v>2.0</v>
      </c>
      <c r="I87" s="40" t="s">
        <v>40</v>
      </c>
      <c r="J87" s="4"/>
      <c r="K87" s="4">
        <f t="shared" si="11"/>
        <v>3</v>
      </c>
      <c r="L87" s="17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4"/>
      <c r="B88" s="102">
        <v>45973.0</v>
      </c>
      <c r="C88" s="59" t="s">
        <v>155</v>
      </c>
      <c r="D88" s="59" t="s">
        <v>22</v>
      </c>
      <c r="E88" s="40" t="s">
        <v>55</v>
      </c>
      <c r="F88" s="40">
        <v>5.0</v>
      </c>
      <c r="G88" s="76" t="s">
        <v>24</v>
      </c>
      <c r="H88" s="40">
        <v>6.0</v>
      </c>
      <c r="I88" s="40" t="s">
        <v>64</v>
      </c>
      <c r="J88" s="4"/>
      <c r="K88" s="4">
        <f t="shared" si="11"/>
        <v>0</v>
      </c>
      <c r="L88" s="17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4"/>
      <c r="B89" s="101"/>
      <c r="C89" s="76"/>
      <c r="D89" s="76"/>
      <c r="E89" s="40">
        <v>0.0</v>
      </c>
      <c r="F89" s="60"/>
      <c r="G89" s="76" t="s">
        <v>24</v>
      </c>
      <c r="H89" s="60"/>
      <c r="I89" s="40" t="s">
        <v>165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59" t="s">
        <v>22</v>
      </c>
      <c r="E90" s="40" t="s">
        <v>116</v>
      </c>
      <c r="F90" s="40">
        <v>0.0</v>
      </c>
      <c r="G90" s="76" t="s">
        <v>24</v>
      </c>
      <c r="H90" s="40">
        <v>10.0</v>
      </c>
      <c r="I90" s="40" t="s">
        <v>59</v>
      </c>
      <c r="J90" s="37"/>
      <c r="K90" s="4">
        <f t="shared" si="11"/>
        <v>0</v>
      </c>
      <c r="L90" s="17">
        <f t="shared" si="12"/>
        <v>3</v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4"/>
      <c r="B91" s="11">
        <v>45992.0</v>
      </c>
      <c r="C91" s="12" t="s">
        <v>36</v>
      </c>
      <c r="D91" s="59" t="s">
        <v>22</v>
      </c>
      <c r="E91" s="40" t="s">
        <v>113</v>
      </c>
      <c r="F91" s="40">
        <v>2.0</v>
      </c>
      <c r="G91" s="76" t="s">
        <v>24</v>
      </c>
      <c r="H91" s="40">
        <v>8.0</v>
      </c>
      <c r="I91" s="40" t="s">
        <v>32</v>
      </c>
      <c r="J91" s="4"/>
      <c r="K91" s="4">
        <f t="shared" si="11"/>
        <v>0</v>
      </c>
      <c r="L91" s="17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4"/>
      <c r="B92" s="106"/>
      <c r="C92" s="104"/>
      <c r="D92" s="76"/>
      <c r="E92" s="40" t="s">
        <v>63</v>
      </c>
      <c r="F92" s="60"/>
      <c r="G92" s="76" t="s">
        <v>24</v>
      </c>
      <c r="H92" s="60"/>
      <c r="I92" s="40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11">
        <v>45992.0</v>
      </c>
      <c r="C93" s="12" t="s">
        <v>49</v>
      </c>
      <c r="D93" s="59" t="s">
        <v>22</v>
      </c>
      <c r="E93" s="40" t="s">
        <v>40</v>
      </c>
      <c r="F93" s="40">
        <v>7.0</v>
      </c>
      <c r="G93" s="76" t="s">
        <v>24</v>
      </c>
      <c r="H93" s="40">
        <v>2.0</v>
      </c>
      <c r="I93" s="40" t="s">
        <v>55</v>
      </c>
      <c r="J93" s="4"/>
      <c r="K93" s="4">
        <f t="shared" si="11"/>
        <v>3</v>
      </c>
      <c r="L93" s="17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4"/>
      <c r="B94" s="11">
        <v>45992.0</v>
      </c>
      <c r="C94" s="59" t="s">
        <v>21</v>
      </c>
      <c r="D94" s="59" t="s">
        <v>22</v>
      </c>
      <c r="E94" s="40" t="s">
        <v>64</v>
      </c>
      <c r="F94" s="40">
        <v>2.0</v>
      </c>
      <c r="G94" s="76" t="s">
        <v>24</v>
      </c>
      <c r="H94" s="40">
        <v>0.0</v>
      </c>
      <c r="I94" s="40" t="s">
        <v>165</v>
      </c>
      <c r="J94" s="4"/>
      <c r="K94" s="4">
        <f t="shared" si="11"/>
        <v>3</v>
      </c>
      <c r="L94" s="17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101"/>
      <c r="C95" s="76"/>
      <c r="D95" s="76"/>
      <c r="E95" s="40" t="s">
        <v>55</v>
      </c>
      <c r="F95" s="40">
        <v>2.0</v>
      </c>
      <c r="G95" s="76" t="s">
        <v>24</v>
      </c>
      <c r="H95" s="40">
        <v>3.0</v>
      </c>
      <c r="I95" s="40" t="s">
        <v>116</v>
      </c>
      <c r="J95" s="4"/>
      <c r="K95" s="4">
        <f t="shared" si="11"/>
        <v>0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4"/>
      <c r="B96" s="101"/>
      <c r="C96" s="76"/>
      <c r="D96" s="76"/>
      <c r="E96" s="40" t="s">
        <v>59</v>
      </c>
      <c r="F96" s="40">
        <v>0.0</v>
      </c>
      <c r="G96" s="76" t="s">
        <v>24</v>
      </c>
      <c r="H96" s="40">
        <v>1.0</v>
      </c>
      <c r="I96" s="40" t="s">
        <v>113</v>
      </c>
      <c r="J96" s="4"/>
      <c r="K96" s="4">
        <f t="shared" si="11"/>
        <v>0</v>
      </c>
      <c r="L96" s="17">
        <f t="shared" si="12"/>
        <v>3</v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101"/>
      <c r="C97" s="76"/>
      <c r="D97" s="76"/>
      <c r="E97" s="40" t="s">
        <v>32</v>
      </c>
      <c r="F97" s="40">
        <v>4.0</v>
      </c>
      <c r="G97" s="76" t="s">
        <v>24</v>
      </c>
      <c r="H97" s="40">
        <v>1.0</v>
      </c>
      <c r="I97" s="40" t="s">
        <v>63</v>
      </c>
      <c r="J97" s="4"/>
      <c r="K97" s="4">
        <f t="shared" si="11"/>
        <v>3</v>
      </c>
      <c r="L97" s="17">
        <f t="shared" si="12"/>
        <v>0</v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101"/>
      <c r="C98" s="76"/>
      <c r="D98" s="76"/>
      <c r="E98" s="40" t="s">
        <v>165</v>
      </c>
      <c r="F98" s="40">
        <v>0.0</v>
      </c>
      <c r="G98" s="76" t="s">
        <v>24</v>
      </c>
      <c r="H98" s="40">
        <v>15.0</v>
      </c>
      <c r="I98" s="40" t="s">
        <v>40</v>
      </c>
      <c r="J98" s="4"/>
      <c r="K98" s="4">
        <f t="shared" si="11"/>
        <v>0</v>
      </c>
      <c r="L98" s="17">
        <f t="shared" si="12"/>
        <v>3</v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101"/>
      <c r="C99" s="76"/>
      <c r="D99" s="76"/>
      <c r="E99" s="40">
        <v>0.0</v>
      </c>
      <c r="F99" s="60"/>
      <c r="G99" s="76" t="s">
        <v>24</v>
      </c>
      <c r="H99" s="60"/>
      <c r="I99" s="40" t="s">
        <v>64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01"/>
      <c r="C100" s="76"/>
      <c r="D100" s="76"/>
      <c r="E100" s="40" t="s">
        <v>116</v>
      </c>
      <c r="F100" s="60"/>
      <c r="G100" s="76" t="s">
        <v>24</v>
      </c>
      <c r="H100" s="60"/>
      <c r="I100" s="40" t="s">
        <v>165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101"/>
      <c r="C101" s="76"/>
      <c r="D101" s="76"/>
      <c r="E101" s="40" t="s">
        <v>113</v>
      </c>
      <c r="F101" s="40">
        <v>5.0</v>
      </c>
      <c r="G101" s="76" t="s">
        <v>24</v>
      </c>
      <c r="H101" s="40">
        <v>1.0</v>
      </c>
      <c r="I101" s="40" t="s">
        <v>55</v>
      </c>
      <c r="J101" s="4"/>
      <c r="K101" s="4">
        <f t="shared" si="11"/>
        <v>3</v>
      </c>
      <c r="L101" s="17">
        <f t="shared" si="12"/>
        <v>0</v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101"/>
      <c r="C102" s="76"/>
      <c r="D102" s="76"/>
      <c r="E102" s="40" t="s">
        <v>63</v>
      </c>
      <c r="F102" s="40">
        <v>2.0</v>
      </c>
      <c r="G102" s="76" t="s">
        <v>24</v>
      </c>
      <c r="H102" s="40">
        <v>0.0</v>
      </c>
      <c r="I102" s="40" t="s">
        <v>59</v>
      </c>
      <c r="J102" s="4"/>
      <c r="K102" s="4">
        <f t="shared" si="11"/>
        <v>3</v>
      </c>
      <c r="L102" s="17">
        <f t="shared" si="12"/>
        <v>0</v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101"/>
      <c r="C103" s="76"/>
      <c r="D103" s="76"/>
      <c r="E103" s="40" t="s">
        <v>32</v>
      </c>
      <c r="F103" s="60"/>
      <c r="G103" s="76" t="s">
        <v>24</v>
      </c>
      <c r="H103" s="60"/>
      <c r="I103" s="40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101"/>
      <c r="C104" s="76"/>
      <c r="D104" s="76"/>
      <c r="E104" s="40" t="s">
        <v>40</v>
      </c>
      <c r="F104" s="60"/>
      <c r="G104" s="76" t="s">
        <v>24</v>
      </c>
      <c r="H104" s="6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01"/>
      <c r="C105" s="76"/>
      <c r="D105" s="76"/>
      <c r="E105" s="40" t="s">
        <v>64</v>
      </c>
      <c r="F105" s="60"/>
      <c r="G105" s="76" t="s">
        <v>24</v>
      </c>
      <c r="H105" s="60"/>
      <c r="I105" s="40" t="s">
        <v>116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101"/>
      <c r="C106" s="76"/>
      <c r="D106" s="76"/>
      <c r="E106" s="40" t="s">
        <v>165</v>
      </c>
      <c r="F106" s="60"/>
      <c r="G106" s="76" t="s">
        <v>24</v>
      </c>
      <c r="H106" s="60"/>
      <c r="I106" s="40" t="s">
        <v>113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101"/>
      <c r="C107" s="76"/>
      <c r="D107" s="76"/>
      <c r="E107" s="40" t="s">
        <v>55</v>
      </c>
      <c r="F107" s="60"/>
      <c r="G107" s="76" t="s">
        <v>24</v>
      </c>
      <c r="H107" s="60"/>
      <c r="I107" s="40" t="s">
        <v>63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101"/>
      <c r="C108" s="76"/>
      <c r="D108" s="76"/>
      <c r="E108" s="40" t="s">
        <v>59</v>
      </c>
      <c r="F108" s="60"/>
      <c r="G108" s="76" t="s">
        <v>24</v>
      </c>
      <c r="H108" s="60"/>
      <c r="I108" s="40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101"/>
      <c r="C109" s="76"/>
      <c r="D109" s="76"/>
      <c r="E109" s="40">
        <v>0.0</v>
      </c>
      <c r="F109" s="60"/>
      <c r="G109" s="76" t="s">
        <v>24</v>
      </c>
      <c r="H109" s="60"/>
      <c r="I109" s="40" t="s">
        <v>40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01"/>
      <c r="C110" s="76"/>
      <c r="D110" s="76"/>
      <c r="E110" s="40" t="s">
        <v>116</v>
      </c>
      <c r="F110" s="60"/>
      <c r="G110" s="76" t="s">
        <v>24</v>
      </c>
      <c r="H110" s="60"/>
      <c r="I110" s="40" t="s">
        <v>40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101"/>
      <c r="C111" s="76"/>
      <c r="D111" s="76"/>
      <c r="E111" s="40" t="s">
        <v>113</v>
      </c>
      <c r="F111" s="60"/>
      <c r="G111" s="76" t="s">
        <v>24</v>
      </c>
      <c r="H111" s="60"/>
      <c r="I111" s="40" t="s">
        <v>64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101"/>
      <c r="C112" s="76"/>
      <c r="D112" s="76"/>
      <c r="E112" s="40" t="s">
        <v>63</v>
      </c>
      <c r="F112" s="60"/>
      <c r="G112" s="76" t="s">
        <v>24</v>
      </c>
      <c r="H112" s="60"/>
      <c r="I112" s="40" t="s">
        <v>165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101"/>
      <c r="C113" s="76"/>
      <c r="D113" s="76"/>
      <c r="E113" s="40" t="s">
        <v>32</v>
      </c>
      <c r="F113" s="60"/>
      <c r="G113" s="76" t="s">
        <v>24</v>
      </c>
      <c r="H113" s="60"/>
      <c r="I113" s="40" t="s">
        <v>55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101"/>
      <c r="C114" s="76"/>
      <c r="D114" s="76"/>
      <c r="E114" s="40" t="s">
        <v>59</v>
      </c>
      <c r="F114" s="60"/>
      <c r="G114" s="76" t="s">
        <v>24</v>
      </c>
      <c r="H114" s="60"/>
      <c r="I114" s="40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01"/>
      <c r="C115" s="76"/>
      <c r="D115" s="76"/>
      <c r="E115" s="40">
        <v>0.0</v>
      </c>
      <c r="F115" s="60"/>
      <c r="G115" s="76" t="s">
        <v>24</v>
      </c>
      <c r="H115" s="60"/>
      <c r="I115" s="40" t="s">
        <v>116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101"/>
      <c r="C116" s="76"/>
      <c r="D116" s="76"/>
      <c r="E116" s="40" t="s">
        <v>40</v>
      </c>
      <c r="F116" s="60"/>
      <c r="G116" s="76" t="s">
        <v>24</v>
      </c>
      <c r="H116" s="60"/>
      <c r="I116" s="40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101"/>
      <c r="C117" s="60"/>
      <c r="D117" s="76"/>
      <c r="E117" s="40" t="s">
        <v>64</v>
      </c>
      <c r="F117" s="60"/>
      <c r="G117" s="76" t="s">
        <v>24</v>
      </c>
      <c r="H117" s="60"/>
      <c r="I117" s="40" t="s">
        <v>63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101"/>
      <c r="C118" s="60"/>
      <c r="D118" s="76"/>
      <c r="E118" s="40" t="s">
        <v>165</v>
      </c>
      <c r="F118" s="60"/>
      <c r="G118" s="76" t="s">
        <v>24</v>
      </c>
      <c r="H118" s="60"/>
      <c r="I118" s="14" t="s">
        <v>32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101"/>
      <c r="C119" s="76"/>
      <c r="D119" s="76"/>
      <c r="E119" s="40" t="s">
        <v>55</v>
      </c>
      <c r="F119" s="60"/>
      <c r="G119" s="76" t="s">
        <v>24</v>
      </c>
      <c r="H119" s="60"/>
      <c r="I119" s="40" t="s">
        <v>59</v>
      </c>
      <c r="J119" s="56"/>
      <c r="K119" s="4" t="str">
        <f t="shared" si="11"/>
        <v/>
      </c>
      <c r="L119" s="17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95" t="s">
        <v>167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02">
        <v>45945.0</v>
      </c>
      <c r="C126" s="12" t="s">
        <v>95</v>
      </c>
      <c r="D126" s="12" t="s">
        <v>94</v>
      </c>
      <c r="E126" s="40" t="s">
        <v>62</v>
      </c>
      <c r="F126" s="40">
        <v>5.0</v>
      </c>
      <c r="G126" s="76" t="s">
        <v>24</v>
      </c>
      <c r="H126" s="40">
        <v>0.0</v>
      </c>
      <c r="I126" s="40" t="s">
        <v>168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89" t="s">
        <v>168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4</v>
      </c>
      <c r="T126" s="17">
        <f t="shared" ref="T126:T134" si="26">SUMIF(E$126:E$170,O126,F$126:F$170)+SUMIF(I$126:I$170,O126,H$126:H$170)</f>
        <v>6</v>
      </c>
      <c r="U126" s="19">
        <f t="shared" ref="U126:U134" si="27">SUMIF(E$126:E$170,O126,H$126:H$170)+SUMIF(I$126:I$170,O126,F$126:F$170)</f>
        <v>40</v>
      </c>
      <c r="V126" s="17">
        <f t="shared" ref="V126:V134" si="28">T126-U126</f>
        <v>-34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2" t="str">
        <f t="array" ref="AF126:AN134">SORT(O126:W135,2,FALSE,9,FALSE,8,FALSE())</f>
        <v>EGI B</v>
      </c>
      <c r="AG126" s="22">
        <v>12.0</v>
      </c>
      <c r="AH126" s="22">
        <v>4.0</v>
      </c>
      <c r="AI126" s="22">
        <v>0.0</v>
      </c>
      <c r="AJ126" s="22">
        <v>0.0</v>
      </c>
      <c r="AK126" s="22">
        <v>19.0</v>
      </c>
      <c r="AL126" s="22">
        <v>9.0</v>
      </c>
      <c r="AM126" s="22">
        <v>10.0</v>
      </c>
      <c r="AN126" s="17"/>
    </row>
    <row r="127" ht="15.75" customHeight="1">
      <c r="A127" s="24"/>
      <c r="B127" s="102">
        <v>45952.0</v>
      </c>
      <c r="C127" s="12" t="s">
        <v>152</v>
      </c>
      <c r="D127" s="12" t="s">
        <v>94</v>
      </c>
      <c r="E127" s="40" t="s">
        <v>117</v>
      </c>
      <c r="F127" s="40">
        <v>3.0</v>
      </c>
      <c r="G127" s="76" t="s">
        <v>24</v>
      </c>
      <c r="H127" s="40">
        <v>6.0</v>
      </c>
      <c r="I127" s="40" t="s">
        <v>123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89" t="s">
        <v>62</v>
      </c>
      <c r="P127" s="17">
        <f t="shared" si="22"/>
        <v>9</v>
      </c>
      <c r="Q127" s="17">
        <f t="shared" si="23"/>
        <v>3</v>
      </c>
      <c r="R127" s="19">
        <f t="shared" si="24"/>
        <v>0</v>
      </c>
      <c r="S127" s="19">
        <f t="shared" si="25"/>
        <v>1</v>
      </c>
      <c r="T127" s="17">
        <f t="shared" si="26"/>
        <v>27</v>
      </c>
      <c r="U127" s="19">
        <f t="shared" si="27"/>
        <v>9</v>
      </c>
      <c r="V127" s="17">
        <f t="shared" si="28"/>
        <v>18</v>
      </c>
      <c r="W127" s="56"/>
      <c r="X127" s="56"/>
      <c r="Y127" s="56"/>
      <c r="Z127" s="56"/>
      <c r="AA127" s="56"/>
      <c r="AB127" s="56"/>
      <c r="AC127" s="56"/>
      <c r="AD127" s="56"/>
      <c r="AE127" s="100" t="s">
        <v>115</v>
      </c>
      <c r="AF127" s="22" t="s">
        <v>123</v>
      </c>
      <c r="AG127" s="22">
        <v>12.0</v>
      </c>
      <c r="AH127" s="22">
        <v>4.0</v>
      </c>
      <c r="AI127" s="22">
        <v>0.0</v>
      </c>
      <c r="AJ127" s="22">
        <v>1.0</v>
      </c>
      <c r="AK127" s="22">
        <v>23.0</v>
      </c>
      <c r="AL127" s="22">
        <v>13.0</v>
      </c>
      <c r="AM127" s="22">
        <v>10.0</v>
      </c>
      <c r="AN127" s="17"/>
    </row>
    <row r="128" ht="15.75" customHeight="1">
      <c r="A128" s="24"/>
      <c r="B128" s="102">
        <v>45945.0</v>
      </c>
      <c r="C128" s="59" t="s">
        <v>99</v>
      </c>
      <c r="D128" s="12" t="s">
        <v>94</v>
      </c>
      <c r="E128" s="40" t="s">
        <v>133</v>
      </c>
      <c r="F128" s="40">
        <v>1.0</v>
      </c>
      <c r="G128" s="76" t="s">
        <v>24</v>
      </c>
      <c r="H128" s="40">
        <v>2.0</v>
      </c>
      <c r="I128" s="40" t="s">
        <v>57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89" t="s">
        <v>117</v>
      </c>
      <c r="P128" s="17">
        <f t="shared" si="22"/>
        <v>6</v>
      </c>
      <c r="Q128" s="17">
        <f t="shared" si="23"/>
        <v>2</v>
      </c>
      <c r="R128" s="19">
        <f t="shared" si="24"/>
        <v>0</v>
      </c>
      <c r="S128" s="19">
        <f t="shared" si="25"/>
        <v>2</v>
      </c>
      <c r="T128" s="17">
        <f t="shared" si="26"/>
        <v>14</v>
      </c>
      <c r="U128" s="19">
        <f t="shared" si="27"/>
        <v>11</v>
      </c>
      <c r="V128" s="17">
        <f t="shared" si="28"/>
        <v>3</v>
      </c>
      <c r="W128" s="56"/>
      <c r="X128" s="56"/>
      <c r="Y128" s="56"/>
      <c r="Z128" s="56"/>
      <c r="AA128" s="56"/>
      <c r="AB128" s="56"/>
      <c r="AC128" s="56"/>
      <c r="AD128" s="56"/>
      <c r="AE128" s="21">
        <v>3.0</v>
      </c>
      <c r="AF128" s="22" t="s">
        <v>56</v>
      </c>
      <c r="AG128" s="22">
        <v>9.0</v>
      </c>
      <c r="AH128" s="22">
        <v>3.0</v>
      </c>
      <c r="AI128" s="22">
        <v>0.0</v>
      </c>
      <c r="AJ128" s="22">
        <v>2.0</v>
      </c>
      <c r="AK128" s="22">
        <v>36.0</v>
      </c>
      <c r="AL128" s="22">
        <v>14.0</v>
      </c>
      <c r="AM128" s="22">
        <v>22.0</v>
      </c>
      <c r="AN128" s="17"/>
    </row>
    <row r="129" ht="15.75" customHeight="1">
      <c r="A129" s="24"/>
      <c r="B129" s="102">
        <v>45945.0</v>
      </c>
      <c r="C129" s="12" t="s">
        <v>103</v>
      </c>
      <c r="D129" s="12" t="s">
        <v>94</v>
      </c>
      <c r="E129" s="40" t="s">
        <v>56</v>
      </c>
      <c r="F129" s="40">
        <v>3.0</v>
      </c>
      <c r="G129" s="76" t="s">
        <v>24</v>
      </c>
      <c r="H129" s="40">
        <v>5.0</v>
      </c>
      <c r="I129" s="40" t="s">
        <v>169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89" t="s">
        <v>133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4</v>
      </c>
      <c r="T129" s="17">
        <f t="shared" si="26"/>
        <v>6</v>
      </c>
      <c r="U129" s="19">
        <f t="shared" si="27"/>
        <v>30</v>
      </c>
      <c r="V129" s="17">
        <f t="shared" si="28"/>
        <v>-24</v>
      </c>
      <c r="W129" s="56"/>
      <c r="X129" s="56"/>
      <c r="Y129" s="56"/>
      <c r="Z129" s="56"/>
      <c r="AA129" s="56"/>
      <c r="AB129" s="56"/>
      <c r="AC129" s="56"/>
      <c r="AD129" s="56"/>
      <c r="AE129" s="21">
        <v>4.0</v>
      </c>
      <c r="AF129" s="22" t="s">
        <v>62</v>
      </c>
      <c r="AG129" s="22">
        <v>9.0</v>
      </c>
      <c r="AH129" s="22">
        <v>3.0</v>
      </c>
      <c r="AI129" s="22">
        <v>0.0</v>
      </c>
      <c r="AJ129" s="22">
        <v>1.0</v>
      </c>
      <c r="AK129" s="22">
        <v>27.0</v>
      </c>
      <c r="AL129" s="22">
        <v>9.0</v>
      </c>
      <c r="AM129" s="22">
        <v>18.0</v>
      </c>
      <c r="AN129" s="17"/>
    </row>
    <row r="130" ht="15.75" customHeight="1">
      <c r="A130" s="24"/>
      <c r="B130" s="101"/>
      <c r="C130" s="76"/>
      <c r="D130" s="60"/>
      <c r="E130" s="40" t="s">
        <v>170</v>
      </c>
      <c r="F130" s="60"/>
      <c r="G130" s="76" t="s">
        <v>24</v>
      </c>
      <c r="H130" s="60"/>
      <c r="I130" s="40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89" t="s">
        <v>56</v>
      </c>
      <c r="P130" s="17">
        <f t="shared" si="22"/>
        <v>9</v>
      </c>
      <c r="Q130" s="17">
        <f t="shared" si="23"/>
        <v>3</v>
      </c>
      <c r="R130" s="19">
        <f t="shared" si="24"/>
        <v>0</v>
      </c>
      <c r="S130" s="19">
        <f t="shared" si="25"/>
        <v>2</v>
      </c>
      <c r="T130" s="17">
        <f t="shared" si="26"/>
        <v>36</v>
      </c>
      <c r="U130" s="19">
        <f t="shared" si="27"/>
        <v>14</v>
      </c>
      <c r="V130" s="17">
        <f t="shared" si="28"/>
        <v>22</v>
      </c>
      <c r="W130" s="56"/>
      <c r="X130" s="56"/>
      <c r="Y130" s="56"/>
      <c r="Z130" s="56"/>
      <c r="AA130" s="56"/>
      <c r="AB130" s="56"/>
      <c r="AC130" s="56"/>
      <c r="AD130" s="56"/>
      <c r="AE130" s="21">
        <v>5.0</v>
      </c>
      <c r="AF130" s="22" t="s">
        <v>117</v>
      </c>
      <c r="AG130" s="22">
        <v>6.0</v>
      </c>
      <c r="AH130" s="22">
        <v>2.0</v>
      </c>
      <c r="AI130" s="22">
        <v>0.0</v>
      </c>
      <c r="AJ130" s="22">
        <v>2.0</v>
      </c>
      <c r="AK130" s="22">
        <v>14.0</v>
      </c>
      <c r="AL130" s="22">
        <v>11.0</v>
      </c>
      <c r="AM130" s="22">
        <v>3.0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0" t="s">
        <v>168</v>
      </c>
      <c r="F131" s="40">
        <v>0.0</v>
      </c>
      <c r="G131" s="76" t="s">
        <v>24</v>
      </c>
      <c r="H131" s="40">
        <v>3.0</v>
      </c>
      <c r="I131" s="40" t="s">
        <v>117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89" t="s">
        <v>170</v>
      </c>
      <c r="P131" s="17">
        <f t="shared" si="22"/>
        <v>6</v>
      </c>
      <c r="Q131" s="17">
        <f t="shared" si="23"/>
        <v>2</v>
      </c>
      <c r="R131" s="19">
        <f t="shared" si="24"/>
        <v>0</v>
      </c>
      <c r="S131" s="19">
        <f t="shared" si="25"/>
        <v>2</v>
      </c>
      <c r="T131" s="17">
        <f t="shared" si="26"/>
        <v>19</v>
      </c>
      <c r="U131" s="19">
        <f t="shared" si="27"/>
        <v>20</v>
      </c>
      <c r="V131" s="17">
        <f t="shared" si="28"/>
        <v>-1</v>
      </c>
      <c r="W131" s="56"/>
      <c r="X131" s="56"/>
      <c r="Y131" s="56"/>
      <c r="Z131" s="56"/>
      <c r="AA131" s="56"/>
      <c r="AB131" s="56"/>
      <c r="AC131" s="56"/>
      <c r="AD131" s="56"/>
      <c r="AE131" s="21">
        <v>6.0</v>
      </c>
      <c r="AF131" s="22" t="s">
        <v>170</v>
      </c>
      <c r="AG131" s="22">
        <v>6.0</v>
      </c>
      <c r="AH131" s="22">
        <v>2.0</v>
      </c>
      <c r="AI131" s="22">
        <v>0.0</v>
      </c>
      <c r="AJ131" s="22">
        <v>2.0</v>
      </c>
      <c r="AK131" s="22">
        <v>19.0</v>
      </c>
      <c r="AL131" s="22">
        <v>20.0</v>
      </c>
      <c r="AM131" s="22">
        <v>-1.0</v>
      </c>
      <c r="AN131" s="17"/>
    </row>
    <row r="132" ht="15.75" customHeight="1">
      <c r="A132" s="24"/>
      <c r="B132" s="106"/>
      <c r="C132" s="104"/>
      <c r="D132" s="104"/>
      <c r="E132" s="40">
        <v>0.0</v>
      </c>
      <c r="F132" s="60"/>
      <c r="G132" s="76" t="s">
        <v>24</v>
      </c>
      <c r="H132" s="60"/>
      <c r="I132" s="40" t="s">
        <v>62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89" t="s">
        <v>169</v>
      </c>
      <c r="P132" s="17">
        <f t="shared" si="22"/>
        <v>12</v>
      </c>
      <c r="Q132" s="17">
        <f t="shared" si="23"/>
        <v>4</v>
      </c>
      <c r="R132" s="19">
        <f t="shared" si="24"/>
        <v>0</v>
      </c>
      <c r="S132" s="19">
        <f t="shared" si="25"/>
        <v>0</v>
      </c>
      <c r="T132" s="17">
        <f t="shared" si="26"/>
        <v>19</v>
      </c>
      <c r="U132" s="19">
        <f t="shared" si="27"/>
        <v>9</v>
      </c>
      <c r="V132" s="17">
        <f t="shared" si="28"/>
        <v>10</v>
      </c>
      <c r="W132" s="56"/>
      <c r="X132" s="56"/>
      <c r="Y132" s="56"/>
      <c r="Z132" s="56"/>
      <c r="AA132" s="56"/>
      <c r="AB132" s="56"/>
      <c r="AC132" s="56"/>
      <c r="AD132" s="56"/>
      <c r="AE132" s="21">
        <v>7.0</v>
      </c>
      <c r="AF132" s="22" t="s">
        <v>57</v>
      </c>
      <c r="AG132" s="22">
        <v>3.0</v>
      </c>
      <c r="AH132" s="22">
        <v>1.0</v>
      </c>
      <c r="AI132" s="22">
        <v>0.0</v>
      </c>
      <c r="AJ132" s="22">
        <v>3.0</v>
      </c>
      <c r="AK132" s="22">
        <v>12.0</v>
      </c>
      <c r="AL132" s="22">
        <v>16.0</v>
      </c>
      <c r="AM132" s="22">
        <v>-4.0</v>
      </c>
      <c r="AN132" s="17"/>
    </row>
    <row r="133" ht="15.75" customHeight="1">
      <c r="A133" s="24"/>
      <c r="B133" s="11">
        <v>45953.0</v>
      </c>
      <c r="C133" s="59" t="s">
        <v>21</v>
      </c>
      <c r="D133" s="12" t="s">
        <v>22</v>
      </c>
      <c r="E133" s="40" t="s">
        <v>123</v>
      </c>
      <c r="F133" s="40">
        <v>6.0</v>
      </c>
      <c r="G133" s="76" t="s">
        <v>24</v>
      </c>
      <c r="H133" s="40">
        <v>1.0</v>
      </c>
      <c r="I133" s="40" t="s">
        <v>133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89" t="s">
        <v>57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3</v>
      </c>
      <c r="T133" s="17">
        <f t="shared" si="26"/>
        <v>12</v>
      </c>
      <c r="U133" s="19">
        <f t="shared" si="27"/>
        <v>16</v>
      </c>
      <c r="V133" s="17">
        <f t="shared" si="28"/>
        <v>-4</v>
      </c>
      <c r="W133" s="56"/>
      <c r="X133" s="56"/>
      <c r="Y133" s="56"/>
      <c r="Z133" s="56"/>
      <c r="AA133" s="56"/>
      <c r="AB133" s="56"/>
      <c r="AC133" s="56"/>
      <c r="AD133" s="56"/>
      <c r="AE133" s="21">
        <v>8.0</v>
      </c>
      <c r="AF133" s="22" t="s">
        <v>133</v>
      </c>
      <c r="AG133" s="22">
        <v>1.0</v>
      </c>
      <c r="AH133" s="22">
        <v>0.0</v>
      </c>
      <c r="AI133" s="22">
        <v>1.0</v>
      </c>
      <c r="AJ133" s="22">
        <v>4.0</v>
      </c>
      <c r="AK133" s="22">
        <v>6.0</v>
      </c>
      <c r="AL133" s="22">
        <v>30.0</v>
      </c>
      <c r="AM133" s="22">
        <v>-24.0</v>
      </c>
      <c r="AN133" s="17"/>
    </row>
    <row r="134" ht="15.75" customHeight="1">
      <c r="A134" s="24"/>
      <c r="B134" s="11">
        <v>45958.0</v>
      </c>
      <c r="C134" s="12" t="s">
        <v>95</v>
      </c>
      <c r="D134" s="12" t="s">
        <v>94</v>
      </c>
      <c r="E134" s="40" t="s">
        <v>57</v>
      </c>
      <c r="F134" s="40">
        <v>2.0</v>
      </c>
      <c r="G134" s="76" t="s">
        <v>24</v>
      </c>
      <c r="H134" s="40">
        <v>3.0</v>
      </c>
      <c r="I134" s="40" t="s">
        <v>56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89" t="s">
        <v>123</v>
      </c>
      <c r="P134" s="17">
        <f t="shared" si="22"/>
        <v>12</v>
      </c>
      <c r="Q134" s="17">
        <f t="shared" si="23"/>
        <v>4</v>
      </c>
      <c r="R134" s="19">
        <f t="shared" si="24"/>
        <v>0</v>
      </c>
      <c r="S134" s="19">
        <f t="shared" si="25"/>
        <v>1</v>
      </c>
      <c r="T134" s="17">
        <f t="shared" si="26"/>
        <v>23</v>
      </c>
      <c r="U134" s="19">
        <f t="shared" si="27"/>
        <v>13</v>
      </c>
      <c r="V134" s="17">
        <f t="shared" si="28"/>
        <v>10</v>
      </c>
      <c r="W134" s="56"/>
      <c r="X134" s="56"/>
      <c r="Y134" s="56"/>
      <c r="Z134" s="56"/>
      <c r="AA134" s="56"/>
      <c r="AB134" s="56"/>
      <c r="AC134" s="56"/>
      <c r="AD134" s="56"/>
      <c r="AE134" s="21">
        <v>9.0</v>
      </c>
      <c r="AF134" s="22" t="s">
        <v>168</v>
      </c>
      <c r="AG134" s="22">
        <v>1.0</v>
      </c>
      <c r="AH134" s="22">
        <v>0.0</v>
      </c>
      <c r="AI134" s="22">
        <v>1.0</v>
      </c>
      <c r="AJ134" s="22">
        <v>4.0</v>
      </c>
      <c r="AK134" s="22">
        <v>6.0</v>
      </c>
      <c r="AL134" s="22">
        <v>40.0</v>
      </c>
      <c r="AM134" s="22">
        <v>-34.0</v>
      </c>
      <c r="AN134" s="17"/>
    </row>
    <row r="135" ht="15.75" customHeight="1">
      <c r="A135" s="24"/>
      <c r="B135" s="11">
        <v>45958.0</v>
      </c>
      <c r="C135" s="59" t="s">
        <v>99</v>
      </c>
      <c r="D135" s="12" t="s">
        <v>94</v>
      </c>
      <c r="E135" s="40" t="s">
        <v>169</v>
      </c>
      <c r="F135" s="40">
        <v>5.0</v>
      </c>
      <c r="G135" s="76" t="s">
        <v>24</v>
      </c>
      <c r="H135" s="40">
        <v>2.0</v>
      </c>
      <c r="I135" s="40" t="s">
        <v>170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56"/>
      <c r="AE135" s="34" t="s">
        <v>171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0" t="s">
        <v>133</v>
      </c>
      <c r="F136" s="40">
        <v>2.0</v>
      </c>
      <c r="G136" s="76" t="s">
        <v>24</v>
      </c>
      <c r="H136" s="40">
        <v>2.0</v>
      </c>
      <c r="I136" s="40" t="s">
        <v>168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56"/>
      <c r="X136" s="56"/>
      <c r="Y136" s="56"/>
      <c r="Z136" s="56"/>
      <c r="AA136" s="56"/>
      <c r="AB136" s="56"/>
      <c r="AC136" s="56"/>
      <c r="AD136" s="56"/>
      <c r="AE136" s="73" t="s">
        <v>163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59" t="s">
        <v>21</v>
      </c>
      <c r="D137" s="12" t="s">
        <v>22</v>
      </c>
      <c r="E137" s="40" t="s">
        <v>117</v>
      </c>
      <c r="F137" s="40">
        <v>3.0</v>
      </c>
      <c r="G137" s="76" t="s">
        <v>24</v>
      </c>
      <c r="H137" s="40">
        <v>4.0</v>
      </c>
      <c r="I137" s="40" t="s">
        <v>62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0" t="s">
        <v>56</v>
      </c>
      <c r="F138" s="40">
        <v>3.0</v>
      </c>
      <c r="G138" s="76" t="s">
        <v>24</v>
      </c>
      <c r="H138" s="40">
        <v>4.0</v>
      </c>
      <c r="I138" s="40" t="s">
        <v>123</v>
      </c>
      <c r="J138" s="4"/>
      <c r="K138" s="4">
        <f t="shared" si="20"/>
        <v>0</v>
      </c>
      <c r="L138" s="17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59" t="s">
        <v>21</v>
      </c>
      <c r="D139" s="12" t="s">
        <v>22</v>
      </c>
      <c r="E139" s="40" t="s">
        <v>170</v>
      </c>
      <c r="F139" s="40">
        <v>6.0</v>
      </c>
      <c r="G139" s="76" t="s">
        <v>24</v>
      </c>
      <c r="H139" s="40">
        <v>5.0</v>
      </c>
      <c r="I139" s="40" t="s">
        <v>57</v>
      </c>
      <c r="J139" s="4"/>
      <c r="K139" s="4">
        <f t="shared" si="20"/>
        <v>3</v>
      </c>
      <c r="L139" s="17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4"/>
      <c r="B140" s="101"/>
      <c r="C140" s="76"/>
      <c r="D140" s="76"/>
      <c r="E140" s="40">
        <v>0.0</v>
      </c>
      <c r="F140" s="60"/>
      <c r="G140" s="76" t="s">
        <v>24</v>
      </c>
      <c r="H140" s="60"/>
      <c r="I140" s="40" t="s">
        <v>169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01"/>
      <c r="C141" s="60"/>
      <c r="D141" s="76"/>
      <c r="E141" s="40" t="s">
        <v>168</v>
      </c>
      <c r="F141" s="12">
        <v>0.0</v>
      </c>
      <c r="G141" s="76" t="s">
        <v>24</v>
      </c>
      <c r="H141" s="40">
        <v>22.0</v>
      </c>
      <c r="I141" s="40" t="s">
        <v>56</v>
      </c>
      <c r="J141" s="37"/>
      <c r="K141" s="4">
        <f t="shared" si="20"/>
        <v>0</v>
      </c>
      <c r="L141" s="17">
        <f t="shared" si="21"/>
        <v>3</v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4"/>
      <c r="B142" s="101"/>
      <c r="C142" s="76"/>
      <c r="D142" s="76"/>
      <c r="E142" s="40" t="s">
        <v>62</v>
      </c>
      <c r="F142" s="12">
        <v>15.0</v>
      </c>
      <c r="G142" s="76" t="s">
        <v>24</v>
      </c>
      <c r="H142" s="40">
        <v>1.0</v>
      </c>
      <c r="I142" s="40" t="s">
        <v>133</v>
      </c>
      <c r="J142" s="4"/>
      <c r="K142" s="4">
        <f t="shared" si="20"/>
        <v>3</v>
      </c>
      <c r="L142" s="17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4"/>
      <c r="B143" s="101"/>
      <c r="C143" s="76"/>
      <c r="D143" s="76"/>
      <c r="E143" s="40" t="s">
        <v>117</v>
      </c>
      <c r="F143" s="104"/>
      <c r="G143" s="76" t="s">
        <v>24</v>
      </c>
      <c r="H143" s="60"/>
      <c r="I143" s="40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101"/>
      <c r="C144" s="60"/>
      <c r="D144" s="76"/>
      <c r="E144" s="40" t="s">
        <v>123</v>
      </c>
      <c r="F144" s="12">
        <v>6.0</v>
      </c>
      <c r="G144" s="76" t="s">
        <v>24</v>
      </c>
      <c r="H144" s="40">
        <v>3.0</v>
      </c>
      <c r="I144" s="40" t="s">
        <v>170</v>
      </c>
      <c r="J144" s="4"/>
      <c r="K144" s="4">
        <f t="shared" si="20"/>
        <v>3</v>
      </c>
      <c r="L144" s="17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4"/>
      <c r="B145" s="101"/>
      <c r="C145" s="76"/>
      <c r="D145" s="76"/>
      <c r="E145" s="40" t="s">
        <v>57</v>
      </c>
      <c r="F145" s="12">
        <v>3.0</v>
      </c>
      <c r="G145" s="76" t="s">
        <v>24</v>
      </c>
      <c r="H145" s="40">
        <v>6.0</v>
      </c>
      <c r="I145" s="40" t="s">
        <v>169</v>
      </c>
      <c r="J145" s="4"/>
      <c r="K145" s="4">
        <f t="shared" si="20"/>
        <v>0</v>
      </c>
      <c r="L145" s="17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101"/>
      <c r="C146" s="76"/>
      <c r="D146" s="76"/>
      <c r="E146" s="40" t="s">
        <v>170</v>
      </c>
      <c r="F146" s="40">
        <v>8.0</v>
      </c>
      <c r="G146" s="76" t="s">
        <v>24</v>
      </c>
      <c r="H146" s="40">
        <v>4.0</v>
      </c>
      <c r="I146" s="40" t="s">
        <v>168</v>
      </c>
      <c r="J146" s="4"/>
      <c r="K146" s="4">
        <f t="shared" si="20"/>
        <v>3</v>
      </c>
      <c r="L146" s="17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4"/>
      <c r="B147" s="101"/>
      <c r="C147" s="76"/>
      <c r="D147" s="76"/>
      <c r="E147" s="40" t="s">
        <v>56</v>
      </c>
      <c r="F147" s="40">
        <v>5.0</v>
      </c>
      <c r="G147" s="76" t="s">
        <v>24</v>
      </c>
      <c r="H147" s="40">
        <v>3.0</v>
      </c>
      <c r="I147" s="40" t="s">
        <v>62</v>
      </c>
      <c r="J147" s="4"/>
      <c r="K147" s="4">
        <f t="shared" si="20"/>
        <v>3</v>
      </c>
      <c r="L147" s="17">
        <f t="shared" si="21"/>
        <v>0</v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101"/>
      <c r="C148" s="76"/>
      <c r="D148" s="76"/>
      <c r="E148" s="40" t="s">
        <v>133</v>
      </c>
      <c r="F148" s="40">
        <v>1.0</v>
      </c>
      <c r="G148" s="76" t="s">
        <v>24</v>
      </c>
      <c r="H148" s="40">
        <v>5.0</v>
      </c>
      <c r="I148" s="40" t="s">
        <v>117</v>
      </c>
      <c r="J148" s="4"/>
      <c r="K148" s="4">
        <f t="shared" si="20"/>
        <v>0</v>
      </c>
      <c r="L148" s="17">
        <f t="shared" si="21"/>
        <v>3</v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101"/>
      <c r="C149" s="76"/>
      <c r="D149" s="76"/>
      <c r="E149" s="40" t="s">
        <v>169</v>
      </c>
      <c r="F149" s="40">
        <v>3.0</v>
      </c>
      <c r="G149" s="76" t="s">
        <v>24</v>
      </c>
      <c r="H149" s="40">
        <v>1.0</v>
      </c>
      <c r="I149" s="40" t="s">
        <v>123</v>
      </c>
      <c r="J149" s="4"/>
      <c r="K149" s="4">
        <f t="shared" si="20"/>
        <v>3</v>
      </c>
      <c r="L149" s="17">
        <f t="shared" si="21"/>
        <v>0</v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101"/>
      <c r="C150" s="76"/>
      <c r="D150" s="76"/>
      <c r="E150" s="40">
        <v>0.0</v>
      </c>
      <c r="F150" s="60"/>
      <c r="G150" s="76" t="s">
        <v>24</v>
      </c>
      <c r="H150" s="60"/>
      <c r="I150" s="40" t="s">
        <v>57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01"/>
      <c r="C151" s="76"/>
      <c r="D151" s="76"/>
      <c r="E151" s="40" t="s">
        <v>168</v>
      </c>
      <c r="F151" s="60"/>
      <c r="G151" s="76" t="s">
        <v>24</v>
      </c>
      <c r="H151" s="60"/>
      <c r="I151" s="40" t="s">
        <v>169</v>
      </c>
      <c r="J151" s="4"/>
      <c r="K151" s="4" t="str">
        <f t="shared" si="20"/>
        <v/>
      </c>
      <c r="L151" s="17" t="str">
        <f t="shared" si="21"/>
        <v/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101"/>
      <c r="C152" s="76"/>
      <c r="D152" s="76"/>
      <c r="E152" s="40" t="s">
        <v>62</v>
      </c>
      <c r="F152" s="60"/>
      <c r="G152" s="76" t="s">
        <v>24</v>
      </c>
      <c r="H152" s="60"/>
      <c r="I152" s="40" t="s">
        <v>170</v>
      </c>
      <c r="J152" s="4"/>
      <c r="K152" s="4" t="str">
        <f t="shared" si="20"/>
        <v/>
      </c>
      <c r="L152" s="17" t="str">
        <f t="shared" si="21"/>
        <v/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101"/>
      <c r="C153" s="76"/>
      <c r="D153" s="76"/>
      <c r="E153" s="40" t="s">
        <v>117</v>
      </c>
      <c r="F153" s="60"/>
      <c r="G153" s="76" t="s">
        <v>24</v>
      </c>
      <c r="H153" s="60"/>
      <c r="I153" s="40" t="s">
        <v>56</v>
      </c>
      <c r="J153" s="4"/>
      <c r="K153" s="4" t="str">
        <f t="shared" si="20"/>
        <v/>
      </c>
      <c r="L153" s="17" t="str">
        <f t="shared" si="21"/>
        <v/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101"/>
      <c r="C154" s="76"/>
      <c r="D154" s="76"/>
      <c r="E154" s="40" t="s">
        <v>133</v>
      </c>
      <c r="F154" s="60"/>
      <c r="G154" s="76" t="s">
        <v>24</v>
      </c>
      <c r="H154" s="60"/>
      <c r="I154" s="40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101"/>
      <c r="C155" s="76"/>
      <c r="D155" s="76"/>
      <c r="E155" s="40" t="s">
        <v>123</v>
      </c>
      <c r="F155" s="60"/>
      <c r="G155" s="76" t="s">
        <v>24</v>
      </c>
      <c r="H155" s="60"/>
      <c r="I155" s="40" t="s">
        <v>57</v>
      </c>
      <c r="J155" s="4"/>
      <c r="K155" s="4" t="str">
        <f t="shared" si="20"/>
        <v/>
      </c>
      <c r="L155" s="17" t="str">
        <f t="shared" si="21"/>
        <v/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01"/>
      <c r="C156" s="76"/>
      <c r="D156" s="76"/>
      <c r="E156" s="40" t="s">
        <v>57</v>
      </c>
      <c r="F156" s="60"/>
      <c r="G156" s="76" t="s">
        <v>24</v>
      </c>
      <c r="H156" s="60"/>
      <c r="I156" s="40" t="s">
        <v>168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101"/>
      <c r="C157" s="76"/>
      <c r="D157" s="76"/>
      <c r="E157" s="40" t="s">
        <v>169</v>
      </c>
      <c r="F157" s="60"/>
      <c r="G157" s="76" t="s">
        <v>24</v>
      </c>
      <c r="H157" s="60"/>
      <c r="I157" s="40" t="s">
        <v>62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101"/>
      <c r="C158" s="76"/>
      <c r="D158" s="76"/>
      <c r="E158" s="40" t="s">
        <v>170</v>
      </c>
      <c r="F158" s="60"/>
      <c r="G158" s="76" t="s">
        <v>24</v>
      </c>
      <c r="H158" s="60"/>
      <c r="I158" s="40" t="s">
        <v>117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101"/>
      <c r="C159" s="76"/>
      <c r="D159" s="76"/>
      <c r="E159" s="40" t="s">
        <v>56</v>
      </c>
      <c r="F159" s="60"/>
      <c r="G159" s="76" t="s">
        <v>24</v>
      </c>
      <c r="H159" s="60"/>
      <c r="I159" s="40" t="s">
        <v>133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101"/>
      <c r="C160" s="76"/>
      <c r="D160" s="76"/>
      <c r="E160" s="40">
        <v>0.0</v>
      </c>
      <c r="F160" s="60"/>
      <c r="G160" s="76" t="s">
        <v>24</v>
      </c>
      <c r="H160" s="60"/>
      <c r="I160" s="40" t="s">
        <v>123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01"/>
      <c r="C161" s="76"/>
      <c r="D161" s="76"/>
      <c r="E161" s="40" t="s">
        <v>168</v>
      </c>
      <c r="F161" s="60"/>
      <c r="G161" s="76" t="s">
        <v>24</v>
      </c>
      <c r="H161" s="60"/>
      <c r="I161" s="40" t="s">
        <v>123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101"/>
      <c r="C162" s="76"/>
      <c r="D162" s="76"/>
      <c r="E162" s="40" t="s">
        <v>62</v>
      </c>
      <c r="F162" s="60"/>
      <c r="G162" s="76" t="s">
        <v>24</v>
      </c>
      <c r="H162" s="60"/>
      <c r="I162" s="40" t="s">
        <v>57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101"/>
      <c r="C163" s="76"/>
      <c r="D163" s="76"/>
      <c r="E163" s="40" t="s">
        <v>117</v>
      </c>
      <c r="F163" s="60"/>
      <c r="G163" s="76" t="s">
        <v>24</v>
      </c>
      <c r="H163" s="60"/>
      <c r="I163" s="40" t="s">
        <v>169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101"/>
      <c r="C164" s="76"/>
      <c r="D164" s="76"/>
      <c r="E164" s="40" t="s">
        <v>133</v>
      </c>
      <c r="F164" s="60"/>
      <c r="G164" s="76" t="s">
        <v>24</v>
      </c>
      <c r="H164" s="60"/>
      <c r="I164" s="40" t="s">
        <v>170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101"/>
      <c r="C165" s="76"/>
      <c r="D165" s="76"/>
      <c r="E165" s="40" t="s">
        <v>56</v>
      </c>
      <c r="F165" s="60"/>
      <c r="G165" s="76" t="s">
        <v>24</v>
      </c>
      <c r="H165" s="60"/>
      <c r="I165" s="40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01"/>
      <c r="C166" s="76"/>
      <c r="D166" s="76"/>
      <c r="E166" s="40">
        <v>0.0</v>
      </c>
      <c r="F166" s="60"/>
      <c r="G166" s="76" t="s">
        <v>24</v>
      </c>
      <c r="H166" s="60"/>
      <c r="I166" s="40" t="s">
        <v>168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101"/>
      <c r="C167" s="76"/>
      <c r="D167" s="76"/>
      <c r="E167" s="40" t="s">
        <v>123</v>
      </c>
      <c r="F167" s="60"/>
      <c r="G167" s="76" t="s">
        <v>24</v>
      </c>
      <c r="H167" s="60"/>
      <c r="I167" s="40" t="s">
        <v>62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101"/>
      <c r="C168" s="60"/>
      <c r="D168" s="76"/>
      <c r="E168" s="40" t="s">
        <v>57</v>
      </c>
      <c r="F168" s="60"/>
      <c r="G168" s="76" t="s">
        <v>24</v>
      </c>
      <c r="H168" s="60"/>
      <c r="I168" s="40" t="s">
        <v>117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101"/>
      <c r="C169" s="60"/>
      <c r="D169" s="76"/>
      <c r="E169" s="40" t="s">
        <v>169</v>
      </c>
      <c r="F169" s="60"/>
      <c r="G169" s="76" t="s">
        <v>24</v>
      </c>
      <c r="H169" s="60"/>
      <c r="I169" s="14" t="s">
        <v>133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101"/>
      <c r="C170" s="76"/>
      <c r="D170" s="76"/>
      <c r="E170" s="40" t="s">
        <v>170</v>
      </c>
      <c r="F170" s="60"/>
      <c r="G170" s="76" t="s">
        <v>24</v>
      </c>
      <c r="H170" s="60"/>
      <c r="I170" s="40" t="s">
        <v>56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7" t="s">
        <v>172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95</v>
      </c>
      <c r="D177" s="12" t="s">
        <v>94</v>
      </c>
      <c r="E177" s="40" t="s">
        <v>31</v>
      </c>
      <c r="F177" s="40">
        <v>2.0</v>
      </c>
      <c r="G177" s="76" t="s">
        <v>24</v>
      </c>
      <c r="H177" s="40">
        <v>4.0</v>
      </c>
      <c r="I177" s="40" t="s">
        <v>41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89" t="s">
        <v>41</v>
      </c>
      <c r="P177" s="17">
        <f t="shared" ref="P177:P186" si="31">SUMIF(E$177:E$221,O177,K$177:K$221)+SUMIF(I$177:I$221,O177,L$177:L$221)</f>
        <v>15</v>
      </c>
      <c r="Q177" s="17">
        <f t="shared" ref="Q177:Q186" si="32">COUNTIFS(E$177:E$221,O177,K$177:K$221,3)+COUNTIFS(I$177:I$221,O177,L$177:L$221,3)</f>
        <v>5</v>
      </c>
      <c r="R177" s="19">
        <f t="shared" ref="R177:R186" si="33">COUNTIFS(E$177:E$221,O177,K$177:K$221,1)+COUNTIFS(I$177:I$221,O177,L$177:L$221,1)</f>
        <v>0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41</v>
      </c>
      <c r="U177" s="19">
        <f t="shared" ref="U177:U186" si="36">SUMIF(E$177:E$221,O177,H$177:H$221)+SUMIF(I$177:I$221,O177,F$177:F$221)</f>
        <v>6</v>
      </c>
      <c r="V177" s="17">
        <f t="shared" ref="V177:V186" si="37">T177-U177</f>
        <v>35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2" t="str">
        <f t="array" ref="AF177:AN186">SORT(O177:W186,2,FALSE,9,FALSE,8,FALSE())</f>
        <v>ECT</v>
      </c>
      <c r="AG177" s="22">
        <v>15.0</v>
      </c>
      <c r="AH177" s="22">
        <v>5.0</v>
      </c>
      <c r="AI177" s="22">
        <v>0.0</v>
      </c>
      <c r="AJ177" s="22">
        <v>0.0</v>
      </c>
      <c r="AK177" s="22">
        <v>41.0</v>
      </c>
      <c r="AL177" s="22">
        <v>6.0</v>
      </c>
      <c r="AM177" s="22">
        <v>35.0</v>
      </c>
      <c r="AN177" s="17"/>
    </row>
    <row r="178" ht="15.75" customHeight="1">
      <c r="A178" s="24"/>
      <c r="B178" s="11">
        <v>45944.0</v>
      </c>
      <c r="C178" s="59" t="s">
        <v>99</v>
      </c>
      <c r="D178" s="12" t="s">
        <v>94</v>
      </c>
      <c r="E178" s="40" t="s">
        <v>54</v>
      </c>
      <c r="F178" s="40">
        <v>2.0</v>
      </c>
      <c r="G178" s="76" t="s">
        <v>24</v>
      </c>
      <c r="H178" s="40">
        <v>2.0</v>
      </c>
      <c r="I178" s="40" t="s">
        <v>35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89" t="s">
        <v>31</v>
      </c>
      <c r="P178" s="17">
        <f t="shared" si="31"/>
        <v>5</v>
      </c>
      <c r="Q178" s="17">
        <f t="shared" si="32"/>
        <v>1</v>
      </c>
      <c r="R178" s="19">
        <f t="shared" si="33"/>
        <v>2</v>
      </c>
      <c r="S178" s="19">
        <f t="shared" si="34"/>
        <v>2</v>
      </c>
      <c r="T178" s="17">
        <f t="shared" si="35"/>
        <v>15</v>
      </c>
      <c r="U178" s="19">
        <f t="shared" si="36"/>
        <v>14</v>
      </c>
      <c r="V178" s="17">
        <f t="shared" si="37"/>
        <v>1</v>
      </c>
      <c r="W178" s="56"/>
      <c r="X178" s="56"/>
      <c r="Y178" s="56"/>
      <c r="Z178" s="56"/>
      <c r="AA178" s="56"/>
      <c r="AB178" s="56"/>
      <c r="AC178" s="56"/>
      <c r="AD178" s="56"/>
      <c r="AE178" s="100" t="s">
        <v>115</v>
      </c>
      <c r="AF178" s="22" t="s">
        <v>173</v>
      </c>
      <c r="AG178" s="22">
        <v>12.0</v>
      </c>
      <c r="AH178" s="22">
        <v>4.0</v>
      </c>
      <c r="AI178" s="22">
        <v>0.0</v>
      </c>
      <c r="AJ178" s="22">
        <v>1.0</v>
      </c>
      <c r="AK178" s="22">
        <v>25.0</v>
      </c>
      <c r="AL178" s="22">
        <v>9.0</v>
      </c>
      <c r="AM178" s="22">
        <v>16.0</v>
      </c>
      <c r="AN178" s="17"/>
    </row>
    <row r="179" ht="15.75" customHeight="1">
      <c r="A179" s="24"/>
      <c r="B179" s="11">
        <v>45944.0</v>
      </c>
      <c r="C179" s="12" t="s">
        <v>103</v>
      </c>
      <c r="D179" s="12" t="s">
        <v>94</v>
      </c>
      <c r="E179" s="40" t="s">
        <v>121</v>
      </c>
      <c r="F179" s="40">
        <v>1.0</v>
      </c>
      <c r="G179" s="76" t="s">
        <v>24</v>
      </c>
      <c r="H179" s="40">
        <v>1.0</v>
      </c>
      <c r="I179" s="40" t="s">
        <v>144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89" t="s">
        <v>54</v>
      </c>
      <c r="P179" s="17">
        <f t="shared" si="31"/>
        <v>2</v>
      </c>
      <c r="Q179" s="17">
        <f t="shared" si="32"/>
        <v>0</v>
      </c>
      <c r="R179" s="19">
        <f t="shared" si="33"/>
        <v>2</v>
      </c>
      <c r="S179" s="19">
        <f t="shared" si="34"/>
        <v>3</v>
      </c>
      <c r="T179" s="17">
        <f t="shared" si="35"/>
        <v>11</v>
      </c>
      <c r="U179" s="19">
        <f t="shared" si="36"/>
        <v>18</v>
      </c>
      <c r="V179" s="17">
        <f t="shared" si="37"/>
        <v>-7</v>
      </c>
      <c r="W179" s="56"/>
      <c r="X179" s="56"/>
      <c r="Y179" s="56"/>
      <c r="Z179" s="56"/>
      <c r="AA179" s="56"/>
      <c r="AB179" s="56"/>
      <c r="AC179" s="56"/>
      <c r="AD179" s="56"/>
      <c r="AE179" s="21">
        <v>3.0</v>
      </c>
      <c r="AF179" s="22" t="s">
        <v>35</v>
      </c>
      <c r="AG179" s="22">
        <v>10.0</v>
      </c>
      <c r="AH179" s="22">
        <v>3.0</v>
      </c>
      <c r="AI179" s="22">
        <v>1.0</v>
      </c>
      <c r="AJ179" s="22">
        <v>1.0</v>
      </c>
      <c r="AK179" s="22">
        <v>27.0</v>
      </c>
      <c r="AL179" s="22">
        <v>13.0</v>
      </c>
      <c r="AM179" s="22">
        <v>14.0</v>
      </c>
      <c r="AN179" s="17"/>
    </row>
    <row r="180" ht="15.75" customHeight="1">
      <c r="A180" s="24"/>
      <c r="B180" s="11">
        <v>45952.0</v>
      </c>
      <c r="C180" s="12" t="s">
        <v>160</v>
      </c>
      <c r="D180" s="12" t="s">
        <v>94</v>
      </c>
      <c r="E180" s="40" t="s">
        <v>38</v>
      </c>
      <c r="F180" s="40">
        <v>0.0</v>
      </c>
      <c r="G180" s="76" t="s">
        <v>24</v>
      </c>
      <c r="H180" s="40">
        <v>3.0</v>
      </c>
      <c r="I180" s="40" t="s">
        <v>173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89" t="s">
        <v>121</v>
      </c>
      <c r="P180" s="17">
        <f t="shared" si="31"/>
        <v>5</v>
      </c>
      <c r="Q180" s="17">
        <f t="shared" si="32"/>
        <v>1</v>
      </c>
      <c r="R180" s="19">
        <f t="shared" si="33"/>
        <v>2</v>
      </c>
      <c r="S180" s="19">
        <f t="shared" si="34"/>
        <v>2</v>
      </c>
      <c r="T180" s="17">
        <f t="shared" si="35"/>
        <v>9</v>
      </c>
      <c r="U180" s="19">
        <f t="shared" si="36"/>
        <v>11</v>
      </c>
      <c r="V180" s="17">
        <f t="shared" si="37"/>
        <v>-2</v>
      </c>
      <c r="W180" s="56"/>
      <c r="X180" s="56"/>
      <c r="Y180" s="56"/>
      <c r="Z180" s="56"/>
      <c r="AA180" s="56"/>
      <c r="AB180" s="56"/>
      <c r="AC180" s="56"/>
      <c r="AD180" s="56"/>
      <c r="AE180" s="21">
        <v>4.0</v>
      </c>
      <c r="AF180" s="22" t="s">
        <v>144</v>
      </c>
      <c r="AG180" s="22">
        <v>10.0</v>
      </c>
      <c r="AH180" s="22">
        <v>3.0</v>
      </c>
      <c r="AI180" s="22">
        <v>1.0</v>
      </c>
      <c r="AJ180" s="22">
        <v>1.0</v>
      </c>
      <c r="AK180" s="22">
        <v>19.0</v>
      </c>
      <c r="AL180" s="22">
        <v>6.0</v>
      </c>
      <c r="AM180" s="22">
        <v>13.0</v>
      </c>
      <c r="AN180" s="17"/>
    </row>
    <row r="181" ht="15.75" customHeight="1">
      <c r="A181" s="24"/>
      <c r="B181" s="11">
        <v>45945.0</v>
      </c>
      <c r="C181" s="59" t="s">
        <v>51</v>
      </c>
      <c r="D181" s="12" t="s">
        <v>94</v>
      </c>
      <c r="E181" s="40" t="s">
        <v>60</v>
      </c>
      <c r="F181" s="40">
        <v>2.0</v>
      </c>
      <c r="G181" s="76" t="s">
        <v>24</v>
      </c>
      <c r="H181" s="40">
        <v>1.0</v>
      </c>
      <c r="I181" s="40" t="s">
        <v>92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89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5</v>
      </c>
      <c r="T181" s="17">
        <f t="shared" si="35"/>
        <v>4</v>
      </c>
      <c r="U181" s="19">
        <f t="shared" si="36"/>
        <v>49</v>
      </c>
      <c r="V181" s="17">
        <f t="shared" si="37"/>
        <v>-45</v>
      </c>
      <c r="W181" s="56"/>
      <c r="X181" s="56"/>
      <c r="Y181" s="56"/>
      <c r="Z181" s="56"/>
      <c r="AA181" s="56"/>
      <c r="AB181" s="56"/>
      <c r="AC181" s="56"/>
      <c r="AD181" s="56"/>
      <c r="AE181" s="21">
        <v>5.0</v>
      </c>
      <c r="AF181" s="22" t="s">
        <v>92</v>
      </c>
      <c r="AG181" s="22">
        <v>9.0</v>
      </c>
      <c r="AH181" s="22">
        <v>3.0</v>
      </c>
      <c r="AI181" s="22">
        <v>0.0</v>
      </c>
      <c r="AJ181" s="22">
        <v>2.0</v>
      </c>
      <c r="AK181" s="22">
        <v>12.0</v>
      </c>
      <c r="AL181" s="22">
        <v>10.0</v>
      </c>
      <c r="AM181" s="22">
        <v>2.0</v>
      </c>
      <c r="AN181" s="17"/>
    </row>
    <row r="182" ht="15.75" customHeight="1">
      <c r="A182" s="10">
        <v>2.0</v>
      </c>
      <c r="B182" s="11">
        <v>45956.0</v>
      </c>
      <c r="C182" s="12" t="s">
        <v>136</v>
      </c>
      <c r="D182" s="59" t="s">
        <v>22</v>
      </c>
      <c r="E182" s="40" t="s">
        <v>41</v>
      </c>
      <c r="F182" s="40">
        <v>6.0</v>
      </c>
      <c r="G182" s="76" t="s">
        <v>24</v>
      </c>
      <c r="H182" s="40">
        <v>1.0</v>
      </c>
      <c r="I182" s="40" t="s">
        <v>54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89" t="s">
        <v>60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4</v>
      </c>
      <c r="T182" s="17">
        <f t="shared" si="35"/>
        <v>8</v>
      </c>
      <c r="U182" s="19">
        <f t="shared" si="36"/>
        <v>35</v>
      </c>
      <c r="V182" s="17">
        <f t="shared" si="37"/>
        <v>-27</v>
      </c>
      <c r="W182" s="56"/>
      <c r="X182" s="56"/>
      <c r="Y182" s="56"/>
      <c r="Z182" s="56"/>
      <c r="AA182" s="56"/>
      <c r="AB182" s="56"/>
      <c r="AC182" s="56"/>
      <c r="AD182" s="56"/>
      <c r="AE182" s="21">
        <v>6.0</v>
      </c>
      <c r="AF182" s="22" t="s">
        <v>31</v>
      </c>
      <c r="AG182" s="22">
        <v>5.0</v>
      </c>
      <c r="AH182" s="22">
        <v>1.0</v>
      </c>
      <c r="AI182" s="22">
        <v>2.0</v>
      </c>
      <c r="AJ182" s="22">
        <v>2.0</v>
      </c>
      <c r="AK182" s="22">
        <v>15.0</v>
      </c>
      <c r="AL182" s="22">
        <v>14.0</v>
      </c>
      <c r="AM182" s="22">
        <v>1.0</v>
      </c>
      <c r="AN182" s="17"/>
    </row>
    <row r="183" ht="15.75" customHeight="1">
      <c r="A183" s="24"/>
      <c r="B183" s="11">
        <v>45956.0</v>
      </c>
      <c r="C183" s="12" t="s">
        <v>51</v>
      </c>
      <c r="D183" s="59" t="s">
        <v>22</v>
      </c>
      <c r="E183" s="40" t="s">
        <v>92</v>
      </c>
      <c r="F183" s="40">
        <v>3.0</v>
      </c>
      <c r="G183" s="76" t="s">
        <v>24</v>
      </c>
      <c r="H183" s="40">
        <v>2.0</v>
      </c>
      <c r="I183" s="40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89" t="s">
        <v>173</v>
      </c>
      <c r="P183" s="17">
        <f t="shared" si="31"/>
        <v>12</v>
      </c>
      <c r="Q183" s="17">
        <f t="shared" si="32"/>
        <v>4</v>
      </c>
      <c r="R183" s="19">
        <f t="shared" si="33"/>
        <v>0</v>
      </c>
      <c r="S183" s="19">
        <f t="shared" si="34"/>
        <v>1</v>
      </c>
      <c r="T183" s="17">
        <f t="shared" si="35"/>
        <v>25</v>
      </c>
      <c r="U183" s="19">
        <f t="shared" si="36"/>
        <v>9</v>
      </c>
      <c r="V183" s="17">
        <f t="shared" si="37"/>
        <v>16</v>
      </c>
      <c r="W183" s="56"/>
      <c r="X183" s="56"/>
      <c r="Y183" s="56"/>
      <c r="Z183" s="56"/>
      <c r="AA183" s="56"/>
      <c r="AB183" s="56"/>
      <c r="AC183" s="56"/>
      <c r="AD183" s="56"/>
      <c r="AE183" s="21">
        <v>7.0</v>
      </c>
      <c r="AF183" s="22" t="s">
        <v>121</v>
      </c>
      <c r="AG183" s="22">
        <v>5.0</v>
      </c>
      <c r="AH183" s="22">
        <v>1.0</v>
      </c>
      <c r="AI183" s="22">
        <v>2.0</v>
      </c>
      <c r="AJ183" s="22">
        <v>2.0</v>
      </c>
      <c r="AK183" s="22">
        <v>9.0</v>
      </c>
      <c r="AL183" s="22">
        <v>11.0</v>
      </c>
      <c r="AM183" s="22">
        <v>-2.0</v>
      </c>
      <c r="AN183" s="17"/>
    </row>
    <row r="184" ht="15.75" customHeight="1">
      <c r="A184" s="24"/>
      <c r="B184" s="11">
        <v>45956.0</v>
      </c>
      <c r="C184" s="59" t="s">
        <v>95</v>
      </c>
      <c r="D184" s="59" t="s">
        <v>22</v>
      </c>
      <c r="E184" s="40" t="s">
        <v>35</v>
      </c>
      <c r="F184" s="40">
        <v>3.0</v>
      </c>
      <c r="G184" s="76" t="s">
        <v>24</v>
      </c>
      <c r="H184" s="40">
        <v>2.0</v>
      </c>
      <c r="I184" s="40" t="s">
        <v>121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89" t="s">
        <v>144</v>
      </c>
      <c r="P184" s="17">
        <f t="shared" si="31"/>
        <v>10</v>
      </c>
      <c r="Q184" s="17">
        <f t="shared" si="32"/>
        <v>3</v>
      </c>
      <c r="R184" s="19">
        <f t="shared" si="33"/>
        <v>1</v>
      </c>
      <c r="S184" s="19">
        <f t="shared" si="34"/>
        <v>1</v>
      </c>
      <c r="T184" s="17">
        <f t="shared" si="35"/>
        <v>19</v>
      </c>
      <c r="U184" s="19">
        <f t="shared" si="36"/>
        <v>6</v>
      </c>
      <c r="V184" s="17">
        <f t="shared" si="37"/>
        <v>13</v>
      </c>
      <c r="W184" s="56"/>
      <c r="X184" s="56"/>
      <c r="Y184" s="56"/>
      <c r="Z184" s="56"/>
      <c r="AA184" s="56"/>
      <c r="AB184" s="56"/>
      <c r="AC184" s="56"/>
      <c r="AD184" s="56"/>
      <c r="AE184" s="21">
        <v>8.0</v>
      </c>
      <c r="AF184" s="22" t="s">
        <v>60</v>
      </c>
      <c r="AG184" s="22">
        <v>3.0</v>
      </c>
      <c r="AH184" s="22">
        <v>1.0</v>
      </c>
      <c r="AI184" s="22">
        <v>0.0</v>
      </c>
      <c r="AJ184" s="22">
        <v>4.0</v>
      </c>
      <c r="AK184" s="22">
        <v>8.0</v>
      </c>
      <c r="AL184" s="22">
        <v>35.0</v>
      </c>
      <c r="AM184" s="22">
        <v>-27.0</v>
      </c>
      <c r="AN184" s="17"/>
    </row>
    <row r="185" ht="15.75" customHeight="1">
      <c r="A185" s="24"/>
      <c r="B185" s="11">
        <v>45956.0</v>
      </c>
      <c r="C185" s="12" t="s">
        <v>99</v>
      </c>
      <c r="D185" s="59" t="s">
        <v>22</v>
      </c>
      <c r="E185" s="40" t="s">
        <v>144</v>
      </c>
      <c r="F185" s="40">
        <v>7.0</v>
      </c>
      <c r="G185" s="76" t="s">
        <v>24</v>
      </c>
      <c r="H185" s="40">
        <v>0.0</v>
      </c>
      <c r="I185" s="40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89" t="s">
        <v>35</v>
      </c>
      <c r="P185" s="17">
        <f t="shared" si="31"/>
        <v>10</v>
      </c>
      <c r="Q185" s="17">
        <f t="shared" si="32"/>
        <v>3</v>
      </c>
      <c r="R185" s="19">
        <f t="shared" si="33"/>
        <v>1</v>
      </c>
      <c r="S185" s="19">
        <f t="shared" si="34"/>
        <v>1</v>
      </c>
      <c r="T185" s="17">
        <f t="shared" si="35"/>
        <v>27</v>
      </c>
      <c r="U185" s="19">
        <f t="shared" si="36"/>
        <v>13</v>
      </c>
      <c r="V185" s="17">
        <f t="shared" si="37"/>
        <v>14</v>
      </c>
      <c r="W185" s="56"/>
      <c r="X185" s="56"/>
      <c r="Y185" s="56"/>
      <c r="Z185" s="56"/>
      <c r="AA185" s="56"/>
      <c r="AB185" s="56"/>
      <c r="AC185" s="56"/>
      <c r="AD185" s="56"/>
      <c r="AE185" s="21">
        <v>9.0</v>
      </c>
      <c r="AF185" s="22" t="s">
        <v>54</v>
      </c>
      <c r="AG185" s="22">
        <v>2.0</v>
      </c>
      <c r="AH185" s="22">
        <v>0.0</v>
      </c>
      <c r="AI185" s="22">
        <v>2.0</v>
      </c>
      <c r="AJ185" s="22">
        <v>3.0</v>
      </c>
      <c r="AK185" s="22">
        <v>11.0</v>
      </c>
      <c r="AL185" s="22">
        <v>18.0</v>
      </c>
      <c r="AM185" s="22">
        <v>-7.0</v>
      </c>
      <c r="AN185" s="17"/>
    </row>
    <row r="186" ht="15.75" customHeight="1">
      <c r="A186" s="24"/>
      <c r="B186" s="11">
        <v>45956.0</v>
      </c>
      <c r="C186" s="59" t="s">
        <v>103</v>
      </c>
      <c r="D186" s="59" t="s">
        <v>22</v>
      </c>
      <c r="E186" s="40" t="s">
        <v>173</v>
      </c>
      <c r="F186" s="40">
        <v>13.0</v>
      </c>
      <c r="G186" s="76" t="s">
        <v>24</v>
      </c>
      <c r="H186" s="40">
        <v>0.0</v>
      </c>
      <c r="I186" s="40" t="s">
        <v>60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89" t="s">
        <v>92</v>
      </c>
      <c r="P186" s="17">
        <f t="shared" si="31"/>
        <v>9</v>
      </c>
      <c r="Q186" s="17">
        <f t="shared" si="32"/>
        <v>3</v>
      </c>
      <c r="R186" s="19">
        <f t="shared" si="33"/>
        <v>0</v>
      </c>
      <c r="S186" s="19">
        <f t="shared" si="34"/>
        <v>2</v>
      </c>
      <c r="T186" s="17">
        <f t="shared" si="35"/>
        <v>12</v>
      </c>
      <c r="U186" s="19">
        <f t="shared" si="36"/>
        <v>10</v>
      </c>
      <c r="V186" s="17">
        <f t="shared" si="37"/>
        <v>2</v>
      </c>
      <c r="W186" s="56"/>
      <c r="X186" s="56"/>
      <c r="Y186" s="56"/>
      <c r="Z186" s="56"/>
      <c r="AA186" s="56"/>
      <c r="AB186" s="56"/>
      <c r="AC186" s="56"/>
      <c r="AD186" s="56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5.0</v>
      </c>
      <c r="AK186" s="22">
        <v>4.0</v>
      </c>
      <c r="AL186" s="22">
        <v>49.0</v>
      </c>
      <c r="AM186" s="22">
        <v>-45.0</v>
      </c>
      <c r="AN186" s="17"/>
    </row>
    <row r="187" ht="15.75" customHeight="1">
      <c r="A187" s="10">
        <v>3.0</v>
      </c>
      <c r="B187" s="102">
        <v>45965.0</v>
      </c>
      <c r="C187" s="59" t="s">
        <v>49</v>
      </c>
      <c r="D187" s="59" t="s">
        <v>22</v>
      </c>
      <c r="E187" s="40" t="s">
        <v>121</v>
      </c>
      <c r="F187" s="40">
        <v>0.0</v>
      </c>
      <c r="G187" s="76" t="s">
        <v>24</v>
      </c>
      <c r="H187" s="40">
        <v>2.0</v>
      </c>
      <c r="I187" s="40" t="s">
        <v>41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56"/>
      <c r="X187" s="56"/>
      <c r="Y187" s="56"/>
      <c r="Z187" s="56"/>
      <c r="AA187" s="56"/>
      <c r="AB187" s="56"/>
      <c r="AC187" s="56"/>
      <c r="AD187" s="56"/>
      <c r="AE187" s="34" t="s">
        <v>174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102">
        <v>45965.0</v>
      </c>
      <c r="C188" s="59" t="s">
        <v>21</v>
      </c>
      <c r="D188" s="59" t="s">
        <v>22</v>
      </c>
      <c r="E188" s="40" t="s">
        <v>54</v>
      </c>
      <c r="F188" s="40">
        <v>2.0</v>
      </c>
      <c r="G188" s="76" t="s">
        <v>24</v>
      </c>
      <c r="H188" s="40">
        <v>2.0</v>
      </c>
      <c r="I188" s="40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56"/>
      <c r="X188" s="56"/>
      <c r="Y188" s="56"/>
      <c r="Z188" s="56"/>
      <c r="AA188" s="56"/>
      <c r="AB188" s="56"/>
      <c r="AC188" s="56"/>
      <c r="AD188" s="56"/>
      <c r="AE188" s="73" t="s">
        <v>163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102">
        <v>45966.0</v>
      </c>
      <c r="C189" s="59" t="s">
        <v>147</v>
      </c>
      <c r="D189" s="12" t="s">
        <v>94</v>
      </c>
      <c r="E189" s="40" t="s">
        <v>38</v>
      </c>
      <c r="F189" s="40">
        <v>1.0</v>
      </c>
      <c r="G189" s="76" t="s">
        <v>24</v>
      </c>
      <c r="H189" s="40">
        <v>9.0</v>
      </c>
      <c r="I189" s="40" t="s">
        <v>35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4"/>
      <c r="B190" s="102">
        <v>45964.0</v>
      </c>
      <c r="C190" s="59" t="s">
        <v>36</v>
      </c>
      <c r="D190" s="12" t="s">
        <v>94</v>
      </c>
      <c r="E190" s="40" t="s">
        <v>60</v>
      </c>
      <c r="F190" s="40">
        <v>1.0</v>
      </c>
      <c r="G190" s="76" t="s">
        <v>24</v>
      </c>
      <c r="H190" s="40">
        <v>6.0</v>
      </c>
      <c r="I190" s="40" t="s">
        <v>144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4"/>
      <c r="B191" s="102">
        <v>45966.0</v>
      </c>
      <c r="C191" s="59" t="s">
        <v>160</v>
      </c>
      <c r="D191" s="12" t="s">
        <v>94</v>
      </c>
      <c r="E191" s="40" t="s">
        <v>92</v>
      </c>
      <c r="F191" s="40">
        <v>1.0</v>
      </c>
      <c r="G191" s="76" t="s">
        <v>24</v>
      </c>
      <c r="H191" s="40">
        <v>2.0</v>
      </c>
      <c r="I191" s="40" t="s">
        <v>173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01"/>
      <c r="C192" s="60"/>
      <c r="D192" s="76"/>
      <c r="E192" s="40" t="s">
        <v>41</v>
      </c>
      <c r="F192" s="40">
        <v>24.0</v>
      </c>
      <c r="G192" s="76" t="s">
        <v>24</v>
      </c>
      <c r="H192" s="40">
        <v>1.0</v>
      </c>
      <c r="I192" s="40" t="s">
        <v>38</v>
      </c>
      <c r="J192" s="37"/>
      <c r="K192" s="4">
        <f t="shared" si="29"/>
        <v>3</v>
      </c>
      <c r="L192" s="17">
        <f t="shared" si="30"/>
        <v>0</v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4"/>
      <c r="B193" s="101"/>
      <c r="C193" s="76"/>
      <c r="D193" s="76"/>
      <c r="E193" s="40" t="s">
        <v>31</v>
      </c>
      <c r="F193" s="40">
        <v>3.0</v>
      </c>
      <c r="G193" s="76" t="s">
        <v>24</v>
      </c>
      <c r="H193" s="40">
        <v>3.0</v>
      </c>
      <c r="I193" s="40" t="s">
        <v>121</v>
      </c>
      <c r="J193" s="4"/>
      <c r="K193" s="4">
        <f t="shared" si="29"/>
        <v>1</v>
      </c>
      <c r="L193" s="17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4"/>
      <c r="B194" s="101"/>
      <c r="C194" s="76"/>
      <c r="D194" s="76"/>
      <c r="E194" s="40" t="s">
        <v>54</v>
      </c>
      <c r="F194" s="40">
        <v>4.0</v>
      </c>
      <c r="G194" s="76" t="s">
        <v>24</v>
      </c>
      <c r="H194" s="40">
        <v>5.0</v>
      </c>
      <c r="I194" s="40" t="s">
        <v>92</v>
      </c>
      <c r="J194" s="4"/>
      <c r="K194" s="4">
        <f t="shared" si="29"/>
        <v>0</v>
      </c>
      <c r="L194" s="17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101"/>
      <c r="C195" s="60"/>
      <c r="D195" s="76"/>
      <c r="E195" s="40" t="s">
        <v>35</v>
      </c>
      <c r="F195" s="40">
        <v>10.0</v>
      </c>
      <c r="G195" s="76" t="s">
        <v>24</v>
      </c>
      <c r="H195" s="40">
        <v>3.0</v>
      </c>
      <c r="I195" s="40" t="s">
        <v>60</v>
      </c>
      <c r="J195" s="4"/>
      <c r="K195" s="4">
        <f t="shared" si="29"/>
        <v>3</v>
      </c>
      <c r="L195" s="17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101"/>
      <c r="C196" s="76"/>
      <c r="D196" s="76"/>
      <c r="E196" s="40" t="s">
        <v>144</v>
      </c>
      <c r="F196" s="40">
        <v>5.0</v>
      </c>
      <c r="G196" s="76" t="s">
        <v>24</v>
      </c>
      <c r="H196" s="40">
        <v>2.0</v>
      </c>
      <c r="I196" s="40" t="s">
        <v>173</v>
      </c>
      <c r="J196" s="4"/>
      <c r="K196" s="4">
        <f t="shared" si="29"/>
        <v>3</v>
      </c>
      <c r="L196" s="17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101"/>
      <c r="C197" s="76"/>
      <c r="D197" s="76"/>
      <c r="E197" s="40" t="s">
        <v>60</v>
      </c>
      <c r="F197" s="40">
        <v>2.0</v>
      </c>
      <c r="G197" s="76" t="s">
        <v>24</v>
      </c>
      <c r="H197" s="40">
        <v>5.0</v>
      </c>
      <c r="I197" s="40" t="s">
        <v>41</v>
      </c>
      <c r="J197" s="4"/>
      <c r="K197" s="4">
        <f t="shared" si="29"/>
        <v>0</v>
      </c>
      <c r="L197" s="17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4"/>
      <c r="B198" s="101"/>
      <c r="C198" s="76"/>
      <c r="D198" s="76"/>
      <c r="E198" s="40" t="s">
        <v>38</v>
      </c>
      <c r="F198" s="40">
        <v>2.0</v>
      </c>
      <c r="G198" s="76" t="s">
        <v>24</v>
      </c>
      <c r="H198" s="40">
        <v>6.0</v>
      </c>
      <c r="I198" s="40" t="s">
        <v>31</v>
      </c>
      <c r="J198" s="4"/>
      <c r="K198" s="4">
        <f t="shared" si="29"/>
        <v>0</v>
      </c>
      <c r="L198" s="17">
        <f t="shared" si="30"/>
        <v>3</v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101"/>
      <c r="C199" s="76"/>
      <c r="D199" s="76"/>
      <c r="E199" s="40" t="s">
        <v>121</v>
      </c>
      <c r="F199" s="40">
        <v>3.0</v>
      </c>
      <c r="G199" s="76" t="s">
        <v>24</v>
      </c>
      <c r="H199" s="40">
        <v>2.0</v>
      </c>
      <c r="I199" s="40" t="s">
        <v>54</v>
      </c>
      <c r="J199" s="4"/>
      <c r="K199" s="4">
        <f t="shared" si="29"/>
        <v>3</v>
      </c>
      <c r="L199" s="17">
        <f t="shared" si="30"/>
        <v>0</v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101"/>
      <c r="C200" s="76"/>
      <c r="D200" s="76"/>
      <c r="E200" s="40" t="s">
        <v>173</v>
      </c>
      <c r="F200" s="40">
        <v>5.0</v>
      </c>
      <c r="G200" s="76" t="s">
        <v>24</v>
      </c>
      <c r="H200" s="40">
        <v>3.0</v>
      </c>
      <c r="I200" s="40" t="s">
        <v>35</v>
      </c>
      <c r="J200" s="4"/>
      <c r="K200" s="4">
        <f t="shared" si="29"/>
        <v>3</v>
      </c>
      <c r="L200" s="17">
        <f t="shared" si="30"/>
        <v>0</v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101"/>
      <c r="C201" s="76"/>
      <c r="D201" s="76"/>
      <c r="E201" s="40" t="s">
        <v>92</v>
      </c>
      <c r="F201" s="40">
        <v>2.0</v>
      </c>
      <c r="G201" s="76" t="s">
        <v>24</v>
      </c>
      <c r="H201" s="40">
        <v>0.0</v>
      </c>
      <c r="I201" s="40" t="s">
        <v>144</v>
      </c>
      <c r="J201" s="4"/>
      <c r="K201" s="4">
        <f t="shared" si="29"/>
        <v>3</v>
      </c>
      <c r="L201" s="17">
        <f t="shared" si="30"/>
        <v>0</v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01"/>
      <c r="C202" s="76"/>
      <c r="D202" s="76"/>
      <c r="E202" s="40" t="s">
        <v>41</v>
      </c>
      <c r="F202" s="60"/>
      <c r="G202" s="76" t="s">
        <v>24</v>
      </c>
      <c r="H202" s="60"/>
      <c r="I202" s="40" t="s">
        <v>173</v>
      </c>
      <c r="J202" s="4"/>
      <c r="K202" s="4" t="str">
        <f t="shared" si="29"/>
        <v/>
      </c>
      <c r="L202" s="17" t="str">
        <f t="shared" si="30"/>
        <v/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101"/>
      <c r="C203" s="76"/>
      <c r="D203" s="76"/>
      <c r="E203" s="40" t="s">
        <v>31</v>
      </c>
      <c r="F203" s="60"/>
      <c r="G203" s="76" t="s">
        <v>24</v>
      </c>
      <c r="H203" s="60"/>
      <c r="I203" s="40" t="s">
        <v>60</v>
      </c>
      <c r="J203" s="4"/>
      <c r="K203" s="4" t="str">
        <f t="shared" si="29"/>
        <v/>
      </c>
      <c r="L203" s="17" t="str">
        <f t="shared" si="30"/>
        <v/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101"/>
      <c r="C204" s="76"/>
      <c r="D204" s="76"/>
      <c r="E204" s="40" t="s">
        <v>54</v>
      </c>
      <c r="F204" s="60"/>
      <c r="G204" s="76" t="s">
        <v>24</v>
      </c>
      <c r="H204" s="60"/>
      <c r="I204" s="40" t="s">
        <v>38</v>
      </c>
      <c r="J204" s="4"/>
      <c r="K204" s="4" t="str">
        <f t="shared" si="29"/>
        <v/>
      </c>
      <c r="L204" s="17" t="str">
        <f t="shared" si="30"/>
        <v/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101"/>
      <c r="C205" s="76"/>
      <c r="D205" s="76"/>
      <c r="E205" s="40" t="s">
        <v>121</v>
      </c>
      <c r="F205" s="60"/>
      <c r="G205" s="76" t="s">
        <v>24</v>
      </c>
      <c r="H205" s="60"/>
      <c r="I205" s="40" t="s">
        <v>92</v>
      </c>
      <c r="J205" s="4"/>
      <c r="K205" s="4" t="str">
        <f t="shared" si="29"/>
        <v/>
      </c>
      <c r="L205" s="17" t="str">
        <f t="shared" si="30"/>
        <v/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101"/>
      <c r="C206" s="76"/>
      <c r="D206" s="76"/>
      <c r="E206" s="40" t="s">
        <v>35</v>
      </c>
      <c r="F206" s="60"/>
      <c r="G206" s="76" t="s">
        <v>24</v>
      </c>
      <c r="H206" s="60"/>
      <c r="I206" s="40" t="s">
        <v>144</v>
      </c>
      <c r="J206" s="4"/>
      <c r="K206" s="4" t="str">
        <f t="shared" si="29"/>
        <v/>
      </c>
      <c r="L206" s="17" t="str">
        <f t="shared" si="30"/>
        <v/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01"/>
      <c r="C207" s="76"/>
      <c r="D207" s="76"/>
      <c r="E207" s="40" t="s">
        <v>144</v>
      </c>
      <c r="F207" s="60"/>
      <c r="G207" s="76" t="s">
        <v>24</v>
      </c>
      <c r="H207" s="60"/>
      <c r="I207" s="40" t="s">
        <v>41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101"/>
      <c r="C208" s="76"/>
      <c r="D208" s="76"/>
      <c r="E208" s="40" t="s">
        <v>173</v>
      </c>
      <c r="F208" s="60"/>
      <c r="G208" s="76" t="s">
        <v>24</v>
      </c>
      <c r="H208" s="60"/>
      <c r="I208" s="40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101"/>
      <c r="C209" s="76"/>
      <c r="D209" s="76"/>
      <c r="E209" s="40" t="s">
        <v>60</v>
      </c>
      <c r="F209" s="60"/>
      <c r="G209" s="76" t="s">
        <v>24</v>
      </c>
      <c r="H209" s="60"/>
      <c r="I209" s="40" t="s">
        <v>54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101"/>
      <c r="C210" s="76"/>
      <c r="D210" s="76"/>
      <c r="E210" s="40" t="s">
        <v>38</v>
      </c>
      <c r="F210" s="60"/>
      <c r="G210" s="76" t="s">
        <v>24</v>
      </c>
      <c r="H210" s="60"/>
      <c r="I210" s="40" t="s">
        <v>121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101"/>
      <c r="C211" s="76"/>
      <c r="D211" s="76"/>
      <c r="E211" s="40" t="s">
        <v>92</v>
      </c>
      <c r="F211" s="60"/>
      <c r="G211" s="76" t="s">
        <v>24</v>
      </c>
      <c r="H211" s="60"/>
      <c r="I211" s="40" t="s">
        <v>35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01"/>
      <c r="C212" s="76"/>
      <c r="D212" s="76"/>
      <c r="E212" s="40" t="s">
        <v>41</v>
      </c>
      <c r="F212" s="60"/>
      <c r="G212" s="76" t="s">
        <v>24</v>
      </c>
      <c r="H212" s="60"/>
      <c r="I212" s="40" t="s">
        <v>35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101"/>
      <c r="C213" s="76"/>
      <c r="D213" s="76"/>
      <c r="E213" s="40" t="s">
        <v>31</v>
      </c>
      <c r="F213" s="40"/>
      <c r="G213" s="76" t="s">
        <v>24</v>
      </c>
      <c r="H213" s="40"/>
      <c r="I213" s="40" t="s">
        <v>144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101"/>
      <c r="C214" s="76"/>
      <c r="D214" s="76"/>
      <c r="E214" s="40" t="s">
        <v>54</v>
      </c>
      <c r="F214" s="60"/>
      <c r="G214" s="76" t="s">
        <v>24</v>
      </c>
      <c r="H214" s="60"/>
      <c r="I214" s="40" t="s">
        <v>173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101"/>
      <c r="C215" s="76"/>
      <c r="D215" s="76"/>
      <c r="E215" s="40" t="s">
        <v>121</v>
      </c>
      <c r="F215" s="60"/>
      <c r="G215" s="76" t="s">
        <v>24</v>
      </c>
      <c r="H215" s="60"/>
      <c r="I215" s="40" t="s">
        <v>60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101"/>
      <c r="C216" s="76"/>
      <c r="D216" s="76"/>
      <c r="E216" s="40" t="s">
        <v>38</v>
      </c>
      <c r="F216" s="60"/>
      <c r="G216" s="76" t="s">
        <v>24</v>
      </c>
      <c r="H216" s="60"/>
      <c r="I216" s="40" t="s">
        <v>92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01"/>
      <c r="C217" s="76"/>
      <c r="D217" s="76"/>
      <c r="E217" s="40" t="s">
        <v>92</v>
      </c>
      <c r="F217" s="60"/>
      <c r="G217" s="76" t="s">
        <v>24</v>
      </c>
      <c r="H217" s="60"/>
      <c r="I217" s="40" t="s">
        <v>41</v>
      </c>
      <c r="J217" s="56"/>
      <c r="K217" s="4" t="str">
        <f t="shared" si="29"/>
        <v/>
      </c>
      <c r="L217" s="17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101"/>
      <c r="C218" s="76"/>
      <c r="D218" s="76"/>
      <c r="E218" s="40" t="s">
        <v>35</v>
      </c>
      <c r="F218" s="60"/>
      <c r="G218" s="76" t="s">
        <v>24</v>
      </c>
      <c r="H218" s="60"/>
      <c r="I218" s="40" t="s">
        <v>31</v>
      </c>
      <c r="J218" s="56"/>
      <c r="K218" s="4" t="str">
        <f t="shared" si="29"/>
        <v/>
      </c>
      <c r="L218" s="17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101"/>
      <c r="C219" s="60"/>
      <c r="D219" s="76"/>
      <c r="E219" s="40" t="s">
        <v>144</v>
      </c>
      <c r="F219" s="60"/>
      <c r="G219" s="76" t="s">
        <v>24</v>
      </c>
      <c r="H219" s="60"/>
      <c r="I219" s="40" t="s">
        <v>54</v>
      </c>
      <c r="J219" s="56"/>
      <c r="K219" s="4" t="str">
        <f t="shared" si="29"/>
        <v/>
      </c>
      <c r="L219" s="17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101"/>
      <c r="C220" s="60"/>
      <c r="D220" s="76"/>
      <c r="E220" s="40" t="s">
        <v>173</v>
      </c>
      <c r="F220" s="60"/>
      <c r="G220" s="76" t="s">
        <v>24</v>
      </c>
      <c r="H220" s="60"/>
      <c r="I220" s="14" t="s">
        <v>121</v>
      </c>
      <c r="J220" s="56"/>
      <c r="K220" s="4" t="str">
        <f t="shared" si="29"/>
        <v/>
      </c>
      <c r="L220" s="17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101"/>
      <c r="C221" s="76"/>
      <c r="D221" s="76"/>
      <c r="E221" s="40" t="s">
        <v>60</v>
      </c>
      <c r="F221" s="60"/>
      <c r="G221" s="76" t="s">
        <v>24</v>
      </c>
      <c r="H221" s="60"/>
      <c r="I221" s="40" t="s">
        <v>38</v>
      </c>
      <c r="J221" s="56"/>
      <c r="K221" s="4" t="str">
        <f t="shared" si="29"/>
        <v/>
      </c>
      <c r="L221" s="17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175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77</v>
      </c>
      <c r="B228" s="39"/>
      <c r="C228" s="12"/>
      <c r="D228" s="12"/>
      <c r="E228" s="40" t="s">
        <v>126</v>
      </c>
      <c r="F228" s="13"/>
      <c r="G228" s="16" t="s">
        <v>24</v>
      </c>
      <c r="H228" s="13"/>
      <c r="I228" s="40" t="s">
        <v>176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177</v>
      </c>
      <c r="F229" s="13"/>
      <c r="G229" s="16" t="s">
        <v>24</v>
      </c>
      <c r="H229" s="13"/>
      <c r="I229" s="40" t="s">
        <v>178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5" t="s">
        <v>85</v>
      </c>
      <c r="B230" s="39"/>
      <c r="C230" s="12"/>
      <c r="D230" s="12"/>
      <c r="E230" s="40" t="s">
        <v>86</v>
      </c>
      <c r="F230" s="13"/>
      <c r="G230" s="16" t="s">
        <v>24</v>
      </c>
      <c r="H230" s="13"/>
      <c r="I230" s="40" t="s">
        <v>87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179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68</v>
      </c>
      <c r="B237" s="39"/>
      <c r="C237" s="12"/>
      <c r="D237" s="12"/>
      <c r="E237" s="40" t="s">
        <v>69</v>
      </c>
      <c r="F237" s="30"/>
      <c r="G237" s="16" t="s">
        <v>24</v>
      </c>
      <c r="H237" s="30"/>
      <c r="I237" s="40" t="s">
        <v>180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4"/>
      <c r="B238" s="39"/>
      <c r="C238" s="12"/>
      <c r="D238" s="12"/>
      <c r="E238" s="40" t="s">
        <v>71</v>
      </c>
      <c r="F238" s="30"/>
      <c r="G238" s="16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4"/>
      <c r="B239" s="39"/>
      <c r="C239" s="12"/>
      <c r="D239" s="12"/>
      <c r="E239" s="40" t="s">
        <v>73</v>
      </c>
      <c r="F239" s="30"/>
      <c r="G239" s="16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75</v>
      </c>
      <c r="F240" s="30"/>
      <c r="G240" s="16" t="s">
        <v>24</v>
      </c>
      <c r="H240" s="30"/>
      <c r="I240" s="40" t="s">
        <v>76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77</v>
      </c>
      <c r="B241" s="39"/>
      <c r="C241" s="12"/>
      <c r="D241" s="12"/>
      <c r="E241" s="40" t="s">
        <v>78</v>
      </c>
      <c r="F241" s="30"/>
      <c r="G241" s="16" t="s">
        <v>24</v>
      </c>
      <c r="H241" s="30"/>
      <c r="I241" s="40" t="s">
        <v>79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4"/>
      <c r="B242" s="49"/>
      <c r="C242" s="30"/>
      <c r="D242" s="12"/>
      <c r="E242" s="42" t="s">
        <v>80</v>
      </c>
      <c r="F242" s="13"/>
      <c r="G242" s="16" t="s">
        <v>24</v>
      </c>
      <c r="H242" s="13"/>
      <c r="I242" s="40" t="s">
        <v>81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82</v>
      </c>
      <c r="B243" s="29"/>
      <c r="C243" s="30"/>
      <c r="D243" s="12"/>
      <c r="E243" s="40" t="s">
        <v>83</v>
      </c>
      <c r="F243" s="30"/>
      <c r="G243" s="16" t="s">
        <v>24</v>
      </c>
      <c r="H243" s="30"/>
      <c r="I243" s="43" t="s">
        <v>84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85</v>
      </c>
      <c r="B244" s="29"/>
      <c r="C244" s="30"/>
      <c r="D244" s="12"/>
      <c r="E244" s="40" t="s">
        <v>86</v>
      </c>
      <c r="F244" s="30"/>
      <c r="G244" s="16" t="s">
        <v>24</v>
      </c>
      <c r="H244" s="30"/>
      <c r="I244" s="40" t="s">
        <v>87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181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08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95</v>
      </c>
      <c r="D3" s="12" t="s">
        <v>182</v>
      </c>
      <c r="E3" s="40" t="s">
        <v>114</v>
      </c>
      <c r="F3" s="14">
        <v>2.0</v>
      </c>
      <c r="G3" s="76" t="s">
        <v>24</v>
      </c>
      <c r="H3" s="109">
        <v>0.0</v>
      </c>
      <c r="I3" s="40" t="s">
        <v>54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96" t="s">
        <v>114</v>
      </c>
      <c r="P3" s="110">
        <f t="shared" ref="P3:P14" si="3">SUMIF(E$3:E$68,O3,K$3:K$68)+SUMIF(I$3:I$68,O3,L$3:L$68)</f>
        <v>9</v>
      </c>
      <c r="Q3" s="110">
        <f t="shared" ref="Q3:Q14" si="4">COUNTIFS(E$3:E$68,O3,K$3:K$68,3)+COUNTIFS(I$3:I$68,O3,L$3:L$68,3)</f>
        <v>3</v>
      </c>
      <c r="R3" s="110">
        <f t="shared" ref="R3:R14" si="5">COUNTIFS(E$3:E$68,O3,K$3:K$68,1)+COUNTIFS(I$3:I$68,O3,L$3:L$68,1)</f>
        <v>0</v>
      </c>
      <c r="S3" s="111">
        <f t="shared" ref="S3:S14" si="6">COUNTIFS(E$3:E$68,O3,K$3:K$68,0)+COUNTIFS(I$3:I$68,O3,L$3:L$68,0)</f>
        <v>1</v>
      </c>
      <c r="T3" s="110">
        <f t="shared" ref="T3:T14" si="7">SUMIF(E$3:E$68,O3,F$3:F$68)+SUMIF(I$3:I$68,O3,H$3:H$68)</f>
        <v>12</v>
      </c>
      <c r="U3" s="111">
        <f t="shared" ref="U3:U14" si="8">SUMIF(E$3:E$68,O3,H$3:H$68)+SUMIF(I$3:I$68,O3,F$3:F$68)</f>
        <v>8</v>
      </c>
      <c r="V3" s="110">
        <f t="shared" ref="V3:V14" si="9">T3-U3</f>
        <v>4</v>
      </c>
      <c r="W3" s="2"/>
      <c r="X3" s="112" t="s">
        <v>26</v>
      </c>
      <c r="Y3" s="112" t="s">
        <v>13</v>
      </c>
      <c r="Z3" s="2"/>
      <c r="AA3" s="21" t="s">
        <v>29</v>
      </c>
      <c r="AB3" s="27" t="str">
        <f t="array" ref="AB3:AI14">SORT(O3:V14,2,FALSE,9,FALSE,8,FALSE())</f>
        <v>Fisioterapia</v>
      </c>
      <c r="AC3" s="27">
        <v>10.0</v>
      </c>
      <c r="AD3" s="27">
        <v>3.0</v>
      </c>
      <c r="AE3" s="27">
        <v>1.0</v>
      </c>
      <c r="AF3" s="27">
        <v>0.0</v>
      </c>
      <c r="AG3" s="27">
        <v>10.0</v>
      </c>
      <c r="AH3" s="27">
        <v>4.0</v>
      </c>
      <c r="AI3" s="27">
        <v>6.0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99</v>
      </c>
      <c r="D4" s="12" t="s">
        <v>182</v>
      </c>
      <c r="E4" s="40" t="s">
        <v>41</v>
      </c>
      <c r="F4" s="14">
        <v>1.0</v>
      </c>
      <c r="G4" s="76" t="s">
        <v>24</v>
      </c>
      <c r="H4" s="109">
        <v>2.0</v>
      </c>
      <c r="I4" s="40" t="s">
        <v>59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96" t="s">
        <v>33</v>
      </c>
      <c r="P4" s="110">
        <f t="shared" si="3"/>
        <v>6</v>
      </c>
      <c r="Q4" s="110">
        <f t="shared" si="4"/>
        <v>2</v>
      </c>
      <c r="R4" s="110">
        <f t="shared" si="5"/>
        <v>0</v>
      </c>
      <c r="S4" s="111">
        <f t="shared" si="6"/>
        <v>2</v>
      </c>
      <c r="T4" s="110">
        <f t="shared" si="7"/>
        <v>10</v>
      </c>
      <c r="U4" s="111">
        <f t="shared" si="8"/>
        <v>6</v>
      </c>
      <c r="V4" s="110">
        <f t="shared" si="9"/>
        <v>4</v>
      </c>
      <c r="W4" s="2"/>
      <c r="X4" s="113" t="s">
        <v>25</v>
      </c>
      <c r="Y4" s="113">
        <v>3.0</v>
      </c>
      <c r="Z4" s="2"/>
      <c r="AA4" s="21" t="s">
        <v>34</v>
      </c>
      <c r="AB4" s="27" t="s">
        <v>25</v>
      </c>
      <c r="AC4" s="27">
        <v>10.0</v>
      </c>
      <c r="AD4" s="27">
        <v>3.0</v>
      </c>
      <c r="AE4" s="27">
        <v>1.0</v>
      </c>
      <c r="AF4" s="27">
        <v>0.0</v>
      </c>
      <c r="AG4" s="27">
        <v>10.0</v>
      </c>
      <c r="AH4" s="27">
        <v>5.0</v>
      </c>
      <c r="AI4" s="27">
        <v>5.0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102">
        <v>45950.0</v>
      </c>
      <c r="C5" s="12" t="s">
        <v>103</v>
      </c>
      <c r="D5" s="12" t="s">
        <v>182</v>
      </c>
      <c r="E5" s="40" t="s">
        <v>23</v>
      </c>
      <c r="F5" s="14">
        <v>1.0</v>
      </c>
      <c r="G5" s="76" t="s">
        <v>24</v>
      </c>
      <c r="H5" s="109">
        <v>1.0</v>
      </c>
      <c r="I5" s="40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6" t="s">
        <v>54</v>
      </c>
      <c r="P5" s="110">
        <f t="shared" si="3"/>
        <v>0</v>
      </c>
      <c r="Q5" s="110">
        <f t="shared" si="4"/>
        <v>0</v>
      </c>
      <c r="R5" s="110">
        <f t="shared" si="5"/>
        <v>0</v>
      </c>
      <c r="S5" s="111">
        <f t="shared" si="6"/>
        <v>4</v>
      </c>
      <c r="T5" s="110">
        <f t="shared" si="7"/>
        <v>4</v>
      </c>
      <c r="U5" s="111">
        <f t="shared" si="8"/>
        <v>11</v>
      </c>
      <c r="V5" s="110">
        <f t="shared" si="9"/>
        <v>-7</v>
      </c>
      <c r="W5" s="2"/>
      <c r="X5" s="113" t="s">
        <v>156</v>
      </c>
      <c r="Y5" s="113">
        <v>0.0</v>
      </c>
      <c r="Z5" s="2"/>
      <c r="AA5" s="21" t="s">
        <v>39</v>
      </c>
      <c r="AB5" s="27" t="s">
        <v>114</v>
      </c>
      <c r="AC5" s="27">
        <v>9.0</v>
      </c>
      <c r="AD5" s="27">
        <v>3.0</v>
      </c>
      <c r="AE5" s="27">
        <v>0.0</v>
      </c>
      <c r="AF5" s="27">
        <v>1.0</v>
      </c>
      <c r="AG5" s="27">
        <v>12.0</v>
      </c>
      <c r="AH5" s="27">
        <v>8.0</v>
      </c>
      <c r="AI5" s="27">
        <v>4.0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99</v>
      </c>
      <c r="D6" s="12" t="s">
        <v>182</v>
      </c>
      <c r="E6" s="40" t="s">
        <v>25</v>
      </c>
      <c r="F6" s="14">
        <v>2.0</v>
      </c>
      <c r="G6" s="76" t="s">
        <v>24</v>
      </c>
      <c r="H6" s="109">
        <v>1.0</v>
      </c>
      <c r="I6" s="40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6" t="s">
        <v>61</v>
      </c>
      <c r="P6" s="110">
        <f t="shared" si="3"/>
        <v>0</v>
      </c>
      <c r="Q6" s="110">
        <f t="shared" si="4"/>
        <v>0</v>
      </c>
      <c r="R6" s="110">
        <f t="shared" si="5"/>
        <v>0</v>
      </c>
      <c r="S6" s="111">
        <f t="shared" si="6"/>
        <v>4</v>
      </c>
      <c r="T6" s="110">
        <f t="shared" si="7"/>
        <v>6</v>
      </c>
      <c r="U6" s="111">
        <f t="shared" si="8"/>
        <v>22</v>
      </c>
      <c r="V6" s="110">
        <f t="shared" si="9"/>
        <v>-16</v>
      </c>
      <c r="W6" s="2"/>
      <c r="X6" s="2"/>
      <c r="Y6" s="2"/>
      <c r="Z6" s="2"/>
      <c r="AA6" s="21" t="s">
        <v>43</v>
      </c>
      <c r="AB6" s="27" t="s">
        <v>59</v>
      </c>
      <c r="AC6" s="27">
        <v>9.0</v>
      </c>
      <c r="AD6" s="27">
        <v>3.0</v>
      </c>
      <c r="AE6" s="27">
        <v>0.0</v>
      </c>
      <c r="AF6" s="27">
        <v>1.0</v>
      </c>
      <c r="AG6" s="27">
        <v>10.0</v>
      </c>
      <c r="AH6" s="27">
        <v>11.0</v>
      </c>
      <c r="AI6" s="27">
        <v>-1.0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103</v>
      </c>
      <c r="D7" s="12" t="s">
        <v>182</v>
      </c>
      <c r="E7" s="40" t="s">
        <v>61</v>
      </c>
      <c r="F7" s="14">
        <v>3.0</v>
      </c>
      <c r="G7" s="76" t="s">
        <v>24</v>
      </c>
      <c r="H7" s="109">
        <v>7.0</v>
      </c>
      <c r="I7" s="40" t="s">
        <v>156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6" t="s">
        <v>59</v>
      </c>
      <c r="P7" s="110">
        <f t="shared" si="3"/>
        <v>9</v>
      </c>
      <c r="Q7" s="110">
        <f t="shared" si="4"/>
        <v>3</v>
      </c>
      <c r="R7" s="110">
        <f t="shared" si="5"/>
        <v>0</v>
      </c>
      <c r="S7" s="111">
        <f t="shared" si="6"/>
        <v>1</v>
      </c>
      <c r="T7" s="110">
        <f t="shared" si="7"/>
        <v>10</v>
      </c>
      <c r="U7" s="111">
        <f t="shared" si="8"/>
        <v>11</v>
      </c>
      <c r="V7" s="110">
        <f t="shared" si="9"/>
        <v>-1</v>
      </c>
      <c r="W7" s="2"/>
      <c r="X7" s="2"/>
      <c r="Y7" s="2"/>
      <c r="Z7" s="2"/>
      <c r="AA7" s="21" t="s">
        <v>44</v>
      </c>
      <c r="AB7" s="27" t="s">
        <v>156</v>
      </c>
      <c r="AC7" s="27">
        <v>7.0</v>
      </c>
      <c r="AD7" s="27">
        <v>2.0</v>
      </c>
      <c r="AE7" s="27">
        <v>1.0</v>
      </c>
      <c r="AF7" s="27">
        <v>1.0</v>
      </c>
      <c r="AG7" s="27">
        <v>14.0</v>
      </c>
      <c r="AH7" s="27">
        <v>9.0</v>
      </c>
      <c r="AI7" s="27">
        <v>5.0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103</v>
      </c>
      <c r="D8" s="12" t="s">
        <v>182</v>
      </c>
      <c r="E8" s="40" t="s">
        <v>111</v>
      </c>
      <c r="F8" s="15">
        <v>1.0</v>
      </c>
      <c r="G8" s="76" t="s">
        <v>24</v>
      </c>
      <c r="H8" s="14">
        <v>2.0</v>
      </c>
      <c r="I8" s="40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6" t="s">
        <v>25</v>
      </c>
      <c r="P8" s="110">
        <f t="shared" si="3"/>
        <v>10</v>
      </c>
      <c r="Q8" s="110">
        <f t="shared" si="4"/>
        <v>3</v>
      </c>
      <c r="R8" s="110">
        <f t="shared" si="5"/>
        <v>1</v>
      </c>
      <c r="S8" s="111">
        <f t="shared" si="6"/>
        <v>0</v>
      </c>
      <c r="T8" s="110">
        <f t="shared" si="7"/>
        <v>10</v>
      </c>
      <c r="U8" s="111">
        <f t="shared" si="8"/>
        <v>5</v>
      </c>
      <c r="V8" s="110">
        <f t="shared" si="9"/>
        <v>5</v>
      </c>
      <c r="W8" s="2"/>
      <c r="X8" s="2"/>
      <c r="Y8" s="2"/>
      <c r="Z8" s="2"/>
      <c r="AA8" s="21" t="s">
        <v>47</v>
      </c>
      <c r="AB8" s="27" t="s">
        <v>38</v>
      </c>
      <c r="AC8" s="27">
        <v>7.0</v>
      </c>
      <c r="AD8" s="27">
        <v>2.0</v>
      </c>
      <c r="AE8" s="27">
        <v>1.0</v>
      </c>
      <c r="AF8" s="27">
        <v>1.0</v>
      </c>
      <c r="AG8" s="27">
        <v>9.0</v>
      </c>
      <c r="AH8" s="27">
        <v>6.0</v>
      </c>
      <c r="AI8" s="27">
        <v>3.0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39">
        <v>45971.0</v>
      </c>
      <c r="C9" s="12" t="s">
        <v>95</v>
      </c>
      <c r="D9" s="12" t="s">
        <v>182</v>
      </c>
      <c r="E9" s="40" t="s">
        <v>54</v>
      </c>
      <c r="F9" s="15">
        <v>0.0</v>
      </c>
      <c r="G9" s="76" t="s">
        <v>24</v>
      </c>
      <c r="H9" s="109">
        <v>1.0</v>
      </c>
      <c r="I9" s="40" t="s">
        <v>111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96" t="s">
        <v>38</v>
      </c>
      <c r="P9" s="110">
        <f t="shared" si="3"/>
        <v>7</v>
      </c>
      <c r="Q9" s="110">
        <f t="shared" si="4"/>
        <v>2</v>
      </c>
      <c r="R9" s="110">
        <f t="shared" si="5"/>
        <v>1</v>
      </c>
      <c r="S9" s="111">
        <f t="shared" si="6"/>
        <v>1</v>
      </c>
      <c r="T9" s="110">
        <f t="shared" si="7"/>
        <v>9</v>
      </c>
      <c r="U9" s="111">
        <f t="shared" si="8"/>
        <v>6</v>
      </c>
      <c r="V9" s="110">
        <f t="shared" si="9"/>
        <v>3</v>
      </c>
      <c r="W9" s="2"/>
      <c r="X9" s="2"/>
      <c r="Y9" s="2"/>
      <c r="Z9" s="2"/>
      <c r="AA9" s="21">
        <v>7.0</v>
      </c>
      <c r="AB9" s="27" t="s">
        <v>33</v>
      </c>
      <c r="AC9" s="27">
        <v>6.0</v>
      </c>
      <c r="AD9" s="27">
        <v>2.0</v>
      </c>
      <c r="AE9" s="27">
        <v>0.0</v>
      </c>
      <c r="AF9" s="27">
        <v>2.0</v>
      </c>
      <c r="AG9" s="27">
        <v>10.0</v>
      </c>
      <c r="AH9" s="27">
        <v>6.0</v>
      </c>
      <c r="AI9" s="27">
        <v>4.0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39">
        <v>45994.0</v>
      </c>
      <c r="C10" s="12" t="s">
        <v>152</v>
      </c>
      <c r="D10" s="12" t="s">
        <v>182</v>
      </c>
      <c r="E10" s="40" t="s">
        <v>59</v>
      </c>
      <c r="F10" s="15">
        <v>1.0</v>
      </c>
      <c r="G10" s="76" t="s">
        <v>24</v>
      </c>
      <c r="H10" s="109">
        <v>8.0</v>
      </c>
      <c r="I10" s="40" t="s">
        <v>114</v>
      </c>
      <c r="J10" s="4"/>
      <c r="K10" s="4">
        <f t="shared" si="1"/>
        <v>0</v>
      </c>
      <c r="L10" s="17">
        <f t="shared" si="2"/>
        <v>3</v>
      </c>
      <c r="M10" s="4"/>
      <c r="N10" s="17">
        <v>8.0</v>
      </c>
      <c r="O10" s="96" t="s">
        <v>23</v>
      </c>
      <c r="P10" s="110">
        <f t="shared" si="3"/>
        <v>10</v>
      </c>
      <c r="Q10" s="110">
        <f t="shared" si="4"/>
        <v>3</v>
      </c>
      <c r="R10" s="110">
        <f t="shared" si="5"/>
        <v>1</v>
      </c>
      <c r="S10" s="111">
        <f t="shared" si="6"/>
        <v>0</v>
      </c>
      <c r="T10" s="110">
        <f t="shared" si="7"/>
        <v>10</v>
      </c>
      <c r="U10" s="111">
        <f t="shared" si="8"/>
        <v>4</v>
      </c>
      <c r="V10" s="110">
        <f t="shared" si="9"/>
        <v>6</v>
      </c>
      <c r="W10" s="2"/>
      <c r="X10" s="2"/>
      <c r="Y10" s="2"/>
      <c r="Z10" s="2"/>
      <c r="AA10" s="21">
        <v>8.0</v>
      </c>
      <c r="AB10" s="27" t="s">
        <v>111</v>
      </c>
      <c r="AC10" s="27">
        <v>6.0</v>
      </c>
      <c r="AD10" s="27">
        <v>2.0</v>
      </c>
      <c r="AE10" s="27">
        <v>0.0</v>
      </c>
      <c r="AF10" s="27">
        <v>2.0</v>
      </c>
      <c r="AG10" s="27">
        <v>8.0</v>
      </c>
      <c r="AH10" s="27">
        <v>7.0</v>
      </c>
      <c r="AI10" s="27">
        <v>1.0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39">
        <v>45964.0</v>
      </c>
      <c r="C11" s="12" t="s">
        <v>183</v>
      </c>
      <c r="D11" s="12" t="s">
        <v>182</v>
      </c>
      <c r="E11" s="40" t="s">
        <v>38</v>
      </c>
      <c r="F11" s="15">
        <v>3.0</v>
      </c>
      <c r="G11" s="76" t="s">
        <v>24</v>
      </c>
      <c r="H11" s="109">
        <v>1.0</v>
      </c>
      <c r="I11" s="40" t="s">
        <v>41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6" t="s">
        <v>37</v>
      </c>
      <c r="P11" s="110">
        <f t="shared" si="3"/>
        <v>3</v>
      </c>
      <c r="Q11" s="110">
        <f t="shared" si="4"/>
        <v>1</v>
      </c>
      <c r="R11" s="110">
        <f t="shared" si="5"/>
        <v>0</v>
      </c>
      <c r="S11" s="111">
        <f t="shared" si="6"/>
        <v>3</v>
      </c>
      <c r="T11" s="110">
        <f t="shared" si="7"/>
        <v>8</v>
      </c>
      <c r="U11" s="111">
        <f t="shared" si="8"/>
        <v>8</v>
      </c>
      <c r="V11" s="110">
        <f t="shared" si="9"/>
        <v>0</v>
      </c>
      <c r="W11" s="2"/>
      <c r="X11" s="2"/>
      <c r="Y11" s="2"/>
      <c r="Z11" s="2"/>
      <c r="AA11" s="100" t="s">
        <v>102</v>
      </c>
      <c r="AB11" s="27" t="s">
        <v>37</v>
      </c>
      <c r="AC11" s="27">
        <v>3.0</v>
      </c>
      <c r="AD11" s="27">
        <v>1.0</v>
      </c>
      <c r="AE11" s="27">
        <v>0.0</v>
      </c>
      <c r="AF11" s="27">
        <v>3.0</v>
      </c>
      <c r="AG11" s="27">
        <v>8.0</v>
      </c>
      <c r="AH11" s="27">
        <v>8.0</v>
      </c>
      <c r="AI11" s="27">
        <v>0.0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45964.0</v>
      </c>
      <c r="C12" s="59" t="s">
        <v>184</v>
      </c>
      <c r="D12" s="12" t="s">
        <v>182</v>
      </c>
      <c r="E12" s="40" t="s">
        <v>37</v>
      </c>
      <c r="F12" s="14">
        <v>0.0</v>
      </c>
      <c r="G12" s="76" t="s">
        <v>24</v>
      </c>
      <c r="H12" s="109">
        <v>4.0</v>
      </c>
      <c r="I12" s="40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96" t="s">
        <v>41</v>
      </c>
      <c r="P12" s="110">
        <f t="shared" si="3"/>
        <v>3</v>
      </c>
      <c r="Q12" s="110">
        <f t="shared" si="4"/>
        <v>1</v>
      </c>
      <c r="R12" s="110">
        <f t="shared" si="5"/>
        <v>0</v>
      </c>
      <c r="S12" s="111">
        <f t="shared" si="6"/>
        <v>3</v>
      </c>
      <c r="T12" s="110">
        <f t="shared" si="7"/>
        <v>4</v>
      </c>
      <c r="U12" s="111">
        <f t="shared" si="8"/>
        <v>8</v>
      </c>
      <c r="V12" s="110">
        <f t="shared" si="9"/>
        <v>-4</v>
      </c>
      <c r="W12" s="2"/>
      <c r="X12" s="2"/>
      <c r="Y12" s="2"/>
      <c r="Z12" s="2"/>
      <c r="AA12" s="70">
        <v>10.0</v>
      </c>
      <c r="AB12" s="27" t="s">
        <v>41</v>
      </c>
      <c r="AC12" s="27">
        <v>3.0</v>
      </c>
      <c r="AD12" s="27">
        <v>1.0</v>
      </c>
      <c r="AE12" s="27">
        <v>0.0</v>
      </c>
      <c r="AF12" s="27">
        <v>3.0</v>
      </c>
      <c r="AG12" s="27">
        <v>4.0</v>
      </c>
      <c r="AH12" s="27">
        <v>8.0</v>
      </c>
      <c r="AI12" s="27">
        <v>-4.0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185</v>
      </c>
      <c r="D13" s="12" t="s">
        <v>182</v>
      </c>
      <c r="E13" s="40" t="s">
        <v>156</v>
      </c>
      <c r="F13" s="14">
        <v>2.0</v>
      </c>
      <c r="G13" s="76" t="s">
        <v>24</v>
      </c>
      <c r="H13" s="109">
        <v>2.0</v>
      </c>
      <c r="I13" s="40" t="s">
        <v>25</v>
      </c>
      <c r="J13" s="4"/>
      <c r="K13" s="4">
        <f t="shared" si="1"/>
        <v>1</v>
      </c>
      <c r="L13" s="17">
        <f t="shared" si="2"/>
        <v>1</v>
      </c>
      <c r="M13" s="4"/>
      <c r="N13" s="4">
        <v>11.0</v>
      </c>
      <c r="O13" s="96" t="s">
        <v>156</v>
      </c>
      <c r="P13" s="110">
        <f t="shared" si="3"/>
        <v>7</v>
      </c>
      <c r="Q13" s="110">
        <f t="shared" si="4"/>
        <v>2</v>
      </c>
      <c r="R13" s="110">
        <f t="shared" si="5"/>
        <v>1</v>
      </c>
      <c r="S13" s="111">
        <f t="shared" si="6"/>
        <v>1</v>
      </c>
      <c r="T13" s="110">
        <f t="shared" si="7"/>
        <v>14</v>
      </c>
      <c r="U13" s="111">
        <f t="shared" si="8"/>
        <v>9</v>
      </c>
      <c r="V13" s="110">
        <f t="shared" si="9"/>
        <v>5</v>
      </c>
      <c r="W13" s="2"/>
      <c r="X13" s="2"/>
      <c r="Y13" s="2"/>
      <c r="Z13" s="2"/>
      <c r="AA13" s="70">
        <v>11.0</v>
      </c>
      <c r="AB13" s="27" t="s">
        <v>54</v>
      </c>
      <c r="AC13" s="27">
        <v>0.0</v>
      </c>
      <c r="AD13" s="27">
        <v>0.0</v>
      </c>
      <c r="AE13" s="27">
        <v>0.0</v>
      </c>
      <c r="AF13" s="27">
        <v>4.0</v>
      </c>
      <c r="AG13" s="27">
        <v>4.0</v>
      </c>
      <c r="AH13" s="27">
        <v>11.0</v>
      </c>
      <c r="AI13" s="27">
        <v>-7.0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1">
        <v>45994.0</v>
      </c>
      <c r="C14" s="12" t="s">
        <v>145</v>
      </c>
      <c r="D14" s="12" t="s">
        <v>182</v>
      </c>
      <c r="E14" s="40" t="s">
        <v>33</v>
      </c>
      <c r="F14" s="14">
        <v>6.0</v>
      </c>
      <c r="G14" s="76" t="s">
        <v>24</v>
      </c>
      <c r="H14" s="109">
        <v>1.0</v>
      </c>
      <c r="I14" s="40" t="s">
        <v>61</v>
      </c>
      <c r="J14" s="4"/>
      <c r="K14" s="4">
        <f t="shared" si="1"/>
        <v>3</v>
      </c>
      <c r="L14" s="17">
        <f t="shared" si="2"/>
        <v>0</v>
      </c>
      <c r="M14" s="4"/>
      <c r="N14" s="4">
        <v>12.0</v>
      </c>
      <c r="O14" s="96" t="s">
        <v>111</v>
      </c>
      <c r="P14" s="110">
        <f t="shared" si="3"/>
        <v>6</v>
      </c>
      <c r="Q14" s="110">
        <f t="shared" si="4"/>
        <v>2</v>
      </c>
      <c r="R14" s="110">
        <f t="shared" si="5"/>
        <v>0</v>
      </c>
      <c r="S14" s="111">
        <f t="shared" si="6"/>
        <v>2</v>
      </c>
      <c r="T14" s="110">
        <f t="shared" si="7"/>
        <v>8</v>
      </c>
      <c r="U14" s="111">
        <f t="shared" si="8"/>
        <v>7</v>
      </c>
      <c r="V14" s="110">
        <f t="shared" si="9"/>
        <v>1</v>
      </c>
      <c r="W14" s="2"/>
      <c r="X14" s="2"/>
      <c r="Y14" s="2"/>
      <c r="Z14" s="2"/>
      <c r="AA14" s="70">
        <v>12.0</v>
      </c>
      <c r="AB14" s="27" t="s">
        <v>61</v>
      </c>
      <c r="AC14" s="27">
        <v>0.0</v>
      </c>
      <c r="AD14" s="27">
        <v>0.0</v>
      </c>
      <c r="AE14" s="27">
        <v>0.0</v>
      </c>
      <c r="AF14" s="27">
        <v>4.0</v>
      </c>
      <c r="AG14" s="27">
        <v>6.0</v>
      </c>
      <c r="AH14" s="27">
        <v>22.0</v>
      </c>
      <c r="AI14" s="27">
        <v>-16.0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99</v>
      </c>
      <c r="D15" s="12" t="s">
        <v>182</v>
      </c>
      <c r="E15" s="40" t="s">
        <v>54</v>
      </c>
      <c r="F15" s="14">
        <v>1.0</v>
      </c>
      <c r="G15" s="76" t="s">
        <v>24</v>
      </c>
      <c r="H15" s="109">
        <v>3.0</v>
      </c>
      <c r="I15" s="40" t="s">
        <v>59</v>
      </c>
      <c r="J15" s="4"/>
      <c r="K15" s="4">
        <f t="shared" si="1"/>
        <v>0</v>
      </c>
      <c r="L15" s="17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186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11">
        <v>45985.0</v>
      </c>
      <c r="C16" s="12" t="s">
        <v>99</v>
      </c>
      <c r="D16" s="12" t="s">
        <v>182</v>
      </c>
      <c r="E16" s="40" t="s">
        <v>114</v>
      </c>
      <c r="F16" s="14">
        <v>1.0</v>
      </c>
      <c r="G16" s="76" t="s">
        <v>24</v>
      </c>
      <c r="H16" s="109">
        <v>0.0</v>
      </c>
      <c r="I16" s="40" t="s">
        <v>38</v>
      </c>
      <c r="J16" s="4"/>
      <c r="K16" s="4">
        <f t="shared" si="1"/>
        <v>3</v>
      </c>
      <c r="L16" s="17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108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11">
        <v>45985.0</v>
      </c>
      <c r="C17" s="12" t="s">
        <v>95</v>
      </c>
      <c r="D17" s="12" t="s">
        <v>182</v>
      </c>
      <c r="E17" s="40" t="s">
        <v>41</v>
      </c>
      <c r="F17" s="14">
        <v>1.0</v>
      </c>
      <c r="G17" s="76" t="s">
        <v>24</v>
      </c>
      <c r="H17" s="109">
        <v>0.0</v>
      </c>
      <c r="I17" s="40" t="s">
        <v>37</v>
      </c>
      <c r="J17" s="4"/>
      <c r="K17" s="4">
        <f t="shared" si="1"/>
        <v>3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11">
        <v>45986.0</v>
      </c>
      <c r="C18" s="12" t="s">
        <v>183</v>
      </c>
      <c r="D18" s="12" t="s">
        <v>182</v>
      </c>
      <c r="E18" s="40" t="s">
        <v>23</v>
      </c>
      <c r="F18" s="14">
        <v>3.0</v>
      </c>
      <c r="G18" s="76" t="s">
        <v>24</v>
      </c>
      <c r="H18" s="109">
        <v>2.0</v>
      </c>
      <c r="I18" s="40" t="s">
        <v>156</v>
      </c>
      <c r="J18" s="37"/>
      <c r="K18" s="4">
        <f t="shared" si="1"/>
        <v>3</v>
      </c>
      <c r="L18" s="17">
        <f t="shared" si="2"/>
        <v>0</v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39">
        <v>45986.0</v>
      </c>
      <c r="C19" s="59" t="s">
        <v>184</v>
      </c>
      <c r="D19" s="12" t="s">
        <v>182</v>
      </c>
      <c r="E19" s="40" t="s">
        <v>25</v>
      </c>
      <c r="F19" s="14">
        <v>2.0</v>
      </c>
      <c r="G19" s="76" t="s">
        <v>24</v>
      </c>
      <c r="H19" s="109">
        <v>1.0</v>
      </c>
      <c r="I19" s="40" t="s">
        <v>33</v>
      </c>
      <c r="J19" s="4"/>
      <c r="K19" s="4">
        <f t="shared" si="1"/>
        <v>3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39">
        <v>45986.0</v>
      </c>
      <c r="C20" s="12" t="s">
        <v>185</v>
      </c>
      <c r="D20" s="12" t="s">
        <v>182</v>
      </c>
      <c r="E20" s="40" t="s">
        <v>111</v>
      </c>
      <c r="F20" s="14">
        <v>5.0</v>
      </c>
      <c r="G20" s="76" t="s">
        <v>24</v>
      </c>
      <c r="H20" s="109">
        <v>1.0</v>
      </c>
      <c r="I20" s="40" t="s">
        <v>61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4">
        <v>46000.0</v>
      </c>
      <c r="C21" s="12" t="s">
        <v>95</v>
      </c>
      <c r="D21" s="12" t="s">
        <v>182</v>
      </c>
      <c r="E21" s="40" t="s">
        <v>59</v>
      </c>
      <c r="F21" s="14">
        <v>4.0</v>
      </c>
      <c r="G21" s="76" t="s">
        <v>24</v>
      </c>
      <c r="H21" s="109">
        <v>1.0</v>
      </c>
      <c r="I21" s="40" t="s">
        <v>111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39"/>
      <c r="C22" s="12"/>
      <c r="D22" s="12" t="s">
        <v>182</v>
      </c>
      <c r="E22" s="40" t="s">
        <v>38</v>
      </c>
      <c r="F22" s="14">
        <v>5.0</v>
      </c>
      <c r="G22" s="76" t="s">
        <v>24</v>
      </c>
      <c r="H22" s="109">
        <v>3.0</v>
      </c>
      <c r="I22" s="40" t="s">
        <v>54</v>
      </c>
      <c r="J22" s="4"/>
      <c r="K22" s="4">
        <f t="shared" si="1"/>
        <v>3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39"/>
      <c r="C23" s="12"/>
      <c r="D23" s="12" t="s">
        <v>182</v>
      </c>
      <c r="E23" s="40" t="s">
        <v>37</v>
      </c>
      <c r="F23" s="14">
        <v>7.0</v>
      </c>
      <c r="G23" s="76" t="s">
        <v>24</v>
      </c>
      <c r="H23" s="109">
        <v>1.0</v>
      </c>
      <c r="I23" s="40" t="s">
        <v>114</v>
      </c>
      <c r="J23" s="4"/>
      <c r="K23" s="4">
        <f t="shared" si="1"/>
        <v>3</v>
      </c>
      <c r="L23" s="17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114">
        <v>46000.0</v>
      </c>
      <c r="C24" s="59" t="s">
        <v>103</v>
      </c>
      <c r="D24" s="12" t="s">
        <v>182</v>
      </c>
      <c r="E24" s="40" t="s">
        <v>156</v>
      </c>
      <c r="F24" s="14">
        <v>3.0</v>
      </c>
      <c r="G24" s="76" t="s">
        <v>24</v>
      </c>
      <c r="H24" s="109">
        <v>1.0</v>
      </c>
      <c r="I24" s="40" t="s">
        <v>41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1"/>
      <c r="C25" s="12"/>
      <c r="D25" s="12" t="s">
        <v>182</v>
      </c>
      <c r="E25" s="40" t="s">
        <v>33</v>
      </c>
      <c r="F25" s="14">
        <v>1.0</v>
      </c>
      <c r="G25" s="76" t="s">
        <v>24</v>
      </c>
      <c r="H25" s="109">
        <v>2.0</v>
      </c>
      <c r="I25" s="40" t="s">
        <v>23</v>
      </c>
      <c r="J25" s="4"/>
      <c r="K25" s="4">
        <f t="shared" si="1"/>
        <v>0</v>
      </c>
      <c r="L25" s="17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114">
        <v>46000.0</v>
      </c>
      <c r="C26" s="12" t="s">
        <v>99</v>
      </c>
      <c r="D26" s="12" t="s">
        <v>182</v>
      </c>
      <c r="E26" s="40" t="s">
        <v>61</v>
      </c>
      <c r="F26" s="14">
        <v>1.0</v>
      </c>
      <c r="G26" s="76" t="s">
        <v>24</v>
      </c>
      <c r="H26" s="109">
        <v>4.0</v>
      </c>
      <c r="I26" s="40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9"/>
      <c r="C27" s="30"/>
      <c r="D27" s="115"/>
      <c r="E27" s="40" t="s">
        <v>59</v>
      </c>
      <c r="F27" s="76"/>
      <c r="G27" s="76" t="s">
        <v>24</v>
      </c>
      <c r="H27" s="116"/>
      <c r="I27" s="40" t="s">
        <v>38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49"/>
      <c r="C28" s="16"/>
      <c r="D28" s="115"/>
      <c r="E28" s="40" t="s">
        <v>54</v>
      </c>
      <c r="F28" s="76"/>
      <c r="G28" s="76" t="s">
        <v>24</v>
      </c>
      <c r="H28" s="116"/>
      <c r="I28" s="40" t="s">
        <v>37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49"/>
      <c r="C29" s="30"/>
      <c r="D29" s="115"/>
      <c r="E29" s="40" t="s">
        <v>114</v>
      </c>
      <c r="F29" s="76"/>
      <c r="G29" s="76" t="s">
        <v>24</v>
      </c>
      <c r="H29" s="116"/>
      <c r="I29" s="40" t="s">
        <v>156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49"/>
      <c r="C30" s="30"/>
      <c r="D30" s="115"/>
      <c r="E30" s="40" t="s">
        <v>41</v>
      </c>
      <c r="F30" s="76"/>
      <c r="G30" s="76" t="s">
        <v>24</v>
      </c>
      <c r="H30" s="116"/>
      <c r="I30" s="40" t="s">
        <v>33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49"/>
      <c r="C31" s="16"/>
      <c r="D31" s="115"/>
      <c r="E31" s="40" t="s">
        <v>23</v>
      </c>
      <c r="F31" s="76"/>
      <c r="G31" s="76" t="s">
        <v>24</v>
      </c>
      <c r="H31" s="116"/>
      <c r="I31" s="40" t="s">
        <v>61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9"/>
      <c r="C32" s="30"/>
      <c r="D32" s="115"/>
      <c r="E32" s="40" t="s">
        <v>111</v>
      </c>
      <c r="F32" s="76"/>
      <c r="G32" s="76" t="s">
        <v>24</v>
      </c>
      <c r="H32" s="116"/>
      <c r="I32" s="40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9"/>
      <c r="C33" s="30"/>
      <c r="D33" s="30"/>
      <c r="E33" s="40" t="s">
        <v>38</v>
      </c>
      <c r="F33" s="76"/>
      <c r="G33" s="76" t="s">
        <v>24</v>
      </c>
      <c r="H33" s="116"/>
      <c r="I33" s="40" t="s">
        <v>111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49"/>
      <c r="C34" s="30"/>
      <c r="D34" s="30"/>
      <c r="E34" s="40" t="s">
        <v>37</v>
      </c>
      <c r="F34" s="76"/>
      <c r="G34" s="76" t="s">
        <v>24</v>
      </c>
      <c r="H34" s="116"/>
      <c r="I34" s="40" t="s">
        <v>59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49"/>
      <c r="C35" s="30"/>
      <c r="D35" s="30"/>
      <c r="E35" s="40" t="s">
        <v>156</v>
      </c>
      <c r="F35" s="76"/>
      <c r="G35" s="76" t="s">
        <v>24</v>
      </c>
      <c r="H35" s="116"/>
      <c r="I35" s="40" t="s">
        <v>54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49"/>
      <c r="C36" s="16"/>
      <c r="D36" s="30"/>
      <c r="E36" s="40" t="s">
        <v>33</v>
      </c>
      <c r="F36" s="76"/>
      <c r="G36" s="76" t="s">
        <v>24</v>
      </c>
      <c r="H36" s="116"/>
      <c r="I36" s="40" t="s">
        <v>114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49"/>
      <c r="C37" s="30"/>
      <c r="D37" s="30"/>
      <c r="E37" s="40" t="s">
        <v>61</v>
      </c>
      <c r="F37" s="76"/>
      <c r="G37" s="76" t="s">
        <v>24</v>
      </c>
      <c r="H37" s="116"/>
      <c r="I37" s="40" t="s">
        <v>41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9"/>
      <c r="C38" s="30"/>
      <c r="D38" s="30"/>
      <c r="E38" s="40" t="s">
        <v>25</v>
      </c>
      <c r="F38" s="76"/>
      <c r="G38" s="76" t="s">
        <v>24</v>
      </c>
      <c r="H38" s="116"/>
      <c r="I38" s="40" t="s">
        <v>23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9"/>
      <c r="C39" s="30"/>
      <c r="D39" s="115"/>
      <c r="E39" s="40" t="s">
        <v>38</v>
      </c>
      <c r="F39" s="76"/>
      <c r="G39" s="76" t="s">
        <v>24</v>
      </c>
      <c r="H39" s="116"/>
      <c r="I39" s="40" t="s">
        <v>37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49"/>
      <c r="C40" s="30"/>
      <c r="D40" s="115"/>
      <c r="E40" s="40" t="s">
        <v>59</v>
      </c>
      <c r="F40" s="76"/>
      <c r="G40" s="76" t="s">
        <v>24</v>
      </c>
      <c r="H40" s="116"/>
      <c r="I40" s="40" t="s">
        <v>156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49"/>
      <c r="C41" s="30"/>
      <c r="D41" s="115"/>
      <c r="E41" s="40" t="s">
        <v>54</v>
      </c>
      <c r="F41" s="76"/>
      <c r="G41" s="76" t="s">
        <v>24</v>
      </c>
      <c r="H41" s="116"/>
      <c r="I41" s="40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49"/>
      <c r="C42" s="16"/>
      <c r="D42" s="115"/>
      <c r="E42" s="40" t="s">
        <v>114</v>
      </c>
      <c r="F42" s="76"/>
      <c r="G42" s="76" t="s">
        <v>24</v>
      </c>
      <c r="H42" s="116"/>
      <c r="I42" s="40" t="s">
        <v>61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49"/>
      <c r="C43" s="30"/>
      <c r="D43" s="115"/>
      <c r="E43" s="40" t="s">
        <v>41</v>
      </c>
      <c r="F43" s="76"/>
      <c r="G43" s="76" t="s">
        <v>24</v>
      </c>
      <c r="H43" s="116"/>
      <c r="I43" s="40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49"/>
      <c r="C44" s="30"/>
      <c r="D44" s="115"/>
      <c r="E44" s="40" t="s">
        <v>111</v>
      </c>
      <c r="F44" s="76"/>
      <c r="G44" s="76" t="s">
        <v>24</v>
      </c>
      <c r="H44" s="116"/>
      <c r="I44" s="40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9"/>
      <c r="C45" s="30"/>
      <c r="D45" s="30"/>
      <c r="E45" s="40" t="s">
        <v>37</v>
      </c>
      <c r="F45" s="76"/>
      <c r="G45" s="76" t="s">
        <v>24</v>
      </c>
      <c r="H45" s="116"/>
      <c r="I45" s="40" t="s">
        <v>111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49"/>
      <c r="C46" s="30"/>
      <c r="D46" s="30"/>
      <c r="E46" s="40" t="s">
        <v>156</v>
      </c>
      <c r="F46" s="76"/>
      <c r="G46" s="76" t="s">
        <v>24</v>
      </c>
      <c r="H46" s="116"/>
      <c r="I46" s="40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49"/>
      <c r="C47" s="30"/>
      <c r="D47" s="30"/>
      <c r="E47" s="40" t="s">
        <v>33</v>
      </c>
      <c r="F47" s="76"/>
      <c r="G47" s="76" t="s">
        <v>24</v>
      </c>
      <c r="H47" s="116"/>
      <c r="I47" s="40" t="s">
        <v>59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49"/>
      <c r="C48" s="30"/>
      <c r="D48" s="30"/>
      <c r="E48" s="40" t="s">
        <v>61</v>
      </c>
      <c r="F48" s="76"/>
      <c r="G48" s="76" t="s">
        <v>24</v>
      </c>
      <c r="H48" s="116"/>
      <c r="I48" s="40" t="s">
        <v>54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49"/>
      <c r="C49" s="30"/>
      <c r="D49" s="30"/>
      <c r="E49" s="40" t="s">
        <v>25</v>
      </c>
      <c r="F49" s="76"/>
      <c r="G49" s="76" t="s">
        <v>24</v>
      </c>
      <c r="H49" s="116"/>
      <c r="I49" s="40" t="s">
        <v>114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9"/>
      <c r="C50" s="30"/>
      <c r="D50" s="30"/>
      <c r="E50" s="40" t="s">
        <v>23</v>
      </c>
      <c r="F50" s="76"/>
      <c r="G50" s="76" t="s">
        <v>24</v>
      </c>
      <c r="H50" s="116"/>
      <c r="I50" s="40" t="s">
        <v>41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9"/>
      <c r="C51" s="16"/>
      <c r="D51" s="115"/>
      <c r="E51" s="40" t="s">
        <v>37</v>
      </c>
      <c r="F51" s="76"/>
      <c r="G51" s="76" t="s">
        <v>24</v>
      </c>
      <c r="H51" s="116"/>
      <c r="I51" s="40" t="s">
        <v>156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49"/>
      <c r="C52" s="16"/>
      <c r="D52" s="115"/>
      <c r="E52" s="40" t="s">
        <v>38</v>
      </c>
      <c r="F52" s="76"/>
      <c r="G52" s="76" t="s">
        <v>24</v>
      </c>
      <c r="H52" s="116"/>
      <c r="I52" s="40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49"/>
      <c r="C53" s="30"/>
      <c r="D53" s="115"/>
      <c r="E53" s="40" t="s">
        <v>59</v>
      </c>
      <c r="F53" s="76"/>
      <c r="G53" s="76" t="s">
        <v>24</v>
      </c>
      <c r="H53" s="116"/>
      <c r="I53" s="40" t="s">
        <v>61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49"/>
      <c r="C54" s="30"/>
      <c r="D54" s="115"/>
      <c r="E54" s="40" t="s">
        <v>54</v>
      </c>
      <c r="F54" s="76"/>
      <c r="G54" s="76" t="s">
        <v>24</v>
      </c>
      <c r="H54" s="116"/>
      <c r="I54" s="40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49"/>
      <c r="C55" s="30"/>
      <c r="D55" s="115"/>
      <c r="E55" s="40" t="s">
        <v>114</v>
      </c>
      <c r="F55" s="76"/>
      <c r="G55" s="76" t="s">
        <v>24</v>
      </c>
      <c r="H55" s="116"/>
      <c r="I55" s="40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9"/>
      <c r="C56" s="16"/>
      <c r="D56" s="115"/>
      <c r="E56" s="40" t="s">
        <v>111</v>
      </c>
      <c r="F56" s="76"/>
      <c r="G56" s="76" t="s">
        <v>24</v>
      </c>
      <c r="H56" s="116"/>
      <c r="I56" s="40" t="s">
        <v>41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9"/>
      <c r="C57" s="30"/>
      <c r="D57" s="115"/>
      <c r="E57" s="40" t="s">
        <v>111</v>
      </c>
      <c r="F57" s="30"/>
      <c r="G57" s="76" t="s">
        <v>24</v>
      </c>
      <c r="H57" s="116"/>
      <c r="I57" s="40" t="s">
        <v>156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49"/>
      <c r="C58" s="30"/>
      <c r="D58" s="115"/>
      <c r="E58" s="40" t="s">
        <v>33</v>
      </c>
      <c r="F58" s="16"/>
      <c r="G58" s="76" t="s">
        <v>24</v>
      </c>
      <c r="H58" s="116"/>
      <c r="I58" s="40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49"/>
      <c r="C59" s="30"/>
      <c r="D59" s="115"/>
      <c r="E59" s="40" t="s">
        <v>61</v>
      </c>
      <c r="F59" s="30"/>
      <c r="G59" s="76" t="s">
        <v>24</v>
      </c>
      <c r="H59" s="116"/>
      <c r="I59" s="40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49"/>
      <c r="C60" s="30"/>
      <c r="D60" s="115"/>
      <c r="E60" s="40" t="s">
        <v>25</v>
      </c>
      <c r="F60" s="30"/>
      <c r="G60" s="76" t="s">
        <v>24</v>
      </c>
      <c r="H60" s="116"/>
      <c r="I60" s="40" t="s">
        <v>59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49"/>
      <c r="C61" s="30"/>
      <c r="D61" s="115"/>
      <c r="E61" s="40" t="s">
        <v>23</v>
      </c>
      <c r="F61" s="30"/>
      <c r="G61" s="76" t="s">
        <v>24</v>
      </c>
      <c r="H61" s="116"/>
      <c r="I61" s="40" t="s">
        <v>54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9"/>
      <c r="C62" s="30"/>
      <c r="D62" s="115"/>
      <c r="E62" s="40" t="s">
        <v>41</v>
      </c>
      <c r="F62" s="30"/>
      <c r="G62" s="76" t="s">
        <v>24</v>
      </c>
      <c r="H62" s="116"/>
      <c r="I62" s="40" t="s">
        <v>114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9"/>
      <c r="C63" s="30"/>
      <c r="D63" s="30"/>
      <c r="E63" s="40" t="s">
        <v>156</v>
      </c>
      <c r="F63" s="76"/>
      <c r="G63" s="76" t="s">
        <v>24</v>
      </c>
      <c r="H63" s="116"/>
      <c r="I63" s="40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50"/>
      <c r="C64" s="30"/>
      <c r="D64" s="30"/>
      <c r="E64" s="40" t="s">
        <v>37</v>
      </c>
      <c r="F64" s="76"/>
      <c r="G64" s="76" t="s">
        <v>24</v>
      </c>
      <c r="H64" s="116"/>
      <c r="I64" s="40" t="s">
        <v>61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49"/>
      <c r="C65" s="30"/>
      <c r="D65" s="30"/>
      <c r="E65" s="40" t="s">
        <v>38</v>
      </c>
      <c r="F65" s="76"/>
      <c r="G65" s="76" t="s">
        <v>24</v>
      </c>
      <c r="H65" s="116"/>
      <c r="I65" s="40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49"/>
      <c r="C66" s="30"/>
      <c r="D66" s="30"/>
      <c r="E66" s="40" t="s">
        <v>59</v>
      </c>
      <c r="F66" s="76"/>
      <c r="G66" s="76" t="s">
        <v>24</v>
      </c>
      <c r="H66" s="116"/>
      <c r="I66" s="40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49"/>
      <c r="C67" s="30"/>
      <c r="D67" s="30"/>
      <c r="E67" s="40" t="s">
        <v>54</v>
      </c>
      <c r="F67" s="76"/>
      <c r="G67" s="76" t="s">
        <v>24</v>
      </c>
      <c r="H67" s="116"/>
      <c r="I67" s="40" t="s">
        <v>41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9"/>
      <c r="C68" s="30"/>
      <c r="D68" s="30"/>
      <c r="E68" s="40" t="s">
        <v>114</v>
      </c>
      <c r="F68" s="14"/>
      <c r="G68" s="76" t="s">
        <v>24</v>
      </c>
      <c r="H68" s="109"/>
      <c r="I68" s="40" t="s">
        <v>111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4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187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02">
        <v>45952.0</v>
      </c>
      <c r="C75" s="59" t="s">
        <v>51</v>
      </c>
      <c r="D75" s="59" t="s">
        <v>182</v>
      </c>
      <c r="E75" s="14" t="s">
        <v>57</v>
      </c>
      <c r="F75" s="79">
        <v>1.0</v>
      </c>
      <c r="G75" s="76" t="s">
        <v>24</v>
      </c>
      <c r="H75" s="79">
        <v>5.0</v>
      </c>
      <c r="I75" s="14" t="s">
        <v>188</v>
      </c>
      <c r="J75" s="4"/>
      <c r="K75" s="4">
        <f t="shared" ref="K75:K102" si="10">IF(F75="","",IFS(F75&gt;H75,3,F75=H75,1,H75&gt;F75,0,F75="",0))</f>
        <v>0</v>
      </c>
      <c r="L75" s="17">
        <f t="shared" ref="L75:L102" si="11">IF(H75="","",IFS(F75&lt;H75,3,F75=H75,1,H75&lt;F75,0))</f>
        <v>3</v>
      </c>
      <c r="M75" s="4"/>
      <c r="N75" s="17">
        <v>1.0</v>
      </c>
      <c r="O75" s="46" t="s">
        <v>188</v>
      </c>
      <c r="P75" s="17">
        <f t="shared" ref="P75:P82" si="12">SUMIF(E$75:E$102,O75,K$75:K$102)+SUMIF(I$75:I$102,O75,L$75:L$102)</f>
        <v>4</v>
      </c>
      <c r="Q75" s="17">
        <f t="shared" ref="Q75:Q82" si="13">COUNTIFS(E$75:E$102,O75,K$75:K$102,3)+COUNTIFS(I$75:I$102,O75,L$75:L$102,3)</f>
        <v>1</v>
      </c>
      <c r="R75" s="17">
        <f t="shared" ref="R75:R82" si="14">COUNTIFS(E$75:E$102,O75,K$75:K$102,1)+COUNTIFS(I$75:I$102,O75,L$75:L$102,1)</f>
        <v>1</v>
      </c>
      <c r="S75" s="19">
        <f t="shared" ref="S75:S82" si="15">COUNTIFS(E$75:E$102,O75,K$75:K$102,0)+COUNTIFS(I$75:I$102,O75,L$75:L$102,0)</f>
        <v>1</v>
      </c>
      <c r="T75" s="17">
        <f t="shared" ref="T75:T82" si="16">SUMIF(E$75:E$102,O75,F$75:F$102)+SUMIF(I$75:I$102,O75,H$75:H$102)</f>
        <v>9</v>
      </c>
      <c r="U75" s="19">
        <f t="shared" ref="U75:U82" si="17">SUMIF(E$75:E$102,O75,H$75:H$102)+SUMIF(I$75:I$102,O75,F$75:F$102)</f>
        <v>16</v>
      </c>
      <c r="V75" s="17">
        <f t="shared" ref="V75:V82" si="18">T75-U75</f>
        <v>-7</v>
      </c>
      <c r="W75" s="2"/>
      <c r="X75" s="2"/>
      <c r="Y75" s="2"/>
      <c r="Z75" s="2"/>
      <c r="AA75" s="41" t="s">
        <v>29</v>
      </c>
      <c r="AB75" s="23" t="str">
        <f t="array" ref="AB75:AI82">SORT(O75:V82,2,FALSE,9,FALSE,8,FALSE())</f>
        <v>Eng. Materiais</v>
      </c>
      <c r="AC75" s="22">
        <v>12.0</v>
      </c>
      <c r="AD75" s="22">
        <v>4.0</v>
      </c>
      <c r="AE75" s="22">
        <v>0.0</v>
      </c>
      <c r="AF75" s="22">
        <v>0.0</v>
      </c>
      <c r="AG75" s="22">
        <v>23.0</v>
      </c>
      <c r="AH75" s="23">
        <v>3.0</v>
      </c>
      <c r="AI75" s="22">
        <v>20.0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102">
        <v>45952.0</v>
      </c>
      <c r="C76" s="59" t="s">
        <v>95</v>
      </c>
      <c r="D76" s="59" t="s">
        <v>182</v>
      </c>
      <c r="E76" s="14" t="s">
        <v>32</v>
      </c>
      <c r="F76" s="79">
        <v>5.0</v>
      </c>
      <c r="G76" s="76" t="s">
        <v>24</v>
      </c>
      <c r="H76" s="79">
        <v>1.0</v>
      </c>
      <c r="I76" s="14" t="s">
        <v>45</v>
      </c>
      <c r="J76" s="4"/>
      <c r="K76" s="4">
        <f t="shared" si="10"/>
        <v>3</v>
      </c>
      <c r="L76" s="17">
        <f t="shared" si="11"/>
        <v>0</v>
      </c>
      <c r="M76" s="4"/>
      <c r="N76" s="17">
        <v>2.0</v>
      </c>
      <c r="O76" s="46" t="s">
        <v>57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3</v>
      </c>
      <c r="T76" s="17">
        <f t="shared" si="16"/>
        <v>3</v>
      </c>
      <c r="U76" s="19">
        <f t="shared" si="17"/>
        <v>16</v>
      </c>
      <c r="V76" s="17">
        <f t="shared" si="18"/>
        <v>-13</v>
      </c>
      <c r="W76" s="2"/>
      <c r="X76" s="2"/>
      <c r="Y76" s="2"/>
      <c r="Z76" s="2"/>
      <c r="AA76" s="100" t="s">
        <v>115</v>
      </c>
      <c r="AB76" s="22" t="s">
        <v>96</v>
      </c>
      <c r="AC76" s="22">
        <v>7.0</v>
      </c>
      <c r="AD76" s="22">
        <v>2.0</v>
      </c>
      <c r="AE76" s="22">
        <v>1.0</v>
      </c>
      <c r="AF76" s="22">
        <v>0.0</v>
      </c>
      <c r="AG76" s="22">
        <v>10.0</v>
      </c>
      <c r="AH76" s="23">
        <v>3.0</v>
      </c>
      <c r="AI76" s="22">
        <v>7.0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102">
        <v>45950.0</v>
      </c>
      <c r="C77" s="59" t="s">
        <v>95</v>
      </c>
      <c r="D77" s="59" t="s">
        <v>182</v>
      </c>
      <c r="E77" s="40" t="s">
        <v>40</v>
      </c>
      <c r="F77" s="79">
        <v>1.0</v>
      </c>
      <c r="G77" s="76" t="s">
        <v>24</v>
      </c>
      <c r="H77" s="79">
        <v>4.0</v>
      </c>
      <c r="I77" s="40" t="s">
        <v>96</v>
      </c>
      <c r="J77" s="4"/>
      <c r="K77" s="4">
        <f t="shared" si="10"/>
        <v>0</v>
      </c>
      <c r="L77" s="17">
        <f t="shared" si="11"/>
        <v>3</v>
      </c>
      <c r="M77" s="4"/>
      <c r="N77" s="17">
        <v>3.0</v>
      </c>
      <c r="O77" s="46" t="s">
        <v>123</v>
      </c>
      <c r="P77" s="17">
        <f t="shared" si="12"/>
        <v>6</v>
      </c>
      <c r="Q77" s="17">
        <f t="shared" si="13"/>
        <v>2</v>
      </c>
      <c r="R77" s="17">
        <f t="shared" si="14"/>
        <v>0</v>
      </c>
      <c r="S77" s="19">
        <f t="shared" si="15"/>
        <v>2</v>
      </c>
      <c r="T77" s="17">
        <f t="shared" si="16"/>
        <v>12</v>
      </c>
      <c r="U77" s="19">
        <f t="shared" si="17"/>
        <v>11</v>
      </c>
      <c r="V77" s="17">
        <f t="shared" si="18"/>
        <v>1</v>
      </c>
      <c r="W77" s="2"/>
      <c r="X77" s="2"/>
      <c r="Y77" s="2"/>
      <c r="Z77" s="2"/>
      <c r="AA77" s="21">
        <v>3.0</v>
      </c>
      <c r="AB77" s="22" t="s">
        <v>123</v>
      </c>
      <c r="AC77" s="22">
        <v>6.0</v>
      </c>
      <c r="AD77" s="22">
        <v>2.0</v>
      </c>
      <c r="AE77" s="22">
        <v>0.0</v>
      </c>
      <c r="AF77" s="22">
        <v>2.0</v>
      </c>
      <c r="AG77" s="22">
        <v>12.0</v>
      </c>
      <c r="AH77" s="23">
        <v>11.0</v>
      </c>
      <c r="AI77" s="22">
        <v>1.0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8"/>
      <c r="B78" s="102"/>
      <c r="C78" s="59"/>
      <c r="D78" s="59"/>
      <c r="E78" s="14" t="s">
        <v>121</v>
      </c>
      <c r="F78" s="79"/>
      <c r="G78" s="76"/>
      <c r="H78" s="79"/>
      <c r="I78" s="40" t="s">
        <v>123</v>
      </c>
      <c r="J78" s="4"/>
      <c r="K78" s="4" t="str">
        <f t="shared" si="10"/>
        <v/>
      </c>
      <c r="L78" s="17" t="str">
        <f t="shared" si="11"/>
        <v/>
      </c>
      <c r="M78" s="4"/>
      <c r="N78" s="17">
        <v>4.0</v>
      </c>
      <c r="O78" s="46" t="s">
        <v>32</v>
      </c>
      <c r="P78" s="17">
        <f t="shared" si="12"/>
        <v>12</v>
      </c>
      <c r="Q78" s="17">
        <f t="shared" si="13"/>
        <v>4</v>
      </c>
      <c r="R78" s="17">
        <f t="shared" si="14"/>
        <v>0</v>
      </c>
      <c r="S78" s="19">
        <f t="shared" si="15"/>
        <v>0</v>
      </c>
      <c r="T78" s="17">
        <f t="shared" si="16"/>
        <v>23</v>
      </c>
      <c r="U78" s="19">
        <f t="shared" si="17"/>
        <v>3</v>
      </c>
      <c r="V78" s="17">
        <f t="shared" si="18"/>
        <v>20</v>
      </c>
      <c r="W78" s="2"/>
      <c r="X78" s="2"/>
      <c r="Y78" s="2"/>
      <c r="Z78" s="2"/>
      <c r="AA78" s="21">
        <v>4.0</v>
      </c>
      <c r="AB78" s="22" t="s">
        <v>121</v>
      </c>
      <c r="AC78" s="22">
        <v>4.0</v>
      </c>
      <c r="AD78" s="22">
        <v>1.0</v>
      </c>
      <c r="AE78" s="22">
        <v>1.0</v>
      </c>
      <c r="AF78" s="22">
        <v>0.0</v>
      </c>
      <c r="AG78" s="22">
        <v>8.0</v>
      </c>
      <c r="AH78" s="23">
        <v>1.0</v>
      </c>
      <c r="AI78" s="22">
        <v>7.0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10">
        <v>2.0</v>
      </c>
      <c r="B79" s="102">
        <v>45979.0</v>
      </c>
      <c r="C79" s="12" t="s">
        <v>99</v>
      </c>
      <c r="D79" s="59" t="s">
        <v>182</v>
      </c>
      <c r="E79" s="14" t="s">
        <v>188</v>
      </c>
      <c r="F79" s="79">
        <v>1.0</v>
      </c>
      <c r="G79" s="76"/>
      <c r="H79" s="79">
        <v>12.0</v>
      </c>
      <c r="I79" s="14" t="s">
        <v>32</v>
      </c>
      <c r="J79" s="4"/>
      <c r="K79" s="4">
        <f t="shared" si="10"/>
        <v>0</v>
      </c>
      <c r="L79" s="17">
        <f t="shared" si="11"/>
        <v>3</v>
      </c>
      <c r="M79" s="4"/>
      <c r="N79" s="17">
        <v>5.0</v>
      </c>
      <c r="O79" s="46" t="s">
        <v>40</v>
      </c>
      <c r="P79" s="17">
        <f t="shared" si="12"/>
        <v>4</v>
      </c>
      <c r="Q79" s="17">
        <f t="shared" si="13"/>
        <v>1</v>
      </c>
      <c r="R79" s="17">
        <f t="shared" si="14"/>
        <v>1</v>
      </c>
      <c r="S79" s="19">
        <f t="shared" si="15"/>
        <v>2</v>
      </c>
      <c r="T79" s="17">
        <f t="shared" si="16"/>
        <v>9</v>
      </c>
      <c r="U79" s="19">
        <f t="shared" si="17"/>
        <v>10</v>
      </c>
      <c r="V79" s="17">
        <f t="shared" si="18"/>
        <v>-1</v>
      </c>
      <c r="W79" s="2"/>
      <c r="X79" s="2"/>
      <c r="Y79" s="2"/>
      <c r="Z79" s="2"/>
      <c r="AA79" s="21">
        <v>5.0</v>
      </c>
      <c r="AB79" s="22" t="s">
        <v>40</v>
      </c>
      <c r="AC79" s="22">
        <v>4.0</v>
      </c>
      <c r="AD79" s="22">
        <v>1.0</v>
      </c>
      <c r="AE79" s="22">
        <v>1.0</v>
      </c>
      <c r="AF79" s="22">
        <v>2.0</v>
      </c>
      <c r="AG79" s="22">
        <v>9.0</v>
      </c>
      <c r="AH79" s="23">
        <v>10.0</v>
      </c>
      <c r="AI79" s="22">
        <v>-1.0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24"/>
      <c r="B80" s="102"/>
      <c r="C80" s="12"/>
      <c r="D80" s="59" t="s">
        <v>182</v>
      </c>
      <c r="E80" s="40" t="s">
        <v>123</v>
      </c>
      <c r="F80" s="15">
        <v>7.0</v>
      </c>
      <c r="G80" s="76" t="s">
        <v>24</v>
      </c>
      <c r="H80" s="79">
        <v>2.0</v>
      </c>
      <c r="I80" s="40" t="s">
        <v>57</v>
      </c>
      <c r="J80" s="4"/>
      <c r="K80" s="4">
        <f t="shared" si="10"/>
        <v>3</v>
      </c>
      <c r="L80" s="17">
        <f t="shared" si="11"/>
        <v>0</v>
      </c>
      <c r="M80" s="4"/>
      <c r="N80" s="17">
        <v>6.0</v>
      </c>
      <c r="O80" s="46" t="s">
        <v>121</v>
      </c>
      <c r="P80" s="17">
        <f t="shared" si="12"/>
        <v>4</v>
      </c>
      <c r="Q80" s="17">
        <f t="shared" si="13"/>
        <v>1</v>
      </c>
      <c r="R80" s="17">
        <f t="shared" si="14"/>
        <v>1</v>
      </c>
      <c r="S80" s="19">
        <f t="shared" si="15"/>
        <v>0</v>
      </c>
      <c r="T80" s="17">
        <f t="shared" si="16"/>
        <v>8</v>
      </c>
      <c r="U80" s="19">
        <f t="shared" si="17"/>
        <v>1</v>
      </c>
      <c r="V80" s="17">
        <f t="shared" si="18"/>
        <v>7</v>
      </c>
      <c r="W80" s="2"/>
      <c r="X80" s="2"/>
      <c r="Y80" s="2"/>
      <c r="Z80" s="2"/>
      <c r="AA80" s="21">
        <v>6.0</v>
      </c>
      <c r="AB80" s="22" t="s">
        <v>188</v>
      </c>
      <c r="AC80" s="22">
        <v>4.0</v>
      </c>
      <c r="AD80" s="22">
        <v>1.0</v>
      </c>
      <c r="AE80" s="22">
        <v>1.0</v>
      </c>
      <c r="AF80" s="22">
        <v>1.0</v>
      </c>
      <c r="AG80" s="22">
        <v>9.0</v>
      </c>
      <c r="AH80" s="23">
        <v>16.0</v>
      </c>
      <c r="AI80" s="22">
        <v>-7.0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17">
        <v>45972.0</v>
      </c>
      <c r="C81" s="15" t="s">
        <v>103</v>
      </c>
      <c r="D81" s="59" t="s">
        <v>182</v>
      </c>
      <c r="E81" s="14" t="s">
        <v>45</v>
      </c>
      <c r="F81" s="15">
        <v>0.0</v>
      </c>
      <c r="G81" s="76" t="s">
        <v>24</v>
      </c>
      <c r="H81" s="79">
        <v>3.0</v>
      </c>
      <c r="I81" s="14" t="s">
        <v>40</v>
      </c>
      <c r="J81" s="4"/>
      <c r="K81" s="4">
        <f t="shared" si="10"/>
        <v>0</v>
      </c>
      <c r="L81" s="17">
        <f t="shared" si="11"/>
        <v>3</v>
      </c>
      <c r="M81" s="4"/>
      <c r="N81" s="17">
        <v>7.0</v>
      </c>
      <c r="O81" s="46" t="s">
        <v>96</v>
      </c>
      <c r="P81" s="17">
        <f t="shared" si="12"/>
        <v>7</v>
      </c>
      <c r="Q81" s="17">
        <f t="shared" si="13"/>
        <v>2</v>
      </c>
      <c r="R81" s="17">
        <f t="shared" si="14"/>
        <v>1</v>
      </c>
      <c r="S81" s="19">
        <f t="shared" si="15"/>
        <v>0</v>
      </c>
      <c r="T81" s="17">
        <f t="shared" si="16"/>
        <v>10</v>
      </c>
      <c r="U81" s="19">
        <f t="shared" si="17"/>
        <v>3</v>
      </c>
      <c r="V81" s="17">
        <f t="shared" si="18"/>
        <v>7</v>
      </c>
      <c r="W81" s="2"/>
      <c r="X81" s="2"/>
      <c r="Y81" s="2"/>
      <c r="Z81" s="2"/>
      <c r="AA81" s="21">
        <v>7.0</v>
      </c>
      <c r="AB81" s="22" t="s">
        <v>57</v>
      </c>
      <c r="AC81" s="22">
        <v>0.0</v>
      </c>
      <c r="AD81" s="22">
        <v>0.0</v>
      </c>
      <c r="AE81" s="22">
        <v>0.0</v>
      </c>
      <c r="AF81" s="22">
        <v>3.0</v>
      </c>
      <c r="AG81" s="22">
        <v>3.0</v>
      </c>
      <c r="AH81" s="23">
        <v>16.0</v>
      </c>
      <c r="AI81" s="22">
        <v>-13.0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8"/>
      <c r="B82" s="117">
        <v>45972.0</v>
      </c>
      <c r="C82" s="15" t="s">
        <v>99</v>
      </c>
      <c r="D82" s="59" t="s">
        <v>182</v>
      </c>
      <c r="E82" s="14" t="s">
        <v>96</v>
      </c>
      <c r="F82" s="15">
        <v>1.0</v>
      </c>
      <c r="G82" s="76" t="s">
        <v>24</v>
      </c>
      <c r="H82" s="79">
        <v>1.0</v>
      </c>
      <c r="I82" s="14" t="s">
        <v>121</v>
      </c>
      <c r="J82" s="4"/>
      <c r="K82" s="4">
        <f t="shared" si="10"/>
        <v>1</v>
      </c>
      <c r="L82" s="17">
        <f t="shared" si="11"/>
        <v>1</v>
      </c>
      <c r="M82" s="4"/>
      <c r="N82" s="17">
        <v>8.0</v>
      </c>
      <c r="O82" s="46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3</v>
      </c>
      <c r="T82" s="17">
        <f t="shared" si="16"/>
        <v>1</v>
      </c>
      <c r="U82" s="19">
        <f t="shared" si="17"/>
        <v>15</v>
      </c>
      <c r="V82" s="17">
        <f t="shared" si="18"/>
        <v>-14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3.0</v>
      </c>
      <c r="AG82" s="22">
        <v>1.0</v>
      </c>
      <c r="AH82" s="23">
        <v>15.0</v>
      </c>
      <c r="AI82" s="22">
        <v>-14.0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10">
        <v>3.0</v>
      </c>
      <c r="B83" s="11">
        <v>45995.0</v>
      </c>
      <c r="C83" s="12" t="s">
        <v>95</v>
      </c>
      <c r="D83" s="59" t="s">
        <v>182</v>
      </c>
      <c r="E83" s="14" t="s">
        <v>40</v>
      </c>
      <c r="F83" s="15">
        <v>3.0</v>
      </c>
      <c r="G83" s="76" t="s">
        <v>24</v>
      </c>
      <c r="H83" s="79">
        <v>3.0</v>
      </c>
      <c r="I83" s="14" t="s">
        <v>188</v>
      </c>
      <c r="J83" s="4"/>
      <c r="K83" s="4">
        <f t="shared" si="10"/>
        <v>1</v>
      </c>
      <c r="L83" s="17">
        <f t="shared" si="11"/>
        <v>1</v>
      </c>
      <c r="M83" s="4"/>
      <c r="N83" s="17"/>
      <c r="O83" s="46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189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4"/>
      <c r="B84" s="11">
        <v>45995.0</v>
      </c>
      <c r="C84" s="12" t="s">
        <v>99</v>
      </c>
      <c r="D84" s="59" t="s">
        <v>182</v>
      </c>
      <c r="E84" s="14" t="s">
        <v>32</v>
      </c>
      <c r="F84" s="15">
        <v>4.0</v>
      </c>
      <c r="G84" s="76" t="s">
        <v>24</v>
      </c>
      <c r="H84" s="79">
        <v>0.0</v>
      </c>
      <c r="I84" s="14" t="s">
        <v>57</v>
      </c>
      <c r="J84" s="4"/>
      <c r="K84" s="4">
        <f t="shared" si="10"/>
        <v>3</v>
      </c>
      <c r="L84" s="17">
        <f t="shared" si="11"/>
        <v>0</v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3" t="s">
        <v>108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24"/>
      <c r="B85" s="11">
        <v>45980.0</v>
      </c>
      <c r="C85" s="12" t="s">
        <v>160</v>
      </c>
      <c r="D85" s="59" t="s">
        <v>182</v>
      </c>
      <c r="E85" s="14" t="s">
        <v>121</v>
      </c>
      <c r="F85" s="79">
        <v>7.0</v>
      </c>
      <c r="G85" s="76" t="s">
        <v>24</v>
      </c>
      <c r="H85" s="79">
        <v>0.0</v>
      </c>
      <c r="I85" s="14" t="s">
        <v>45</v>
      </c>
      <c r="J85" s="4"/>
      <c r="K85" s="4">
        <f t="shared" si="10"/>
        <v>3</v>
      </c>
      <c r="L85" s="17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11">
        <v>45994.0</v>
      </c>
      <c r="C86" s="12" t="s">
        <v>160</v>
      </c>
      <c r="D86" s="59" t="s">
        <v>182</v>
      </c>
      <c r="E86" s="40" t="s">
        <v>123</v>
      </c>
      <c r="F86" s="79">
        <v>1.0</v>
      </c>
      <c r="G86" s="76" t="s">
        <v>24</v>
      </c>
      <c r="H86" s="79">
        <v>5.0</v>
      </c>
      <c r="I86" s="14" t="s">
        <v>96</v>
      </c>
      <c r="J86" s="4"/>
      <c r="K86" s="4">
        <f t="shared" si="10"/>
        <v>0</v>
      </c>
      <c r="L86" s="17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10">
        <v>4.0</v>
      </c>
      <c r="B87" s="29"/>
      <c r="C87" s="16"/>
      <c r="D87" s="115"/>
      <c r="E87" s="14" t="s">
        <v>188</v>
      </c>
      <c r="F87" s="118"/>
      <c r="G87" s="76" t="s">
        <v>24</v>
      </c>
      <c r="H87" s="118"/>
      <c r="I87" s="14" t="s">
        <v>121</v>
      </c>
      <c r="J87" s="4"/>
      <c r="K87" s="4" t="str">
        <f t="shared" si="10"/>
        <v/>
      </c>
      <c r="L87" s="17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29"/>
      <c r="C88" s="16"/>
      <c r="D88" s="115"/>
      <c r="E88" s="14" t="s">
        <v>57</v>
      </c>
      <c r="F88" s="118"/>
      <c r="G88" s="76" t="s">
        <v>24</v>
      </c>
      <c r="H88" s="118"/>
      <c r="I88" s="14" t="s">
        <v>40</v>
      </c>
      <c r="J88" s="4"/>
      <c r="K88" s="4" t="str">
        <f t="shared" si="10"/>
        <v/>
      </c>
      <c r="L88" s="17" t="str">
        <f t="shared" si="11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4"/>
      <c r="B89" s="11">
        <v>45988.0</v>
      </c>
      <c r="C89" s="12" t="s">
        <v>95</v>
      </c>
      <c r="D89" s="59" t="s">
        <v>182</v>
      </c>
      <c r="E89" s="40" t="s">
        <v>32</v>
      </c>
      <c r="F89" s="79">
        <v>2.0</v>
      </c>
      <c r="G89" s="76" t="s">
        <v>24</v>
      </c>
      <c r="H89" s="79">
        <v>1.0</v>
      </c>
      <c r="I89" s="40" t="s">
        <v>123</v>
      </c>
      <c r="J89" s="4"/>
      <c r="K89" s="4">
        <f t="shared" si="10"/>
        <v>3</v>
      </c>
      <c r="L89" s="17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28"/>
      <c r="B90" s="119"/>
      <c r="C90" s="16"/>
      <c r="D90" s="16"/>
      <c r="E90" s="14" t="s">
        <v>45</v>
      </c>
      <c r="F90" s="118"/>
      <c r="G90" s="76" t="s">
        <v>24</v>
      </c>
      <c r="H90" s="118"/>
      <c r="I90" s="14" t="s">
        <v>96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120">
        <v>5.0</v>
      </c>
      <c r="B91" s="29"/>
      <c r="C91" s="16"/>
      <c r="D91" s="16"/>
      <c r="E91" s="14" t="s">
        <v>96</v>
      </c>
      <c r="F91" s="118"/>
      <c r="G91" s="76" t="s">
        <v>24</v>
      </c>
      <c r="H91" s="118"/>
      <c r="I91" s="14" t="s">
        <v>188</v>
      </c>
      <c r="J91" s="4"/>
      <c r="K91" s="4" t="str">
        <f t="shared" si="10"/>
        <v/>
      </c>
      <c r="L91" s="17" t="str">
        <f t="shared" si="11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121</v>
      </c>
      <c r="F92" s="118"/>
      <c r="G92" s="76" t="s">
        <v>24</v>
      </c>
      <c r="H92" s="118"/>
      <c r="I92" s="14" t="s">
        <v>57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29"/>
      <c r="C93" s="16"/>
      <c r="D93" s="16"/>
      <c r="E93" s="14" t="s">
        <v>40</v>
      </c>
      <c r="F93" s="118"/>
      <c r="G93" s="76" t="s">
        <v>24</v>
      </c>
      <c r="H93" s="118"/>
      <c r="I93" s="14" t="s">
        <v>32</v>
      </c>
      <c r="J93" s="4"/>
      <c r="K93" s="4" t="str">
        <f t="shared" si="10"/>
        <v/>
      </c>
      <c r="L93" s="17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0" t="s">
        <v>123</v>
      </c>
      <c r="F94" s="118"/>
      <c r="G94" s="76" t="s">
        <v>24</v>
      </c>
      <c r="H94" s="118"/>
      <c r="I94" s="40" t="s">
        <v>45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58">
        <v>6.0</v>
      </c>
      <c r="B95" s="119"/>
      <c r="C95" s="16"/>
      <c r="D95" s="115"/>
      <c r="E95" s="14" t="s">
        <v>188</v>
      </c>
      <c r="F95" s="118"/>
      <c r="G95" s="76" t="s">
        <v>24</v>
      </c>
      <c r="H95" s="118"/>
      <c r="I95" s="14" t="s">
        <v>45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19"/>
      <c r="C96" s="16"/>
      <c r="D96" s="115"/>
      <c r="E96" s="14" t="s">
        <v>57</v>
      </c>
      <c r="F96" s="118"/>
      <c r="G96" s="76" t="s">
        <v>24</v>
      </c>
      <c r="H96" s="118"/>
      <c r="I96" s="14" t="s">
        <v>96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19"/>
      <c r="C97" s="16"/>
      <c r="D97" s="115"/>
      <c r="E97" s="14" t="s">
        <v>32</v>
      </c>
      <c r="F97" s="118"/>
      <c r="G97" s="76" t="s">
        <v>24</v>
      </c>
      <c r="H97" s="118"/>
      <c r="I97" s="14" t="s">
        <v>121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8"/>
      <c r="B98" s="11">
        <v>45979.0</v>
      </c>
      <c r="C98" s="12" t="s">
        <v>103</v>
      </c>
      <c r="D98" s="59" t="s">
        <v>182</v>
      </c>
      <c r="E98" s="40" t="s">
        <v>40</v>
      </c>
      <c r="F98" s="79">
        <v>2.0</v>
      </c>
      <c r="G98" s="76" t="s">
        <v>24</v>
      </c>
      <c r="H98" s="79">
        <v>3.0</v>
      </c>
      <c r="I98" s="40" t="s">
        <v>123</v>
      </c>
      <c r="J98" s="4"/>
      <c r="K98" s="4">
        <f t="shared" si="10"/>
        <v>0</v>
      </c>
      <c r="L98" s="17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58">
        <v>7.0</v>
      </c>
      <c r="B99" s="119"/>
      <c r="C99" s="16"/>
      <c r="D99" s="115"/>
      <c r="E99" s="40" t="s">
        <v>123</v>
      </c>
      <c r="F99" s="118"/>
      <c r="G99" s="76" t="s">
        <v>24</v>
      </c>
      <c r="H99" s="118"/>
      <c r="I99" s="40" t="s">
        <v>188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24"/>
      <c r="B100" s="119"/>
      <c r="C100" s="16"/>
      <c r="D100" s="115"/>
      <c r="E100" s="40" t="s">
        <v>45</v>
      </c>
      <c r="F100" s="118"/>
      <c r="G100" s="76" t="s">
        <v>24</v>
      </c>
      <c r="H100" s="118"/>
      <c r="I100" s="40" t="s">
        <v>57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19"/>
      <c r="C101" s="16"/>
      <c r="D101" s="115"/>
      <c r="E101" s="14" t="s">
        <v>96</v>
      </c>
      <c r="F101" s="118"/>
      <c r="G101" s="76" t="s">
        <v>24</v>
      </c>
      <c r="H101" s="118"/>
      <c r="I101" s="14" t="s">
        <v>32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8"/>
      <c r="B102" s="119"/>
      <c r="C102" s="16"/>
      <c r="D102" s="115"/>
      <c r="E102" s="14" t="s">
        <v>121</v>
      </c>
      <c r="F102" s="118"/>
      <c r="G102" s="76" t="s">
        <v>24</v>
      </c>
      <c r="H102" s="118"/>
      <c r="I102" s="14" t="s">
        <v>40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55" t="s">
        <v>190</v>
      </c>
      <c r="H109" s="36"/>
      <c r="I109" s="36"/>
      <c r="J109" s="36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57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02">
        <v>45953.0</v>
      </c>
      <c r="C111" s="59" t="s">
        <v>95</v>
      </c>
      <c r="D111" s="59" t="s">
        <v>182</v>
      </c>
      <c r="E111" s="14" t="s">
        <v>35</v>
      </c>
      <c r="F111" s="79">
        <v>1.0</v>
      </c>
      <c r="G111" s="76" t="s">
        <v>24</v>
      </c>
      <c r="H111" s="79">
        <v>3.0</v>
      </c>
      <c r="I111" s="14" t="s">
        <v>62</v>
      </c>
      <c r="J111" s="4"/>
      <c r="K111" s="4">
        <f t="shared" ref="K111:K155" si="19">IF(F111="","",IFS(F111&gt;H111,3,F111=H111,1,H111&gt;F111,0,F111="",0))</f>
        <v>0</v>
      </c>
      <c r="L111" s="17">
        <f t="shared" ref="L111:L155" si="20">IF(H111="","",IFS(F111&lt;H111,3,F111=H111,1,H111&lt;F111,0))</f>
        <v>3</v>
      </c>
      <c r="M111" s="4"/>
      <c r="N111" s="17">
        <v>1.0</v>
      </c>
      <c r="O111" s="46" t="s">
        <v>62</v>
      </c>
      <c r="P111" s="17">
        <f t="shared" ref="P111:P119" si="21">SUMIF(E$111:E$155,O111,K$111:K$155)+SUMIF(I$111:I$155,O111,L$111:L$155)</f>
        <v>3</v>
      </c>
      <c r="Q111" s="17">
        <f t="shared" ref="Q111:Q119" si="22">COUNTIFS(E$111:E$155,O111,K$111:K$155,3)+COUNTIFS(I$111:I$155,O111,L$111:L$155,3)</f>
        <v>1</v>
      </c>
      <c r="R111" s="19">
        <f t="shared" ref="R111:R119" si="23">COUNTIFS(E$111:E$155,O111,K$111:K$155,1)+COUNTIFS(I$111:I$155,O111,L$111:L$155,1)</f>
        <v>0</v>
      </c>
      <c r="S111" s="19">
        <f t="shared" ref="S111:S119" si="24">COUNTIFS(E$111:E$155,O111,K$111:K$155,0)+COUNTIFS(I$111:I$155,O111,L$111:L$155,0)</f>
        <v>2</v>
      </c>
      <c r="T111" s="17">
        <f t="shared" ref="T111:T119" si="25">SUMIF(E$111:E$155,O111,F$111:F$155)+SUMIF(I$111:I$155,O111,H$111:H$155)</f>
        <v>4</v>
      </c>
      <c r="U111" s="19">
        <f t="shared" ref="U111:U119" si="26">SUMIF(E$111:E$155,O111,H$111:H$155)+SUMIF(I$111:I$155,O111,F$111:F$155)</f>
        <v>10</v>
      </c>
      <c r="V111" s="17">
        <f t="shared" ref="V111:V119" si="27">T111-U111</f>
        <v>-6</v>
      </c>
      <c r="W111" s="2"/>
      <c r="X111" s="2"/>
      <c r="Y111" s="2"/>
      <c r="Z111" s="2"/>
      <c r="AA111" s="41" t="s">
        <v>29</v>
      </c>
      <c r="AB111" s="22" t="str">
        <f t="array" ref="AB111:AI119">SORT(O111:V119,2,FALSE,8,FALSE)</f>
        <v>Eng. Química</v>
      </c>
      <c r="AC111" s="22">
        <v>12.0</v>
      </c>
      <c r="AD111" s="22">
        <v>4.0</v>
      </c>
      <c r="AE111" s="22">
        <v>0.0</v>
      </c>
      <c r="AF111" s="22">
        <v>0.0</v>
      </c>
      <c r="AG111" s="22">
        <v>20.0</v>
      </c>
      <c r="AH111" s="23">
        <v>2.0</v>
      </c>
      <c r="AI111" s="22">
        <v>18.0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102">
        <v>45953.0</v>
      </c>
      <c r="C112" s="59" t="s">
        <v>99</v>
      </c>
      <c r="D112" s="59" t="s">
        <v>182</v>
      </c>
      <c r="E112" s="14" t="s">
        <v>56</v>
      </c>
      <c r="F112" s="79">
        <v>7.0</v>
      </c>
      <c r="G112" s="76" t="s">
        <v>24</v>
      </c>
      <c r="H112" s="79">
        <v>0.0</v>
      </c>
      <c r="I112" s="14" t="s">
        <v>113</v>
      </c>
      <c r="J112" s="4"/>
      <c r="K112" s="4">
        <f t="shared" si="19"/>
        <v>3</v>
      </c>
      <c r="L112" s="17">
        <f t="shared" si="20"/>
        <v>0</v>
      </c>
      <c r="M112" s="4"/>
      <c r="N112" s="17">
        <v>2.0</v>
      </c>
      <c r="O112" s="46" t="s">
        <v>35</v>
      </c>
      <c r="P112" s="17">
        <f t="shared" si="21"/>
        <v>0</v>
      </c>
      <c r="Q112" s="17">
        <f t="shared" si="22"/>
        <v>0</v>
      </c>
      <c r="R112" s="19">
        <f t="shared" si="23"/>
        <v>0</v>
      </c>
      <c r="S112" s="19">
        <f t="shared" si="24"/>
        <v>3</v>
      </c>
      <c r="T112" s="17">
        <f t="shared" si="25"/>
        <v>1</v>
      </c>
      <c r="U112" s="19">
        <f t="shared" si="26"/>
        <v>18</v>
      </c>
      <c r="V112" s="17">
        <f t="shared" si="27"/>
        <v>-17</v>
      </c>
      <c r="W112" s="2"/>
      <c r="X112" s="2"/>
      <c r="Y112" s="2"/>
      <c r="Z112" s="2"/>
      <c r="AA112" s="100" t="s">
        <v>115</v>
      </c>
      <c r="AB112" s="22" t="s">
        <v>56</v>
      </c>
      <c r="AC112" s="22">
        <v>9.0</v>
      </c>
      <c r="AD112" s="22">
        <v>3.0</v>
      </c>
      <c r="AE112" s="22">
        <v>0.0</v>
      </c>
      <c r="AF112" s="22">
        <v>0.0</v>
      </c>
      <c r="AG112" s="22">
        <v>21.0</v>
      </c>
      <c r="AH112" s="23">
        <v>0.0</v>
      </c>
      <c r="AI112" s="22">
        <v>21.0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4"/>
      <c r="B113" s="102">
        <v>45953.0</v>
      </c>
      <c r="C113" s="59" t="s">
        <v>103</v>
      </c>
      <c r="D113" s="59" t="s">
        <v>182</v>
      </c>
      <c r="E113" s="14" t="s">
        <v>157</v>
      </c>
      <c r="F113" s="79">
        <v>6.0</v>
      </c>
      <c r="G113" s="76" t="s">
        <v>24</v>
      </c>
      <c r="H113" s="79">
        <v>0.0</v>
      </c>
      <c r="I113" s="14" t="s">
        <v>60</v>
      </c>
      <c r="J113" s="4"/>
      <c r="K113" s="4">
        <f t="shared" si="19"/>
        <v>3</v>
      </c>
      <c r="L113" s="17">
        <f t="shared" si="20"/>
        <v>0</v>
      </c>
      <c r="M113" s="4"/>
      <c r="N113" s="17">
        <v>3.0</v>
      </c>
      <c r="O113" s="46" t="s">
        <v>56</v>
      </c>
      <c r="P113" s="17">
        <f t="shared" si="21"/>
        <v>9</v>
      </c>
      <c r="Q113" s="17">
        <f t="shared" si="22"/>
        <v>3</v>
      </c>
      <c r="R113" s="19">
        <f t="shared" si="23"/>
        <v>0</v>
      </c>
      <c r="S113" s="19">
        <f t="shared" si="24"/>
        <v>0</v>
      </c>
      <c r="T113" s="17">
        <f t="shared" si="25"/>
        <v>21</v>
      </c>
      <c r="U113" s="19">
        <f t="shared" si="26"/>
        <v>0</v>
      </c>
      <c r="V113" s="17">
        <f t="shared" si="27"/>
        <v>21</v>
      </c>
      <c r="W113" s="2"/>
      <c r="X113" s="2"/>
      <c r="Y113" s="2"/>
      <c r="Z113" s="2"/>
      <c r="AA113" s="21">
        <v>3.0</v>
      </c>
      <c r="AB113" s="22" t="s">
        <v>31</v>
      </c>
      <c r="AC113" s="22">
        <v>9.0</v>
      </c>
      <c r="AD113" s="22">
        <v>3.0</v>
      </c>
      <c r="AE113" s="22">
        <v>0.0</v>
      </c>
      <c r="AF113" s="22">
        <v>0.0</v>
      </c>
      <c r="AG113" s="22">
        <v>15.0</v>
      </c>
      <c r="AH113" s="23">
        <v>6.0</v>
      </c>
      <c r="AI113" s="22">
        <v>9.0</v>
      </c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24"/>
      <c r="B114" s="102">
        <v>45950.0</v>
      </c>
      <c r="C114" s="59" t="s">
        <v>99</v>
      </c>
      <c r="D114" s="59" t="s">
        <v>182</v>
      </c>
      <c r="E114" s="40" t="s">
        <v>31</v>
      </c>
      <c r="F114" s="79">
        <v>4.0</v>
      </c>
      <c r="G114" s="76" t="s">
        <v>24</v>
      </c>
      <c r="H114" s="79">
        <v>3.0</v>
      </c>
      <c r="I114" s="40" t="s">
        <v>144</v>
      </c>
      <c r="J114" s="4"/>
      <c r="K114" s="4">
        <f t="shared" si="19"/>
        <v>3</v>
      </c>
      <c r="L114" s="17">
        <f t="shared" si="20"/>
        <v>0</v>
      </c>
      <c r="M114" s="4"/>
      <c r="N114" s="17">
        <v>4.0</v>
      </c>
      <c r="O114" s="46" t="s">
        <v>157</v>
      </c>
      <c r="P114" s="17">
        <f t="shared" si="21"/>
        <v>12</v>
      </c>
      <c r="Q114" s="17">
        <f t="shared" si="22"/>
        <v>4</v>
      </c>
      <c r="R114" s="19">
        <f t="shared" si="23"/>
        <v>0</v>
      </c>
      <c r="S114" s="19">
        <f t="shared" si="24"/>
        <v>0</v>
      </c>
      <c r="T114" s="17">
        <f t="shared" si="25"/>
        <v>20</v>
      </c>
      <c r="U114" s="19">
        <f t="shared" si="26"/>
        <v>2</v>
      </c>
      <c r="V114" s="17">
        <f t="shared" si="27"/>
        <v>18</v>
      </c>
      <c r="W114" s="2"/>
      <c r="X114" s="2"/>
      <c r="Y114" s="2"/>
      <c r="Z114" s="2"/>
      <c r="AA114" s="21">
        <v>4.0</v>
      </c>
      <c r="AB114" s="22" t="s">
        <v>144</v>
      </c>
      <c r="AC114" s="22">
        <v>3.0</v>
      </c>
      <c r="AD114" s="22">
        <v>1.0</v>
      </c>
      <c r="AE114" s="22">
        <v>0.0</v>
      </c>
      <c r="AF114" s="22">
        <v>1.0</v>
      </c>
      <c r="AG114" s="22">
        <v>9.0</v>
      </c>
      <c r="AH114" s="23">
        <v>6.0</v>
      </c>
      <c r="AI114" s="22">
        <v>3.0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8"/>
      <c r="B115" s="29"/>
      <c r="C115" s="30"/>
      <c r="D115" s="115"/>
      <c r="E115" s="14" t="s">
        <v>55</v>
      </c>
      <c r="F115" s="118"/>
      <c r="G115" s="76" t="s">
        <v>24</v>
      </c>
      <c r="H115" s="118"/>
      <c r="I115" s="14">
        <v>0.0</v>
      </c>
      <c r="J115" s="4"/>
      <c r="K115" s="4" t="str">
        <f t="shared" si="19"/>
        <v/>
      </c>
      <c r="L115" s="17" t="str">
        <f t="shared" si="20"/>
        <v/>
      </c>
      <c r="M115" s="4"/>
      <c r="N115" s="17">
        <v>5.0</v>
      </c>
      <c r="O115" s="46" t="s">
        <v>31</v>
      </c>
      <c r="P115" s="17">
        <f t="shared" si="21"/>
        <v>9</v>
      </c>
      <c r="Q115" s="17">
        <f t="shared" si="22"/>
        <v>3</v>
      </c>
      <c r="R115" s="19">
        <f t="shared" si="23"/>
        <v>0</v>
      </c>
      <c r="S115" s="19">
        <f t="shared" si="24"/>
        <v>0</v>
      </c>
      <c r="T115" s="17">
        <f t="shared" si="25"/>
        <v>15</v>
      </c>
      <c r="U115" s="19">
        <f t="shared" si="26"/>
        <v>6</v>
      </c>
      <c r="V115" s="17">
        <f t="shared" si="27"/>
        <v>9</v>
      </c>
      <c r="W115" s="2"/>
      <c r="X115" s="2"/>
      <c r="Y115" s="2"/>
      <c r="Z115" s="2"/>
      <c r="AA115" s="21">
        <v>5.0</v>
      </c>
      <c r="AB115" s="22" t="s">
        <v>62</v>
      </c>
      <c r="AC115" s="22">
        <v>3.0</v>
      </c>
      <c r="AD115" s="22">
        <v>1.0</v>
      </c>
      <c r="AE115" s="22">
        <v>0.0</v>
      </c>
      <c r="AF115" s="22">
        <v>2.0</v>
      </c>
      <c r="AG115" s="22">
        <v>4.0</v>
      </c>
      <c r="AH115" s="23">
        <v>10.0</v>
      </c>
      <c r="AI115" s="22">
        <v>-6.0</v>
      </c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 ht="15.75" customHeight="1">
      <c r="A116" s="10">
        <v>2.0</v>
      </c>
      <c r="B116" s="102">
        <v>45971.0</v>
      </c>
      <c r="C116" s="12" t="s">
        <v>99</v>
      </c>
      <c r="D116" s="59" t="s">
        <v>182</v>
      </c>
      <c r="E116" s="40" t="s">
        <v>62</v>
      </c>
      <c r="F116" s="15">
        <v>0.0</v>
      </c>
      <c r="G116" s="76" t="s">
        <v>24</v>
      </c>
      <c r="H116" s="79">
        <v>7.0</v>
      </c>
      <c r="I116" s="40" t="s">
        <v>56</v>
      </c>
      <c r="J116" s="4"/>
      <c r="K116" s="4">
        <f t="shared" si="19"/>
        <v>0</v>
      </c>
      <c r="L116" s="17">
        <f t="shared" si="20"/>
        <v>3</v>
      </c>
      <c r="M116" s="4"/>
      <c r="N116" s="17">
        <v>6.0</v>
      </c>
      <c r="O116" s="46" t="s">
        <v>55</v>
      </c>
      <c r="P116" s="17">
        <f t="shared" si="21"/>
        <v>1</v>
      </c>
      <c r="Q116" s="17">
        <f t="shared" si="22"/>
        <v>0</v>
      </c>
      <c r="R116" s="19">
        <f t="shared" si="23"/>
        <v>1</v>
      </c>
      <c r="S116" s="19">
        <f t="shared" si="24"/>
        <v>2</v>
      </c>
      <c r="T116" s="17">
        <f t="shared" si="25"/>
        <v>6</v>
      </c>
      <c r="U116" s="19">
        <f t="shared" si="26"/>
        <v>11</v>
      </c>
      <c r="V116" s="17">
        <f t="shared" si="27"/>
        <v>-5</v>
      </c>
      <c r="W116" s="2"/>
      <c r="X116" s="2"/>
      <c r="Y116" s="2"/>
      <c r="Z116" s="2"/>
      <c r="AA116" s="21">
        <v>6.0</v>
      </c>
      <c r="AB116" s="22" t="s">
        <v>60</v>
      </c>
      <c r="AC116" s="22">
        <v>3.0</v>
      </c>
      <c r="AD116" s="22">
        <v>1.0</v>
      </c>
      <c r="AE116" s="22">
        <v>0.0</v>
      </c>
      <c r="AF116" s="22">
        <v>2.0</v>
      </c>
      <c r="AG116" s="22">
        <v>3.0</v>
      </c>
      <c r="AH116" s="23">
        <v>15.0</v>
      </c>
      <c r="AI116" s="22">
        <v>-12.0</v>
      </c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 ht="15.75" customHeight="1">
      <c r="A117" s="24"/>
      <c r="B117" s="103"/>
      <c r="C117" s="104"/>
      <c r="D117" s="82"/>
      <c r="E117" s="14">
        <v>0.0</v>
      </c>
      <c r="F117" s="16"/>
      <c r="G117" s="76" t="s">
        <v>24</v>
      </c>
      <c r="H117" s="118"/>
      <c r="I117" s="14" t="s">
        <v>35</v>
      </c>
      <c r="J117" s="4"/>
      <c r="K117" s="4" t="str">
        <f t="shared" si="19"/>
        <v/>
      </c>
      <c r="L117" s="17" t="str">
        <f t="shared" si="20"/>
        <v/>
      </c>
      <c r="M117" s="4"/>
      <c r="N117" s="17">
        <v>7.0</v>
      </c>
      <c r="O117" s="46" t="s">
        <v>144</v>
      </c>
      <c r="P117" s="17">
        <f t="shared" si="21"/>
        <v>3</v>
      </c>
      <c r="Q117" s="17">
        <f t="shared" si="22"/>
        <v>1</v>
      </c>
      <c r="R117" s="19">
        <f t="shared" si="23"/>
        <v>0</v>
      </c>
      <c r="S117" s="19">
        <f t="shared" si="24"/>
        <v>1</v>
      </c>
      <c r="T117" s="17">
        <f t="shared" si="25"/>
        <v>9</v>
      </c>
      <c r="U117" s="19">
        <f t="shared" si="26"/>
        <v>6</v>
      </c>
      <c r="V117" s="17">
        <f t="shared" si="27"/>
        <v>3</v>
      </c>
      <c r="W117" s="2"/>
      <c r="X117" s="2"/>
      <c r="Y117" s="2"/>
      <c r="Z117" s="2"/>
      <c r="AA117" s="21">
        <v>7.0</v>
      </c>
      <c r="AB117" s="22" t="s">
        <v>55</v>
      </c>
      <c r="AC117" s="22">
        <v>1.0</v>
      </c>
      <c r="AD117" s="22">
        <v>0.0</v>
      </c>
      <c r="AE117" s="22">
        <v>1.0</v>
      </c>
      <c r="AF117" s="22">
        <v>2.0</v>
      </c>
      <c r="AG117" s="22">
        <v>6.0</v>
      </c>
      <c r="AH117" s="23">
        <v>11.0</v>
      </c>
      <c r="AI117" s="22">
        <v>-5.0</v>
      </c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 ht="15.75" customHeight="1">
      <c r="A118" s="24"/>
      <c r="B118" s="102">
        <v>45965.0</v>
      </c>
      <c r="C118" s="59" t="s">
        <v>95</v>
      </c>
      <c r="D118" s="59" t="s">
        <v>182</v>
      </c>
      <c r="E118" s="14" t="s">
        <v>113</v>
      </c>
      <c r="F118" s="15">
        <v>1.0</v>
      </c>
      <c r="G118" s="76" t="s">
        <v>24</v>
      </c>
      <c r="H118" s="79">
        <v>4.0</v>
      </c>
      <c r="I118" s="14" t="s">
        <v>157</v>
      </c>
      <c r="J118" s="4"/>
      <c r="K118" s="4">
        <f t="shared" si="19"/>
        <v>0</v>
      </c>
      <c r="L118" s="17">
        <f t="shared" si="20"/>
        <v>3</v>
      </c>
      <c r="M118" s="4"/>
      <c r="N118" s="17">
        <v>8.0</v>
      </c>
      <c r="O118" s="46" t="s">
        <v>60</v>
      </c>
      <c r="P118" s="17">
        <f t="shared" si="21"/>
        <v>3</v>
      </c>
      <c r="Q118" s="17">
        <f t="shared" si="22"/>
        <v>1</v>
      </c>
      <c r="R118" s="19">
        <f t="shared" si="23"/>
        <v>0</v>
      </c>
      <c r="S118" s="19">
        <f t="shared" si="24"/>
        <v>2</v>
      </c>
      <c r="T118" s="17">
        <f t="shared" si="25"/>
        <v>3</v>
      </c>
      <c r="U118" s="19">
        <f t="shared" si="26"/>
        <v>15</v>
      </c>
      <c r="V118" s="17">
        <f t="shared" si="27"/>
        <v>-12</v>
      </c>
      <c r="W118" s="2"/>
      <c r="X118" s="2"/>
      <c r="Y118" s="2"/>
      <c r="Z118" s="2"/>
      <c r="AA118" s="21">
        <v>8.0</v>
      </c>
      <c r="AB118" s="22" t="s">
        <v>113</v>
      </c>
      <c r="AC118" s="22">
        <v>1.0</v>
      </c>
      <c r="AD118" s="22">
        <v>0.0</v>
      </c>
      <c r="AE118" s="22">
        <v>1.0</v>
      </c>
      <c r="AF118" s="22">
        <v>3.0</v>
      </c>
      <c r="AG118" s="22">
        <v>6.0</v>
      </c>
      <c r="AH118" s="23">
        <v>17.0</v>
      </c>
      <c r="AI118" s="22">
        <v>-11.0</v>
      </c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 ht="15.75" customHeight="1">
      <c r="A119" s="24"/>
      <c r="B119" s="102">
        <v>45972.0</v>
      </c>
      <c r="C119" s="12" t="s">
        <v>95</v>
      </c>
      <c r="D119" s="59" t="s">
        <v>182</v>
      </c>
      <c r="E119" s="14" t="s">
        <v>60</v>
      </c>
      <c r="F119" s="15">
        <v>0.0</v>
      </c>
      <c r="G119" s="76" t="s">
        <v>24</v>
      </c>
      <c r="H119" s="79">
        <v>7.0</v>
      </c>
      <c r="I119" s="14" t="s">
        <v>31</v>
      </c>
      <c r="J119" s="4"/>
      <c r="K119" s="4">
        <f t="shared" si="19"/>
        <v>0</v>
      </c>
      <c r="L119" s="17">
        <f t="shared" si="20"/>
        <v>3</v>
      </c>
      <c r="M119" s="4"/>
      <c r="N119" s="17">
        <v>9.0</v>
      </c>
      <c r="O119" s="46" t="s">
        <v>113</v>
      </c>
      <c r="P119" s="17">
        <f t="shared" si="21"/>
        <v>1</v>
      </c>
      <c r="Q119" s="17">
        <f t="shared" si="22"/>
        <v>0</v>
      </c>
      <c r="R119" s="19">
        <f t="shared" si="23"/>
        <v>1</v>
      </c>
      <c r="S119" s="19">
        <f t="shared" si="24"/>
        <v>3</v>
      </c>
      <c r="T119" s="17">
        <f t="shared" si="25"/>
        <v>6</v>
      </c>
      <c r="U119" s="19">
        <f t="shared" si="26"/>
        <v>17</v>
      </c>
      <c r="V119" s="17">
        <f t="shared" si="27"/>
        <v>-11</v>
      </c>
      <c r="W119" s="2"/>
      <c r="X119" s="2"/>
      <c r="Y119" s="2"/>
      <c r="Z119" s="2"/>
      <c r="AA119" s="21">
        <v>9.0</v>
      </c>
      <c r="AB119" s="22" t="s">
        <v>35</v>
      </c>
      <c r="AC119" s="22">
        <v>0.0</v>
      </c>
      <c r="AD119" s="27">
        <v>0.0</v>
      </c>
      <c r="AE119" s="27">
        <v>0.0</v>
      </c>
      <c r="AF119" s="27">
        <v>3.0</v>
      </c>
      <c r="AG119" s="27">
        <v>1.0</v>
      </c>
      <c r="AH119" s="27">
        <v>18.0</v>
      </c>
      <c r="AI119" s="27">
        <v>-17.0</v>
      </c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 ht="15.75" customHeight="1">
      <c r="A120" s="28"/>
      <c r="B120" s="102">
        <v>45965.0</v>
      </c>
      <c r="C120" s="59" t="s">
        <v>99</v>
      </c>
      <c r="D120" s="59" t="s">
        <v>182</v>
      </c>
      <c r="E120" s="14" t="s">
        <v>144</v>
      </c>
      <c r="F120" s="15">
        <v>6.0</v>
      </c>
      <c r="G120" s="76" t="s">
        <v>24</v>
      </c>
      <c r="H120" s="79">
        <v>2.0</v>
      </c>
      <c r="I120" s="14" t="s">
        <v>55</v>
      </c>
      <c r="J120" s="4"/>
      <c r="K120" s="4">
        <f t="shared" si="19"/>
        <v>3</v>
      </c>
      <c r="L120" s="17">
        <f t="shared" si="20"/>
        <v>0</v>
      </c>
      <c r="M120" s="4"/>
      <c r="N120" s="17"/>
      <c r="O120" s="121"/>
      <c r="P120" s="17"/>
      <c r="Q120" s="17"/>
      <c r="R120" s="19"/>
      <c r="S120" s="19"/>
      <c r="T120" s="17"/>
      <c r="U120" s="19"/>
      <c r="V120" s="17"/>
      <c r="W120" s="2"/>
      <c r="X120" s="2"/>
      <c r="Y120" s="2"/>
      <c r="Z120" s="2"/>
      <c r="AA120" s="34" t="s">
        <v>191</v>
      </c>
      <c r="AD120" s="2"/>
      <c r="AE120" s="2"/>
      <c r="AF120" s="36"/>
      <c r="AG120" s="36"/>
      <c r="AH120" s="36"/>
      <c r="AI120" s="36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 ht="15.75" customHeight="1">
      <c r="A121" s="10">
        <v>3.0</v>
      </c>
      <c r="B121" s="11">
        <v>45978.0</v>
      </c>
      <c r="C121" s="59" t="s">
        <v>95</v>
      </c>
      <c r="D121" s="59" t="s">
        <v>182</v>
      </c>
      <c r="E121" s="14" t="s">
        <v>157</v>
      </c>
      <c r="F121" s="79">
        <v>2.0</v>
      </c>
      <c r="G121" s="76" t="s">
        <v>24</v>
      </c>
      <c r="H121" s="79">
        <v>1.0</v>
      </c>
      <c r="I121" s="14" t="s">
        <v>62</v>
      </c>
      <c r="J121" s="4"/>
      <c r="K121" s="4">
        <f t="shared" si="19"/>
        <v>3</v>
      </c>
      <c r="L121" s="17">
        <f t="shared" si="20"/>
        <v>0</v>
      </c>
      <c r="M121" s="4"/>
      <c r="N121" s="4"/>
      <c r="O121" s="4"/>
      <c r="P121" s="4"/>
      <c r="Q121" s="4"/>
      <c r="R121" s="4"/>
      <c r="S121" s="19"/>
      <c r="T121" s="4"/>
      <c r="U121" s="4"/>
      <c r="V121" s="4"/>
      <c r="W121" s="2"/>
      <c r="X121" s="2"/>
      <c r="Y121" s="2"/>
      <c r="Z121" s="2"/>
      <c r="AA121" s="73" t="s">
        <v>108</v>
      </c>
      <c r="AD121" s="2"/>
      <c r="AE121" s="2"/>
      <c r="AF121" s="36"/>
      <c r="AG121" s="36"/>
      <c r="AH121" s="36"/>
      <c r="AI121" s="36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 ht="15.75" customHeight="1">
      <c r="A122" s="24"/>
      <c r="B122" s="11">
        <v>45978.0</v>
      </c>
      <c r="C122" s="59" t="s">
        <v>99</v>
      </c>
      <c r="D122" s="59" t="s">
        <v>182</v>
      </c>
      <c r="E122" s="40" t="s">
        <v>56</v>
      </c>
      <c r="F122" s="79">
        <v>7.0</v>
      </c>
      <c r="G122" s="76" t="s">
        <v>24</v>
      </c>
      <c r="H122" s="79">
        <v>0.0</v>
      </c>
      <c r="I122" s="40" t="s">
        <v>35</v>
      </c>
      <c r="J122" s="4"/>
      <c r="K122" s="4">
        <f t="shared" si="19"/>
        <v>3</v>
      </c>
      <c r="L122" s="17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6"/>
      <c r="AF122" s="36"/>
      <c r="AG122" s="36"/>
      <c r="AH122" s="36"/>
      <c r="AI122" s="36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 ht="15.75" customHeight="1">
      <c r="A123" s="24"/>
      <c r="B123" s="11">
        <v>45979.0</v>
      </c>
      <c r="C123" s="59" t="s">
        <v>95</v>
      </c>
      <c r="D123" s="59" t="s">
        <v>182</v>
      </c>
      <c r="E123" s="14" t="s">
        <v>31</v>
      </c>
      <c r="F123" s="79">
        <v>4.0</v>
      </c>
      <c r="G123" s="76" t="s">
        <v>24</v>
      </c>
      <c r="H123" s="79">
        <v>3.0</v>
      </c>
      <c r="I123" s="14" t="s">
        <v>113</v>
      </c>
      <c r="J123" s="4"/>
      <c r="K123" s="4">
        <f t="shared" si="19"/>
        <v>3</v>
      </c>
      <c r="L123" s="17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6"/>
      <c r="AG123" s="36"/>
      <c r="AH123" s="36"/>
      <c r="AI123" s="36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 ht="15.75" customHeight="1">
      <c r="A124" s="24"/>
      <c r="B124" s="11">
        <v>45978.0</v>
      </c>
      <c r="C124" s="59" t="s">
        <v>103</v>
      </c>
      <c r="D124" s="59" t="s">
        <v>182</v>
      </c>
      <c r="E124" s="14" t="s">
        <v>55</v>
      </c>
      <c r="F124" s="79">
        <v>2.0</v>
      </c>
      <c r="G124" s="76" t="s">
        <v>24</v>
      </c>
      <c r="H124" s="79">
        <v>3.0</v>
      </c>
      <c r="I124" s="14" t="s">
        <v>60</v>
      </c>
      <c r="J124" s="4"/>
      <c r="K124" s="4">
        <f t="shared" si="19"/>
        <v>0</v>
      </c>
      <c r="L124" s="17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6"/>
      <c r="AG124" s="36"/>
      <c r="AH124" s="36"/>
      <c r="AI124" s="36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 ht="15.75" customHeight="1">
      <c r="A125" s="28"/>
      <c r="B125" s="29"/>
      <c r="C125" s="16"/>
      <c r="D125" s="115"/>
      <c r="E125" s="40">
        <v>0.0</v>
      </c>
      <c r="F125" s="118"/>
      <c r="G125" s="76" t="s">
        <v>24</v>
      </c>
      <c r="H125" s="118"/>
      <c r="I125" s="40" t="s">
        <v>144</v>
      </c>
      <c r="J125" s="4"/>
      <c r="K125" s="4" t="str">
        <f t="shared" si="19"/>
        <v/>
      </c>
      <c r="L125" s="17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10">
        <v>4.0</v>
      </c>
      <c r="B126" s="11"/>
      <c r="C126" s="59"/>
      <c r="D126" s="59" t="s">
        <v>182</v>
      </c>
      <c r="E126" s="14" t="s">
        <v>62</v>
      </c>
      <c r="F126" s="118"/>
      <c r="G126" s="76" t="s">
        <v>24</v>
      </c>
      <c r="H126" s="118"/>
      <c r="I126" s="14" t="s">
        <v>31</v>
      </c>
      <c r="J126" s="37"/>
      <c r="K126" s="4" t="str">
        <f t="shared" si="19"/>
        <v/>
      </c>
      <c r="L126" s="17" t="str">
        <f t="shared" si="20"/>
        <v/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24"/>
      <c r="B127" s="11">
        <v>46001.0</v>
      </c>
      <c r="C127" s="59" t="s">
        <v>192</v>
      </c>
      <c r="D127" s="59" t="s">
        <v>182</v>
      </c>
      <c r="E127" s="14" t="s">
        <v>35</v>
      </c>
      <c r="F127" s="79">
        <v>0.0</v>
      </c>
      <c r="G127" s="76" t="s">
        <v>24</v>
      </c>
      <c r="H127" s="79">
        <v>8.0</v>
      </c>
      <c r="I127" s="14" t="s">
        <v>157</v>
      </c>
      <c r="J127" s="4"/>
      <c r="K127" s="4">
        <f t="shared" si="19"/>
        <v>0</v>
      </c>
      <c r="L127" s="17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24"/>
      <c r="B128" s="103"/>
      <c r="C128" s="82"/>
      <c r="D128" s="59" t="s">
        <v>182</v>
      </c>
      <c r="E128" s="14" t="s">
        <v>56</v>
      </c>
      <c r="F128" s="118"/>
      <c r="G128" s="76" t="s">
        <v>24</v>
      </c>
      <c r="H128" s="118"/>
      <c r="I128" s="14">
        <v>0.0</v>
      </c>
      <c r="J128" s="4"/>
      <c r="K128" s="4" t="str">
        <f t="shared" si="19"/>
        <v/>
      </c>
      <c r="L128" s="17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24"/>
      <c r="B129" s="11">
        <v>46001.0</v>
      </c>
      <c r="C129" s="59" t="s">
        <v>155</v>
      </c>
      <c r="D129" s="59" t="s">
        <v>182</v>
      </c>
      <c r="E129" s="14" t="s">
        <v>113</v>
      </c>
      <c r="F129" s="79">
        <v>2.0</v>
      </c>
      <c r="G129" s="76" t="s">
        <v>24</v>
      </c>
      <c r="H129" s="79">
        <v>2.0</v>
      </c>
      <c r="I129" s="14" t="s">
        <v>55</v>
      </c>
      <c r="J129" s="4"/>
      <c r="K129" s="4">
        <f t="shared" si="19"/>
        <v>1</v>
      </c>
      <c r="L129" s="17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28"/>
      <c r="B130" s="11"/>
      <c r="C130" s="59"/>
      <c r="D130" s="59" t="s">
        <v>182</v>
      </c>
      <c r="E130" s="40" t="s">
        <v>60</v>
      </c>
      <c r="F130" s="118"/>
      <c r="G130" s="76" t="s">
        <v>24</v>
      </c>
      <c r="H130" s="118"/>
      <c r="I130" s="40" t="s">
        <v>144</v>
      </c>
      <c r="J130" s="4"/>
      <c r="K130" s="4" t="str">
        <f t="shared" si="19"/>
        <v/>
      </c>
      <c r="L130" s="17" t="str">
        <f t="shared" si="20"/>
        <v/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10">
        <v>5.0</v>
      </c>
      <c r="B131" s="119"/>
      <c r="C131" s="16"/>
      <c r="D131" s="115"/>
      <c r="E131" s="14" t="s">
        <v>55</v>
      </c>
      <c r="F131" s="118"/>
      <c r="G131" s="76" t="s">
        <v>24</v>
      </c>
      <c r="H131" s="118"/>
      <c r="I131" s="14" t="s">
        <v>62</v>
      </c>
      <c r="J131" s="4"/>
      <c r="K131" s="4" t="str">
        <f t="shared" si="19"/>
        <v/>
      </c>
      <c r="L131" s="17" t="str">
        <f t="shared" si="20"/>
        <v/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24"/>
      <c r="B132" s="119"/>
      <c r="C132" s="16"/>
      <c r="D132" s="115"/>
      <c r="E132" s="14" t="s">
        <v>31</v>
      </c>
      <c r="F132" s="118"/>
      <c r="G132" s="76" t="s">
        <v>24</v>
      </c>
      <c r="H132" s="118"/>
      <c r="I132" s="14" t="s">
        <v>35</v>
      </c>
      <c r="J132" s="4"/>
      <c r="K132" s="4" t="str">
        <f t="shared" si="19"/>
        <v/>
      </c>
      <c r="L132" s="17" t="str">
        <f t="shared" si="20"/>
        <v/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24"/>
      <c r="B133" s="119"/>
      <c r="C133" s="16"/>
      <c r="D133" s="115"/>
      <c r="E133" s="14" t="s">
        <v>157</v>
      </c>
      <c r="F133" s="118"/>
      <c r="G133" s="76" t="s">
        <v>24</v>
      </c>
      <c r="H133" s="118"/>
      <c r="I133" s="14" t="s">
        <v>56</v>
      </c>
      <c r="J133" s="4"/>
      <c r="K133" s="4" t="str">
        <f t="shared" si="19"/>
        <v/>
      </c>
      <c r="L133" s="17" t="str">
        <f t="shared" si="20"/>
        <v/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24"/>
      <c r="B134" s="119"/>
      <c r="C134" s="16"/>
      <c r="D134" s="115"/>
      <c r="E134" s="40" t="s">
        <v>144</v>
      </c>
      <c r="F134" s="118"/>
      <c r="G134" s="76" t="s">
        <v>24</v>
      </c>
      <c r="H134" s="118"/>
      <c r="I134" s="40" t="s">
        <v>113</v>
      </c>
      <c r="J134" s="4"/>
      <c r="K134" s="4" t="str">
        <f t="shared" si="19"/>
        <v/>
      </c>
      <c r="L134" s="17" t="str">
        <f t="shared" si="20"/>
        <v/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28"/>
      <c r="B135" s="119"/>
      <c r="C135" s="30"/>
      <c r="D135" s="115"/>
      <c r="E135" s="40">
        <v>0.0</v>
      </c>
      <c r="F135" s="118"/>
      <c r="G135" s="76" t="s">
        <v>24</v>
      </c>
      <c r="H135" s="118"/>
      <c r="I135" s="40" t="s">
        <v>60</v>
      </c>
      <c r="J135" s="4"/>
      <c r="K135" s="4" t="str">
        <f t="shared" si="19"/>
        <v/>
      </c>
      <c r="L135" s="17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10">
        <v>6.0</v>
      </c>
      <c r="B136" s="119"/>
      <c r="C136" s="16"/>
      <c r="D136" s="115"/>
      <c r="E136" s="40" t="s">
        <v>62</v>
      </c>
      <c r="F136" s="118"/>
      <c r="G136" s="76" t="s">
        <v>24</v>
      </c>
      <c r="H136" s="118"/>
      <c r="I136" s="40" t="s">
        <v>144</v>
      </c>
      <c r="J136" s="4"/>
      <c r="K136" s="4" t="str">
        <f t="shared" si="19"/>
        <v/>
      </c>
      <c r="L136" s="17" t="str">
        <f t="shared" si="20"/>
        <v/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24"/>
      <c r="B137" s="119"/>
      <c r="C137" s="16"/>
      <c r="D137" s="115"/>
      <c r="E137" s="14" t="s">
        <v>35</v>
      </c>
      <c r="F137" s="118"/>
      <c r="G137" s="76" t="s">
        <v>24</v>
      </c>
      <c r="H137" s="118"/>
      <c r="I137" s="14" t="s">
        <v>55</v>
      </c>
      <c r="J137" s="4"/>
      <c r="K137" s="4" t="str">
        <f t="shared" si="19"/>
        <v/>
      </c>
      <c r="L137" s="17" t="str">
        <f t="shared" si="20"/>
        <v/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24"/>
      <c r="B138" s="119"/>
      <c r="C138" s="16"/>
      <c r="D138" s="115"/>
      <c r="E138" s="14" t="s">
        <v>56</v>
      </c>
      <c r="F138" s="118"/>
      <c r="G138" s="76" t="s">
        <v>24</v>
      </c>
      <c r="H138" s="118"/>
      <c r="I138" s="14" t="s">
        <v>31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24"/>
      <c r="B139" s="119"/>
      <c r="C139" s="16"/>
      <c r="D139" s="115"/>
      <c r="E139" s="14" t="s">
        <v>157</v>
      </c>
      <c r="F139" s="118"/>
      <c r="G139" s="76" t="s">
        <v>24</v>
      </c>
      <c r="H139" s="118"/>
      <c r="I139" s="14">
        <v>0.0</v>
      </c>
      <c r="J139" s="2"/>
      <c r="K139" s="4" t="str">
        <f t="shared" si="19"/>
        <v/>
      </c>
      <c r="L139" s="17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28"/>
      <c r="B140" s="119"/>
      <c r="C140" s="16"/>
      <c r="D140" s="115"/>
      <c r="E140" s="14" t="s">
        <v>113</v>
      </c>
      <c r="F140" s="118"/>
      <c r="G140" s="76" t="s">
        <v>24</v>
      </c>
      <c r="H140" s="118"/>
      <c r="I140" s="14" t="s">
        <v>60</v>
      </c>
      <c r="J140" s="36"/>
      <c r="K140" s="4" t="str">
        <f t="shared" si="19"/>
        <v/>
      </c>
      <c r="L140" s="17" t="str">
        <f t="shared" si="20"/>
        <v/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10">
        <v>7.0</v>
      </c>
      <c r="B141" s="119"/>
      <c r="C141" s="16"/>
      <c r="D141" s="115"/>
      <c r="E141" s="14" t="s">
        <v>60</v>
      </c>
      <c r="F141" s="118"/>
      <c r="G141" s="76" t="s">
        <v>24</v>
      </c>
      <c r="H141" s="118"/>
      <c r="I141" s="14" t="s">
        <v>62</v>
      </c>
      <c r="J141" s="36"/>
      <c r="K141" s="4" t="str">
        <f t="shared" si="19"/>
        <v/>
      </c>
      <c r="L141" s="17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24"/>
      <c r="B142" s="119"/>
      <c r="C142" s="16"/>
      <c r="D142" s="115"/>
      <c r="E142" s="14" t="s">
        <v>144</v>
      </c>
      <c r="F142" s="118"/>
      <c r="G142" s="76" t="s">
        <v>24</v>
      </c>
      <c r="H142" s="118"/>
      <c r="I142" s="14" t="s">
        <v>35</v>
      </c>
      <c r="J142" s="36"/>
      <c r="K142" s="4" t="str">
        <f t="shared" si="19"/>
        <v/>
      </c>
      <c r="L142" s="17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24"/>
      <c r="B143" s="119"/>
      <c r="C143" s="16"/>
      <c r="D143" s="115"/>
      <c r="E143" s="14" t="s">
        <v>55</v>
      </c>
      <c r="F143" s="118"/>
      <c r="G143" s="76" t="s">
        <v>24</v>
      </c>
      <c r="H143" s="118"/>
      <c r="I143" s="14" t="s">
        <v>56</v>
      </c>
      <c r="J143" s="36"/>
      <c r="K143" s="4" t="str">
        <f t="shared" si="19"/>
        <v/>
      </c>
      <c r="L143" s="17" t="str">
        <f t="shared" si="20"/>
        <v/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119"/>
      <c r="C144" s="16"/>
      <c r="D144" s="115"/>
      <c r="E144" s="14" t="s">
        <v>31</v>
      </c>
      <c r="F144" s="118"/>
      <c r="G144" s="76" t="s">
        <v>24</v>
      </c>
      <c r="H144" s="118"/>
      <c r="I144" s="14" t="s">
        <v>157</v>
      </c>
      <c r="J144" s="36"/>
      <c r="K144" s="4" t="str">
        <f t="shared" si="19"/>
        <v/>
      </c>
      <c r="L144" s="17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8"/>
      <c r="B145" s="29"/>
      <c r="C145" s="16"/>
      <c r="D145" s="115"/>
      <c r="E145" s="14">
        <v>0.0</v>
      </c>
      <c r="F145" s="118"/>
      <c r="G145" s="76" t="s">
        <v>24</v>
      </c>
      <c r="H145" s="118"/>
      <c r="I145" s="14" t="s">
        <v>113</v>
      </c>
      <c r="J145" s="36"/>
      <c r="K145" s="4" t="str">
        <f t="shared" si="19"/>
        <v/>
      </c>
      <c r="L145" s="17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10">
        <v>8.0</v>
      </c>
      <c r="B146" s="29"/>
      <c r="C146" s="16"/>
      <c r="D146" s="115"/>
      <c r="E146" s="14" t="s">
        <v>62</v>
      </c>
      <c r="F146" s="118"/>
      <c r="G146" s="76" t="s">
        <v>24</v>
      </c>
      <c r="H146" s="118"/>
      <c r="I146" s="14" t="s">
        <v>113</v>
      </c>
      <c r="J146" s="36"/>
      <c r="K146" s="4" t="str">
        <f t="shared" si="19"/>
        <v/>
      </c>
      <c r="L146" s="17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4"/>
      <c r="B147" s="29"/>
      <c r="C147" s="16"/>
      <c r="D147" s="115"/>
      <c r="E147" s="14" t="s">
        <v>35</v>
      </c>
      <c r="F147" s="118"/>
      <c r="G147" s="76" t="s">
        <v>24</v>
      </c>
      <c r="H147" s="118"/>
      <c r="I147" s="14" t="s">
        <v>60</v>
      </c>
      <c r="J147" s="36"/>
      <c r="K147" s="4" t="str">
        <f t="shared" si="19"/>
        <v/>
      </c>
      <c r="L147" s="17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24"/>
      <c r="B148" s="29"/>
      <c r="C148" s="16"/>
      <c r="D148" s="115"/>
      <c r="E148" s="14" t="s">
        <v>56</v>
      </c>
      <c r="F148" s="118"/>
      <c r="G148" s="76" t="s">
        <v>24</v>
      </c>
      <c r="H148" s="118"/>
      <c r="I148" s="14" t="s">
        <v>144</v>
      </c>
      <c r="J148" s="36"/>
      <c r="K148" s="4" t="str">
        <f t="shared" si="19"/>
        <v/>
      </c>
      <c r="L148" s="17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19"/>
      <c r="C149" s="16"/>
      <c r="D149" s="115"/>
      <c r="E149" s="14" t="s">
        <v>157</v>
      </c>
      <c r="F149" s="118"/>
      <c r="G149" s="76" t="s">
        <v>24</v>
      </c>
      <c r="H149" s="118"/>
      <c r="I149" s="14" t="s">
        <v>55</v>
      </c>
      <c r="J149" s="36"/>
      <c r="K149" s="4" t="str">
        <f t="shared" si="19"/>
        <v/>
      </c>
      <c r="L149" s="17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8"/>
      <c r="B150" s="29"/>
      <c r="C150" s="16"/>
      <c r="D150" s="115"/>
      <c r="E150" s="14" t="s">
        <v>31</v>
      </c>
      <c r="F150" s="118"/>
      <c r="G150" s="76" t="s">
        <v>24</v>
      </c>
      <c r="H150" s="118"/>
      <c r="I150" s="14">
        <v>0.0</v>
      </c>
      <c r="J150" s="36"/>
      <c r="K150" s="4" t="str">
        <f t="shared" si="19"/>
        <v/>
      </c>
      <c r="L150" s="17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10">
        <v>9.0</v>
      </c>
      <c r="B151" s="29"/>
      <c r="C151" s="16"/>
      <c r="D151" s="115"/>
      <c r="E151" s="14">
        <v>0.0</v>
      </c>
      <c r="F151" s="118"/>
      <c r="G151" s="76" t="s">
        <v>24</v>
      </c>
      <c r="H151" s="118"/>
      <c r="I151" s="14" t="s">
        <v>62</v>
      </c>
      <c r="J151" s="36"/>
      <c r="K151" s="4" t="str">
        <f t="shared" si="19"/>
        <v/>
      </c>
      <c r="L151" s="17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4"/>
      <c r="B152" s="119"/>
      <c r="C152" s="16"/>
      <c r="D152" s="115"/>
      <c r="E152" s="14" t="s">
        <v>113</v>
      </c>
      <c r="F152" s="118"/>
      <c r="G152" s="76" t="s">
        <v>24</v>
      </c>
      <c r="H152" s="118"/>
      <c r="I152" s="14" t="s">
        <v>35</v>
      </c>
      <c r="J152" s="36"/>
      <c r="K152" s="4" t="str">
        <f t="shared" si="19"/>
        <v/>
      </c>
      <c r="L152" s="17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24"/>
      <c r="B153" s="119"/>
      <c r="C153" s="16"/>
      <c r="D153" s="115"/>
      <c r="E153" s="14" t="s">
        <v>60</v>
      </c>
      <c r="F153" s="118"/>
      <c r="G153" s="76" t="s">
        <v>24</v>
      </c>
      <c r="H153" s="118"/>
      <c r="I153" s="14" t="s">
        <v>56</v>
      </c>
      <c r="J153" s="36"/>
      <c r="K153" s="4" t="str">
        <f t="shared" si="19"/>
        <v/>
      </c>
      <c r="L153" s="17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19"/>
      <c r="C154" s="16"/>
      <c r="D154" s="115"/>
      <c r="E154" s="14" t="s">
        <v>144</v>
      </c>
      <c r="F154" s="118"/>
      <c r="G154" s="76" t="s">
        <v>24</v>
      </c>
      <c r="H154" s="118"/>
      <c r="I154" s="14" t="s">
        <v>157</v>
      </c>
      <c r="J154" s="36"/>
      <c r="K154" s="4" t="str">
        <f t="shared" si="19"/>
        <v/>
      </c>
      <c r="L154" s="17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8"/>
      <c r="B155" s="119"/>
      <c r="C155" s="16"/>
      <c r="D155" s="115"/>
      <c r="E155" s="14" t="s">
        <v>55</v>
      </c>
      <c r="F155" s="79"/>
      <c r="G155" s="76" t="s">
        <v>24</v>
      </c>
      <c r="H155" s="79"/>
      <c r="I155" s="14" t="s">
        <v>31</v>
      </c>
      <c r="J155" s="36"/>
      <c r="K155" s="4" t="str">
        <f t="shared" si="19"/>
        <v/>
      </c>
      <c r="L155" s="17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36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36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36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36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51" t="s">
        <v>193</v>
      </c>
      <c r="H160" s="2"/>
      <c r="I160" s="3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89</v>
      </c>
      <c r="U161" s="9" t="s">
        <v>90</v>
      </c>
      <c r="V161" s="9" t="s">
        <v>91</v>
      </c>
      <c r="W161" s="56"/>
      <c r="X161" s="56"/>
      <c r="Y161" s="56"/>
      <c r="Z161" s="56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89</v>
      </c>
      <c r="AK161" s="5" t="s">
        <v>90</v>
      </c>
      <c r="AL161" s="5" t="s">
        <v>91</v>
      </c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5">
        <v>1.0</v>
      </c>
      <c r="B162" s="39"/>
      <c r="C162" s="12"/>
      <c r="D162" s="12"/>
      <c r="E162" s="40" t="s">
        <v>126</v>
      </c>
      <c r="F162" s="13"/>
      <c r="G162" s="16" t="s">
        <v>24</v>
      </c>
      <c r="H162" s="13"/>
      <c r="I162" s="40" t="s">
        <v>127</v>
      </c>
      <c r="J162" s="4"/>
      <c r="K162" s="4" t="str">
        <f t="shared" ref="K162:K164" si="28">IF(F162="","",IFS(F162&gt;H162,3,F162=H162,1,H162&gt;F162,0,F162="",0))</f>
        <v/>
      </c>
      <c r="L162" s="17" t="str">
        <f t="shared" ref="L162:L164" si="29">IF(H162="","",IFS(F162&lt;H162,3,F162=H162,1,H162&lt;F162,0))</f>
        <v/>
      </c>
      <c r="M162" s="4"/>
      <c r="N162" s="17">
        <v>1.0</v>
      </c>
      <c r="O162" s="71" t="s">
        <v>126</v>
      </c>
      <c r="P162" s="17">
        <f t="shared" ref="P162:P164" si="30">SUMIF(E$162:E$164,O162,K$162:K$164)+SUMIF(I$162:I$164,O162,L$162:L$164)</f>
        <v>0</v>
      </c>
      <c r="Q162" s="17">
        <f t="shared" ref="Q162:Q164" si="31">COUNTIFS(E$162:E$164,O162,K$162:K$164,2)+COUNTIFS(I$162:I$164,O162,L$162:L$164,2)</f>
        <v>0</v>
      </c>
      <c r="R162" s="19">
        <f t="shared" ref="R162:R164" si="32">COUNTIFS(E$162:E$164,O162,K$162:K$164,1)+COUNTIFS(I$162:I$164,O162,L$162:L$164,1)</f>
        <v>0</v>
      </c>
      <c r="S162" s="19">
        <f t="shared" ref="S162:S164" si="33">COUNTIFS(E$162:E$164,O162,K$162:K$164,0)+COUNTIFS(I$162:I$164,O162,L$162:L$164,0)</f>
        <v>0</v>
      </c>
      <c r="T162" s="17">
        <f t="shared" ref="T162:T164" si="34">SUMIF(E$162:E$164,O162,F$162:F$164)+SUMIF(I$162:I$164,O162,H$162:H$164)</f>
        <v>0</v>
      </c>
      <c r="U162" s="19">
        <f t="shared" ref="U162:U164" si="35">SUMIF(E$162:E$164,O162,H$162:H$164)+SUMIF(I$162:I$164,O162,F$162:F$164)</f>
        <v>0</v>
      </c>
      <c r="V162" s="17">
        <f t="shared" ref="V162:V164" si="36">T162-U162</f>
        <v>0</v>
      </c>
      <c r="W162" s="56"/>
      <c r="X162" s="56"/>
      <c r="Y162" s="56"/>
      <c r="Z162" s="56"/>
      <c r="AA162" s="86">
        <v>1.0</v>
      </c>
      <c r="AB162" s="63" t="str">
        <f t="array" ref="AB162:AJ164">SORT(O162:X164,2,FALSE,9,FALSE,8,FALSE())</f>
        <v>9º Class. 1ª Div.</v>
      </c>
      <c r="AC162" s="22">
        <v>0.0</v>
      </c>
      <c r="AD162" s="22">
        <v>0.0</v>
      </c>
      <c r="AE162" s="23">
        <v>0.0</v>
      </c>
      <c r="AF162" s="23">
        <v>0.0</v>
      </c>
      <c r="AG162" s="22">
        <v>0.0</v>
      </c>
      <c r="AH162" s="23">
        <v>0.0</v>
      </c>
      <c r="AI162" s="22">
        <v>0.0</v>
      </c>
      <c r="AJ162" s="22"/>
      <c r="AK162" s="23"/>
      <c r="AL162" s="22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5">
        <v>2.0</v>
      </c>
      <c r="B163" s="39"/>
      <c r="C163" s="12"/>
      <c r="D163" s="12"/>
      <c r="E163" s="40" t="s">
        <v>127</v>
      </c>
      <c r="F163" s="13"/>
      <c r="G163" s="16" t="s">
        <v>24</v>
      </c>
      <c r="H163" s="13"/>
      <c r="I163" s="40" t="s">
        <v>128</v>
      </c>
      <c r="J163" s="4"/>
      <c r="K163" s="4" t="str">
        <f t="shared" si="28"/>
        <v/>
      </c>
      <c r="L163" s="17" t="str">
        <f t="shared" si="29"/>
        <v/>
      </c>
      <c r="M163" s="4"/>
      <c r="N163" s="17">
        <v>2.0</v>
      </c>
      <c r="O163" s="71" t="s">
        <v>127</v>
      </c>
      <c r="P163" s="17">
        <f t="shared" si="30"/>
        <v>0</v>
      </c>
      <c r="Q163" s="17">
        <f t="shared" si="31"/>
        <v>0</v>
      </c>
      <c r="R163" s="19">
        <f t="shared" si="32"/>
        <v>0</v>
      </c>
      <c r="S163" s="19">
        <f t="shared" si="33"/>
        <v>0</v>
      </c>
      <c r="T163" s="17">
        <f t="shared" si="34"/>
        <v>0</v>
      </c>
      <c r="U163" s="19">
        <f t="shared" si="35"/>
        <v>0</v>
      </c>
      <c r="V163" s="17">
        <f t="shared" si="36"/>
        <v>0</v>
      </c>
      <c r="W163" s="56"/>
      <c r="X163" s="56"/>
      <c r="Y163" s="56"/>
      <c r="Z163" s="56"/>
      <c r="AA163" s="86">
        <v>2.0</v>
      </c>
      <c r="AB163" s="63" t="s">
        <v>127</v>
      </c>
      <c r="AC163" s="22">
        <v>0.0</v>
      </c>
      <c r="AD163" s="22">
        <v>0.0</v>
      </c>
      <c r="AE163" s="23">
        <v>0.0</v>
      </c>
      <c r="AF163" s="23">
        <v>0.0</v>
      </c>
      <c r="AG163" s="22">
        <v>0.0</v>
      </c>
      <c r="AH163" s="23">
        <v>0.0</v>
      </c>
      <c r="AI163" s="22">
        <v>0.0</v>
      </c>
      <c r="AJ163" s="22"/>
      <c r="AK163" s="23"/>
      <c r="AL163" s="22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5">
        <v>3.0</v>
      </c>
      <c r="B164" s="39"/>
      <c r="C164" s="12"/>
      <c r="D164" s="12"/>
      <c r="E164" s="40" t="s">
        <v>128</v>
      </c>
      <c r="F164" s="13"/>
      <c r="G164" s="16" t="s">
        <v>24</v>
      </c>
      <c r="H164" s="13"/>
      <c r="I164" s="40" t="s">
        <v>126</v>
      </c>
      <c r="J164" s="4"/>
      <c r="K164" s="4" t="str">
        <f t="shared" si="28"/>
        <v/>
      </c>
      <c r="L164" s="17" t="str">
        <f t="shared" si="29"/>
        <v/>
      </c>
      <c r="M164" s="4"/>
      <c r="N164" s="17">
        <v>3.0</v>
      </c>
      <c r="O164" s="71" t="s">
        <v>128</v>
      </c>
      <c r="P164" s="17">
        <f t="shared" si="30"/>
        <v>0</v>
      </c>
      <c r="Q164" s="17">
        <f t="shared" si="31"/>
        <v>0</v>
      </c>
      <c r="R164" s="19">
        <f t="shared" si="32"/>
        <v>0</v>
      </c>
      <c r="S164" s="19">
        <f t="shared" si="33"/>
        <v>0</v>
      </c>
      <c r="T164" s="17">
        <f t="shared" si="34"/>
        <v>0</v>
      </c>
      <c r="U164" s="19">
        <f t="shared" si="35"/>
        <v>0</v>
      </c>
      <c r="V164" s="17">
        <f t="shared" si="36"/>
        <v>0</v>
      </c>
      <c r="W164" s="56"/>
      <c r="X164" s="56"/>
      <c r="Y164" s="56"/>
      <c r="Z164" s="56"/>
      <c r="AA164" s="21">
        <v>3.0</v>
      </c>
      <c r="AB164" s="63" t="s">
        <v>128</v>
      </c>
      <c r="AC164" s="22">
        <v>0.0</v>
      </c>
      <c r="AD164" s="22">
        <v>0.0</v>
      </c>
      <c r="AE164" s="23">
        <v>0.0</v>
      </c>
      <c r="AF164" s="23">
        <v>0.0</v>
      </c>
      <c r="AG164" s="22">
        <v>0.0</v>
      </c>
      <c r="AH164" s="23">
        <v>0.0</v>
      </c>
      <c r="AI164" s="22">
        <v>0.0</v>
      </c>
      <c r="AJ164" s="22"/>
      <c r="AK164" s="23"/>
      <c r="AL164" s="22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4"/>
      <c r="B165" s="56"/>
      <c r="C165" s="56"/>
      <c r="D165" s="56"/>
      <c r="E165" s="36"/>
      <c r="F165" s="56"/>
      <c r="G165" s="56"/>
      <c r="H165" s="5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4"/>
      <c r="AD165" s="36"/>
      <c r="AF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4"/>
      <c r="B166" s="56"/>
      <c r="C166" s="56"/>
      <c r="D166" s="56"/>
      <c r="E166" s="36"/>
      <c r="F166" s="56"/>
      <c r="G166" s="56"/>
      <c r="H166" s="5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F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4"/>
      <c r="B167" s="56"/>
      <c r="C167" s="56"/>
      <c r="D167" s="56"/>
      <c r="E167" s="36"/>
      <c r="F167" s="56"/>
      <c r="G167" s="56"/>
      <c r="H167" s="5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F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4"/>
      <c r="B168" s="56"/>
      <c r="C168" s="56"/>
      <c r="D168" s="56"/>
      <c r="E168" s="36"/>
      <c r="F168" s="56"/>
      <c r="G168" s="56"/>
      <c r="H168" s="5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F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51" t="s">
        <v>194</v>
      </c>
      <c r="H169" s="2"/>
      <c r="I169" s="3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F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F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52" t="s">
        <v>68</v>
      </c>
      <c r="B171" s="39"/>
      <c r="C171" s="12"/>
      <c r="D171" s="12"/>
      <c r="E171" s="40" t="s">
        <v>69</v>
      </c>
      <c r="F171" s="30"/>
      <c r="G171" s="16" t="s">
        <v>24</v>
      </c>
      <c r="H171" s="30"/>
      <c r="I171" s="40" t="s">
        <v>131</v>
      </c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F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4"/>
      <c r="B172" s="39"/>
      <c r="C172" s="12"/>
      <c r="D172" s="12"/>
      <c r="E172" s="40" t="s">
        <v>71</v>
      </c>
      <c r="F172" s="30"/>
      <c r="G172" s="16" t="s">
        <v>24</v>
      </c>
      <c r="H172" s="30"/>
      <c r="I172" s="40" t="s">
        <v>130</v>
      </c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F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24"/>
      <c r="B173" s="39"/>
      <c r="C173" s="12"/>
      <c r="D173" s="12"/>
      <c r="E173" s="40" t="s">
        <v>73</v>
      </c>
      <c r="F173" s="30"/>
      <c r="G173" s="16" t="s">
        <v>24</v>
      </c>
      <c r="H173" s="30"/>
      <c r="I173" s="40" t="s">
        <v>74</v>
      </c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28"/>
      <c r="B174" s="39"/>
      <c r="C174" s="12"/>
      <c r="D174" s="12"/>
      <c r="E174" s="40" t="s">
        <v>75</v>
      </c>
      <c r="F174" s="30"/>
      <c r="G174" s="16" t="s">
        <v>24</v>
      </c>
      <c r="H174" s="30"/>
      <c r="I174" s="40" t="s">
        <v>76</v>
      </c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53" t="s">
        <v>77</v>
      </c>
      <c r="B175" s="39"/>
      <c r="C175" s="12"/>
      <c r="D175" s="12"/>
      <c r="E175" s="40" t="s">
        <v>78</v>
      </c>
      <c r="F175" s="30"/>
      <c r="G175" s="16" t="s">
        <v>24</v>
      </c>
      <c r="H175" s="30"/>
      <c r="I175" s="40" t="s">
        <v>79</v>
      </c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24"/>
      <c r="B176" s="49"/>
      <c r="C176" s="30"/>
      <c r="D176" s="12"/>
      <c r="E176" s="42" t="s">
        <v>80</v>
      </c>
      <c r="F176" s="13"/>
      <c r="G176" s="16" t="s">
        <v>24</v>
      </c>
      <c r="H176" s="13"/>
      <c r="I176" s="40" t="s">
        <v>81</v>
      </c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4" t="s">
        <v>82</v>
      </c>
      <c r="B177" s="29"/>
      <c r="C177" s="30"/>
      <c r="D177" s="12"/>
      <c r="E177" s="40" t="s">
        <v>83</v>
      </c>
      <c r="F177" s="30"/>
      <c r="G177" s="16" t="s">
        <v>24</v>
      </c>
      <c r="H177" s="30"/>
      <c r="I177" s="43" t="s">
        <v>84</v>
      </c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4" t="s">
        <v>85</v>
      </c>
      <c r="B178" s="29"/>
      <c r="C178" s="30"/>
      <c r="D178" s="12"/>
      <c r="E178" s="40" t="s">
        <v>86</v>
      </c>
      <c r="F178" s="30"/>
      <c r="G178" s="16" t="s">
        <v>24</v>
      </c>
      <c r="H178" s="30"/>
      <c r="I178" s="40" t="s">
        <v>87</v>
      </c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/>
      <c r="B179" s="56"/>
      <c r="C179" s="56"/>
      <c r="D179" s="56"/>
      <c r="E179" s="36"/>
      <c r="F179" s="56"/>
      <c r="G179" s="56"/>
      <c r="H179" s="5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4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4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4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4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4"/>
      <c r="B186" s="56"/>
      <c r="C186" s="56"/>
      <c r="D186" s="56"/>
      <c r="E186" s="36"/>
      <c r="F186" s="56"/>
      <c r="G186" s="56"/>
      <c r="H186" s="5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4"/>
      <c r="B187" s="56"/>
      <c r="C187" s="56"/>
      <c r="D187" s="56"/>
      <c r="E187" s="36"/>
      <c r="F187" s="56"/>
      <c r="G187" s="56"/>
      <c r="H187" s="5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4"/>
      <c r="B188" s="56"/>
      <c r="C188" s="56"/>
      <c r="D188" s="56"/>
      <c r="E188" s="36"/>
      <c r="F188" s="56"/>
      <c r="G188" s="56"/>
      <c r="H188" s="5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4"/>
      <c r="B189" s="56"/>
      <c r="C189" s="56"/>
      <c r="D189" s="56"/>
      <c r="E189" s="36"/>
      <c r="F189" s="56"/>
      <c r="G189" s="56"/>
      <c r="H189" s="5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36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36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36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36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36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36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36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36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36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36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36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36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36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36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36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36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36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4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4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4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4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4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4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4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4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4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4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4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4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4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4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4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4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4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4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4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4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4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4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4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4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4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4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4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4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4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4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4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4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4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4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4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4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4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4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4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4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4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4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4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4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4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4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4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4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4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4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4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4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4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4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4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4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4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4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4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4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4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4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4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4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4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4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4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4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2" t="s">
        <v>195</v>
      </c>
      <c r="I1" s="123"/>
      <c r="AA1" s="3"/>
      <c r="AB1" s="123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196</v>
      </c>
      <c r="U2" s="9" t="s">
        <v>197</v>
      </c>
      <c r="V2" s="9" t="s">
        <v>198</v>
      </c>
      <c r="W2" s="3"/>
      <c r="X2" s="108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196</v>
      </c>
      <c r="AH2" s="5" t="s">
        <v>197</v>
      </c>
      <c r="AI2" s="5" t="s">
        <v>198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24"/>
      <c r="K3" s="125">
        <f t="shared" ref="K3:K68" si="1">IFS(F3=H3+2,3,F3=H3-2,0,F3=H3+1,2,F3=H3-1,1,F3="","")</f>
        <v>1</v>
      </c>
      <c r="L3" s="126">
        <f t="shared" ref="L3:L68" si="2">IFS(H3=F3+2,3,H3=F3-2,0,H3=F3+1,2,H3=F3-1,1,H3="","")</f>
        <v>2</v>
      </c>
      <c r="M3" s="124"/>
      <c r="N3" s="126">
        <v>1.0</v>
      </c>
      <c r="O3" s="127" t="s">
        <v>23</v>
      </c>
      <c r="P3" s="126">
        <f t="shared" ref="P3:P14" si="3">SUMIF(E$3:E$68,O3,K$3:K$68)+SUMIF(I$3:I$68,O3,L$3:L$68)</f>
        <v>14</v>
      </c>
      <c r="Q3" s="128">
        <f t="shared" ref="Q3:Q14" si="4">COUNTIFS(E$3:E$68,O3,K$3:K$68,2)+COUNTIFS(I$3:I$68,O3,L$3:L$68,2)+COUNTIFS(E$3:E$68,O3,K$3:K$68,3)+COUNTIFS(I$3:I$68,O3,L$3:L$68,3)</f>
        <v>5</v>
      </c>
      <c r="R3" s="128"/>
      <c r="S3" s="129">
        <f t="shared" ref="S3:S14" si="5">COUNTIFS(E$3:E$68,O3,K$3:K$68,1)+COUNTIFS(I$3:I$68,O3,L$3:L$68,1)+COUNTIFS(E$3:E$68,O3,K$3:K$68,0)+COUNTIFS(I$3:I$68,O3,L$3:L$68,0)</f>
        <v>1</v>
      </c>
      <c r="T3" s="126">
        <f t="shared" ref="T3:T14" si="6">SUMIF(E$3:E$68,O3,F$3:F$68)+SUMIF(I$3:I$68,O3,H$3:H$68)</f>
        <v>11</v>
      </c>
      <c r="U3" s="129">
        <f t="shared" ref="U3:U14" si="7">SUMIF(E$3:E$68,O3,H$3:H$68)+SUMIF(I$3:I$68,O3,F$3:F$68)</f>
        <v>4</v>
      </c>
      <c r="V3" s="126">
        <f t="shared" ref="V3:V14" si="8">T3-U3</f>
        <v>7</v>
      </c>
      <c r="X3" s="112" t="s">
        <v>26</v>
      </c>
      <c r="Y3" s="112" t="s">
        <v>13</v>
      </c>
      <c r="AA3" s="21" t="s">
        <v>29</v>
      </c>
      <c r="AB3" s="63" t="str">
        <f t="array" ref="AB3:AI14">SORT(O3:V14,2,FALSE,8,FALSE)</f>
        <v>EET</v>
      </c>
      <c r="AC3" s="22">
        <v>17.0</v>
      </c>
      <c r="AD3" s="22">
        <v>6.0</v>
      </c>
      <c r="AE3" s="22"/>
      <c r="AF3" s="23">
        <v>0.0</v>
      </c>
      <c r="AG3" s="22">
        <v>12.0</v>
      </c>
      <c r="AH3" s="23">
        <v>1.0</v>
      </c>
      <c r="AI3" s="22">
        <v>11.0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116</v>
      </c>
      <c r="J4" s="124"/>
      <c r="K4" s="125">
        <f t="shared" si="1"/>
        <v>0</v>
      </c>
      <c r="L4" s="126">
        <f t="shared" si="2"/>
        <v>3</v>
      </c>
      <c r="M4" s="124"/>
      <c r="N4" s="126">
        <v>2.0</v>
      </c>
      <c r="O4" s="127" t="s">
        <v>144</v>
      </c>
      <c r="P4" s="126">
        <f t="shared" si="3"/>
        <v>10</v>
      </c>
      <c r="Q4" s="128">
        <f t="shared" si="4"/>
        <v>3</v>
      </c>
      <c r="R4" s="128"/>
      <c r="S4" s="129">
        <f t="shared" si="5"/>
        <v>3</v>
      </c>
      <c r="T4" s="126">
        <f t="shared" si="6"/>
        <v>7</v>
      </c>
      <c r="U4" s="129">
        <f t="shared" si="7"/>
        <v>6</v>
      </c>
      <c r="V4" s="126">
        <f t="shared" si="8"/>
        <v>1</v>
      </c>
      <c r="X4" s="113" t="s">
        <v>61</v>
      </c>
      <c r="Y4" s="113">
        <v>2.0</v>
      </c>
      <c r="AA4" s="21" t="s">
        <v>34</v>
      </c>
      <c r="AB4" s="63" t="s">
        <v>25</v>
      </c>
      <c r="AC4" s="22">
        <v>15.0</v>
      </c>
      <c r="AD4" s="22">
        <v>5.0</v>
      </c>
      <c r="AE4" s="22"/>
      <c r="AF4" s="23">
        <v>1.0</v>
      </c>
      <c r="AG4" s="22">
        <v>11.0</v>
      </c>
      <c r="AH4" s="23">
        <v>3.0</v>
      </c>
      <c r="AI4" s="22">
        <v>8.0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130" t="s">
        <v>32</v>
      </c>
      <c r="F5" s="13">
        <v>0.0</v>
      </c>
      <c r="G5" s="30" t="s">
        <v>24</v>
      </c>
      <c r="H5" s="13">
        <v>2.0</v>
      </c>
      <c r="I5" s="14" t="s">
        <v>188</v>
      </c>
      <c r="J5" s="124"/>
      <c r="K5" s="125">
        <f t="shared" si="1"/>
        <v>0</v>
      </c>
      <c r="L5" s="126">
        <f t="shared" si="2"/>
        <v>3</v>
      </c>
      <c r="M5" s="124"/>
      <c r="N5" s="126">
        <v>3.0</v>
      </c>
      <c r="O5" s="127" t="s">
        <v>25</v>
      </c>
      <c r="P5" s="126">
        <f t="shared" si="3"/>
        <v>15</v>
      </c>
      <c r="Q5" s="128">
        <f t="shared" si="4"/>
        <v>5</v>
      </c>
      <c r="R5" s="128"/>
      <c r="S5" s="129">
        <f t="shared" si="5"/>
        <v>1</v>
      </c>
      <c r="T5" s="126">
        <f t="shared" si="6"/>
        <v>11</v>
      </c>
      <c r="U5" s="129">
        <f t="shared" si="7"/>
        <v>3</v>
      </c>
      <c r="V5" s="126">
        <f t="shared" si="8"/>
        <v>8</v>
      </c>
      <c r="X5" s="113" t="s">
        <v>31</v>
      </c>
      <c r="Y5" s="113">
        <v>1.0</v>
      </c>
      <c r="AA5" s="21" t="s">
        <v>39</v>
      </c>
      <c r="AB5" s="63" t="s">
        <v>23</v>
      </c>
      <c r="AC5" s="22">
        <v>14.0</v>
      </c>
      <c r="AD5" s="22">
        <v>5.0</v>
      </c>
      <c r="AE5" s="22"/>
      <c r="AF5" s="23">
        <v>1.0</v>
      </c>
      <c r="AG5" s="22">
        <v>11.0</v>
      </c>
      <c r="AH5" s="23">
        <v>4.0</v>
      </c>
      <c r="AI5" s="22">
        <v>7.0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40</v>
      </c>
      <c r="J6" s="124"/>
      <c r="K6" s="125">
        <f t="shared" si="1"/>
        <v>3</v>
      </c>
      <c r="L6" s="126">
        <f t="shared" si="2"/>
        <v>0</v>
      </c>
      <c r="M6" s="124"/>
      <c r="N6" s="126">
        <v>4.0</v>
      </c>
      <c r="O6" s="127" t="s">
        <v>114</v>
      </c>
      <c r="P6" s="126">
        <f t="shared" si="3"/>
        <v>8</v>
      </c>
      <c r="Q6" s="128">
        <f t="shared" si="4"/>
        <v>3</v>
      </c>
      <c r="R6" s="128"/>
      <c r="S6" s="129">
        <f t="shared" si="5"/>
        <v>3</v>
      </c>
      <c r="T6" s="126">
        <f t="shared" si="6"/>
        <v>6</v>
      </c>
      <c r="U6" s="129">
        <f t="shared" si="7"/>
        <v>7</v>
      </c>
      <c r="V6" s="126">
        <f t="shared" si="8"/>
        <v>-1</v>
      </c>
      <c r="AA6" s="21" t="s">
        <v>43</v>
      </c>
      <c r="AB6" s="63" t="s">
        <v>57</v>
      </c>
      <c r="AC6" s="22">
        <v>12.0</v>
      </c>
      <c r="AD6" s="22">
        <v>4.0</v>
      </c>
      <c r="AE6" s="22"/>
      <c r="AF6" s="23">
        <v>2.0</v>
      </c>
      <c r="AG6" s="22">
        <v>9.0</v>
      </c>
      <c r="AH6" s="23">
        <v>5.0</v>
      </c>
      <c r="AI6" s="22">
        <v>4.0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114</v>
      </c>
      <c r="F7" s="13">
        <v>2.0</v>
      </c>
      <c r="G7" s="30" t="s">
        <v>24</v>
      </c>
      <c r="H7" s="13">
        <v>0.0</v>
      </c>
      <c r="I7" s="14" t="s">
        <v>61</v>
      </c>
      <c r="J7" s="124"/>
      <c r="K7" s="125">
        <f t="shared" si="1"/>
        <v>3</v>
      </c>
      <c r="L7" s="126">
        <f t="shared" si="2"/>
        <v>0</v>
      </c>
      <c r="M7" s="124"/>
      <c r="N7" s="126">
        <v>5.0</v>
      </c>
      <c r="O7" s="127" t="s">
        <v>116</v>
      </c>
      <c r="P7" s="126">
        <f t="shared" si="3"/>
        <v>9</v>
      </c>
      <c r="Q7" s="128">
        <f t="shared" si="4"/>
        <v>3</v>
      </c>
      <c r="R7" s="128"/>
      <c r="S7" s="129">
        <f t="shared" si="5"/>
        <v>3</v>
      </c>
      <c r="T7" s="126">
        <f t="shared" si="6"/>
        <v>7</v>
      </c>
      <c r="U7" s="129">
        <f t="shared" si="7"/>
        <v>7</v>
      </c>
      <c r="V7" s="126">
        <f t="shared" si="8"/>
        <v>0</v>
      </c>
      <c r="AA7" s="21" t="s">
        <v>44</v>
      </c>
      <c r="AB7" s="63" t="s">
        <v>144</v>
      </c>
      <c r="AC7" s="22">
        <v>10.0</v>
      </c>
      <c r="AD7" s="22">
        <v>3.0</v>
      </c>
      <c r="AE7" s="22"/>
      <c r="AF7" s="23">
        <v>3.0</v>
      </c>
      <c r="AG7" s="22">
        <v>7.0</v>
      </c>
      <c r="AH7" s="23">
        <v>6.0</v>
      </c>
      <c r="AI7" s="22">
        <v>1.0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57</v>
      </c>
      <c r="F8" s="13">
        <v>2.0</v>
      </c>
      <c r="G8" s="30" t="s">
        <v>24</v>
      </c>
      <c r="H8" s="13">
        <v>0.0</v>
      </c>
      <c r="I8" s="14" t="s">
        <v>144</v>
      </c>
      <c r="J8" s="124"/>
      <c r="K8" s="125">
        <f t="shared" si="1"/>
        <v>3</v>
      </c>
      <c r="L8" s="126">
        <f t="shared" si="2"/>
        <v>0</v>
      </c>
      <c r="M8" s="124"/>
      <c r="N8" s="126">
        <v>6.0</v>
      </c>
      <c r="O8" s="127" t="s">
        <v>37</v>
      </c>
      <c r="P8" s="126">
        <f t="shared" si="3"/>
        <v>17</v>
      </c>
      <c r="Q8" s="128">
        <f t="shared" si="4"/>
        <v>6</v>
      </c>
      <c r="R8" s="128"/>
      <c r="S8" s="129">
        <f t="shared" si="5"/>
        <v>0</v>
      </c>
      <c r="T8" s="126">
        <f t="shared" si="6"/>
        <v>12</v>
      </c>
      <c r="U8" s="129">
        <f t="shared" si="7"/>
        <v>1</v>
      </c>
      <c r="V8" s="126">
        <f t="shared" si="8"/>
        <v>11</v>
      </c>
      <c r="AA8" s="21" t="s">
        <v>47</v>
      </c>
      <c r="AB8" s="63" t="s">
        <v>116</v>
      </c>
      <c r="AC8" s="22">
        <v>9.0</v>
      </c>
      <c r="AD8" s="22">
        <v>3.0</v>
      </c>
      <c r="AE8" s="22"/>
      <c r="AF8" s="23">
        <v>3.0</v>
      </c>
      <c r="AG8" s="22">
        <v>7.0</v>
      </c>
      <c r="AH8" s="23">
        <v>7.0</v>
      </c>
      <c r="AI8" s="22">
        <v>0.0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57</v>
      </c>
      <c r="J9" s="124"/>
      <c r="K9" s="125">
        <f t="shared" si="1"/>
        <v>1</v>
      </c>
      <c r="L9" s="126">
        <f t="shared" si="2"/>
        <v>2</v>
      </c>
      <c r="M9" s="124"/>
      <c r="N9" s="126">
        <v>7.0</v>
      </c>
      <c r="O9" s="127" t="s">
        <v>188</v>
      </c>
      <c r="P9" s="126">
        <f t="shared" si="3"/>
        <v>5</v>
      </c>
      <c r="Q9" s="128">
        <f t="shared" si="4"/>
        <v>2</v>
      </c>
      <c r="R9" s="128"/>
      <c r="S9" s="129">
        <f t="shared" si="5"/>
        <v>4</v>
      </c>
      <c r="T9" s="126">
        <f t="shared" si="6"/>
        <v>4</v>
      </c>
      <c r="U9" s="129">
        <f t="shared" si="7"/>
        <v>9</v>
      </c>
      <c r="V9" s="126">
        <f t="shared" si="8"/>
        <v>-5</v>
      </c>
      <c r="AA9" s="21">
        <v>7.0</v>
      </c>
      <c r="AB9" s="63" t="s">
        <v>114</v>
      </c>
      <c r="AC9" s="22">
        <v>8.0</v>
      </c>
      <c r="AD9" s="22">
        <v>3.0</v>
      </c>
      <c r="AE9" s="22"/>
      <c r="AF9" s="23">
        <v>3.0</v>
      </c>
      <c r="AG9" s="22">
        <v>6.0</v>
      </c>
      <c r="AH9" s="23">
        <v>7.0</v>
      </c>
      <c r="AI9" s="22">
        <v>-1.0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116</v>
      </c>
      <c r="F10" s="13">
        <v>0.0</v>
      </c>
      <c r="G10" s="30" t="s">
        <v>24</v>
      </c>
      <c r="H10" s="13">
        <v>2.0</v>
      </c>
      <c r="I10" s="14" t="s">
        <v>23</v>
      </c>
      <c r="J10" s="124"/>
      <c r="K10" s="125">
        <f t="shared" si="1"/>
        <v>0</v>
      </c>
      <c r="L10" s="126">
        <f t="shared" si="2"/>
        <v>3</v>
      </c>
      <c r="M10" s="124"/>
      <c r="N10" s="126">
        <v>8.0</v>
      </c>
      <c r="O10" s="127" t="s">
        <v>32</v>
      </c>
      <c r="P10" s="126">
        <f t="shared" si="3"/>
        <v>3</v>
      </c>
      <c r="Q10" s="128">
        <f t="shared" si="4"/>
        <v>1</v>
      </c>
      <c r="R10" s="128"/>
      <c r="S10" s="129">
        <f t="shared" si="5"/>
        <v>5</v>
      </c>
      <c r="T10" s="126">
        <f t="shared" si="6"/>
        <v>3</v>
      </c>
      <c r="U10" s="129">
        <f t="shared" si="7"/>
        <v>11</v>
      </c>
      <c r="V10" s="126">
        <f t="shared" si="8"/>
        <v>-8</v>
      </c>
      <c r="AA10" s="21">
        <v>8.0</v>
      </c>
      <c r="AB10" s="63" t="s">
        <v>40</v>
      </c>
      <c r="AC10" s="22">
        <v>7.0</v>
      </c>
      <c r="AD10" s="22">
        <v>2.0</v>
      </c>
      <c r="AE10" s="22"/>
      <c r="AF10" s="23">
        <v>4.0</v>
      </c>
      <c r="AG10" s="22">
        <v>6.0</v>
      </c>
      <c r="AH10" s="23">
        <v>9.0</v>
      </c>
      <c r="AI10" s="22">
        <v>-3.0</v>
      </c>
    </row>
    <row r="11" ht="15.75" customHeight="1">
      <c r="A11" s="24"/>
      <c r="B11" s="11">
        <v>45957.0</v>
      </c>
      <c r="C11" s="65" t="s">
        <v>30</v>
      </c>
      <c r="D11" s="12" t="s">
        <v>22</v>
      </c>
      <c r="E11" s="14" t="s">
        <v>188</v>
      </c>
      <c r="F11" s="13">
        <v>0.0</v>
      </c>
      <c r="G11" s="30" t="s">
        <v>24</v>
      </c>
      <c r="H11" s="13">
        <v>2.0</v>
      </c>
      <c r="I11" s="14" t="s">
        <v>31</v>
      </c>
      <c r="J11" s="124"/>
      <c r="K11" s="125">
        <f t="shared" si="1"/>
        <v>0</v>
      </c>
      <c r="L11" s="126">
        <f t="shared" si="2"/>
        <v>3</v>
      </c>
      <c r="M11" s="124"/>
      <c r="N11" s="126">
        <v>9.0</v>
      </c>
      <c r="O11" s="127" t="s">
        <v>40</v>
      </c>
      <c r="P11" s="126">
        <f t="shared" si="3"/>
        <v>7</v>
      </c>
      <c r="Q11" s="128">
        <f t="shared" si="4"/>
        <v>2</v>
      </c>
      <c r="R11" s="128"/>
      <c r="S11" s="129">
        <f t="shared" si="5"/>
        <v>4</v>
      </c>
      <c r="T11" s="126">
        <f t="shared" si="6"/>
        <v>6</v>
      </c>
      <c r="U11" s="129">
        <f t="shared" si="7"/>
        <v>9</v>
      </c>
      <c r="V11" s="126">
        <f t="shared" si="8"/>
        <v>-3</v>
      </c>
      <c r="AA11" s="100" t="s">
        <v>102</v>
      </c>
      <c r="AB11" s="63" t="s">
        <v>31</v>
      </c>
      <c r="AC11" s="22">
        <v>7.0</v>
      </c>
      <c r="AD11" s="22">
        <v>2.0</v>
      </c>
      <c r="AE11" s="22"/>
      <c r="AF11" s="23">
        <v>4.0</v>
      </c>
      <c r="AG11" s="22">
        <v>5.0</v>
      </c>
      <c r="AH11" s="23">
        <v>8.0</v>
      </c>
      <c r="AI11" s="22">
        <v>-3.0</v>
      </c>
    </row>
    <row r="12" ht="15.75" customHeight="1">
      <c r="A12" s="24"/>
      <c r="B12" s="11">
        <v>45946.0</v>
      </c>
      <c r="C12" s="65" t="s">
        <v>21</v>
      </c>
      <c r="D12" s="12" t="s">
        <v>22</v>
      </c>
      <c r="E12" s="14" t="s">
        <v>40</v>
      </c>
      <c r="F12" s="13">
        <v>2.0</v>
      </c>
      <c r="G12" s="30" t="s">
        <v>24</v>
      </c>
      <c r="H12" s="13">
        <v>1.0</v>
      </c>
      <c r="I12" s="14" t="s">
        <v>32</v>
      </c>
      <c r="J12" s="124"/>
      <c r="K12" s="125">
        <f t="shared" si="1"/>
        <v>2</v>
      </c>
      <c r="L12" s="126">
        <f t="shared" si="2"/>
        <v>1</v>
      </c>
      <c r="M12" s="124"/>
      <c r="N12" s="126">
        <v>10.0</v>
      </c>
      <c r="O12" s="131" t="s">
        <v>31</v>
      </c>
      <c r="P12" s="126">
        <f t="shared" si="3"/>
        <v>7</v>
      </c>
      <c r="Q12" s="128">
        <f t="shared" si="4"/>
        <v>2</v>
      </c>
      <c r="R12" s="128"/>
      <c r="S12" s="129">
        <f t="shared" si="5"/>
        <v>4</v>
      </c>
      <c r="T12" s="126">
        <f t="shared" si="6"/>
        <v>5</v>
      </c>
      <c r="U12" s="129">
        <f t="shared" si="7"/>
        <v>8</v>
      </c>
      <c r="V12" s="126">
        <f t="shared" si="8"/>
        <v>-3</v>
      </c>
      <c r="AA12" s="70">
        <v>10.0</v>
      </c>
      <c r="AB12" s="63" t="s">
        <v>188</v>
      </c>
      <c r="AC12" s="22">
        <v>5.0</v>
      </c>
      <c r="AD12" s="22">
        <v>2.0</v>
      </c>
      <c r="AE12" s="22"/>
      <c r="AF12" s="23">
        <v>4.0</v>
      </c>
      <c r="AG12" s="22">
        <v>4.0</v>
      </c>
      <c r="AH12" s="23">
        <v>9.0</v>
      </c>
      <c r="AI12" s="22">
        <v>-5.0</v>
      </c>
    </row>
    <row r="13" ht="15.75" customHeight="1">
      <c r="A13" s="24"/>
      <c r="B13" s="11">
        <v>45957.0</v>
      </c>
      <c r="C13" s="65" t="s">
        <v>30</v>
      </c>
      <c r="D13" s="12" t="s">
        <v>22</v>
      </c>
      <c r="E13" s="14" t="s">
        <v>61</v>
      </c>
      <c r="F13" s="13">
        <v>0.0</v>
      </c>
      <c r="G13" s="30" t="s">
        <v>24</v>
      </c>
      <c r="H13" s="13">
        <v>2.0</v>
      </c>
      <c r="I13" s="14" t="s">
        <v>37</v>
      </c>
      <c r="J13" s="124"/>
      <c r="K13" s="125">
        <f t="shared" si="1"/>
        <v>0</v>
      </c>
      <c r="L13" s="126">
        <f t="shared" si="2"/>
        <v>3</v>
      </c>
      <c r="M13" s="124"/>
      <c r="N13" s="126">
        <v>11.0</v>
      </c>
      <c r="O13" s="132" t="s">
        <v>61</v>
      </c>
      <c r="P13" s="126">
        <f t="shared" si="3"/>
        <v>1</v>
      </c>
      <c r="Q13" s="128">
        <f t="shared" si="4"/>
        <v>0</v>
      </c>
      <c r="R13" s="128"/>
      <c r="S13" s="129">
        <f t="shared" si="5"/>
        <v>6</v>
      </c>
      <c r="T13" s="126">
        <f t="shared" si="6"/>
        <v>1</v>
      </c>
      <c r="U13" s="129">
        <f t="shared" si="7"/>
        <v>12</v>
      </c>
      <c r="V13" s="126">
        <f t="shared" si="8"/>
        <v>-11</v>
      </c>
      <c r="AA13" s="70">
        <v>11.0</v>
      </c>
      <c r="AB13" s="63" t="s">
        <v>32</v>
      </c>
      <c r="AC13" s="22">
        <v>3.0</v>
      </c>
      <c r="AD13" s="22">
        <v>1.0</v>
      </c>
      <c r="AE13" s="22"/>
      <c r="AF13" s="23">
        <v>5.0</v>
      </c>
      <c r="AG13" s="22">
        <v>3.0</v>
      </c>
      <c r="AH13" s="23">
        <v>11.0</v>
      </c>
      <c r="AI13" s="22">
        <v>-8.0</v>
      </c>
    </row>
    <row r="14" ht="15.75" customHeight="1">
      <c r="A14" s="28"/>
      <c r="B14" s="11">
        <v>45957.0</v>
      </c>
      <c r="C14" s="65" t="s">
        <v>36</v>
      </c>
      <c r="D14" s="12" t="s">
        <v>22</v>
      </c>
      <c r="E14" s="14" t="s">
        <v>144</v>
      </c>
      <c r="F14" s="13">
        <v>2.0</v>
      </c>
      <c r="G14" s="30" t="s">
        <v>24</v>
      </c>
      <c r="H14" s="13">
        <v>0.0</v>
      </c>
      <c r="I14" s="14" t="s">
        <v>114</v>
      </c>
      <c r="J14" s="124"/>
      <c r="K14" s="125">
        <f t="shared" si="1"/>
        <v>3</v>
      </c>
      <c r="L14" s="126">
        <f t="shared" si="2"/>
        <v>0</v>
      </c>
      <c r="M14" s="124"/>
      <c r="N14" s="133">
        <v>12.0</v>
      </c>
      <c r="O14" s="132" t="s">
        <v>57</v>
      </c>
      <c r="P14" s="126">
        <f t="shared" si="3"/>
        <v>12</v>
      </c>
      <c r="Q14" s="128">
        <f t="shared" si="4"/>
        <v>4</v>
      </c>
      <c r="S14" s="129">
        <f t="shared" si="5"/>
        <v>2</v>
      </c>
      <c r="T14" s="126">
        <f t="shared" si="6"/>
        <v>9</v>
      </c>
      <c r="U14" s="129">
        <f t="shared" si="7"/>
        <v>5</v>
      </c>
      <c r="V14" s="126">
        <f t="shared" si="8"/>
        <v>4</v>
      </c>
      <c r="AA14" s="70">
        <v>12.0</v>
      </c>
      <c r="AB14" s="27" t="s">
        <v>61</v>
      </c>
      <c r="AC14" s="22">
        <v>1.0</v>
      </c>
      <c r="AD14" s="27">
        <v>0.0</v>
      </c>
      <c r="AE14" s="27"/>
      <c r="AF14" s="27">
        <v>6.0</v>
      </c>
      <c r="AG14" s="27">
        <v>1.0</v>
      </c>
      <c r="AH14" s="27">
        <v>12.0</v>
      </c>
      <c r="AI14" s="27">
        <v>-11.0</v>
      </c>
    </row>
    <row r="15" ht="15.75" customHeight="1">
      <c r="A15" s="10">
        <v>3.0</v>
      </c>
      <c r="B15" s="11">
        <v>45957.0</v>
      </c>
      <c r="C15" s="65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116</v>
      </c>
      <c r="J15" s="124"/>
      <c r="K15" s="125">
        <f t="shared" si="1"/>
        <v>3</v>
      </c>
      <c r="L15" s="126">
        <f t="shared" si="2"/>
        <v>0</v>
      </c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AA15" s="34" t="s">
        <v>199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5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188</v>
      </c>
      <c r="J16" s="124"/>
      <c r="K16" s="125">
        <f t="shared" si="1"/>
        <v>3</v>
      </c>
      <c r="L16" s="126">
        <f t="shared" si="2"/>
        <v>0</v>
      </c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AA16" s="73" t="s">
        <v>108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40</v>
      </c>
      <c r="J17" s="124"/>
      <c r="K17" s="125">
        <f t="shared" si="1"/>
        <v>0</v>
      </c>
      <c r="L17" s="126">
        <f t="shared" si="2"/>
        <v>3</v>
      </c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AA17" s="134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192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61</v>
      </c>
      <c r="J18" s="135"/>
      <c r="K18" s="125">
        <f t="shared" si="1"/>
        <v>2</v>
      </c>
      <c r="L18" s="126">
        <f t="shared" si="2"/>
        <v>1</v>
      </c>
      <c r="M18" s="124"/>
      <c r="N18" s="124"/>
      <c r="O18" s="124"/>
      <c r="P18" s="124"/>
      <c r="R18" s="124"/>
      <c r="S18" s="124"/>
      <c r="T18" s="124"/>
      <c r="U18" s="124"/>
      <c r="V18" s="124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155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144</v>
      </c>
      <c r="J19" s="124"/>
      <c r="K19" s="125">
        <f t="shared" si="1"/>
        <v>3</v>
      </c>
      <c r="L19" s="126">
        <f t="shared" si="2"/>
        <v>0</v>
      </c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136</v>
      </c>
      <c r="D20" s="12" t="s">
        <v>22</v>
      </c>
      <c r="E20" s="14" t="s">
        <v>57</v>
      </c>
      <c r="F20" s="13">
        <v>2.0</v>
      </c>
      <c r="G20" s="30" t="s">
        <v>24</v>
      </c>
      <c r="H20" s="13">
        <v>0.0</v>
      </c>
      <c r="I20" s="14" t="s">
        <v>114</v>
      </c>
      <c r="J20" s="124"/>
      <c r="K20" s="125">
        <f t="shared" si="1"/>
        <v>3</v>
      </c>
      <c r="L20" s="126">
        <f t="shared" si="2"/>
        <v>0</v>
      </c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AF20" s="3"/>
      <c r="AG20" s="3"/>
      <c r="AH20" s="3"/>
      <c r="AI20" s="3"/>
    </row>
    <row r="21" ht="15.75" customHeight="1">
      <c r="A21" s="10">
        <v>4.0</v>
      </c>
      <c r="B21" s="39">
        <v>45981.0</v>
      </c>
      <c r="C21" s="65" t="s">
        <v>30</v>
      </c>
      <c r="D21" s="12" t="s">
        <v>22</v>
      </c>
      <c r="E21" s="14" t="s">
        <v>116</v>
      </c>
      <c r="F21" s="13">
        <v>2.0</v>
      </c>
      <c r="G21" s="30" t="s">
        <v>24</v>
      </c>
      <c r="H21" s="13">
        <v>0.0</v>
      </c>
      <c r="I21" s="14" t="s">
        <v>57</v>
      </c>
      <c r="J21" s="124"/>
      <c r="K21" s="125">
        <f t="shared" si="1"/>
        <v>3</v>
      </c>
      <c r="L21" s="126">
        <f t="shared" si="2"/>
        <v>0</v>
      </c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AF21" s="3"/>
      <c r="AG21" s="3"/>
      <c r="AH21" s="3"/>
      <c r="AI21" s="3"/>
    </row>
    <row r="22" ht="15.75" customHeight="1">
      <c r="A22" s="24"/>
      <c r="B22" s="11">
        <v>45981.0</v>
      </c>
      <c r="C22" s="65" t="s">
        <v>30</v>
      </c>
      <c r="D22" s="12" t="s">
        <v>22</v>
      </c>
      <c r="E22" s="14" t="s">
        <v>188</v>
      </c>
      <c r="F22" s="13">
        <v>0.0</v>
      </c>
      <c r="G22" s="30" t="s">
        <v>24</v>
      </c>
      <c r="H22" s="13">
        <v>2.0</v>
      </c>
      <c r="I22" s="14" t="s">
        <v>25</v>
      </c>
      <c r="J22" s="124"/>
      <c r="K22" s="125">
        <f t="shared" si="1"/>
        <v>0</v>
      </c>
      <c r="L22" s="126">
        <f t="shared" si="2"/>
        <v>3</v>
      </c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AF22" s="3"/>
      <c r="AG22" s="3"/>
      <c r="AH22" s="3"/>
      <c r="AI22" s="3"/>
    </row>
    <row r="23" ht="15.75" customHeight="1">
      <c r="A23" s="24"/>
      <c r="B23" s="11">
        <v>45981.0</v>
      </c>
      <c r="C23" s="65" t="s">
        <v>30</v>
      </c>
      <c r="D23" s="12" t="s">
        <v>22</v>
      </c>
      <c r="E23" s="14" t="s">
        <v>40</v>
      </c>
      <c r="F23" s="13">
        <v>1.0</v>
      </c>
      <c r="G23" s="30" t="s">
        <v>24</v>
      </c>
      <c r="H23" s="13">
        <v>2.0</v>
      </c>
      <c r="I23" s="14" t="s">
        <v>23</v>
      </c>
      <c r="J23" s="124"/>
      <c r="K23" s="125">
        <f t="shared" si="1"/>
        <v>1</v>
      </c>
      <c r="L23" s="126">
        <f t="shared" si="2"/>
        <v>2</v>
      </c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AD23" s="3"/>
      <c r="AE23" s="3"/>
      <c r="AF23" s="3"/>
      <c r="AG23" s="3"/>
      <c r="AH23" s="3"/>
      <c r="AI23" s="3"/>
    </row>
    <row r="24" ht="15.75" customHeight="1">
      <c r="A24" s="24"/>
      <c r="B24" s="11">
        <v>45981.0</v>
      </c>
      <c r="C24" s="65" t="s">
        <v>36</v>
      </c>
      <c r="D24" s="12" t="s">
        <v>22</v>
      </c>
      <c r="E24" s="14" t="s">
        <v>61</v>
      </c>
      <c r="F24" s="13">
        <v>0.0</v>
      </c>
      <c r="G24" s="30" t="s">
        <v>24</v>
      </c>
      <c r="H24" s="13">
        <v>2.0</v>
      </c>
      <c r="I24" s="14" t="s">
        <v>31</v>
      </c>
      <c r="J24" s="124"/>
      <c r="K24" s="125">
        <f t="shared" si="1"/>
        <v>0</v>
      </c>
      <c r="L24" s="126">
        <f t="shared" si="2"/>
        <v>3</v>
      </c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AD24" s="3"/>
      <c r="AE24" s="3"/>
      <c r="AF24" s="3"/>
      <c r="AG24" s="3"/>
      <c r="AH24" s="3"/>
      <c r="AI24" s="3"/>
    </row>
    <row r="25" ht="15.75" customHeight="1">
      <c r="A25" s="24"/>
      <c r="B25" s="11">
        <v>45981.0</v>
      </c>
      <c r="C25" s="65" t="s">
        <v>36</v>
      </c>
      <c r="D25" s="12" t="s">
        <v>22</v>
      </c>
      <c r="E25" s="14" t="s">
        <v>144</v>
      </c>
      <c r="F25" s="13">
        <v>2.0</v>
      </c>
      <c r="G25" s="30" t="s">
        <v>24</v>
      </c>
      <c r="H25" s="13">
        <v>0.0</v>
      </c>
      <c r="I25" s="14" t="s">
        <v>32</v>
      </c>
      <c r="J25" s="124"/>
      <c r="K25" s="125">
        <f t="shared" si="1"/>
        <v>3</v>
      </c>
      <c r="L25" s="126">
        <f t="shared" si="2"/>
        <v>0</v>
      </c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AA25" s="3"/>
      <c r="AB25" s="123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1">
        <v>45981.0</v>
      </c>
      <c r="C26" s="65" t="s">
        <v>36</v>
      </c>
      <c r="D26" s="12" t="s">
        <v>22</v>
      </c>
      <c r="E26" s="14" t="s">
        <v>114</v>
      </c>
      <c r="F26" s="13">
        <v>0.0</v>
      </c>
      <c r="G26" s="30" t="s">
        <v>24</v>
      </c>
      <c r="H26" s="13">
        <v>2.0</v>
      </c>
      <c r="I26" s="14" t="s">
        <v>37</v>
      </c>
      <c r="J26" s="124"/>
      <c r="K26" s="125">
        <f t="shared" si="1"/>
        <v>0</v>
      </c>
      <c r="L26" s="126">
        <f t="shared" si="2"/>
        <v>3</v>
      </c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AA26" s="3"/>
      <c r="AB26" s="123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5" t="s">
        <v>30</v>
      </c>
      <c r="D27" s="12" t="s">
        <v>22</v>
      </c>
      <c r="E27" s="14" t="s">
        <v>116</v>
      </c>
      <c r="F27" s="13">
        <v>1.0</v>
      </c>
      <c r="G27" s="30" t="s">
        <v>24</v>
      </c>
      <c r="H27" s="13">
        <v>2.0</v>
      </c>
      <c r="I27" s="14" t="s">
        <v>188</v>
      </c>
      <c r="J27" s="124"/>
      <c r="K27" s="125">
        <f t="shared" si="1"/>
        <v>1</v>
      </c>
      <c r="L27" s="126">
        <f t="shared" si="2"/>
        <v>2</v>
      </c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AA27" s="3"/>
      <c r="AB27" s="123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1">
        <v>46001.0</v>
      </c>
      <c r="C28" s="65" t="s">
        <v>30</v>
      </c>
      <c r="D28" s="12" t="s">
        <v>22</v>
      </c>
      <c r="E28" s="14" t="s">
        <v>25</v>
      </c>
      <c r="F28" s="13">
        <v>2.0</v>
      </c>
      <c r="G28" s="30" t="s">
        <v>24</v>
      </c>
      <c r="H28" s="13">
        <v>0.0</v>
      </c>
      <c r="I28" s="14" t="s">
        <v>40</v>
      </c>
      <c r="J28" s="124"/>
      <c r="K28" s="125">
        <f t="shared" si="1"/>
        <v>3</v>
      </c>
      <c r="L28" s="126">
        <f t="shared" si="2"/>
        <v>0</v>
      </c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AA28" s="3"/>
      <c r="AB28" s="123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1">
        <v>46001.0</v>
      </c>
      <c r="C29" s="65" t="s">
        <v>30</v>
      </c>
      <c r="D29" s="12" t="s">
        <v>22</v>
      </c>
      <c r="E29" s="14" t="s">
        <v>23</v>
      </c>
      <c r="F29" s="13">
        <v>2.0</v>
      </c>
      <c r="G29" s="30" t="s">
        <v>24</v>
      </c>
      <c r="H29" s="13">
        <v>0.0</v>
      </c>
      <c r="I29" s="14" t="s">
        <v>61</v>
      </c>
      <c r="J29" s="124"/>
      <c r="K29" s="125">
        <f t="shared" si="1"/>
        <v>3</v>
      </c>
      <c r="L29" s="126">
        <f t="shared" si="2"/>
        <v>0</v>
      </c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AA29" s="3"/>
      <c r="AB29" s="123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1">
        <v>46001.0</v>
      </c>
      <c r="C30" s="65" t="s">
        <v>36</v>
      </c>
      <c r="D30" s="12" t="s">
        <v>22</v>
      </c>
      <c r="E30" s="14" t="s">
        <v>31</v>
      </c>
      <c r="F30" s="13">
        <v>0.0</v>
      </c>
      <c r="G30" s="30" t="s">
        <v>24</v>
      </c>
      <c r="H30" s="13">
        <v>2.0</v>
      </c>
      <c r="I30" s="14" t="s">
        <v>144</v>
      </c>
      <c r="J30" s="124"/>
      <c r="K30" s="125">
        <f t="shared" si="1"/>
        <v>0</v>
      </c>
      <c r="L30" s="126">
        <f t="shared" si="2"/>
        <v>3</v>
      </c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AA30" s="3"/>
      <c r="AB30" s="123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1">
        <v>46001.0</v>
      </c>
      <c r="C31" s="65" t="s">
        <v>36</v>
      </c>
      <c r="D31" s="12" t="s">
        <v>22</v>
      </c>
      <c r="E31" s="14" t="s">
        <v>32</v>
      </c>
      <c r="F31" s="13">
        <v>0.0</v>
      </c>
      <c r="G31" s="30" t="s">
        <v>24</v>
      </c>
      <c r="H31" s="13">
        <v>2.0</v>
      </c>
      <c r="I31" s="14" t="s">
        <v>114</v>
      </c>
      <c r="J31" s="124"/>
      <c r="K31" s="125">
        <f t="shared" si="1"/>
        <v>0</v>
      </c>
      <c r="L31" s="126">
        <f t="shared" si="2"/>
        <v>3</v>
      </c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AA31" s="3"/>
      <c r="AB31" s="123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1">
        <v>46001.0</v>
      </c>
      <c r="C32" s="65" t="s">
        <v>36</v>
      </c>
      <c r="D32" s="12" t="s">
        <v>22</v>
      </c>
      <c r="E32" s="14" t="s">
        <v>57</v>
      </c>
      <c r="F32" s="13">
        <v>1.0</v>
      </c>
      <c r="G32" s="30" t="s">
        <v>24</v>
      </c>
      <c r="H32" s="13">
        <v>2.0</v>
      </c>
      <c r="I32" s="14" t="s">
        <v>37</v>
      </c>
      <c r="J32" s="124"/>
      <c r="K32" s="125">
        <f t="shared" si="1"/>
        <v>1</v>
      </c>
      <c r="L32" s="126">
        <f t="shared" si="2"/>
        <v>2</v>
      </c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AA32" s="3"/>
      <c r="AB32" s="123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36"/>
      <c r="C33" s="137"/>
      <c r="D33" s="138"/>
      <c r="E33" s="14" t="s">
        <v>188</v>
      </c>
      <c r="F33" s="13">
        <v>0.0</v>
      </c>
      <c r="G33" s="30" t="s">
        <v>24</v>
      </c>
      <c r="H33" s="13">
        <v>2.0</v>
      </c>
      <c r="I33" s="14" t="s">
        <v>57</v>
      </c>
      <c r="J33" s="124"/>
      <c r="K33" s="125">
        <f t="shared" si="1"/>
        <v>0</v>
      </c>
      <c r="L33" s="126">
        <f t="shared" si="2"/>
        <v>3</v>
      </c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AA33" s="3"/>
      <c r="AB33" s="123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36"/>
      <c r="C34" s="137"/>
      <c r="D34" s="138"/>
      <c r="E34" s="14" t="s">
        <v>40</v>
      </c>
      <c r="F34" s="13">
        <v>1.0</v>
      </c>
      <c r="G34" s="30" t="s">
        <v>24</v>
      </c>
      <c r="H34" s="13">
        <v>2.0</v>
      </c>
      <c r="I34" s="14" t="s">
        <v>116</v>
      </c>
      <c r="J34" s="124"/>
      <c r="K34" s="125">
        <f t="shared" si="1"/>
        <v>1</v>
      </c>
      <c r="L34" s="126">
        <f t="shared" si="2"/>
        <v>2</v>
      </c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AA34" s="3"/>
      <c r="AB34" s="123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36"/>
      <c r="C35" s="137"/>
      <c r="D35" s="138"/>
      <c r="E35" s="14" t="s">
        <v>61</v>
      </c>
      <c r="F35" s="13">
        <v>0.0</v>
      </c>
      <c r="G35" s="30" t="s">
        <v>24</v>
      </c>
      <c r="H35" s="13">
        <v>2.0</v>
      </c>
      <c r="I35" s="14" t="s">
        <v>25</v>
      </c>
      <c r="J35" s="124"/>
      <c r="K35" s="125">
        <f t="shared" si="1"/>
        <v>0</v>
      </c>
      <c r="L35" s="126">
        <f t="shared" si="2"/>
        <v>3</v>
      </c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AA35" s="3"/>
      <c r="AB35" s="123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36"/>
      <c r="C36" s="137"/>
      <c r="D36" s="138"/>
      <c r="E36" s="14" t="s">
        <v>144</v>
      </c>
      <c r="F36" s="13">
        <v>1.0</v>
      </c>
      <c r="G36" s="30" t="s">
        <v>24</v>
      </c>
      <c r="H36" s="13">
        <v>2.0</v>
      </c>
      <c r="I36" s="14" t="s">
        <v>23</v>
      </c>
      <c r="J36" s="124"/>
      <c r="K36" s="125">
        <f t="shared" si="1"/>
        <v>1</v>
      </c>
      <c r="L36" s="126">
        <f t="shared" si="2"/>
        <v>2</v>
      </c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AA36" s="3"/>
      <c r="AB36" s="123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36"/>
      <c r="C37" s="137"/>
      <c r="D37" s="138"/>
      <c r="E37" s="14" t="s">
        <v>114</v>
      </c>
      <c r="F37" s="13">
        <v>2.0</v>
      </c>
      <c r="G37" s="30" t="s">
        <v>24</v>
      </c>
      <c r="H37" s="13">
        <v>1.0</v>
      </c>
      <c r="I37" s="14" t="s">
        <v>31</v>
      </c>
      <c r="J37" s="124"/>
      <c r="K37" s="125">
        <f t="shared" si="1"/>
        <v>2</v>
      </c>
      <c r="L37" s="126">
        <f t="shared" si="2"/>
        <v>1</v>
      </c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AA37" s="3"/>
      <c r="AB37" s="123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36"/>
      <c r="C38" s="137"/>
      <c r="D38" s="138"/>
      <c r="E38" s="14" t="s">
        <v>37</v>
      </c>
      <c r="F38" s="13">
        <v>2.0</v>
      </c>
      <c r="G38" s="30" t="s">
        <v>24</v>
      </c>
      <c r="H38" s="13">
        <v>0.0</v>
      </c>
      <c r="I38" s="14" t="s">
        <v>32</v>
      </c>
      <c r="J38" s="124"/>
      <c r="K38" s="125">
        <f t="shared" si="1"/>
        <v>3</v>
      </c>
      <c r="L38" s="126">
        <f t="shared" si="2"/>
        <v>0</v>
      </c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AA38" s="3"/>
      <c r="AB38" s="123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36"/>
      <c r="C39" s="138"/>
      <c r="D39" s="138"/>
      <c r="E39" s="14" t="s">
        <v>188</v>
      </c>
      <c r="F39" s="30"/>
      <c r="G39" s="30" t="s">
        <v>24</v>
      </c>
      <c r="H39" s="30"/>
      <c r="I39" s="14" t="s">
        <v>40</v>
      </c>
      <c r="J39" s="124"/>
      <c r="K39" s="125" t="str">
        <f t="shared" si="1"/>
        <v/>
      </c>
      <c r="L39" s="126" t="str">
        <f t="shared" si="2"/>
        <v/>
      </c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AA39" s="3"/>
      <c r="AB39" s="123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36"/>
      <c r="C40" s="138"/>
      <c r="D40" s="138"/>
      <c r="E40" s="14" t="s">
        <v>116</v>
      </c>
      <c r="F40" s="30"/>
      <c r="G40" s="30" t="s">
        <v>24</v>
      </c>
      <c r="H40" s="30"/>
      <c r="I40" s="14" t="s">
        <v>61</v>
      </c>
      <c r="J40" s="124"/>
      <c r="K40" s="125" t="str">
        <f t="shared" si="1"/>
        <v/>
      </c>
      <c r="L40" s="126" t="str">
        <f t="shared" si="2"/>
        <v/>
      </c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AA40" s="3"/>
      <c r="AB40" s="123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36"/>
      <c r="C41" s="138"/>
      <c r="D41" s="139"/>
      <c r="E41" s="40" t="s">
        <v>25</v>
      </c>
      <c r="F41" s="30"/>
      <c r="G41" s="30" t="s">
        <v>24</v>
      </c>
      <c r="H41" s="30"/>
      <c r="I41" s="40" t="s">
        <v>144</v>
      </c>
      <c r="J41" s="124"/>
      <c r="K41" s="125" t="str">
        <f t="shared" si="1"/>
        <v/>
      </c>
      <c r="L41" s="126" t="str">
        <f t="shared" si="2"/>
        <v/>
      </c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AA41" s="3"/>
      <c r="AB41" s="123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36"/>
      <c r="C42" s="138"/>
      <c r="D42" s="138"/>
      <c r="E42" s="14" t="s">
        <v>23</v>
      </c>
      <c r="F42" s="30"/>
      <c r="G42" s="30" t="s">
        <v>24</v>
      </c>
      <c r="H42" s="30"/>
      <c r="I42" s="14" t="s">
        <v>114</v>
      </c>
      <c r="J42" s="124"/>
      <c r="K42" s="125" t="str">
        <f t="shared" si="1"/>
        <v/>
      </c>
      <c r="L42" s="126" t="str">
        <f t="shared" si="2"/>
        <v/>
      </c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AA42" s="3"/>
      <c r="AB42" s="123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36"/>
      <c r="C43" s="138"/>
      <c r="D43" s="138"/>
      <c r="E43" s="14" t="s">
        <v>31</v>
      </c>
      <c r="F43" s="30"/>
      <c r="G43" s="30" t="s">
        <v>24</v>
      </c>
      <c r="H43" s="30"/>
      <c r="I43" s="14" t="s">
        <v>37</v>
      </c>
      <c r="J43" s="124"/>
      <c r="K43" s="125" t="str">
        <f t="shared" si="1"/>
        <v/>
      </c>
      <c r="L43" s="126" t="str">
        <f t="shared" si="2"/>
        <v/>
      </c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AA43" s="3"/>
      <c r="AB43" s="123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36"/>
      <c r="C44" s="138"/>
      <c r="D44" s="138"/>
      <c r="E44" s="14" t="s">
        <v>57</v>
      </c>
      <c r="F44" s="30"/>
      <c r="G44" s="30" t="s">
        <v>24</v>
      </c>
      <c r="H44" s="30"/>
      <c r="I44" s="14" t="s">
        <v>32</v>
      </c>
      <c r="J44" s="124"/>
      <c r="K44" s="125" t="str">
        <f t="shared" si="1"/>
        <v/>
      </c>
      <c r="L44" s="126" t="str">
        <f t="shared" si="2"/>
        <v/>
      </c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AA44" s="3"/>
      <c r="AB44" s="123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36"/>
      <c r="C45" s="137"/>
      <c r="D45" s="138"/>
      <c r="E45" s="14" t="s">
        <v>40</v>
      </c>
      <c r="F45" s="30"/>
      <c r="G45" s="30" t="s">
        <v>24</v>
      </c>
      <c r="H45" s="30"/>
      <c r="I45" s="14" t="s">
        <v>57</v>
      </c>
      <c r="J45" s="124"/>
      <c r="K45" s="125" t="str">
        <f t="shared" si="1"/>
        <v/>
      </c>
      <c r="L45" s="126" t="str">
        <f t="shared" si="2"/>
        <v/>
      </c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AA45" s="3"/>
      <c r="AB45" s="123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140"/>
      <c r="C46" s="137"/>
      <c r="D46" s="138"/>
      <c r="E46" s="14" t="s">
        <v>61</v>
      </c>
      <c r="F46" s="30"/>
      <c r="G46" s="30" t="s">
        <v>24</v>
      </c>
      <c r="H46" s="30"/>
      <c r="I46" s="14" t="s">
        <v>188</v>
      </c>
      <c r="J46" s="124"/>
      <c r="K46" s="125" t="str">
        <f t="shared" si="1"/>
        <v/>
      </c>
      <c r="L46" s="126" t="str">
        <f t="shared" si="2"/>
        <v/>
      </c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AA46" s="3"/>
      <c r="AB46" s="123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40"/>
      <c r="C47" s="137"/>
      <c r="D47" s="138"/>
      <c r="E47" s="14" t="s">
        <v>144</v>
      </c>
      <c r="F47" s="30"/>
      <c r="G47" s="30" t="s">
        <v>24</v>
      </c>
      <c r="H47" s="30"/>
      <c r="I47" s="14" t="s">
        <v>116</v>
      </c>
      <c r="J47" s="124"/>
      <c r="K47" s="125" t="str">
        <f t="shared" si="1"/>
        <v/>
      </c>
      <c r="L47" s="126" t="str">
        <f t="shared" si="2"/>
        <v/>
      </c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AA47" s="3"/>
      <c r="AB47" s="123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140"/>
      <c r="C48" s="137"/>
      <c r="D48" s="138"/>
      <c r="E48" s="40" t="s">
        <v>114</v>
      </c>
      <c r="F48" s="30"/>
      <c r="G48" s="30" t="s">
        <v>24</v>
      </c>
      <c r="H48" s="30"/>
      <c r="I48" s="40" t="s">
        <v>25</v>
      </c>
      <c r="K48" s="125" t="str">
        <f t="shared" si="1"/>
        <v/>
      </c>
      <c r="L48" s="126" t="str">
        <f t="shared" si="2"/>
        <v/>
      </c>
      <c r="AA48" s="3"/>
      <c r="AB48" s="123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140"/>
      <c r="C49" s="137"/>
      <c r="D49" s="138"/>
      <c r="E49" s="40" t="s">
        <v>37</v>
      </c>
      <c r="F49" s="30"/>
      <c r="G49" s="30" t="s">
        <v>24</v>
      </c>
      <c r="H49" s="30"/>
      <c r="I49" s="40" t="s">
        <v>23</v>
      </c>
      <c r="K49" s="125" t="str">
        <f t="shared" si="1"/>
        <v/>
      </c>
      <c r="L49" s="126" t="str">
        <f t="shared" si="2"/>
        <v/>
      </c>
      <c r="AA49" s="3"/>
      <c r="AB49" s="123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140"/>
      <c r="C50" s="137"/>
      <c r="D50" s="138"/>
      <c r="E50" s="14" t="s">
        <v>32</v>
      </c>
      <c r="F50" s="30"/>
      <c r="G50" s="30" t="s">
        <v>24</v>
      </c>
      <c r="H50" s="30"/>
      <c r="I50" s="14" t="s">
        <v>31</v>
      </c>
      <c r="K50" s="125" t="str">
        <f t="shared" si="1"/>
        <v/>
      </c>
      <c r="L50" s="126" t="str">
        <f t="shared" si="2"/>
        <v/>
      </c>
      <c r="AA50" s="3"/>
      <c r="AB50" s="123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6"/>
      <c r="C51" s="137"/>
      <c r="D51" s="138"/>
      <c r="E51" s="14" t="s">
        <v>40</v>
      </c>
      <c r="F51" s="138"/>
      <c r="G51" s="30" t="s">
        <v>24</v>
      </c>
      <c r="H51" s="30"/>
      <c r="I51" s="14" t="s">
        <v>61</v>
      </c>
      <c r="K51" s="125" t="str">
        <f t="shared" si="1"/>
        <v/>
      </c>
      <c r="L51" s="126" t="str">
        <f t="shared" si="2"/>
        <v/>
      </c>
      <c r="AA51" s="3"/>
      <c r="AB51" s="123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6"/>
      <c r="C52" s="137"/>
      <c r="D52" s="138"/>
      <c r="E52" s="14" t="s">
        <v>188</v>
      </c>
      <c r="F52" s="138"/>
      <c r="G52" s="30" t="s">
        <v>24</v>
      </c>
      <c r="H52" s="30"/>
      <c r="I52" s="14" t="s">
        <v>144</v>
      </c>
      <c r="K52" s="125" t="str">
        <f t="shared" si="1"/>
        <v/>
      </c>
      <c r="L52" s="126" t="str">
        <f t="shared" si="2"/>
        <v/>
      </c>
      <c r="AA52" s="3"/>
      <c r="AB52" s="123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136"/>
      <c r="C53" s="137"/>
      <c r="D53" s="138"/>
      <c r="E53" s="14" t="s">
        <v>116</v>
      </c>
      <c r="F53" s="138"/>
      <c r="G53" s="30" t="s">
        <v>24</v>
      </c>
      <c r="H53" s="30"/>
      <c r="I53" s="14" t="s">
        <v>114</v>
      </c>
      <c r="K53" s="125" t="str">
        <f t="shared" si="1"/>
        <v/>
      </c>
      <c r="L53" s="126" t="str">
        <f t="shared" si="2"/>
        <v/>
      </c>
      <c r="AA53" s="3"/>
      <c r="AB53" s="123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6"/>
      <c r="C54" s="137"/>
      <c r="D54" s="138"/>
      <c r="E54" s="14" t="s">
        <v>25</v>
      </c>
      <c r="F54" s="138"/>
      <c r="G54" s="30" t="s">
        <v>24</v>
      </c>
      <c r="H54" s="30"/>
      <c r="I54" s="14" t="s">
        <v>37</v>
      </c>
      <c r="K54" s="125" t="str">
        <f t="shared" si="1"/>
        <v/>
      </c>
      <c r="L54" s="126" t="str">
        <f t="shared" si="2"/>
        <v/>
      </c>
      <c r="AA54" s="3"/>
      <c r="AB54" s="123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6"/>
      <c r="C55" s="137"/>
      <c r="D55" s="138"/>
      <c r="E55" s="14" t="s">
        <v>23</v>
      </c>
      <c r="F55" s="138"/>
      <c r="G55" s="30" t="s">
        <v>24</v>
      </c>
      <c r="H55" s="30"/>
      <c r="I55" s="14" t="s">
        <v>32</v>
      </c>
      <c r="K55" s="125" t="str">
        <f t="shared" si="1"/>
        <v/>
      </c>
      <c r="L55" s="126" t="str">
        <f t="shared" si="2"/>
        <v/>
      </c>
      <c r="AA55" s="3"/>
      <c r="AB55" s="123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6"/>
      <c r="C56" s="137"/>
      <c r="D56" s="138"/>
      <c r="E56" s="14" t="s">
        <v>57</v>
      </c>
      <c r="F56" s="138"/>
      <c r="G56" s="30" t="s">
        <v>24</v>
      </c>
      <c r="H56" s="30"/>
      <c r="I56" s="14" t="s">
        <v>31</v>
      </c>
      <c r="K56" s="125" t="str">
        <f t="shared" si="1"/>
        <v/>
      </c>
      <c r="L56" s="126" t="str">
        <f t="shared" si="2"/>
        <v/>
      </c>
      <c r="AA56" s="3"/>
      <c r="AB56" s="123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40"/>
      <c r="C57" s="138"/>
      <c r="D57" s="138"/>
      <c r="E57" s="14" t="s">
        <v>57</v>
      </c>
      <c r="F57" s="30"/>
      <c r="G57" s="30" t="s">
        <v>24</v>
      </c>
      <c r="H57" s="30"/>
      <c r="I57" s="14" t="s">
        <v>61</v>
      </c>
      <c r="K57" s="125" t="str">
        <f t="shared" si="1"/>
        <v/>
      </c>
      <c r="L57" s="126" t="str">
        <f t="shared" si="2"/>
        <v/>
      </c>
      <c r="AA57" s="3"/>
      <c r="AB57" s="123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6"/>
      <c r="C58" s="138"/>
      <c r="D58" s="138"/>
      <c r="E58" s="14" t="s">
        <v>144</v>
      </c>
      <c r="F58" s="30"/>
      <c r="G58" s="30" t="s">
        <v>24</v>
      </c>
      <c r="H58" s="30"/>
      <c r="I58" s="14" t="s">
        <v>40</v>
      </c>
      <c r="K58" s="125" t="str">
        <f t="shared" si="1"/>
        <v/>
      </c>
      <c r="L58" s="126" t="str">
        <f t="shared" si="2"/>
        <v/>
      </c>
      <c r="AA58" s="3"/>
      <c r="AB58" s="123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6"/>
      <c r="C59" s="138"/>
      <c r="D59" s="138"/>
      <c r="E59" s="14" t="s">
        <v>114</v>
      </c>
      <c r="F59" s="30"/>
      <c r="G59" s="30" t="s">
        <v>24</v>
      </c>
      <c r="H59" s="30"/>
      <c r="I59" s="14" t="s">
        <v>188</v>
      </c>
      <c r="K59" s="125" t="str">
        <f t="shared" si="1"/>
        <v/>
      </c>
      <c r="L59" s="126" t="str">
        <f t="shared" si="2"/>
        <v/>
      </c>
      <c r="AA59" s="3"/>
      <c r="AB59" s="123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6"/>
      <c r="C60" s="138"/>
      <c r="D60" s="138"/>
      <c r="E60" s="14" t="s">
        <v>37</v>
      </c>
      <c r="F60" s="30"/>
      <c r="G60" s="30" t="s">
        <v>24</v>
      </c>
      <c r="H60" s="30"/>
      <c r="I60" s="14" t="s">
        <v>116</v>
      </c>
      <c r="K60" s="125" t="str">
        <f t="shared" si="1"/>
        <v/>
      </c>
      <c r="L60" s="126" t="str">
        <f t="shared" si="2"/>
        <v/>
      </c>
      <c r="AA60" s="3"/>
      <c r="AB60" s="123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6"/>
      <c r="C61" s="138"/>
      <c r="D61" s="138"/>
      <c r="E61" s="14" t="s">
        <v>32</v>
      </c>
      <c r="F61" s="30"/>
      <c r="G61" s="30" t="s">
        <v>24</v>
      </c>
      <c r="H61" s="30"/>
      <c r="I61" s="14" t="s">
        <v>25</v>
      </c>
      <c r="K61" s="125" t="str">
        <f t="shared" si="1"/>
        <v/>
      </c>
      <c r="L61" s="126" t="str">
        <f t="shared" si="2"/>
        <v/>
      </c>
      <c r="AA61" s="3"/>
      <c r="AB61" s="123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6"/>
      <c r="C62" s="138"/>
      <c r="D62" s="138"/>
      <c r="E62" s="14" t="s">
        <v>31</v>
      </c>
      <c r="F62" s="30"/>
      <c r="G62" s="30" t="s">
        <v>24</v>
      </c>
      <c r="H62" s="30"/>
      <c r="I62" s="14" t="s">
        <v>23</v>
      </c>
      <c r="K62" s="125" t="str">
        <f t="shared" si="1"/>
        <v/>
      </c>
      <c r="L62" s="126" t="str">
        <f t="shared" si="2"/>
        <v/>
      </c>
      <c r="AA62" s="3"/>
      <c r="AB62" s="123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6"/>
      <c r="C63" s="137"/>
      <c r="D63" s="138"/>
      <c r="E63" s="14" t="s">
        <v>61</v>
      </c>
      <c r="F63" s="30"/>
      <c r="G63" s="30" t="s">
        <v>24</v>
      </c>
      <c r="H63" s="30"/>
      <c r="I63" s="14" t="s">
        <v>144</v>
      </c>
      <c r="K63" s="125" t="str">
        <f t="shared" si="1"/>
        <v/>
      </c>
      <c r="L63" s="126" t="str">
        <f t="shared" si="2"/>
        <v/>
      </c>
      <c r="AA63" s="3"/>
      <c r="AB63" s="123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6"/>
      <c r="C64" s="137"/>
      <c r="D64" s="138"/>
      <c r="E64" s="14" t="s">
        <v>40</v>
      </c>
      <c r="F64" s="30"/>
      <c r="G64" s="30" t="s">
        <v>24</v>
      </c>
      <c r="H64" s="30"/>
      <c r="I64" s="14" t="s">
        <v>114</v>
      </c>
      <c r="K64" s="125" t="str">
        <f t="shared" si="1"/>
        <v/>
      </c>
      <c r="L64" s="126" t="str">
        <f t="shared" si="2"/>
        <v/>
      </c>
      <c r="AA64" s="3"/>
      <c r="AB64" s="123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6"/>
      <c r="C65" s="137"/>
      <c r="D65" s="138"/>
      <c r="E65" s="14" t="s">
        <v>188</v>
      </c>
      <c r="F65" s="30"/>
      <c r="G65" s="30" t="s">
        <v>24</v>
      </c>
      <c r="H65" s="30"/>
      <c r="I65" s="14" t="s">
        <v>37</v>
      </c>
      <c r="K65" s="125" t="str">
        <f t="shared" si="1"/>
        <v/>
      </c>
      <c r="L65" s="126" t="str">
        <f t="shared" si="2"/>
        <v/>
      </c>
      <c r="AA65" s="3"/>
      <c r="AB65" s="123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6"/>
      <c r="C66" s="137"/>
      <c r="D66" s="138"/>
      <c r="E66" s="14" t="s">
        <v>116</v>
      </c>
      <c r="F66" s="30"/>
      <c r="G66" s="30" t="s">
        <v>24</v>
      </c>
      <c r="H66" s="30"/>
      <c r="I66" s="14" t="s">
        <v>32</v>
      </c>
      <c r="K66" s="125" t="str">
        <f t="shared" si="1"/>
        <v/>
      </c>
      <c r="L66" s="126" t="str">
        <f t="shared" si="2"/>
        <v/>
      </c>
      <c r="AA66" s="3"/>
      <c r="AB66" s="123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6"/>
      <c r="C67" s="137"/>
      <c r="D67" s="138"/>
      <c r="E67" s="14" t="s">
        <v>25</v>
      </c>
      <c r="F67" s="30"/>
      <c r="G67" s="30" t="s">
        <v>24</v>
      </c>
      <c r="H67" s="30"/>
      <c r="I67" s="14" t="s">
        <v>31</v>
      </c>
      <c r="K67" s="125" t="str">
        <f t="shared" si="1"/>
        <v/>
      </c>
      <c r="L67" s="126" t="str">
        <f t="shared" si="2"/>
        <v/>
      </c>
      <c r="R67" s="124"/>
      <c r="S67" s="124"/>
      <c r="T67" s="124"/>
      <c r="U67" s="124"/>
      <c r="V67" s="124"/>
      <c r="AA67" s="3"/>
      <c r="AB67" s="123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40"/>
      <c r="C68" s="137"/>
      <c r="D68" s="138"/>
      <c r="E68" s="14" t="s">
        <v>23</v>
      </c>
      <c r="F68" s="13"/>
      <c r="G68" s="30" t="s">
        <v>24</v>
      </c>
      <c r="H68" s="13"/>
      <c r="I68" s="14" t="s">
        <v>57</v>
      </c>
      <c r="K68" s="125" t="str">
        <f t="shared" si="1"/>
        <v/>
      </c>
      <c r="L68" s="126" t="str">
        <f t="shared" si="2"/>
        <v/>
      </c>
      <c r="R68" s="124"/>
      <c r="S68" s="124"/>
      <c r="T68" s="124"/>
      <c r="U68" s="124"/>
      <c r="V68" s="124"/>
      <c r="AA68" s="3"/>
      <c r="AB68" s="123"/>
      <c r="AC68" s="3"/>
      <c r="AD68" s="3"/>
      <c r="AE68" s="3"/>
      <c r="AF68" s="3"/>
      <c r="AG68" s="3"/>
      <c r="AH68" s="3"/>
      <c r="AI68" s="3"/>
    </row>
    <row r="69" ht="15.75" customHeight="1">
      <c r="A69" s="141"/>
      <c r="B69" s="142"/>
      <c r="C69" s="142"/>
      <c r="D69" s="142"/>
      <c r="E69" s="1"/>
      <c r="F69" s="142"/>
      <c r="G69" s="142"/>
      <c r="I69" s="123"/>
      <c r="AA69" s="3"/>
      <c r="AB69" s="123"/>
      <c r="AC69" s="3"/>
      <c r="AD69" s="3"/>
      <c r="AE69" s="3"/>
      <c r="AF69" s="3"/>
      <c r="AG69" s="3"/>
      <c r="AH69" s="3"/>
      <c r="AI69" s="3"/>
    </row>
    <row r="70" ht="15.75" customHeight="1">
      <c r="A70" s="141"/>
      <c r="B70" s="142"/>
      <c r="C70" s="142"/>
      <c r="D70" s="142"/>
      <c r="E70" s="1"/>
      <c r="F70" s="142"/>
      <c r="G70" s="142"/>
      <c r="I70" s="123"/>
      <c r="AA70" s="3"/>
      <c r="AB70" s="123"/>
      <c r="AC70" s="3"/>
      <c r="AD70" s="3"/>
      <c r="AE70" s="3"/>
      <c r="AF70" s="3"/>
      <c r="AG70" s="3"/>
      <c r="AH70" s="3"/>
      <c r="AI70" s="3"/>
    </row>
    <row r="71" ht="15.75" customHeight="1">
      <c r="A71" s="141"/>
      <c r="B71" s="142"/>
      <c r="C71" s="142"/>
      <c r="D71" s="142"/>
      <c r="E71" s="1"/>
      <c r="F71" s="142"/>
      <c r="G71" s="142"/>
      <c r="I71" s="123"/>
      <c r="AA71" s="3"/>
      <c r="AB71" s="123"/>
      <c r="AC71" s="3"/>
      <c r="AD71" s="3"/>
      <c r="AE71" s="3"/>
      <c r="AF71" s="3"/>
      <c r="AG71" s="3"/>
      <c r="AH71" s="3"/>
      <c r="AI71" s="3"/>
    </row>
    <row r="72" ht="15.75" customHeight="1">
      <c r="A72" s="122" t="s">
        <v>200</v>
      </c>
      <c r="I72" s="123"/>
      <c r="AA72" s="3"/>
      <c r="AB72" s="123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196</v>
      </c>
      <c r="U73" s="9" t="s">
        <v>197</v>
      </c>
      <c r="V73" s="9" t="s">
        <v>198</v>
      </c>
      <c r="W73" s="3"/>
      <c r="X73" s="108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196</v>
      </c>
      <c r="AH73" s="5" t="s">
        <v>197</v>
      </c>
      <c r="AI73" s="5" t="s">
        <v>198</v>
      </c>
    </row>
    <row r="74" ht="15.75" customHeight="1">
      <c r="A74" s="58">
        <v>1.0</v>
      </c>
      <c r="B74" s="11">
        <v>45944.0</v>
      </c>
      <c r="C74" s="12" t="s">
        <v>160</v>
      </c>
      <c r="D74" s="12" t="s">
        <v>22</v>
      </c>
      <c r="E74" s="14" t="s">
        <v>41</v>
      </c>
      <c r="F74" s="13">
        <v>1.0</v>
      </c>
      <c r="G74" s="30" t="s">
        <v>24</v>
      </c>
      <c r="H74" s="13">
        <v>2.0</v>
      </c>
      <c r="I74" s="14" t="s">
        <v>158</v>
      </c>
      <c r="J74" s="124"/>
      <c r="K74" s="125">
        <f t="shared" ref="K74:K139" si="9">IFS(F74=H74+2,3,F74=H74-2,0,F74=H74+1,2,F74=H74-1,1,F74="","")</f>
        <v>1</v>
      </c>
      <c r="L74" s="126">
        <f t="shared" ref="L74:L139" si="10">IFS(H74=F74+2,3,H74=F74-2,0,H74=F74+1,2,H74=F74-1,1,H74="","")</f>
        <v>2</v>
      </c>
      <c r="M74" s="124"/>
      <c r="N74" s="126">
        <v>1.0</v>
      </c>
      <c r="O74" s="127" t="s">
        <v>41</v>
      </c>
      <c r="P74" s="126">
        <f t="shared" ref="P74:P84" si="11">SUMIF(E$74:E$139,O74,K$74:K$139)+SUMIF(I$74:I$139,O74,L$74:L$139)</f>
        <v>4</v>
      </c>
      <c r="Q74" s="128">
        <f t="shared" ref="Q74:Q84" si="12">COUNTIFS(E$74:E$139,O74,K$74:K$139,2)+COUNTIFS(I$74:I$139,O74,L$74:L$139,2)+COUNTIFS(E$74:E$139,O74,K$74:K$139,3)+COUNTIFS(I$74:I$139,O74,L$74:L$139,3)</f>
        <v>0</v>
      </c>
      <c r="R74" s="129"/>
      <c r="S74" s="129">
        <f t="shared" ref="S74:S84" si="13">COUNTIFS(E$74:E$139,O74,K$74:K$139,1)+COUNTIFS(I$74:I$139,O74,L$74:L$139,1)+COUNTIFS(E$74:E$139,O74,K$74:K$139,0)+COUNTIFS(I$74:I$139,O74,L$74:L$139,0)</f>
        <v>6</v>
      </c>
      <c r="T74" s="126">
        <f t="shared" ref="T74:T84" si="14">SUMIF(E$74:E$139,O74,F$74:F$139)+SUMIF(I$74:I$139,O74,H$74:H$139)</f>
        <v>4</v>
      </c>
      <c r="U74" s="129">
        <f t="shared" ref="U74:U84" si="15">SUMIF(E$74:E$139,O74,H$74:H$139)+SUMIF(I$74:I$139,O74,F$74:F$139)</f>
        <v>12</v>
      </c>
      <c r="V74" s="126">
        <f t="shared" ref="V74:V84" si="16">T74-U74</f>
        <v>-8</v>
      </c>
      <c r="X74" s="112" t="s">
        <v>26</v>
      </c>
      <c r="Y74" s="112" t="s">
        <v>13</v>
      </c>
      <c r="AA74" s="41" t="s">
        <v>29</v>
      </c>
      <c r="AB74" s="63" t="str">
        <f t="array" ref="AB74:AI84">SORT(O74:V84,2,FALSE,8,FALSE)</f>
        <v>Eng. Ambiente</v>
      </c>
      <c r="AC74" s="22">
        <v>16.0</v>
      </c>
      <c r="AD74" s="22">
        <v>6.0</v>
      </c>
      <c r="AE74" s="23"/>
      <c r="AF74" s="23">
        <v>0.0</v>
      </c>
      <c r="AG74" s="22">
        <v>12.0</v>
      </c>
      <c r="AH74" s="23">
        <v>2.0</v>
      </c>
      <c r="AI74" s="22">
        <v>10.0</v>
      </c>
    </row>
    <row r="75" ht="15.75" customHeight="1">
      <c r="A75" s="24"/>
      <c r="B75" s="11">
        <v>45944.0</v>
      </c>
      <c r="C75" s="12" t="s">
        <v>145</v>
      </c>
      <c r="D75" s="12" t="s">
        <v>22</v>
      </c>
      <c r="E75" s="14" t="s">
        <v>170</v>
      </c>
      <c r="F75" s="13">
        <v>2.0</v>
      </c>
      <c r="G75" s="30" t="s">
        <v>24</v>
      </c>
      <c r="H75" s="13">
        <v>0.0</v>
      </c>
      <c r="I75" s="14" t="s">
        <v>60</v>
      </c>
      <c r="J75" s="124"/>
      <c r="K75" s="125">
        <f t="shared" si="9"/>
        <v>3</v>
      </c>
      <c r="L75" s="126">
        <f t="shared" si="10"/>
        <v>0</v>
      </c>
      <c r="M75" s="124"/>
      <c r="N75" s="126">
        <v>2.0</v>
      </c>
      <c r="O75" s="127" t="s">
        <v>42</v>
      </c>
      <c r="P75" s="126">
        <f t="shared" si="11"/>
        <v>5</v>
      </c>
      <c r="Q75" s="128">
        <f t="shared" si="12"/>
        <v>2</v>
      </c>
      <c r="R75" s="129"/>
      <c r="S75" s="129">
        <f t="shared" si="13"/>
        <v>3</v>
      </c>
      <c r="T75" s="126">
        <f t="shared" si="14"/>
        <v>4</v>
      </c>
      <c r="U75" s="129">
        <f t="shared" si="15"/>
        <v>7</v>
      </c>
      <c r="V75" s="126">
        <f t="shared" si="16"/>
        <v>-3</v>
      </c>
      <c r="X75" s="113" t="s">
        <v>33</v>
      </c>
      <c r="Y75" s="113">
        <v>3.0</v>
      </c>
      <c r="AA75" s="100" t="s">
        <v>115</v>
      </c>
      <c r="AB75" s="63" t="s">
        <v>64</v>
      </c>
      <c r="AC75" s="22">
        <v>14.0</v>
      </c>
      <c r="AD75" s="22">
        <v>5.0</v>
      </c>
      <c r="AE75" s="23"/>
      <c r="AF75" s="23">
        <v>1.0</v>
      </c>
      <c r="AG75" s="22">
        <v>11.0</v>
      </c>
      <c r="AH75" s="23">
        <v>4.0</v>
      </c>
      <c r="AI75" s="22">
        <v>7.0</v>
      </c>
    </row>
    <row r="76" ht="15.75" customHeight="1">
      <c r="A76" s="24"/>
      <c r="B76" s="11">
        <v>45944.0</v>
      </c>
      <c r="C76" s="12" t="s">
        <v>160</v>
      </c>
      <c r="D76" s="12" t="s">
        <v>22</v>
      </c>
      <c r="E76" s="14" t="s">
        <v>201</v>
      </c>
      <c r="F76" s="13">
        <v>2.0</v>
      </c>
      <c r="G76" s="30" t="s">
        <v>24</v>
      </c>
      <c r="H76" s="13">
        <v>0.0</v>
      </c>
      <c r="I76" s="14" t="s">
        <v>133</v>
      </c>
      <c r="J76" s="124"/>
      <c r="K76" s="125">
        <f t="shared" si="9"/>
        <v>3</v>
      </c>
      <c r="L76" s="126">
        <f t="shared" si="10"/>
        <v>0</v>
      </c>
      <c r="M76" s="124"/>
      <c r="N76" s="126">
        <v>3.0</v>
      </c>
      <c r="O76" s="127" t="s">
        <v>158</v>
      </c>
      <c r="P76" s="126">
        <f t="shared" si="11"/>
        <v>10</v>
      </c>
      <c r="Q76" s="128">
        <f t="shared" si="12"/>
        <v>3</v>
      </c>
      <c r="R76" s="129"/>
      <c r="S76" s="129">
        <f t="shared" si="13"/>
        <v>2</v>
      </c>
      <c r="T76" s="126">
        <f t="shared" si="14"/>
        <v>8</v>
      </c>
      <c r="U76" s="129">
        <f t="shared" si="15"/>
        <v>5</v>
      </c>
      <c r="V76" s="126">
        <f t="shared" si="16"/>
        <v>3</v>
      </c>
      <c r="X76" s="113" t="s">
        <v>42</v>
      </c>
      <c r="Y76" s="113">
        <v>0.0</v>
      </c>
      <c r="AA76" s="21">
        <v>3.0</v>
      </c>
      <c r="AB76" s="63" t="s">
        <v>201</v>
      </c>
      <c r="AC76" s="22">
        <v>11.0</v>
      </c>
      <c r="AD76" s="22">
        <v>3.0</v>
      </c>
      <c r="AE76" s="23"/>
      <c r="AF76" s="23">
        <v>3.0</v>
      </c>
      <c r="AG76" s="22">
        <v>8.0</v>
      </c>
      <c r="AH76" s="23">
        <v>6.0</v>
      </c>
      <c r="AI76" s="22">
        <v>2.0</v>
      </c>
    </row>
    <row r="77" ht="15.75" customHeight="1">
      <c r="A77" s="24"/>
      <c r="B77" s="11">
        <v>45944.0</v>
      </c>
      <c r="C77" s="12" t="s">
        <v>152</v>
      </c>
      <c r="D77" s="12" t="s">
        <v>22</v>
      </c>
      <c r="E77" s="14" t="s">
        <v>65</v>
      </c>
      <c r="F77" s="13">
        <v>2.0</v>
      </c>
      <c r="G77" s="30" t="s">
        <v>24</v>
      </c>
      <c r="H77" s="13">
        <v>1.0</v>
      </c>
      <c r="I77" s="14" t="s">
        <v>111</v>
      </c>
      <c r="J77" s="124"/>
      <c r="K77" s="125">
        <f t="shared" si="9"/>
        <v>2</v>
      </c>
      <c r="L77" s="126">
        <f t="shared" si="10"/>
        <v>1</v>
      </c>
      <c r="M77" s="124"/>
      <c r="N77" s="126">
        <v>4.0</v>
      </c>
      <c r="O77" s="127" t="s">
        <v>117</v>
      </c>
      <c r="P77" s="126">
        <f t="shared" si="11"/>
        <v>8</v>
      </c>
      <c r="Q77" s="128">
        <f t="shared" si="12"/>
        <v>3</v>
      </c>
      <c r="R77" s="129"/>
      <c r="S77" s="129">
        <f t="shared" si="13"/>
        <v>2</v>
      </c>
      <c r="T77" s="126">
        <f t="shared" si="14"/>
        <v>7</v>
      </c>
      <c r="U77" s="129">
        <f t="shared" si="15"/>
        <v>6</v>
      </c>
      <c r="V77" s="126">
        <f t="shared" si="16"/>
        <v>1</v>
      </c>
      <c r="AA77" s="21">
        <v>4.0</v>
      </c>
      <c r="AB77" s="63" t="s">
        <v>158</v>
      </c>
      <c r="AC77" s="22">
        <v>10.0</v>
      </c>
      <c r="AD77" s="22">
        <v>3.0</v>
      </c>
      <c r="AE77" s="23"/>
      <c r="AF77" s="23">
        <v>2.0</v>
      </c>
      <c r="AG77" s="22">
        <v>8.0</v>
      </c>
      <c r="AH77" s="23">
        <v>5.0</v>
      </c>
      <c r="AI77" s="22">
        <v>3.0</v>
      </c>
    </row>
    <row r="78" ht="15.75" customHeight="1">
      <c r="A78" s="24"/>
      <c r="B78" s="11">
        <v>45944.0</v>
      </c>
      <c r="C78" s="12" t="s">
        <v>152</v>
      </c>
      <c r="D78" s="12" t="s">
        <v>22</v>
      </c>
      <c r="E78" s="14" t="s">
        <v>117</v>
      </c>
      <c r="F78" s="13">
        <v>0.0</v>
      </c>
      <c r="G78" s="30" t="s">
        <v>24</v>
      </c>
      <c r="H78" s="13">
        <v>2.0</v>
      </c>
      <c r="I78" s="14" t="s">
        <v>64</v>
      </c>
      <c r="J78" s="124"/>
      <c r="K78" s="125">
        <f t="shared" si="9"/>
        <v>0</v>
      </c>
      <c r="L78" s="126">
        <f t="shared" si="10"/>
        <v>3</v>
      </c>
      <c r="M78" s="124"/>
      <c r="N78" s="126">
        <v>5.0</v>
      </c>
      <c r="O78" s="127" t="s">
        <v>60</v>
      </c>
      <c r="P78" s="126">
        <f t="shared" si="11"/>
        <v>8</v>
      </c>
      <c r="Q78" s="128">
        <f t="shared" si="12"/>
        <v>3</v>
      </c>
      <c r="R78" s="129"/>
      <c r="S78" s="129">
        <f t="shared" si="13"/>
        <v>2</v>
      </c>
      <c r="T78" s="126">
        <f t="shared" si="14"/>
        <v>6</v>
      </c>
      <c r="U78" s="129">
        <f t="shared" si="15"/>
        <v>5</v>
      </c>
      <c r="V78" s="126">
        <f t="shared" si="16"/>
        <v>1</v>
      </c>
      <c r="AA78" s="21">
        <v>5.0</v>
      </c>
      <c r="AB78" s="63" t="s">
        <v>111</v>
      </c>
      <c r="AC78" s="22">
        <v>9.0</v>
      </c>
      <c r="AD78" s="22">
        <v>3.0</v>
      </c>
      <c r="AE78" s="23"/>
      <c r="AF78" s="23">
        <v>4.0</v>
      </c>
      <c r="AG78" s="22">
        <v>8.0</v>
      </c>
      <c r="AH78" s="23">
        <v>10.0</v>
      </c>
      <c r="AI78" s="22">
        <v>-2.0</v>
      </c>
    </row>
    <row r="79" ht="15.75" customHeight="1">
      <c r="A79" s="28"/>
      <c r="B79" s="136"/>
      <c r="C79" s="137"/>
      <c r="D79" s="138"/>
      <c r="E79" s="14">
        <v>0.0</v>
      </c>
      <c r="F79" s="30"/>
      <c r="G79" s="30" t="s">
        <v>24</v>
      </c>
      <c r="H79" s="30"/>
      <c r="I79" s="14" t="s">
        <v>42</v>
      </c>
      <c r="J79" s="124"/>
      <c r="K79" s="125" t="str">
        <f t="shared" si="9"/>
        <v/>
      </c>
      <c r="L79" s="126" t="str">
        <f t="shared" si="10"/>
        <v/>
      </c>
      <c r="M79" s="124"/>
      <c r="N79" s="126">
        <v>6.0</v>
      </c>
      <c r="O79" s="127" t="s">
        <v>65</v>
      </c>
      <c r="P79" s="126">
        <f t="shared" si="11"/>
        <v>3</v>
      </c>
      <c r="Q79" s="128">
        <f t="shared" si="12"/>
        <v>1</v>
      </c>
      <c r="R79" s="129"/>
      <c r="S79" s="129">
        <f t="shared" si="13"/>
        <v>4</v>
      </c>
      <c r="T79" s="126">
        <f t="shared" si="14"/>
        <v>3</v>
      </c>
      <c r="U79" s="129">
        <f t="shared" si="15"/>
        <v>9</v>
      </c>
      <c r="V79" s="126">
        <f t="shared" si="16"/>
        <v>-6</v>
      </c>
      <c r="AA79" s="21">
        <v>6.0</v>
      </c>
      <c r="AB79" s="63" t="s">
        <v>117</v>
      </c>
      <c r="AC79" s="22">
        <v>8.0</v>
      </c>
      <c r="AD79" s="22">
        <v>3.0</v>
      </c>
      <c r="AE79" s="23"/>
      <c r="AF79" s="23">
        <v>2.0</v>
      </c>
      <c r="AG79" s="22">
        <v>7.0</v>
      </c>
      <c r="AH79" s="23">
        <v>6.0</v>
      </c>
      <c r="AI79" s="22">
        <v>1.0</v>
      </c>
    </row>
    <row r="80" ht="15.75" customHeight="1">
      <c r="A80" s="58">
        <v>2.0</v>
      </c>
      <c r="B80" s="136"/>
      <c r="C80" s="137"/>
      <c r="D80" s="138"/>
      <c r="E80" s="14" t="s">
        <v>158</v>
      </c>
      <c r="F80" s="30"/>
      <c r="G80" s="30" t="s">
        <v>24</v>
      </c>
      <c r="H80" s="30"/>
      <c r="I80" s="14">
        <v>0.0</v>
      </c>
      <c r="J80" s="124"/>
      <c r="K80" s="125" t="str">
        <f t="shared" si="9"/>
        <v/>
      </c>
      <c r="L80" s="126" t="str">
        <f t="shared" si="10"/>
        <v/>
      </c>
      <c r="M80" s="124"/>
      <c r="N80" s="126">
        <v>7.0</v>
      </c>
      <c r="O80" s="127" t="s">
        <v>133</v>
      </c>
      <c r="P80" s="126">
        <f t="shared" si="11"/>
        <v>5</v>
      </c>
      <c r="Q80" s="128">
        <f t="shared" si="12"/>
        <v>2</v>
      </c>
      <c r="R80" s="129"/>
      <c r="S80" s="129">
        <f t="shared" si="13"/>
        <v>4</v>
      </c>
      <c r="T80" s="126">
        <f t="shared" si="14"/>
        <v>5</v>
      </c>
      <c r="U80" s="129">
        <f t="shared" si="15"/>
        <v>10</v>
      </c>
      <c r="V80" s="126">
        <f t="shared" si="16"/>
        <v>-5</v>
      </c>
      <c r="AA80" s="21">
        <v>7.0</v>
      </c>
      <c r="AB80" s="63" t="s">
        <v>60</v>
      </c>
      <c r="AC80" s="22">
        <v>8.0</v>
      </c>
      <c r="AD80" s="22">
        <v>3.0</v>
      </c>
      <c r="AE80" s="23"/>
      <c r="AF80" s="23">
        <v>2.0</v>
      </c>
      <c r="AG80" s="22">
        <v>6.0</v>
      </c>
      <c r="AH80" s="23">
        <v>5.0</v>
      </c>
      <c r="AI80" s="22">
        <v>1.0</v>
      </c>
    </row>
    <row r="81" ht="15.75" customHeight="1">
      <c r="A81" s="24"/>
      <c r="B81" s="11">
        <v>45944.0</v>
      </c>
      <c r="C81" s="12" t="s">
        <v>152</v>
      </c>
      <c r="D81" s="12" t="s">
        <v>22</v>
      </c>
      <c r="E81" s="14" t="s">
        <v>60</v>
      </c>
      <c r="F81" s="13">
        <v>2.0</v>
      </c>
      <c r="G81" s="30" t="s">
        <v>24</v>
      </c>
      <c r="H81" s="13">
        <v>0.0</v>
      </c>
      <c r="I81" s="14" t="s">
        <v>41</v>
      </c>
      <c r="J81" s="124"/>
      <c r="K81" s="125">
        <f t="shared" si="9"/>
        <v>3</v>
      </c>
      <c r="L81" s="126">
        <f t="shared" si="10"/>
        <v>0</v>
      </c>
      <c r="M81" s="124"/>
      <c r="N81" s="126">
        <v>8.0</v>
      </c>
      <c r="O81" s="127" t="s">
        <v>201</v>
      </c>
      <c r="P81" s="126">
        <f t="shared" si="11"/>
        <v>11</v>
      </c>
      <c r="Q81" s="128">
        <f t="shared" si="12"/>
        <v>3</v>
      </c>
      <c r="R81" s="129"/>
      <c r="S81" s="129">
        <f t="shared" si="13"/>
        <v>3</v>
      </c>
      <c r="T81" s="126">
        <f t="shared" si="14"/>
        <v>8</v>
      </c>
      <c r="U81" s="129">
        <f t="shared" si="15"/>
        <v>6</v>
      </c>
      <c r="V81" s="126">
        <f t="shared" si="16"/>
        <v>2</v>
      </c>
      <c r="AA81" s="21">
        <v>8.0</v>
      </c>
      <c r="AB81" s="63" t="s">
        <v>42</v>
      </c>
      <c r="AC81" s="22">
        <v>5.0</v>
      </c>
      <c r="AD81" s="22">
        <v>2.0</v>
      </c>
      <c r="AE81" s="23"/>
      <c r="AF81" s="23">
        <v>3.0</v>
      </c>
      <c r="AG81" s="22">
        <v>4.0</v>
      </c>
      <c r="AH81" s="23">
        <v>7.0</v>
      </c>
      <c r="AI81" s="22">
        <v>-3.0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133</v>
      </c>
      <c r="F82" s="13">
        <v>0.0</v>
      </c>
      <c r="G82" s="30" t="s">
        <v>24</v>
      </c>
      <c r="H82" s="13">
        <v>2.0</v>
      </c>
      <c r="I82" s="14" t="s">
        <v>170</v>
      </c>
      <c r="J82" s="124"/>
      <c r="K82" s="125">
        <f t="shared" si="9"/>
        <v>0</v>
      </c>
      <c r="L82" s="126">
        <f t="shared" si="10"/>
        <v>3</v>
      </c>
      <c r="M82" s="124"/>
      <c r="N82" s="126">
        <v>9.0</v>
      </c>
      <c r="O82" s="127" t="s">
        <v>111</v>
      </c>
      <c r="P82" s="126">
        <f t="shared" si="11"/>
        <v>9</v>
      </c>
      <c r="Q82" s="128">
        <f t="shared" si="12"/>
        <v>3</v>
      </c>
      <c r="R82" s="129"/>
      <c r="S82" s="129">
        <f t="shared" si="13"/>
        <v>4</v>
      </c>
      <c r="T82" s="126">
        <f t="shared" si="14"/>
        <v>8</v>
      </c>
      <c r="U82" s="129">
        <f t="shared" si="15"/>
        <v>10</v>
      </c>
      <c r="V82" s="126">
        <f t="shared" si="16"/>
        <v>-2</v>
      </c>
      <c r="AA82" s="21">
        <v>9.0</v>
      </c>
      <c r="AB82" s="63" t="s">
        <v>133</v>
      </c>
      <c r="AC82" s="22">
        <v>5.0</v>
      </c>
      <c r="AD82" s="22">
        <v>2.0</v>
      </c>
      <c r="AE82" s="23"/>
      <c r="AF82" s="23">
        <v>4.0</v>
      </c>
      <c r="AG82" s="22">
        <v>5.0</v>
      </c>
      <c r="AH82" s="23">
        <v>10.0</v>
      </c>
      <c r="AI82" s="22">
        <v>-5.0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111</v>
      </c>
      <c r="F83" s="13">
        <v>2.0</v>
      </c>
      <c r="G83" s="30" t="s">
        <v>24</v>
      </c>
      <c r="H83" s="13">
        <v>1.0</v>
      </c>
      <c r="I83" s="14" t="s">
        <v>201</v>
      </c>
      <c r="J83" s="124"/>
      <c r="K83" s="125">
        <f t="shared" si="9"/>
        <v>2</v>
      </c>
      <c r="L83" s="126">
        <f t="shared" si="10"/>
        <v>1</v>
      </c>
      <c r="M83" s="124"/>
      <c r="N83" s="126">
        <v>10.0</v>
      </c>
      <c r="O83" s="127" t="s">
        <v>170</v>
      </c>
      <c r="P83" s="126">
        <f t="shared" si="11"/>
        <v>16</v>
      </c>
      <c r="Q83" s="128">
        <f t="shared" si="12"/>
        <v>6</v>
      </c>
      <c r="R83" s="129"/>
      <c r="S83" s="129">
        <f t="shared" si="13"/>
        <v>0</v>
      </c>
      <c r="T83" s="126">
        <f t="shared" si="14"/>
        <v>12</v>
      </c>
      <c r="U83" s="129">
        <f t="shared" si="15"/>
        <v>2</v>
      </c>
      <c r="V83" s="126">
        <f t="shared" si="16"/>
        <v>10</v>
      </c>
      <c r="AA83" s="21">
        <v>10.0</v>
      </c>
      <c r="AB83" s="63" t="s">
        <v>41</v>
      </c>
      <c r="AC83" s="22">
        <v>4.0</v>
      </c>
      <c r="AD83" s="22">
        <v>0.0</v>
      </c>
      <c r="AE83" s="23"/>
      <c r="AF83" s="23">
        <v>6.0</v>
      </c>
      <c r="AG83" s="22">
        <v>4.0</v>
      </c>
      <c r="AH83" s="23">
        <v>12.0</v>
      </c>
      <c r="AI83" s="22">
        <v>-8.0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64</v>
      </c>
      <c r="F84" s="13">
        <v>2.0</v>
      </c>
      <c r="G84" s="30" t="s">
        <v>24</v>
      </c>
      <c r="H84" s="13">
        <v>0.0</v>
      </c>
      <c r="I84" s="14" t="s">
        <v>65</v>
      </c>
      <c r="J84" s="124"/>
      <c r="K84" s="125">
        <f t="shared" si="9"/>
        <v>3</v>
      </c>
      <c r="L84" s="126">
        <f t="shared" si="10"/>
        <v>0</v>
      </c>
      <c r="M84" s="124"/>
      <c r="N84" s="143">
        <v>11.0</v>
      </c>
      <c r="O84" s="143" t="s">
        <v>64</v>
      </c>
      <c r="P84" s="126">
        <f t="shared" si="11"/>
        <v>14</v>
      </c>
      <c r="Q84" s="128">
        <f t="shared" si="12"/>
        <v>5</v>
      </c>
      <c r="S84" s="129">
        <f t="shared" si="13"/>
        <v>1</v>
      </c>
      <c r="T84" s="126">
        <f t="shared" si="14"/>
        <v>11</v>
      </c>
      <c r="U84" s="129">
        <f t="shared" si="15"/>
        <v>4</v>
      </c>
      <c r="V84" s="126">
        <f t="shared" si="16"/>
        <v>7</v>
      </c>
      <c r="AA84" s="47">
        <v>11.0</v>
      </c>
      <c r="AB84" s="63" t="s">
        <v>65</v>
      </c>
      <c r="AC84" s="22">
        <v>3.0</v>
      </c>
      <c r="AD84" s="22">
        <v>1.0</v>
      </c>
      <c r="AE84" s="23"/>
      <c r="AF84" s="23">
        <v>4.0</v>
      </c>
      <c r="AG84" s="22">
        <v>3.0</v>
      </c>
      <c r="AH84" s="23">
        <v>9.0</v>
      </c>
      <c r="AI84" s="22">
        <v>-6.0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42</v>
      </c>
      <c r="F85" s="13">
        <v>0.0</v>
      </c>
      <c r="G85" s="30" t="s">
        <v>24</v>
      </c>
      <c r="H85" s="13">
        <v>2.0</v>
      </c>
      <c r="I85" s="14" t="s">
        <v>117</v>
      </c>
      <c r="J85" s="124"/>
      <c r="K85" s="125">
        <f t="shared" si="9"/>
        <v>0</v>
      </c>
      <c r="L85" s="126">
        <f t="shared" si="10"/>
        <v>3</v>
      </c>
      <c r="M85" s="124"/>
      <c r="AA85" s="34" t="s">
        <v>202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1">
        <v>45967.0</v>
      </c>
      <c r="C86" s="12" t="s">
        <v>30</v>
      </c>
      <c r="D86" s="12" t="s">
        <v>22</v>
      </c>
      <c r="E86" s="14" t="s">
        <v>158</v>
      </c>
      <c r="F86" s="13">
        <v>2.0</v>
      </c>
      <c r="G86" s="30" t="s">
        <v>24</v>
      </c>
      <c r="H86" s="13">
        <v>0.0</v>
      </c>
      <c r="I86" s="14" t="s">
        <v>60</v>
      </c>
      <c r="J86" s="124"/>
      <c r="K86" s="125">
        <f t="shared" si="9"/>
        <v>3</v>
      </c>
      <c r="L86" s="126">
        <f t="shared" si="10"/>
        <v>0</v>
      </c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AA86" s="73" t="s">
        <v>108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41</v>
      </c>
      <c r="F87" s="13">
        <v>1.0</v>
      </c>
      <c r="G87" s="30" t="s">
        <v>24</v>
      </c>
      <c r="H87" s="13">
        <v>2.0</v>
      </c>
      <c r="I87" s="14" t="s">
        <v>133</v>
      </c>
      <c r="J87" s="124"/>
      <c r="K87" s="125">
        <f t="shared" si="9"/>
        <v>1</v>
      </c>
      <c r="L87" s="126">
        <f t="shared" si="10"/>
        <v>2</v>
      </c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AA87" s="134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170</v>
      </c>
      <c r="F88" s="13">
        <v>2.0</v>
      </c>
      <c r="G88" s="30" t="s">
        <v>24</v>
      </c>
      <c r="H88" s="13">
        <v>0.0</v>
      </c>
      <c r="I88" s="14" t="s">
        <v>111</v>
      </c>
      <c r="J88" s="124"/>
      <c r="K88" s="125">
        <f t="shared" si="9"/>
        <v>3</v>
      </c>
      <c r="L88" s="126">
        <f t="shared" si="10"/>
        <v>0</v>
      </c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201</v>
      </c>
      <c r="F89" s="13">
        <v>0.0</v>
      </c>
      <c r="G89" s="30" t="s">
        <v>24</v>
      </c>
      <c r="H89" s="13">
        <v>2.0</v>
      </c>
      <c r="I89" s="14" t="s">
        <v>64</v>
      </c>
      <c r="J89" s="135"/>
      <c r="K89" s="125">
        <f t="shared" si="9"/>
        <v>0</v>
      </c>
      <c r="L89" s="126">
        <f t="shared" si="10"/>
        <v>3</v>
      </c>
      <c r="M89" s="124"/>
      <c r="N89" s="124"/>
      <c r="O89" s="124"/>
      <c r="P89" s="124"/>
      <c r="R89" s="124"/>
      <c r="S89" s="124"/>
      <c r="T89" s="124"/>
      <c r="U89" s="124"/>
      <c r="V89" s="124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65</v>
      </c>
      <c r="F90" s="13">
        <v>0.0</v>
      </c>
      <c r="G90" s="30" t="s">
        <v>24</v>
      </c>
      <c r="H90" s="13">
        <v>2.0</v>
      </c>
      <c r="I90" s="14" t="s">
        <v>42</v>
      </c>
      <c r="J90" s="124"/>
      <c r="K90" s="125">
        <f t="shared" si="9"/>
        <v>0</v>
      </c>
      <c r="L90" s="126">
        <f t="shared" si="10"/>
        <v>3</v>
      </c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AG90" s="3"/>
      <c r="AH90" s="3"/>
      <c r="AI90" s="3"/>
    </row>
    <row r="91" ht="15.75" customHeight="1">
      <c r="A91" s="28"/>
      <c r="B91" s="136"/>
      <c r="C91" s="138"/>
      <c r="D91" s="138"/>
      <c r="E91" s="14">
        <v>0.0</v>
      </c>
      <c r="F91" s="30"/>
      <c r="G91" s="30" t="s">
        <v>24</v>
      </c>
      <c r="H91" s="30"/>
      <c r="I91" s="14" t="s">
        <v>117</v>
      </c>
      <c r="J91" s="124"/>
      <c r="K91" s="125" t="str">
        <f t="shared" si="9"/>
        <v/>
      </c>
      <c r="L91" s="126" t="str">
        <f t="shared" si="10"/>
        <v/>
      </c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AG91" s="3"/>
      <c r="AH91" s="3"/>
      <c r="AI91" s="3"/>
    </row>
    <row r="92" ht="15.75" customHeight="1">
      <c r="A92" s="120">
        <v>4.0</v>
      </c>
      <c r="B92" s="11"/>
      <c r="C92" s="12"/>
      <c r="D92" s="12"/>
      <c r="E92" s="14" t="s">
        <v>60</v>
      </c>
      <c r="F92" s="30"/>
      <c r="G92" s="30" t="s">
        <v>24</v>
      </c>
      <c r="H92" s="30"/>
      <c r="I92" s="14">
        <v>0.0</v>
      </c>
      <c r="J92" s="124"/>
      <c r="K92" s="125" t="str">
        <f t="shared" si="9"/>
        <v/>
      </c>
      <c r="L92" s="126" t="str">
        <f t="shared" si="10"/>
        <v/>
      </c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AG92" s="3"/>
      <c r="AH92" s="3"/>
      <c r="AI92" s="3"/>
    </row>
    <row r="93" ht="15.75" customHeight="1">
      <c r="A93" s="24"/>
      <c r="B93" s="11">
        <v>45981.0</v>
      </c>
      <c r="C93" s="12" t="s">
        <v>49</v>
      </c>
      <c r="D93" s="12" t="s">
        <v>22</v>
      </c>
      <c r="E93" s="14" t="s">
        <v>133</v>
      </c>
      <c r="F93" s="13">
        <v>2.0</v>
      </c>
      <c r="G93" s="30" t="s">
        <v>24</v>
      </c>
      <c r="H93" s="13">
        <v>1.0</v>
      </c>
      <c r="I93" s="14" t="s">
        <v>158</v>
      </c>
      <c r="J93" s="124"/>
      <c r="K93" s="125">
        <f t="shared" si="9"/>
        <v>2</v>
      </c>
      <c r="L93" s="126">
        <f t="shared" si="10"/>
        <v>1</v>
      </c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AD93" s="36"/>
      <c r="AE93" s="36"/>
      <c r="AF93" s="3"/>
      <c r="AG93" s="3"/>
      <c r="AH93" s="3"/>
      <c r="AI93" s="3"/>
    </row>
    <row r="94" ht="15.75" customHeight="1">
      <c r="A94" s="24"/>
      <c r="B94" s="11">
        <v>45981.0</v>
      </c>
      <c r="C94" s="12" t="s">
        <v>49</v>
      </c>
      <c r="D94" s="12" t="s">
        <v>22</v>
      </c>
      <c r="E94" s="14" t="s">
        <v>111</v>
      </c>
      <c r="F94" s="13">
        <v>2.0</v>
      </c>
      <c r="G94" s="30" t="s">
        <v>24</v>
      </c>
      <c r="H94" s="13">
        <v>0.0</v>
      </c>
      <c r="I94" s="14" t="s">
        <v>41</v>
      </c>
      <c r="J94" s="124"/>
      <c r="K94" s="125">
        <f t="shared" si="9"/>
        <v>3</v>
      </c>
      <c r="L94" s="126">
        <f t="shared" si="10"/>
        <v>0</v>
      </c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AD94" s="36"/>
      <c r="AE94" s="36"/>
      <c r="AF94" s="3"/>
      <c r="AG94" s="3"/>
      <c r="AH94" s="3"/>
      <c r="AI94" s="3"/>
    </row>
    <row r="95" ht="15.75" customHeight="1">
      <c r="A95" s="24"/>
      <c r="B95" s="11">
        <v>45981.0</v>
      </c>
      <c r="C95" s="12" t="s">
        <v>49</v>
      </c>
      <c r="D95" s="12" t="s">
        <v>22</v>
      </c>
      <c r="E95" s="14" t="s">
        <v>64</v>
      </c>
      <c r="F95" s="13">
        <v>1.0</v>
      </c>
      <c r="G95" s="30" t="s">
        <v>24</v>
      </c>
      <c r="H95" s="13">
        <v>2.0</v>
      </c>
      <c r="I95" s="14" t="s">
        <v>170</v>
      </c>
      <c r="J95" s="124"/>
      <c r="K95" s="125">
        <f t="shared" si="9"/>
        <v>1</v>
      </c>
      <c r="L95" s="126">
        <f t="shared" si="10"/>
        <v>2</v>
      </c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AA95" s="3"/>
      <c r="AB95" s="123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1">
        <v>45981.0</v>
      </c>
      <c r="C96" s="12" t="s">
        <v>21</v>
      </c>
      <c r="D96" s="12" t="s">
        <v>22</v>
      </c>
      <c r="E96" s="14" t="s">
        <v>42</v>
      </c>
      <c r="F96" s="13">
        <v>0.0</v>
      </c>
      <c r="G96" s="30" t="s">
        <v>24</v>
      </c>
      <c r="H96" s="13">
        <v>2.0</v>
      </c>
      <c r="I96" s="14" t="s">
        <v>201</v>
      </c>
      <c r="J96" s="124"/>
      <c r="K96" s="125">
        <f t="shared" si="9"/>
        <v>0</v>
      </c>
      <c r="L96" s="126">
        <f t="shared" si="10"/>
        <v>3</v>
      </c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AA96" s="3"/>
      <c r="AB96" s="123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1">
        <v>45981.0</v>
      </c>
      <c r="C97" s="12" t="s">
        <v>21</v>
      </c>
      <c r="D97" s="12" t="s">
        <v>22</v>
      </c>
      <c r="E97" s="14" t="s">
        <v>117</v>
      </c>
      <c r="F97" s="13">
        <v>2.0</v>
      </c>
      <c r="G97" s="30" t="s">
        <v>24</v>
      </c>
      <c r="H97" s="13">
        <v>1.0</v>
      </c>
      <c r="I97" s="14" t="s">
        <v>65</v>
      </c>
      <c r="J97" s="124"/>
      <c r="K97" s="125">
        <f t="shared" si="9"/>
        <v>2</v>
      </c>
      <c r="L97" s="126">
        <f t="shared" si="10"/>
        <v>1</v>
      </c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AA97" s="3"/>
      <c r="AB97" s="123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1">
        <v>46001.0</v>
      </c>
      <c r="C98" s="65" t="s">
        <v>146</v>
      </c>
      <c r="D98" s="12" t="s">
        <v>22</v>
      </c>
      <c r="E98" s="14" t="s">
        <v>60</v>
      </c>
      <c r="F98" s="13">
        <v>2.0</v>
      </c>
      <c r="G98" s="30" t="s">
        <v>24</v>
      </c>
      <c r="H98" s="13">
        <v>0.0</v>
      </c>
      <c r="I98" s="14" t="s">
        <v>133</v>
      </c>
      <c r="J98" s="124"/>
      <c r="K98" s="125">
        <f t="shared" si="9"/>
        <v>3</v>
      </c>
      <c r="L98" s="126">
        <f t="shared" si="10"/>
        <v>0</v>
      </c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AA98" s="3"/>
      <c r="AB98" s="123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1">
        <v>46001.0</v>
      </c>
      <c r="C99" s="12" t="s">
        <v>203</v>
      </c>
      <c r="D99" s="12" t="s">
        <v>22</v>
      </c>
      <c r="E99" s="14" t="s">
        <v>158</v>
      </c>
      <c r="F99" s="144">
        <v>2.0</v>
      </c>
      <c r="G99" s="30" t="s">
        <v>24</v>
      </c>
      <c r="H99" s="13">
        <v>0.0</v>
      </c>
      <c r="I99" s="14" t="s">
        <v>111</v>
      </c>
      <c r="J99" s="124"/>
      <c r="K99" s="125">
        <f t="shared" si="9"/>
        <v>3</v>
      </c>
      <c r="L99" s="126">
        <f t="shared" si="10"/>
        <v>0</v>
      </c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AA99" s="3"/>
      <c r="AB99" s="123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1">
        <v>46001.0</v>
      </c>
      <c r="C100" s="12" t="s">
        <v>150</v>
      </c>
      <c r="D100" s="12" t="s">
        <v>22</v>
      </c>
      <c r="E100" s="14" t="s">
        <v>41</v>
      </c>
      <c r="F100" s="144">
        <v>1.0</v>
      </c>
      <c r="G100" s="30" t="s">
        <v>24</v>
      </c>
      <c r="H100" s="13">
        <v>2.0</v>
      </c>
      <c r="I100" s="14" t="s">
        <v>64</v>
      </c>
      <c r="J100" s="124"/>
      <c r="K100" s="125">
        <f t="shared" si="9"/>
        <v>1</v>
      </c>
      <c r="L100" s="126">
        <f t="shared" si="10"/>
        <v>2</v>
      </c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AA100" s="3"/>
      <c r="AB100" s="123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1">
        <v>46001.0</v>
      </c>
      <c r="C101" s="12" t="s">
        <v>150</v>
      </c>
      <c r="D101" s="12" t="s">
        <v>22</v>
      </c>
      <c r="E101" s="14" t="s">
        <v>170</v>
      </c>
      <c r="F101" s="144">
        <v>2.0</v>
      </c>
      <c r="G101" s="30" t="s">
        <v>24</v>
      </c>
      <c r="H101" s="13">
        <v>0.0</v>
      </c>
      <c r="I101" s="14" t="s">
        <v>42</v>
      </c>
      <c r="J101" s="124"/>
      <c r="K101" s="125">
        <f t="shared" si="9"/>
        <v>3</v>
      </c>
      <c r="L101" s="126">
        <f t="shared" si="10"/>
        <v>0</v>
      </c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AA101" s="3"/>
      <c r="AB101" s="123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1">
        <v>46001.0</v>
      </c>
      <c r="C102" s="12" t="s">
        <v>150</v>
      </c>
      <c r="D102" s="12" t="s">
        <v>22</v>
      </c>
      <c r="E102" s="14" t="s">
        <v>201</v>
      </c>
      <c r="F102" s="144">
        <v>1.0</v>
      </c>
      <c r="G102" s="30" t="s">
        <v>24</v>
      </c>
      <c r="H102" s="13">
        <v>2.0</v>
      </c>
      <c r="I102" s="14" t="s">
        <v>117</v>
      </c>
      <c r="J102" s="124"/>
      <c r="K102" s="125">
        <f t="shared" si="9"/>
        <v>1</v>
      </c>
      <c r="L102" s="126">
        <f t="shared" si="10"/>
        <v>2</v>
      </c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AA102" s="3"/>
      <c r="AB102" s="123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6"/>
      <c r="C103" s="138"/>
      <c r="D103" s="138"/>
      <c r="E103" s="14">
        <v>0.0</v>
      </c>
      <c r="F103" s="138"/>
      <c r="G103" s="30" t="s">
        <v>24</v>
      </c>
      <c r="H103" s="30"/>
      <c r="I103" s="14" t="s">
        <v>65</v>
      </c>
      <c r="J103" s="124"/>
      <c r="K103" s="125" t="str">
        <f t="shared" si="9"/>
        <v/>
      </c>
      <c r="L103" s="126" t="str">
        <f t="shared" si="10"/>
        <v/>
      </c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AA103" s="3"/>
      <c r="AB103" s="123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36"/>
      <c r="C104" s="137"/>
      <c r="D104" s="138"/>
      <c r="E104" s="14" t="s">
        <v>133</v>
      </c>
      <c r="F104" s="30"/>
      <c r="G104" s="30" t="s">
        <v>24</v>
      </c>
      <c r="H104" s="30"/>
      <c r="I104" s="14">
        <v>0.0</v>
      </c>
      <c r="J104" s="124"/>
      <c r="K104" s="125" t="str">
        <f t="shared" si="9"/>
        <v/>
      </c>
      <c r="L104" s="126" t="str">
        <f t="shared" si="10"/>
        <v/>
      </c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AA104" s="3"/>
      <c r="AB104" s="123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36"/>
      <c r="C105" s="138"/>
      <c r="D105" s="138"/>
      <c r="E105" s="14" t="s">
        <v>111</v>
      </c>
      <c r="F105" s="13">
        <v>1.0</v>
      </c>
      <c r="G105" s="30" t="s">
        <v>24</v>
      </c>
      <c r="H105" s="13">
        <v>2.0</v>
      </c>
      <c r="I105" s="14" t="s">
        <v>60</v>
      </c>
      <c r="J105" s="124"/>
      <c r="K105" s="125">
        <f t="shared" si="9"/>
        <v>1</v>
      </c>
      <c r="L105" s="126">
        <f t="shared" si="10"/>
        <v>2</v>
      </c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AA105" s="3"/>
      <c r="AB105" s="123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36"/>
      <c r="C106" s="138"/>
      <c r="D106" s="138"/>
      <c r="E106" s="14" t="s">
        <v>64</v>
      </c>
      <c r="F106" s="13">
        <v>2.0</v>
      </c>
      <c r="G106" s="30" t="s">
        <v>24</v>
      </c>
      <c r="H106" s="13">
        <v>1.0</v>
      </c>
      <c r="I106" s="14" t="s">
        <v>158</v>
      </c>
      <c r="J106" s="124"/>
      <c r="K106" s="125">
        <f t="shared" si="9"/>
        <v>2</v>
      </c>
      <c r="L106" s="126">
        <f t="shared" si="10"/>
        <v>1</v>
      </c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AA106" s="3"/>
      <c r="AB106" s="123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36"/>
      <c r="C107" s="137"/>
      <c r="D107" s="138"/>
      <c r="E107" s="14" t="s">
        <v>42</v>
      </c>
      <c r="F107" s="13">
        <v>2.0</v>
      </c>
      <c r="G107" s="30" t="s">
        <v>24</v>
      </c>
      <c r="H107" s="13">
        <v>1.0</v>
      </c>
      <c r="I107" s="14" t="s">
        <v>41</v>
      </c>
      <c r="J107" s="124"/>
      <c r="K107" s="125">
        <f t="shared" si="9"/>
        <v>2</v>
      </c>
      <c r="L107" s="126">
        <f t="shared" si="10"/>
        <v>1</v>
      </c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AA107" s="3"/>
      <c r="AB107" s="123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36"/>
      <c r="C108" s="138"/>
      <c r="D108" s="138"/>
      <c r="E108" s="14" t="s">
        <v>117</v>
      </c>
      <c r="F108" s="13">
        <v>1.0</v>
      </c>
      <c r="G108" s="30" t="s">
        <v>24</v>
      </c>
      <c r="H108" s="13">
        <v>2.0</v>
      </c>
      <c r="I108" s="14" t="s">
        <v>170</v>
      </c>
      <c r="J108" s="124"/>
      <c r="K108" s="125">
        <f t="shared" si="9"/>
        <v>1</v>
      </c>
      <c r="L108" s="126">
        <f t="shared" si="10"/>
        <v>2</v>
      </c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AA108" s="3"/>
      <c r="AB108" s="123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36"/>
      <c r="C109" s="138"/>
      <c r="D109" s="138"/>
      <c r="E109" s="14" t="s">
        <v>65</v>
      </c>
      <c r="F109" s="13">
        <v>0.0</v>
      </c>
      <c r="G109" s="30" t="s">
        <v>24</v>
      </c>
      <c r="H109" s="13">
        <v>2.0</v>
      </c>
      <c r="I109" s="14" t="s">
        <v>201</v>
      </c>
      <c r="J109" s="124"/>
      <c r="K109" s="125">
        <f t="shared" si="9"/>
        <v>0</v>
      </c>
      <c r="L109" s="126">
        <f t="shared" si="10"/>
        <v>3</v>
      </c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AA109" s="3"/>
      <c r="AB109" s="123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36"/>
      <c r="C110" s="137"/>
      <c r="D110" s="138"/>
      <c r="E110" s="14" t="s">
        <v>133</v>
      </c>
      <c r="F110" s="13">
        <v>1.0</v>
      </c>
      <c r="G110" s="30" t="s">
        <v>24</v>
      </c>
      <c r="H110" s="13">
        <v>2.0</v>
      </c>
      <c r="I110" s="14" t="s">
        <v>111</v>
      </c>
      <c r="J110" s="124"/>
      <c r="K110" s="125">
        <f t="shared" si="9"/>
        <v>1</v>
      </c>
      <c r="L110" s="126">
        <f t="shared" si="10"/>
        <v>2</v>
      </c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AA110" s="3"/>
      <c r="AB110" s="123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36"/>
      <c r="C111" s="137"/>
      <c r="D111" s="138"/>
      <c r="E111" s="14" t="s">
        <v>60</v>
      </c>
      <c r="F111" s="30"/>
      <c r="G111" s="30" t="s">
        <v>24</v>
      </c>
      <c r="H111" s="30"/>
      <c r="I111" s="14" t="s">
        <v>64</v>
      </c>
      <c r="J111" s="124"/>
      <c r="K111" s="125" t="str">
        <f t="shared" si="9"/>
        <v/>
      </c>
      <c r="L111" s="126" t="str">
        <f t="shared" si="10"/>
        <v/>
      </c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AA111" s="3"/>
      <c r="AB111" s="123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36"/>
      <c r="C112" s="137"/>
      <c r="D112" s="138"/>
      <c r="E112" s="14" t="s">
        <v>158</v>
      </c>
      <c r="F112" s="30"/>
      <c r="G112" s="30" t="s">
        <v>24</v>
      </c>
      <c r="H112" s="30"/>
      <c r="I112" s="14" t="s">
        <v>42</v>
      </c>
      <c r="J112" s="124"/>
      <c r="K112" s="125" t="str">
        <f t="shared" si="9"/>
        <v/>
      </c>
      <c r="L112" s="126" t="str">
        <f t="shared" si="10"/>
        <v/>
      </c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AA112" s="3"/>
      <c r="AB112" s="123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36"/>
      <c r="C113" s="137"/>
      <c r="D113" s="138"/>
      <c r="E113" s="14" t="s">
        <v>41</v>
      </c>
      <c r="F113" s="30"/>
      <c r="G113" s="30" t="s">
        <v>24</v>
      </c>
      <c r="H113" s="30"/>
      <c r="I113" s="14" t="s">
        <v>117</v>
      </c>
      <c r="J113" s="124"/>
      <c r="K113" s="125" t="str">
        <f t="shared" si="9"/>
        <v/>
      </c>
      <c r="L113" s="126" t="str">
        <f t="shared" si="10"/>
        <v/>
      </c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AA113" s="3"/>
      <c r="AB113" s="123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36"/>
      <c r="C114" s="138"/>
      <c r="D114" s="138"/>
      <c r="E114" s="14" t="s">
        <v>170</v>
      </c>
      <c r="F114" s="30"/>
      <c r="G114" s="30" t="s">
        <v>24</v>
      </c>
      <c r="H114" s="30"/>
      <c r="I114" s="14" t="s">
        <v>65</v>
      </c>
      <c r="J114" s="124"/>
      <c r="K114" s="125" t="str">
        <f t="shared" si="9"/>
        <v/>
      </c>
      <c r="L114" s="126" t="str">
        <f t="shared" si="10"/>
        <v/>
      </c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AA114" s="3"/>
      <c r="AB114" s="123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6"/>
      <c r="C115" s="138"/>
      <c r="D115" s="138"/>
      <c r="E115" s="14">
        <v>0.0</v>
      </c>
      <c r="F115" s="30"/>
      <c r="G115" s="30" t="s">
        <v>24</v>
      </c>
      <c r="H115" s="30"/>
      <c r="I115" s="14" t="s">
        <v>201</v>
      </c>
      <c r="J115" s="124"/>
      <c r="K115" s="125" t="str">
        <f t="shared" si="9"/>
        <v/>
      </c>
      <c r="L115" s="126" t="str">
        <f t="shared" si="10"/>
        <v/>
      </c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AA115" s="3"/>
      <c r="AB115" s="123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36"/>
      <c r="C116" s="137"/>
      <c r="D116" s="138"/>
      <c r="E116" s="14" t="s">
        <v>111</v>
      </c>
      <c r="F116" s="30"/>
      <c r="G116" s="30" t="s">
        <v>24</v>
      </c>
      <c r="H116" s="30"/>
      <c r="I116" s="14">
        <v>0.0</v>
      </c>
      <c r="J116" s="124"/>
      <c r="K116" s="125" t="str">
        <f t="shared" si="9"/>
        <v/>
      </c>
      <c r="L116" s="126" t="str">
        <f t="shared" si="10"/>
        <v/>
      </c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AA116" s="3"/>
      <c r="AB116" s="123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36"/>
      <c r="C117" s="137"/>
      <c r="D117" s="138"/>
      <c r="E117" s="14" t="s">
        <v>64</v>
      </c>
      <c r="F117" s="30"/>
      <c r="G117" s="30" t="s">
        <v>24</v>
      </c>
      <c r="H117" s="30"/>
      <c r="I117" s="14" t="s">
        <v>133</v>
      </c>
      <c r="J117" s="124"/>
      <c r="K117" s="125" t="str">
        <f t="shared" si="9"/>
        <v/>
      </c>
      <c r="L117" s="126" t="str">
        <f t="shared" si="10"/>
        <v/>
      </c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AA117" s="3"/>
      <c r="AB117" s="123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36"/>
      <c r="C118" s="137"/>
      <c r="D118" s="138"/>
      <c r="E118" s="14" t="s">
        <v>42</v>
      </c>
      <c r="F118" s="30"/>
      <c r="G118" s="30" t="s">
        <v>24</v>
      </c>
      <c r="H118" s="30"/>
      <c r="I118" s="14" t="s">
        <v>60</v>
      </c>
      <c r="J118" s="124"/>
      <c r="K118" s="125" t="str">
        <f t="shared" si="9"/>
        <v/>
      </c>
      <c r="L118" s="126" t="str">
        <f t="shared" si="10"/>
        <v/>
      </c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AA118" s="3"/>
      <c r="AB118" s="123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36"/>
      <c r="C119" s="137"/>
      <c r="D119" s="138"/>
      <c r="E119" s="14" t="s">
        <v>117</v>
      </c>
      <c r="F119" s="30"/>
      <c r="G119" s="30" t="s">
        <v>24</v>
      </c>
      <c r="H119" s="30"/>
      <c r="I119" s="14" t="s">
        <v>158</v>
      </c>
      <c r="J119" s="124"/>
      <c r="K119" s="125" t="str">
        <f t="shared" si="9"/>
        <v/>
      </c>
      <c r="L119" s="126" t="str">
        <f t="shared" si="10"/>
        <v/>
      </c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AA119" s="3"/>
      <c r="AB119" s="123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36"/>
      <c r="C120" s="138"/>
      <c r="D120" s="138"/>
      <c r="E120" s="14" t="s">
        <v>65</v>
      </c>
      <c r="F120" s="30"/>
      <c r="G120" s="30" t="s">
        <v>24</v>
      </c>
      <c r="H120" s="30"/>
      <c r="I120" s="14" t="s">
        <v>41</v>
      </c>
      <c r="J120" s="124"/>
      <c r="K120" s="125" t="str">
        <f t="shared" si="9"/>
        <v/>
      </c>
      <c r="L120" s="126" t="str">
        <f t="shared" si="10"/>
        <v/>
      </c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AA120" s="3"/>
      <c r="AB120" s="123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36"/>
      <c r="C121" s="138"/>
      <c r="D121" s="138"/>
      <c r="E121" s="14" t="s">
        <v>201</v>
      </c>
      <c r="F121" s="30"/>
      <c r="G121" s="30" t="s">
        <v>24</v>
      </c>
      <c r="H121" s="30"/>
      <c r="I121" s="14" t="s">
        <v>170</v>
      </c>
      <c r="J121" s="124"/>
      <c r="K121" s="125" t="str">
        <f t="shared" si="9"/>
        <v/>
      </c>
      <c r="L121" s="126" t="str">
        <f t="shared" si="10"/>
        <v/>
      </c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AA121" s="3"/>
      <c r="AB121" s="123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36"/>
      <c r="C122" s="137"/>
      <c r="D122" s="138"/>
      <c r="E122" s="14" t="s">
        <v>111</v>
      </c>
      <c r="F122" s="30"/>
      <c r="G122" s="30" t="s">
        <v>24</v>
      </c>
      <c r="H122" s="30"/>
      <c r="I122" s="14" t="s">
        <v>64</v>
      </c>
      <c r="J122" s="124"/>
      <c r="K122" s="125" t="str">
        <f t="shared" si="9"/>
        <v/>
      </c>
      <c r="L122" s="126" t="str">
        <f t="shared" si="10"/>
        <v/>
      </c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AA122" s="3"/>
      <c r="AB122" s="123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6"/>
      <c r="C123" s="137"/>
      <c r="D123" s="138"/>
      <c r="E123" s="14" t="s">
        <v>133</v>
      </c>
      <c r="F123" s="30"/>
      <c r="G123" s="30" t="s">
        <v>24</v>
      </c>
      <c r="H123" s="30"/>
      <c r="I123" s="14" t="s">
        <v>42</v>
      </c>
      <c r="J123" s="124"/>
      <c r="K123" s="125" t="str">
        <f t="shared" si="9"/>
        <v/>
      </c>
      <c r="L123" s="126" t="str">
        <f t="shared" si="10"/>
        <v/>
      </c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AA123" s="3"/>
      <c r="AB123" s="123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6"/>
      <c r="C124" s="137"/>
      <c r="D124" s="138"/>
      <c r="E124" s="14" t="s">
        <v>60</v>
      </c>
      <c r="F124" s="30"/>
      <c r="G124" s="30" t="s">
        <v>24</v>
      </c>
      <c r="H124" s="30"/>
      <c r="I124" s="14" t="s">
        <v>117</v>
      </c>
      <c r="J124" s="124"/>
      <c r="K124" s="125" t="str">
        <f t="shared" si="9"/>
        <v/>
      </c>
      <c r="L124" s="126" t="str">
        <f t="shared" si="10"/>
        <v/>
      </c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AA124" s="3"/>
      <c r="AB124" s="123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6"/>
      <c r="C125" s="137"/>
      <c r="D125" s="138"/>
      <c r="E125" s="14" t="s">
        <v>158</v>
      </c>
      <c r="F125" s="30"/>
      <c r="G125" s="30" t="s">
        <v>24</v>
      </c>
      <c r="H125" s="30"/>
      <c r="I125" s="14" t="s">
        <v>65</v>
      </c>
      <c r="J125" s="124"/>
      <c r="K125" s="125" t="str">
        <f t="shared" si="9"/>
        <v/>
      </c>
      <c r="L125" s="126" t="str">
        <f t="shared" si="10"/>
        <v/>
      </c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AA125" s="3"/>
      <c r="AB125" s="123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6"/>
      <c r="C126" s="138"/>
      <c r="D126" s="138"/>
      <c r="E126" s="14" t="s">
        <v>41</v>
      </c>
      <c r="F126" s="30"/>
      <c r="G126" s="30" t="s">
        <v>24</v>
      </c>
      <c r="H126" s="30"/>
      <c r="I126" s="14" t="s">
        <v>201</v>
      </c>
      <c r="J126" s="124"/>
      <c r="K126" s="125" t="str">
        <f t="shared" si="9"/>
        <v/>
      </c>
      <c r="L126" s="126" t="str">
        <f t="shared" si="10"/>
        <v/>
      </c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AA126" s="3"/>
      <c r="AB126" s="123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6"/>
      <c r="C127" s="138"/>
      <c r="D127" s="138"/>
      <c r="E127" s="14">
        <v>0.0</v>
      </c>
      <c r="F127" s="30"/>
      <c r="G127" s="30" t="s">
        <v>24</v>
      </c>
      <c r="H127" s="30"/>
      <c r="I127" s="14" t="s">
        <v>170</v>
      </c>
      <c r="J127" s="124"/>
      <c r="K127" s="125" t="str">
        <f t="shared" si="9"/>
        <v/>
      </c>
      <c r="L127" s="126" t="str">
        <f t="shared" si="10"/>
        <v/>
      </c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AA127" s="3"/>
      <c r="AB127" s="123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36"/>
      <c r="C128" s="137"/>
      <c r="D128" s="138"/>
      <c r="E128" s="14">
        <v>0.0</v>
      </c>
      <c r="F128" s="30"/>
      <c r="G128" s="30" t="s">
        <v>24</v>
      </c>
      <c r="H128" s="30"/>
      <c r="I128" s="14" t="s">
        <v>64</v>
      </c>
      <c r="J128" s="124"/>
      <c r="K128" s="125" t="str">
        <f t="shared" si="9"/>
        <v/>
      </c>
      <c r="L128" s="126" t="str">
        <f t="shared" si="10"/>
        <v/>
      </c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AA128" s="3"/>
      <c r="AB128" s="123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6"/>
      <c r="C129" s="137"/>
      <c r="D129" s="138"/>
      <c r="E129" s="14" t="s">
        <v>42</v>
      </c>
      <c r="F129" s="30"/>
      <c r="G129" s="30" t="s">
        <v>24</v>
      </c>
      <c r="H129" s="30"/>
      <c r="I129" s="14" t="s">
        <v>111</v>
      </c>
      <c r="J129" s="124"/>
      <c r="K129" s="125" t="str">
        <f t="shared" si="9"/>
        <v/>
      </c>
      <c r="L129" s="126" t="str">
        <f t="shared" si="10"/>
        <v/>
      </c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AA129" s="3"/>
      <c r="AB129" s="123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6"/>
      <c r="C130" s="137"/>
      <c r="D130" s="138"/>
      <c r="E130" s="14" t="s">
        <v>117</v>
      </c>
      <c r="F130" s="30"/>
      <c r="G130" s="30" t="s">
        <v>24</v>
      </c>
      <c r="H130" s="30"/>
      <c r="I130" s="14" t="s">
        <v>133</v>
      </c>
      <c r="J130" s="124"/>
      <c r="K130" s="125" t="str">
        <f t="shared" si="9"/>
        <v/>
      </c>
      <c r="L130" s="126" t="str">
        <f t="shared" si="10"/>
        <v/>
      </c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AA130" s="3"/>
      <c r="AB130" s="123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6"/>
      <c r="C131" s="137"/>
      <c r="D131" s="138"/>
      <c r="E131" s="14" t="s">
        <v>65</v>
      </c>
      <c r="F131" s="30"/>
      <c r="G131" s="30" t="s">
        <v>24</v>
      </c>
      <c r="H131" s="30"/>
      <c r="I131" s="14" t="s">
        <v>60</v>
      </c>
      <c r="J131" s="124"/>
      <c r="K131" s="125" t="str">
        <f t="shared" si="9"/>
        <v/>
      </c>
      <c r="L131" s="126" t="str">
        <f t="shared" si="10"/>
        <v/>
      </c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AA131" s="3"/>
      <c r="AB131" s="123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6"/>
      <c r="C132" s="138"/>
      <c r="D132" s="138"/>
      <c r="E132" s="14" t="s">
        <v>201</v>
      </c>
      <c r="F132" s="30"/>
      <c r="G132" s="30" t="s">
        <v>24</v>
      </c>
      <c r="H132" s="30"/>
      <c r="I132" s="14" t="s">
        <v>158</v>
      </c>
      <c r="J132" s="124"/>
      <c r="K132" s="125" t="str">
        <f t="shared" si="9"/>
        <v/>
      </c>
      <c r="L132" s="126" t="str">
        <f t="shared" si="10"/>
        <v/>
      </c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AA132" s="3"/>
      <c r="AB132" s="123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6"/>
      <c r="C133" s="138"/>
      <c r="D133" s="138"/>
      <c r="E133" s="14" t="s">
        <v>170</v>
      </c>
      <c r="F133" s="30"/>
      <c r="G133" s="30" t="s">
        <v>24</v>
      </c>
      <c r="H133" s="30"/>
      <c r="I133" s="14" t="s">
        <v>41</v>
      </c>
      <c r="J133" s="124"/>
      <c r="K133" s="125" t="str">
        <f t="shared" si="9"/>
        <v/>
      </c>
      <c r="L133" s="126" t="str">
        <f t="shared" si="10"/>
        <v/>
      </c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AA133" s="3"/>
      <c r="AB133" s="123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36"/>
      <c r="C134" s="137"/>
      <c r="D134" s="138"/>
      <c r="E134" s="14" t="s">
        <v>64</v>
      </c>
      <c r="F134" s="13"/>
      <c r="G134" s="30" t="s">
        <v>24</v>
      </c>
      <c r="H134" s="13"/>
      <c r="I134" s="14" t="s">
        <v>42</v>
      </c>
      <c r="J134" s="124"/>
      <c r="K134" s="125" t="str">
        <f t="shared" si="9"/>
        <v/>
      </c>
      <c r="L134" s="126" t="str">
        <f t="shared" si="10"/>
        <v/>
      </c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AA134" s="3"/>
      <c r="AB134" s="123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6"/>
      <c r="C135" s="137"/>
      <c r="D135" s="138"/>
      <c r="E135" s="14" t="s">
        <v>111</v>
      </c>
      <c r="F135" s="30"/>
      <c r="G135" s="30" t="s">
        <v>24</v>
      </c>
      <c r="H135" s="30"/>
      <c r="I135" s="14" t="s">
        <v>117</v>
      </c>
      <c r="J135" s="124"/>
      <c r="K135" s="125" t="str">
        <f t="shared" si="9"/>
        <v/>
      </c>
      <c r="L135" s="126" t="str">
        <f t="shared" si="10"/>
        <v/>
      </c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AA135" s="3"/>
      <c r="AB135" s="123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6"/>
      <c r="C136" s="137"/>
      <c r="D136" s="138"/>
      <c r="E136" s="14" t="s">
        <v>133</v>
      </c>
      <c r="F136" s="13"/>
      <c r="G136" s="30" t="s">
        <v>24</v>
      </c>
      <c r="H136" s="13"/>
      <c r="I136" s="14" t="s">
        <v>65</v>
      </c>
      <c r="J136" s="124"/>
      <c r="K136" s="125" t="str">
        <f t="shared" si="9"/>
        <v/>
      </c>
      <c r="L136" s="126" t="str">
        <f t="shared" si="10"/>
        <v/>
      </c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AA136" s="3"/>
      <c r="AB136" s="123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6"/>
      <c r="C137" s="137"/>
      <c r="D137" s="138"/>
      <c r="E137" s="14" t="s">
        <v>60</v>
      </c>
      <c r="F137" s="30"/>
      <c r="G137" s="30" t="s">
        <v>24</v>
      </c>
      <c r="H137" s="30"/>
      <c r="I137" s="14" t="s">
        <v>201</v>
      </c>
      <c r="J137" s="124"/>
      <c r="K137" s="125" t="str">
        <f t="shared" si="9"/>
        <v/>
      </c>
      <c r="L137" s="126" t="str">
        <f t="shared" si="10"/>
        <v/>
      </c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AA137" s="3"/>
      <c r="AB137" s="123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6"/>
      <c r="C138" s="138"/>
      <c r="D138" s="138"/>
      <c r="E138" s="14" t="s">
        <v>158</v>
      </c>
      <c r="F138" s="13"/>
      <c r="G138" s="30" t="s">
        <v>24</v>
      </c>
      <c r="H138" s="13"/>
      <c r="I138" s="14" t="s">
        <v>170</v>
      </c>
      <c r="J138" s="124"/>
      <c r="K138" s="125" t="str">
        <f t="shared" si="9"/>
        <v/>
      </c>
      <c r="L138" s="126" t="str">
        <f t="shared" si="10"/>
        <v/>
      </c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AA138" s="3"/>
      <c r="AB138" s="123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6"/>
      <c r="C139" s="138"/>
      <c r="D139" s="138"/>
      <c r="E139" s="14" t="s">
        <v>41</v>
      </c>
      <c r="F139" s="30"/>
      <c r="G139" s="30" t="s">
        <v>24</v>
      </c>
      <c r="H139" s="30"/>
      <c r="I139" s="14">
        <v>0.0</v>
      </c>
      <c r="J139" s="124"/>
      <c r="K139" s="125" t="str">
        <f t="shared" si="9"/>
        <v/>
      </c>
      <c r="L139" s="126" t="str">
        <f t="shared" si="10"/>
        <v/>
      </c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AA139" s="3"/>
      <c r="AB139" s="123"/>
      <c r="AC139" s="3"/>
      <c r="AD139" s="3"/>
      <c r="AE139" s="3"/>
      <c r="AF139" s="3"/>
      <c r="AG139" s="3"/>
      <c r="AH139" s="3"/>
      <c r="AI139" s="3"/>
    </row>
    <row r="140" ht="15.75" customHeight="1">
      <c r="A140" s="145"/>
      <c r="B140" s="146"/>
      <c r="C140" s="147"/>
      <c r="D140" s="147"/>
      <c r="E140" s="148"/>
      <c r="F140" s="38"/>
      <c r="G140" s="38"/>
      <c r="H140" s="38"/>
      <c r="I140" s="148"/>
      <c r="J140" s="124"/>
      <c r="K140" s="125"/>
      <c r="L140" s="126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AA140" s="3"/>
      <c r="AB140" s="123"/>
      <c r="AC140" s="3"/>
      <c r="AD140" s="3"/>
      <c r="AE140" s="3"/>
      <c r="AF140" s="3"/>
      <c r="AG140" s="3"/>
      <c r="AH140" s="3"/>
      <c r="AI140" s="3"/>
    </row>
    <row r="141" ht="15.75" customHeight="1">
      <c r="A141" s="141"/>
      <c r="B141" s="142"/>
      <c r="C141" s="142"/>
      <c r="D141" s="142"/>
      <c r="E141" s="1"/>
      <c r="F141" s="142"/>
      <c r="G141" s="142"/>
      <c r="I141" s="123"/>
      <c r="AA141" s="3"/>
      <c r="AB141" s="123"/>
      <c r="AC141" s="3"/>
      <c r="AD141" s="3"/>
      <c r="AE141" s="3"/>
      <c r="AF141" s="3"/>
      <c r="AG141" s="3"/>
      <c r="AH141" s="3"/>
      <c r="AI141" s="3"/>
    </row>
    <row r="142" ht="15.75" customHeight="1">
      <c r="A142" s="141"/>
      <c r="B142" s="142"/>
      <c r="C142" s="142"/>
      <c r="D142" s="142"/>
      <c r="E142" s="1"/>
      <c r="F142" s="142"/>
      <c r="G142" s="142"/>
      <c r="I142" s="123"/>
      <c r="AA142" s="3"/>
      <c r="AB142" s="123"/>
      <c r="AC142" s="3"/>
      <c r="AD142" s="3"/>
      <c r="AE142" s="3"/>
      <c r="AF142" s="3"/>
      <c r="AG142" s="3"/>
      <c r="AH142" s="3"/>
      <c r="AI142" s="3"/>
    </row>
    <row r="143" ht="15.75" customHeight="1">
      <c r="A143" s="141"/>
      <c r="B143" s="142"/>
      <c r="C143" s="142"/>
      <c r="D143" s="142"/>
      <c r="E143" s="1"/>
      <c r="F143" s="142"/>
      <c r="G143" s="142"/>
      <c r="I143" s="123"/>
      <c r="AA143" s="3"/>
      <c r="AB143" s="123"/>
      <c r="AC143" s="3"/>
      <c r="AD143" s="3"/>
      <c r="AE143" s="3"/>
      <c r="AF143" s="3"/>
      <c r="AG143" s="3"/>
      <c r="AH143" s="3"/>
      <c r="AI143" s="3"/>
    </row>
    <row r="144" ht="15.75" customHeight="1">
      <c r="A144" s="149" t="s">
        <v>204</v>
      </c>
      <c r="I144" s="123"/>
      <c r="AA144" s="3"/>
      <c r="AB144" s="123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196</v>
      </c>
      <c r="U145" s="9" t="s">
        <v>197</v>
      </c>
      <c r="V145" s="9" t="s">
        <v>198</v>
      </c>
      <c r="W145" s="3"/>
      <c r="X145" s="108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196</v>
      </c>
      <c r="AH145" s="5" t="s">
        <v>197</v>
      </c>
      <c r="AI145" s="5" t="s">
        <v>198</v>
      </c>
    </row>
    <row r="146" ht="15.75" customHeight="1">
      <c r="A146" s="58">
        <v>1.0</v>
      </c>
      <c r="B146" s="11">
        <v>45944.0</v>
      </c>
      <c r="C146" s="12" t="s">
        <v>145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56</v>
      </c>
      <c r="J146" s="124"/>
      <c r="K146" s="125">
        <f t="shared" ref="K146:K211" si="17">IFS(F146=H146+2,3,F146=H146-2,0,F146=H146+1,2,F146=H146-1,1,F146="","")</f>
        <v>2</v>
      </c>
      <c r="L146" s="126">
        <f t="shared" ref="L146:L211" si="18">IFS(H146=F146+2,3,H146=F146-2,0,H146=F146+1,2,H146=F146-1,1,H146="","")</f>
        <v>1</v>
      </c>
      <c r="M146" s="124"/>
      <c r="N146" s="126">
        <v>1.0</v>
      </c>
      <c r="O146" s="127" t="s">
        <v>122</v>
      </c>
      <c r="P146" s="126">
        <f t="shared" ref="P146:P156" si="19">SUMIF(E$146:E$211,O146,K$146:K$211)+SUMIF(I$146:I$211,O146,L$146:L$211)</f>
        <v>14</v>
      </c>
      <c r="Q146" s="128">
        <f t="shared" ref="Q146:Q156" si="20">COUNTIFS(E$146:E$211,O146,K$146:K$211,2)+COUNTIFS(I$146:I$211,O146,L$146:L$211,2)+COUNTIFS(E$146:E$211,O146,K$146:K$211,3)+COUNTIFS(I$146:I$211,O146,L$146:L$211,3)</f>
        <v>5</v>
      </c>
      <c r="R146" s="129"/>
      <c r="S146" s="129">
        <f t="shared" ref="S146:S156" si="21">COUNTIFS(E$146:E$211,O146,K$146:K$211,1)+COUNTIFS(I$146:I$211,O146,L$146:L$211,1)+COUNTIFS(E$146:E$211,O146,K$146:K$211,0)+COUNTIFS(I$146:I$211,O146,L$146:L$211,0)</f>
        <v>1</v>
      </c>
      <c r="T146" s="126">
        <f t="shared" ref="T146:T156" si="22">SUMIF(E$146:E$211,O146,F$146:F$211)+SUMIF(I$146:I$211,O146,H$146:H$211)</f>
        <v>11</v>
      </c>
      <c r="U146" s="129">
        <f t="shared" ref="U146:U156" si="23">SUMIF(E$146:E$211,O146,H$146:H$211)+SUMIF(I$146:I$211,O146,F$146:F$211)</f>
        <v>4</v>
      </c>
      <c r="V146" s="126">
        <f t="shared" ref="V146:V156" si="24">T146-U146</f>
        <v>7</v>
      </c>
      <c r="X146" s="112" t="s">
        <v>26</v>
      </c>
      <c r="Y146" s="112" t="s">
        <v>13</v>
      </c>
      <c r="AA146" s="41" t="s">
        <v>29</v>
      </c>
      <c r="AB146" s="63" t="str">
        <f t="array" ref="AB146:AI156">SORT(O146:V156,2,FALSE,8,FALSE)</f>
        <v>LLC</v>
      </c>
      <c r="AC146" s="22">
        <v>14.0</v>
      </c>
      <c r="AD146" s="22">
        <v>5.0</v>
      </c>
      <c r="AE146" s="23"/>
      <c r="AF146" s="23">
        <v>1.0</v>
      </c>
      <c r="AG146" s="22">
        <v>11.0</v>
      </c>
      <c r="AH146" s="23">
        <v>4.0</v>
      </c>
      <c r="AI146" s="22">
        <v>7.0</v>
      </c>
    </row>
    <row r="147" ht="15.75" customHeight="1">
      <c r="A147" s="24"/>
      <c r="B147" s="11">
        <v>45944.0</v>
      </c>
      <c r="C147" s="12" t="s">
        <v>145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35</v>
      </c>
      <c r="J147" s="124"/>
      <c r="K147" s="125">
        <f t="shared" si="17"/>
        <v>3</v>
      </c>
      <c r="L147" s="126">
        <f t="shared" si="18"/>
        <v>0</v>
      </c>
      <c r="M147" s="124"/>
      <c r="N147" s="126">
        <v>2.0</v>
      </c>
      <c r="O147" s="127" t="s">
        <v>157</v>
      </c>
      <c r="P147" s="126">
        <f t="shared" si="19"/>
        <v>9</v>
      </c>
      <c r="Q147" s="128">
        <f t="shared" si="20"/>
        <v>3</v>
      </c>
      <c r="R147" s="129"/>
      <c r="S147" s="129">
        <f t="shared" si="21"/>
        <v>2</v>
      </c>
      <c r="T147" s="126">
        <f t="shared" si="22"/>
        <v>7</v>
      </c>
      <c r="U147" s="129">
        <f t="shared" si="23"/>
        <v>5</v>
      </c>
      <c r="V147" s="126">
        <f t="shared" si="24"/>
        <v>2</v>
      </c>
      <c r="X147" s="113" t="s">
        <v>33</v>
      </c>
      <c r="Y147" s="113">
        <v>3.0</v>
      </c>
      <c r="AA147" s="100" t="s">
        <v>115</v>
      </c>
      <c r="AB147" s="63" t="s">
        <v>45</v>
      </c>
      <c r="AC147" s="22">
        <v>13.0</v>
      </c>
      <c r="AD147" s="22">
        <v>4.0</v>
      </c>
      <c r="AE147" s="23"/>
      <c r="AF147" s="23">
        <v>2.0</v>
      </c>
      <c r="AG147" s="22">
        <v>9.0</v>
      </c>
      <c r="AH147" s="23">
        <v>4.0</v>
      </c>
      <c r="AI147" s="22">
        <v>5.0</v>
      </c>
    </row>
    <row r="148" ht="15.75" customHeight="1">
      <c r="A148" s="24"/>
      <c r="B148" s="11">
        <v>45944.0</v>
      </c>
      <c r="C148" s="12" t="s">
        <v>160</v>
      </c>
      <c r="D148" s="12" t="s">
        <v>22</v>
      </c>
      <c r="E148" s="14" t="s">
        <v>205</v>
      </c>
      <c r="F148" s="13">
        <v>2.0</v>
      </c>
      <c r="G148" s="30" t="s">
        <v>24</v>
      </c>
      <c r="H148" s="13">
        <v>0.0</v>
      </c>
      <c r="I148" s="14" t="s">
        <v>62</v>
      </c>
      <c r="J148" s="124"/>
      <c r="K148" s="125">
        <f t="shared" si="17"/>
        <v>3</v>
      </c>
      <c r="L148" s="126">
        <f t="shared" si="18"/>
        <v>0</v>
      </c>
      <c r="M148" s="124"/>
      <c r="N148" s="126">
        <v>3.0</v>
      </c>
      <c r="O148" s="127" t="s">
        <v>56</v>
      </c>
      <c r="P148" s="126">
        <f t="shared" si="19"/>
        <v>12</v>
      </c>
      <c r="Q148" s="128">
        <f t="shared" si="20"/>
        <v>4</v>
      </c>
      <c r="R148" s="129"/>
      <c r="S148" s="129">
        <f t="shared" si="21"/>
        <v>1</v>
      </c>
      <c r="T148" s="126">
        <f t="shared" si="22"/>
        <v>9</v>
      </c>
      <c r="U148" s="129">
        <f t="shared" si="23"/>
        <v>3</v>
      </c>
      <c r="V148" s="126">
        <f t="shared" si="24"/>
        <v>6</v>
      </c>
      <c r="X148" s="113" t="s">
        <v>42</v>
      </c>
      <c r="Y148" s="113">
        <v>0.0</v>
      </c>
      <c r="AA148" s="21">
        <v>3.0</v>
      </c>
      <c r="AB148" s="63" t="s">
        <v>56</v>
      </c>
      <c r="AC148" s="22">
        <v>12.0</v>
      </c>
      <c r="AD148" s="22">
        <v>4.0</v>
      </c>
      <c r="AE148" s="23"/>
      <c r="AF148" s="23">
        <v>1.0</v>
      </c>
      <c r="AG148" s="22">
        <v>9.0</v>
      </c>
      <c r="AH148" s="23">
        <v>3.0</v>
      </c>
      <c r="AI148" s="22">
        <v>6.0</v>
      </c>
    </row>
    <row r="149" ht="15.75" customHeight="1">
      <c r="A149" s="24"/>
      <c r="B149" s="11">
        <v>45944.0</v>
      </c>
      <c r="C149" s="12" t="s">
        <v>143</v>
      </c>
      <c r="D149" s="12" t="s">
        <v>22</v>
      </c>
      <c r="E149" s="14" t="s">
        <v>55</v>
      </c>
      <c r="F149" s="13">
        <v>1.0</v>
      </c>
      <c r="G149" s="30" t="s">
        <v>24</v>
      </c>
      <c r="H149" s="13">
        <v>2.0</v>
      </c>
      <c r="I149" s="14" t="s">
        <v>113</v>
      </c>
      <c r="J149" s="124"/>
      <c r="K149" s="125">
        <f t="shared" si="17"/>
        <v>1</v>
      </c>
      <c r="L149" s="126">
        <f t="shared" si="18"/>
        <v>2</v>
      </c>
      <c r="M149" s="124"/>
      <c r="N149" s="126">
        <v>4.0</v>
      </c>
      <c r="O149" s="127" t="s">
        <v>59</v>
      </c>
      <c r="P149" s="126">
        <f t="shared" si="19"/>
        <v>5</v>
      </c>
      <c r="Q149" s="128">
        <f t="shared" si="20"/>
        <v>2</v>
      </c>
      <c r="R149" s="129"/>
      <c r="S149" s="129">
        <f t="shared" si="21"/>
        <v>3</v>
      </c>
      <c r="T149" s="126">
        <f t="shared" si="22"/>
        <v>4</v>
      </c>
      <c r="U149" s="129">
        <f t="shared" si="23"/>
        <v>7</v>
      </c>
      <c r="V149" s="126">
        <f t="shared" si="24"/>
        <v>-3</v>
      </c>
      <c r="AA149" s="21">
        <v>4.0</v>
      </c>
      <c r="AB149" s="63" t="s">
        <v>113</v>
      </c>
      <c r="AC149" s="22">
        <v>11.0</v>
      </c>
      <c r="AD149" s="22">
        <v>5.0</v>
      </c>
      <c r="AE149" s="23"/>
      <c r="AF149" s="23">
        <v>2.0</v>
      </c>
      <c r="AG149" s="22">
        <v>10.0</v>
      </c>
      <c r="AH149" s="23">
        <v>8.0</v>
      </c>
      <c r="AI149" s="22">
        <v>2.0</v>
      </c>
    </row>
    <row r="150" ht="15.75" customHeight="1">
      <c r="A150" s="24"/>
      <c r="B150" s="11">
        <v>45944.0</v>
      </c>
      <c r="C150" s="12" t="s">
        <v>143</v>
      </c>
      <c r="D150" s="12" t="s">
        <v>22</v>
      </c>
      <c r="E150" s="14" t="s">
        <v>59</v>
      </c>
      <c r="F150" s="13">
        <v>0.0</v>
      </c>
      <c r="G150" s="30" t="s">
        <v>24</v>
      </c>
      <c r="H150" s="13">
        <v>2.0</v>
      </c>
      <c r="I150" s="14" t="s">
        <v>33</v>
      </c>
      <c r="J150" s="124"/>
      <c r="K150" s="125">
        <f t="shared" si="17"/>
        <v>0</v>
      </c>
      <c r="L150" s="126">
        <f t="shared" si="18"/>
        <v>3</v>
      </c>
      <c r="M150" s="124"/>
      <c r="N150" s="126">
        <v>5.0</v>
      </c>
      <c r="O150" s="127" t="s">
        <v>35</v>
      </c>
      <c r="P150" s="126">
        <f t="shared" si="19"/>
        <v>3</v>
      </c>
      <c r="Q150" s="128">
        <f t="shared" si="20"/>
        <v>0</v>
      </c>
      <c r="R150" s="129"/>
      <c r="S150" s="129">
        <f t="shared" si="21"/>
        <v>5</v>
      </c>
      <c r="T150" s="126">
        <f t="shared" si="22"/>
        <v>3</v>
      </c>
      <c r="U150" s="129">
        <f t="shared" si="23"/>
        <v>10</v>
      </c>
      <c r="V150" s="126">
        <f t="shared" si="24"/>
        <v>-7</v>
      </c>
      <c r="AA150" s="21">
        <v>5.0</v>
      </c>
      <c r="AB150" s="63" t="s">
        <v>55</v>
      </c>
      <c r="AC150" s="22">
        <v>10.0</v>
      </c>
      <c r="AD150" s="22">
        <v>3.0</v>
      </c>
      <c r="AE150" s="23"/>
      <c r="AF150" s="23">
        <v>2.0</v>
      </c>
      <c r="AG150" s="22">
        <v>7.0</v>
      </c>
      <c r="AH150" s="23">
        <v>4.0</v>
      </c>
      <c r="AI150" s="22">
        <v>3.0</v>
      </c>
    </row>
    <row r="151" ht="15.75" customHeight="1">
      <c r="A151" s="28"/>
      <c r="B151" s="136"/>
      <c r="C151" s="137"/>
      <c r="D151" s="138"/>
      <c r="E151" s="14">
        <v>0.0</v>
      </c>
      <c r="F151" s="30"/>
      <c r="G151" s="30" t="s">
        <v>24</v>
      </c>
      <c r="H151" s="30"/>
      <c r="I151" s="14" t="s">
        <v>157</v>
      </c>
      <c r="J151" s="124"/>
      <c r="K151" s="125" t="str">
        <f t="shared" si="17"/>
        <v/>
      </c>
      <c r="L151" s="126" t="str">
        <f t="shared" si="18"/>
        <v/>
      </c>
      <c r="M151" s="124"/>
      <c r="N151" s="126">
        <v>6.0</v>
      </c>
      <c r="O151" s="127" t="s">
        <v>55</v>
      </c>
      <c r="P151" s="126">
        <f t="shared" si="19"/>
        <v>10</v>
      </c>
      <c r="Q151" s="128">
        <f t="shared" si="20"/>
        <v>3</v>
      </c>
      <c r="R151" s="129"/>
      <c r="S151" s="129">
        <f t="shared" si="21"/>
        <v>2</v>
      </c>
      <c r="T151" s="126">
        <f t="shared" si="22"/>
        <v>7</v>
      </c>
      <c r="U151" s="129">
        <f t="shared" si="23"/>
        <v>4</v>
      </c>
      <c r="V151" s="126">
        <f t="shared" si="24"/>
        <v>3</v>
      </c>
      <c r="AA151" s="21">
        <v>6.0</v>
      </c>
      <c r="AB151" s="63" t="s">
        <v>157</v>
      </c>
      <c r="AC151" s="22">
        <v>9.0</v>
      </c>
      <c r="AD151" s="22">
        <v>3.0</v>
      </c>
      <c r="AE151" s="23"/>
      <c r="AF151" s="23">
        <v>2.0</v>
      </c>
      <c r="AG151" s="22">
        <v>7.0</v>
      </c>
      <c r="AH151" s="23">
        <v>5.0</v>
      </c>
      <c r="AI151" s="22">
        <v>2.0</v>
      </c>
    </row>
    <row r="152" ht="15.75" customHeight="1">
      <c r="A152" s="58">
        <v>2.0</v>
      </c>
      <c r="B152" s="136"/>
      <c r="C152" s="137"/>
      <c r="D152" s="138"/>
      <c r="E152" s="14" t="s">
        <v>56</v>
      </c>
      <c r="F152" s="30"/>
      <c r="G152" s="30" t="s">
        <v>24</v>
      </c>
      <c r="H152" s="30"/>
      <c r="I152" s="14">
        <v>0.0</v>
      </c>
      <c r="J152" s="124"/>
      <c r="K152" s="125" t="str">
        <f t="shared" si="17"/>
        <v/>
      </c>
      <c r="L152" s="126" t="str">
        <f t="shared" si="18"/>
        <v/>
      </c>
      <c r="M152" s="124"/>
      <c r="N152" s="126">
        <v>7.0</v>
      </c>
      <c r="O152" s="127" t="s">
        <v>62</v>
      </c>
      <c r="P152" s="126">
        <f t="shared" si="19"/>
        <v>2</v>
      </c>
      <c r="Q152" s="128">
        <f t="shared" si="20"/>
        <v>1</v>
      </c>
      <c r="R152" s="129"/>
      <c r="S152" s="129">
        <f t="shared" si="21"/>
        <v>5</v>
      </c>
      <c r="T152" s="126">
        <f t="shared" si="22"/>
        <v>2</v>
      </c>
      <c r="U152" s="129">
        <f t="shared" si="23"/>
        <v>11</v>
      </c>
      <c r="V152" s="126">
        <f t="shared" si="24"/>
        <v>-9</v>
      </c>
      <c r="AA152" s="21">
        <v>7.0</v>
      </c>
      <c r="AB152" s="63" t="s">
        <v>33</v>
      </c>
      <c r="AC152" s="22">
        <v>9.0</v>
      </c>
      <c r="AD152" s="22">
        <v>3.0</v>
      </c>
      <c r="AE152" s="23"/>
      <c r="AF152" s="23">
        <v>3.0</v>
      </c>
      <c r="AG152" s="22">
        <v>7.0</v>
      </c>
      <c r="AH152" s="23">
        <v>7.0</v>
      </c>
      <c r="AI152" s="22">
        <v>0.0</v>
      </c>
    </row>
    <row r="153" ht="15.75" customHeight="1">
      <c r="A153" s="24"/>
      <c r="B153" s="11">
        <v>45944.0</v>
      </c>
      <c r="C153" s="12" t="s">
        <v>143</v>
      </c>
      <c r="D153" s="12" t="s">
        <v>22</v>
      </c>
      <c r="E153" s="14" t="s">
        <v>35</v>
      </c>
      <c r="F153" s="13">
        <v>1.0</v>
      </c>
      <c r="G153" s="30" t="s">
        <v>24</v>
      </c>
      <c r="H153" s="13">
        <v>2.0</v>
      </c>
      <c r="I153" s="14" t="s">
        <v>122</v>
      </c>
      <c r="J153" s="124"/>
      <c r="K153" s="125">
        <f t="shared" si="17"/>
        <v>1</v>
      </c>
      <c r="L153" s="126">
        <f t="shared" si="18"/>
        <v>2</v>
      </c>
      <c r="M153" s="124"/>
      <c r="N153" s="126">
        <v>8.0</v>
      </c>
      <c r="O153" s="127" t="s">
        <v>205</v>
      </c>
      <c r="P153" s="126">
        <f t="shared" si="19"/>
        <v>5</v>
      </c>
      <c r="Q153" s="128">
        <f t="shared" si="20"/>
        <v>1</v>
      </c>
      <c r="R153" s="129"/>
      <c r="S153" s="129">
        <f t="shared" si="21"/>
        <v>5</v>
      </c>
      <c r="T153" s="126">
        <f t="shared" si="22"/>
        <v>4</v>
      </c>
      <c r="U153" s="129">
        <f t="shared" si="23"/>
        <v>10</v>
      </c>
      <c r="V153" s="126">
        <f t="shared" si="24"/>
        <v>-6</v>
      </c>
      <c r="AA153" s="21">
        <v>8.0</v>
      </c>
      <c r="AB153" s="63" t="s">
        <v>59</v>
      </c>
      <c r="AC153" s="22">
        <v>5.0</v>
      </c>
      <c r="AD153" s="22">
        <v>2.0</v>
      </c>
      <c r="AE153" s="23"/>
      <c r="AF153" s="23">
        <v>3.0</v>
      </c>
      <c r="AG153" s="22">
        <v>4.0</v>
      </c>
      <c r="AH153" s="23">
        <v>7.0</v>
      </c>
      <c r="AI153" s="22">
        <v>-3.0</v>
      </c>
    </row>
    <row r="154" ht="15.75" customHeight="1">
      <c r="A154" s="24"/>
      <c r="B154" s="11">
        <v>45959.0</v>
      </c>
      <c r="C154" s="65" t="s">
        <v>136</v>
      </c>
      <c r="D154" s="12" t="s">
        <v>22</v>
      </c>
      <c r="E154" s="14" t="s">
        <v>62</v>
      </c>
      <c r="F154" s="13">
        <v>0.0</v>
      </c>
      <c r="G154" s="30" t="s">
        <v>24</v>
      </c>
      <c r="H154" s="13">
        <v>2.0</v>
      </c>
      <c r="I154" s="14" t="s">
        <v>45</v>
      </c>
      <c r="J154" s="124"/>
      <c r="K154" s="125">
        <f t="shared" si="17"/>
        <v>0</v>
      </c>
      <c r="L154" s="126">
        <f t="shared" si="18"/>
        <v>3</v>
      </c>
      <c r="M154" s="124"/>
      <c r="N154" s="126">
        <v>9.0</v>
      </c>
      <c r="O154" s="127" t="s">
        <v>113</v>
      </c>
      <c r="P154" s="126">
        <f t="shared" si="19"/>
        <v>11</v>
      </c>
      <c r="Q154" s="128">
        <f t="shared" si="20"/>
        <v>5</v>
      </c>
      <c r="R154" s="129"/>
      <c r="S154" s="129">
        <f t="shared" si="21"/>
        <v>2</v>
      </c>
      <c r="T154" s="126">
        <f t="shared" si="22"/>
        <v>10</v>
      </c>
      <c r="U154" s="129">
        <f t="shared" si="23"/>
        <v>8</v>
      </c>
      <c r="V154" s="126">
        <f t="shared" si="24"/>
        <v>2</v>
      </c>
      <c r="AA154" s="21">
        <v>9.0</v>
      </c>
      <c r="AB154" s="63" t="s">
        <v>205</v>
      </c>
      <c r="AC154" s="22">
        <v>5.0</v>
      </c>
      <c r="AD154" s="22">
        <v>1.0</v>
      </c>
      <c r="AE154" s="23"/>
      <c r="AF154" s="23">
        <v>5.0</v>
      </c>
      <c r="AG154" s="22">
        <v>4.0</v>
      </c>
      <c r="AH154" s="23">
        <v>10.0</v>
      </c>
      <c r="AI154" s="22">
        <v>-6.0</v>
      </c>
    </row>
    <row r="155" ht="15.75" customHeight="1">
      <c r="A155" s="24"/>
      <c r="B155" s="11">
        <v>45946.0</v>
      </c>
      <c r="C155" s="65" t="s">
        <v>21</v>
      </c>
      <c r="D155" s="12" t="s">
        <v>22</v>
      </c>
      <c r="E155" s="14" t="s">
        <v>113</v>
      </c>
      <c r="F155" s="13">
        <v>2.0</v>
      </c>
      <c r="G155" s="30" t="s">
        <v>24</v>
      </c>
      <c r="H155" s="13">
        <v>1.0</v>
      </c>
      <c r="I155" s="14" t="s">
        <v>205</v>
      </c>
      <c r="J155" s="124"/>
      <c r="K155" s="125">
        <f t="shared" si="17"/>
        <v>2</v>
      </c>
      <c r="L155" s="126">
        <f t="shared" si="18"/>
        <v>1</v>
      </c>
      <c r="M155" s="124"/>
      <c r="N155" s="126">
        <v>10.0</v>
      </c>
      <c r="O155" s="127" t="s">
        <v>45</v>
      </c>
      <c r="P155" s="126">
        <f t="shared" si="19"/>
        <v>13</v>
      </c>
      <c r="Q155" s="128">
        <f t="shared" si="20"/>
        <v>4</v>
      </c>
      <c r="R155" s="129"/>
      <c r="S155" s="129">
        <f t="shared" si="21"/>
        <v>2</v>
      </c>
      <c r="T155" s="126">
        <f t="shared" si="22"/>
        <v>9</v>
      </c>
      <c r="U155" s="129">
        <f t="shared" si="23"/>
        <v>4</v>
      </c>
      <c r="V155" s="126">
        <f t="shared" si="24"/>
        <v>5</v>
      </c>
      <c r="AA155" s="21">
        <v>10.0</v>
      </c>
      <c r="AB155" s="63" t="s">
        <v>35</v>
      </c>
      <c r="AC155" s="22">
        <v>3.0</v>
      </c>
      <c r="AD155" s="22">
        <v>0.0</v>
      </c>
      <c r="AE155" s="23"/>
      <c r="AF155" s="23">
        <v>5.0</v>
      </c>
      <c r="AG155" s="22">
        <v>3.0</v>
      </c>
      <c r="AH155" s="23">
        <v>10.0</v>
      </c>
      <c r="AI155" s="22">
        <v>-7.0</v>
      </c>
    </row>
    <row r="156" ht="15.75" customHeight="1">
      <c r="A156" s="24"/>
      <c r="B156" s="11">
        <v>45959.0</v>
      </c>
      <c r="C156" s="65" t="s">
        <v>51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55</v>
      </c>
      <c r="J156" s="124"/>
      <c r="K156" s="125">
        <f t="shared" si="17"/>
        <v>0</v>
      </c>
      <c r="L156" s="126">
        <f t="shared" si="18"/>
        <v>3</v>
      </c>
      <c r="M156" s="124"/>
      <c r="N156" s="143">
        <v>11.0</v>
      </c>
      <c r="O156" s="143" t="s">
        <v>33</v>
      </c>
      <c r="P156" s="126">
        <f t="shared" si="19"/>
        <v>9</v>
      </c>
      <c r="Q156" s="128">
        <f t="shared" si="20"/>
        <v>3</v>
      </c>
      <c r="S156" s="129">
        <f t="shared" si="21"/>
        <v>3</v>
      </c>
      <c r="T156" s="126">
        <f t="shared" si="22"/>
        <v>7</v>
      </c>
      <c r="U156" s="129">
        <f t="shared" si="23"/>
        <v>7</v>
      </c>
      <c r="V156" s="126">
        <f t="shared" si="24"/>
        <v>0</v>
      </c>
      <c r="AA156" s="47">
        <v>11.0</v>
      </c>
      <c r="AB156" s="63" t="s">
        <v>62</v>
      </c>
      <c r="AC156" s="22">
        <v>2.0</v>
      </c>
      <c r="AD156" s="22">
        <v>1.0</v>
      </c>
      <c r="AE156" s="23"/>
      <c r="AF156" s="23">
        <v>5.0</v>
      </c>
      <c r="AG156" s="22">
        <v>2.0</v>
      </c>
      <c r="AH156" s="23">
        <v>11.0</v>
      </c>
      <c r="AI156" s="22">
        <v>-9.0</v>
      </c>
    </row>
    <row r="157" ht="15.75" customHeight="1">
      <c r="A157" s="28"/>
      <c r="B157" s="11">
        <v>45959.0</v>
      </c>
      <c r="C157" s="65" t="s">
        <v>51</v>
      </c>
      <c r="D157" s="12" t="s">
        <v>22</v>
      </c>
      <c r="E157" s="14" t="s">
        <v>157</v>
      </c>
      <c r="F157" s="13">
        <v>1.0</v>
      </c>
      <c r="G157" s="30" t="s">
        <v>24</v>
      </c>
      <c r="H157" s="13">
        <v>2.0</v>
      </c>
      <c r="I157" s="14" t="s">
        <v>59</v>
      </c>
      <c r="J157" s="124"/>
      <c r="K157" s="125">
        <f t="shared" si="17"/>
        <v>1</v>
      </c>
      <c r="L157" s="126">
        <f t="shared" si="18"/>
        <v>2</v>
      </c>
      <c r="M157" s="124"/>
      <c r="AA157" s="34" t="s">
        <v>206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1">
        <v>45967.0</v>
      </c>
      <c r="C158" s="12" t="s">
        <v>49</v>
      </c>
      <c r="D158" s="12" t="s">
        <v>22</v>
      </c>
      <c r="E158" s="14" t="s">
        <v>56</v>
      </c>
      <c r="F158" s="13">
        <v>2.0</v>
      </c>
      <c r="G158" s="30" t="s">
        <v>24</v>
      </c>
      <c r="H158" s="13">
        <v>0.0</v>
      </c>
      <c r="I158" s="14" t="s">
        <v>35</v>
      </c>
      <c r="J158" s="124"/>
      <c r="K158" s="125">
        <f t="shared" si="17"/>
        <v>3</v>
      </c>
      <c r="L158" s="126">
        <f t="shared" si="18"/>
        <v>0</v>
      </c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AA158" s="73" t="s">
        <v>108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122</v>
      </c>
      <c r="F159" s="13">
        <v>2.0</v>
      </c>
      <c r="G159" s="30" t="s">
        <v>24</v>
      </c>
      <c r="H159" s="13">
        <v>0.0</v>
      </c>
      <c r="I159" s="14" t="s">
        <v>62</v>
      </c>
      <c r="J159" s="124"/>
      <c r="K159" s="125">
        <f t="shared" si="17"/>
        <v>3</v>
      </c>
      <c r="L159" s="126">
        <f t="shared" si="18"/>
        <v>0</v>
      </c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AA159" s="134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113</v>
      </c>
      <c r="J160" s="124"/>
      <c r="K160" s="125">
        <f t="shared" si="17"/>
        <v>3</v>
      </c>
      <c r="L160" s="126">
        <f t="shared" si="18"/>
        <v>0</v>
      </c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205</v>
      </c>
      <c r="F161" s="13">
        <v>0.0</v>
      </c>
      <c r="G161" s="30" t="s">
        <v>24</v>
      </c>
      <c r="H161" s="13">
        <v>2.0</v>
      </c>
      <c r="I161" s="14" t="s">
        <v>33</v>
      </c>
      <c r="J161" s="135"/>
      <c r="K161" s="125">
        <f t="shared" si="17"/>
        <v>0</v>
      </c>
      <c r="L161" s="126">
        <f t="shared" si="18"/>
        <v>3</v>
      </c>
      <c r="M161" s="124"/>
      <c r="N161" s="124"/>
      <c r="O161" s="124"/>
      <c r="P161" s="124"/>
      <c r="R161" s="124"/>
      <c r="S161" s="124"/>
      <c r="T161" s="124"/>
      <c r="U161" s="124"/>
      <c r="V161" s="124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55</v>
      </c>
      <c r="F162" s="13">
        <v>0.0</v>
      </c>
      <c r="G162" s="30" t="s">
        <v>24</v>
      </c>
      <c r="H162" s="13">
        <v>2.0</v>
      </c>
      <c r="I162" s="14" t="s">
        <v>157</v>
      </c>
      <c r="J162" s="124"/>
      <c r="K162" s="125">
        <f t="shared" si="17"/>
        <v>0</v>
      </c>
      <c r="L162" s="126">
        <f t="shared" si="18"/>
        <v>3</v>
      </c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AG162" s="3"/>
      <c r="AH162" s="3"/>
      <c r="AI162" s="3"/>
    </row>
    <row r="163" ht="15.75" customHeight="1">
      <c r="A163" s="28"/>
      <c r="B163" s="136"/>
      <c r="C163" s="138"/>
      <c r="D163" s="138"/>
      <c r="E163" s="14">
        <v>0.0</v>
      </c>
      <c r="F163" s="30"/>
      <c r="G163" s="30" t="s">
        <v>24</v>
      </c>
      <c r="H163" s="30"/>
      <c r="I163" s="14" t="s">
        <v>59</v>
      </c>
      <c r="J163" s="124"/>
      <c r="K163" s="125" t="str">
        <f t="shared" si="17"/>
        <v/>
      </c>
      <c r="L163" s="126" t="str">
        <f t="shared" si="18"/>
        <v/>
      </c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AG163" s="3"/>
      <c r="AH163" s="3"/>
      <c r="AI163" s="3"/>
    </row>
    <row r="164" ht="15.75" customHeight="1">
      <c r="A164" s="120">
        <v>4.0</v>
      </c>
      <c r="B164" s="136"/>
      <c r="C164" s="138"/>
      <c r="D164" s="138"/>
      <c r="E164" s="14" t="s">
        <v>35</v>
      </c>
      <c r="F164" s="30"/>
      <c r="G164" s="30" t="s">
        <v>24</v>
      </c>
      <c r="H164" s="30"/>
      <c r="I164" s="14">
        <v>0.0</v>
      </c>
      <c r="J164" s="124"/>
      <c r="K164" s="125" t="str">
        <f t="shared" si="17"/>
        <v/>
      </c>
      <c r="L164" s="126" t="str">
        <f t="shared" si="18"/>
        <v/>
      </c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AG164" s="3"/>
      <c r="AH164" s="3"/>
      <c r="AI164" s="3"/>
    </row>
    <row r="165" ht="15.75" customHeight="1">
      <c r="A165" s="24"/>
      <c r="B165" s="11">
        <v>45981.0</v>
      </c>
      <c r="C165" s="12" t="s">
        <v>21</v>
      </c>
      <c r="D165" s="12" t="s">
        <v>22</v>
      </c>
      <c r="E165" s="14" t="s">
        <v>62</v>
      </c>
      <c r="F165" s="13">
        <v>0.0</v>
      </c>
      <c r="G165" s="30" t="s">
        <v>24</v>
      </c>
      <c r="H165" s="13">
        <v>2.0</v>
      </c>
      <c r="I165" s="14" t="s">
        <v>56</v>
      </c>
      <c r="J165" s="124"/>
      <c r="K165" s="125">
        <f t="shared" si="17"/>
        <v>0</v>
      </c>
      <c r="L165" s="126">
        <f t="shared" si="18"/>
        <v>3</v>
      </c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AG165" s="3"/>
      <c r="AH165" s="3"/>
      <c r="AI165" s="3"/>
    </row>
    <row r="166" ht="15.75" customHeight="1">
      <c r="A166" s="24"/>
      <c r="B166" s="11">
        <v>45980.0</v>
      </c>
      <c r="C166" s="12" t="s">
        <v>148</v>
      </c>
      <c r="D166" s="12" t="s">
        <v>22</v>
      </c>
      <c r="E166" s="14" t="s">
        <v>113</v>
      </c>
      <c r="F166" s="13">
        <v>2.0</v>
      </c>
      <c r="G166" s="30" t="s">
        <v>24</v>
      </c>
      <c r="H166" s="13">
        <v>1.0</v>
      </c>
      <c r="I166" s="14" t="s">
        <v>122</v>
      </c>
      <c r="J166" s="124"/>
      <c r="K166" s="125">
        <f t="shared" si="17"/>
        <v>2</v>
      </c>
      <c r="L166" s="126">
        <f t="shared" si="18"/>
        <v>1</v>
      </c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AD166" s="3"/>
      <c r="AE166" s="3"/>
      <c r="AF166" s="3"/>
      <c r="AG166" s="3"/>
      <c r="AH166" s="3"/>
      <c r="AI166" s="3"/>
    </row>
    <row r="167" ht="15.75" customHeight="1">
      <c r="A167" s="24"/>
      <c r="B167" s="11">
        <v>45980.0</v>
      </c>
      <c r="C167" s="12" t="s">
        <v>148</v>
      </c>
      <c r="D167" s="12" t="s">
        <v>22</v>
      </c>
      <c r="E167" s="14" t="s">
        <v>33</v>
      </c>
      <c r="F167" s="13">
        <v>2.0</v>
      </c>
      <c r="G167" s="30" t="s">
        <v>24</v>
      </c>
      <c r="H167" s="13">
        <v>1.0</v>
      </c>
      <c r="I167" s="14" t="s">
        <v>45</v>
      </c>
      <c r="J167" s="124"/>
      <c r="K167" s="125">
        <f t="shared" si="17"/>
        <v>2</v>
      </c>
      <c r="L167" s="126">
        <f t="shared" si="18"/>
        <v>1</v>
      </c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AA167" s="3"/>
      <c r="AB167" s="123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1">
        <v>45980.0</v>
      </c>
      <c r="C168" s="12" t="s">
        <v>147</v>
      </c>
      <c r="D168" s="12" t="s">
        <v>22</v>
      </c>
      <c r="E168" s="14" t="s">
        <v>157</v>
      </c>
      <c r="F168" s="13">
        <v>2.0</v>
      </c>
      <c r="G168" s="30" t="s">
        <v>24</v>
      </c>
      <c r="H168" s="13">
        <v>1.0</v>
      </c>
      <c r="I168" s="14" t="s">
        <v>205</v>
      </c>
      <c r="J168" s="124"/>
      <c r="K168" s="125">
        <f t="shared" si="17"/>
        <v>2</v>
      </c>
      <c r="L168" s="126">
        <f t="shared" si="18"/>
        <v>1</v>
      </c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AA168" s="3"/>
      <c r="AB168" s="123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1">
        <v>45980.0</v>
      </c>
      <c r="C169" s="12" t="s">
        <v>160</v>
      </c>
      <c r="D169" s="12" t="s">
        <v>22</v>
      </c>
      <c r="E169" s="14" t="s">
        <v>59</v>
      </c>
      <c r="F169" s="13">
        <v>0.0</v>
      </c>
      <c r="G169" s="30" t="s">
        <v>24</v>
      </c>
      <c r="H169" s="13">
        <v>2.0</v>
      </c>
      <c r="I169" s="14" t="s">
        <v>55</v>
      </c>
      <c r="J169" s="124"/>
      <c r="K169" s="125">
        <f t="shared" si="17"/>
        <v>0</v>
      </c>
      <c r="L169" s="126">
        <f t="shared" si="18"/>
        <v>3</v>
      </c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AA169" s="3"/>
      <c r="AB169" s="123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1">
        <v>46001.0</v>
      </c>
      <c r="C170" s="12" t="s">
        <v>49</v>
      </c>
      <c r="D170" s="12" t="s">
        <v>22</v>
      </c>
      <c r="E170" s="14" t="s">
        <v>35</v>
      </c>
      <c r="F170" s="13">
        <v>1.0</v>
      </c>
      <c r="G170" s="30" t="s">
        <v>24</v>
      </c>
      <c r="H170" s="13">
        <v>2.0</v>
      </c>
      <c r="I170" s="14" t="s">
        <v>62</v>
      </c>
      <c r="J170" s="124"/>
      <c r="K170" s="125">
        <f t="shared" si="17"/>
        <v>1</v>
      </c>
      <c r="L170" s="126">
        <f t="shared" si="18"/>
        <v>2</v>
      </c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AA170" s="3"/>
      <c r="AB170" s="123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1">
        <v>46001.0</v>
      </c>
      <c r="C171" s="12" t="s">
        <v>49</v>
      </c>
      <c r="D171" s="12" t="s">
        <v>22</v>
      </c>
      <c r="E171" s="14" t="s">
        <v>56</v>
      </c>
      <c r="F171" s="144">
        <v>2.0</v>
      </c>
      <c r="G171" s="30" t="s">
        <v>24</v>
      </c>
      <c r="H171" s="13">
        <v>0.0</v>
      </c>
      <c r="I171" s="14" t="s">
        <v>113</v>
      </c>
      <c r="J171" s="124"/>
      <c r="K171" s="125">
        <f t="shared" si="17"/>
        <v>3</v>
      </c>
      <c r="L171" s="126">
        <f t="shared" si="18"/>
        <v>0</v>
      </c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AA171" s="3"/>
      <c r="AB171" s="123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1">
        <v>46001.0</v>
      </c>
      <c r="C172" s="12" t="s">
        <v>49</v>
      </c>
      <c r="D172" s="12" t="s">
        <v>22</v>
      </c>
      <c r="E172" s="14" t="s">
        <v>122</v>
      </c>
      <c r="F172" s="144">
        <v>2.0</v>
      </c>
      <c r="G172" s="30" t="s">
        <v>24</v>
      </c>
      <c r="H172" s="13">
        <v>0.0</v>
      </c>
      <c r="I172" s="14" t="s">
        <v>33</v>
      </c>
      <c r="J172" s="124"/>
      <c r="K172" s="125">
        <f t="shared" si="17"/>
        <v>3</v>
      </c>
      <c r="L172" s="126">
        <f t="shared" si="18"/>
        <v>0</v>
      </c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AA172" s="3"/>
      <c r="AB172" s="123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1">
        <v>46001.0</v>
      </c>
      <c r="C173" s="12" t="s">
        <v>21</v>
      </c>
      <c r="D173" s="12" t="s">
        <v>22</v>
      </c>
      <c r="E173" s="14" t="s">
        <v>45</v>
      </c>
      <c r="F173" s="144">
        <v>0.0</v>
      </c>
      <c r="G173" s="30" t="s">
        <v>24</v>
      </c>
      <c r="H173" s="13">
        <v>2.0</v>
      </c>
      <c r="I173" s="14" t="s">
        <v>157</v>
      </c>
      <c r="J173" s="124"/>
      <c r="K173" s="125">
        <f t="shared" si="17"/>
        <v>0</v>
      </c>
      <c r="L173" s="126">
        <f t="shared" si="18"/>
        <v>3</v>
      </c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AA173" s="3"/>
      <c r="AB173" s="123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1">
        <v>46001.0</v>
      </c>
      <c r="C174" s="12" t="s">
        <v>21</v>
      </c>
      <c r="D174" s="12" t="s">
        <v>22</v>
      </c>
      <c r="E174" s="14" t="s">
        <v>205</v>
      </c>
      <c r="F174" s="144">
        <v>0.0</v>
      </c>
      <c r="G174" s="30" t="s">
        <v>24</v>
      </c>
      <c r="H174" s="13">
        <v>2.0</v>
      </c>
      <c r="I174" s="14" t="s">
        <v>59</v>
      </c>
      <c r="J174" s="124"/>
      <c r="K174" s="125">
        <f t="shared" si="17"/>
        <v>0</v>
      </c>
      <c r="L174" s="126">
        <f t="shared" si="18"/>
        <v>3</v>
      </c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AA174" s="3"/>
      <c r="AB174" s="123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6"/>
      <c r="C175" s="138"/>
      <c r="D175" s="138"/>
      <c r="E175" s="14">
        <v>0.0</v>
      </c>
      <c r="F175" s="138"/>
      <c r="G175" s="30" t="s">
        <v>24</v>
      </c>
      <c r="H175" s="30"/>
      <c r="I175" s="14" t="s">
        <v>55</v>
      </c>
      <c r="J175" s="124"/>
      <c r="K175" s="125" t="str">
        <f t="shared" si="17"/>
        <v/>
      </c>
      <c r="L175" s="126" t="str">
        <f t="shared" si="18"/>
        <v/>
      </c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AA175" s="3"/>
      <c r="AB175" s="123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36"/>
      <c r="C176" s="137"/>
      <c r="D176" s="138"/>
      <c r="E176" s="14" t="s">
        <v>62</v>
      </c>
      <c r="F176" s="30"/>
      <c r="G176" s="30" t="s">
        <v>24</v>
      </c>
      <c r="H176" s="30"/>
      <c r="I176" s="14">
        <v>0.0</v>
      </c>
      <c r="J176" s="124"/>
      <c r="K176" s="125" t="str">
        <f t="shared" si="17"/>
        <v/>
      </c>
      <c r="L176" s="126" t="str">
        <f t="shared" si="18"/>
        <v/>
      </c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AA176" s="3"/>
      <c r="AB176" s="123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36"/>
      <c r="C177" s="138"/>
      <c r="D177" s="138"/>
      <c r="E177" s="14" t="s">
        <v>113</v>
      </c>
      <c r="F177" s="13">
        <v>2.0</v>
      </c>
      <c r="G177" s="30" t="s">
        <v>24</v>
      </c>
      <c r="H177" s="13">
        <v>1.0</v>
      </c>
      <c r="I177" s="14" t="s">
        <v>35</v>
      </c>
      <c r="J177" s="124"/>
      <c r="K177" s="125">
        <f t="shared" si="17"/>
        <v>2</v>
      </c>
      <c r="L177" s="126">
        <f t="shared" si="18"/>
        <v>1</v>
      </c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AA177" s="3"/>
      <c r="AB177" s="123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36"/>
      <c r="C178" s="138"/>
      <c r="D178" s="138"/>
      <c r="E178" s="14" t="s">
        <v>33</v>
      </c>
      <c r="F178" s="13">
        <v>1.0</v>
      </c>
      <c r="G178" s="30" t="s">
        <v>24</v>
      </c>
      <c r="H178" s="13">
        <v>2.0</v>
      </c>
      <c r="I178" s="14" t="s">
        <v>56</v>
      </c>
      <c r="J178" s="124"/>
      <c r="K178" s="125">
        <f t="shared" si="17"/>
        <v>1</v>
      </c>
      <c r="L178" s="126">
        <f t="shared" si="18"/>
        <v>2</v>
      </c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AA178" s="3"/>
      <c r="AB178" s="123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36"/>
      <c r="C179" s="137"/>
      <c r="D179" s="138"/>
      <c r="E179" s="14" t="s">
        <v>157</v>
      </c>
      <c r="F179" s="13">
        <v>0.0</v>
      </c>
      <c r="G179" s="30" t="s">
        <v>24</v>
      </c>
      <c r="H179" s="13">
        <v>2.0</v>
      </c>
      <c r="I179" s="14" t="s">
        <v>122</v>
      </c>
      <c r="J179" s="124"/>
      <c r="K179" s="125">
        <f t="shared" si="17"/>
        <v>0</v>
      </c>
      <c r="L179" s="126">
        <f t="shared" si="18"/>
        <v>3</v>
      </c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AA179" s="3"/>
      <c r="AB179" s="123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36"/>
      <c r="C180" s="138"/>
      <c r="D180" s="138"/>
      <c r="E180" s="14" t="s">
        <v>59</v>
      </c>
      <c r="F180" s="13">
        <v>0.0</v>
      </c>
      <c r="G180" s="30" t="s">
        <v>24</v>
      </c>
      <c r="H180" s="13">
        <v>2.0</v>
      </c>
      <c r="I180" s="14" t="s">
        <v>45</v>
      </c>
      <c r="J180" s="124"/>
      <c r="K180" s="125">
        <f t="shared" si="17"/>
        <v>0</v>
      </c>
      <c r="L180" s="126">
        <f t="shared" si="18"/>
        <v>3</v>
      </c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AA180" s="3"/>
      <c r="AB180" s="123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36"/>
      <c r="C181" s="138"/>
      <c r="D181" s="138"/>
      <c r="E181" s="14" t="s">
        <v>55</v>
      </c>
      <c r="F181" s="13">
        <v>2.0</v>
      </c>
      <c r="G181" s="30" t="s">
        <v>24</v>
      </c>
      <c r="H181" s="13">
        <v>0.0</v>
      </c>
      <c r="I181" s="14" t="s">
        <v>205</v>
      </c>
      <c r="J181" s="124"/>
      <c r="K181" s="125">
        <f t="shared" si="17"/>
        <v>3</v>
      </c>
      <c r="L181" s="126">
        <f t="shared" si="18"/>
        <v>0</v>
      </c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AA181" s="3"/>
      <c r="AB181" s="123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36"/>
      <c r="C182" s="137"/>
      <c r="D182" s="138"/>
      <c r="E182" s="14" t="s">
        <v>62</v>
      </c>
      <c r="F182" s="13">
        <v>0.0</v>
      </c>
      <c r="G182" s="30" t="s">
        <v>24</v>
      </c>
      <c r="H182" s="13">
        <v>2.0</v>
      </c>
      <c r="I182" s="14" t="s">
        <v>113</v>
      </c>
      <c r="J182" s="124"/>
      <c r="K182" s="125">
        <f t="shared" si="17"/>
        <v>0</v>
      </c>
      <c r="L182" s="126">
        <f t="shared" si="18"/>
        <v>3</v>
      </c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AA182" s="3"/>
      <c r="AB182" s="123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36"/>
      <c r="C183" s="137"/>
      <c r="D183" s="138"/>
      <c r="E183" s="14" t="s">
        <v>35</v>
      </c>
      <c r="F183" s="30"/>
      <c r="G183" s="30" t="s">
        <v>24</v>
      </c>
      <c r="H183" s="30"/>
      <c r="I183" s="14" t="s">
        <v>33</v>
      </c>
      <c r="J183" s="124"/>
      <c r="K183" s="125" t="str">
        <f t="shared" si="17"/>
        <v/>
      </c>
      <c r="L183" s="126" t="str">
        <f t="shared" si="18"/>
        <v/>
      </c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AA183" s="3"/>
      <c r="AB183" s="123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36"/>
      <c r="C184" s="137"/>
      <c r="D184" s="138"/>
      <c r="E184" s="14" t="s">
        <v>56</v>
      </c>
      <c r="F184" s="30"/>
      <c r="G184" s="30" t="s">
        <v>24</v>
      </c>
      <c r="H184" s="30"/>
      <c r="I184" s="14" t="s">
        <v>157</v>
      </c>
      <c r="J184" s="124"/>
      <c r="K184" s="125" t="str">
        <f t="shared" si="17"/>
        <v/>
      </c>
      <c r="L184" s="126" t="str">
        <f t="shared" si="18"/>
        <v/>
      </c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AA184" s="3"/>
      <c r="AB184" s="123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36"/>
      <c r="C185" s="137"/>
      <c r="D185" s="138"/>
      <c r="E185" s="14" t="s">
        <v>122</v>
      </c>
      <c r="F185" s="30"/>
      <c r="G185" s="30" t="s">
        <v>24</v>
      </c>
      <c r="H185" s="30"/>
      <c r="I185" s="14" t="s">
        <v>59</v>
      </c>
      <c r="J185" s="124"/>
      <c r="K185" s="125" t="str">
        <f t="shared" si="17"/>
        <v/>
      </c>
      <c r="L185" s="126" t="str">
        <f t="shared" si="18"/>
        <v/>
      </c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AA185" s="3"/>
      <c r="AB185" s="123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36"/>
      <c r="C186" s="138"/>
      <c r="D186" s="138"/>
      <c r="E186" s="14" t="s">
        <v>45</v>
      </c>
      <c r="F186" s="30"/>
      <c r="G186" s="30" t="s">
        <v>24</v>
      </c>
      <c r="H186" s="30"/>
      <c r="I186" s="14" t="s">
        <v>55</v>
      </c>
      <c r="J186" s="124"/>
      <c r="K186" s="125" t="str">
        <f t="shared" si="17"/>
        <v/>
      </c>
      <c r="L186" s="126" t="str">
        <f t="shared" si="18"/>
        <v/>
      </c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AA186" s="3"/>
      <c r="AB186" s="123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6"/>
      <c r="C187" s="138"/>
      <c r="D187" s="138"/>
      <c r="E187" s="14">
        <v>0.0</v>
      </c>
      <c r="F187" s="30"/>
      <c r="G187" s="30" t="s">
        <v>24</v>
      </c>
      <c r="H187" s="30"/>
      <c r="I187" s="14" t="s">
        <v>205</v>
      </c>
      <c r="J187" s="124"/>
      <c r="K187" s="125" t="str">
        <f t="shared" si="17"/>
        <v/>
      </c>
      <c r="L187" s="126" t="str">
        <f t="shared" si="18"/>
        <v/>
      </c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AA187" s="3"/>
      <c r="AB187" s="123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36"/>
      <c r="C188" s="137"/>
      <c r="D188" s="138"/>
      <c r="E188" s="14" t="s">
        <v>113</v>
      </c>
      <c r="F188" s="30"/>
      <c r="G188" s="30" t="s">
        <v>24</v>
      </c>
      <c r="H188" s="30"/>
      <c r="I188" s="14">
        <v>0.0</v>
      </c>
      <c r="J188" s="124"/>
      <c r="K188" s="125" t="str">
        <f t="shared" si="17"/>
        <v/>
      </c>
      <c r="L188" s="126" t="str">
        <f t="shared" si="18"/>
        <v/>
      </c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AA188" s="3"/>
      <c r="AB188" s="123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36"/>
      <c r="C189" s="137"/>
      <c r="D189" s="138"/>
      <c r="E189" s="14" t="s">
        <v>33</v>
      </c>
      <c r="F189" s="30"/>
      <c r="G189" s="30" t="s">
        <v>24</v>
      </c>
      <c r="H189" s="30"/>
      <c r="I189" s="14" t="s">
        <v>62</v>
      </c>
      <c r="J189" s="124"/>
      <c r="K189" s="125" t="str">
        <f t="shared" si="17"/>
        <v/>
      </c>
      <c r="L189" s="126" t="str">
        <f t="shared" si="18"/>
        <v/>
      </c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AA189" s="3"/>
      <c r="AB189" s="123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36"/>
      <c r="C190" s="137"/>
      <c r="D190" s="138"/>
      <c r="E190" s="14" t="s">
        <v>157</v>
      </c>
      <c r="F190" s="30"/>
      <c r="G190" s="30" t="s">
        <v>24</v>
      </c>
      <c r="H190" s="30"/>
      <c r="I190" s="14" t="s">
        <v>35</v>
      </c>
      <c r="J190" s="124"/>
      <c r="K190" s="125" t="str">
        <f t="shared" si="17"/>
        <v/>
      </c>
      <c r="L190" s="126" t="str">
        <f t="shared" si="18"/>
        <v/>
      </c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AA190" s="3"/>
      <c r="AB190" s="123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36"/>
      <c r="C191" s="137"/>
      <c r="D191" s="138"/>
      <c r="E191" s="14" t="s">
        <v>59</v>
      </c>
      <c r="F191" s="30"/>
      <c r="G191" s="30" t="s">
        <v>24</v>
      </c>
      <c r="H191" s="30"/>
      <c r="I191" s="14" t="s">
        <v>56</v>
      </c>
      <c r="J191" s="124"/>
      <c r="K191" s="125" t="str">
        <f t="shared" si="17"/>
        <v/>
      </c>
      <c r="L191" s="126" t="str">
        <f t="shared" si="18"/>
        <v/>
      </c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AA191" s="3"/>
      <c r="AB191" s="123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36"/>
      <c r="C192" s="138"/>
      <c r="D192" s="138"/>
      <c r="E192" s="14" t="s">
        <v>55</v>
      </c>
      <c r="F192" s="30"/>
      <c r="G192" s="30" t="s">
        <v>24</v>
      </c>
      <c r="H192" s="30"/>
      <c r="I192" s="14" t="s">
        <v>122</v>
      </c>
      <c r="J192" s="124"/>
      <c r="K192" s="125" t="str">
        <f t="shared" si="17"/>
        <v/>
      </c>
      <c r="L192" s="126" t="str">
        <f t="shared" si="18"/>
        <v/>
      </c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AA192" s="3"/>
      <c r="AB192" s="123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6"/>
      <c r="C193" s="138"/>
      <c r="D193" s="138"/>
      <c r="E193" s="14" t="s">
        <v>205</v>
      </c>
      <c r="F193" s="30"/>
      <c r="G193" s="30" t="s">
        <v>24</v>
      </c>
      <c r="H193" s="30"/>
      <c r="I193" s="14" t="s">
        <v>45</v>
      </c>
      <c r="J193" s="124"/>
      <c r="K193" s="125" t="str">
        <f t="shared" si="17"/>
        <v/>
      </c>
      <c r="L193" s="126" t="str">
        <f t="shared" si="18"/>
        <v/>
      </c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AA193" s="3"/>
      <c r="AB193" s="123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36"/>
      <c r="C194" s="137"/>
      <c r="D194" s="138"/>
      <c r="E194" s="14" t="s">
        <v>113</v>
      </c>
      <c r="F194" s="30"/>
      <c r="G194" s="30" t="s">
        <v>24</v>
      </c>
      <c r="H194" s="30"/>
      <c r="I194" s="14" t="s">
        <v>33</v>
      </c>
      <c r="J194" s="124"/>
      <c r="K194" s="125" t="str">
        <f t="shared" si="17"/>
        <v/>
      </c>
      <c r="L194" s="126" t="str">
        <f t="shared" si="18"/>
        <v/>
      </c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AA194" s="3"/>
      <c r="AB194" s="123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6"/>
      <c r="C195" s="137"/>
      <c r="D195" s="138"/>
      <c r="E195" s="14" t="s">
        <v>62</v>
      </c>
      <c r="F195" s="30"/>
      <c r="G195" s="30" t="s">
        <v>24</v>
      </c>
      <c r="H195" s="30"/>
      <c r="I195" s="14" t="s">
        <v>157</v>
      </c>
      <c r="J195" s="124"/>
      <c r="K195" s="125" t="str">
        <f t="shared" si="17"/>
        <v/>
      </c>
      <c r="L195" s="126" t="str">
        <f t="shared" si="18"/>
        <v/>
      </c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AA195" s="3"/>
      <c r="AB195" s="123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6"/>
      <c r="C196" s="137"/>
      <c r="D196" s="138"/>
      <c r="E196" s="14" t="s">
        <v>35</v>
      </c>
      <c r="F196" s="30"/>
      <c r="G196" s="30" t="s">
        <v>24</v>
      </c>
      <c r="H196" s="30"/>
      <c r="I196" s="14" t="s">
        <v>59</v>
      </c>
      <c r="J196" s="124"/>
      <c r="K196" s="125" t="str">
        <f t="shared" si="17"/>
        <v/>
      </c>
      <c r="L196" s="126" t="str">
        <f t="shared" si="18"/>
        <v/>
      </c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AA196" s="3"/>
      <c r="AB196" s="123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6"/>
      <c r="C197" s="137"/>
      <c r="D197" s="138"/>
      <c r="E197" s="14" t="s">
        <v>56</v>
      </c>
      <c r="F197" s="30"/>
      <c r="G197" s="30" t="s">
        <v>24</v>
      </c>
      <c r="H197" s="30"/>
      <c r="I197" s="14" t="s">
        <v>55</v>
      </c>
      <c r="J197" s="124"/>
      <c r="K197" s="125" t="str">
        <f t="shared" si="17"/>
        <v/>
      </c>
      <c r="L197" s="126" t="str">
        <f t="shared" si="18"/>
        <v/>
      </c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AA197" s="3"/>
      <c r="AB197" s="123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6"/>
      <c r="C198" s="138"/>
      <c r="D198" s="138"/>
      <c r="E198" s="14" t="s">
        <v>122</v>
      </c>
      <c r="F198" s="30"/>
      <c r="G198" s="30" t="s">
        <v>24</v>
      </c>
      <c r="H198" s="30"/>
      <c r="I198" s="14" t="s">
        <v>205</v>
      </c>
      <c r="J198" s="124"/>
      <c r="K198" s="125" t="str">
        <f t="shared" si="17"/>
        <v/>
      </c>
      <c r="L198" s="126" t="str">
        <f t="shared" si="18"/>
        <v/>
      </c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AA198" s="3"/>
      <c r="AB198" s="123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6"/>
      <c r="C199" s="138"/>
      <c r="D199" s="138"/>
      <c r="E199" s="14">
        <v>0.0</v>
      </c>
      <c r="F199" s="30"/>
      <c r="G199" s="30" t="s">
        <v>24</v>
      </c>
      <c r="H199" s="30"/>
      <c r="I199" s="14" t="s">
        <v>45</v>
      </c>
      <c r="J199" s="124"/>
      <c r="K199" s="125" t="str">
        <f t="shared" si="17"/>
        <v/>
      </c>
      <c r="L199" s="126" t="str">
        <f t="shared" si="18"/>
        <v/>
      </c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AA199" s="3"/>
      <c r="AB199" s="123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36"/>
      <c r="C200" s="137"/>
      <c r="D200" s="138"/>
      <c r="E200" s="14">
        <v>0.0</v>
      </c>
      <c r="F200" s="30"/>
      <c r="G200" s="30" t="s">
        <v>24</v>
      </c>
      <c r="H200" s="30"/>
      <c r="I200" s="14" t="s">
        <v>33</v>
      </c>
      <c r="J200" s="124"/>
      <c r="K200" s="125" t="str">
        <f t="shared" si="17"/>
        <v/>
      </c>
      <c r="L200" s="126" t="str">
        <f t="shared" si="18"/>
        <v/>
      </c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AA200" s="3"/>
      <c r="AB200" s="123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6"/>
      <c r="C201" s="137"/>
      <c r="D201" s="138"/>
      <c r="E201" s="14" t="s">
        <v>157</v>
      </c>
      <c r="F201" s="30"/>
      <c r="G201" s="30" t="s">
        <v>24</v>
      </c>
      <c r="H201" s="30"/>
      <c r="I201" s="14" t="s">
        <v>113</v>
      </c>
      <c r="J201" s="124"/>
      <c r="K201" s="125" t="str">
        <f t="shared" si="17"/>
        <v/>
      </c>
      <c r="L201" s="126" t="str">
        <f t="shared" si="18"/>
        <v/>
      </c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AA201" s="3"/>
      <c r="AB201" s="123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6"/>
      <c r="C202" s="137"/>
      <c r="D202" s="138"/>
      <c r="E202" s="14" t="s">
        <v>59</v>
      </c>
      <c r="F202" s="30"/>
      <c r="G202" s="30" t="s">
        <v>24</v>
      </c>
      <c r="H202" s="30"/>
      <c r="I202" s="14" t="s">
        <v>62</v>
      </c>
      <c r="J202" s="124"/>
      <c r="K202" s="125" t="str">
        <f t="shared" si="17"/>
        <v/>
      </c>
      <c r="L202" s="126" t="str">
        <f t="shared" si="18"/>
        <v/>
      </c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AA202" s="3"/>
      <c r="AB202" s="123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6"/>
      <c r="C203" s="137"/>
      <c r="D203" s="138"/>
      <c r="E203" s="14" t="s">
        <v>55</v>
      </c>
      <c r="F203" s="30"/>
      <c r="G203" s="30" t="s">
        <v>24</v>
      </c>
      <c r="H203" s="30"/>
      <c r="I203" s="14" t="s">
        <v>35</v>
      </c>
      <c r="J203" s="124"/>
      <c r="K203" s="125" t="str">
        <f t="shared" si="17"/>
        <v/>
      </c>
      <c r="L203" s="126" t="str">
        <f t="shared" si="18"/>
        <v/>
      </c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AA203" s="3"/>
      <c r="AB203" s="123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6"/>
      <c r="C204" s="138"/>
      <c r="D204" s="138"/>
      <c r="E204" s="14" t="s">
        <v>205</v>
      </c>
      <c r="F204" s="30"/>
      <c r="G204" s="30" t="s">
        <v>24</v>
      </c>
      <c r="H204" s="30"/>
      <c r="I204" s="14" t="s">
        <v>56</v>
      </c>
      <c r="J204" s="124"/>
      <c r="K204" s="125" t="str">
        <f t="shared" si="17"/>
        <v/>
      </c>
      <c r="L204" s="126" t="str">
        <f t="shared" si="18"/>
        <v/>
      </c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AA204" s="3"/>
      <c r="AB204" s="123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6"/>
      <c r="C205" s="138"/>
      <c r="D205" s="138"/>
      <c r="E205" s="14" t="s">
        <v>45</v>
      </c>
      <c r="F205" s="30"/>
      <c r="G205" s="30" t="s">
        <v>24</v>
      </c>
      <c r="H205" s="30"/>
      <c r="I205" s="14" t="s">
        <v>122</v>
      </c>
      <c r="J205" s="124"/>
      <c r="K205" s="125" t="str">
        <f t="shared" si="17"/>
        <v/>
      </c>
      <c r="L205" s="126" t="str">
        <f t="shared" si="18"/>
        <v/>
      </c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AA205" s="3"/>
      <c r="AB205" s="123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36"/>
      <c r="C206" s="137"/>
      <c r="D206" s="138"/>
      <c r="E206" s="14" t="s">
        <v>33</v>
      </c>
      <c r="F206" s="13"/>
      <c r="G206" s="30" t="s">
        <v>24</v>
      </c>
      <c r="H206" s="13"/>
      <c r="I206" s="14" t="s">
        <v>157</v>
      </c>
      <c r="J206" s="124"/>
      <c r="K206" s="125" t="str">
        <f t="shared" si="17"/>
        <v/>
      </c>
      <c r="L206" s="126" t="str">
        <f t="shared" si="18"/>
        <v/>
      </c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AA206" s="3"/>
      <c r="AB206" s="123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6"/>
      <c r="C207" s="137"/>
      <c r="D207" s="138"/>
      <c r="E207" s="14" t="s">
        <v>113</v>
      </c>
      <c r="F207" s="30"/>
      <c r="G207" s="30" t="s">
        <v>24</v>
      </c>
      <c r="H207" s="30"/>
      <c r="I207" s="14" t="s">
        <v>59</v>
      </c>
      <c r="J207" s="124"/>
      <c r="K207" s="125" t="str">
        <f t="shared" si="17"/>
        <v/>
      </c>
      <c r="L207" s="126" t="str">
        <f t="shared" si="18"/>
        <v/>
      </c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AA207" s="3"/>
      <c r="AB207" s="123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6"/>
      <c r="C208" s="137"/>
      <c r="D208" s="138"/>
      <c r="E208" s="14" t="s">
        <v>62</v>
      </c>
      <c r="F208" s="30"/>
      <c r="G208" s="30" t="s">
        <v>24</v>
      </c>
      <c r="H208" s="30"/>
      <c r="I208" s="14" t="s">
        <v>55</v>
      </c>
      <c r="J208" s="124"/>
      <c r="K208" s="125" t="str">
        <f t="shared" si="17"/>
        <v/>
      </c>
      <c r="L208" s="126" t="str">
        <f t="shared" si="18"/>
        <v/>
      </c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AA208" s="3"/>
      <c r="AB208" s="123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6"/>
      <c r="C209" s="137"/>
      <c r="D209" s="138"/>
      <c r="E209" s="14" t="s">
        <v>35</v>
      </c>
      <c r="F209" s="30"/>
      <c r="G209" s="30" t="s">
        <v>24</v>
      </c>
      <c r="H209" s="30"/>
      <c r="I209" s="14" t="s">
        <v>205</v>
      </c>
      <c r="J209" s="124"/>
      <c r="K209" s="125" t="str">
        <f t="shared" si="17"/>
        <v/>
      </c>
      <c r="L209" s="126" t="str">
        <f t="shared" si="18"/>
        <v/>
      </c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AA209" s="3"/>
      <c r="AB209" s="123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6"/>
      <c r="C210" s="138"/>
      <c r="D210" s="138"/>
      <c r="E210" s="14" t="s">
        <v>56</v>
      </c>
      <c r="F210" s="13"/>
      <c r="G210" s="30" t="s">
        <v>24</v>
      </c>
      <c r="H210" s="13"/>
      <c r="I210" s="14" t="s">
        <v>45</v>
      </c>
      <c r="J210" s="124"/>
      <c r="K210" s="125" t="str">
        <f t="shared" si="17"/>
        <v/>
      </c>
      <c r="L210" s="126" t="str">
        <f t="shared" si="18"/>
        <v/>
      </c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AA210" s="3"/>
      <c r="AB210" s="123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6"/>
      <c r="C211" s="138"/>
      <c r="D211" s="138"/>
      <c r="E211" s="14" t="s">
        <v>122</v>
      </c>
      <c r="F211" s="30"/>
      <c r="G211" s="30" t="s">
        <v>24</v>
      </c>
      <c r="H211" s="30"/>
      <c r="I211" s="14">
        <v>0.0</v>
      </c>
      <c r="J211" s="124"/>
      <c r="K211" s="125" t="str">
        <f t="shared" si="17"/>
        <v/>
      </c>
      <c r="L211" s="126" t="str">
        <f t="shared" si="18"/>
        <v/>
      </c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AA211" s="3"/>
      <c r="AB211" s="123"/>
      <c r="AC211" s="3"/>
      <c r="AD211" s="3"/>
      <c r="AE211" s="3"/>
      <c r="AF211" s="3"/>
      <c r="AG211" s="3"/>
      <c r="AH211" s="3"/>
      <c r="AI211" s="3"/>
    </row>
    <row r="212" ht="15.75" customHeight="1">
      <c r="A212" s="150"/>
      <c r="E212" s="123"/>
      <c r="I212" s="123"/>
      <c r="AA212" s="3"/>
      <c r="AB212" s="123"/>
      <c r="AC212" s="3"/>
      <c r="AD212" s="3"/>
      <c r="AE212" s="3"/>
      <c r="AF212" s="3"/>
      <c r="AG212" s="3"/>
      <c r="AH212" s="3"/>
      <c r="AI212" s="3"/>
    </row>
    <row r="213" ht="15.75" customHeight="1">
      <c r="A213" s="150"/>
      <c r="E213" s="123"/>
      <c r="I213" s="123"/>
      <c r="AA213" s="3"/>
      <c r="AB213" s="123"/>
      <c r="AC213" s="3"/>
      <c r="AD213" s="3"/>
      <c r="AE213" s="3"/>
      <c r="AF213" s="3"/>
      <c r="AG213" s="3"/>
      <c r="AH213" s="3"/>
      <c r="AI213" s="3"/>
    </row>
    <row r="214" ht="15.75" customHeight="1">
      <c r="A214" s="150"/>
      <c r="E214" s="123"/>
      <c r="I214" s="123"/>
      <c r="AA214" s="3"/>
      <c r="AB214" s="123"/>
      <c r="AC214" s="3"/>
      <c r="AD214" s="3"/>
      <c r="AE214" s="3"/>
      <c r="AF214" s="3"/>
      <c r="AG214" s="3"/>
      <c r="AH214" s="3"/>
      <c r="AI214" s="3"/>
    </row>
    <row r="215" ht="15.75" customHeight="1">
      <c r="A215" s="150"/>
      <c r="E215" s="123"/>
      <c r="I215" s="123"/>
      <c r="AA215" s="3"/>
      <c r="AB215" s="123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207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1" t="s">
        <v>196</v>
      </c>
      <c r="U217" s="151" t="s">
        <v>197</v>
      </c>
      <c r="V217" s="151" t="s">
        <v>198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2" t="s">
        <v>196</v>
      </c>
      <c r="AH217" s="152" t="s">
        <v>197</v>
      </c>
      <c r="AI217" s="152" t="s">
        <v>198</v>
      </c>
    </row>
    <row r="218" ht="15.75" customHeight="1">
      <c r="A218" s="85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5" t="str">
        <f t="shared" ref="K218:K220" si="25">IFS(F218=H218+2,3,F218=H218-2,0,F218=H218+1,2,F218=H218-1,1,F218="","")</f>
        <v/>
      </c>
      <c r="L218" s="126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6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85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5" t="str">
        <f t="shared" si="25"/>
        <v/>
      </c>
      <c r="L219" s="126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6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85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5" t="str">
        <f t="shared" si="25"/>
        <v/>
      </c>
      <c r="L220" s="126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208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4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50"/>
      <c r="E236" s="123"/>
      <c r="I236" s="123"/>
      <c r="AA236" s="3"/>
      <c r="AB236" s="123"/>
      <c r="AC236" s="3"/>
      <c r="AD236" s="3"/>
      <c r="AE236" s="3"/>
      <c r="AF236" s="3"/>
      <c r="AG236" s="3"/>
      <c r="AH236" s="3"/>
      <c r="AI236" s="3"/>
    </row>
    <row r="237" ht="15.75" customHeight="1">
      <c r="A237" s="150"/>
      <c r="E237" s="123"/>
      <c r="I237" s="123"/>
      <c r="AA237" s="3"/>
      <c r="AB237" s="123"/>
      <c r="AC237" s="3"/>
      <c r="AD237" s="3"/>
      <c r="AE237" s="3"/>
      <c r="AF237" s="3"/>
      <c r="AG237" s="3"/>
      <c r="AH237" s="3"/>
      <c r="AI237" s="3"/>
    </row>
    <row r="238" ht="15.75" customHeight="1">
      <c r="A238" s="150"/>
      <c r="E238" s="123"/>
      <c r="I238" s="123"/>
      <c r="AA238" s="3"/>
      <c r="AB238" s="123"/>
      <c r="AC238" s="3"/>
      <c r="AD238" s="3"/>
      <c r="AE238" s="3"/>
      <c r="AF238" s="3"/>
      <c r="AG238" s="3"/>
      <c r="AH238" s="3"/>
      <c r="AI238" s="3"/>
    </row>
    <row r="239" ht="15.75" customHeight="1">
      <c r="A239" s="150"/>
      <c r="E239" s="123"/>
      <c r="I239" s="123"/>
      <c r="AA239" s="3"/>
      <c r="AB239" s="123"/>
      <c r="AC239" s="3"/>
      <c r="AD239" s="3"/>
      <c r="AE239" s="3"/>
      <c r="AF239" s="3"/>
      <c r="AG239" s="3"/>
      <c r="AH239" s="3"/>
      <c r="AI239" s="3"/>
    </row>
    <row r="240" ht="15.75" customHeight="1">
      <c r="A240" s="150"/>
      <c r="E240" s="123"/>
      <c r="I240" s="123"/>
      <c r="AA240" s="3"/>
      <c r="AB240" s="123"/>
      <c r="AC240" s="3"/>
      <c r="AD240" s="3"/>
      <c r="AE240" s="3"/>
      <c r="AF240" s="3"/>
      <c r="AG240" s="3"/>
      <c r="AH240" s="3"/>
      <c r="AI240" s="3"/>
    </row>
    <row r="241" ht="15.75" customHeight="1">
      <c r="A241" s="150"/>
      <c r="E241" s="123"/>
      <c r="I241" s="123"/>
      <c r="AA241" s="3"/>
      <c r="AB241" s="123"/>
      <c r="AC241" s="3"/>
      <c r="AD241" s="3"/>
      <c r="AE241" s="3"/>
      <c r="AF241" s="3"/>
      <c r="AG241" s="3"/>
      <c r="AH241" s="3"/>
      <c r="AI241" s="3"/>
    </row>
    <row r="242" ht="15.75" customHeight="1">
      <c r="A242" s="150"/>
      <c r="E242" s="123"/>
      <c r="I242" s="123"/>
      <c r="AA242" s="3"/>
      <c r="AB242" s="123"/>
      <c r="AC242" s="3"/>
      <c r="AD242" s="3"/>
      <c r="AE242" s="3"/>
      <c r="AF242" s="3"/>
      <c r="AG242" s="3"/>
      <c r="AH242" s="3"/>
      <c r="AI242" s="3"/>
    </row>
    <row r="243" ht="15.75" customHeight="1">
      <c r="A243" s="150"/>
      <c r="E243" s="123"/>
      <c r="I243" s="123"/>
      <c r="AA243" s="3"/>
      <c r="AB243" s="123"/>
      <c r="AC243" s="3"/>
      <c r="AD243" s="3"/>
      <c r="AE243" s="3"/>
      <c r="AF243" s="3"/>
      <c r="AG243" s="3"/>
      <c r="AH243" s="3"/>
      <c r="AI243" s="3"/>
    </row>
    <row r="244" ht="15.75" customHeight="1">
      <c r="A244" s="150"/>
      <c r="E244" s="123"/>
      <c r="I244" s="123"/>
      <c r="AA244" s="3"/>
      <c r="AB244" s="123"/>
      <c r="AC244" s="3"/>
      <c r="AD244" s="3"/>
      <c r="AE244" s="3"/>
      <c r="AF244" s="3"/>
      <c r="AG244" s="3"/>
      <c r="AH244" s="3"/>
      <c r="AI244" s="3"/>
    </row>
    <row r="245" ht="15.75" customHeight="1">
      <c r="A245" s="150"/>
      <c r="E245" s="123"/>
      <c r="I245" s="123"/>
      <c r="AA245" s="3"/>
      <c r="AB245" s="123"/>
      <c r="AC245" s="3"/>
      <c r="AD245" s="3"/>
      <c r="AE245" s="3"/>
      <c r="AF245" s="3"/>
      <c r="AG245" s="3"/>
      <c r="AH245" s="3"/>
      <c r="AI245" s="3"/>
    </row>
    <row r="246" ht="15.75" customHeight="1">
      <c r="A246" s="150"/>
      <c r="E246" s="123"/>
      <c r="I246" s="123"/>
      <c r="AA246" s="3"/>
      <c r="AB246" s="123"/>
      <c r="AC246" s="3"/>
      <c r="AD246" s="3"/>
      <c r="AE246" s="3"/>
      <c r="AF246" s="3"/>
      <c r="AG246" s="3"/>
      <c r="AH246" s="3"/>
      <c r="AI246" s="3"/>
    </row>
    <row r="247" ht="15.75" customHeight="1">
      <c r="A247" s="150"/>
      <c r="E247" s="123"/>
      <c r="I247" s="123"/>
      <c r="AA247" s="3"/>
      <c r="AB247" s="123"/>
      <c r="AC247" s="3"/>
      <c r="AD247" s="3"/>
      <c r="AE247" s="3"/>
      <c r="AF247" s="3"/>
      <c r="AG247" s="3"/>
      <c r="AH247" s="3"/>
      <c r="AI247" s="3"/>
    </row>
    <row r="248" ht="15.75" customHeight="1">
      <c r="A248" s="150"/>
      <c r="E248" s="123"/>
      <c r="I248" s="123"/>
      <c r="AA248" s="3"/>
      <c r="AB248" s="123"/>
      <c r="AC248" s="3"/>
      <c r="AD248" s="3"/>
      <c r="AE248" s="3"/>
      <c r="AF248" s="3"/>
      <c r="AG248" s="3"/>
      <c r="AH248" s="3"/>
      <c r="AI248" s="3"/>
    </row>
    <row r="249" ht="15.75" customHeight="1">
      <c r="A249" s="150"/>
      <c r="E249" s="123"/>
      <c r="I249" s="123"/>
      <c r="AA249" s="3"/>
      <c r="AB249" s="123"/>
      <c r="AC249" s="3"/>
      <c r="AD249" s="3"/>
      <c r="AE249" s="3"/>
      <c r="AF249" s="3"/>
      <c r="AG249" s="3"/>
      <c r="AH249" s="3"/>
      <c r="AI249" s="3"/>
    </row>
    <row r="250" ht="15.75" customHeight="1">
      <c r="A250" s="150"/>
      <c r="E250" s="123"/>
      <c r="I250" s="123"/>
      <c r="AA250" s="3"/>
      <c r="AB250" s="123"/>
      <c r="AC250" s="3"/>
      <c r="AD250" s="3"/>
      <c r="AE250" s="3"/>
      <c r="AF250" s="3"/>
      <c r="AG250" s="3"/>
      <c r="AH250" s="3"/>
      <c r="AI250" s="3"/>
    </row>
    <row r="251" ht="15.75" customHeight="1">
      <c r="A251" s="150"/>
      <c r="E251" s="123"/>
      <c r="I251" s="123"/>
      <c r="AA251" s="3"/>
      <c r="AB251" s="123"/>
      <c r="AC251" s="3"/>
      <c r="AD251" s="3"/>
      <c r="AE251" s="3"/>
      <c r="AF251" s="3"/>
      <c r="AG251" s="3"/>
      <c r="AH251" s="3"/>
      <c r="AI251" s="3"/>
    </row>
    <row r="252" ht="15.75" customHeight="1">
      <c r="A252" s="150"/>
      <c r="E252" s="123"/>
      <c r="I252" s="123"/>
      <c r="AA252" s="3"/>
      <c r="AB252" s="123"/>
      <c r="AC252" s="3"/>
      <c r="AD252" s="3"/>
      <c r="AE252" s="3"/>
      <c r="AF252" s="3"/>
      <c r="AG252" s="3"/>
      <c r="AH252" s="3"/>
      <c r="AI252" s="3"/>
    </row>
    <row r="253" ht="15.75" customHeight="1">
      <c r="A253" s="150"/>
      <c r="E253" s="123"/>
      <c r="I253" s="123"/>
      <c r="AA253" s="3"/>
      <c r="AB253" s="123"/>
      <c r="AC253" s="3"/>
      <c r="AD253" s="3"/>
      <c r="AE253" s="3"/>
      <c r="AF253" s="3"/>
      <c r="AG253" s="3"/>
      <c r="AH253" s="3"/>
      <c r="AI253" s="3"/>
    </row>
    <row r="254" ht="15.75" customHeight="1">
      <c r="A254" s="150"/>
      <c r="E254" s="123"/>
      <c r="I254" s="123"/>
      <c r="AA254" s="3"/>
      <c r="AB254" s="123"/>
      <c r="AC254" s="3"/>
      <c r="AD254" s="3"/>
      <c r="AE254" s="3"/>
      <c r="AF254" s="3"/>
      <c r="AG254" s="3"/>
      <c r="AH254" s="3"/>
      <c r="AI254" s="3"/>
    </row>
    <row r="255" ht="15.75" customHeight="1">
      <c r="A255" s="150"/>
      <c r="E255" s="123"/>
      <c r="I255" s="123"/>
      <c r="AA255" s="3"/>
      <c r="AB255" s="123"/>
      <c r="AC255" s="3"/>
      <c r="AD255" s="3"/>
      <c r="AE255" s="3"/>
      <c r="AF255" s="3"/>
      <c r="AG255" s="3"/>
      <c r="AH255" s="3"/>
      <c r="AI255" s="3"/>
    </row>
    <row r="256" ht="15.75" customHeight="1">
      <c r="A256" s="150"/>
      <c r="E256" s="123"/>
      <c r="I256" s="123"/>
      <c r="AA256" s="3"/>
      <c r="AB256" s="123"/>
      <c r="AC256" s="3"/>
      <c r="AD256" s="3"/>
      <c r="AE256" s="3"/>
      <c r="AF256" s="3"/>
      <c r="AG256" s="3"/>
      <c r="AH256" s="3"/>
      <c r="AI256" s="3"/>
    </row>
    <row r="257" ht="15.75" customHeight="1">
      <c r="A257" s="150"/>
      <c r="E257" s="123"/>
      <c r="I257" s="123"/>
      <c r="AA257" s="3"/>
      <c r="AB257" s="123"/>
      <c r="AC257" s="3"/>
      <c r="AD257" s="3"/>
      <c r="AE257" s="3"/>
      <c r="AF257" s="3"/>
      <c r="AG257" s="3"/>
      <c r="AH257" s="3"/>
      <c r="AI257" s="3"/>
    </row>
    <row r="258" ht="15.75" customHeight="1">
      <c r="A258" s="150"/>
      <c r="E258" s="123"/>
      <c r="I258" s="123"/>
      <c r="AA258" s="3"/>
      <c r="AB258" s="123"/>
      <c r="AC258" s="3"/>
      <c r="AD258" s="3"/>
      <c r="AE258" s="3"/>
      <c r="AF258" s="3"/>
      <c r="AG258" s="3"/>
      <c r="AH258" s="3"/>
      <c r="AI258" s="3"/>
    </row>
    <row r="259" ht="15.75" customHeight="1">
      <c r="A259" s="150"/>
      <c r="E259" s="123"/>
      <c r="I259" s="123"/>
      <c r="AA259" s="3"/>
      <c r="AB259" s="123"/>
      <c r="AC259" s="3"/>
      <c r="AD259" s="3"/>
      <c r="AE259" s="3"/>
      <c r="AF259" s="3"/>
      <c r="AG259" s="3"/>
      <c r="AH259" s="3"/>
      <c r="AI259" s="3"/>
    </row>
    <row r="260" ht="15.75" customHeight="1">
      <c r="A260" s="150"/>
      <c r="E260" s="123"/>
      <c r="I260" s="123"/>
      <c r="AA260" s="3"/>
      <c r="AB260" s="123"/>
      <c r="AC260" s="3"/>
      <c r="AD260" s="3"/>
      <c r="AE260" s="3"/>
      <c r="AF260" s="3"/>
      <c r="AG260" s="3"/>
      <c r="AH260" s="3"/>
      <c r="AI260" s="3"/>
    </row>
    <row r="261" ht="15.75" customHeight="1">
      <c r="A261" s="150"/>
      <c r="E261" s="123"/>
      <c r="I261" s="123"/>
      <c r="AA261" s="3"/>
      <c r="AB261" s="123"/>
      <c r="AC261" s="3"/>
      <c r="AD261" s="3"/>
      <c r="AE261" s="3"/>
      <c r="AF261" s="3"/>
      <c r="AG261" s="3"/>
      <c r="AH261" s="3"/>
      <c r="AI261" s="3"/>
    </row>
    <row r="262" ht="15.75" customHeight="1">
      <c r="A262" s="150"/>
      <c r="E262" s="123"/>
      <c r="I262" s="123"/>
      <c r="AA262" s="3"/>
      <c r="AB262" s="123"/>
      <c r="AC262" s="3"/>
      <c r="AD262" s="3"/>
      <c r="AE262" s="3"/>
      <c r="AF262" s="3"/>
      <c r="AG262" s="3"/>
      <c r="AH262" s="3"/>
      <c r="AI262" s="3"/>
    </row>
    <row r="263" ht="15.75" customHeight="1">
      <c r="A263" s="150"/>
      <c r="E263" s="123"/>
      <c r="I263" s="123"/>
      <c r="AA263" s="3"/>
      <c r="AB263" s="123"/>
      <c r="AC263" s="3"/>
      <c r="AD263" s="3"/>
      <c r="AE263" s="3"/>
      <c r="AF263" s="3"/>
      <c r="AG263" s="3"/>
      <c r="AH263" s="3"/>
      <c r="AI263" s="3"/>
    </row>
    <row r="264" ht="15.75" customHeight="1">
      <c r="A264" s="150"/>
      <c r="E264" s="123"/>
      <c r="I264" s="123"/>
      <c r="AA264" s="3"/>
      <c r="AB264" s="123"/>
      <c r="AC264" s="3"/>
      <c r="AD264" s="3"/>
      <c r="AE264" s="3"/>
      <c r="AF264" s="3"/>
      <c r="AG264" s="3"/>
      <c r="AH264" s="3"/>
      <c r="AI264" s="3"/>
    </row>
    <row r="265" ht="15.75" customHeight="1">
      <c r="A265" s="150"/>
      <c r="E265" s="123"/>
      <c r="I265" s="123"/>
      <c r="AA265" s="3"/>
      <c r="AB265" s="123"/>
      <c r="AC265" s="3"/>
      <c r="AD265" s="3"/>
      <c r="AE265" s="3"/>
      <c r="AF265" s="3"/>
      <c r="AG265" s="3"/>
      <c r="AH265" s="3"/>
      <c r="AI265" s="3"/>
    </row>
    <row r="266" ht="15.75" customHeight="1">
      <c r="A266" s="150"/>
      <c r="E266" s="123"/>
      <c r="I266" s="123"/>
      <c r="AA266" s="3"/>
      <c r="AB266" s="123"/>
      <c r="AC266" s="3"/>
      <c r="AD266" s="3"/>
      <c r="AE266" s="3"/>
      <c r="AF266" s="3"/>
      <c r="AG266" s="3"/>
      <c r="AH266" s="3"/>
      <c r="AI266" s="3"/>
    </row>
    <row r="267" ht="15.75" customHeight="1">
      <c r="A267" s="150"/>
      <c r="E267" s="123"/>
      <c r="I267" s="123"/>
      <c r="AA267" s="3"/>
      <c r="AB267" s="123"/>
      <c r="AC267" s="3"/>
      <c r="AD267" s="3"/>
      <c r="AE267" s="3"/>
      <c r="AF267" s="3"/>
      <c r="AG267" s="3"/>
      <c r="AH267" s="3"/>
      <c r="AI267" s="3"/>
    </row>
    <row r="268" ht="15.75" customHeight="1">
      <c r="A268" s="150"/>
      <c r="E268" s="123"/>
      <c r="I268" s="123"/>
      <c r="AA268" s="3"/>
      <c r="AB268" s="123"/>
      <c r="AC268" s="3"/>
      <c r="AD268" s="3"/>
      <c r="AE268" s="3"/>
      <c r="AF268" s="3"/>
      <c r="AG268" s="3"/>
      <c r="AH268" s="3"/>
      <c r="AI268" s="3"/>
    </row>
    <row r="269" ht="15.75" customHeight="1">
      <c r="A269" s="150"/>
      <c r="E269" s="123"/>
      <c r="I269" s="123"/>
      <c r="AA269" s="3"/>
      <c r="AB269" s="123"/>
      <c r="AC269" s="3"/>
      <c r="AD269" s="3"/>
      <c r="AE269" s="3"/>
      <c r="AF269" s="3"/>
      <c r="AG269" s="3"/>
      <c r="AH269" s="3"/>
      <c r="AI269" s="3"/>
    </row>
    <row r="270" ht="15.75" customHeight="1">
      <c r="A270" s="150"/>
      <c r="E270" s="123"/>
      <c r="I270" s="123"/>
      <c r="AA270" s="3"/>
      <c r="AB270" s="123"/>
      <c r="AC270" s="3"/>
      <c r="AD270" s="3"/>
      <c r="AE270" s="3"/>
      <c r="AF270" s="3"/>
      <c r="AG270" s="3"/>
      <c r="AH270" s="3"/>
      <c r="AI270" s="3"/>
    </row>
    <row r="271" ht="15.75" customHeight="1">
      <c r="A271" s="150"/>
      <c r="E271" s="123"/>
      <c r="I271" s="123"/>
      <c r="AA271" s="3"/>
      <c r="AB271" s="123"/>
      <c r="AC271" s="3"/>
      <c r="AD271" s="3"/>
      <c r="AE271" s="3"/>
      <c r="AF271" s="3"/>
      <c r="AG271" s="3"/>
      <c r="AH271" s="3"/>
      <c r="AI271" s="3"/>
    </row>
    <row r="272" ht="15.75" customHeight="1">
      <c r="A272" s="150"/>
      <c r="E272" s="123"/>
      <c r="I272" s="123"/>
      <c r="AA272" s="3"/>
      <c r="AB272" s="123"/>
      <c r="AC272" s="3"/>
      <c r="AD272" s="3"/>
      <c r="AE272" s="3"/>
      <c r="AF272" s="3"/>
      <c r="AG272" s="3"/>
      <c r="AH272" s="3"/>
      <c r="AI272" s="3"/>
    </row>
    <row r="273" ht="15.75" customHeight="1">
      <c r="A273" s="150"/>
      <c r="E273" s="123"/>
      <c r="I273" s="123"/>
      <c r="AA273" s="3"/>
      <c r="AB273" s="123"/>
      <c r="AC273" s="3"/>
      <c r="AD273" s="3"/>
      <c r="AE273" s="3"/>
      <c r="AF273" s="3"/>
      <c r="AG273" s="3"/>
      <c r="AH273" s="3"/>
      <c r="AI273" s="3"/>
    </row>
    <row r="274" ht="15.75" customHeight="1">
      <c r="A274" s="150"/>
      <c r="E274" s="123"/>
      <c r="I274" s="123"/>
      <c r="AA274" s="3"/>
      <c r="AB274" s="123"/>
      <c r="AC274" s="3"/>
      <c r="AD274" s="3"/>
      <c r="AE274" s="3"/>
      <c r="AF274" s="3"/>
      <c r="AG274" s="3"/>
      <c r="AH274" s="3"/>
      <c r="AI274" s="3"/>
    </row>
    <row r="275" ht="15.75" customHeight="1">
      <c r="A275" s="150"/>
      <c r="E275" s="123"/>
      <c r="I275" s="123"/>
      <c r="AA275" s="3"/>
      <c r="AB275" s="123"/>
      <c r="AC275" s="3"/>
      <c r="AD275" s="3"/>
      <c r="AE275" s="3"/>
      <c r="AF275" s="3"/>
      <c r="AG275" s="3"/>
      <c r="AH275" s="3"/>
      <c r="AI275" s="3"/>
    </row>
    <row r="276" ht="15.75" customHeight="1">
      <c r="A276" s="150"/>
      <c r="E276" s="123"/>
      <c r="I276" s="123"/>
      <c r="AA276" s="3"/>
      <c r="AB276" s="123"/>
      <c r="AC276" s="3"/>
      <c r="AD276" s="3"/>
      <c r="AE276" s="3"/>
      <c r="AF276" s="3"/>
      <c r="AG276" s="3"/>
      <c r="AH276" s="3"/>
      <c r="AI276" s="3"/>
    </row>
    <row r="277" ht="15.75" customHeight="1">
      <c r="A277" s="150"/>
      <c r="E277" s="123"/>
      <c r="I277" s="123"/>
      <c r="AA277" s="3"/>
      <c r="AB277" s="123"/>
      <c r="AC277" s="3"/>
      <c r="AD277" s="3"/>
      <c r="AE277" s="3"/>
      <c r="AF277" s="3"/>
      <c r="AG277" s="3"/>
      <c r="AH277" s="3"/>
      <c r="AI277" s="3"/>
    </row>
    <row r="278" ht="15.75" customHeight="1">
      <c r="A278" s="150"/>
      <c r="E278" s="123"/>
      <c r="I278" s="123"/>
      <c r="AA278" s="3"/>
      <c r="AB278" s="123"/>
      <c r="AC278" s="3"/>
      <c r="AD278" s="3"/>
      <c r="AE278" s="3"/>
      <c r="AF278" s="3"/>
      <c r="AG278" s="3"/>
      <c r="AH278" s="3"/>
      <c r="AI278" s="3"/>
    </row>
    <row r="279" ht="15.75" customHeight="1">
      <c r="A279" s="150"/>
      <c r="E279" s="123"/>
      <c r="I279" s="123"/>
      <c r="AA279" s="3"/>
      <c r="AB279" s="123"/>
      <c r="AC279" s="3"/>
      <c r="AD279" s="3"/>
      <c r="AE279" s="3"/>
      <c r="AF279" s="3"/>
      <c r="AG279" s="3"/>
      <c r="AH279" s="3"/>
      <c r="AI279" s="3"/>
    </row>
    <row r="280" ht="15.75" customHeight="1">
      <c r="A280" s="150"/>
      <c r="E280" s="123"/>
      <c r="I280" s="123"/>
      <c r="AA280" s="3"/>
      <c r="AB280" s="123"/>
      <c r="AC280" s="3"/>
      <c r="AD280" s="3"/>
      <c r="AE280" s="3"/>
      <c r="AF280" s="3"/>
      <c r="AG280" s="3"/>
      <c r="AH280" s="3"/>
      <c r="AI280" s="3"/>
    </row>
    <row r="281" ht="15.75" customHeight="1">
      <c r="A281" s="150"/>
      <c r="E281" s="123"/>
      <c r="I281" s="123"/>
      <c r="AA281" s="3"/>
      <c r="AB281" s="123"/>
      <c r="AC281" s="3"/>
      <c r="AD281" s="3"/>
      <c r="AE281" s="3"/>
      <c r="AF281" s="3"/>
      <c r="AG281" s="3"/>
      <c r="AH281" s="3"/>
      <c r="AI281" s="3"/>
    </row>
    <row r="282" ht="15.75" customHeight="1">
      <c r="A282" s="150"/>
      <c r="E282" s="123"/>
      <c r="I282" s="123"/>
      <c r="AA282" s="3"/>
      <c r="AB282" s="123"/>
      <c r="AC282" s="3"/>
      <c r="AD282" s="3"/>
      <c r="AE282" s="3"/>
      <c r="AF282" s="3"/>
      <c r="AG282" s="3"/>
      <c r="AH282" s="3"/>
      <c r="AI282" s="3"/>
    </row>
    <row r="283" ht="15.75" customHeight="1">
      <c r="A283" s="150"/>
      <c r="E283" s="123"/>
      <c r="I283" s="123"/>
      <c r="AA283" s="3"/>
      <c r="AB283" s="123"/>
      <c r="AC283" s="3"/>
      <c r="AD283" s="3"/>
      <c r="AE283" s="3"/>
      <c r="AF283" s="3"/>
      <c r="AG283" s="3"/>
      <c r="AH283" s="3"/>
      <c r="AI283" s="3"/>
    </row>
    <row r="284" ht="15.75" customHeight="1">
      <c r="A284" s="150"/>
      <c r="E284" s="123"/>
      <c r="I284" s="123"/>
      <c r="AA284" s="3"/>
      <c r="AB284" s="123"/>
      <c r="AC284" s="3"/>
      <c r="AD284" s="3"/>
      <c r="AE284" s="3"/>
      <c r="AF284" s="3"/>
      <c r="AG284" s="3"/>
      <c r="AH284" s="3"/>
      <c r="AI284" s="3"/>
    </row>
    <row r="285" ht="15.75" customHeight="1">
      <c r="A285" s="150"/>
      <c r="E285" s="123"/>
      <c r="I285" s="123"/>
      <c r="AA285" s="3"/>
      <c r="AB285" s="123"/>
      <c r="AC285" s="3"/>
      <c r="AD285" s="3"/>
      <c r="AE285" s="3"/>
      <c r="AF285" s="3"/>
      <c r="AG285" s="3"/>
      <c r="AH285" s="3"/>
      <c r="AI285" s="3"/>
    </row>
    <row r="286" ht="15.75" customHeight="1">
      <c r="A286" s="150"/>
      <c r="E286" s="123"/>
      <c r="I286" s="123"/>
      <c r="AA286" s="3"/>
      <c r="AB286" s="123"/>
      <c r="AC286" s="3"/>
      <c r="AD286" s="3"/>
      <c r="AE286" s="3"/>
      <c r="AF286" s="3"/>
      <c r="AG286" s="3"/>
      <c r="AH286" s="3"/>
      <c r="AI286" s="3"/>
    </row>
    <row r="287" ht="15.75" customHeight="1">
      <c r="A287" s="150"/>
      <c r="E287" s="123"/>
      <c r="I287" s="123"/>
      <c r="AA287" s="3"/>
      <c r="AB287" s="123"/>
      <c r="AC287" s="3"/>
      <c r="AD287" s="3"/>
      <c r="AE287" s="3"/>
      <c r="AF287" s="3"/>
      <c r="AG287" s="3"/>
      <c r="AH287" s="3"/>
      <c r="AI287" s="3"/>
    </row>
    <row r="288" ht="15.75" customHeight="1">
      <c r="A288" s="150"/>
      <c r="E288" s="123"/>
      <c r="I288" s="123"/>
      <c r="AA288" s="3"/>
      <c r="AB288" s="123"/>
      <c r="AC288" s="3"/>
      <c r="AD288" s="3"/>
      <c r="AE288" s="3"/>
      <c r="AF288" s="3"/>
      <c r="AG288" s="3"/>
      <c r="AH288" s="3"/>
      <c r="AI288" s="3"/>
    </row>
    <row r="289" ht="15.75" customHeight="1">
      <c r="A289" s="150"/>
      <c r="E289" s="123"/>
      <c r="I289" s="123"/>
      <c r="AA289" s="3"/>
      <c r="AB289" s="123"/>
      <c r="AC289" s="3"/>
      <c r="AD289" s="3"/>
      <c r="AE289" s="3"/>
      <c r="AF289" s="3"/>
      <c r="AG289" s="3"/>
      <c r="AH289" s="3"/>
      <c r="AI289" s="3"/>
    </row>
    <row r="290" ht="15.75" customHeight="1">
      <c r="A290" s="150"/>
      <c r="E290" s="123"/>
      <c r="I290" s="123"/>
      <c r="AA290" s="3"/>
      <c r="AB290" s="123"/>
      <c r="AC290" s="3"/>
      <c r="AD290" s="3"/>
      <c r="AE290" s="3"/>
      <c r="AF290" s="3"/>
      <c r="AG290" s="3"/>
      <c r="AH290" s="3"/>
      <c r="AI290" s="3"/>
    </row>
    <row r="291" ht="15.75" customHeight="1">
      <c r="A291" s="150"/>
      <c r="E291" s="123"/>
      <c r="I291" s="123"/>
      <c r="AA291" s="3"/>
      <c r="AB291" s="123"/>
      <c r="AC291" s="3"/>
      <c r="AD291" s="3"/>
      <c r="AE291" s="3"/>
      <c r="AF291" s="3"/>
      <c r="AG291" s="3"/>
      <c r="AH291" s="3"/>
      <c r="AI291" s="3"/>
    </row>
    <row r="292" ht="15.75" customHeight="1">
      <c r="A292" s="150"/>
      <c r="E292" s="123"/>
      <c r="I292" s="123"/>
      <c r="AA292" s="3"/>
      <c r="AB292" s="123"/>
      <c r="AC292" s="3"/>
      <c r="AD292" s="3"/>
      <c r="AE292" s="3"/>
      <c r="AF292" s="3"/>
      <c r="AG292" s="3"/>
      <c r="AH292" s="3"/>
      <c r="AI292" s="3"/>
    </row>
    <row r="293" ht="15.75" customHeight="1">
      <c r="A293" s="150"/>
      <c r="E293" s="123"/>
      <c r="I293" s="123"/>
      <c r="AA293" s="3"/>
      <c r="AB293" s="123"/>
      <c r="AC293" s="3"/>
      <c r="AD293" s="3"/>
      <c r="AE293" s="3"/>
      <c r="AF293" s="3"/>
      <c r="AG293" s="3"/>
      <c r="AH293" s="3"/>
      <c r="AI293" s="3"/>
    </row>
    <row r="294" ht="15.75" customHeight="1">
      <c r="A294" s="150"/>
      <c r="E294" s="123"/>
      <c r="I294" s="123"/>
      <c r="AA294" s="3"/>
      <c r="AB294" s="123"/>
      <c r="AC294" s="3"/>
      <c r="AD294" s="3"/>
      <c r="AE294" s="3"/>
      <c r="AF294" s="3"/>
      <c r="AG294" s="3"/>
      <c r="AH294" s="3"/>
      <c r="AI294" s="3"/>
    </row>
    <row r="295" ht="15.75" customHeight="1">
      <c r="A295" s="150"/>
      <c r="E295" s="123"/>
      <c r="I295" s="123"/>
      <c r="AA295" s="3"/>
      <c r="AB295" s="123"/>
      <c r="AC295" s="3"/>
      <c r="AD295" s="3"/>
      <c r="AE295" s="3"/>
      <c r="AF295" s="3"/>
      <c r="AG295" s="3"/>
      <c r="AH295" s="3"/>
      <c r="AI295" s="3"/>
    </row>
    <row r="296" ht="15.75" customHeight="1">
      <c r="A296" s="150"/>
      <c r="E296" s="123"/>
      <c r="I296" s="123"/>
      <c r="AA296" s="3"/>
      <c r="AB296" s="123"/>
      <c r="AC296" s="3"/>
      <c r="AD296" s="3"/>
      <c r="AE296" s="3"/>
      <c r="AF296" s="3"/>
      <c r="AG296" s="3"/>
      <c r="AH296" s="3"/>
      <c r="AI296" s="3"/>
    </row>
    <row r="297" ht="15.75" customHeight="1">
      <c r="A297" s="150"/>
      <c r="E297" s="123"/>
      <c r="I297" s="123"/>
      <c r="AA297" s="3"/>
      <c r="AB297" s="123"/>
      <c r="AC297" s="3"/>
      <c r="AD297" s="3"/>
      <c r="AE297" s="3"/>
      <c r="AF297" s="3"/>
      <c r="AG297" s="3"/>
      <c r="AH297" s="3"/>
      <c r="AI297" s="3"/>
    </row>
    <row r="298" ht="15.75" customHeight="1">
      <c r="A298" s="150"/>
      <c r="E298" s="123"/>
      <c r="I298" s="123"/>
      <c r="AA298" s="3"/>
      <c r="AB298" s="123"/>
      <c r="AC298" s="3"/>
      <c r="AD298" s="3"/>
      <c r="AE298" s="3"/>
      <c r="AF298" s="3"/>
      <c r="AG298" s="3"/>
      <c r="AH298" s="3"/>
      <c r="AI298" s="3"/>
    </row>
    <row r="299" ht="15.75" customHeight="1">
      <c r="A299" s="150"/>
      <c r="E299" s="123"/>
      <c r="I299" s="123"/>
      <c r="AA299" s="3"/>
      <c r="AB299" s="123"/>
      <c r="AC299" s="3"/>
      <c r="AD299" s="3"/>
      <c r="AE299" s="3"/>
      <c r="AF299" s="3"/>
      <c r="AG299" s="3"/>
      <c r="AH299" s="3"/>
      <c r="AI299" s="3"/>
    </row>
    <row r="300" ht="15.75" customHeight="1">
      <c r="A300" s="150"/>
      <c r="E300" s="123"/>
      <c r="I300" s="123"/>
      <c r="AA300" s="3"/>
      <c r="AB300" s="123"/>
      <c r="AC300" s="3"/>
      <c r="AD300" s="3"/>
      <c r="AE300" s="3"/>
      <c r="AF300" s="3"/>
      <c r="AG300" s="3"/>
      <c r="AH300" s="3"/>
      <c r="AI300" s="3"/>
    </row>
    <row r="301" ht="15.75" customHeight="1">
      <c r="A301" s="150"/>
      <c r="E301" s="123"/>
      <c r="I301" s="123"/>
      <c r="AA301" s="3"/>
      <c r="AB301" s="123"/>
      <c r="AC301" s="3"/>
      <c r="AD301" s="3"/>
      <c r="AE301" s="3"/>
      <c r="AF301" s="3"/>
      <c r="AG301" s="3"/>
      <c r="AH301" s="3"/>
      <c r="AI301" s="3"/>
    </row>
    <row r="302" ht="15.75" customHeight="1">
      <c r="A302" s="150"/>
      <c r="E302" s="123"/>
      <c r="I302" s="123"/>
      <c r="AA302" s="3"/>
      <c r="AB302" s="123"/>
      <c r="AC302" s="3"/>
      <c r="AD302" s="3"/>
      <c r="AE302" s="3"/>
      <c r="AF302" s="3"/>
      <c r="AG302" s="3"/>
      <c r="AH302" s="3"/>
      <c r="AI302" s="3"/>
    </row>
    <row r="303" ht="15.75" customHeight="1">
      <c r="A303" s="150"/>
      <c r="E303" s="123"/>
      <c r="I303" s="123"/>
      <c r="AA303" s="3"/>
      <c r="AB303" s="123"/>
      <c r="AC303" s="3"/>
      <c r="AD303" s="3"/>
      <c r="AE303" s="3"/>
      <c r="AF303" s="3"/>
      <c r="AG303" s="3"/>
      <c r="AH303" s="3"/>
      <c r="AI303" s="3"/>
    </row>
    <row r="304" ht="15.75" customHeight="1">
      <c r="A304" s="150"/>
      <c r="E304" s="123"/>
      <c r="I304" s="123"/>
      <c r="AA304" s="3"/>
      <c r="AB304" s="123"/>
      <c r="AC304" s="3"/>
      <c r="AD304" s="3"/>
      <c r="AE304" s="3"/>
      <c r="AF304" s="3"/>
      <c r="AG304" s="3"/>
      <c r="AH304" s="3"/>
      <c r="AI304" s="3"/>
    </row>
    <row r="305" ht="15.75" customHeight="1">
      <c r="A305" s="150"/>
      <c r="E305" s="123"/>
      <c r="I305" s="123"/>
      <c r="AA305" s="3"/>
      <c r="AB305" s="123"/>
      <c r="AC305" s="3"/>
      <c r="AD305" s="3"/>
      <c r="AE305" s="3"/>
      <c r="AF305" s="3"/>
      <c r="AG305" s="3"/>
      <c r="AH305" s="3"/>
      <c r="AI305" s="3"/>
    </row>
    <row r="306" ht="15.75" customHeight="1">
      <c r="A306" s="150"/>
      <c r="E306" s="123"/>
      <c r="I306" s="123"/>
      <c r="AA306" s="3"/>
      <c r="AB306" s="123"/>
      <c r="AC306" s="3"/>
      <c r="AD306" s="3"/>
      <c r="AE306" s="3"/>
      <c r="AF306" s="3"/>
      <c r="AG306" s="3"/>
      <c r="AH306" s="3"/>
      <c r="AI306" s="3"/>
    </row>
    <row r="307" ht="15.75" customHeight="1">
      <c r="A307" s="150"/>
      <c r="E307" s="123"/>
      <c r="I307" s="123"/>
      <c r="AA307" s="3"/>
      <c r="AB307" s="123"/>
      <c r="AC307" s="3"/>
      <c r="AD307" s="3"/>
      <c r="AE307" s="3"/>
      <c r="AF307" s="3"/>
      <c r="AG307" s="3"/>
      <c r="AH307" s="3"/>
      <c r="AI307" s="3"/>
    </row>
    <row r="308" ht="15.75" customHeight="1">
      <c r="A308" s="150"/>
      <c r="E308" s="123"/>
      <c r="I308" s="123"/>
      <c r="AA308" s="3"/>
      <c r="AB308" s="123"/>
      <c r="AC308" s="3"/>
      <c r="AD308" s="3"/>
      <c r="AE308" s="3"/>
      <c r="AF308" s="3"/>
      <c r="AG308" s="3"/>
      <c r="AH308" s="3"/>
      <c r="AI308" s="3"/>
    </row>
    <row r="309" ht="15.75" customHeight="1">
      <c r="A309" s="150"/>
      <c r="E309" s="123"/>
      <c r="I309" s="123"/>
      <c r="AA309" s="3"/>
      <c r="AB309" s="123"/>
      <c r="AC309" s="3"/>
      <c r="AD309" s="3"/>
      <c r="AE309" s="3"/>
      <c r="AF309" s="3"/>
      <c r="AG309" s="3"/>
      <c r="AH309" s="3"/>
      <c r="AI309" s="3"/>
    </row>
    <row r="310" ht="15.75" customHeight="1">
      <c r="A310" s="150"/>
      <c r="E310" s="123"/>
      <c r="I310" s="123"/>
      <c r="AA310" s="3"/>
      <c r="AB310" s="123"/>
      <c r="AC310" s="3"/>
      <c r="AD310" s="3"/>
      <c r="AE310" s="3"/>
      <c r="AF310" s="3"/>
      <c r="AG310" s="3"/>
      <c r="AH310" s="3"/>
      <c r="AI310" s="3"/>
    </row>
    <row r="311" ht="15.75" customHeight="1">
      <c r="A311" s="150"/>
      <c r="E311" s="123"/>
      <c r="I311" s="123"/>
      <c r="AA311" s="3"/>
      <c r="AB311" s="123"/>
      <c r="AC311" s="3"/>
      <c r="AD311" s="3"/>
      <c r="AE311" s="3"/>
      <c r="AF311" s="3"/>
      <c r="AG311" s="3"/>
      <c r="AH311" s="3"/>
      <c r="AI311" s="3"/>
    </row>
    <row r="312" ht="15.75" customHeight="1">
      <c r="A312" s="150"/>
      <c r="E312" s="123"/>
      <c r="I312" s="123"/>
      <c r="AA312" s="3"/>
      <c r="AB312" s="123"/>
      <c r="AC312" s="3"/>
      <c r="AD312" s="3"/>
      <c r="AE312" s="3"/>
      <c r="AF312" s="3"/>
      <c r="AG312" s="3"/>
      <c r="AH312" s="3"/>
      <c r="AI312" s="3"/>
    </row>
    <row r="313" ht="15.75" customHeight="1">
      <c r="A313" s="150"/>
      <c r="E313" s="123"/>
      <c r="I313" s="123"/>
      <c r="AA313" s="3"/>
      <c r="AB313" s="123"/>
      <c r="AC313" s="3"/>
      <c r="AD313" s="3"/>
      <c r="AE313" s="3"/>
      <c r="AF313" s="3"/>
      <c r="AG313" s="3"/>
      <c r="AH313" s="3"/>
      <c r="AI313" s="3"/>
    </row>
    <row r="314" ht="15.75" customHeight="1">
      <c r="A314" s="150"/>
      <c r="E314" s="123"/>
      <c r="I314" s="123"/>
      <c r="AA314" s="3"/>
      <c r="AB314" s="123"/>
      <c r="AC314" s="3"/>
      <c r="AD314" s="3"/>
      <c r="AE314" s="3"/>
      <c r="AF314" s="3"/>
      <c r="AG314" s="3"/>
      <c r="AH314" s="3"/>
      <c r="AI314" s="3"/>
    </row>
    <row r="315" ht="15.75" customHeight="1">
      <c r="A315" s="150"/>
      <c r="E315" s="123"/>
      <c r="I315" s="123"/>
      <c r="AA315" s="3"/>
      <c r="AB315" s="123"/>
      <c r="AC315" s="3"/>
      <c r="AD315" s="3"/>
      <c r="AE315" s="3"/>
      <c r="AF315" s="3"/>
      <c r="AG315" s="3"/>
      <c r="AH315" s="3"/>
      <c r="AI315" s="3"/>
    </row>
    <row r="316" ht="15.75" customHeight="1">
      <c r="A316" s="150"/>
      <c r="E316" s="123"/>
      <c r="I316" s="123"/>
      <c r="AA316" s="3"/>
      <c r="AB316" s="123"/>
      <c r="AC316" s="3"/>
      <c r="AD316" s="3"/>
      <c r="AE316" s="3"/>
      <c r="AF316" s="3"/>
      <c r="AG316" s="3"/>
      <c r="AH316" s="3"/>
      <c r="AI316" s="3"/>
    </row>
    <row r="317" ht="15.75" customHeight="1">
      <c r="A317" s="150"/>
      <c r="E317" s="123"/>
      <c r="I317" s="123"/>
      <c r="AA317" s="3"/>
      <c r="AB317" s="123"/>
      <c r="AC317" s="3"/>
      <c r="AD317" s="3"/>
      <c r="AE317" s="3"/>
      <c r="AF317" s="3"/>
      <c r="AG317" s="3"/>
      <c r="AH317" s="3"/>
      <c r="AI317" s="3"/>
    </row>
    <row r="318" ht="15.75" customHeight="1">
      <c r="A318" s="150"/>
      <c r="E318" s="123"/>
      <c r="I318" s="123"/>
      <c r="AA318" s="3"/>
      <c r="AB318" s="123"/>
      <c r="AC318" s="3"/>
      <c r="AD318" s="3"/>
      <c r="AE318" s="3"/>
      <c r="AF318" s="3"/>
      <c r="AG318" s="3"/>
      <c r="AH318" s="3"/>
      <c r="AI318" s="3"/>
    </row>
    <row r="319" ht="15.75" customHeight="1">
      <c r="A319" s="150"/>
      <c r="E319" s="123"/>
      <c r="I319" s="123"/>
      <c r="AA319" s="3"/>
      <c r="AB319" s="123"/>
      <c r="AC319" s="3"/>
      <c r="AD319" s="3"/>
      <c r="AE319" s="3"/>
      <c r="AF319" s="3"/>
      <c r="AG319" s="3"/>
      <c r="AH319" s="3"/>
      <c r="AI319" s="3"/>
    </row>
    <row r="320" ht="15.75" customHeight="1">
      <c r="A320" s="150"/>
      <c r="E320" s="123"/>
      <c r="I320" s="123"/>
      <c r="AA320" s="3"/>
      <c r="AB320" s="123"/>
      <c r="AC320" s="3"/>
      <c r="AD320" s="3"/>
      <c r="AE320" s="3"/>
      <c r="AF320" s="3"/>
      <c r="AG320" s="3"/>
      <c r="AH320" s="3"/>
      <c r="AI320" s="3"/>
    </row>
    <row r="321" ht="15.75" customHeight="1">
      <c r="A321" s="150"/>
      <c r="E321" s="123"/>
      <c r="I321" s="123"/>
      <c r="AA321" s="3"/>
      <c r="AB321" s="123"/>
      <c r="AC321" s="3"/>
      <c r="AD321" s="3"/>
      <c r="AE321" s="3"/>
      <c r="AF321" s="3"/>
      <c r="AG321" s="3"/>
      <c r="AH321" s="3"/>
      <c r="AI321" s="3"/>
    </row>
    <row r="322" ht="15.75" customHeight="1">
      <c r="A322" s="150"/>
      <c r="E322" s="123"/>
      <c r="I322" s="123"/>
      <c r="AA322" s="3"/>
      <c r="AB322" s="123"/>
      <c r="AC322" s="3"/>
      <c r="AD322" s="3"/>
      <c r="AE322" s="3"/>
      <c r="AF322" s="3"/>
      <c r="AG322" s="3"/>
      <c r="AH322" s="3"/>
      <c r="AI322" s="3"/>
    </row>
    <row r="323" ht="15.75" customHeight="1">
      <c r="A323" s="150"/>
      <c r="E323" s="123"/>
      <c r="I323" s="123"/>
      <c r="AA323" s="3"/>
      <c r="AB323" s="123"/>
      <c r="AC323" s="3"/>
      <c r="AD323" s="3"/>
      <c r="AE323" s="3"/>
      <c r="AF323" s="3"/>
      <c r="AG323" s="3"/>
      <c r="AH323" s="3"/>
      <c r="AI323" s="3"/>
    </row>
    <row r="324" ht="15.75" customHeight="1">
      <c r="A324" s="150"/>
      <c r="E324" s="123"/>
      <c r="I324" s="123"/>
      <c r="AA324" s="3"/>
      <c r="AB324" s="123"/>
      <c r="AC324" s="3"/>
      <c r="AD324" s="3"/>
      <c r="AE324" s="3"/>
      <c r="AF324" s="3"/>
      <c r="AG324" s="3"/>
      <c r="AH324" s="3"/>
      <c r="AI324" s="3"/>
    </row>
    <row r="325" ht="15.75" customHeight="1">
      <c r="A325" s="150"/>
      <c r="E325" s="123"/>
      <c r="I325" s="123"/>
      <c r="AA325" s="3"/>
      <c r="AB325" s="123"/>
      <c r="AC325" s="3"/>
      <c r="AD325" s="3"/>
      <c r="AE325" s="3"/>
      <c r="AF325" s="3"/>
      <c r="AG325" s="3"/>
      <c r="AH325" s="3"/>
      <c r="AI325" s="3"/>
    </row>
    <row r="326" ht="15.75" customHeight="1">
      <c r="A326" s="150"/>
      <c r="E326" s="123"/>
      <c r="I326" s="123"/>
      <c r="AA326" s="3"/>
      <c r="AB326" s="123"/>
      <c r="AC326" s="3"/>
      <c r="AD326" s="3"/>
      <c r="AE326" s="3"/>
      <c r="AF326" s="3"/>
      <c r="AG326" s="3"/>
      <c r="AH326" s="3"/>
      <c r="AI326" s="3"/>
    </row>
    <row r="327" ht="15.75" customHeight="1">
      <c r="A327" s="150"/>
      <c r="E327" s="123"/>
      <c r="I327" s="123"/>
      <c r="AA327" s="3"/>
      <c r="AB327" s="123"/>
      <c r="AC327" s="3"/>
      <c r="AD327" s="3"/>
      <c r="AE327" s="3"/>
      <c r="AF327" s="3"/>
      <c r="AG327" s="3"/>
      <c r="AH327" s="3"/>
      <c r="AI327" s="3"/>
    </row>
    <row r="328" ht="15.75" customHeight="1">
      <c r="A328" s="150"/>
      <c r="E328" s="123"/>
      <c r="I328" s="123"/>
      <c r="AA328" s="3"/>
      <c r="AB328" s="123"/>
      <c r="AC328" s="3"/>
      <c r="AD328" s="3"/>
      <c r="AE328" s="3"/>
      <c r="AF328" s="3"/>
      <c r="AG328" s="3"/>
      <c r="AH328" s="3"/>
      <c r="AI328" s="3"/>
    </row>
    <row r="329" ht="15.75" customHeight="1">
      <c r="A329" s="150"/>
      <c r="E329" s="123"/>
      <c r="I329" s="123"/>
      <c r="AA329" s="3"/>
      <c r="AB329" s="123"/>
      <c r="AC329" s="3"/>
      <c r="AD329" s="3"/>
      <c r="AE329" s="3"/>
      <c r="AF329" s="3"/>
      <c r="AG329" s="3"/>
      <c r="AH329" s="3"/>
      <c r="AI329" s="3"/>
    </row>
    <row r="330" ht="15.75" customHeight="1">
      <c r="A330" s="150"/>
      <c r="E330" s="123"/>
      <c r="I330" s="123"/>
      <c r="AA330" s="3"/>
      <c r="AB330" s="123"/>
      <c r="AC330" s="3"/>
      <c r="AD330" s="3"/>
      <c r="AE330" s="3"/>
      <c r="AF330" s="3"/>
      <c r="AG330" s="3"/>
      <c r="AH330" s="3"/>
      <c r="AI330" s="3"/>
    </row>
    <row r="331" ht="15.75" customHeight="1">
      <c r="A331" s="150"/>
      <c r="E331" s="123"/>
      <c r="I331" s="123"/>
      <c r="AA331" s="3"/>
      <c r="AB331" s="123"/>
      <c r="AC331" s="3"/>
      <c r="AD331" s="3"/>
      <c r="AE331" s="3"/>
      <c r="AF331" s="3"/>
      <c r="AG331" s="3"/>
      <c r="AH331" s="3"/>
      <c r="AI331" s="3"/>
    </row>
    <row r="332" ht="15.75" customHeight="1">
      <c r="A332" s="150"/>
      <c r="E332" s="123"/>
      <c r="I332" s="123"/>
      <c r="AA332" s="3"/>
      <c r="AB332" s="123"/>
      <c r="AC332" s="3"/>
      <c r="AD332" s="3"/>
      <c r="AE332" s="3"/>
      <c r="AF332" s="3"/>
      <c r="AG332" s="3"/>
      <c r="AH332" s="3"/>
      <c r="AI332" s="3"/>
    </row>
    <row r="333" ht="15.75" customHeight="1">
      <c r="A333" s="150"/>
      <c r="E333" s="123"/>
      <c r="I333" s="123"/>
      <c r="AA333" s="3"/>
      <c r="AB333" s="123"/>
      <c r="AC333" s="3"/>
      <c r="AD333" s="3"/>
      <c r="AE333" s="3"/>
      <c r="AF333" s="3"/>
      <c r="AG333" s="3"/>
      <c r="AH333" s="3"/>
      <c r="AI333" s="3"/>
    </row>
    <row r="334" ht="15.75" customHeight="1">
      <c r="A334" s="150"/>
      <c r="E334" s="123"/>
      <c r="I334" s="123"/>
      <c r="AA334" s="3"/>
      <c r="AB334" s="123"/>
      <c r="AC334" s="3"/>
      <c r="AD334" s="3"/>
      <c r="AE334" s="3"/>
      <c r="AF334" s="3"/>
      <c r="AG334" s="3"/>
      <c r="AH334" s="3"/>
      <c r="AI334" s="3"/>
    </row>
    <row r="335" ht="15.75" customHeight="1">
      <c r="A335" s="150"/>
      <c r="E335" s="123"/>
      <c r="I335" s="123"/>
      <c r="AA335" s="3"/>
      <c r="AB335" s="123"/>
      <c r="AC335" s="3"/>
      <c r="AD335" s="3"/>
      <c r="AE335" s="3"/>
      <c r="AF335" s="3"/>
      <c r="AG335" s="3"/>
      <c r="AH335" s="3"/>
      <c r="AI335" s="3"/>
    </row>
    <row r="336" ht="15.75" customHeight="1">
      <c r="A336" s="150"/>
      <c r="E336" s="123"/>
      <c r="I336" s="123"/>
      <c r="AA336" s="3"/>
      <c r="AB336" s="123"/>
      <c r="AC336" s="3"/>
      <c r="AD336" s="3"/>
      <c r="AE336" s="3"/>
      <c r="AF336" s="3"/>
      <c r="AG336" s="3"/>
      <c r="AH336" s="3"/>
      <c r="AI336" s="3"/>
    </row>
    <row r="337" ht="15.75" customHeight="1">
      <c r="A337" s="150"/>
      <c r="E337" s="123"/>
      <c r="I337" s="123"/>
      <c r="AA337" s="3"/>
      <c r="AB337" s="123"/>
      <c r="AC337" s="3"/>
      <c r="AD337" s="3"/>
      <c r="AE337" s="3"/>
      <c r="AF337" s="3"/>
      <c r="AG337" s="3"/>
      <c r="AH337" s="3"/>
      <c r="AI337" s="3"/>
    </row>
    <row r="338" ht="15.75" customHeight="1">
      <c r="A338" s="150"/>
      <c r="E338" s="123"/>
      <c r="I338" s="123"/>
      <c r="AA338" s="3"/>
      <c r="AB338" s="123"/>
      <c r="AC338" s="3"/>
      <c r="AD338" s="3"/>
      <c r="AE338" s="3"/>
      <c r="AF338" s="3"/>
      <c r="AG338" s="3"/>
      <c r="AH338" s="3"/>
      <c r="AI338" s="3"/>
    </row>
    <row r="339" ht="15.75" customHeight="1">
      <c r="A339" s="150"/>
      <c r="E339" s="123"/>
      <c r="I339" s="123"/>
      <c r="AA339" s="3"/>
      <c r="AB339" s="123"/>
      <c r="AC339" s="3"/>
      <c r="AD339" s="3"/>
      <c r="AE339" s="3"/>
      <c r="AF339" s="3"/>
      <c r="AG339" s="3"/>
      <c r="AH339" s="3"/>
      <c r="AI339" s="3"/>
    </row>
    <row r="340" ht="15.75" customHeight="1">
      <c r="A340" s="150"/>
      <c r="E340" s="123"/>
      <c r="I340" s="123"/>
      <c r="AA340" s="3"/>
      <c r="AB340" s="123"/>
      <c r="AC340" s="3"/>
      <c r="AD340" s="3"/>
      <c r="AE340" s="3"/>
      <c r="AF340" s="3"/>
      <c r="AG340" s="3"/>
      <c r="AH340" s="3"/>
      <c r="AI340" s="3"/>
    </row>
    <row r="341" ht="15.75" customHeight="1">
      <c r="A341" s="150"/>
      <c r="E341" s="123"/>
      <c r="I341" s="123"/>
      <c r="AA341" s="3"/>
      <c r="AB341" s="123"/>
      <c r="AC341" s="3"/>
      <c r="AD341" s="3"/>
      <c r="AE341" s="3"/>
      <c r="AF341" s="3"/>
      <c r="AG341" s="3"/>
      <c r="AH341" s="3"/>
      <c r="AI341" s="3"/>
    </row>
    <row r="342" ht="15.75" customHeight="1">
      <c r="A342" s="150"/>
      <c r="E342" s="123"/>
      <c r="I342" s="123"/>
      <c r="AA342" s="3"/>
      <c r="AB342" s="123"/>
      <c r="AC342" s="3"/>
      <c r="AD342" s="3"/>
      <c r="AE342" s="3"/>
      <c r="AF342" s="3"/>
      <c r="AG342" s="3"/>
      <c r="AH342" s="3"/>
      <c r="AI342" s="3"/>
    </row>
    <row r="343" ht="15.75" customHeight="1">
      <c r="A343" s="150"/>
      <c r="E343" s="123"/>
      <c r="I343" s="123"/>
      <c r="AA343" s="3"/>
      <c r="AB343" s="123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49" t="s">
        <v>209</v>
      </c>
      <c r="I1" s="123"/>
      <c r="AA1" s="3"/>
      <c r="AB1" s="123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196</v>
      </c>
      <c r="U2" s="9" t="s">
        <v>197</v>
      </c>
      <c r="V2" s="9" t="s">
        <v>198</v>
      </c>
      <c r="W2" s="3"/>
      <c r="X2" s="108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196</v>
      </c>
      <c r="AH2" s="5" t="s">
        <v>197</v>
      </c>
      <c r="AI2" s="5" t="s">
        <v>198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96</v>
      </c>
      <c r="J3" s="124"/>
      <c r="K3" s="125">
        <f t="shared" ref="K3:K68" si="1">IFS(F3=H3+2,3,F3=H3-2,0,F3=H3+1,2,F3=H3-1,1,F3="","")</f>
        <v>3</v>
      </c>
      <c r="L3" s="126">
        <f t="shared" ref="L3:L68" si="2">IFS(H3=F3+2,3,H3=F3-2,0,H3=F3+1,2,H3=F3-1,1,H3="","")</f>
        <v>0</v>
      </c>
      <c r="M3" s="124"/>
      <c r="N3" s="126">
        <v>1.0</v>
      </c>
      <c r="O3" s="127" t="s">
        <v>33</v>
      </c>
      <c r="P3" s="126">
        <f t="shared" ref="P3:P14" si="3">SUMIF(E$3:E$68,O3,K$3:K$68)+SUMIF(I$3:I$68,O3,L$3:L$68)</f>
        <v>11</v>
      </c>
      <c r="Q3" s="128">
        <f t="shared" ref="Q3:Q14" si="4">COUNTIFS(E$3:E$68,O3,K$3:K$68,2)+COUNTIFS(I$3:I$68,O3,L$3:L$68,2)+COUNTIFS(E$3:E$68,O3,K$3:K$68,3)+COUNTIFS(I$3:I$68,O3,L$3:L$68,3)</f>
        <v>4</v>
      </c>
      <c r="R3" s="128"/>
      <c r="S3" s="129">
        <f t="shared" ref="S3:S14" si="5">COUNTIFS(E$3:E$68,O3,K$3:K$68,1)+COUNTIFS(I$3:I$68,O3,L$3:L$68,1)+COUNTIFS(E$3:E$68,O3,K$3:K$68,0)+COUNTIFS(I$3:I$68,O3,L$3:L$68,0)</f>
        <v>1</v>
      </c>
      <c r="T3" s="126">
        <f t="shared" ref="T3:T14" si="6">SUMIF(E$3:E$68,O3,F$3:F$68)+SUMIF(I$3:I$68,O3,H$3:H$68)</f>
        <v>8</v>
      </c>
      <c r="U3" s="129">
        <f t="shared" ref="U3:U14" si="7">SUMIF(E$3:E$68,O3,H$3:H$68)+SUMIF(I$3:I$68,O3,F$3:F$68)</f>
        <v>3</v>
      </c>
      <c r="V3" s="126">
        <f t="shared" ref="V3:V14" si="8">T3-U3</f>
        <v>5</v>
      </c>
      <c r="X3" s="112" t="s">
        <v>26</v>
      </c>
      <c r="Y3" s="112" t="s">
        <v>13</v>
      </c>
      <c r="AA3" s="21" t="s">
        <v>29</v>
      </c>
      <c r="AB3" s="63" t="str">
        <f t="array" ref="AB3:AI14">SORT(O3:V14,2,FALSE,8,FALSE)</f>
        <v>Eng. Informática</v>
      </c>
      <c r="AC3" s="22">
        <v>15.0</v>
      </c>
      <c r="AD3" s="22">
        <v>5.0</v>
      </c>
      <c r="AE3" s="22"/>
      <c r="AF3" s="23">
        <v>0.0</v>
      </c>
      <c r="AG3" s="22">
        <v>10.0</v>
      </c>
      <c r="AH3" s="23">
        <v>0.0</v>
      </c>
      <c r="AI3" s="22">
        <v>10.0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63</v>
      </c>
      <c r="F4" s="13">
        <v>0.0</v>
      </c>
      <c r="G4" s="30" t="s">
        <v>24</v>
      </c>
      <c r="H4" s="13">
        <v>2.0</v>
      </c>
      <c r="I4" s="14" t="s">
        <v>37</v>
      </c>
      <c r="J4" s="124"/>
      <c r="K4" s="125">
        <f t="shared" si="1"/>
        <v>0</v>
      </c>
      <c r="L4" s="126">
        <f t="shared" si="2"/>
        <v>3</v>
      </c>
      <c r="M4" s="124"/>
      <c r="N4" s="126">
        <v>2.0</v>
      </c>
      <c r="O4" s="127" t="s">
        <v>114</v>
      </c>
      <c r="P4" s="126">
        <f t="shared" si="3"/>
        <v>1</v>
      </c>
      <c r="Q4" s="128">
        <f t="shared" si="4"/>
        <v>0</v>
      </c>
      <c r="R4" s="128"/>
      <c r="S4" s="129">
        <f t="shared" si="5"/>
        <v>5</v>
      </c>
      <c r="T4" s="126">
        <f t="shared" si="6"/>
        <v>1</v>
      </c>
      <c r="U4" s="129">
        <f t="shared" si="7"/>
        <v>10</v>
      </c>
      <c r="V4" s="126">
        <f t="shared" si="8"/>
        <v>-9</v>
      </c>
      <c r="X4" s="113" t="s">
        <v>61</v>
      </c>
      <c r="Y4" s="113">
        <v>2.0</v>
      </c>
      <c r="AA4" s="21" t="s">
        <v>34</v>
      </c>
      <c r="AB4" s="63" t="s">
        <v>25</v>
      </c>
      <c r="AC4" s="22">
        <v>14.0</v>
      </c>
      <c r="AD4" s="22">
        <v>5.0</v>
      </c>
      <c r="AE4" s="22"/>
      <c r="AF4" s="23">
        <v>0.0</v>
      </c>
      <c r="AG4" s="22">
        <v>10.0</v>
      </c>
      <c r="AH4" s="23">
        <v>1.0</v>
      </c>
      <c r="AI4" s="22">
        <v>9.0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40</v>
      </c>
      <c r="F5" s="13">
        <v>2.0</v>
      </c>
      <c r="G5" s="30" t="s">
        <v>24</v>
      </c>
      <c r="H5" s="13">
        <v>0.0</v>
      </c>
      <c r="I5" s="14" t="s">
        <v>61</v>
      </c>
      <c r="J5" s="124"/>
      <c r="K5" s="125">
        <f t="shared" si="1"/>
        <v>3</v>
      </c>
      <c r="L5" s="126">
        <f t="shared" si="2"/>
        <v>0</v>
      </c>
      <c r="M5" s="124"/>
      <c r="N5" s="126">
        <v>3.0</v>
      </c>
      <c r="O5" s="127" t="s">
        <v>96</v>
      </c>
      <c r="P5" s="126">
        <f t="shared" si="3"/>
        <v>4</v>
      </c>
      <c r="Q5" s="128">
        <f t="shared" si="4"/>
        <v>1</v>
      </c>
      <c r="R5" s="128"/>
      <c r="S5" s="129">
        <f t="shared" si="5"/>
        <v>4</v>
      </c>
      <c r="T5" s="126">
        <f t="shared" si="6"/>
        <v>3</v>
      </c>
      <c r="U5" s="129">
        <f t="shared" si="7"/>
        <v>8</v>
      </c>
      <c r="V5" s="126">
        <f t="shared" si="8"/>
        <v>-5</v>
      </c>
      <c r="X5" s="113" t="s">
        <v>31</v>
      </c>
      <c r="Y5" s="113">
        <v>1.0</v>
      </c>
      <c r="AA5" s="21" t="s">
        <v>39</v>
      </c>
      <c r="AB5" s="63" t="s">
        <v>37</v>
      </c>
      <c r="AC5" s="22">
        <v>13.0</v>
      </c>
      <c r="AD5" s="22">
        <v>4.0</v>
      </c>
      <c r="AE5" s="22"/>
      <c r="AF5" s="23">
        <v>1.0</v>
      </c>
      <c r="AG5" s="22">
        <v>9.0</v>
      </c>
      <c r="AH5" s="23">
        <v>2.0</v>
      </c>
      <c r="AI5" s="22">
        <v>7.0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41</v>
      </c>
      <c r="J6" s="124"/>
      <c r="K6" s="125">
        <f t="shared" si="1"/>
        <v>3</v>
      </c>
      <c r="L6" s="126">
        <f t="shared" si="2"/>
        <v>0</v>
      </c>
      <c r="M6" s="124"/>
      <c r="N6" s="126">
        <v>4.0</v>
      </c>
      <c r="O6" s="127" t="s">
        <v>117</v>
      </c>
      <c r="P6" s="126">
        <f t="shared" si="3"/>
        <v>6</v>
      </c>
      <c r="Q6" s="128">
        <f t="shared" si="4"/>
        <v>2</v>
      </c>
      <c r="R6" s="128"/>
      <c r="S6" s="129">
        <f t="shared" si="5"/>
        <v>3</v>
      </c>
      <c r="T6" s="126">
        <f t="shared" si="6"/>
        <v>4</v>
      </c>
      <c r="U6" s="129">
        <f t="shared" si="7"/>
        <v>6</v>
      </c>
      <c r="V6" s="126">
        <f t="shared" si="8"/>
        <v>-2</v>
      </c>
      <c r="AA6" s="21" t="s">
        <v>43</v>
      </c>
      <c r="AB6" s="63" t="s">
        <v>33</v>
      </c>
      <c r="AC6" s="22">
        <v>11.0</v>
      </c>
      <c r="AD6" s="22">
        <v>4.0</v>
      </c>
      <c r="AE6" s="22"/>
      <c r="AF6" s="23">
        <v>1.0</v>
      </c>
      <c r="AG6" s="22">
        <v>8.0</v>
      </c>
      <c r="AH6" s="23">
        <v>3.0</v>
      </c>
      <c r="AI6" s="22">
        <v>5.0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117</v>
      </c>
      <c r="F7" s="13">
        <v>2.0</v>
      </c>
      <c r="G7" s="30" t="s">
        <v>24</v>
      </c>
      <c r="H7" s="13">
        <v>0.0</v>
      </c>
      <c r="I7" s="14" t="s">
        <v>113</v>
      </c>
      <c r="J7" s="124"/>
      <c r="K7" s="125">
        <f t="shared" si="1"/>
        <v>3</v>
      </c>
      <c r="L7" s="126">
        <f t="shared" si="2"/>
        <v>0</v>
      </c>
      <c r="M7" s="124"/>
      <c r="N7" s="126">
        <v>5.0</v>
      </c>
      <c r="O7" s="127" t="s">
        <v>37</v>
      </c>
      <c r="P7" s="126">
        <f t="shared" si="3"/>
        <v>13</v>
      </c>
      <c r="Q7" s="128">
        <f t="shared" si="4"/>
        <v>4</v>
      </c>
      <c r="R7" s="128"/>
      <c r="S7" s="129">
        <f t="shared" si="5"/>
        <v>1</v>
      </c>
      <c r="T7" s="126">
        <f t="shared" si="6"/>
        <v>9</v>
      </c>
      <c r="U7" s="129">
        <f t="shared" si="7"/>
        <v>2</v>
      </c>
      <c r="V7" s="126">
        <f t="shared" si="8"/>
        <v>7</v>
      </c>
      <c r="AA7" s="21" t="s">
        <v>44</v>
      </c>
      <c r="AB7" s="63" t="s">
        <v>116</v>
      </c>
      <c r="AC7" s="22">
        <v>10.0</v>
      </c>
      <c r="AD7" s="22">
        <v>4.0</v>
      </c>
      <c r="AE7" s="22"/>
      <c r="AF7" s="23">
        <v>1.0</v>
      </c>
      <c r="AG7" s="22">
        <v>9.0</v>
      </c>
      <c r="AH7" s="23">
        <v>5.0</v>
      </c>
      <c r="AI7" s="22">
        <v>4.0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116</v>
      </c>
      <c r="F8" s="13">
        <v>2.0</v>
      </c>
      <c r="G8" s="30" t="s">
        <v>24</v>
      </c>
      <c r="H8" s="13">
        <v>1.0</v>
      </c>
      <c r="I8" s="14" t="s">
        <v>114</v>
      </c>
      <c r="J8" s="124"/>
      <c r="K8" s="125">
        <f t="shared" si="1"/>
        <v>2</v>
      </c>
      <c r="L8" s="126">
        <f t="shared" si="2"/>
        <v>1</v>
      </c>
      <c r="M8" s="124"/>
      <c r="N8" s="126">
        <v>6.0</v>
      </c>
      <c r="O8" s="127" t="s">
        <v>25</v>
      </c>
      <c r="P8" s="126">
        <f t="shared" si="3"/>
        <v>14</v>
      </c>
      <c r="Q8" s="128">
        <f t="shared" si="4"/>
        <v>5</v>
      </c>
      <c r="R8" s="128"/>
      <c r="S8" s="129">
        <f t="shared" si="5"/>
        <v>0</v>
      </c>
      <c r="T8" s="126">
        <f t="shared" si="6"/>
        <v>10</v>
      </c>
      <c r="U8" s="129">
        <f t="shared" si="7"/>
        <v>1</v>
      </c>
      <c r="V8" s="126">
        <f t="shared" si="8"/>
        <v>9</v>
      </c>
      <c r="AA8" s="21" t="s">
        <v>47</v>
      </c>
      <c r="AB8" s="63" t="s">
        <v>63</v>
      </c>
      <c r="AC8" s="22">
        <v>9.0</v>
      </c>
      <c r="AD8" s="22">
        <v>3.0</v>
      </c>
      <c r="AE8" s="22"/>
      <c r="AF8" s="23">
        <v>2.0</v>
      </c>
      <c r="AG8" s="22">
        <v>6.0</v>
      </c>
      <c r="AH8" s="23">
        <v>4.0</v>
      </c>
      <c r="AI8" s="22">
        <v>2.0</v>
      </c>
      <c r="AJ8" s="17"/>
    </row>
    <row r="9" ht="15.75" customHeight="1">
      <c r="A9" s="10">
        <v>2.0</v>
      </c>
      <c r="B9" s="11">
        <v>45959.0</v>
      </c>
      <c r="C9" s="12" t="s">
        <v>136</v>
      </c>
      <c r="D9" s="12" t="s">
        <v>22</v>
      </c>
      <c r="E9" s="14" t="s">
        <v>96</v>
      </c>
      <c r="F9" s="13">
        <v>1.0</v>
      </c>
      <c r="G9" s="30" t="s">
        <v>24</v>
      </c>
      <c r="H9" s="13">
        <v>2.0</v>
      </c>
      <c r="I9" s="14" t="s">
        <v>116</v>
      </c>
      <c r="J9" s="124"/>
      <c r="K9" s="125">
        <f t="shared" si="1"/>
        <v>1</v>
      </c>
      <c r="L9" s="126">
        <f t="shared" si="2"/>
        <v>2</v>
      </c>
      <c r="M9" s="124"/>
      <c r="N9" s="126">
        <v>7.0</v>
      </c>
      <c r="O9" s="127" t="s">
        <v>61</v>
      </c>
      <c r="P9" s="126">
        <f t="shared" si="3"/>
        <v>6</v>
      </c>
      <c r="Q9" s="128">
        <f t="shared" si="4"/>
        <v>2</v>
      </c>
      <c r="R9" s="128"/>
      <c r="S9" s="129">
        <f t="shared" si="5"/>
        <v>3</v>
      </c>
      <c r="T9" s="126">
        <f t="shared" si="6"/>
        <v>4</v>
      </c>
      <c r="U9" s="129">
        <f t="shared" si="7"/>
        <v>6</v>
      </c>
      <c r="V9" s="126">
        <f t="shared" si="8"/>
        <v>-2</v>
      </c>
      <c r="AA9" s="21">
        <v>7.0</v>
      </c>
      <c r="AB9" s="63" t="s">
        <v>117</v>
      </c>
      <c r="AC9" s="22">
        <v>6.0</v>
      </c>
      <c r="AD9" s="22">
        <v>2.0</v>
      </c>
      <c r="AE9" s="22"/>
      <c r="AF9" s="23">
        <v>3.0</v>
      </c>
      <c r="AG9" s="22">
        <v>4.0</v>
      </c>
      <c r="AH9" s="23">
        <v>6.0</v>
      </c>
      <c r="AI9" s="22">
        <v>-2.0</v>
      </c>
      <c r="AJ9" s="17"/>
    </row>
    <row r="10" ht="15.75" customHeight="1">
      <c r="A10" s="24"/>
      <c r="B10" s="11">
        <v>45959.0</v>
      </c>
      <c r="C10" s="12" t="s">
        <v>51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24"/>
      <c r="K10" s="125">
        <f t="shared" si="1"/>
        <v>3</v>
      </c>
      <c r="L10" s="126">
        <f t="shared" si="2"/>
        <v>0</v>
      </c>
      <c r="M10" s="124"/>
      <c r="N10" s="126">
        <v>8.0</v>
      </c>
      <c r="O10" s="127" t="s">
        <v>40</v>
      </c>
      <c r="P10" s="126">
        <f t="shared" si="3"/>
        <v>15</v>
      </c>
      <c r="Q10" s="128">
        <f t="shared" si="4"/>
        <v>5</v>
      </c>
      <c r="R10" s="128"/>
      <c r="S10" s="129">
        <f t="shared" si="5"/>
        <v>0</v>
      </c>
      <c r="T10" s="126">
        <f t="shared" si="6"/>
        <v>10</v>
      </c>
      <c r="U10" s="129">
        <f t="shared" si="7"/>
        <v>0</v>
      </c>
      <c r="V10" s="126">
        <f t="shared" si="8"/>
        <v>10</v>
      </c>
      <c r="AA10" s="21">
        <v>8.0</v>
      </c>
      <c r="AB10" s="63" t="s">
        <v>61</v>
      </c>
      <c r="AC10" s="22">
        <v>6.0</v>
      </c>
      <c r="AD10" s="22">
        <v>2.0</v>
      </c>
      <c r="AE10" s="22"/>
      <c r="AF10" s="23">
        <v>3.0</v>
      </c>
      <c r="AG10" s="22">
        <v>4.0</v>
      </c>
      <c r="AH10" s="23">
        <v>6.0</v>
      </c>
      <c r="AI10" s="22">
        <v>-2.0</v>
      </c>
      <c r="AJ10" s="17"/>
    </row>
    <row r="11" ht="15.75" customHeight="1">
      <c r="A11" s="24"/>
      <c r="B11" s="11">
        <v>45959.0</v>
      </c>
      <c r="C11" s="12" t="s">
        <v>95</v>
      </c>
      <c r="D11" s="12" t="s">
        <v>22</v>
      </c>
      <c r="E11" s="14" t="s">
        <v>61</v>
      </c>
      <c r="F11" s="13">
        <v>2.0</v>
      </c>
      <c r="G11" s="30" t="s">
        <v>24</v>
      </c>
      <c r="H11" s="13">
        <v>0.0</v>
      </c>
      <c r="I11" s="14" t="s">
        <v>63</v>
      </c>
      <c r="J11" s="124"/>
      <c r="K11" s="125">
        <f t="shared" si="1"/>
        <v>3</v>
      </c>
      <c r="L11" s="126">
        <f t="shared" si="2"/>
        <v>0</v>
      </c>
      <c r="M11" s="124"/>
      <c r="N11" s="126">
        <v>9.0</v>
      </c>
      <c r="O11" s="127" t="s">
        <v>41</v>
      </c>
      <c r="P11" s="126">
        <f t="shared" si="3"/>
        <v>1</v>
      </c>
      <c r="Q11" s="128">
        <f t="shared" si="4"/>
        <v>0</v>
      </c>
      <c r="R11" s="128"/>
      <c r="S11" s="129">
        <f t="shared" si="5"/>
        <v>5</v>
      </c>
      <c r="T11" s="126">
        <f t="shared" si="6"/>
        <v>1</v>
      </c>
      <c r="U11" s="129">
        <f t="shared" si="7"/>
        <v>10</v>
      </c>
      <c r="V11" s="126">
        <f t="shared" si="8"/>
        <v>-9</v>
      </c>
      <c r="AA11" s="100" t="s">
        <v>102</v>
      </c>
      <c r="AB11" s="63" t="s">
        <v>96</v>
      </c>
      <c r="AC11" s="22">
        <v>4.0</v>
      </c>
      <c r="AD11" s="22">
        <v>1.0</v>
      </c>
      <c r="AE11" s="22"/>
      <c r="AF11" s="23">
        <v>4.0</v>
      </c>
      <c r="AG11" s="22">
        <v>3.0</v>
      </c>
      <c r="AH11" s="23">
        <v>8.0</v>
      </c>
      <c r="AI11" s="22">
        <v>-5.0</v>
      </c>
      <c r="AJ11" s="17"/>
    </row>
    <row r="12" ht="15.75" customHeight="1">
      <c r="A12" s="24"/>
      <c r="B12" s="11">
        <v>45959.0</v>
      </c>
      <c r="C12" s="12" t="s">
        <v>95</v>
      </c>
      <c r="D12" s="12" t="s">
        <v>22</v>
      </c>
      <c r="E12" s="14" t="s">
        <v>41</v>
      </c>
      <c r="F12" s="13">
        <v>0.0</v>
      </c>
      <c r="G12" s="30" t="s">
        <v>24</v>
      </c>
      <c r="H12" s="13">
        <v>2.0</v>
      </c>
      <c r="I12" s="14" t="s">
        <v>40</v>
      </c>
      <c r="J12" s="124"/>
      <c r="K12" s="125">
        <f t="shared" si="1"/>
        <v>0</v>
      </c>
      <c r="L12" s="126">
        <f t="shared" si="2"/>
        <v>3</v>
      </c>
      <c r="M12" s="124"/>
      <c r="N12" s="126">
        <v>10.0</v>
      </c>
      <c r="O12" s="131" t="s">
        <v>63</v>
      </c>
      <c r="P12" s="126">
        <f t="shared" si="3"/>
        <v>9</v>
      </c>
      <c r="Q12" s="128">
        <f t="shared" si="4"/>
        <v>3</v>
      </c>
      <c r="R12" s="128"/>
      <c r="S12" s="129">
        <f t="shared" si="5"/>
        <v>2</v>
      </c>
      <c r="T12" s="126">
        <f t="shared" si="6"/>
        <v>6</v>
      </c>
      <c r="U12" s="129">
        <f t="shared" si="7"/>
        <v>4</v>
      </c>
      <c r="V12" s="126">
        <f t="shared" si="8"/>
        <v>2</v>
      </c>
      <c r="AA12" s="70">
        <v>10.0</v>
      </c>
      <c r="AB12" s="63" t="s">
        <v>114</v>
      </c>
      <c r="AC12" s="22">
        <v>1.0</v>
      </c>
      <c r="AD12" s="22">
        <v>0.0</v>
      </c>
      <c r="AE12" s="22"/>
      <c r="AF12" s="23">
        <v>5.0</v>
      </c>
      <c r="AG12" s="22">
        <v>1.0</v>
      </c>
      <c r="AH12" s="23">
        <v>10.0</v>
      </c>
      <c r="AI12" s="22">
        <v>-9.0</v>
      </c>
      <c r="AJ12" s="17"/>
    </row>
    <row r="13" ht="15.75" customHeight="1">
      <c r="A13" s="24"/>
      <c r="B13" s="11">
        <v>45959.0</v>
      </c>
      <c r="C13" s="12" t="s">
        <v>95</v>
      </c>
      <c r="D13" s="12" t="s">
        <v>22</v>
      </c>
      <c r="E13" s="14" t="s">
        <v>113</v>
      </c>
      <c r="F13" s="13">
        <v>0.0</v>
      </c>
      <c r="G13" s="30" t="s">
        <v>24</v>
      </c>
      <c r="H13" s="13">
        <v>2.0</v>
      </c>
      <c r="I13" s="14" t="s">
        <v>25</v>
      </c>
      <c r="J13" s="124"/>
      <c r="K13" s="125">
        <f t="shared" si="1"/>
        <v>0</v>
      </c>
      <c r="L13" s="126">
        <f t="shared" si="2"/>
        <v>3</v>
      </c>
      <c r="M13" s="124"/>
      <c r="N13" s="126">
        <v>11.0</v>
      </c>
      <c r="O13" s="132" t="s">
        <v>113</v>
      </c>
      <c r="P13" s="126">
        <f t="shared" si="3"/>
        <v>0</v>
      </c>
      <c r="Q13" s="128">
        <f t="shared" si="4"/>
        <v>0</v>
      </c>
      <c r="R13" s="128"/>
      <c r="S13" s="129">
        <f t="shared" si="5"/>
        <v>5</v>
      </c>
      <c r="T13" s="126">
        <f t="shared" si="6"/>
        <v>0</v>
      </c>
      <c r="U13" s="129">
        <f t="shared" si="7"/>
        <v>10</v>
      </c>
      <c r="V13" s="126">
        <f t="shared" si="8"/>
        <v>-10</v>
      </c>
      <c r="AA13" s="70">
        <v>11.0</v>
      </c>
      <c r="AB13" s="63" t="s">
        <v>41</v>
      </c>
      <c r="AC13" s="22">
        <v>1.0</v>
      </c>
      <c r="AD13" s="22">
        <v>0.0</v>
      </c>
      <c r="AE13" s="22"/>
      <c r="AF13" s="23">
        <v>5.0</v>
      </c>
      <c r="AG13" s="22">
        <v>1.0</v>
      </c>
      <c r="AH13" s="23">
        <v>10.0</v>
      </c>
      <c r="AI13" s="22">
        <v>-9.0</v>
      </c>
      <c r="AJ13" s="17"/>
    </row>
    <row r="14" ht="15.75" customHeight="1">
      <c r="A14" s="28"/>
      <c r="B14" s="11">
        <v>45959.0</v>
      </c>
      <c r="C14" s="12" t="s">
        <v>99</v>
      </c>
      <c r="D14" s="12" t="s">
        <v>22</v>
      </c>
      <c r="E14" s="14" t="s">
        <v>114</v>
      </c>
      <c r="F14" s="13">
        <v>0.0</v>
      </c>
      <c r="G14" s="30" t="s">
        <v>24</v>
      </c>
      <c r="H14" s="13">
        <v>2.0</v>
      </c>
      <c r="I14" s="14" t="s">
        <v>117</v>
      </c>
      <c r="J14" s="124"/>
      <c r="K14" s="125">
        <f t="shared" si="1"/>
        <v>0</v>
      </c>
      <c r="L14" s="126">
        <f t="shared" si="2"/>
        <v>3</v>
      </c>
      <c r="M14" s="124"/>
      <c r="N14" s="133">
        <v>12.0</v>
      </c>
      <c r="O14" s="132" t="s">
        <v>116</v>
      </c>
      <c r="P14" s="126">
        <f t="shared" si="3"/>
        <v>10</v>
      </c>
      <c r="Q14" s="128">
        <f t="shared" si="4"/>
        <v>4</v>
      </c>
      <c r="S14" s="129">
        <f t="shared" si="5"/>
        <v>1</v>
      </c>
      <c r="T14" s="126">
        <f t="shared" si="6"/>
        <v>9</v>
      </c>
      <c r="U14" s="129">
        <f t="shared" si="7"/>
        <v>5</v>
      </c>
      <c r="V14" s="126">
        <f t="shared" si="8"/>
        <v>4</v>
      </c>
      <c r="AA14" s="70">
        <v>12.0</v>
      </c>
      <c r="AB14" s="27" t="s">
        <v>113</v>
      </c>
      <c r="AC14" s="22">
        <v>0.0</v>
      </c>
      <c r="AD14" s="27">
        <v>0.0</v>
      </c>
      <c r="AE14" s="27"/>
      <c r="AF14" s="27">
        <v>5.0</v>
      </c>
      <c r="AG14" s="27">
        <v>0.0</v>
      </c>
      <c r="AH14" s="27">
        <v>10.0</v>
      </c>
      <c r="AI14" s="27">
        <v>-10.0</v>
      </c>
      <c r="AJ14" s="3"/>
    </row>
    <row r="15" ht="15.75" customHeight="1">
      <c r="A15" s="10">
        <v>3.0</v>
      </c>
      <c r="B15" s="11">
        <v>45959.0</v>
      </c>
      <c r="C15" s="12" t="s">
        <v>99</v>
      </c>
      <c r="D15" s="12" t="s">
        <v>22</v>
      </c>
      <c r="E15" s="14" t="s">
        <v>96</v>
      </c>
      <c r="F15" s="13">
        <v>0.0</v>
      </c>
      <c r="G15" s="30" t="s">
        <v>24</v>
      </c>
      <c r="H15" s="13">
        <v>2.0</v>
      </c>
      <c r="I15" s="14" t="s">
        <v>37</v>
      </c>
      <c r="J15" s="124"/>
      <c r="K15" s="125">
        <f t="shared" si="1"/>
        <v>0</v>
      </c>
      <c r="L15" s="126">
        <f t="shared" si="2"/>
        <v>3</v>
      </c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AA15" s="34" t="s">
        <v>210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99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61</v>
      </c>
      <c r="J16" s="124"/>
      <c r="K16" s="125">
        <f t="shared" si="1"/>
        <v>3</v>
      </c>
      <c r="L16" s="126">
        <f t="shared" si="2"/>
        <v>0</v>
      </c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AA16" s="73" t="s">
        <v>108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103</v>
      </c>
      <c r="D17" s="12" t="s">
        <v>22</v>
      </c>
      <c r="E17" s="14" t="s">
        <v>63</v>
      </c>
      <c r="F17" s="13">
        <v>2.0</v>
      </c>
      <c r="G17" s="30" t="s">
        <v>24</v>
      </c>
      <c r="H17" s="13">
        <v>0.0</v>
      </c>
      <c r="I17" s="14" t="s">
        <v>41</v>
      </c>
      <c r="J17" s="124"/>
      <c r="K17" s="125">
        <f t="shared" si="1"/>
        <v>3</v>
      </c>
      <c r="L17" s="126">
        <f t="shared" si="2"/>
        <v>0</v>
      </c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AA17" s="134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103</v>
      </c>
      <c r="D18" s="12" t="s">
        <v>22</v>
      </c>
      <c r="E18" s="14" t="s">
        <v>40</v>
      </c>
      <c r="F18" s="13">
        <v>2.0</v>
      </c>
      <c r="G18" s="30" t="s">
        <v>24</v>
      </c>
      <c r="H18" s="13">
        <v>0.0</v>
      </c>
      <c r="I18" s="14" t="s">
        <v>113</v>
      </c>
      <c r="J18" s="135"/>
      <c r="K18" s="125">
        <f t="shared" si="1"/>
        <v>3</v>
      </c>
      <c r="L18" s="126">
        <f t="shared" si="2"/>
        <v>0</v>
      </c>
      <c r="M18" s="124"/>
      <c r="N18" s="124"/>
      <c r="O18" s="124"/>
      <c r="P18" s="124"/>
      <c r="R18" s="124"/>
      <c r="S18" s="124"/>
      <c r="T18" s="124"/>
      <c r="U18" s="124"/>
      <c r="V18" s="124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103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114</v>
      </c>
      <c r="J19" s="124"/>
      <c r="K19" s="125">
        <f t="shared" si="1"/>
        <v>3</v>
      </c>
      <c r="L19" s="126">
        <f t="shared" si="2"/>
        <v>0</v>
      </c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155</v>
      </c>
      <c r="D20" s="12" t="s">
        <v>22</v>
      </c>
      <c r="E20" s="14" t="s">
        <v>116</v>
      </c>
      <c r="F20" s="13">
        <v>2.0</v>
      </c>
      <c r="G20" s="30" t="s">
        <v>24</v>
      </c>
      <c r="H20" s="13">
        <v>0.0</v>
      </c>
      <c r="I20" s="14" t="s">
        <v>117</v>
      </c>
      <c r="J20" s="124"/>
      <c r="K20" s="125">
        <f t="shared" si="1"/>
        <v>3</v>
      </c>
      <c r="L20" s="126">
        <f t="shared" si="2"/>
        <v>0</v>
      </c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AF20" s="3"/>
      <c r="AG20" s="3"/>
      <c r="AH20" s="3"/>
      <c r="AI20" s="3"/>
      <c r="AJ20" s="3"/>
    </row>
    <row r="21" ht="15.75" customHeight="1">
      <c r="A21" s="10">
        <v>4.0</v>
      </c>
      <c r="B21" s="39">
        <v>45993.0</v>
      </c>
      <c r="C21" s="12" t="s">
        <v>30</v>
      </c>
      <c r="D21" s="12" t="s">
        <v>22</v>
      </c>
      <c r="E21" s="14" t="s">
        <v>37</v>
      </c>
      <c r="F21" s="13">
        <v>1.0</v>
      </c>
      <c r="G21" s="30" t="s">
        <v>24</v>
      </c>
      <c r="H21" s="13">
        <v>2.0</v>
      </c>
      <c r="I21" s="14" t="s">
        <v>116</v>
      </c>
      <c r="J21" s="124"/>
      <c r="K21" s="125">
        <f t="shared" si="1"/>
        <v>1</v>
      </c>
      <c r="L21" s="126">
        <f t="shared" si="2"/>
        <v>2</v>
      </c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AF21" s="3"/>
      <c r="AG21" s="3"/>
      <c r="AH21" s="3"/>
      <c r="AI21" s="3"/>
      <c r="AJ21" s="3"/>
    </row>
    <row r="22" ht="15.75" customHeight="1">
      <c r="A22" s="24"/>
      <c r="B22" s="11">
        <v>45993.0</v>
      </c>
      <c r="C22" s="12" t="s">
        <v>30</v>
      </c>
      <c r="D22" s="12" t="s">
        <v>22</v>
      </c>
      <c r="E22" s="14" t="s">
        <v>61</v>
      </c>
      <c r="F22" s="13">
        <v>2.0</v>
      </c>
      <c r="G22" s="30" t="s">
        <v>24</v>
      </c>
      <c r="H22" s="13">
        <v>0.0</v>
      </c>
      <c r="I22" s="14" t="s">
        <v>96</v>
      </c>
      <c r="J22" s="124"/>
      <c r="K22" s="125">
        <f t="shared" si="1"/>
        <v>3</v>
      </c>
      <c r="L22" s="126">
        <f t="shared" si="2"/>
        <v>0</v>
      </c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AF22" s="3"/>
      <c r="AG22" s="3"/>
      <c r="AH22" s="3"/>
      <c r="AI22" s="3"/>
      <c r="AJ22" s="3"/>
    </row>
    <row r="23" ht="15.75" customHeight="1">
      <c r="A23" s="24"/>
      <c r="B23" s="11">
        <v>46001.0</v>
      </c>
      <c r="C23" s="12" t="s">
        <v>146</v>
      </c>
      <c r="D23" s="12" t="s">
        <v>22</v>
      </c>
      <c r="E23" s="14" t="s">
        <v>41</v>
      </c>
      <c r="F23" s="13">
        <v>1.0</v>
      </c>
      <c r="G23" s="30" t="s">
        <v>24</v>
      </c>
      <c r="H23" s="13">
        <v>2.0</v>
      </c>
      <c r="I23" s="14" t="s">
        <v>33</v>
      </c>
      <c r="J23" s="124"/>
      <c r="K23" s="125">
        <f t="shared" si="1"/>
        <v>1</v>
      </c>
      <c r="L23" s="126">
        <f t="shared" si="2"/>
        <v>2</v>
      </c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1">
        <v>45993.0</v>
      </c>
      <c r="C24" s="12" t="s">
        <v>36</v>
      </c>
      <c r="D24" s="12" t="s">
        <v>22</v>
      </c>
      <c r="E24" s="14" t="s">
        <v>113</v>
      </c>
      <c r="F24" s="13">
        <v>0.0</v>
      </c>
      <c r="G24" s="30" t="s">
        <v>24</v>
      </c>
      <c r="H24" s="13">
        <v>2.0</v>
      </c>
      <c r="I24" s="14" t="s">
        <v>63</v>
      </c>
      <c r="J24" s="124"/>
      <c r="K24" s="125">
        <f t="shared" si="1"/>
        <v>0</v>
      </c>
      <c r="L24" s="126">
        <f t="shared" si="2"/>
        <v>3</v>
      </c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1">
        <v>45993.0</v>
      </c>
      <c r="C25" s="12" t="s">
        <v>36</v>
      </c>
      <c r="D25" s="12" t="s">
        <v>22</v>
      </c>
      <c r="E25" s="14" t="s">
        <v>114</v>
      </c>
      <c r="F25" s="13">
        <v>0.0</v>
      </c>
      <c r="G25" s="30" t="s">
        <v>24</v>
      </c>
      <c r="H25" s="13">
        <v>2.0</v>
      </c>
      <c r="I25" s="14" t="s">
        <v>40</v>
      </c>
      <c r="J25" s="124"/>
      <c r="K25" s="125">
        <f t="shared" si="1"/>
        <v>0</v>
      </c>
      <c r="L25" s="126">
        <f t="shared" si="2"/>
        <v>3</v>
      </c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AA25" s="3"/>
      <c r="AB25" s="123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1">
        <v>45993.0</v>
      </c>
      <c r="C26" s="12" t="s">
        <v>36</v>
      </c>
      <c r="D26" s="12" t="s">
        <v>22</v>
      </c>
      <c r="E26" s="14" t="s">
        <v>117</v>
      </c>
      <c r="F26" s="13">
        <v>0.0</v>
      </c>
      <c r="G26" s="30" t="s">
        <v>24</v>
      </c>
      <c r="H26" s="13">
        <v>2.0</v>
      </c>
      <c r="I26" s="14" t="s">
        <v>25</v>
      </c>
      <c r="J26" s="124"/>
      <c r="K26" s="125">
        <f t="shared" si="1"/>
        <v>0</v>
      </c>
      <c r="L26" s="126">
        <f t="shared" si="2"/>
        <v>3</v>
      </c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AA26" s="3"/>
      <c r="AB26" s="123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4" t="s">
        <v>37</v>
      </c>
      <c r="F27" s="13">
        <v>2.0</v>
      </c>
      <c r="G27" s="30" t="s">
        <v>24</v>
      </c>
      <c r="H27" s="13">
        <v>0.0</v>
      </c>
      <c r="I27" s="14" t="s">
        <v>61</v>
      </c>
      <c r="J27" s="124"/>
      <c r="K27" s="125">
        <f t="shared" si="1"/>
        <v>3</v>
      </c>
      <c r="L27" s="126">
        <f t="shared" si="2"/>
        <v>0</v>
      </c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AA27" s="3"/>
      <c r="AB27" s="123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1">
        <v>46007.0</v>
      </c>
      <c r="C28" s="12" t="s">
        <v>30</v>
      </c>
      <c r="D28" s="12" t="s">
        <v>22</v>
      </c>
      <c r="E28" s="14" t="s">
        <v>96</v>
      </c>
      <c r="F28" s="13">
        <v>2.0</v>
      </c>
      <c r="G28" s="30" t="s">
        <v>24</v>
      </c>
      <c r="H28" s="13">
        <v>0.0</v>
      </c>
      <c r="I28" s="14" t="s">
        <v>41</v>
      </c>
      <c r="J28" s="124"/>
      <c r="K28" s="125">
        <f t="shared" si="1"/>
        <v>3</v>
      </c>
      <c r="L28" s="126">
        <f t="shared" si="2"/>
        <v>0</v>
      </c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AA28" s="3"/>
      <c r="AB28" s="123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1">
        <v>46007.0</v>
      </c>
      <c r="C29" s="12" t="s">
        <v>30</v>
      </c>
      <c r="D29" s="12" t="s">
        <v>22</v>
      </c>
      <c r="E29" s="14" t="s">
        <v>33</v>
      </c>
      <c r="F29" s="13">
        <v>2.0</v>
      </c>
      <c r="G29" s="30" t="s">
        <v>24</v>
      </c>
      <c r="H29" s="13">
        <v>0.0</v>
      </c>
      <c r="I29" s="14" t="s">
        <v>113</v>
      </c>
      <c r="J29" s="124"/>
      <c r="K29" s="125">
        <f t="shared" si="1"/>
        <v>3</v>
      </c>
      <c r="L29" s="126">
        <f t="shared" si="2"/>
        <v>0</v>
      </c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AA29" s="3"/>
      <c r="AB29" s="123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1">
        <v>46007.0</v>
      </c>
      <c r="C30" s="12" t="s">
        <v>36</v>
      </c>
      <c r="D30" s="12" t="s">
        <v>22</v>
      </c>
      <c r="E30" s="14" t="s">
        <v>63</v>
      </c>
      <c r="F30" s="13">
        <v>2.0</v>
      </c>
      <c r="G30" s="30" t="s">
        <v>24</v>
      </c>
      <c r="H30" s="13">
        <v>0.0</v>
      </c>
      <c r="I30" s="14" t="s">
        <v>114</v>
      </c>
      <c r="J30" s="124"/>
      <c r="K30" s="125">
        <f t="shared" si="1"/>
        <v>3</v>
      </c>
      <c r="L30" s="126">
        <f t="shared" si="2"/>
        <v>0</v>
      </c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AA30" s="3"/>
      <c r="AB30" s="123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1">
        <v>46007.0</v>
      </c>
      <c r="C31" s="12" t="s">
        <v>36</v>
      </c>
      <c r="D31" s="12" t="s">
        <v>22</v>
      </c>
      <c r="E31" s="14" t="s">
        <v>40</v>
      </c>
      <c r="F31" s="13">
        <v>2.0</v>
      </c>
      <c r="G31" s="30" t="s">
        <v>24</v>
      </c>
      <c r="H31" s="13">
        <v>0.0</v>
      </c>
      <c r="I31" s="14" t="s">
        <v>117</v>
      </c>
      <c r="J31" s="124"/>
      <c r="K31" s="125">
        <f t="shared" si="1"/>
        <v>3</v>
      </c>
      <c r="L31" s="126">
        <f t="shared" si="2"/>
        <v>0</v>
      </c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AA31" s="3"/>
      <c r="AB31" s="123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1">
        <v>46007.0</v>
      </c>
      <c r="C32" s="12" t="s">
        <v>36</v>
      </c>
      <c r="D32" s="12" t="s">
        <v>22</v>
      </c>
      <c r="E32" s="14" t="s">
        <v>116</v>
      </c>
      <c r="F32" s="13">
        <v>1.0</v>
      </c>
      <c r="G32" s="30" t="s">
        <v>24</v>
      </c>
      <c r="H32" s="13">
        <v>2.0</v>
      </c>
      <c r="I32" s="14" t="s">
        <v>25</v>
      </c>
      <c r="J32" s="124"/>
      <c r="K32" s="125">
        <f t="shared" si="1"/>
        <v>1</v>
      </c>
      <c r="L32" s="126">
        <f t="shared" si="2"/>
        <v>2</v>
      </c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AA32" s="3"/>
      <c r="AB32" s="123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36"/>
      <c r="C33" s="137"/>
      <c r="D33" s="138"/>
      <c r="E33" s="14" t="s">
        <v>61</v>
      </c>
      <c r="F33" s="30"/>
      <c r="G33" s="30" t="s">
        <v>24</v>
      </c>
      <c r="H33" s="30"/>
      <c r="I33" s="14" t="s">
        <v>116</v>
      </c>
      <c r="J33" s="124"/>
      <c r="K33" s="125" t="str">
        <f t="shared" si="1"/>
        <v/>
      </c>
      <c r="L33" s="126" t="str">
        <f t="shared" si="2"/>
        <v/>
      </c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AA33" s="3"/>
      <c r="AB33" s="123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36"/>
      <c r="C34" s="137"/>
      <c r="D34" s="138"/>
      <c r="E34" s="14" t="s">
        <v>41</v>
      </c>
      <c r="F34" s="30"/>
      <c r="G34" s="30" t="s">
        <v>24</v>
      </c>
      <c r="H34" s="30"/>
      <c r="I34" s="14" t="s">
        <v>37</v>
      </c>
      <c r="J34" s="124"/>
      <c r="K34" s="125" t="str">
        <f t="shared" si="1"/>
        <v/>
      </c>
      <c r="L34" s="126" t="str">
        <f t="shared" si="2"/>
        <v/>
      </c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AA34" s="3"/>
      <c r="AB34" s="123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36"/>
      <c r="C35" s="137"/>
      <c r="D35" s="138"/>
      <c r="E35" s="14" t="s">
        <v>113</v>
      </c>
      <c r="F35" s="30"/>
      <c r="G35" s="30" t="s">
        <v>24</v>
      </c>
      <c r="H35" s="30"/>
      <c r="I35" s="14" t="s">
        <v>96</v>
      </c>
      <c r="J35" s="124"/>
      <c r="K35" s="125" t="str">
        <f t="shared" si="1"/>
        <v/>
      </c>
      <c r="L35" s="126" t="str">
        <f t="shared" si="2"/>
        <v/>
      </c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AA35" s="3"/>
      <c r="AB35" s="123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36"/>
      <c r="C36" s="137"/>
      <c r="D36" s="138"/>
      <c r="E36" s="14" t="s">
        <v>114</v>
      </c>
      <c r="F36" s="30"/>
      <c r="G36" s="30" t="s">
        <v>24</v>
      </c>
      <c r="H36" s="30"/>
      <c r="I36" s="14" t="s">
        <v>33</v>
      </c>
      <c r="J36" s="124"/>
      <c r="K36" s="125" t="str">
        <f t="shared" si="1"/>
        <v/>
      </c>
      <c r="L36" s="126" t="str">
        <f t="shared" si="2"/>
        <v/>
      </c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AA36" s="3"/>
      <c r="AB36" s="123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36"/>
      <c r="C37" s="137"/>
      <c r="D37" s="138"/>
      <c r="E37" s="14" t="s">
        <v>117</v>
      </c>
      <c r="F37" s="30"/>
      <c r="G37" s="30" t="s">
        <v>24</v>
      </c>
      <c r="H37" s="30"/>
      <c r="I37" s="14" t="s">
        <v>63</v>
      </c>
      <c r="J37" s="124"/>
      <c r="K37" s="125" t="str">
        <f t="shared" si="1"/>
        <v/>
      </c>
      <c r="L37" s="126" t="str">
        <f t="shared" si="2"/>
        <v/>
      </c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AA37" s="3"/>
      <c r="AB37" s="123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36"/>
      <c r="C38" s="137"/>
      <c r="D38" s="138"/>
      <c r="E38" s="14" t="s">
        <v>25</v>
      </c>
      <c r="F38" s="30"/>
      <c r="G38" s="30" t="s">
        <v>24</v>
      </c>
      <c r="H38" s="30"/>
      <c r="I38" s="14" t="s">
        <v>40</v>
      </c>
      <c r="J38" s="124"/>
      <c r="K38" s="125" t="str">
        <f t="shared" si="1"/>
        <v/>
      </c>
      <c r="L38" s="126" t="str">
        <f t="shared" si="2"/>
        <v/>
      </c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AA38" s="3"/>
      <c r="AB38" s="123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36"/>
      <c r="C39" s="138"/>
      <c r="D39" s="138"/>
      <c r="E39" s="14" t="s">
        <v>61</v>
      </c>
      <c r="F39" s="30"/>
      <c r="G39" s="30" t="s">
        <v>24</v>
      </c>
      <c r="H39" s="30"/>
      <c r="I39" s="14" t="s">
        <v>41</v>
      </c>
      <c r="J39" s="124"/>
      <c r="K39" s="125" t="str">
        <f t="shared" si="1"/>
        <v/>
      </c>
      <c r="L39" s="126" t="str">
        <f t="shared" si="2"/>
        <v/>
      </c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AA39" s="3"/>
      <c r="AB39" s="123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36"/>
      <c r="C40" s="138"/>
      <c r="D40" s="138"/>
      <c r="E40" s="14" t="s">
        <v>37</v>
      </c>
      <c r="F40" s="30"/>
      <c r="G40" s="30" t="s">
        <v>24</v>
      </c>
      <c r="H40" s="30"/>
      <c r="I40" s="14" t="s">
        <v>113</v>
      </c>
      <c r="J40" s="124"/>
      <c r="K40" s="125" t="str">
        <f t="shared" si="1"/>
        <v/>
      </c>
      <c r="L40" s="126" t="str">
        <f t="shared" si="2"/>
        <v/>
      </c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AA40" s="3"/>
      <c r="AB40" s="123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36"/>
      <c r="C41" s="138"/>
      <c r="D41" s="139"/>
      <c r="E41" s="40" t="s">
        <v>96</v>
      </c>
      <c r="F41" s="30"/>
      <c r="G41" s="30" t="s">
        <v>24</v>
      </c>
      <c r="H41" s="30"/>
      <c r="I41" s="40" t="s">
        <v>114</v>
      </c>
      <c r="J41" s="124"/>
      <c r="K41" s="125" t="str">
        <f t="shared" si="1"/>
        <v/>
      </c>
      <c r="L41" s="126" t="str">
        <f t="shared" si="2"/>
        <v/>
      </c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AA41" s="3"/>
      <c r="AB41" s="123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36"/>
      <c r="C42" s="138"/>
      <c r="D42" s="138"/>
      <c r="E42" s="14" t="s">
        <v>33</v>
      </c>
      <c r="F42" s="30"/>
      <c r="G42" s="30" t="s">
        <v>24</v>
      </c>
      <c r="H42" s="30"/>
      <c r="I42" s="14" t="s">
        <v>117</v>
      </c>
      <c r="J42" s="124"/>
      <c r="K42" s="125" t="str">
        <f t="shared" si="1"/>
        <v/>
      </c>
      <c r="L42" s="126" t="str">
        <f t="shared" si="2"/>
        <v/>
      </c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AA42" s="3"/>
      <c r="AB42" s="123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36"/>
      <c r="C43" s="138"/>
      <c r="D43" s="138"/>
      <c r="E43" s="14" t="s">
        <v>63</v>
      </c>
      <c r="F43" s="30"/>
      <c r="G43" s="30" t="s">
        <v>24</v>
      </c>
      <c r="H43" s="30"/>
      <c r="I43" s="14" t="s">
        <v>25</v>
      </c>
      <c r="J43" s="124"/>
      <c r="K43" s="125" t="str">
        <f t="shared" si="1"/>
        <v/>
      </c>
      <c r="L43" s="126" t="str">
        <f t="shared" si="2"/>
        <v/>
      </c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AA43" s="3"/>
      <c r="AB43" s="123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36"/>
      <c r="C44" s="138"/>
      <c r="D44" s="138"/>
      <c r="E44" s="14" t="s">
        <v>116</v>
      </c>
      <c r="F44" s="30"/>
      <c r="G44" s="30" t="s">
        <v>24</v>
      </c>
      <c r="H44" s="30"/>
      <c r="I44" s="14" t="s">
        <v>40</v>
      </c>
      <c r="J44" s="124"/>
      <c r="K44" s="125" t="str">
        <f t="shared" si="1"/>
        <v/>
      </c>
      <c r="L44" s="126" t="str">
        <f t="shared" si="2"/>
        <v/>
      </c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AA44" s="3"/>
      <c r="AB44" s="123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36"/>
      <c r="C45" s="137"/>
      <c r="D45" s="138"/>
      <c r="E45" s="14" t="s">
        <v>41</v>
      </c>
      <c r="F45" s="30"/>
      <c r="G45" s="30" t="s">
        <v>24</v>
      </c>
      <c r="H45" s="30"/>
      <c r="I45" s="14" t="s">
        <v>116</v>
      </c>
      <c r="J45" s="124"/>
      <c r="K45" s="125" t="str">
        <f t="shared" si="1"/>
        <v/>
      </c>
      <c r="L45" s="126" t="str">
        <f t="shared" si="2"/>
        <v/>
      </c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AA45" s="3"/>
      <c r="AB45" s="123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140"/>
      <c r="C46" s="137"/>
      <c r="D46" s="138"/>
      <c r="E46" s="14" t="s">
        <v>113</v>
      </c>
      <c r="F46" s="30"/>
      <c r="G46" s="30" t="s">
        <v>24</v>
      </c>
      <c r="H46" s="30"/>
      <c r="I46" s="14" t="s">
        <v>61</v>
      </c>
      <c r="J46" s="124"/>
      <c r="K46" s="125" t="str">
        <f t="shared" si="1"/>
        <v/>
      </c>
      <c r="L46" s="126" t="str">
        <f t="shared" si="2"/>
        <v/>
      </c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AA46" s="3"/>
      <c r="AB46" s="123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140"/>
      <c r="C47" s="137"/>
      <c r="D47" s="138"/>
      <c r="E47" s="14" t="s">
        <v>114</v>
      </c>
      <c r="F47" s="30"/>
      <c r="G47" s="30" t="s">
        <v>24</v>
      </c>
      <c r="H47" s="30"/>
      <c r="I47" s="14" t="s">
        <v>37</v>
      </c>
      <c r="J47" s="124"/>
      <c r="K47" s="125" t="str">
        <f t="shared" si="1"/>
        <v/>
      </c>
      <c r="L47" s="126" t="str">
        <f t="shared" si="2"/>
        <v/>
      </c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AA47" s="3"/>
      <c r="AB47" s="123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140"/>
      <c r="C48" s="137"/>
      <c r="D48" s="138"/>
      <c r="E48" s="40" t="s">
        <v>117</v>
      </c>
      <c r="F48" s="30"/>
      <c r="G48" s="30" t="s">
        <v>24</v>
      </c>
      <c r="H48" s="30"/>
      <c r="I48" s="40" t="s">
        <v>96</v>
      </c>
      <c r="K48" s="125" t="str">
        <f t="shared" si="1"/>
        <v/>
      </c>
      <c r="L48" s="126" t="str">
        <f t="shared" si="2"/>
        <v/>
      </c>
      <c r="AA48" s="3"/>
      <c r="AB48" s="123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140"/>
      <c r="C49" s="137"/>
      <c r="D49" s="138"/>
      <c r="E49" s="40" t="s">
        <v>25</v>
      </c>
      <c r="F49" s="30"/>
      <c r="G49" s="30" t="s">
        <v>24</v>
      </c>
      <c r="H49" s="30"/>
      <c r="I49" s="40" t="s">
        <v>33</v>
      </c>
      <c r="K49" s="125" t="str">
        <f t="shared" si="1"/>
        <v/>
      </c>
      <c r="L49" s="126" t="str">
        <f t="shared" si="2"/>
        <v/>
      </c>
      <c r="AA49" s="3"/>
      <c r="AB49" s="123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40"/>
      <c r="C50" s="137"/>
      <c r="D50" s="138"/>
      <c r="E50" s="14" t="s">
        <v>40</v>
      </c>
      <c r="F50" s="30"/>
      <c r="G50" s="30" t="s">
        <v>24</v>
      </c>
      <c r="H50" s="30"/>
      <c r="I50" s="14" t="s">
        <v>63</v>
      </c>
      <c r="K50" s="125" t="str">
        <f t="shared" si="1"/>
        <v/>
      </c>
      <c r="L50" s="126" t="str">
        <f t="shared" si="2"/>
        <v/>
      </c>
      <c r="AA50" s="3"/>
      <c r="AB50" s="123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6"/>
      <c r="C51" s="137"/>
      <c r="D51" s="138"/>
      <c r="E51" s="14" t="s">
        <v>41</v>
      </c>
      <c r="F51" s="138"/>
      <c r="G51" s="30" t="s">
        <v>24</v>
      </c>
      <c r="H51" s="30"/>
      <c r="I51" s="14" t="s">
        <v>113</v>
      </c>
      <c r="K51" s="125" t="str">
        <f t="shared" si="1"/>
        <v/>
      </c>
      <c r="L51" s="126" t="str">
        <f t="shared" si="2"/>
        <v/>
      </c>
      <c r="AA51" s="3"/>
      <c r="AB51" s="123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6"/>
      <c r="C52" s="137"/>
      <c r="D52" s="138"/>
      <c r="E52" s="14" t="s">
        <v>61</v>
      </c>
      <c r="F52" s="138"/>
      <c r="G52" s="30" t="s">
        <v>24</v>
      </c>
      <c r="H52" s="30"/>
      <c r="I52" s="14" t="s">
        <v>114</v>
      </c>
      <c r="K52" s="125" t="str">
        <f t="shared" si="1"/>
        <v/>
      </c>
      <c r="L52" s="126" t="str">
        <f t="shared" si="2"/>
        <v/>
      </c>
      <c r="AA52" s="3"/>
      <c r="AB52" s="123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6"/>
      <c r="C53" s="137"/>
      <c r="D53" s="138"/>
      <c r="E53" s="14" t="s">
        <v>37</v>
      </c>
      <c r="F53" s="138"/>
      <c r="G53" s="30" t="s">
        <v>24</v>
      </c>
      <c r="H53" s="30"/>
      <c r="I53" s="14" t="s">
        <v>117</v>
      </c>
      <c r="K53" s="125" t="str">
        <f t="shared" si="1"/>
        <v/>
      </c>
      <c r="L53" s="126" t="str">
        <f t="shared" si="2"/>
        <v/>
      </c>
      <c r="AA53" s="3"/>
      <c r="AB53" s="123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6"/>
      <c r="C54" s="137"/>
      <c r="D54" s="138"/>
      <c r="E54" s="14" t="s">
        <v>96</v>
      </c>
      <c r="F54" s="138"/>
      <c r="G54" s="30" t="s">
        <v>24</v>
      </c>
      <c r="H54" s="30"/>
      <c r="I54" s="14" t="s">
        <v>25</v>
      </c>
      <c r="K54" s="125" t="str">
        <f t="shared" si="1"/>
        <v/>
      </c>
      <c r="L54" s="126" t="str">
        <f t="shared" si="2"/>
        <v/>
      </c>
      <c r="AA54" s="3"/>
      <c r="AB54" s="123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6"/>
      <c r="C55" s="137"/>
      <c r="D55" s="138"/>
      <c r="E55" s="14" t="s">
        <v>33</v>
      </c>
      <c r="F55" s="138"/>
      <c r="G55" s="30" t="s">
        <v>24</v>
      </c>
      <c r="H55" s="30"/>
      <c r="I55" s="14" t="s">
        <v>40</v>
      </c>
      <c r="K55" s="125" t="str">
        <f t="shared" si="1"/>
        <v/>
      </c>
      <c r="L55" s="126" t="str">
        <f t="shared" si="2"/>
        <v/>
      </c>
      <c r="AA55" s="3"/>
      <c r="AB55" s="123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6"/>
      <c r="C56" s="137"/>
      <c r="D56" s="138"/>
      <c r="E56" s="14" t="s">
        <v>116</v>
      </c>
      <c r="F56" s="138"/>
      <c r="G56" s="30" t="s">
        <v>24</v>
      </c>
      <c r="H56" s="30"/>
      <c r="I56" s="14" t="s">
        <v>63</v>
      </c>
      <c r="K56" s="125" t="str">
        <f t="shared" si="1"/>
        <v/>
      </c>
      <c r="L56" s="126" t="str">
        <f t="shared" si="2"/>
        <v/>
      </c>
      <c r="AA56" s="3"/>
      <c r="AB56" s="123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40"/>
      <c r="C57" s="138"/>
      <c r="D57" s="138"/>
      <c r="E57" s="14" t="s">
        <v>116</v>
      </c>
      <c r="F57" s="30"/>
      <c r="G57" s="30" t="s">
        <v>24</v>
      </c>
      <c r="H57" s="30"/>
      <c r="I57" s="14" t="s">
        <v>113</v>
      </c>
      <c r="K57" s="125" t="str">
        <f t="shared" si="1"/>
        <v/>
      </c>
      <c r="L57" s="126" t="str">
        <f t="shared" si="2"/>
        <v/>
      </c>
      <c r="AA57" s="3"/>
      <c r="AB57" s="123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6"/>
      <c r="C58" s="138"/>
      <c r="D58" s="138"/>
      <c r="E58" s="14" t="s">
        <v>114</v>
      </c>
      <c r="F58" s="30"/>
      <c r="G58" s="30" t="s">
        <v>24</v>
      </c>
      <c r="H58" s="30"/>
      <c r="I58" s="14" t="s">
        <v>41</v>
      </c>
      <c r="K58" s="125" t="str">
        <f t="shared" si="1"/>
        <v/>
      </c>
      <c r="L58" s="126" t="str">
        <f t="shared" si="2"/>
        <v/>
      </c>
      <c r="AA58" s="3"/>
      <c r="AB58" s="123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6"/>
      <c r="C59" s="138"/>
      <c r="D59" s="138"/>
      <c r="E59" s="14" t="s">
        <v>117</v>
      </c>
      <c r="F59" s="30"/>
      <c r="G59" s="30" t="s">
        <v>24</v>
      </c>
      <c r="H59" s="30"/>
      <c r="I59" s="14" t="s">
        <v>61</v>
      </c>
      <c r="K59" s="125" t="str">
        <f t="shared" si="1"/>
        <v/>
      </c>
      <c r="L59" s="126" t="str">
        <f t="shared" si="2"/>
        <v/>
      </c>
      <c r="AA59" s="3"/>
      <c r="AB59" s="123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6"/>
      <c r="C60" s="138"/>
      <c r="D60" s="138"/>
      <c r="E60" s="14" t="s">
        <v>25</v>
      </c>
      <c r="F60" s="30"/>
      <c r="G60" s="30" t="s">
        <v>24</v>
      </c>
      <c r="H60" s="30"/>
      <c r="I60" s="14" t="s">
        <v>37</v>
      </c>
      <c r="K60" s="125" t="str">
        <f t="shared" si="1"/>
        <v/>
      </c>
      <c r="L60" s="126" t="str">
        <f t="shared" si="2"/>
        <v/>
      </c>
      <c r="AA60" s="3"/>
      <c r="AB60" s="123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6"/>
      <c r="C61" s="138"/>
      <c r="D61" s="138"/>
      <c r="E61" s="14" t="s">
        <v>40</v>
      </c>
      <c r="F61" s="30"/>
      <c r="G61" s="30" t="s">
        <v>24</v>
      </c>
      <c r="H61" s="30"/>
      <c r="I61" s="14" t="s">
        <v>96</v>
      </c>
      <c r="K61" s="125" t="str">
        <f t="shared" si="1"/>
        <v/>
      </c>
      <c r="L61" s="126" t="str">
        <f t="shared" si="2"/>
        <v/>
      </c>
      <c r="AA61" s="3"/>
      <c r="AB61" s="123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6"/>
      <c r="C62" s="138"/>
      <c r="D62" s="138"/>
      <c r="E62" s="14" t="s">
        <v>63</v>
      </c>
      <c r="F62" s="30"/>
      <c r="G62" s="30" t="s">
        <v>24</v>
      </c>
      <c r="H62" s="30"/>
      <c r="I62" s="14" t="s">
        <v>33</v>
      </c>
      <c r="K62" s="125" t="str">
        <f t="shared" si="1"/>
        <v/>
      </c>
      <c r="L62" s="126" t="str">
        <f t="shared" si="2"/>
        <v/>
      </c>
      <c r="AA62" s="3"/>
      <c r="AB62" s="123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6"/>
      <c r="C63" s="137"/>
      <c r="D63" s="138"/>
      <c r="E63" s="14" t="s">
        <v>113</v>
      </c>
      <c r="F63" s="30"/>
      <c r="G63" s="30" t="s">
        <v>24</v>
      </c>
      <c r="H63" s="30"/>
      <c r="I63" s="14" t="s">
        <v>114</v>
      </c>
      <c r="K63" s="125" t="str">
        <f t="shared" si="1"/>
        <v/>
      </c>
      <c r="L63" s="126" t="str">
        <f t="shared" si="2"/>
        <v/>
      </c>
      <c r="AA63" s="3"/>
      <c r="AB63" s="123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6"/>
      <c r="C64" s="137"/>
      <c r="D64" s="138"/>
      <c r="E64" s="14" t="s">
        <v>41</v>
      </c>
      <c r="F64" s="30"/>
      <c r="G64" s="30" t="s">
        <v>24</v>
      </c>
      <c r="H64" s="30"/>
      <c r="I64" s="14" t="s">
        <v>117</v>
      </c>
      <c r="K64" s="125" t="str">
        <f t="shared" si="1"/>
        <v/>
      </c>
      <c r="L64" s="126" t="str">
        <f t="shared" si="2"/>
        <v/>
      </c>
      <c r="AA64" s="3"/>
      <c r="AB64" s="123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6"/>
      <c r="C65" s="137"/>
      <c r="D65" s="138"/>
      <c r="E65" s="14" t="s">
        <v>61</v>
      </c>
      <c r="F65" s="30"/>
      <c r="G65" s="30" t="s">
        <v>24</v>
      </c>
      <c r="H65" s="30"/>
      <c r="I65" s="14" t="s">
        <v>25</v>
      </c>
      <c r="K65" s="125" t="str">
        <f t="shared" si="1"/>
        <v/>
      </c>
      <c r="L65" s="126" t="str">
        <f t="shared" si="2"/>
        <v/>
      </c>
      <c r="AA65" s="3"/>
      <c r="AB65" s="123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6"/>
      <c r="C66" s="137"/>
      <c r="D66" s="138"/>
      <c r="E66" s="14" t="s">
        <v>37</v>
      </c>
      <c r="F66" s="30"/>
      <c r="G66" s="30" t="s">
        <v>24</v>
      </c>
      <c r="H66" s="30"/>
      <c r="I66" s="14" t="s">
        <v>40</v>
      </c>
      <c r="K66" s="125" t="str">
        <f t="shared" si="1"/>
        <v/>
      </c>
      <c r="L66" s="126" t="str">
        <f t="shared" si="2"/>
        <v/>
      </c>
      <c r="AA66" s="3"/>
      <c r="AB66" s="123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6"/>
      <c r="C67" s="137"/>
      <c r="D67" s="138"/>
      <c r="E67" s="14" t="s">
        <v>96</v>
      </c>
      <c r="F67" s="30"/>
      <c r="G67" s="30" t="s">
        <v>24</v>
      </c>
      <c r="H67" s="30"/>
      <c r="I67" s="14" t="s">
        <v>63</v>
      </c>
      <c r="K67" s="125" t="str">
        <f t="shared" si="1"/>
        <v/>
      </c>
      <c r="L67" s="126" t="str">
        <f t="shared" si="2"/>
        <v/>
      </c>
      <c r="R67" s="124"/>
      <c r="S67" s="124"/>
      <c r="T67" s="124"/>
      <c r="U67" s="124"/>
      <c r="V67" s="124"/>
      <c r="AA67" s="3"/>
      <c r="AB67" s="123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40"/>
      <c r="C68" s="137"/>
      <c r="D68" s="138"/>
      <c r="E68" s="14" t="s">
        <v>33</v>
      </c>
      <c r="F68" s="13"/>
      <c r="G68" s="30" t="s">
        <v>24</v>
      </c>
      <c r="H68" s="13"/>
      <c r="I68" s="14" t="s">
        <v>116</v>
      </c>
      <c r="K68" s="125" t="str">
        <f t="shared" si="1"/>
        <v/>
      </c>
      <c r="L68" s="126" t="str">
        <f t="shared" si="2"/>
        <v/>
      </c>
      <c r="R68" s="124"/>
      <c r="S68" s="124"/>
      <c r="T68" s="124"/>
      <c r="U68" s="124"/>
      <c r="V68" s="124"/>
      <c r="AA68" s="3"/>
      <c r="AB68" s="123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1"/>
      <c r="B69" s="142"/>
      <c r="C69" s="142"/>
      <c r="D69" s="142"/>
      <c r="E69" s="1"/>
      <c r="F69" s="142"/>
      <c r="G69" s="142"/>
      <c r="I69" s="123"/>
      <c r="AA69" s="3"/>
      <c r="AB69" s="123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1"/>
      <c r="B70" s="142"/>
      <c r="C70" s="142"/>
      <c r="D70" s="142"/>
      <c r="E70" s="1"/>
      <c r="F70" s="142"/>
      <c r="G70" s="142"/>
      <c r="I70" s="123"/>
      <c r="AA70" s="3"/>
      <c r="AB70" s="123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1"/>
      <c r="B71" s="142"/>
      <c r="C71" s="142"/>
      <c r="D71" s="142"/>
      <c r="E71" s="1"/>
      <c r="F71" s="142"/>
      <c r="G71" s="142"/>
      <c r="I71" s="123"/>
      <c r="AA71" s="3"/>
      <c r="AB71" s="123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49" t="s">
        <v>211</v>
      </c>
      <c r="I72" s="123"/>
      <c r="AA72" s="3"/>
      <c r="AB72" s="123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196</v>
      </c>
      <c r="U73" s="9" t="s">
        <v>197</v>
      </c>
      <c r="V73" s="9" t="s">
        <v>198</v>
      </c>
      <c r="W73" s="3"/>
      <c r="X73" s="108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196</v>
      </c>
      <c r="AH73" s="5" t="s">
        <v>197</v>
      </c>
      <c r="AI73" s="5" t="s">
        <v>198</v>
      </c>
      <c r="AJ73" s="9"/>
    </row>
    <row r="74" ht="15.75" customHeight="1">
      <c r="A74" s="58">
        <v>1.0</v>
      </c>
      <c r="B74" s="11">
        <v>45943.0</v>
      </c>
      <c r="C74" s="12" t="s">
        <v>49</v>
      </c>
      <c r="D74" s="12" t="s">
        <v>22</v>
      </c>
      <c r="E74" s="14" t="s">
        <v>144</v>
      </c>
      <c r="F74" s="13">
        <v>0.0</v>
      </c>
      <c r="G74" s="30" t="s">
        <v>24</v>
      </c>
      <c r="H74" s="13">
        <v>2.0</v>
      </c>
      <c r="I74" s="14" t="s">
        <v>54</v>
      </c>
      <c r="J74" s="124"/>
      <c r="K74" s="125">
        <f t="shared" ref="K74:K139" si="9">IFS(F74=H74+2,3,F74=H74-2,0,F74=H74+1,2,F74=H74-1,1,F74="","")</f>
        <v>0</v>
      </c>
      <c r="L74" s="126">
        <f t="shared" ref="L74:L139" si="10">IFS(H74=F74+2,3,H74=F74-2,0,H74=F74+1,2,H74=F74-1,1,H74="","")</f>
        <v>3</v>
      </c>
      <c r="M74" s="124"/>
      <c r="N74" s="126">
        <v>1.0</v>
      </c>
      <c r="O74" s="127" t="s">
        <v>144</v>
      </c>
      <c r="P74" s="126">
        <f t="shared" ref="P74:P84" si="11">SUMIF(E$74:E$139,O74,K$74:K$139)+SUMIF(I$74:I$139,O74,L$74:L$139)</f>
        <v>11</v>
      </c>
      <c r="Q74" s="128">
        <f t="shared" ref="Q74:Q84" si="12">COUNTIFS(E$74:E$139,O74,K$74:K$139,2)+COUNTIFS(I$74:I$139,O74,L$74:L$139,2)+COUNTIFS(E$74:E$139,O74,K$74:K$139,3)+COUNTIFS(I$74:I$139,O74,L$74:L$139,3)</f>
        <v>4</v>
      </c>
      <c r="R74" s="129"/>
      <c r="S74" s="129">
        <f t="shared" ref="S74:S84" si="13">COUNTIFS(E$74:E$139,O74,K$74:K$139,1)+COUNTIFS(I$74:I$139,O74,L$74:L$139,1)+COUNTIFS(E$74:E$139,O74,K$74:K$139,0)+COUNTIFS(I$74:I$139,O74,L$74:L$139,0)</f>
        <v>1</v>
      </c>
      <c r="T74" s="126">
        <f t="shared" ref="T74:T84" si="14">SUMIF(E$74:E$139,O74,F$74:F$139)+SUMIF(I$74:I$139,O74,H$74:H$139)</f>
        <v>8</v>
      </c>
      <c r="U74" s="129">
        <f t="shared" ref="U74:U84" si="15">SUMIF(E$74:E$139,O74,H$74:H$139)+SUMIF(I$74:I$139,O74,F$74:F$139)</f>
        <v>3</v>
      </c>
      <c r="V74" s="126">
        <f t="shared" ref="V74:V84" si="16">T74-U74</f>
        <v>5</v>
      </c>
      <c r="X74" s="112" t="s">
        <v>26</v>
      </c>
      <c r="Y74" s="112" t="s">
        <v>13</v>
      </c>
      <c r="AA74" s="41" t="s">
        <v>29</v>
      </c>
      <c r="AB74" s="63" t="str">
        <f t="array" ref="AB74:AI84">SORT(O74:V84,2,FALSE,8,FALSE)</f>
        <v>Fisioterapia</v>
      </c>
      <c r="AC74" s="22">
        <v>12.0</v>
      </c>
      <c r="AD74" s="22">
        <v>5.0</v>
      </c>
      <c r="AE74" s="23"/>
      <c r="AF74" s="23">
        <v>0.0</v>
      </c>
      <c r="AG74" s="22">
        <v>10.0</v>
      </c>
      <c r="AH74" s="23">
        <v>3.0</v>
      </c>
      <c r="AI74" s="22">
        <v>7.0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188</v>
      </c>
      <c r="F75" s="13">
        <v>0.0</v>
      </c>
      <c r="G75" s="30" t="s">
        <v>24</v>
      </c>
      <c r="H75" s="13">
        <v>2.0</v>
      </c>
      <c r="I75" s="14" t="s">
        <v>158</v>
      </c>
      <c r="J75" s="124"/>
      <c r="K75" s="125">
        <f t="shared" si="9"/>
        <v>0</v>
      </c>
      <c r="L75" s="126">
        <f t="shared" si="10"/>
        <v>3</v>
      </c>
      <c r="M75" s="124"/>
      <c r="N75" s="126">
        <v>2.0</v>
      </c>
      <c r="O75" s="127" t="s">
        <v>32</v>
      </c>
      <c r="P75" s="126">
        <f t="shared" si="11"/>
        <v>4</v>
      </c>
      <c r="Q75" s="128">
        <f t="shared" si="12"/>
        <v>1</v>
      </c>
      <c r="R75" s="129"/>
      <c r="S75" s="129">
        <f t="shared" si="13"/>
        <v>3</v>
      </c>
      <c r="T75" s="126">
        <f t="shared" si="14"/>
        <v>3</v>
      </c>
      <c r="U75" s="129">
        <f t="shared" si="15"/>
        <v>6</v>
      </c>
      <c r="V75" s="126">
        <f t="shared" si="16"/>
        <v>-3</v>
      </c>
      <c r="X75" s="113" t="s">
        <v>33</v>
      </c>
      <c r="Y75" s="113">
        <v>3.0</v>
      </c>
      <c r="AA75" s="100" t="s">
        <v>115</v>
      </c>
      <c r="AB75" s="63" t="s">
        <v>54</v>
      </c>
      <c r="AC75" s="22">
        <v>11.0</v>
      </c>
      <c r="AD75" s="22">
        <v>4.0</v>
      </c>
      <c r="AE75" s="23"/>
      <c r="AF75" s="23">
        <v>0.0</v>
      </c>
      <c r="AG75" s="22">
        <v>8.0</v>
      </c>
      <c r="AH75" s="23">
        <v>1.0</v>
      </c>
      <c r="AI75" s="22">
        <v>7.0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24"/>
      <c r="K76" s="125">
        <f t="shared" si="9"/>
        <v>3</v>
      </c>
      <c r="L76" s="126">
        <f t="shared" si="10"/>
        <v>0</v>
      </c>
      <c r="M76" s="124"/>
      <c r="N76" s="126">
        <v>3.0</v>
      </c>
      <c r="O76" s="127" t="s">
        <v>54</v>
      </c>
      <c r="P76" s="126">
        <f t="shared" si="11"/>
        <v>11</v>
      </c>
      <c r="Q76" s="128">
        <f t="shared" si="12"/>
        <v>4</v>
      </c>
      <c r="R76" s="129"/>
      <c r="S76" s="129">
        <f t="shared" si="13"/>
        <v>0</v>
      </c>
      <c r="T76" s="126">
        <f t="shared" si="14"/>
        <v>8</v>
      </c>
      <c r="U76" s="129">
        <f t="shared" si="15"/>
        <v>1</v>
      </c>
      <c r="V76" s="126">
        <f t="shared" si="16"/>
        <v>7</v>
      </c>
      <c r="X76" s="113" t="s">
        <v>42</v>
      </c>
      <c r="Y76" s="113">
        <v>0.0</v>
      </c>
      <c r="AA76" s="21">
        <v>3.0</v>
      </c>
      <c r="AB76" s="63" t="s">
        <v>144</v>
      </c>
      <c r="AC76" s="22">
        <v>11.0</v>
      </c>
      <c r="AD76" s="22">
        <v>4.0</v>
      </c>
      <c r="AE76" s="23"/>
      <c r="AF76" s="23">
        <v>1.0</v>
      </c>
      <c r="AG76" s="22">
        <v>8.0</v>
      </c>
      <c r="AH76" s="23">
        <v>3.0</v>
      </c>
      <c r="AI76" s="22">
        <v>5.0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59</v>
      </c>
      <c r="F77" s="13">
        <v>0.0</v>
      </c>
      <c r="G77" s="30" t="s">
        <v>24</v>
      </c>
      <c r="H77" s="13">
        <v>2.0</v>
      </c>
      <c r="I77" s="14" t="s">
        <v>57</v>
      </c>
      <c r="J77" s="124"/>
      <c r="K77" s="125">
        <f t="shared" si="9"/>
        <v>0</v>
      </c>
      <c r="L77" s="126">
        <f t="shared" si="10"/>
        <v>3</v>
      </c>
      <c r="M77" s="124"/>
      <c r="N77" s="126">
        <v>4.0</v>
      </c>
      <c r="O77" s="127" t="s">
        <v>170</v>
      </c>
      <c r="P77" s="126">
        <f t="shared" si="11"/>
        <v>9</v>
      </c>
      <c r="Q77" s="128">
        <f t="shared" si="12"/>
        <v>3</v>
      </c>
      <c r="R77" s="129"/>
      <c r="S77" s="129">
        <f t="shared" si="13"/>
        <v>1</v>
      </c>
      <c r="T77" s="126">
        <f t="shared" si="14"/>
        <v>6</v>
      </c>
      <c r="U77" s="129">
        <f t="shared" si="15"/>
        <v>2</v>
      </c>
      <c r="V77" s="126">
        <f t="shared" si="16"/>
        <v>4</v>
      </c>
      <c r="AA77" s="21">
        <v>4.0</v>
      </c>
      <c r="AB77" s="63" t="s">
        <v>170</v>
      </c>
      <c r="AC77" s="22">
        <v>9.0</v>
      </c>
      <c r="AD77" s="22">
        <v>3.0</v>
      </c>
      <c r="AE77" s="23"/>
      <c r="AF77" s="23">
        <v>1.0</v>
      </c>
      <c r="AG77" s="22">
        <v>6.0</v>
      </c>
      <c r="AH77" s="23">
        <v>2.0</v>
      </c>
      <c r="AI77" s="22">
        <v>4.0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170</v>
      </c>
      <c r="F78" s="13">
        <v>2.0</v>
      </c>
      <c r="G78" s="30" t="s">
        <v>24</v>
      </c>
      <c r="H78" s="13">
        <v>0.0</v>
      </c>
      <c r="I78" s="14" t="s">
        <v>212</v>
      </c>
      <c r="J78" s="124"/>
      <c r="K78" s="125">
        <f t="shared" si="9"/>
        <v>3</v>
      </c>
      <c r="L78" s="126">
        <f t="shared" si="10"/>
        <v>0</v>
      </c>
      <c r="M78" s="124"/>
      <c r="N78" s="126">
        <v>5.0</v>
      </c>
      <c r="O78" s="127" t="s">
        <v>158</v>
      </c>
      <c r="P78" s="126">
        <f t="shared" si="11"/>
        <v>7</v>
      </c>
      <c r="Q78" s="128">
        <f t="shared" si="12"/>
        <v>2</v>
      </c>
      <c r="R78" s="129"/>
      <c r="S78" s="129">
        <f t="shared" si="13"/>
        <v>2</v>
      </c>
      <c r="T78" s="126">
        <f t="shared" si="14"/>
        <v>5</v>
      </c>
      <c r="U78" s="129">
        <f t="shared" si="15"/>
        <v>4</v>
      </c>
      <c r="V78" s="126">
        <f t="shared" si="16"/>
        <v>1</v>
      </c>
      <c r="AA78" s="21">
        <v>5.0</v>
      </c>
      <c r="AB78" s="63" t="s">
        <v>212</v>
      </c>
      <c r="AC78" s="22">
        <v>8.0</v>
      </c>
      <c r="AD78" s="22">
        <v>2.0</v>
      </c>
      <c r="AE78" s="23"/>
      <c r="AF78" s="23">
        <v>3.0</v>
      </c>
      <c r="AG78" s="22">
        <v>6.0</v>
      </c>
      <c r="AH78" s="23">
        <v>6.0</v>
      </c>
      <c r="AI78" s="22">
        <v>0.0</v>
      </c>
      <c r="AJ78" s="17"/>
    </row>
    <row r="79" ht="15.75" customHeight="1">
      <c r="A79" s="28"/>
      <c r="B79" s="136"/>
      <c r="C79" s="137"/>
      <c r="D79" s="138"/>
      <c r="E79" s="14">
        <v>0.0</v>
      </c>
      <c r="F79" s="30"/>
      <c r="G79" s="30" t="s">
        <v>24</v>
      </c>
      <c r="H79" s="30"/>
      <c r="I79" s="14" t="s">
        <v>32</v>
      </c>
      <c r="J79" s="124"/>
      <c r="K79" s="125" t="str">
        <f t="shared" si="9"/>
        <v/>
      </c>
      <c r="L79" s="126" t="str">
        <f t="shared" si="10"/>
        <v/>
      </c>
      <c r="M79" s="124"/>
      <c r="N79" s="126">
        <v>6.0</v>
      </c>
      <c r="O79" s="127" t="s">
        <v>59</v>
      </c>
      <c r="P79" s="126">
        <f t="shared" si="11"/>
        <v>0</v>
      </c>
      <c r="Q79" s="128">
        <f t="shared" si="12"/>
        <v>0</v>
      </c>
      <c r="R79" s="129"/>
      <c r="S79" s="129">
        <f t="shared" si="13"/>
        <v>4</v>
      </c>
      <c r="T79" s="126">
        <f t="shared" si="14"/>
        <v>0</v>
      </c>
      <c r="U79" s="129">
        <f t="shared" si="15"/>
        <v>8</v>
      </c>
      <c r="V79" s="126">
        <f t="shared" si="16"/>
        <v>-8</v>
      </c>
      <c r="AA79" s="21">
        <v>6.0</v>
      </c>
      <c r="AB79" s="63" t="s">
        <v>158</v>
      </c>
      <c r="AC79" s="22">
        <v>7.0</v>
      </c>
      <c r="AD79" s="22">
        <v>2.0</v>
      </c>
      <c r="AE79" s="23"/>
      <c r="AF79" s="23">
        <v>2.0</v>
      </c>
      <c r="AG79" s="22">
        <v>5.0</v>
      </c>
      <c r="AH79" s="23">
        <v>4.0</v>
      </c>
      <c r="AI79" s="22">
        <v>1.0</v>
      </c>
      <c r="AJ79" s="17"/>
    </row>
    <row r="80" ht="15.75" customHeight="1">
      <c r="A80" s="58">
        <v>2.0</v>
      </c>
      <c r="B80" s="136"/>
      <c r="C80" s="137"/>
      <c r="D80" s="138"/>
      <c r="E80" s="14" t="s">
        <v>54</v>
      </c>
      <c r="F80" s="30"/>
      <c r="G80" s="30" t="s">
        <v>24</v>
      </c>
      <c r="H80" s="30"/>
      <c r="I80" s="14">
        <v>0.0</v>
      </c>
      <c r="J80" s="124"/>
      <c r="K80" s="125" t="str">
        <f t="shared" si="9"/>
        <v/>
      </c>
      <c r="L80" s="126" t="str">
        <f t="shared" si="10"/>
        <v/>
      </c>
      <c r="M80" s="124"/>
      <c r="N80" s="126">
        <v>7.0</v>
      </c>
      <c r="O80" s="127" t="s">
        <v>38</v>
      </c>
      <c r="P80" s="126">
        <f t="shared" si="11"/>
        <v>0</v>
      </c>
      <c r="Q80" s="128">
        <f t="shared" si="12"/>
        <v>0</v>
      </c>
      <c r="R80" s="129"/>
      <c r="S80" s="129">
        <f t="shared" si="13"/>
        <v>5</v>
      </c>
      <c r="T80" s="126">
        <f t="shared" si="14"/>
        <v>0</v>
      </c>
      <c r="U80" s="129">
        <f t="shared" si="15"/>
        <v>10</v>
      </c>
      <c r="V80" s="126">
        <f t="shared" si="16"/>
        <v>-10</v>
      </c>
      <c r="AA80" s="21">
        <v>7.0</v>
      </c>
      <c r="AB80" s="63" t="s">
        <v>188</v>
      </c>
      <c r="AC80" s="22">
        <v>7.0</v>
      </c>
      <c r="AD80" s="22">
        <v>2.0</v>
      </c>
      <c r="AE80" s="23"/>
      <c r="AF80" s="23">
        <v>3.0</v>
      </c>
      <c r="AG80" s="22">
        <v>5.0</v>
      </c>
      <c r="AH80" s="23">
        <v>6.0</v>
      </c>
      <c r="AI80" s="22">
        <v>-1.0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158</v>
      </c>
      <c r="F81" s="13">
        <v>0.0</v>
      </c>
      <c r="G81" s="30" t="s">
        <v>24</v>
      </c>
      <c r="H81" s="13">
        <v>2.0</v>
      </c>
      <c r="I81" s="14" t="s">
        <v>144</v>
      </c>
      <c r="J81" s="124"/>
      <c r="K81" s="125">
        <f t="shared" si="9"/>
        <v>0</v>
      </c>
      <c r="L81" s="126">
        <f t="shared" si="10"/>
        <v>3</v>
      </c>
      <c r="M81" s="124"/>
      <c r="N81" s="126">
        <v>8.0</v>
      </c>
      <c r="O81" s="127" t="s">
        <v>23</v>
      </c>
      <c r="P81" s="126">
        <f t="shared" si="11"/>
        <v>12</v>
      </c>
      <c r="Q81" s="128">
        <f t="shared" si="12"/>
        <v>5</v>
      </c>
      <c r="R81" s="129"/>
      <c r="S81" s="129">
        <f t="shared" si="13"/>
        <v>0</v>
      </c>
      <c r="T81" s="126">
        <f t="shared" si="14"/>
        <v>10</v>
      </c>
      <c r="U81" s="129">
        <f t="shared" si="15"/>
        <v>3</v>
      </c>
      <c r="V81" s="126">
        <f t="shared" si="16"/>
        <v>7</v>
      </c>
      <c r="AA81" s="21">
        <v>8.0</v>
      </c>
      <c r="AB81" s="63" t="s">
        <v>57</v>
      </c>
      <c r="AC81" s="22">
        <v>6.0</v>
      </c>
      <c r="AD81" s="22">
        <v>2.0</v>
      </c>
      <c r="AE81" s="23"/>
      <c r="AF81" s="23">
        <v>3.0</v>
      </c>
      <c r="AG81" s="22">
        <v>5.0</v>
      </c>
      <c r="AH81" s="23">
        <v>7.0</v>
      </c>
      <c r="AI81" s="22">
        <v>-2.0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188</v>
      </c>
      <c r="J82" s="124"/>
      <c r="K82" s="125">
        <f t="shared" si="9"/>
        <v>0</v>
      </c>
      <c r="L82" s="126">
        <f t="shared" si="10"/>
        <v>3</v>
      </c>
      <c r="M82" s="124"/>
      <c r="N82" s="126">
        <v>9.0</v>
      </c>
      <c r="O82" s="127" t="s">
        <v>57</v>
      </c>
      <c r="P82" s="126">
        <f t="shared" si="11"/>
        <v>6</v>
      </c>
      <c r="Q82" s="128">
        <f t="shared" si="12"/>
        <v>2</v>
      </c>
      <c r="R82" s="129"/>
      <c r="S82" s="129">
        <f t="shared" si="13"/>
        <v>3</v>
      </c>
      <c r="T82" s="126">
        <f t="shared" si="14"/>
        <v>5</v>
      </c>
      <c r="U82" s="129">
        <f t="shared" si="15"/>
        <v>7</v>
      </c>
      <c r="V82" s="126">
        <f t="shared" si="16"/>
        <v>-2</v>
      </c>
      <c r="AA82" s="21">
        <v>9.0</v>
      </c>
      <c r="AB82" s="63" t="s">
        <v>32</v>
      </c>
      <c r="AC82" s="22">
        <v>4.0</v>
      </c>
      <c r="AD82" s="22">
        <v>1.0</v>
      </c>
      <c r="AE82" s="23"/>
      <c r="AF82" s="23">
        <v>3.0</v>
      </c>
      <c r="AG82" s="22">
        <v>3.0</v>
      </c>
      <c r="AH82" s="23">
        <v>6.0</v>
      </c>
      <c r="AI82" s="22">
        <v>-3.0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57</v>
      </c>
      <c r="F83" s="13">
        <v>1.0</v>
      </c>
      <c r="G83" s="30" t="s">
        <v>24</v>
      </c>
      <c r="H83" s="13">
        <v>2.0</v>
      </c>
      <c r="I83" s="14" t="s">
        <v>23</v>
      </c>
      <c r="J83" s="124"/>
      <c r="K83" s="125">
        <f t="shared" si="9"/>
        <v>1</v>
      </c>
      <c r="L83" s="126">
        <f t="shared" si="10"/>
        <v>2</v>
      </c>
      <c r="M83" s="124"/>
      <c r="N83" s="126">
        <v>10.0</v>
      </c>
      <c r="O83" s="127" t="s">
        <v>188</v>
      </c>
      <c r="P83" s="126">
        <f t="shared" si="11"/>
        <v>7</v>
      </c>
      <c r="Q83" s="128">
        <f t="shared" si="12"/>
        <v>2</v>
      </c>
      <c r="R83" s="129"/>
      <c r="S83" s="129">
        <f t="shared" si="13"/>
        <v>3</v>
      </c>
      <c r="T83" s="126">
        <f t="shared" si="14"/>
        <v>5</v>
      </c>
      <c r="U83" s="129">
        <f t="shared" si="15"/>
        <v>6</v>
      </c>
      <c r="V83" s="126">
        <f t="shared" si="16"/>
        <v>-1</v>
      </c>
      <c r="AA83" s="21">
        <v>10.0</v>
      </c>
      <c r="AB83" s="63" t="s">
        <v>59</v>
      </c>
      <c r="AC83" s="22">
        <v>0.0</v>
      </c>
      <c r="AD83" s="22">
        <v>0.0</v>
      </c>
      <c r="AE83" s="23"/>
      <c r="AF83" s="23">
        <v>4.0</v>
      </c>
      <c r="AG83" s="22">
        <v>0.0</v>
      </c>
      <c r="AH83" s="23">
        <v>8.0</v>
      </c>
      <c r="AI83" s="22">
        <v>-8.0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212</v>
      </c>
      <c r="F84" s="13">
        <v>2.0</v>
      </c>
      <c r="G84" s="30" t="s">
        <v>24</v>
      </c>
      <c r="H84" s="13">
        <v>0.0</v>
      </c>
      <c r="I84" s="92" t="s">
        <v>59</v>
      </c>
      <c r="J84" s="124"/>
      <c r="K84" s="125">
        <f t="shared" si="9"/>
        <v>3</v>
      </c>
      <c r="L84" s="126">
        <f t="shared" si="10"/>
        <v>0</v>
      </c>
      <c r="M84" s="124"/>
      <c r="N84" s="143">
        <v>11.0</v>
      </c>
      <c r="O84" s="143" t="s">
        <v>212</v>
      </c>
      <c r="P84" s="126">
        <f t="shared" si="11"/>
        <v>8</v>
      </c>
      <c r="Q84" s="128">
        <f t="shared" si="12"/>
        <v>2</v>
      </c>
      <c r="S84" s="129">
        <f t="shared" si="13"/>
        <v>3</v>
      </c>
      <c r="T84" s="126">
        <f t="shared" si="14"/>
        <v>6</v>
      </c>
      <c r="U84" s="129">
        <f t="shared" si="15"/>
        <v>6</v>
      </c>
      <c r="V84" s="126">
        <f t="shared" si="16"/>
        <v>0</v>
      </c>
      <c r="AA84" s="47">
        <v>11.0</v>
      </c>
      <c r="AB84" s="63" t="s">
        <v>38</v>
      </c>
      <c r="AC84" s="22">
        <v>0.0</v>
      </c>
      <c r="AD84" s="22">
        <v>0.0</v>
      </c>
      <c r="AE84" s="23"/>
      <c r="AF84" s="23">
        <v>5.0</v>
      </c>
      <c r="AG84" s="22">
        <v>0.0</v>
      </c>
      <c r="AH84" s="23">
        <v>10.0</v>
      </c>
      <c r="AI84" s="22">
        <v>-10.0</v>
      </c>
      <c r="AJ84" s="3"/>
    </row>
    <row r="85" ht="15.75" customHeight="1">
      <c r="A85" s="28"/>
      <c r="B85" s="11">
        <v>45958.0</v>
      </c>
      <c r="C85" s="65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170</v>
      </c>
      <c r="J85" s="124"/>
      <c r="K85" s="125">
        <f t="shared" si="9"/>
        <v>0</v>
      </c>
      <c r="L85" s="126">
        <f t="shared" si="10"/>
        <v>3</v>
      </c>
      <c r="M85" s="124"/>
      <c r="AA85" s="34" t="s">
        <v>213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5" t="s">
        <v>36</v>
      </c>
      <c r="D86" s="12" t="s">
        <v>22</v>
      </c>
      <c r="E86" s="14" t="s">
        <v>54</v>
      </c>
      <c r="F86" s="13">
        <v>2.0</v>
      </c>
      <c r="G86" s="30" t="s">
        <v>24</v>
      </c>
      <c r="H86" s="13">
        <v>1.0</v>
      </c>
      <c r="I86" s="14" t="s">
        <v>158</v>
      </c>
      <c r="J86" s="124"/>
      <c r="K86" s="125">
        <f t="shared" si="9"/>
        <v>2</v>
      </c>
      <c r="L86" s="126">
        <f t="shared" si="10"/>
        <v>1</v>
      </c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AA86" s="73" t="s">
        <v>108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5" t="s">
        <v>36</v>
      </c>
      <c r="D87" s="12" t="s">
        <v>22</v>
      </c>
      <c r="E87" s="14" t="s">
        <v>144</v>
      </c>
      <c r="F87" s="13">
        <v>2.0</v>
      </c>
      <c r="G87" s="30" t="s">
        <v>24</v>
      </c>
      <c r="H87" s="13">
        <v>0.0</v>
      </c>
      <c r="I87" s="14" t="s">
        <v>38</v>
      </c>
      <c r="J87" s="124"/>
      <c r="K87" s="125">
        <f t="shared" si="9"/>
        <v>3</v>
      </c>
      <c r="L87" s="126">
        <f t="shared" si="10"/>
        <v>0</v>
      </c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AA87" s="134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192</v>
      </c>
      <c r="D88" s="12" t="s">
        <v>22</v>
      </c>
      <c r="E88" s="14" t="s">
        <v>188</v>
      </c>
      <c r="F88" s="13">
        <v>1.0</v>
      </c>
      <c r="G88" s="30" t="s">
        <v>24</v>
      </c>
      <c r="H88" s="13">
        <v>2.0</v>
      </c>
      <c r="I88" s="14" t="s">
        <v>57</v>
      </c>
      <c r="J88" s="124"/>
      <c r="K88" s="125">
        <f t="shared" si="9"/>
        <v>1</v>
      </c>
      <c r="L88" s="126">
        <f t="shared" si="10"/>
        <v>2</v>
      </c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212</v>
      </c>
      <c r="J89" s="135"/>
      <c r="K89" s="125">
        <f t="shared" si="9"/>
        <v>2</v>
      </c>
      <c r="L89" s="126">
        <f t="shared" si="10"/>
        <v>1</v>
      </c>
      <c r="M89" s="124"/>
      <c r="N89" s="124"/>
      <c r="O89" s="124"/>
      <c r="P89" s="124"/>
      <c r="R89" s="124"/>
      <c r="S89" s="124"/>
      <c r="T89" s="124"/>
      <c r="U89" s="124"/>
      <c r="V89" s="124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136</v>
      </c>
      <c r="D90" s="12" t="s">
        <v>22</v>
      </c>
      <c r="E90" s="14" t="s">
        <v>59</v>
      </c>
      <c r="F90" s="13">
        <v>0.0</v>
      </c>
      <c r="G90" s="30" t="s">
        <v>24</v>
      </c>
      <c r="H90" s="13">
        <v>2.0</v>
      </c>
      <c r="I90" s="14" t="s">
        <v>32</v>
      </c>
      <c r="J90" s="124"/>
      <c r="K90" s="125">
        <f t="shared" si="9"/>
        <v>0</v>
      </c>
      <c r="L90" s="126">
        <f t="shared" si="10"/>
        <v>3</v>
      </c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AG90" s="3"/>
      <c r="AH90" s="3"/>
      <c r="AI90" s="3"/>
      <c r="AJ90" s="3"/>
    </row>
    <row r="91" ht="15.75" customHeight="1">
      <c r="A91" s="28"/>
      <c r="B91" s="136"/>
      <c r="C91" s="138"/>
      <c r="D91" s="138"/>
      <c r="E91" s="14">
        <v>0.0</v>
      </c>
      <c r="F91" s="30"/>
      <c r="G91" s="30" t="s">
        <v>24</v>
      </c>
      <c r="H91" s="30"/>
      <c r="I91" s="14" t="s">
        <v>170</v>
      </c>
      <c r="J91" s="124"/>
      <c r="K91" s="125" t="str">
        <f t="shared" si="9"/>
        <v/>
      </c>
      <c r="L91" s="126" t="str">
        <f t="shared" si="10"/>
        <v/>
      </c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AG91" s="3"/>
      <c r="AH91" s="3"/>
      <c r="AI91" s="3"/>
      <c r="AJ91" s="3"/>
    </row>
    <row r="92" ht="15.75" customHeight="1">
      <c r="A92" s="120">
        <v>4.0</v>
      </c>
      <c r="B92" s="136"/>
      <c r="C92" s="138"/>
      <c r="D92" s="138"/>
      <c r="E92" s="14" t="s">
        <v>158</v>
      </c>
      <c r="F92" s="30"/>
      <c r="G92" s="30" t="s">
        <v>24</v>
      </c>
      <c r="H92" s="30"/>
      <c r="I92" s="14">
        <v>0.0</v>
      </c>
      <c r="J92" s="124"/>
      <c r="K92" s="125" t="str">
        <f t="shared" si="9"/>
        <v/>
      </c>
      <c r="L92" s="126" t="str">
        <f t="shared" si="10"/>
        <v/>
      </c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AG92" s="3"/>
      <c r="AH92" s="3"/>
      <c r="AI92" s="3"/>
      <c r="AJ92" s="3"/>
    </row>
    <row r="93" ht="15.75" customHeight="1">
      <c r="A93" s="24"/>
      <c r="B93" s="11">
        <v>45993.0</v>
      </c>
      <c r="C93" s="12" t="s">
        <v>49</v>
      </c>
      <c r="D93" s="12" t="s">
        <v>22</v>
      </c>
      <c r="E93" s="14" t="s">
        <v>38</v>
      </c>
      <c r="F93" s="13">
        <v>0.0</v>
      </c>
      <c r="G93" s="30" t="s">
        <v>24</v>
      </c>
      <c r="H93" s="13">
        <v>2.0</v>
      </c>
      <c r="I93" s="14" t="s">
        <v>54</v>
      </c>
      <c r="J93" s="124"/>
      <c r="K93" s="125">
        <f t="shared" si="9"/>
        <v>0</v>
      </c>
      <c r="L93" s="126">
        <f t="shared" si="10"/>
        <v>3</v>
      </c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1">
        <v>45980.0</v>
      </c>
      <c r="C94" s="12" t="s">
        <v>49</v>
      </c>
      <c r="D94" s="12" t="s">
        <v>22</v>
      </c>
      <c r="E94" s="14" t="s">
        <v>57</v>
      </c>
      <c r="F94" s="13">
        <v>0.0</v>
      </c>
      <c r="G94" s="30" t="s">
        <v>24</v>
      </c>
      <c r="H94" s="13">
        <v>2.0</v>
      </c>
      <c r="I94" s="14" t="s">
        <v>144</v>
      </c>
      <c r="J94" s="124"/>
      <c r="K94" s="125">
        <f t="shared" si="9"/>
        <v>0</v>
      </c>
      <c r="L94" s="126">
        <f t="shared" si="10"/>
        <v>3</v>
      </c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1">
        <v>45993.0</v>
      </c>
      <c r="C95" s="12" t="s">
        <v>49</v>
      </c>
      <c r="D95" s="12" t="s">
        <v>22</v>
      </c>
      <c r="E95" s="14" t="s">
        <v>212</v>
      </c>
      <c r="F95" s="13">
        <v>2.0</v>
      </c>
      <c r="G95" s="30" t="s">
        <v>24</v>
      </c>
      <c r="H95" s="13">
        <v>0.0</v>
      </c>
      <c r="I95" s="14" t="s">
        <v>188</v>
      </c>
      <c r="J95" s="124"/>
      <c r="K95" s="125">
        <f t="shared" si="9"/>
        <v>3</v>
      </c>
      <c r="L95" s="126">
        <f t="shared" si="10"/>
        <v>0</v>
      </c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AA95" s="3"/>
      <c r="AB95" s="123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1">
        <v>45993.0</v>
      </c>
      <c r="C96" s="12" t="s">
        <v>21</v>
      </c>
      <c r="D96" s="12" t="s">
        <v>22</v>
      </c>
      <c r="E96" s="14" t="s">
        <v>32</v>
      </c>
      <c r="F96" s="13">
        <v>1.0</v>
      </c>
      <c r="G96" s="30" t="s">
        <v>24</v>
      </c>
      <c r="H96" s="13">
        <v>2.0</v>
      </c>
      <c r="I96" s="14" t="s">
        <v>23</v>
      </c>
      <c r="J96" s="124"/>
      <c r="K96" s="125">
        <f t="shared" si="9"/>
        <v>1</v>
      </c>
      <c r="L96" s="126">
        <f t="shared" si="10"/>
        <v>2</v>
      </c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AA96" s="3"/>
      <c r="AB96" s="123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1">
        <v>45993.0</v>
      </c>
      <c r="C97" s="12" t="s">
        <v>21</v>
      </c>
      <c r="D97" s="12" t="s">
        <v>22</v>
      </c>
      <c r="E97" s="14" t="s">
        <v>170</v>
      </c>
      <c r="F97" s="13">
        <v>2.0</v>
      </c>
      <c r="G97" s="30" t="s">
        <v>24</v>
      </c>
      <c r="H97" s="13">
        <v>0.0</v>
      </c>
      <c r="I97" s="14" t="s">
        <v>59</v>
      </c>
      <c r="J97" s="124"/>
      <c r="K97" s="125">
        <f t="shared" si="9"/>
        <v>3</v>
      </c>
      <c r="L97" s="126">
        <f t="shared" si="10"/>
        <v>0</v>
      </c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AA97" s="3"/>
      <c r="AB97" s="123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1">
        <v>46007.0</v>
      </c>
      <c r="C98" s="12" t="s">
        <v>49</v>
      </c>
      <c r="D98" s="12" t="s">
        <v>22</v>
      </c>
      <c r="E98" s="14" t="s">
        <v>158</v>
      </c>
      <c r="F98" s="13">
        <v>2.0</v>
      </c>
      <c r="G98" s="30" t="s">
        <v>24</v>
      </c>
      <c r="H98" s="13">
        <v>0.0</v>
      </c>
      <c r="I98" s="14" t="s">
        <v>38</v>
      </c>
      <c r="J98" s="124"/>
      <c r="K98" s="125">
        <f t="shared" si="9"/>
        <v>3</v>
      </c>
      <c r="L98" s="126">
        <f t="shared" si="10"/>
        <v>0</v>
      </c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AA98" s="3"/>
      <c r="AB98" s="123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1">
        <v>46007.0</v>
      </c>
      <c r="C99" s="12" t="s">
        <v>49</v>
      </c>
      <c r="D99" s="12" t="s">
        <v>22</v>
      </c>
      <c r="E99" s="14" t="s">
        <v>54</v>
      </c>
      <c r="F99" s="144">
        <v>2.0</v>
      </c>
      <c r="G99" s="30" t="s">
        <v>24</v>
      </c>
      <c r="H99" s="13">
        <v>0.0</v>
      </c>
      <c r="I99" s="14" t="s">
        <v>57</v>
      </c>
      <c r="J99" s="124"/>
      <c r="K99" s="125">
        <f t="shared" si="9"/>
        <v>3</v>
      </c>
      <c r="L99" s="126">
        <f t="shared" si="10"/>
        <v>0</v>
      </c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AA99" s="3"/>
      <c r="AB99" s="123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1">
        <v>46007.0</v>
      </c>
      <c r="C100" s="12" t="s">
        <v>49</v>
      </c>
      <c r="D100" s="12" t="s">
        <v>22</v>
      </c>
      <c r="E100" s="14" t="s">
        <v>144</v>
      </c>
      <c r="F100" s="144">
        <v>2.0</v>
      </c>
      <c r="G100" s="30" t="s">
        <v>24</v>
      </c>
      <c r="H100" s="13">
        <v>1.0</v>
      </c>
      <c r="I100" s="14" t="s">
        <v>212</v>
      </c>
      <c r="J100" s="124"/>
      <c r="K100" s="125">
        <f t="shared" si="9"/>
        <v>2</v>
      </c>
      <c r="L100" s="126">
        <f t="shared" si="10"/>
        <v>1</v>
      </c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AA100" s="3"/>
      <c r="AB100" s="123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1">
        <v>46007.0</v>
      </c>
      <c r="C101" s="12" t="s">
        <v>21</v>
      </c>
      <c r="D101" s="12" t="s">
        <v>22</v>
      </c>
      <c r="E101" s="14" t="s">
        <v>188</v>
      </c>
      <c r="F101" s="144">
        <v>2.0</v>
      </c>
      <c r="G101" s="30" t="s">
        <v>24</v>
      </c>
      <c r="H101" s="13">
        <v>0.0</v>
      </c>
      <c r="I101" s="14" t="s">
        <v>32</v>
      </c>
      <c r="J101" s="124"/>
      <c r="K101" s="125">
        <f t="shared" si="9"/>
        <v>3</v>
      </c>
      <c r="L101" s="126">
        <f t="shared" si="10"/>
        <v>0</v>
      </c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AA101" s="3"/>
      <c r="AB101" s="123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1">
        <v>46007.0</v>
      </c>
      <c r="C102" s="12" t="s">
        <v>21</v>
      </c>
      <c r="D102" s="12" t="s">
        <v>22</v>
      </c>
      <c r="E102" s="14" t="s">
        <v>23</v>
      </c>
      <c r="F102" s="144">
        <v>2.0</v>
      </c>
      <c r="G102" s="30" t="s">
        <v>24</v>
      </c>
      <c r="H102" s="13">
        <v>0.0</v>
      </c>
      <c r="I102" s="14" t="s">
        <v>170</v>
      </c>
      <c r="J102" s="124"/>
      <c r="K102" s="125">
        <f t="shared" si="9"/>
        <v>3</v>
      </c>
      <c r="L102" s="126">
        <f t="shared" si="10"/>
        <v>0</v>
      </c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AA102" s="3"/>
      <c r="AB102" s="123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6"/>
      <c r="C103" s="138"/>
      <c r="D103" s="138"/>
      <c r="E103" s="14">
        <v>0.0</v>
      </c>
      <c r="F103" s="138"/>
      <c r="G103" s="30" t="s">
        <v>24</v>
      </c>
      <c r="H103" s="30"/>
      <c r="I103" s="14" t="s">
        <v>59</v>
      </c>
      <c r="J103" s="124"/>
      <c r="K103" s="125" t="str">
        <f t="shared" si="9"/>
        <v/>
      </c>
      <c r="L103" s="126" t="str">
        <f t="shared" si="10"/>
        <v/>
      </c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AA103" s="3"/>
      <c r="AB103" s="123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36"/>
      <c r="C104" s="137"/>
      <c r="D104" s="138"/>
      <c r="E104" s="14" t="s">
        <v>38</v>
      </c>
      <c r="F104" s="30"/>
      <c r="G104" s="30" t="s">
        <v>24</v>
      </c>
      <c r="H104" s="30"/>
      <c r="I104" s="14">
        <v>0.0</v>
      </c>
      <c r="J104" s="124"/>
      <c r="K104" s="125" t="str">
        <f t="shared" si="9"/>
        <v/>
      </c>
      <c r="L104" s="126" t="str">
        <f t="shared" si="10"/>
        <v/>
      </c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AA104" s="3"/>
      <c r="AB104" s="123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36"/>
      <c r="C105" s="138"/>
      <c r="D105" s="138"/>
      <c r="E105" s="14" t="s">
        <v>57</v>
      </c>
      <c r="F105" s="30"/>
      <c r="G105" s="30" t="s">
        <v>24</v>
      </c>
      <c r="H105" s="30"/>
      <c r="I105" s="14" t="s">
        <v>158</v>
      </c>
      <c r="J105" s="124"/>
      <c r="K105" s="125" t="str">
        <f t="shared" si="9"/>
        <v/>
      </c>
      <c r="L105" s="126" t="str">
        <f t="shared" si="10"/>
        <v/>
      </c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AA105" s="3"/>
      <c r="AB105" s="123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36"/>
      <c r="C106" s="138"/>
      <c r="D106" s="138"/>
      <c r="E106" s="14" t="s">
        <v>212</v>
      </c>
      <c r="F106" s="30"/>
      <c r="G106" s="30" t="s">
        <v>24</v>
      </c>
      <c r="H106" s="30"/>
      <c r="I106" s="14" t="s">
        <v>54</v>
      </c>
      <c r="J106" s="124"/>
      <c r="K106" s="125" t="str">
        <f t="shared" si="9"/>
        <v/>
      </c>
      <c r="L106" s="126" t="str">
        <f t="shared" si="10"/>
        <v/>
      </c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AA106" s="3"/>
      <c r="AB106" s="123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36"/>
      <c r="C107" s="137"/>
      <c r="D107" s="138"/>
      <c r="E107" s="14" t="s">
        <v>32</v>
      </c>
      <c r="F107" s="30"/>
      <c r="G107" s="30" t="s">
        <v>24</v>
      </c>
      <c r="H107" s="30"/>
      <c r="I107" s="14" t="s">
        <v>144</v>
      </c>
      <c r="J107" s="124"/>
      <c r="K107" s="125" t="str">
        <f t="shared" si="9"/>
        <v/>
      </c>
      <c r="L107" s="126" t="str">
        <f t="shared" si="10"/>
        <v/>
      </c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AA107" s="3"/>
      <c r="AB107" s="123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36"/>
      <c r="C108" s="138"/>
      <c r="D108" s="138"/>
      <c r="E108" s="14" t="s">
        <v>170</v>
      </c>
      <c r="F108" s="30"/>
      <c r="G108" s="30" t="s">
        <v>24</v>
      </c>
      <c r="H108" s="30"/>
      <c r="I108" s="14" t="s">
        <v>188</v>
      </c>
      <c r="J108" s="124"/>
      <c r="K108" s="125" t="str">
        <f t="shared" si="9"/>
        <v/>
      </c>
      <c r="L108" s="126" t="str">
        <f t="shared" si="10"/>
        <v/>
      </c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AA108" s="3"/>
      <c r="AB108" s="123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36"/>
      <c r="C109" s="138"/>
      <c r="D109" s="138"/>
      <c r="E109" s="14" t="s">
        <v>59</v>
      </c>
      <c r="F109" s="30"/>
      <c r="G109" s="30" t="s">
        <v>24</v>
      </c>
      <c r="H109" s="30"/>
      <c r="I109" s="14" t="s">
        <v>23</v>
      </c>
      <c r="J109" s="124"/>
      <c r="K109" s="125" t="str">
        <f t="shared" si="9"/>
        <v/>
      </c>
      <c r="L109" s="126" t="str">
        <f t="shared" si="10"/>
        <v/>
      </c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AA109" s="3"/>
      <c r="AB109" s="123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36"/>
      <c r="C110" s="137"/>
      <c r="D110" s="138"/>
      <c r="E110" s="14" t="s">
        <v>38</v>
      </c>
      <c r="F110" s="30"/>
      <c r="G110" s="30" t="s">
        <v>24</v>
      </c>
      <c r="H110" s="30"/>
      <c r="I110" s="14" t="s">
        <v>57</v>
      </c>
      <c r="J110" s="124"/>
      <c r="K110" s="125" t="str">
        <f t="shared" si="9"/>
        <v/>
      </c>
      <c r="L110" s="126" t="str">
        <f t="shared" si="10"/>
        <v/>
      </c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AA110" s="3"/>
      <c r="AB110" s="123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36"/>
      <c r="C111" s="137"/>
      <c r="D111" s="138"/>
      <c r="E111" s="14" t="s">
        <v>158</v>
      </c>
      <c r="F111" s="30"/>
      <c r="G111" s="30" t="s">
        <v>24</v>
      </c>
      <c r="H111" s="30"/>
      <c r="I111" s="14" t="s">
        <v>212</v>
      </c>
      <c r="J111" s="124"/>
      <c r="K111" s="125" t="str">
        <f t="shared" si="9"/>
        <v/>
      </c>
      <c r="L111" s="126" t="str">
        <f t="shared" si="10"/>
        <v/>
      </c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AA111" s="3"/>
      <c r="AB111" s="123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36"/>
      <c r="C112" s="137"/>
      <c r="D112" s="138"/>
      <c r="E112" s="14" t="s">
        <v>54</v>
      </c>
      <c r="F112" s="30"/>
      <c r="G112" s="30" t="s">
        <v>24</v>
      </c>
      <c r="H112" s="30"/>
      <c r="I112" s="14" t="s">
        <v>32</v>
      </c>
      <c r="J112" s="124"/>
      <c r="K112" s="125" t="str">
        <f t="shared" si="9"/>
        <v/>
      </c>
      <c r="L112" s="126" t="str">
        <f t="shared" si="10"/>
        <v/>
      </c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AA112" s="3"/>
      <c r="AB112" s="123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36"/>
      <c r="C113" s="137"/>
      <c r="D113" s="138"/>
      <c r="E113" s="14" t="s">
        <v>144</v>
      </c>
      <c r="F113" s="30"/>
      <c r="G113" s="30" t="s">
        <v>24</v>
      </c>
      <c r="H113" s="30"/>
      <c r="I113" s="14" t="s">
        <v>170</v>
      </c>
      <c r="J113" s="124"/>
      <c r="K113" s="125" t="str">
        <f t="shared" si="9"/>
        <v/>
      </c>
      <c r="L113" s="126" t="str">
        <f t="shared" si="10"/>
        <v/>
      </c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AA113" s="3"/>
      <c r="AB113" s="123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36"/>
      <c r="C114" s="138"/>
      <c r="D114" s="138"/>
      <c r="E114" s="14" t="s">
        <v>188</v>
      </c>
      <c r="F114" s="30"/>
      <c r="G114" s="30" t="s">
        <v>24</v>
      </c>
      <c r="H114" s="30"/>
      <c r="I114" s="14" t="s">
        <v>59</v>
      </c>
      <c r="J114" s="124"/>
      <c r="K114" s="125" t="str">
        <f t="shared" si="9"/>
        <v/>
      </c>
      <c r="L114" s="126" t="str">
        <f t="shared" si="10"/>
        <v/>
      </c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AA114" s="3"/>
      <c r="AB114" s="123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6"/>
      <c r="C115" s="138"/>
      <c r="D115" s="138"/>
      <c r="E115" s="14">
        <v>0.0</v>
      </c>
      <c r="F115" s="30"/>
      <c r="G115" s="30" t="s">
        <v>24</v>
      </c>
      <c r="H115" s="30"/>
      <c r="I115" s="14" t="s">
        <v>23</v>
      </c>
      <c r="J115" s="124"/>
      <c r="K115" s="125" t="str">
        <f t="shared" si="9"/>
        <v/>
      </c>
      <c r="L115" s="126" t="str">
        <f t="shared" si="10"/>
        <v/>
      </c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AA115" s="3"/>
      <c r="AB115" s="123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36"/>
      <c r="C116" s="137"/>
      <c r="D116" s="138"/>
      <c r="E116" s="14" t="s">
        <v>57</v>
      </c>
      <c r="F116" s="30"/>
      <c r="G116" s="30" t="s">
        <v>24</v>
      </c>
      <c r="H116" s="30"/>
      <c r="I116" s="14">
        <v>0.0</v>
      </c>
      <c r="J116" s="124"/>
      <c r="K116" s="125" t="str">
        <f t="shared" si="9"/>
        <v/>
      </c>
      <c r="L116" s="126" t="str">
        <f t="shared" si="10"/>
        <v/>
      </c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AA116" s="3"/>
      <c r="AB116" s="123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36"/>
      <c r="C117" s="137"/>
      <c r="D117" s="138"/>
      <c r="E117" s="14" t="s">
        <v>212</v>
      </c>
      <c r="F117" s="30"/>
      <c r="G117" s="30" t="s">
        <v>24</v>
      </c>
      <c r="H117" s="30"/>
      <c r="I117" s="14" t="s">
        <v>38</v>
      </c>
      <c r="J117" s="124"/>
      <c r="K117" s="125" t="str">
        <f t="shared" si="9"/>
        <v/>
      </c>
      <c r="L117" s="126" t="str">
        <f t="shared" si="10"/>
        <v/>
      </c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AA117" s="3"/>
      <c r="AB117" s="123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36"/>
      <c r="C118" s="137"/>
      <c r="D118" s="138"/>
      <c r="E118" s="14" t="s">
        <v>32</v>
      </c>
      <c r="F118" s="30"/>
      <c r="G118" s="30" t="s">
        <v>24</v>
      </c>
      <c r="H118" s="30"/>
      <c r="I118" s="14" t="s">
        <v>158</v>
      </c>
      <c r="J118" s="124"/>
      <c r="K118" s="125" t="str">
        <f t="shared" si="9"/>
        <v/>
      </c>
      <c r="L118" s="126" t="str">
        <f t="shared" si="10"/>
        <v/>
      </c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AA118" s="3"/>
      <c r="AB118" s="123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36"/>
      <c r="C119" s="137"/>
      <c r="D119" s="138"/>
      <c r="E119" s="14" t="s">
        <v>170</v>
      </c>
      <c r="F119" s="30"/>
      <c r="G119" s="30" t="s">
        <v>24</v>
      </c>
      <c r="H119" s="30"/>
      <c r="I119" s="14" t="s">
        <v>54</v>
      </c>
      <c r="J119" s="124"/>
      <c r="K119" s="125" t="str">
        <f t="shared" si="9"/>
        <v/>
      </c>
      <c r="L119" s="126" t="str">
        <f t="shared" si="10"/>
        <v/>
      </c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AA119" s="3"/>
      <c r="AB119" s="123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36"/>
      <c r="C120" s="138"/>
      <c r="D120" s="138"/>
      <c r="E120" s="14" t="s">
        <v>59</v>
      </c>
      <c r="F120" s="30"/>
      <c r="G120" s="30" t="s">
        <v>24</v>
      </c>
      <c r="H120" s="30"/>
      <c r="I120" s="14" t="s">
        <v>144</v>
      </c>
      <c r="J120" s="124"/>
      <c r="K120" s="125" t="str">
        <f t="shared" si="9"/>
        <v/>
      </c>
      <c r="L120" s="126" t="str">
        <f t="shared" si="10"/>
        <v/>
      </c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AA120" s="3"/>
      <c r="AB120" s="123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36"/>
      <c r="C121" s="138"/>
      <c r="D121" s="138"/>
      <c r="E121" s="14" t="s">
        <v>23</v>
      </c>
      <c r="F121" s="30"/>
      <c r="G121" s="30" t="s">
        <v>24</v>
      </c>
      <c r="H121" s="30"/>
      <c r="I121" s="14" t="s">
        <v>188</v>
      </c>
      <c r="J121" s="124"/>
      <c r="K121" s="125" t="str">
        <f t="shared" si="9"/>
        <v/>
      </c>
      <c r="L121" s="126" t="str">
        <f t="shared" si="10"/>
        <v/>
      </c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AA121" s="3"/>
      <c r="AB121" s="123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36"/>
      <c r="C122" s="137"/>
      <c r="D122" s="138"/>
      <c r="E122" s="14" t="s">
        <v>57</v>
      </c>
      <c r="F122" s="30"/>
      <c r="G122" s="30" t="s">
        <v>24</v>
      </c>
      <c r="H122" s="30"/>
      <c r="I122" s="14" t="s">
        <v>212</v>
      </c>
      <c r="J122" s="124"/>
      <c r="K122" s="125" t="str">
        <f t="shared" si="9"/>
        <v/>
      </c>
      <c r="L122" s="126" t="str">
        <f t="shared" si="10"/>
        <v/>
      </c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AA122" s="3"/>
      <c r="AB122" s="123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36"/>
      <c r="C123" s="137"/>
      <c r="D123" s="138"/>
      <c r="E123" s="14" t="s">
        <v>38</v>
      </c>
      <c r="F123" s="30"/>
      <c r="G123" s="30" t="s">
        <v>24</v>
      </c>
      <c r="H123" s="30"/>
      <c r="I123" s="14" t="s">
        <v>32</v>
      </c>
      <c r="J123" s="124"/>
      <c r="K123" s="125" t="str">
        <f t="shared" si="9"/>
        <v/>
      </c>
      <c r="L123" s="126" t="str">
        <f t="shared" si="10"/>
        <v/>
      </c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AA123" s="3"/>
      <c r="AB123" s="123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36"/>
      <c r="C124" s="137"/>
      <c r="D124" s="138"/>
      <c r="E124" s="14" t="s">
        <v>158</v>
      </c>
      <c r="F124" s="30"/>
      <c r="G124" s="30" t="s">
        <v>24</v>
      </c>
      <c r="H124" s="30"/>
      <c r="I124" s="14" t="s">
        <v>170</v>
      </c>
      <c r="J124" s="124"/>
      <c r="K124" s="125" t="str">
        <f t="shared" si="9"/>
        <v/>
      </c>
      <c r="L124" s="126" t="str">
        <f t="shared" si="10"/>
        <v/>
      </c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AA124" s="3"/>
      <c r="AB124" s="123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6"/>
      <c r="C125" s="137"/>
      <c r="D125" s="138"/>
      <c r="E125" s="14" t="s">
        <v>54</v>
      </c>
      <c r="F125" s="30"/>
      <c r="G125" s="30" t="s">
        <v>24</v>
      </c>
      <c r="H125" s="30"/>
      <c r="I125" s="14" t="s">
        <v>59</v>
      </c>
      <c r="J125" s="124"/>
      <c r="K125" s="125" t="str">
        <f t="shared" si="9"/>
        <v/>
      </c>
      <c r="L125" s="126" t="str">
        <f t="shared" si="10"/>
        <v/>
      </c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AA125" s="3"/>
      <c r="AB125" s="123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6"/>
      <c r="C126" s="138"/>
      <c r="D126" s="138"/>
      <c r="E126" s="14" t="s">
        <v>144</v>
      </c>
      <c r="F126" s="30"/>
      <c r="G126" s="30" t="s">
        <v>24</v>
      </c>
      <c r="H126" s="30"/>
      <c r="I126" s="14" t="s">
        <v>23</v>
      </c>
      <c r="J126" s="124"/>
      <c r="K126" s="125" t="str">
        <f t="shared" si="9"/>
        <v/>
      </c>
      <c r="L126" s="126" t="str">
        <f t="shared" si="10"/>
        <v/>
      </c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AA126" s="3"/>
      <c r="AB126" s="123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6"/>
      <c r="C127" s="138"/>
      <c r="D127" s="138"/>
      <c r="E127" s="14">
        <v>0.0</v>
      </c>
      <c r="F127" s="30"/>
      <c r="G127" s="30" t="s">
        <v>24</v>
      </c>
      <c r="H127" s="30"/>
      <c r="I127" s="14" t="s">
        <v>188</v>
      </c>
      <c r="J127" s="124"/>
      <c r="K127" s="125" t="str">
        <f t="shared" si="9"/>
        <v/>
      </c>
      <c r="L127" s="126" t="str">
        <f t="shared" si="10"/>
        <v/>
      </c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AA127" s="3"/>
      <c r="AB127" s="123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36"/>
      <c r="C128" s="137"/>
      <c r="D128" s="138"/>
      <c r="E128" s="14">
        <v>0.0</v>
      </c>
      <c r="F128" s="30"/>
      <c r="G128" s="30" t="s">
        <v>24</v>
      </c>
      <c r="H128" s="30"/>
      <c r="I128" s="14" t="s">
        <v>212</v>
      </c>
      <c r="J128" s="124"/>
      <c r="K128" s="125" t="str">
        <f t="shared" si="9"/>
        <v/>
      </c>
      <c r="L128" s="126" t="str">
        <f t="shared" si="10"/>
        <v/>
      </c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AA128" s="3"/>
      <c r="AB128" s="123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6"/>
      <c r="C129" s="137"/>
      <c r="D129" s="138"/>
      <c r="E129" s="14" t="s">
        <v>32</v>
      </c>
      <c r="F129" s="30"/>
      <c r="G129" s="30" t="s">
        <v>24</v>
      </c>
      <c r="H129" s="30"/>
      <c r="I129" s="14" t="s">
        <v>57</v>
      </c>
      <c r="J129" s="124"/>
      <c r="K129" s="125" t="str">
        <f t="shared" si="9"/>
        <v/>
      </c>
      <c r="L129" s="126" t="str">
        <f t="shared" si="10"/>
        <v/>
      </c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AA129" s="3"/>
      <c r="AB129" s="123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6"/>
      <c r="C130" s="137"/>
      <c r="D130" s="138"/>
      <c r="E130" s="14" t="s">
        <v>170</v>
      </c>
      <c r="F130" s="30"/>
      <c r="G130" s="30" t="s">
        <v>24</v>
      </c>
      <c r="H130" s="30"/>
      <c r="I130" s="14" t="s">
        <v>38</v>
      </c>
      <c r="J130" s="124"/>
      <c r="K130" s="125" t="str">
        <f t="shared" si="9"/>
        <v/>
      </c>
      <c r="L130" s="126" t="str">
        <f t="shared" si="10"/>
        <v/>
      </c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AA130" s="3"/>
      <c r="AB130" s="123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6"/>
      <c r="C131" s="137"/>
      <c r="D131" s="138"/>
      <c r="E131" s="14" t="s">
        <v>59</v>
      </c>
      <c r="F131" s="30"/>
      <c r="G131" s="30" t="s">
        <v>24</v>
      </c>
      <c r="H131" s="30"/>
      <c r="I131" s="14" t="s">
        <v>158</v>
      </c>
      <c r="J131" s="124"/>
      <c r="K131" s="125" t="str">
        <f t="shared" si="9"/>
        <v/>
      </c>
      <c r="L131" s="126" t="str">
        <f t="shared" si="10"/>
        <v/>
      </c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AA131" s="3"/>
      <c r="AB131" s="123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6"/>
      <c r="C132" s="138"/>
      <c r="D132" s="138"/>
      <c r="E132" s="14" t="s">
        <v>23</v>
      </c>
      <c r="F132" s="30"/>
      <c r="G132" s="30" t="s">
        <v>24</v>
      </c>
      <c r="H132" s="30"/>
      <c r="I132" s="14" t="s">
        <v>54</v>
      </c>
      <c r="J132" s="124"/>
      <c r="K132" s="125" t="str">
        <f t="shared" si="9"/>
        <v/>
      </c>
      <c r="L132" s="126" t="str">
        <f t="shared" si="10"/>
        <v/>
      </c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AA132" s="3"/>
      <c r="AB132" s="123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6"/>
      <c r="C133" s="138"/>
      <c r="D133" s="138"/>
      <c r="E133" s="14" t="s">
        <v>188</v>
      </c>
      <c r="F133" s="30"/>
      <c r="G133" s="30" t="s">
        <v>24</v>
      </c>
      <c r="H133" s="30"/>
      <c r="I133" s="14" t="s">
        <v>144</v>
      </c>
      <c r="J133" s="124"/>
      <c r="K133" s="125" t="str">
        <f t="shared" si="9"/>
        <v/>
      </c>
      <c r="L133" s="126" t="str">
        <f t="shared" si="10"/>
        <v/>
      </c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AA133" s="3"/>
      <c r="AB133" s="123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36"/>
      <c r="C134" s="137"/>
      <c r="D134" s="138"/>
      <c r="E134" s="14" t="s">
        <v>212</v>
      </c>
      <c r="F134" s="13"/>
      <c r="G134" s="30" t="s">
        <v>24</v>
      </c>
      <c r="H134" s="13"/>
      <c r="I134" s="14" t="s">
        <v>32</v>
      </c>
      <c r="J134" s="124"/>
      <c r="K134" s="125" t="str">
        <f t="shared" si="9"/>
        <v/>
      </c>
      <c r="L134" s="126" t="str">
        <f t="shared" si="10"/>
        <v/>
      </c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AA134" s="3"/>
      <c r="AB134" s="123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6"/>
      <c r="C135" s="137"/>
      <c r="D135" s="138"/>
      <c r="E135" s="14" t="s">
        <v>57</v>
      </c>
      <c r="F135" s="30"/>
      <c r="G135" s="30" t="s">
        <v>24</v>
      </c>
      <c r="H135" s="30"/>
      <c r="I135" s="14" t="s">
        <v>170</v>
      </c>
      <c r="J135" s="124"/>
      <c r="K135" s="125" t="str">
        <f t="shared" si="9"/>
        <v/>
      </c>
      <c r="L135" s="126" t="str">
        <f t="shared" si="10"/>
        <v/>
      </c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AA135" s="3"/>
      <c r="AB135" s="123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6"/>
      <c r="C136" s="137"/>
      <c r="D136" s="138"/>
      <c r="E136" s="14" t="s">
        <v>38</v>
      </c>
      <c r="F136" s="30"/>
      <c r="G136" s="30" t="s">
        <v>24</v>
      </c>
      <c r="H136" s="30"/>
      <c r="I136" s="14" t="s">
        <v>59</v>
      </c>
      <c r="J136" s="124"/>
      <c r="K136" s="125" t="str">
        <f t="shared" si="9"/>
        <v/>
      </c>
      <c r="L136" s="126" t="str">
        <f t="shared" si="10"/>
        <v/>
      </c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AA136" s="3"/>
      <c r="AB136" s="123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6"/>
      <c r="C137" s="137"/>
      <c r="D137" s="138"/>
      <c r="E137" s="14" t="s">
        <v>158</v>
      </c>
      <c r="F137" s="30"/>
      <c r="G137" s="30" t="s">
        <v>24</v>
      </c>
      <c r="H137" s="30"/>
      <c r="I137" s="14" t="s">
        <v>23</v>
      </c>
      <c r="J137" s="124"/>
      <c r="K137" s="125" t="str">
        <f t="shared" si="9"/>
        <v/>
      </c>
      <c r="L137" s="126" t="str">
        <f t="shared" si="10"/>
        <v/>
      </c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AA137" s="3"/>
      <c r="AB137" s="123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6"/>
      <c r="C138" s="138"/>
      <c r="D138" s="138"/>
      <c r="E138" s="14" t="s">
        <v>54</v>
      </c>
      <c r="F138" s="13"/>
      <c r="G138" s="30" t="s">
        <v>24</v>
      </c>
      <c r="H138" s="13"/>
      <c r="I138" s="14" t="s">
        <v>188</v>
      </c>
      <c r="J138" s="124"/>
      <c r="K138" s="125" t="str">
        <f t="shared" si="9"/>
        <v/>
      </c>
      <c r="L138" s="126" t="str">
        <f t="shared" si="10"/>
        <v/>
      </c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AA138" s="3"/>
      <c r="AB138" s="123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6"/>
      <c r="C139" s="138"/>
      <c r="D139" s="138"/>
      <c r="E139" s="14" t="s">
        <v>144</v>
      </c>
      <c r="F139" s="30"/>
      <c r="G139" s="30" t="s">
        <v>24</v>
      </c>
      <c r="H139" s="30"/>
      <c r="I139" s="14">
        <v>0.0</v>
      </c>
      <c r="J139" s="124"/>
      <c r="K139" s="125" t="str">
        <f t="shared" si="9"/>
        <v/>
      </c>
      <c r="L139" s="126" t="str">
        <f t="shared" si="10"/>
        <v/>
      </c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AA139" s="3"/>
      <c r="AB139" s="123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5"/>
      <c r="B140" s="146"/>
      <c r="C140" s="147"/>
      <c r="D140" s="147"/>
      <c r="E140" s="148"/>
      <c r="F140" s="38"/>
      <c r="G140" s="38"/>
      <c r="H140" s="38"/>
      <c r="I140" s="148"/>
      <c r="J140" s="124"/>
      <c r="K140" s="125"/>
      <c r="L140" s="126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AA140" s="3"/>
      <c r="AB140" s="123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1"/>
      <c r="B141" s="142"/>
      <c r="C141" s="142"/>
      <c r="D141" s="142"/>
      <c r="E141" s="1"/>
      <c r="F141" s="142"/>
      <c r="G141" s="142"/>
      <c r="I141" s="123"/>
      <c r="AA141" s="3"/>
      <c r="AB141" s="123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1"/>
      <c r="B142" s="142"/>
      <c r="C142" s="142"/>
      <c r="D142" s="142"/>
      <c r="E142" s="1"/>
      <c r="F142" s="142"/>
      <c r="G142" s="142"/>
      <c r="I142" s="123"/>
      <c r="AA142" s="3"/>
      <c r="AB142" s="123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1"/>
      <c r="B143" s="142"/>
      <c r="C143" s="142"/>
      <c r="D143" s="142"/>
      <c r="E143" s="1"/>
      <c r="F143" s="142"/>
      <c r="G143" s="142"/>
      <c r="I143" s="123"/>
      <c r="AA143" s="3"/>
      <c r="AB143" s="123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49" t="s">
        <v>214</v>
      </c>
      <c r="I144" s="123"/>
      <c r="AA144" s="3"/>
      <c r="AB144" s="123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196</v>
      </c>
      <c r="U145" s="9" t="s">
        <v>197</v>
      </c>
      <c r="V145" s="9" t="s">
        <v>198</v>
      </c>
      <c r="W145" s="3"/>
      <c r="X145" s="108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196</v>
      </c>
      <c r="AH145" s="5" t="s">
        <v>197</v>
      </c>
      <c r="AI145" s="5" t="s">
        <v>198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215</v>
      </c>
      <c r="J146" s="124"/>
      <c r="K146" s="125">
        <f t="shared" ref="K146:K211" si="17">IFS(F146=H146+2,3,F146=H146-2,0,F146=H146+1,2,F146=H146-1,1,F146="","")</f>
        <v>2</v>
      </c>
      <c r="L146" s="126">
        <f t="shared" ref="L146:L211" si="18">IFS(H146=F146+2,3,H146=F146-2,0,H146=F146+1,2,H146=F146-1,1,H146="","")</f>
        <v>1</v>
      </c>
      <c r="M146" s="124"/>
      <c r="N146" s="126">
        <v>1.0</v>
      </c>
      <c r="O146" s="127" t="s">
        <v>31</v>
      </c>
      <c r="P146" s="126">
        <f t="shared" ref="P146:P156" si="19">SUMIF(E$146:E$211,O146,K$146:K$211)+SUMIF(I$146:I$211,O146,L$146:L$211)</f>
        <v>7</v>
      </c>
      <c r="Q146" s="128">
        <f t="shared" ref="Q146:Q156" si="20">COUNTIFS(E$146:E$211,O146,K$146:K$211,2)+COUNTIFS(I$146:I$211,O146,L$146:L$211,2)+COUNTIFS(E$146:E$211,O146,K$146:K$211,3)+COUNTIFS(I$146:I$211,O146,L$146:L$211,3)</f>
        <v>3</v>
      </c>
      <c r="R146" s="129"/>
      <c r="S146" s="129">
        <f t="shared" ref="S146:S156" si="21">COUNTIFS(E$146:E$211,O146,K$146:K$211,1)+COUNTIFS(I$146:I$211,O146,L$146:L$211,1)+COUNTIFS(E$146:E$211,O146,K$146:K$211,0)+COUNTIFS(I$146:I$211,O146,L$146:L$211,0)</f>
        <v>2</v>
      </c>
      <c r="T146" s="126">
        <f t="shared" ref="T146:T156" si="22">SUMIF(E$146:E$211,O146,F$146:F$211)+SUMIF(I$146:I$211,O146,H$146:H$211)</f>
        <v>7</v>
      </c>
      <c r="U146" s="129">
        <f t="shared" ref="U146:U156" si="23">SUMIF(E$146:E$211,O146,H$146:H$211)+SUMIF(I$146:I$211,O146,F$146:F$211)</f>
        <v>7</v>
      </c>
      <c r="V146" s="126">
        <f t="shared" ref="V146:V156" si="24">T146-U146</f>
        <v>0</v>
      </c>
      <c r="X146" s="112" t="s">
        <v>26</v>
      </c>
      <c r="Y146" s="112" t="s">
        <v>13</v>
      </c>
      <c r="AA146" s="41" t="s">
        <v>29</v>
      </c>
      <c r="AB146" s="63" t="str">
        <f t="array" ref="AB146:AI156">SORT(O146:V156,2,FALSE,8,FALSE)</f>
        <v>Contabilidade</v>
      </c>
      <c r="AC146" s="22">
        <v>13.0</v>
      </c>
      <c r="AD146" s="22">
        <v>5.0</v>
      </c>
      <c r="AE146" s="23"/>
      <c r="AF146" s="23">
        <v>0.0</v>
      </c>
      <c r="AG146" s="22">
        <v>10.0</v>
      </c>
      <c r="AH146" s="23">
        <v>2.0</v>
      </c>
      <c r="AI146" s="22">
        <v>8.0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118</v>
      </c>
      <c r="F147" s="13">
        <v>2.0</v>
      </c>
      <c r="G147" s="30" t="s">
        <v>24</v>
      </c>
      <c r="H147" s="13">
        <v>0.0</v>
      </c>
      <c r="I147" s="14" t="s">
        <v>216</v>
      </c>
      <c r="J147" s="124"/>
      <c r="K147" s="125">
        <f t="shared" si="17"/>
        <v>3</v>
      </c>
      <c r="L147" s="126">
        <f t="shared" si="18"/>
        <v>0</v>
      </c>
      <c r="M147" s="124"/>
      <c r="N147" s="126">
        <v>2.0</v>
      </c>
      <c r="O147" s="127" t="s">
        <v>56</v>
      </c>
      <c r="P147" s="126">
        <f t="shared" si="19"/>
        <v>6</v>
      </c>
      <c r="Q147" s="128">
        <f t="shared" si="20"/>
        <v>2</v>
      </c>
      <c r="R147" s="129"/>
      <c r="S147" s="129">
        <f t="shared" si="21"/>
        <v>2</v>
      </c>
      <c r="T147" s="126">
        <f t="shared" si="22"/>
        <v>4</v>
      </c>
      <c r="U147" s="129">
        <f t="shared" si="23"/>
        <v>4</v>
      </c>
      <c r="V147" s="126">
        <f t="shared" si="24"/>
        <v>0</v>
      </c>
      <c r="X147" s="113" t="s">
        <v>33</v>
      </c>
      <c r="Y147" s="113">
        <v>3.0</v>
      </c>
      <c r="AA147" s="100" t="s">
        <v>115</v>
      </c>
      <c r="AB147" s="63" t="s">
        <v>118</v>
      </c>
      <c r="AC147" s="22">
        <v>13.0</v>
      </c>
      <c r="AD147" s="22">
        <v>4.0</v>
      </c>
      <c r="AE147" s="23"/>
      <c r="AF147" s="23">
        <v>1.0</v>
      </c>
      <c r="AG147" s="22">
        <v>9.0</v>
      </c>
      <c r="AH147" s="23">
        <v>2.0</v>
      </c>
      <c r="AI147" s="22">
        <v>7.0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64</v>
      </c>
      <c r="F148" s="13">
        <v>0.0</v>
      </c>
      <c r="G148" s="30" t="s">
        <v>24</v>
      </c>
      <c r="H148" s="13">
        <v>2.0</v>
      </c>
      <c r="I148" s="14" t="s">
        <v>111</v>
      </c>
      <c r="J148" s="124"/>
      <c r="K148" s="125">
        <f t="shared" si="17"/>
        <v>0</v>
      </c>
      <c r="L148" s="126">
        <f t="shared" si="18"/>
        <v>3</v>
      </c>
      <c r="M148" s="124"/>
      <c r="N148" s="126">
        <v>3.0</v>
      </c>
      <c r="O148" s="127" t="s">
        <v>215</v>
      </c>
      <c r="P148" s="126">
        <f t="shared" si="19"/>
        <v>6</v>
      </c>
      <c r="Q148" s="128">
        <f t="shared" si="20"/>
        <v>2</v>
      </c>
      <c r="R148" s="129"/>
      <c r="S148" s="129">
        <f t="shared" si="21"/>
        <v>2</v>
      </c>
      <c r="T148" s="126">
        <f t="shared" si="22"/>
        <v>6</v>
      </c>
      <c r="U148" s="129">
        <f t="shared" si="23"/>
        <v>6</v>
      </c>
      <c r="V148" s="126">
        <f t="shared" si="24"/>
        <v>0</v>
      </c>
      <c r="X148" s="113" t="s">
        <v>42</v>
      </c>
      <c r="Y148" s="113">
        <v>0.0</v>
      </c>
      <c r="AA148" s="21">
        <v>3.0</v>
      </c>
      <c r="AB148" s="63" t="s">
        <v>45</v>
      </c>
      <c r="AC148" s="22">
        <v>10.0</v>
      </c>
      <c r="AD148" s="22">
        <v>4.0</v>
      </c>
      <c r="AE148" s="23"/>
      <c r="AF148" s="23">
        <v>0.0</v>
      </c>
      <c r="AG148" s="22">
        <v>8.0</v>
      </c>
      <c r="AH148" s="23">
        <v>2.0</v>
      </c>
      <c r="AI148" s="22">
        <v>6.0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123</v>
      </c>
      <c r="F149" s="13">
        <v>2.0</v>
      </c>
      <c r="G149" s="30" t="s">
        <v>24</v>
      </c>
      <c r="H149" s="13">
        <v>1.0</v>
      </c>
      <c r="I149" s="14" t="s">
        <v>62</v>
      </c>
      <c r="J149" s="124"/>
      <c r="K149" s="125">
        <f t="shared" si="17"/>
        <v>2</v>
      </c>
      <c r="L149" s="126">
        <f t="shared" si="18"/>
        <v>1</v>
      </c>
      <c r="M149" s="124"/>
      <c r="N149" s="126">
        <v>4.0</v>
      </c>
      <c r="O149" s="127" t="s">
        <v>45</v>
      </c>
      <c r="P149" s="126">
        <f t="shared" si="19"/>
        <v>10</v>
      </c>
      <c r="Q149" s="128">
        <f t="shared" si="20"/>
        <v>4</v>
      </c>
      <c r="R149" s="129"/>
      <c r="S149" s="129">
        <f t="shared" si="21"/>
        <v>0</v>
      </c>
      <c r="T149" s="126">
        <f t="shared" si="22"/>
        <v>8</v>
      </c>
      <c r="U149" s="129">
        <f t="shared" si="23"/>
        <v>2</v>
      </c>
      <c r="V149" s="126">
        <f t="shared" si="24"/>
        <v>6</v>
      </c>
      <c r="AA149" s="21">
        <v>4.0</v>
      </c>
      <c r="AB149" s="63" t="s">
        <v>60</v>
      </c>
      <c r="AC149" s="22">
        <v>8.0</v>
      </c>
      <c r="AD149" s="22">
        <v>2.0</v>
      </c>
      <c r="AE149" s="23"/>
      <c r="AF149" s="23">
        <v>3.0</v>
      </c>
      <c r="AG149" s="22">
        <v>6.0</v>
      </c>
      <c r="AH149" s="23">
        <v>6.0</v>
      </c>
      <c r="AI149" s="22">
        <v>0.0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60</v>
      </c>
      <c r="J150" s="124"/>
      <c r="K150" s="125">
        <f t="shared" si="17"/>
        <v>2</v>
      </c>
      <c r="L150" s="126">
        <f t="shared" si="18"/>
        <v>1</v>
      </c>
      <c r="M150" s="124"/>
      <c r="N150" s="126">
        <v>5.0</v>
      </c>
      <c r="O150" s="127" t="s">
        <v>216</v>
      </c>
      <c r="P150" s="126">
        <f t="shared" si="19"/>
        <v>2</v>
      </c>
      <c r="Q150" s="128">
        <f t="shared" si="20"/>
        <v>0</v>
      </c>
      <c r="R150" s="129"/>
      <c r="S150" s="129">
        <f t="shared" si="21"/>
        <v>4</v>
      </c>
      <c r="T150" s="126">
        <f t="shared" si="22"/>
        <v>2</v>
      </c>
      <c r="U150" s="129">
        <f t="shared" si="23"/>
        <v>8</v>
      </c>
      <c r="V150" s="126">
        <f t="shared" si="24"/>
        <v>-6</v>
      </c>
      <c r="AA150" s="21">
        <v>5.0</v>
      </c>
      <c r="AB150" s="63" t="s">
        <v>31</v>
      </c>
      <c r="AC150" s="22">
        <v>7.0</v>
      </c>
      <c r="AD150" s="22">
        <v>3.0</v>
      </c>
      <c r="AE150" s="23"/>
      <c r="AF150" s="23">
        <v>2.0</v>
      </c>
      <c r="AG150" s="22">
        <v>7.0</v>
      </c>
      <c r="AH150" s="23">
        <v>7.0</v>
      </c>
      <c r="AI150" s="22">
        <v>0.0</v>
      </c>
      <c r="AJ150" s="17"/>
    </row>
    <row r="151" ht="15.75" customHeight="1">
      <c r="A151" s="28"/>
      <c r="B151" s="136"/>
      <c r="C151" s="137"/>
      <c r="D151" s="138"/>
      <c r="E151" s="14">
        <v>0.0</v>
      </c>
      <c r="F151" s="30"/>
      <c r="G151" s="30" t="s">
        <v>24</v>
      </c>
      <c r="H151" s="30"/>
      <c r="I151" s="14" t="s">
        <v>56</v>
      </c>
      <c r="J151" s="124"/>
      <c r="K151" s="125" t="str">
        <f t="shared" si="17"/>
        <v/>
      </c>
      <c r="L151" s="126" t="str">
        <f t="shared" si="18"/>
        <v/>
      </c>
      <c r="M151" s="124"/>
      <c r="N151" s="126">
        <v>6.0</v>
      </c>
      <c r="O151" s="127" t="s">
        <v>123</v>
      </c>
      <c r="P151" s="126">
        <f t="shared" si="19"/>
        <v>3</v>
      </c>
      <c r="Q151" s="128">
        <f t="shared" si="20"/>
        <v>1</v>
      </c>
      <c r="R151" s="129"/>
      <c r="S151" s="129">
        <f t="shared" si="21"/>
        <v>3</v>
      </c>
      <c r="T151" s="126">
        <f t="shared" si="22"/>
        <v>3</v>
      </c>
      <c r="U151" s="129">
        <f t="shared" si="23"/>
        <v>7</v>
      </c>
      <c r="V151" s="126">
        <f t="shared" si="24"/>
        <v>-4</v>
      </c>
      <c r="AA151" s="21">
        <v>6.0</v>
      </c>
      <c r="AB151" s="63" t="s">
        <v>62</v>
      </c>
      <c r="AC151" s="22">
        <v>7.0</v>
      </c>
      <c r="AD151" s="22">
        <v>2.0</v>
      </c>
      <c r="AE151" s="23"/>
      <c r="AF151" s="23">
        <v>3.0</v>
      </c>
      <c r="AG151" s="22">
        <v>6.0</v>
      </c>
      <c r="AH151" s="23">
        <v>7.0</v>
      </c>
      <c r="AI151" s="22">
        <v>-1.0</v>
      </c>
      <c r="AJ151" s="17"/>
    </row>
    <row r="152" ht="15.75" customHeight="1">
      <c r="A152" s="58">
        <v>2.0</v>
      </c>
      <c r="B152" s="136"/>
      <c r="C152" s="137"/>
      <c r="D152" s="138"/>
      <c r="E152" s="14" t="s">
        <v>215</v>
      </c>
      <c r="F152" s="30"/>
      <c r="G152" s="30" t="s">
        <v>24</v>
      </c>
      <c r="H152" s="30"/>
      <c r="I152" s="14">
        <v>0.0</v>
      </c>
      <c r="J152" s="124"/>
      <c r="K152" s="125" t="str">
        <f t="shared" si="17"/>
        <v/>
      </c>
      <c r="L152" s="126" t="str">
        <f t="shared" si="18"/>
        <v/>
      </c>
      <c r="M152" s="124"/>
      <c r="N152" s="126">
        <v>7.0</v>
      </c>
      <c r="O152" s="127" t="s">
        <v>111</v>
      </c>
      <c r="P152" s="126">
        <f t="shared" si="19"/>
        <v>13</v>
      </c>
      <c r="Q152" s="128">
        <f t="shared" si="20"/>
        <v>5</v>
      </c>
      <c r="R152" s="129"/>
      <c r="S152" s="129">
        <f t="shared" si="21"/>
        <v>0</v>
      </c>
      <c r="T152" s="126">
        <f t="shared" si="22"/>
        <v>10</v>
      </c>
      <c r="U152" s="129">
        <f t="shared" si="23"/>
        <v>2</v>
      </c>
      <c r="V152" s="126">
        <f t="shared" si="24"/>
        <v>8</v>
      </c>
      <c r="AA152" s="21">
        <v>7.0</v>
      </c>
      <c r="AB152" s="63" t="s">
        <v>56</v>
      </c>
      <c r="AC152" s="22">
        <v>6.0</v>
      </c>
      <c r="AD152" s="22">
        <v>2.0</v>
      </c>
      <c r="AE152" s="23"/>
      <c r="AF152" s="23">
        <v>2.0</v>
      </c>
      <c r="AG152" s="22">
        <v>4.0</v>
      </c>
      <c r="AH152" s="23">
        <v>4.0</v>
      </c>
      <c r="AI152" s="22">
        <v>0.0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216</v>
      </c>
      <c r="F153" s="13">
        <v>1.0</v>
      </c>
      <c r="G153" s="30" t="s">
        <v>24</v>
      </c>
      <c r="H153" s="13">
        <v>2.0</v>
      </c>
      <c r="I153" s="14" t="s">
        <v>31</v>
      </c>
      <c r="J153" s="124"/>
      <c r="K153" s="125">
        <f t="shared" si="17"/>
        <v>1</v>
      </c>
      <c r="L153" s="126">
        <f t="shared" si="18"/>
        <v>2</v>
      </c>
      <c r="M153" s="124"/>
      <c r="N153" s="126">
        <v>8.0</v>
      </c>
      <c r="O153" s="127" t="s">
        <v>64</v>
      </c>
      <c r="P153" s="126">
        <f t="shared" si="19"/>
        <v>0</v>
      </c>
      <c r="Q153" s="128">
        <f t="shared" si="20"/>
        <v>0</v>
      </c>
      <c r="R153" s="129"/>
      <c r="S153" s="129">
        <f t="shared" si="21"/>
        <v>5</v>
      </c>
      <c r="T153" s="126">
        <f t="shared" si="22"/>
        <v>0</v>
      </c>
      <c r="U153" s="129">
        <f t="shared" si="23"/>
        <v>10</v>
      </c>
      <c r="V153" s="126">
        <f t="shared" si="24"/>
        <v>-10</v>
      </c>
      <c r="AA153" s="21">
        <v>8.0</v>
      </c>
      <c r="AB153" s="63" t="s">
        <v>215</v>
      </c>
      <c r="AC153" s="22">
        <v>6.0</v>
      </c>
      <c r="AD153" s="22">
        <v>2.0</v>
      </c>
      <c r="AE153" s="23"/>
      <c r="AF153" s="23">
        <v>2.0</v>
      </c>
      <c r="AG153" s="22">
        <v>6.0</v>
      </c>
      <c r="AH153" s="23">
        <v>6.0</v>
      </c>
      <c r="AI153" s="22">
        <v>0.0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111</v>
      </c>
      <c r="F154" s="13">
        <v>2.0</v>
      </c>
      <c r="G154" s="30" t="s">
        <v>24</v>
      </c>
      <c r="H154" s="13">
        <v>1.0</v>
      </c>
      <c r="I154" s="14" t="s">
        <v>118</v>
      </c>
      <c r="J154" s="124"/>
      <c r="K154" s="125">
        <f t="shared" si="17"/>
        <v>2</v>
      </c>
      <c r="L154" s="126">
        <f t="shared" si="18"/>
        <v>1</v>
      </c>
      <c r="M154" s="124"/>
      <c r="N154" s="126">
        <v>9.0</v>
      </c>
      <c r="O154" s="127" t="s">
        <v>62</v>
      </c>
      <c r="P154" s="126">
        <f t="shared" si="19"/>
        <v>7</v>
      </c>
      <c r="Q154" s="128">
        <f t="shared" si="20"/>
        <v>2</v>
      </c>
      <c r="R154" s="129"/>
      <c r="S154" s="129">
        <f t="shared" si="21"/>
        <v>3</v>
      </c>
      <c r="T154" s="126">
        <f t="shared" si="22"/>
        <v>6</v>
      </c>
      <c r="U154" s="129">
        <f t="shared" si="23"/>
        <v>7</v>
      </c>
      <c r="V154" s="126">
        <f t="shared" si="24"/>
        <v>-1</v>
      </c>
      <c r="AA154" s="21">
        <v>9.0</v>
      </c>
      <c r="AB154" s="63" t="s">
        <v>123</v>
      </c>
      <c r="AC154" s="22">
        <v>3.0</v>
      </c>
      <c r="AD154" s="22">
        <v>1.0</v>
      </c>
      <c r="AE154" s="23"/>
      <c r="AF154" s="23">
        <v>3.0</v>
      </c>
      <c r="AG154" s="22">
        <v>3.0</v>
      </c>
      <c r="AH154" s="23">
        <v>7.0</v>
      </c>
      <c r="AI154" s="22">
        <v>-4.0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62</v>
      </c>
      <c r="F155" s="13">
        <v>2.0</v>
      </c>
      <c r="G155" s="30" t="s">
        <v>24</v>
      </c>
      <c r="H155" s="13">
        <v>0.0</v>
      </c>
      <c r="I155" s="14" t="s">
        <v>64</v>
      </c>
      <c r="J155" s="124"/>
      <c r="K155" s="125">
        <f t="shared" si="17"/>
        <v>3</v>
      </c>
      <c r="L155" s="126">
        <f t="shared" si="18"/>
        <v>0</v>
      </c>
      <c r="M155" s="124"/>
      <c r="N155" s="126">
        <v>10.0</v>
      </c>
      <c r="O155" s="127" t="s">
        <v>118</v>
      </c>
      <c r="P155" s="126">
        <f t="shared" si="19"/>
        <v>13</v>
      </c>
      <c r="Q155" s="128">
        <f t="shared" si="20"/>
        <v>4</v>
      </c>
      <c r="R155" s="129"/>
      <c r="S155" s="129">
        <f t="shared" si="21"/>
        <v>1</v>
      </c>
      <c r="T155" s="126">
        <f t="shared" si="22"/>
        <v>9</v>
      </c>
      <c r="U155" s="129">
        <f t="shared" si="23"/>
        <v>2</v>
      </c>
      <c r="V155" s="126">
        <f t="shared" si="24"/>
        <v>7</v>
      </c>
      <c r="AA155" s="21">
        <v>10.0</v>
      </c>
      <c r="AB155" s="63" t="s">
        <v>216</v>
      </c>
      <c r="AC155" s="22">
        <v>2.0</v>
      </c>
      <c r="AD155" s="22">
        <v>0.0</v>
      </c>
      <c r="AE155" s="23"/>
      <c r="AF155" s="23">
        <v>4.0</v>
      </c>
      <c r="AG155" s="22">
        <v>2.0</v>
      </c>
      <c r="AH155" s="23">
        <v>8.0</v>
      </c>
      <c r="AI155" s="22">
        <v>-6.0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60</v>
      </c>
      <c r="F156" s="13">
        <v>2.0</v>
      </c>
      <c r="G156" s="30" t="s">
        <v>24</v>
      </c>
      <c r="H156" s="13">
        <v>0.0</v>
      </c>
      <c r="I156" s="14" t="s">
        <v>123</v>
      </c>
      <c r="J156" s="124"/>
      <c r="K156" s="125">
        <f t="shared" si="17"/>
        <v>3</v>
      </c>
      <c r="L156" s="126">
        <f t="shared" si="18"/>
        <v>0</v>
      </c>
      <c r="M156" s="124"/>
      <c r="N156" s="143">
        <v>11.0</v>
      </c>
      <c r="O156" s="143" t="s">
        <v>60</v>
      </c>
      <c r="P156" s="126">
        <f t="shared" si="19"/>
        <v>8</v>
      </c>
      <c r="Q156" s="128">
        <f t="shared" si="20"/>
        <v>2</v>
      </c>
      <c r="S156" s="129">
        <f t="shared" si="21"/>
        <v>3</v>
      </c>
      <c r="T156" s="126">
        <f t="shared" si="22"/>
        <v>6</v>
      </c>
      <c r="U156" s="129">
        <f t="shared" si="23"/>
        <v>6</v>
      </c>
      <c r="V156" s="126">
        <f t="shared" si="24"/>
        <v>0</v>
      </c>
      <c r="AA156" s="47">
        <v>11.0</v>
      </c>
      <c r="AB156" s="63" t="s">
        <v>64</v>
      </c>
      <c r="AC156" s="22">
        <v>0.0</v>
      </c>
      <c r="AD156" s="22">
        <v>0.0</v>
      </c>
      <c r="AE156" s="23"/>
      <c r="AF156" s="23">
        <v>5.0</v>
      </c>
      <c r="AG156" s="22">
        <v>0.0</v>
      </c>
      <c r="AH156" s="23">
        <v>10.0</v>
      </c>
      <c r="AI156" s="22">
        <v>-10.0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13">
        <v>0.0</v>
      </c>
      <c r="G157" s="30" t="s">
        <v>24</v>
      </c>
      <c r="H157" s="13">
        <v>2.0</v>
      </c>
      <c r="I157" s="14" t="s">
        <v>45</v>
      </c>
      <c r="J157" s="124"/>
      <c r="K157" s="125">
        <f t="shared" si="17"/>
        <v>0</v>
      </c>
      <c r="L157" s="126">
        <f t="shared" si="18"/>
        <v>3</v>
      </c>
      <c r="M157" s="124"/>
      <c r="AA157" s="34" t="s">
        <v>217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215</v>
      </c>
      <c r="F158" s="13">
        <v>2.0</v>
      </c>
      <c r="G158" s="30" t="s">
        <v>24</v>
      </c>
      <c r="H158" s="13">
        <v>1.0</v>
      </c>
      <c r="I158" s="14" t="s">
        <v>216</v>
      </c>
      <c r="J158" s="124"/>
      <c r="K158" s="125">
        <f t="shared" si="17"/>
        <v>2</v>
      </c>
      <c r="L158" s="126">
        <f t="shared" si="18"/>
        <v>1</v>
      </c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AA158" s="73" t="s">
        <v>108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111</v>
      </c>
      <c r="J159" s="124"/>
      <c r="K159" s="125">
        <f t="shared" si="17"/>
        <v>0</v>
      </c>
      <c r="L159" s="126">
        <f t="shared" si="18"/>
        <v>3</v>
      </c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AA159" s="134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192</v>
      </c>
      <c r="D160" s="12" t="s">
        <v>22</v>
      </c>
      <c r="E160" s="14" t="s">
        <v>118</v>
      </c>
      <c r="F160" s="13">
        <v>2.0</v>
      </c>
      <c r="G160" s="30" t="s">
        <v>24</v>
      </c>
      <c r="H160" s="13">
        <v>0.0</v>
      </c>
      <c r="I160" s="14" t="s">
        <v>62</v>
      </c>
      <c r="J160" s="124"/>
      <c r="K160" s="125">
        <f t="shared" si="17"/>
        <v>3</v>
      </c>
      <c r="L160" s="126">
        <f t="shared" si="18"/>
        <v>0</v>
      </c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155</v>
      </c>
      <c r="D161" s="12" t="s">
        <v>22</v>
      </c>
      <c r="E161" s="14" t="s">
        <v>64</v>
      </c>
      <c r="F161" s="13">
        <v>0.0</v>
      </c>
      <c r="G161" s="30" t="s">
        <v>24</v>
      </c>
      <c r="H161" s="13">
        <v>2.0</v>
      </c>
      <c r="I161" s="14" t="s">
        <v>60</v>
      </c>
      <c r="J161" s="135"/>
      <c r="K161" s="125">
        <f t="shared" si="17"/>
        <v>0</v>
      </c>
      <c r="L161" s="126">
        <f t="shared" si="18"/>
        <v>3</v>
      </c>
      <c r="M161" s="124"/>
      <c r="N161" s="124"/>
      <c r="O161" s="124"/>
      <c r="P161" s="124"/>
      <c r="R161" s="124"/>
      <c r="S161" s="124"/>
      <c r="T161" s="124"/>
      <c r="U161" s="124"/>
      <c r="V161" s="124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136</v>
      </c>
      <c r="D162" s="12" t="s">
        <v>22</v>
      </c>
      <c r="E162" s="14" t="s">
        <v>123</v>
      </c>
      <c r="F162" s="13">
        <v>0.0</v>
      </c>
      <c r="G162" s="30" t="s">
        <v>24</v>
      </c>
      <c r="H162" s="13">
        <v>2.0</v>
      </c>
      <c r="I162" s="14" t="s">
        <v>56</v>
      </c>
      <c r="J162" s="124"/>
      <c r="K162" s="125">
        <f t="shared" si="17"/>
        <v>0</v>
      </c>
      <c r="L162" s="126">
        <f t="shared" si="18"/>
        <v>3</v>
      </c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AG162" s="3"/>
      <c r="AH162" s="3"/>
      <c r="AI162" s="3"/>
      <c r="AJ162" s="3"/>
    </row>
    <row r="163" ht="15.75" customHeight="1">
      <c r="A163" s="28"/>
      <c r="B163" s="136"/>
      <c r="C163" s="138"/>
      <c r="D163" s="138"/>
      <c r="E163" s="14">
        <v>0.0</v>
      </c>
      <c r="F163" s="30"/>
      <c r="G163" s="30" t="s">
        <v>24</v>
      </c>
      <c r="H163" s="30"/>
      <c r="I163" s="14" t="s">
        <v>45</v>
      </c>
      <c r="J163" s="124"/>
      <c r="K163" s="125" t="str">
        <f t="shared" si="17"/>
        <v/>
      </c>
      <c r="L163" s="126" t="str">
        <f t="shared" si="18"/>
        <v/>
      </c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AG163" s="3"/>
      <c r="AH163" s="3"/>
      <c r="AI163" s="3"/>
      <c r="AJ163" s="3"/>
    </row>
    <row r="164" ht="15.75" customHeight="1">
      <c r="A164" s="120">
        <v>4.0</v>
      </c>
      <c r="B164" s="136"/>
      <c r="C164" s="138"/>
      <c r="D164" s="138"/>
      <c r="E164" s="14" t="s">
        <v>216</v>
      </c>
      <c r="F164" s="30"/>
      <c r="G164" s="30" t="s">
        <v>24</v>
      </c>
      <c r="H164" s="30"/>
      <c r="I164" s="14">
        <v>0.0</v>
      </c>
      <c r="J164" s="124"/>
      <c r="K164" s="125" t="str">
        <f t="shared" si="17"/>
        <v/>
      </c>
      <c r="L164" s="126" t="str">
        <f t="shared" si="18"/>
        <v/>
      </c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AG164" s="3"/>
      <c r="AH164" s="3"/>
      <c r="AI164" s="3"/>
      <c r="AJ164" s="3"/>
    </row>
    <row r="165" ht="15.75" customHeight="1">
      <c r="A165" s="24"/>
      <c r="B165" s="11">
        <v>45993.0</v>
      </c>
      <c r="C165" s="12" t="s">
        <v>21</v>
      </c>
      <c r="D165" s="12" t="s">
        <v>22</v>
      </c>
      <c r="E165" s="14" t="s">
        <v>111</v>
      </c>
      <c r="F165" s="13">
        <v>2.0</v>
      </c>
      <c r="G165" s="30" t="s">
        <v>24</v>
      </c>
      <c r="H165" s="13">
        <v>1.0</v>
      </c>
      <c r="I165" s="14" t="s">
        <v>215</v>
      </c>
      <c r="J165" s="124"/>
      <c r="K165" s="125">
        <f t="shared" si="17"/>
        <v>2</v>
      </c>
      <c r="L165" s="126">
        <f t="shared" si="18"/>
        <v>1</v>
      </c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AG165" s="3"/>
      <c r="AH165" s="3"/>
      <c r="AI165" s="3"/>
      <c r="AJ165" s="3"/>
    </row>
    <row r="166" ht="15.75" customHeight="1">
      <c r="A166" s="24"/>
      <c r="B166" s="11">
        <v>45980.0</v>
      </c>
      <c r="C166" s="12" t="s">
        <v>148</v>
      </c>
      <c r="D166" s="12" t="s">
        <v>22</v>
      </c>
      <c r="E166" s="14" t="s">
        <v>62</v>
      </c>
      <c r="F166" s="13">
        <v>2.0</v>
      </c>
      <c r="G166" s="30" t="s">
        <v>24</v>
      </c>
      <c r="H166" s="13">
        <v>1.0</v>
      </c>
      <c r="I166" s="14" t="s">
        <v>31</v>
      </c>
      <c r="J166" s="124"/>
      <c r="K166" s="125">
        <f t="shared" si="17"/>
        <v>2</v>
      </c>
      <c r="L166" s="126">
        <f t="shared" si="18"/>
        <v>1</v>
      </c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1">
        <v>45980.0</v>
      </c>
      <c r="C167" s="12" t="s">
        <v>147</v>
      </c>
      <c r="D167" s="12" t="s">
        <v>22</v>
      </c>
      <c r="E167" s="14" t="s">
        <v>60</v>
      </c>
      <c r="F167" s="13">
        <v>0.0</v>
      </c>
      <c r="G167" s="30" t="s">
        <v>24</v>
      </c>
      <c r="H167" s="13">
        <v>2.0</v>
      </c>
      <c r="I167" s="14" t="s">
        <v>118</v>
      </c>
      <c r="J167" s="124"/>
      <c r="K167" s="125">
        <f t="shared" si="17"/>
        <v>0</v>
      </c>
      <c r="L167" s="126">
        <f t="shared" si="18"/>
        <v>3</v>
      </c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AA167" s="3"/>
      <c r="AB167" s="123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1">
        <v>45993.0</v>
      </c>
      <c r="C168" s="12" t="s">
        <v>49</v>
      </c>
      <c r="D168" s="12" t="s">
        <v>22</v>
      </c>
      <c r="E168" s="14" t="s">
        <v>56</v>
      </c>
      <c r="F168" s="13">
        <v>2.0</v>
      </c>
      <c r="G168" s="30" t="s">
        <v>24</v>
      </c>
      <c r="H168" s="13">
        <v>0.0</v>
      </c>
      <c r="I168" s="14" t="s">
        <v>64</v>
      </c>
      <c r="J168" s="124"/>
      <c r="K168" s="125">
        <f t="shared" si="17"/>
        <v>3</v>
      </c>
      <c r="L168" s="126">
        <f t="shared" si="18"/>
        <v>0</v>
      </c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AA168" s="3"/>
      <c r="AB168" s="123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1">
        <v>45980.0</v>
      </c>
      <c r="C169" s="12" t="s">
        <v>160</v>
      </c>
      <c r="D169" s="12" t="s">
        <v>22</v>
      </c>
      <c r="E169" s="14" t="s">
        <v>45</v>
      </c>
      <c r="F169" s="13">
        <v>2.0</v>
      </c>
      <c r="G169" s="30" t="s">
        <v>24</v>
      </c>
      <c r="H169" s="13">
        <v>1.0</v>
      </c>
      <c r="I169" s="14" t="s">
        <v>123</v>
      </c>
      <c r="J169" s="124"/>
      <c r="K169" s="125">
        <f t="shared" si="17"/>
        <v>2</v>
      </c>
      <c r="L169" s="126">
        <f t="shared" si="18"/>
        <v>1</v>
      </c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AA169" s="3"/>
      <c r="AB169" s="123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1">
        <v>45993.0</v>
      </c>
      <c r="C170" s="65" t="s">
        <v>30</v>
      </c>
      <c r="D170" s="12" t="s">
        <v>22</v>
      </c>
      <c r="E170" s="14" t="s">
        <v>216</v>
      </c>
      <c r="F170" s="13">
        <v>0.0</v>
      </c>
      <c r="G170" s="30" t="s">
        <v>24</v>
      </c>
      <c r="H170" s="13">
        <v>2.0</v>
      </c>
      <c r="I170" s="14" t="s">
        <v>111</v>
      </c>
      <c r="J170" s="124"/>
      <c r="K170" s="125">
        <f t="shared" si="17"/>
        <v>0</v>
      </c>
      <c r="L170" s="126">
        <f t="shared" si="18"/>
        <v>3</v>
      </c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AA170" s="3"/>
      <c r="AB170" s="123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1">
        <v>46008.0</v>
      </c>
      <c r="C171" s="65" t="s">
        <v>203</v>
      </c>
      <c r="D171" s="12" t="s">
        <v>22</v>
      </c>
      <c r="E171" s="14" t="s">
        <v>215</v>
      </c>
      <c r="F171" s="144">
        <v>2.0</v>
      </c>
      <c r="G171" s="30" t="s">
        <v>24</v>
      </c>
      <c r="H171" s="13">
        <v>1.0</v>
      </c>
      <c r="I171" s="14" t="s">
        <v>62</v>
      </c>
      <c r="J171" s="124"/>
      <c r="K171" s="125">
        <f t="shared" si="17"/>
        <v>2</v>
      </c>
      <c r="L171" s="126">
        <f t="shared" si="18"/>
        <v>1</v>
      </c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AA171" s="3"/>
      <c r="AB171" s="123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1">
        <v>46008.0</v>
      </c>
      <c r="C172" s="65" t="s">
        <v>203</v>
      </c>
      <c r="D172" s="12" t="s">
        <v>22</v>
      </c>
      <c r="E172" s="14" t="s">
        <v>31</v>
      </c>
      <c r="F172" s="144">
        <v>2.0</v>
      </c>
      <c r="G172" s="30" t="s">
        <v>24</v>
      </c>
      <c r="H172" s="13">
        <v>1.0</v>
      </c>
      <c r="I172" s="14" t="s">
        <v>60</v>
      </c>
      <c r="J172" s="124"/>
      <c r="K172" s="125">
        <f t="shared" si="17"/>
        <v>2</v>
      </c>
      <c r="L172" s="126">
        <f t="shared" si="18"/>
        <v>1</v>
      </c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AA172" s="3"/>
      <c r="AB172" s="123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1">
        <v>46008.0</v>
      </c>
      <c r="C173" s="65" t="s">
        <v>146</v>
      </c>
      <c r="D173" s="12" t="s">
        <v>22</v>
      </c>
      <c r="E173" s="14" t="s">
        <v>118</v>
      </c>
      <c r="F173" s="144">
        <v>2.0</v>
      </c>
      <c r="G173" s="30" t="s">
        <v>24</v>
      </c>
      <c r="H173" s="13">
        <v>0.0</v>
      </c>
      <c r="I173" s="14" t="s">
        <v>56</v>
      </c>
      <c r="J173" s="124"/>
      <c r="K173" s="125">
        <f t="shared" si="17"/>
        <v>3</v>
      </c>
      <c r="L173" s="126">
        <f t="shared" si="18"/>
        <v>0</v>
      </c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AA173" s="3"/>
      <c r="AB173" s="123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1">
        <v>46007.0</v>
      </c>
      <c r="C174" s="12" t="s">
        <v>21</v>
      </c>
      <c r="D174" s="12" t="s">
        <v>22</v>
      </c>
      <c r="E174" s="14" t="s">
        <v>64</v>
      </c>
      <c r="F174" s="144">
        <v>0.0</v>
      </c>
      <c r="G174" s="30" t="s">
        <v>24</v>
      </c>
      <c r="H174" s="13">
        <v>2.0</v>
      </c>
      <c r="I174" s="14" t="s">
        <v>45</v>
      </c>
      <c r="J174" s="124"/>
      <c r="K174" s="125">
        <f t="shared" si="17"/>
        <v>0</v>
      </c>
      <c r="L174" s="126">
        <f t="shared" si="18"/>
        <v>3</v>
      </c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AA174" s="3"/>
      <c r="AB174" s="123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6"/>
      <c r="C175" s="138"/>
      <c r="D175" s="138"/>
      <c r="E175" s="14">
        <v>0.0</v>
      </c>
      <c r="F175" s="138"/>
      <c r="G175" s="30" t="s">
        <v>24</v>
      </c>
      <c r="H175" s="30"/>
      <c r="I175" s="14" t="s">
        <v>123</v>
      </c>
      <c r="J175" s="124"/>
      <c r="K175" s="125" t="str">
        <f t="shared" si="17"/>
        <v/>
      </c>
      <c r="L175" s="126" t="str">
        <f t="shared" si="18"/>
        <v/>
      </c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AA175" s="3"/>
      <c r="AB175" s="123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36"/>
      <c r="C176" s="137"/>
      <c r="D176" s="138"/>
      <c r="E176" s="14" t="s">
        <v>111</v>
      </c>
      <c r="F176" s="30"/>
      <c r="G176" s="30" t="s">
        <v>24</v>
      </c>
      <c r="H176" s="30"/>
      <c r="I176" s="14">
        <v>0.0</v>
      </c>
      <c r="J176" s="124"/>
      <c r="K176" s="125" t="str">
        <f t="shared" si="17"/>
        <v/>
      </c>
      <c r="L176" s="126" t="str">
        <f t="shared" si="18"/>
        <v/>
      </c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AA176" s="3"/>
      <c r="AB176" s="123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36"/>
      <c r="C177" s="138"/>
      <c r="D177" s="138"/>
      <c r="E177" s="14" t="s">
        <v>62</v>
      </c>
      <c r="F177" s="30"/>
      <c r="G177" s="30" t="s">
        <v>24</v>
      </c>
      <c r="H177" s="30"/>
      <c r="I177" s="14" t="s">
        <v>216</v>
      </c>
      <c r="J177" s="124"/>
      <c r="K177" s="125" t="str">
        <f t="shared" si="17"/>
        <v/>
      </c>
      <c r="L177" s="126" t="str">
        <f t="shared" si="18"/>
        <v/>
      </c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AA177" s="3"/>
      <c r="AB177" s="123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36"/>
      <c r="C178" s="138"/>
      <c r="D178" s="138"/>
      <c r="E178" s="14" t="s">
        <v>60</v>
      </c>
      <c r="F178" s="30"/>
      <c r="G178" s="30" t="s">
        <v>24</v>
      </c>
      <c r="H178" s="30"/>
      <c r="I178" s="14" t="s">
        <v>215</v>
      </c>
      <c r="J178" s="124"/>
      <c r="K178" s="125" t="str">
        <f t="shared" si="17"/>
        <v/>
      </c>
      <c r="L178" s="126" t="str">
        <f t="shared" si="18"/>
        <v/>
      </c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AA178" s="3"/>
      <c r="AB178" s="123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36"/>
      <c r="C179" s="137"/>
      <c r="D179" s="138"/>
      <c r="E179" s="14" t="s">
        <v>56</v>
      </c>
      <c r="F179" s="30"/>
      <c r="G179" s="30" t="s">
        <v>24</v>
      </c>
      <c r="H179" s="30"/>
      <c r="I179" s="14" t="s">
        <v>31</v>
      </c>
      <c r="J179" s="124"/>
      <c r="K179" s="125" t="str">
        <f t="shared" si="17"/>
        <v/>
      </c>
      <c r="L179" s="126" t="str">
        <f t="shared" si="18"/>
        <v/>
      </c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AA179" s="3"/>
      <c r="AB179" s="123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36"/>
      <c r="C180" s="138"/>
      <c r="D180" s="138"/>
      <c r="E180" s="14" t="s">
        <v>45</v>
      </c>
      <c r="F180" s="30"/>
      <c r="G180" s="30" t="s">
        <v>24</v>
      </c>
      <c r="H180" s="30"/>
      <c r="I180" s="14" t="s">
        <v>118</v>
      </c>
      <c r="J180" s="124"/>
      <c r="K180" s="125" t="str">
        <f t="shared" si="17"/>
        <v/>
      </c>
      <c r="L180" s="126" t="str">
        <f t="shared" si="18"/>
        <v/>
      </c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AA180" s="3"/>
      <c r="AB180" s="123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36"/>
      <c r="C181" s="138"/>
      <c r="D181" s="138"/>
      <c r="E181" s="14" t="s">
        <v>123</v>
      </c>
      <c r="F181" s="30"/>
      <c r="G181" s="30" t="s">
        <v>24</v>
      </c>
      <c r="H181" s="30"/>
      <c r="I181" s="14" t="s">
        <v>64</v>
      </c>
      <c r="J181" s="124"/>
      <c r="K181" s="125" t="str">
        <f t="shared" si="17"/>
        <v/>
      </c>
      <c r="L181" s="126" t="str">
        <f t="shared" si="18"/>
        <v/>
      </c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AA181" s="3"/>
      <c r="AB181" s="123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36"/>
      <c r="C182" s="137"/>
      <c r="D182" s="138"/>
      <c r="E182" s="14" t="s">
        <v>111</v>
      </c>
      <c r="F182" s="30"/>
      <c r="G182" s="30" t="s">
        <v>24</v>
      </c>
      <c r="H182" s="30"/>
      <c r="I182" s="14" t="s">
        <v>62</v>
      </c>
      <c r="J182" s="124"/>
      <c r="K182" s="125" t="str">
        <f t="shared" si="17"/>
        <v/>
      </c>
      <c r="L182" s="126" t="str">
        <f t="shared" si="18"/>
        <v/>
      </c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AA182" s="3"/>
      <c r="AB182" s="123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36"/>
      <c r="C183" s="137"/>
      <c r="D183" s="138"/>
      <c r="E183" s="14" t="s">
        <v>216</v>
      </c>
      <c r="F183" s="30"/>
      <c r="G183" s="30" t="s">
        <v>24</v>
      </c>
      <c r="H183" s="30"/>
      <c r="I183" s="14" t="s">
        <v>60</v>
      </c>
      <c r="J183" s="124"/>
      <c r="K183" s="125" t="str">
        <f t="shared" si="17"/>
        <v/>
      </c>
      <c r="L183" s="126" t="str">
        <f t="shared" si="18"/>
        <v/>
      </c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AA183" s="3"/>
      <c r="AB183" s="123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36"/>
      <c r="C184" s="137"/>
      <c r="D184" s="138"/>
      <c r="E184" s="14" t="s">
        <v>215</v>
      </c>
      <c r="F184" s="30"/>
      <c r="G184" s="30" t="s">
        <v>24</v>
      </c>
      <c r="H184" s="30"/>
      <c r="I184" s="14" t="s">
        <v>56</v>
      </c>
      <c r="J184" s="124"/>
      <c r="K184" s="125" t="str">
        <f t="shared" si="17"/>
        <v/>
      </c>
      <c r="L184" s="126" t="str">
        <f t="shared" si="18"/>
        <v/>
      </c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AA184" s="3"/>
      <c r="AB184" s="123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36"/>
      <c r="C185" s="137"/>
      <c r="D185" s="138"/>
      <c r="E185" s="14" t="s">
        <v>31</v>
      </c>
      <c r="F185" s="30"/>
      <c r="G185" s="30" t="s">
        <v>24</v>
      </c>
      <c r="H185" s="30"/>
      <c r="I185" s="14" t="s">
        <v>45</v>
      </c>
      <c r="J185" s="124"/>
      <c r="K185" s="125" t="str">
        <f t="shared" si="17"/>
        <v/>
      </c>
      <c r="L185" s="126" t="str">
        <f t="shared" si="18"/>
        <v/>
      </c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AA185" s="3"/>
      <c r="AB185" s="123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36"/>
      <c r="C186" s="138"/>
      <c r="D186" s="138"/>
      <c r="E186" s="14" t="s">
        <v>118</v>
      </c>
      <c r="F186" s="30"/>
      <c r="G186" s="30" t="s">
        <v>24</v>
      </c>
      <c r="H186" s="30"/>
      <c r="I186" s="14" t="s">
        <v>123</v>
      </c>
      <c r="J186" s="124"/>
      <c r="K186" s="125" t="str">
        <f t="shared" si="17"/>
        <v/>
      </c>
      <c r="L186" s="126" t="str">
        <f t="shared" si="18"/>
        <v/>
      </c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AA186" s="3"/>
      <c r="AB186" s="123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6"/>
      <c r="C187" s="138"/>
      <c r="D187" s="138"/>
      <c r="E187" s="14">
        <v>0.0</v>
      </c>
      <c r="F187" s="30"/>
      <c r="G187" s="30" t="s">
        <v>24</v>
      </c>
      <c r="H187" s="30"/>
      <c r="I187" s="14" t="s">
        <v>64</v>
      </c>
      <c r="J187" s="124"/>
      <c r="K187" s="125" t="str">
        <f t="shared" si="17"/>
        <v/>
      </c>
      <c r="L187" s="126" t="str">
        <f t="shared" si="18"/>
        <v/>
      </c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AA187" s="3"/>
      <c r="AB187" s="123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36"/>
      <c r="C188" s="137"/>
      <c r="D188" s="138"/>
      <c r="E188" s="14" t="s">
        <v>62</v>
      </c>
      <c r="F188" s="30"/>
      <c r="G188" s="30" t="s">
        <v>24</v>
      </c>
      <c r="H188" s="30"/>
      <c r="I188" s="14">
        <v>0.0</v>
      </c>
      <c r="J188" s="124"/>
      <c r="K188" s="125" t="str">
        <f t="shared" si="17"/>
        <v/>
      </c>
      <c r="L188" s="126" t="str">
        <f t="shared" si="18"/>
        <v/>
      </c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AA188" s="3"/>
      <c r="AB188" s="123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36"/>
      <c r="C189" s="137"/>
      <c r="D189" s="138"/>
      <c r="E189" s="14" t="s">
        <v>60</v>
      </c>
      <c r="F189" s="30"/>
      <c r="G189" s="30" t="s">
        <v>24</v>
      </c>
      <c r="H189" s="30"/>
      <c r="I189" s="14" t="s">
        <v>111</v>
      </c>
      <c r="J189" s="124"/>
      <c r="K189" s="125" t="str">
        <f t="shared" si="17"/>
        <v/>
      </c>
      <c r="L189" s="126" t="str">
        <f t="shared" si="18"/>
        <v/>
      </c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AA189" s="3"/>
      <c r="AB189" s="123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36"/>
      <c r="C190" s="137"/>
      <c r="D190" s="138"/>
      <c r="E190" s="14" t="s">
        <v>56</v>
      </c>
      <c r="F190" s="30"/>
      <c r="G190" s="30" t="s">
        <v>24</v>
      </c>
      <c r="H190" s="30"/>
      <c r="I190" s="14" t="s">
        <v>216</v>
      </c>
      <c r="J190" s="124"/>
      <c r="K190" s="125" t="str">
        <f t="shared" si="17"/>
        <v/>
      </c>
      <c r="L190" s="126" t="str">
        <f t="shared" si="18"/>
        <v/>
      </c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AA190" s="3"/>
      <c r="AB190" s="123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36"/>
      <c r="C191" s="137"/>
      <c r="D191" s="138"/>
      <c r="E191" s="14" t="s">
        <v>45</v>
      </c>
      <c r="F191" s="30"/>
      <c r="G191" s="30" t="s">
        <v>24</v>
      </c>
      <c r="H191" s="30"/>
      <c r="I191" s="14" t="s">
        <v>215</v>
      </c>
      <c r="J191" s="124"/>
      <c r="K191" s="125" t="str">
        <f t="shared" si="17"/>
        <v/>
      </c>
      <c r="L191" s="126" t="str">
        <f t="shared" si="18"/>
        <v/>
      </c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AA191" s="3"/>
      <c r="AB191" s="123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36"/>
      <c r="C192" s="138"/>
      <c r="D192" s="138"/>
      <c r="E192" s="14" t="s">
        <v>123</v>
      </c>
      <c r="F192" s="30"/>
      <c r="G192" s="30" t="s">
        <v>24</v>
      </c>
      <c r="H192" s="30"/>
      <c r="I192" s="14" t="s">
        <v>31</v>
      </c>
      <c r="J192" s="124"/>
      <c r="K192" s="125" t="str">
        <f t="shared" si="17"/>
        <v/>
      </c>
      <c r="L192" s="126" t="str">
        <f t="shared" si="18"/>
        <v/>
      </c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AA192" s="3"/>
      <c r="AB192" s="123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36"/>
      <c r="C193" s="138"/>
      <c r="D193" s="138"/>
      <c r="E193" s="14" t="s">
        <v>64</v>
      </c>
      <c r="F193" s="30"/>
      <c r="G193" s="30" t="s">
        <v>24</v>
      </c>
      <c r="H193" s="30"/>
      <c r="I193" s="14" t="s">
        <v>118</v>
      </c>
      <c r="J193" s="124"/>
      <c r="K193" s="125" t="str">
        <f t="shared" si="17"/>
        <v/>
      </c>
      <c r="L193" s="126" t="str">
        <f t="shared" si="18"/>
        <v/>
      </c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AA193" s="3"/>
      <c r="AB193" s="123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36"/>
      <c r="C194" s="137"/>
      <c r="D194" s="138"/>
      <c r="E194" s="14" t="s">
        <v>62</v>
      </c>
      <c r="F194" s="30"/>
      <c r="G194" s="30" t="s">
        <v>24</v>
      </c>
      <c r="H194" s="30"/>
      <c r="I194" s="14" t="s">
        <v>60</v>
      </c>
      <c r="J194" s="124"/>
      <c r="K194" s="125" t="str">
        <f t="shared" si="17"/>
        <v/>
      </c>
      <c r="L194" s="126" t="str">
        <f t="shared" si="18"/>
        <v/>
      </c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AA194" s="3"/>
      <c r="AB194" s="123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36"/>
      <c r="C195" s="137"/>
      <c r="D195" s="138"/>
      <c r="E195" s="14" t="s">
        <v>111</v>
      </c>
      <c r="F195" s="30"/>
      <c r="G195" s="30" t="s">
        <v>24</v>
      </c>
      <c r="H195" s="30"/>
      <c r="I195" s="14" t="s">
        <v>56</v>
      </c>
      <c r="J195" s="124"/>
      <c r="K195" s="125" t="str">
        <f t="shared" si="17"/>
        <v/>
      </c>
      <c r="L195" s="126" t="str">
        <f t="shared" si="18"/>
        <v/>
      </c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AA195" s="3"/>
      <c r="AB195" s="123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36"/>
      <c r="C196" s="137"/>
      <c r="D196" s="138"/>
      <c r="E196" s="14" t="s">
        <v>216</v>
      </c>
      <c r="F196" s="30"/>
      <c r="G196" s="30" t="s">
        <v>24</v>
      </c>
      <c r="H196" s="30"/>
      <c r="I196" s="14" t="s">
        <v>45</v>
      </c>
      <c r="J196" s="124"/>
      <c r="K196" s="125" t="str">
        <f t="shared" si="17"/>
        <v/>
      </c>
      <c r="L196" s="126" t="str">
        <f t="shared" si="18"/>
        <v/>
      </c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AA196" s="3"/>
      <c r="AB196" s="123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6"/>
      <c r="C197" s="137"/>
      <c r="D197" s="138"/>
      <c r="E197" s="14" t="s">
        <v>215</v>
      </c>
      <c r="F197" s="30"/>
      <c r="G197" s="30" t="s">
        <v>24</v>
      </c>
      <c r="H197" s="30"/>
      <c r="I197" s="14" t="s">
        <v>123</v>
      </c>
      <c r="J197" s="124"/>
      <c r="K197" s="125" t="str">
        <f t="shared" si="17"/>
        <v/>
      </c>
      <c r="L197" s="126" t="str">
        <f t="shared" si="18"/>
        <v/>
      </c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AA197" s="3"/>
      <c r="AB197" s="123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6"/>
      <c r="C198" s="138"/>
      <c r="D198" s="138"/>
      <c r="E198" s="14" t="s">
        <v>31</v>
      </c>
      <c r="F198" s="30"/>
      <c r="G198" s="30" t="s">
        <v>24</v>
      </c>
      <c r="H198" s="30"/>
      <c r="I198" s="14" t="s">
        <v>64</v>
      </c>
      <c r="J198" s="124"/>
      <c r="K198" s="125" t="str">
        <f t="shared" si="17"/>
        <v/>
      </c>
      <c r="L198" s="126" t="str">
        <f t="shared" si="18"/>
        <v/>
      </c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AA198" s="3"/>
      <c r="AB198" s="123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6"/>
      <c r="C199" s="138"/>
      <c r="D199" s="138"/>
      <c r="E199" s="14">
        <v>0.0</v>
      </c>
      <c r="F199" s="30"/>
      <c r="G199" s="30" t="s">
        <v>24</v>
      </c>
      <c r="H199" s="30"/>
      <c r="I199" s="14" t="s">
        <v>118</v>
      </c>
      <c r="J199" s="124"/>
      <c r="K199" s="125" t="str">
        <f t="shared" si="17"/>
        <v/>
      </c>
      <c r="L199" s="126" t="str">
        <f t="shared" si="18"/>
        <v/>
      </c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AA199" s="3"/>
      <c r="AB199" s="123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36"/>
      <c r="C200" s="137"/>
      <c r="D200" s="138"/>
      <c r="E200" s="14">
        <v>0.0</v>
      </c>
      <c r="F200" s="30"/>
      <c r="G200" s="30" t="s">
        <v>24</v>
      </c>
      <c r="H200" s="30"/>
      <c r="I200" s="14" t="s">
        <v>60</v>
      </c>
      <c r="J200" s="124"/>
      <c r="K200" s="125" t="str">
        <f t="shared" si="17"/>
        <v/>
      </c>
      <c r="L200" s="126" t="str">
        <f t="shared" si="18"/>
        <v/>
      </c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AA200" s="3"/>
      <c r="AB200" s="123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6"/>
      <c r="C201" s="137"/>
      <c r="D201" s="138"/>
      <c r="E201" s="14" t="s">
        <v>56</v>
      </c>
      <c r="F201" s="30"/>
      <c r="G201" s="30" t="s">
        <v>24</v>
      </c>
      <c r="H201" s="30"/>
      <c r="I201" s="14" t="s">
        <v>62</v>
      </c>
      <c r="J201" s="124"/>
      <c r="K201" s="125" t="str">
        <f t="shared" si="17"/>
        <v/>
      </c>
      <c r="L201" s="126" t="str">
        <f t="shared" si="18"/>
        <v/>
      </c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AA201" s="3"/>
      <c r="AB201" s="123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6"/>
      <c r="C202" s="137"/>
      <c r="D202" s="138"/>
      <c r="E202" s="14" t="s">
        <v>45</v>
      </c>
      <c r="F202" s="30"/>
      <c r="G202" s="30" t="s">
        <v>24</v>
      </c>
      <c r="H202" s="30"/>
      <c r="I202" s="14" t="s">
        <v>111</v>
      </c>
      <c r="J202" s="124"/>
      <c r="K202" s="125" t="str">
        <f t="shared" si="17"/>
        <v/>
      </c>
      <c r="L202" s="126" t="str">
        <f t="shared" si="18"/>
        <v/>
      </c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AA202" s="3"/>
      <c r="AB202" s="123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6"/>
      <c r="C203" s="137"/>
      <c r="D203" s="138"/>
      <c r="E203" s="14" t="s">
        <v>123</v>
      </c>
      <c r="F203" s="30"/>
      <c r="G203" s="30" t="s">
        <v>24</v>
      </c>
      <c r="H203" s="30"/>
      <c r="I203" s="14" t="s">
        <v>216</v>
      </c>
      <c r="J203" s="124"/>
      <c r="K203" s="125" t="str">
        <f t="shared" si="17"/>
        <v/>
      </c>
      <c r="L203" s="126" t="str">
        <f t="shared" si="18"/>
        <v/>
      </c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AA203" s="3"/>
      <c r="AB203" s="123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6"/>
      <c r="C204" s="138"/>
      <c r="D204" s="138"/>
      <c r="E204" s="14" t="s">
        <v>64</v>
      </c>
      <c r="F204" s="30"/>
      <c r="G204" s="30" t="s">
        <v>24</v>
      </c>
      <c r="H204" s="30"/>
      <c r="I204" s="14" t="s">
        <v>215</v>
      </c>
      <c r="J204" s="124"/>
      <c r="K204" s="125" t="str">
        <f t="shared" si="17"/>
        <v/>
      </c>
      <c r="L204" s="126" t="str">
        <f t="shared" si="18"/>
        <v/>
      </c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AA204" s="3"/>
      <c r="AB204" s="123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6"/>
      <c r="C205" s="138"/>
      <c r="D205" s="138"/>
      <c r="E205" s="14" t="s">
        <v>118</v>
      </c>
      <c r="F205" s="30"/>
      <c r="G205" s="30" t="s">
        <v>24</v>
      </c>
      <c r="H205" s="30"/>
      <c r="I205" s="14" t="s">
        <v>31</v>
      </c>
      <c r="J205" s="124"/>
      <c r="K205" s="125" t="str">
        <f t="shared" si="17"/>
        <v/>
      </c>
      <c r="L205" s="126" t="str">
        <f t="shared" si="18"/>
        <v/>
      </c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AA205" s="3"/>
      <c r="AB205" s="123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36"/>
      <c r="C206" s="137"/>
      <c r="D206" s="138"/>
      <c r="E206" s="14" t="s">
        <v>60</v>
      </c>
      <c r="F206" s="13"/>
      <c r="G206" s="30" t="s">
        <v>24</v>
      </c>
      <c r="H206" s="13"/>
      <c r="I206" s="14" t="s">
        <v>56</v>
      </c>
      <c r="J206" s="124"/>
      <c r="K206" s="125" t="str">
        <f t="shared" si="17"/>
        <v/>
      </c>
      <c r="L206" s="126" t="str">
        <f t="shared" si="18"/>
        <v/>
      </c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AA206" s="3"/>
      <c r="AB206" s="123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6"/>
      <c r="C207" s="137"/>
      <c r="D207" s="138"/>
      <c r="E207" s="14" t="s">
        <v>62</v>
      </c>
      <c r="F207" s="30"/>
      <c r="G207" s="30" t="s">
        <v>24</v>
      </c>
      <c r="H207" s="30"/>
      <c r="I207" s="14" t="s">
        <v>45</v>
      </c>
      <c r="J207" s="124"/>
      <c r="K207" s="125" t="str">
        <f t="shared" si="17"/>
        <v/>
      </c>
      <c r="L207" s="126" t="str">
        <f t="shared" si="18"/>
        <v/>
      </c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AA207" s="3"/>
      <c r="AB207" s="123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6"/>
      <c r="C208" s="137"/>
      <c r="D208" s="138"/>
      <c r="E208" s="14" t="s">
        <v>111</v>
      </c>
      <c r="F208" s="30"/>
      <c r="G208" s="30" t="s">
        <v>24</v>
      </c>
      <c r="H208" s="30"/>
      <c r="I208" s="14" t="s">
        <v>123</v>
      </c>
      <c r="J208" s="124"/>
      <c r="K208" s="125" t="str">
        <f t="shared" si="17"/>
        <v/>
      </c>
      <c r="L208" s="126" t="str">
        <f t="shared" si="18"/>
        <v/>
      </c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AA208" s="3"/>
      <c r="AB208" s="123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6"/>
      <c r="C209" s="137"/>
      <c r="D209" s="138"/>
      <c r="E209" s="14" t="s">
        <v>216</v>
      </c>
      <c r="F209" s="30"/>
      <c r="G209" s="30" t="s">
        <v>24</v>
      </c>
      <c r="H209" s="30"/>
      <c r="I209" s="14" t="s">
        <v>64</v>
      </c>
      <c r="J209" s="124"/>
      <c r="K209" s="125" t="str">
        <f t="shared" si="17"/>
        <v/>
      </c>
      <c r="L209" s="126" t="str">
        <f t="shared" si="18"/>
        <v/>
      </c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AA209" s="3"/>
      <c r="AB209" s="123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6"/>
      <c r="C210" s="138"/>
      <c r="D210" s="138"/>
      <c r="E210" s="14" t="s">
        <v>215</v>
      </c>
      <c r="F210" s="13"/>
      <c r="G210" s="30" t="s">
        <v>24</v>
      </c>
      <c r="H210" s="13"/>
      <c r="I210" s="14" t="s">
        <v>118</v>
      </c>
      <c r="J210" s="124"/>
      <c r="K210" s="125" t="str">
        <f t="shared" si="17"/>
        <v/>
      </c>
      <c r="L210" s="126" t="str">
        <f t="shared" si="18"/>
        <v/>
      </c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AA210" s="3"/>
      <c r="AB210" s="123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6"/>
      <c r="C211" s="138"/>
      <c r="D211" s="138"/>
      <c r="E211" s="14" t="s">
        <v>31</v>
      </c>
      <c r="F211" s="30"/>
      <c r="G211" s="30" t="s">
        <v>24</v>
      </c>
      <c r="H211" s="30"/>
      <c r="I211" s="14">
        <v>0.0</v>
      </c>
      <c r="J211" s="124"/>
      <c r="K211" s="125" t="str">
        <f t="shared" si="17"/>
        <v/>
      </c>
      <c r="L211" s="126" t="str">
        <f t="shared" si="18"/>
        <v/>
      </c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AA211" s="3"/>
      <c r="AB211" s="123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0"/>
      <c r="E212" s="123"/>
      <c r="I212" s="123"/>
      <c r="AA212" s="3"/>
      <c r="AB212" s="123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0"/>
      <c r="E213" s="123"/>
      <c r="I213" s="123"/>
      <c r="AA213" s="3"/>
      <c r="AB213" s="123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0"/>
      <c r="E214" s="123"/>
      <c r="I214" s="123"/>
      <c r="AA214" s="3"/>
      <c r="AB214" s="123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0"/>
      <c r="E215" s="123"/>
      <c r="I215" s="123"/>
      <c r="AA215" s="3"/>
      <c r="AB215" s="123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218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1" t="s">
        <v>196</v>
      </c>
      <c r="U217" s="151" t="s">
        <v>197</v>
      </c>
      <c r="V217" s="151" t="s">
        <v>198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2" t="s">
        <v>196</v>
      </c>
      <c r="AH217" s="152" t="s">
        <v>197</v>
      </c>
      <c r="AI217" s="152" t="s">
        <v>198</v>
      </c>
      <c r="AJ217" s="3"/>
    </row>
    <row r="218" ht="15.75" customHeight="1">
      <c r="A218" s="85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5" t="str">
        <f t="shared" ref="K218:K220" si="25">IFS(F218=H218+2,3,F218=H218-2,0,F218=H218+1,2,F218=H218-1,1,F218="","")</f>
        <v/>
      </c>
      <c r="L218" s="126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6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85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5" t="str">
        <f t="shared" si="25"/>
        <v/>
      </c>
      <c r="L219" s="126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6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85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5" t="str">
        <f t="shared" si="25"/>
        <v/>
      </c>
      <c r="L220" s="126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219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50"/>
      <c r="E235" s="123"/>
      <c r="I235" s="123"/>
      <c r="AA235" s="3"/>
      <c r="AB235" s="123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0"/>
      <c r="E236" s="123"/>
      <c r="I236" s="123"/>
      <c r="AA236" s="3"/>
      <c r="AB236" s="123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0"/>
      <c r="E237" s="123"/>
      <c r="I237" s="123"/>
      <c r="AA237" s="3"/>
      <c r="AB237" s="123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0"/>
      <c r="E238" s="123"/>
      <c r="I238" s="123"/>
      <c r="AA238" s="3"/>
      <c r="AB238" s="123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0"/>
      <c r="E239" s="123"/>
      <c r="I239" s="123"/>
      <c r="AA239" s="3"/>
      <c r="AB239" s="123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0"/>
      <c r="E240" s="123"/>
      <c r="I240" s="123"/>
      <c r="AA240" s="3"/>
      <c r="AB240" s="123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0"/>
      <c r="E241" s="123"/>
      <c r="I241" s="123"/>
      <c r="AA241" s="3"/>
      <c r="AB241" s="123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0"/>
      <c r="E242" s="123"/>
      <c r="I242" s="123"/>
      <c r="AA242" s="3"/>
      <c r="AB242" s="123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0"/>
      <c r="E243" s="123"/>
      <c r="I243" s="123"/>
      <c r="AA243" s="3"/>
      <c r="AB243" s="123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0"/>
      <c r="E244" s="123"/>
      <c r="I244" s="123"/>
      <c r="AA244" s="3"/>
      <c r="AB244" s="123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0"/>
      <c r="E245" s="123"/>
      <c r="I245" s="123"/>
      <c r="AA245" s="3"/>
      <c r="AB245" s="123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0"/>
      <c r="E246" s="123"/>
      <c r="I246" s="123"/>
      <c r="AA246" s="3"/>
      <c r="AB246" s="123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0"/>
      <c r="E247" s="123"/>
      <c r="I247" s="123"/>
      <c r="AA247" s="3"/>
      <c r="AB247" s="123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0"/>
      <c r="E248" s="123"/>
      <c r="I248" s="123"/>
      <c r="AA248" s="3"/>
      <c r="AB248" s="123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0"/>
      <c r="E249" s="123"/>
      <c r="I249" s="123"/>
      <c r="AA249" s="3"/>
      <c r="AB249" s="123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0"/>
      <c r="E250" s="123"/>
      <c r="I250" s="123"/>
      <c r="AA250" s="3"/>
      <c r="AB250" s="123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0"/>
      <c r="E251" s="123"/>
      <c r="I251" s="123"/>
      <c r="AA251" s="3"/>
      <c r="AB251" s="123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0"/>
      <c r="E252" s="123"/>
      <c r="I252" s="123"/>
      <c r="AA252" s="3"/>
      <c r="AB252" s="123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0"/>
      <c r="E253" s="123"/>
      <c r="I253" s="123"/>
      <c r="AA253" s="3"/>
      <c r="AB253" s="123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0"/>
      <c r="E254" s="123"/>
      <c r="I254" s="123"/>
      <c r="AA254" s="3"/>
      <c r="AB254" s="123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0"/>
      <c r="E255" s="123"/>
      <c r="I255" s="123"/>
      <c r="AA255" s="3"/>
      <c r="AB255" s="123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0"/>
      <c r="E256" s="123"/>
      <c r="I256" s="123"/>
      <c r="AA256" s="3"/>
      <c r="AB256" s="123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0"/>
      <c r="E257" s="123"/>
      <c r="I257" s="123"/>
      <c r="AA257" s="3"/>
      <c r="AB257" s="123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0"/>
      <c r="E258" s="123"/>
      <c r="I258" s="123"/>
      <c r="AA258" s="3"/>
      <c r="AB258" s="123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0"/>
      <c r="E259" s="123"/>
      <c r="I259" s="123"/>
      <c r="AA259" s="3"/>
      <c r="AB259" s="123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0"/>
      <c r="E260" s="123"/>
      <c r="I260" s="123"/>
      <c r="AA260" s="3"/>
      <c r="AB260" s="123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0"/>
      <c r="E261" s="123"/>
      <c r="I261" s="123"/>
      <c r="AA261" s="3"/>
      <c r="AB261" s="123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0"/>
      <c r="E262" s="123"/>
      <c r="I262" s="123"/>
      <c r="AA262" s="3"/>
      <c r="AB262" s="123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0"/>
      <c r="E263" s="123"/>
      <c r="I263" s="123"/>
      <c r="AA263" s="3"/>
      <c r="AB263" s="123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0"/>
      <c r="E264" s="123"/>
      <c r="I264" s="123"/>
      <c r="AA264" s="3"/>
      <c r="AB264" s="123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0"/>
      <c r="E265" s="123"/>
      <c r="I265" s="123"/>
      <c r="AA265" s="3"/>
      <c r="AB265" s="123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0"/>
      <c r="E266" s="123"/>
      <c r="I266" s="123"/>
      <c r="AA266" s="3"/>
      <c r="AB266" s="123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0"/>
      <c r="E267" s="123"/>
      <c r="I267" s="123"/>
      <c r="AA267" s="3"/>
      <c r="AB267" s="123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0"/>
      <c r="E268" s="123"/>
      <c r="I268" s="123"/>
      <c r="AA268" s="3"/>
      <c r="AB268" s="123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0"/>
      <c r="E269" s="123"/>
      <c r="I269" s="123"/>
      <c r="AA269" s="3"/>
      <c r="AB269" s="123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0"/>
      <c r="E270" s="123"/>
      <c r="I270" s="123"/>
      <c r="AA270" s="3"/>
      <c r="AB270" s="123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0"/>
      <c r="E271" s="123"/>
      <c r="I271" s="123"/>
      <c r="AA271" s="3"/>
      <c r="AB271" s="123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0"/>
      <c r="E272" s="123"/>
      <c r="I272" s="123"/>
      <c r="AA272" s="3"/>
      <c r="AB272" s="123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0"/>
      <c r="E273" s="123"/>
      <c r="I273" s="123"/>
      <c r="AA273" s="3"/>
      <c r="AB273" s="123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0"/>
      <c r="E274" s="123"/>
      <c r="I274" s="123"/>
      <c r="AA274" s="3"/>
      <c r="AB274" s="123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0"/>
      <c r="E275" s="123"/>
      <c r="I275" s="123"/>
      <c r="AA275" s="3"/>
      <c r="AB275" s="123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0"/>
      <c r="E276" s="123"/>
      <c r="I276" s="123"/>
      <c r="AA276" s="3"/>
      <c r="AB276" s="123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0"/>
      <c r="E277" s="123"/>
      <c r="I277" s="123"/>
      <c r="AA277" s="3"/>
      <c r="AB277" s="123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0"/>
      <c r="E278" s="123"/>
      <c r="I278" s="123"/>
      <c r="AA278" s="3"/>
      <c r="AB278" s="123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0"/>
      <c r="E279" s="123"/>
      <c r="I279" s="123"/>
      <c r="AA279" s="3"/>
      <c r="AB279" s="123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0"/>
      <c r="E280" s="123"/>
      <c r="I280" s="123"/>
      <c r="AA280" s="3"/>
      <c r="AB280" s="123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0"/>
      <c r="E281" s="123"/>
      <c r="I281" s="123"/>
      <c r="AA281" s="3"/>
      <c r="AB281" s="123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0"/>
      <c r="E282" s="123"/>
      <c r="I282" s="123"/>
      <c r="AA282" s="3"/>
      <c r="AB282" s="123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0"/>
      <c r="E283" s="123"/>
      <c r="I283" s="123"/>
      <c r="AA283" s="3"/>
      <c r="AB283" s="123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0"/>
      <c r="E284" s="123"/>
      <c r="I284" s="123"/>
      <c r="AA284" s="3"/>
      <c r="AB284" s="123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0"/>
      <c r="E285" s="123"/>
      <c r="I285" s="123"/>
      <c r="AA285" s="3"/>
      <c r="AB285" s="123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0"/>
      <c r="E286" s="123"/>
      <c r="I286" s="123"/>
      <c r="AA286" s="3"/>
      <c r="AB286" s="123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0"/>
      <c r="E287" s="123"/>
      <c r="I287" s="123"/>
      <c r="AA287" s="3"/>
      <c r="AB287" s="123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0"/>
      <c r="E288" s="123"/>
      <c r="I288" s="123"/>
      <c r="AA288" s="3"/>
      <c r="AB288" s="123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0"/>
      <c r="E289" s="123"/>
      <c r="I289" s="123"/>
      <c r="AA289" s="3"/>
      <c r="AB289" s="123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0"/>
      <c r="E290" s="123"/>
      <c r="I290" s="123"/>
      <c r="AA290" s="3"/>
      <c r="AB290" s="123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0"/>
      <c r="E291" s="123"/>
      <c r="I291" s="123"/>
      <c r="AA291" s="3"/>
      <c r="AB291" s="123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0"/>
      <c r="E292" s="123"/>
      <c r="I292" s="123"/>
      <c r="AA292" s="3"/>
      <c r="AB292" s="123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0"/>
      <c r="E293" s="123"/>
      <c r="I293" s="123"/>
      <c r="AA293" s="3"/>
      <c r="AB293" s="123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0"/>
      <c r="E294" s="123"/>
      <c r="I294" s="123"/>
      <c r="AA294" s="3"/>
      <c r="AB294" s="123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0"/>
      <c r="E295" s="123"/>
      <c r="I295" s="123"/>
      <c r="AA295" s="3"/>
      <c r="AB295" s="123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0"/>
      <c r="E296" s="123"/>
      <c r="I296" s="123"/>
      <c r="AA296" s="3"/>
      <c r="AB296" s="123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0"/>
      <c r="E297" s="123"/>
      <c r="I297" s="123"/>
      <c r="AA297" s="3"/>
      <c r="AB297" s="123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0"/>
      <c r="E298" s="123"/>
      <c r="I298" s="123"/>
      <c r="AA298" s="3"/>
      <c r="AB298" s="123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0"/>
      <c r="E299" s="123"/>
      <c r="I299" s="123"/>
      <c r="AA299" s="3"/>
      <c r="AB299" s="123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0"/>
      <c r="E300" s="123"/>
      <c r="I300" s="123"/>
      <c r="AA300" s="3"/>
      <c r="AB300" s="123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0"/>
      <c r="E301" s="123"/>
      <c r="I301" s="123"/>
      <c r="AA301" s="3"/>
      <c r="AB301" s="123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0"/>
      <c r="E302" s="123"/>
      <c r="I302" s="123"/>
      <c r="AA302" s="3"/>
      <c r="AB302" s="123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0"/>
      <c r="E303" s="123"/>
      <c r="I303" s="123"/>
      <c r="AA303" s="3"/>
      <c r="AB303" s="123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0"/>
      <c r="E304" s="123"/>
      <c r="I304" s="123"/>
      <c r="AA304" s="3"/>
      <c r="AB304" s="123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0"/>
      <c r="E305" s="123"/>
      <c r="I305" s="123"/>
      <c r="AA305" s="3"/>
      <c r="AB305" s="123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0"/>
      <c r="E306" s="123"/>
      <c r="I306" s="123"/>
      <c r="AA306" s="3"/>
      <c r="AB306" s="123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0"/>
      <c r="E307" s="123"/>
      <c r="I307" s="123"/>
      <c r="AA307" s="3"/>
      <c r="AB307" s="123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0"/>
      <c r="E308" s="123"/>
      <c r="I308" s="123"/>
      <c r="AA308" s="3"/>
      <c r="AB308" s="123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0"/>
      <c r="E309" s="123"/>
      <c r="I309" s="123"/>
      <c r="AA309" s="3"/>
      <c r="AB309" s="123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0"/>
      <c r="E310" s="123"/>
      <c r="I310" s="123"/>
      <c r="AA310" s="3"/>
      <c r="AB310" s="123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0"/>
      <c r="E311" s="123"/>
      <c r="I311" s="123"/>
      <c r="AA311" s="3"/>
      <c r="AB311" s="123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0"/>
      <c r="E312" s="123"/>
      <c r="I312" s="123"/>
      <c r="AA312" s="3"/>
      <c r="AB312" s="123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0"/>
      <c r="E313" s="123"/>
      <c r="I313" s="123"/>
      <c r="AA313" s="3"/>
      <c r="AB313" s="123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0"/>
      <c r="E314" s="123"/>
      <c r="I314" s="123"/>
      <c r="AA314" s="3"/>
      <c r="AB314" s="123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0"/>
      <c r="E315" s="123"/>
      <c r="I315" s="123"/>
      <c r="AA315" s="3"/>
      <c r="AB315" s="123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0"/>
      <c r="E316" s="123"/>
      <c r="I316" s="123"/>
      <c r="AA316" s="3"/>
      <c r="AB316" s="123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0"/>
      <c r="E317" s="123"/>
      <c r="I317" s="123"/>
      <c r="AA317" s="3"/>
      <c r="AB317" s="123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0"/>
      <c r="E318" s="123"/>
      <c r="I318" s="123"/>
      <c r="AA318" s="3"/>
      <c r="AB318" s="123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0"/>
      <c r="E319" s="123"/>
      <c r="I319" s="123"/>
      <c r="AA319" s="3"/>
      <c r="AB319" s="123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0"/>
      <c r="E320" s="123"/>
      <c r="I320" s="123"/>
      <c r="AA320" s="3"/>
      <c r="AB320" s="123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0"/>
      <c r="E321" s="123"/>
      <c r="I321" s="123"/>
      <c r="AA321" s="3"/>
      <c r="AB321" s="123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0"/>
      <c r="E322" s="123"/>
      <c r="I322" s="123"/>
      <c r="AA322" s="3"/>
      <c r="AB322" s="123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0"/>
      <c r="E323" s="123"/>
      <c r="I323" s="123"/>
      <c r="AA323" s="3"/>
      <c r="AB323" s="123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0"/>
      <c r="E324" s="123"/>
      <c r="I324" s="123"/>
      <c r="AA324" s="3"/>
      <c r="AB324" s="123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0"/>
      <c r="E325" s="123"/>
      <c r="I325" s="123"/>
      <c r="AA325" s="3"/>
      <c r="AB325" s="123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0"/>
      <c r="E326" s="123"/>
      <c r="I326" s="123"/>
      <c r="AA326" s="3"/>
      <c r="AB326" s="123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0"/>
      <c r="E327" s="123"/>
      <c r="I327" s="123"/>
      <c r="AA327" s="3"/>
      <c r="AB327" s="123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0"/>
      <c r="E328" s="123"/>
      <c r="I328" s="123"/>
      <c r="AA328" s="3"/>
      <c r="AB328" s="123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0"/>
      <c r="E329" s="123"/>
      <c r="I329" s="123"/>
      <c r="AA329" s="3"/>
      <c r="AB329" s="123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0"/>
      <c r="E330" s="123"/>
      <c r="I330" s="123"/>
      <c r="AA330" s="3"/>
      <c r="AB330" s="123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0"/>
      <c r="E331" s="123"/>
      <c r="I331" s="123"/>
      <c r="AA331" s="3"/>
      <c r="AB331" s="123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0"/>
      <c r="E332" s="123"/>
      <c r="I332" s="123"/>
      <c r="AA332" s="3"/>
      <c r="AB332" s="123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0"/>
      <c r="E333" s="123"/>
      <c r="I333" s="123"/>
      <c r="AA333" s="3"/>
      <c r="AB333" s="123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0"/>
      <c r="E334" s="123"/>
      <c r="I334" s="123"/>
      <c r="AA334" s="3"/>
      <c r="AB334" s="123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0"/>
      <c r="E335" s="123"/>
      <c r="I335" s="123"/>
      <c r="AA335" s="3"/>
      <c r="AB335" s="123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0"/>
      <c r="E336" s="123"/>
      <c r="I336" s="123"/>
      <c r="AA336" s="3"/>
      <c r="AB336" s="123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0"/>
      <c r="E337" s="123"/>
      <c r="I337" s="123"/>
      <c r="AA337" s="3"/>
      <c r="AB337" s="123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0"/>
      <c r="E338" s="123"/>
      <c r="I338" s="123"/>
      <c r="AA338" s="3"/>
      <c r="AB338" s="123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0"/>
      <c r="E339" s="123"/>
      <c r="I339" s="123"/>
      <c r="AA339" s="3"/>
      <c r="AB339" s="123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0"/>
      <c r="E340" s="123"/>
      <c r="I340" s="123"/>
      <c r="AA340" s="3"/>
      <c r="AB340" s="123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0"/>
      <c r="E341" s="123"/>
      <c r="I341" s="123"/>
      <c r="AA341" s="3"/>
      <c r="AB341" s="123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0"/>
      <c r="E342" s="123"/>
      <c r="I342" s="123"/>
      <c r="AA342" s="3"/>
      <c r="AB342" s="123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0"/>
      <c r="E343" s="123"/>
      <c r="I343" s="123"/>
      <c r="AA343" s="3"/>
      <c r="AB343" s="123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3" t="s">
        <v>220</v>
      </c>
      <c r="B1" s="154" t="s">
        <v>221</v>
      </c>
      <c r="C1" s="154" t="s">
        <v>222</v>
      </c>
      <c r="D1" s="154" t="s">
        <v>223</v>
      </c>
      <c r="E1" s="154" t="s">
        <v>224</v>
      </c>
      <c r="F1" s="154" t="s">
        <v>225</v>
      </c>
      <c r="G1" s="154" t="s">
        <v>226</v>
      </c>
      <c r="H1" s="154" t="s">
        <v>227</v>
      </c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</row>
    <row r="2" ht="15.75" customHeight="1">
      <c r="A2" s="156" t="s">
        <v>228</v>
      </c>
      <c r="B2" s="157" t="s">
        <v>229</v>
      </c>
      <c r="C2" s="158" t="s">
        <v>31</v>
      </c>
      <c r="D2" s="158" t="s">
        <v>230</v>
      </c>
      <c r="E2" s="159">
        <v>108125.0</v>
      </c>
      <c r="F2" s="160" t="s">
        <v>231</v>
      </c>
      <c r="G2" s="157" t="s">
        <v>232</v>
      </c>
      <c r="H2" s="158" t="s">
        <v>233</v>
      </c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</row>
    <row r="3" ht="15.75" customHeight="1">
      <c r="A3" s="156" t="s">
        <v>228</v>
      </c>
      <c r="B3" s="157" t="s">
        <v>234</v>
      </c>
      <c r="C3" s="157" t="s">
        <v>32</v>
      </c>
      <c r="D3" s="157" t="s">
        <v>235</v>
      </c>
      <c r="E3" s="161">
        <v>89159.0</v>
      </c>
      <c r="F3" s="162" t="s">
        <v>236</v>
      </c>
      <c r="G3" s="157" t="s">
        <v>232</v>
      </c>
      <c r="H3" s="157" t="s">
        <v>237</v>
      </c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155"/>
      <c r="Z3" s="155"/>
    </row>
    <row r="4" ht="15.75" customHeight="1">
      <c r="A4" s="156" t="s">
        <v>228</v>
      </c>
      <c r="B4" s="157" t="s">
        <v>238</v>
      </c>
      <c r="C4" s="157" t="s">
        <v>111</v>
      </c>
      <c r="D4" s="157" t="s">
        <v>239</v>
      </c>
      <c r="E4" s="161">
        <v>100096.0</v>
      </c>
      <c r="F4" s="162" t="s">
        <v>240</v>
      </c>
      <c r="G4" s="157" t="s">
        <v>232</v>
      </c>
      <c r="H4" s="157" t="s">
        <v>241</v>
      </c>
      <c r="I4" s="155"/>
      <c r="J4" s="155"/>
      <c r="K4" s="155"/>
      <c r="L4" s="155"/>
      <c r="M4" s="155"/>
      <c r="N4" s="155"/>
      <c r="O4" s="155"/>
      <c r="P4" s="155"/>
      <c r="Q4" s="155"/>
      <c r="R4" s="155"/>
      <c r="S4" s="155"/>
      <c r="T4" s="155"/>
      <c r="U4" s="155"/>
      <c r="V4" s="155"/>
      <c r="W4" s="155"/>
      <c r="X4" s="155"/>
      <c r="Y4" s="155"/>
      <c r="Z4" s="155"/>
    </row>
    <row r="5" ht="15.75" customHeight="1">
      <c r="A5" s="156" t="s">
        <v>228</v>
      </c>
      <c r="B5" s="157" t="s">
        <v>242</v>
      </c>
      <c r="C5" s="157" t="s">
        <v>55</v>
      </c>
      <c r="D5" s="157" t="s">
        <v>243</v>
      </c>
      <c r="E5" s="161">
        <v>108498.0</v>
      </c>
      <c r="F5" s="162" t="s">
        <v>244</v>
      </c>
      <c r="G5" s="157" t="s">
        <v>232</v>
      </c>
      <c r="H5" s="157" t="s">
        <v>245</v>
      </c>
      <c r="I5" s="155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5"/>
      <c r="U5" s="155"/>
      <c r="V5" s="155"/>
      <c r="W5" s="155"/>
      <c r="X5" s="155"/>
      <c r="Y5" s="155"/>
      <c r="Z5" s="155"/>
    </row>
    <row r="6" ht="15.75" customHeight="1">
      <c r="A6" s="156" t="s">
        <v>228</v>
      </c>
      <c r="B6" s="157" t="s">
        <v>246</v>
      </c>
      <c r="C6" s="157" t="s">
        <v>63</v>
      </c>
      <c r="D6" s="157" t="s">
        <v>247</v>
      </c>
      <c r="E6" s="161">
        <v>110713.0</v>
      </c>
      <c r="F6" s="162" t="s">
        <v>240</v>
      </c>
      <c r="G6" s="157" t="s">
        <v>232</v>
      </c>
      <c r="H6" s="157" t="s">
        <v>248</v>
      </c>
      <c r="I6" s="155"/>
      <c r="J6" s="155"/>
      <c r="K6" s="155"/>
      <c r="L6" s="155"/>
      <c r="M6" s="155"/>
      <c r="N6" s="155"/>
      <c r="O6" s="155"/>
      <c r="P6" s="155"/>
      <c r="Q6" s="155"/>
      <c r="R6" s="155"/>
      <c r="S6" s="155"/>
      <c r="T6" s="155"/>
      <c r="U6" s="155"/>
      <c r="V6" s="155"/>
      <c r="W6" s="155"/>
      <c r="X6" s="155"/>
      <c r="Y6" s="155"/>
      <c r="Z6" s="155"/>
    </row>
    <row r="7" ht="15.75" customHeight="1">
      <c r="A7" s="156" t="s">
        <v>228</v>
      </c>
      <c r="B7" s="157" t="s">
        <v>249</v>
      </c>
      <c r="C7" s="157" t="s">
        <v>59</v>
      </c>
      <c r="D7" s="157" t="s">
        <v>250</v>
      </c>
      <c r="E7" s="161">
        <v>108196.0</v>
      </c>
      <c r="F7" s="162" t="s">
        <v>244</v>
      </c>
      <c r="G7" s="157" t="s">
        <v>232</v>
      </c>
      <c r="H7" s="157" t="s">
        <v>245</v>
      </c>
      <c r="I7" s="155"/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55"/>
      <c r="U7" s="155"/>
      <c r="V7" s="155"/>
      <c r="W7" s="155"/>
      <c r="X7" s="155"/>
      <c r="Y7" s="155"/>
      <c r="Z7" s="155"/>
    </row>
    <row r="8" ht="15.75" customHeight="1">
      <c r="A8" s="156" t="s">
        <v>251</v>
      </c>
      <c r="B8" s="157" t="s">
        <v>252</v>
      </c>
      <c r="C8" s="157" t="s">
        <v>157</v>
      </c>
      <c r="D8" s="157" t="s">
        <v>253</v>
      </c>
      <c r="E8" s="161">
        <v>103269.0</v>
      </c>
      <c r="F8" s="162" t="s">
        <v>244</v>
      </c>
      <c r="G8" s="157" t="s">
        <v>232</v>
      </c>
      <c r="H8" s="157" t="s">
        <v>245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5"/>
      <c r="T8" s="155"/>
      <c r="U8" s="155"/>
      <c r="V8" s="155"/>
      <c r="W8" s="155"/>
      <c r="X8" s="155"/>
      <c r="Y8" s="155"/>
      <c r="Z8" s="155"/>
    </row>
    <row r="9" ht="15.75" customHeight="1">
      <c r="A9" s="156" t="s">
        <v>228</v>
      </c>
      <c r="B9" s="157" t="s">
        <v>254</v>
      </c>
      <c r="C9" s="157" t="s">
        <v>42</v>
      </c>
      <c r="D9" s="157" t="s">
        <v>255</v>
      </c>
      <c r="E9" s="161">
        <v>109271.0</v>
      </c>
      <c r="F9" s="162" t="s">
        <v>244</v>
      </c>
      <c r="G9" s="157" t="s">
        <v>256</v>
      </c>
      <c r="H9" s="157" t="s">
        <v>257</v>
      </c>
      <c r="I9" s="155"/>
      <c r="J9" s="155"/>
      <c r="K9" s="155"/>
      <c r="L9" s="155"/>
      <c r="M9" s="155"/>
      <c r="N9" s="155"/>
      <c r="O9" s="155"/>
      <c r="P9" s="155"/>
      <c r="Q9" s="155"/>
      <c r="R9" s="155"/>
      <c r="S9" s="155"/>
      <c r="T9" s="155"/>
      <c r="U9" s="155"/>
      <c r="V9" s="155"/>
      <c r="W9" s="155"/>
      <c r="X9" s="155"/>
      <c r="Y9" s="155"/>
      <c r="Z9" s="155"/>
    </row>
    <row r="10" ht="15.75" customHeight="1">
      <c r="A10" s="156" t="s">
        <v>228</v>
      </c>
      <c r="B10" s="157" t="s">
        <v>258</v>
      </c>
      <c r="C10" s="157" t="s">
        <v>121</v>
      </c>
      <c r="D10" s="157" t="s">
        <v>259</v>
      </c>
      <c r="E10" s="161">
        <v>108249.0</v>
      </c>
      <c r="F10" s="162" t="s">
        <v>244</v>
      </c>
      <c r="G10" s="157" t="s">
        <v>256</v>
      </c>
      <c r="H10" s="157" t="s">
        <v>257</v>
      </c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155"/>
      <c r="X10" s="155"/>
      <c r="Y10" s="155"/>
      <c r="Z10" s="155"/>
    </row>
    <row r="11" ht="15.75" customHeight="1">
      <c r="A11" s="156" t="s">
        <v>228</v>
      </c>
      <c r="B11" s="157" t="s">
        <v>260</v>
      </c>
      <c r="C11" s="157" t="s">
        <v>41</v>
      </c>
      <c r="D11" s="157" t="s">
        <v>261</v>
      </c>
      <c r="E11" s="161">
        <v>103583.0</v>
      </c>
      <c r="F11" s="162" t="s">
        <v>244</v>
      </c>
      <c r="G11" s="157" t="s">
        <v>256</v>
      </c>
      <c r="H11" s="157" t="s">
        <v>262</v>
      </c>
      <c r="I11" s="155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5"/>
      <c r="U11" s="155"/>
      <c r="V11" s="155"/>
      <c r="W11" s="155"/>
      <c r="X11" s="155"/>
      <c r="Y11" s="155"/>
      <c r="Z11" s="155"/>
    </row>
    <row r="12" ht="15.75" customHeight="1">
      <c r="A12" s="156" t="s">
        <v>228</v>
      </c>
      <c r="B12" s="157" t="s">
        <v>260</v>
      </c>
      <c r="C12" s="157" t="s">
        <v>41</v>
      </c>
      <c r="D12" s="157" t="s">
        <v>263</v>
      </c>
      <c r="E12" s="161">
        <v>93245.0</v>
      </c>
      <c r="F12" s="163" t="s">
        <v>264</v>
      </c>
      <c r="G12" s="164">
        <v>44870.0</v>
      </c>
      <c r="H12" s="165"/>
      <c r="I12" s="155"/>
      <c r="J12" s="155"/>
      <c r="K12" s="155"/>
      <c r="L12" s="155"/>
      <c r="M12" s="155"/>
      <c r="N12" s="155"/>
      <c r="O12" s="155"/>
      <c r="P12" s="155"/>
      <c r="Q12" s="155"/>
      <c r="R12" s="155"/>
      <c r="S12" s="155"/>
      <c r="T12" s="155"/>
      <c r="U12" s="155"/>
      <c r="V12" s="155"/>
      <c r="W12" s="155"/>
      <c r="X12" s="155"/>
      <c r="Y12" s="155"/>
      <c r="Z12" s="155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