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<sst xmlns="http://schemas.openxmlformats.org/spreadsheetml/2006/main" count="6844" uniqueCount="266">
  <si>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</si>
  <si>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</si>
  <si>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</si>
  <si>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</si>
  <si>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</si>
  <si>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</si>
  <si>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</si>
  <si>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</si>
  <si>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</si>
  <si>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</si>
  <si>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</si>
  <si>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</si>
  <si>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</si>
  <si>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</si>
  <si>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</si>
  <si>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</si>
  <si>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</si>
  <si>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</si>
  <si>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</si>
  <si>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</si>
  <si>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</si>
  <si>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</si>
  <si>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</si>
  <si>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</si>
  <si>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</si>
  <si>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</si>
  <si>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</si>
  <si>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</si>
  <si>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</si>
  <si>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</si>
  <si>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</si>
  <si>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</si>
  <si>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</si>
  <si>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</si>
  <si>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</si>
  <si>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</si>
  <si>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</si>
  <si>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</si>
  <si>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</si>
  <si>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</si>
  <si>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</si>
  <si>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</si>
  <si>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</si>
  <si>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</si>
  <si>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</si>
  <si>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</si>
  <si>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</si>
  <si>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</si>
  <si>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</si>
  <si>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</si>
  <si>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</si>
  <si>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</si>
  <si>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</si>
  <si>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19h00</t>
  </si>
  <si>
    <t>21h00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</si>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</sst>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13</v>
      </c>
      <c r="Q4" s="18">
        <f t="shared" si="4"/>
        <v>3</v>
      </c>
      <c r="R4" s="20">
        <f t="shared" si="5"/>
        <v>1</v>
      </c>
      <c r="S4" s="20">
        <f t="shared" si="6"/>
        <v>2</v>
      </c>
      <c r="T4" s="18">
        <f t="shared" si="7"/>
        <v>130</v>
      </c>
      <c r="U4" s="20">
        <f t="shared" si="8"/>
        <v>124</v>
      </c>
      <c r="V4" s="18">
        <f t="shared" si="9"/>
        <v>6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19.0</v>
      </c>
      <c r="AH5" s="23">
        <v>5.0</v>
      </c>
      <c r="AI5" s="24">
        <v>1.0</v>
      </c>
      <c r="AJ5" s="23">
        <v>2.0</v>
      </c>
      <c r="AK5" s="23">
        <v>186.0</v>
      </c>
      <c r="AL5" s="24">
        <v>170.0</v>
      </c>
      <c r="AM5" s="23">
        <v>16.0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31</v>
      </c>
      <c r="AG6" s="23">
        <v>17.0</v>
      </c>
      <c r="AH6" s="23">
        <v>3.0</v>
      </c>
      <c r="AI6" s="24">
        <v>2.0</v>
      </c>
      <c r="AJ6" s="23">
        <v>4.0</v>
      </c>
      <c r="AK6" s="23">
        <v>171.0</v>
      </c>
      <c r="AL6" s="24">
        <v>173.0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43</v>
      </c>
      <c r="AG7" s="23">
        <v>17.0</v>
      </c>
      <c r="AH7" s="23">
        <v>4.0</v>
      </c>
      <c r="AI7" s="24">
        <v>1.0</v>
      </c>
      <c r="AJ7" s="23">
        <v>3.0</v>
      </c>
      <c r="AK7" s="23">
        <v>159.0</v>
      </c>
      <c r="AL7" s="24">
        <v>172.0</v>
      </c>
      <c r="AM7" s="23">
        <v>-13.0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16</v>
      </c>
      <c r="Q8" s="18">
        <f t="shared" si="4"/>
        <v>4</v>
      </c>
      <c r="R8" s="20">
        <f t="shared" si="5"/>
        <v>2</v>
      </c>
      <c r="S8" s="20">
        <f t="shared" si="6"/>
        <v>0</v>
      </c>
      <c r="T8" s="18">
        <f t="shared" si="7"/>
        <v>138</v>
      </c>
      <c r="U8" s="20">
        <f t="shared" si="8"/>
        <v>100</v>
      </c>
      <c r="V8" s="18">
        <f t="shared" si="9"/>
        <v>38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33</v>
      </c>
      <c r="AG8" s="23">
        <v>16.0</v>
      </c>
      <c r="AH8" s="23">
        <v>4.0</v>
      </c>
      <c r="AI8" s="24">
        <v>2.0</v>
      </c>
      <c r="AJ8" s="23">
        <v>0.0</v>
      </c>
      <c r="AK8" s="23">
        <v>138.0</v>
      </c>
      <c r="AL8" s="24">
        <v>100.0</v>
      </c>
      <c r="AM8" s="23">
        <v>38.0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9</v>
      </c>
      <c r="Q9" s="18">
        <f t="shared" si="4"/>
        <v>1</v>
      </c>
      <c r="R9" s="20">
        <f t="shared" si="5"/>
        <v>0</v>
      </c>
      <c r="S9" s="20">
        <f t="shared" si="6"/>
        <v>6</v>
      </c>
      <c r="T9" s="18">
        <f t="shared" si="7"/>
        <v>151</v>
      </c>
      <c r="U9" s="20">
        <f t="shared" si="8"/>
        <v>185</v>
      </c>
      <c r="V9" s="18">
        <f t="shared" si="9"/>
        <v>-34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13.0</v>
      </c>
      <c r="AH9" s="23">
        <v>3.0</v>
      </c>
      <c r="AI9" s="24">
        <v>1.0</v>
      </c>
      <c r="AJ9" s="23">
        <v>2.0</v>
      </c>
      <c r="AK9" s="23">
        <v>130.0</v>
      </c>
      <c r="AL9" s="24">
        <v>124.0</v>
      </c>
      <c r="AM9" s="23">
        <v>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9.0</v>
      </c>
      <c r="AH11" s="23">
        <v>1.0</v>
      </c>
      <c r="AI11" s="24">
        <v>0.0</v>
      </c>
      <c r="AJ11" s="23">
        <v>6.0</v>
      </c>
      <c r="AK11" s="23">
        <v>151.0</v>
      </c>
      <c r="AL11" s="24">
        <v>185.0</v>
      </c>
      <c r="AM11" s="23">
        <v>-34.0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7.0</v>
      </c>
      <c r="AH12" s="23">
        <v>0.0</v>
      </c>
      <c r="AI12" s="24">
        <v>0.0</v>
      </c>
      <c r="AJ12" s="23">
        <v>7.0</v>
      </c>
      <c r="AK12" s="23">
        <v>124.0</v>
      </c>
      <c r="AL12" s="24">
        <v>168.0</v>
      </c>
      <c r="AM12" s="23">
        <v>-44.0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7</v>
      </c>
      <c r="Q13" s="18">
        <f t="shared" si="4"/>
        <v>0</v>
      </c>
      <c r="R13" s="20">
        <f t="shared" si="5"/>
        <v>0</v>
      </c>
      <c r="S13" s="20">
        <f t="shared" si="6"/>
        <v>7</v>
      </c>
      <c r="T13" s="18">
        <f t="shared" si="7"/>
        <v>124</v>
      </c>
      <c r="U13" s="20">
        <f t="shared" si="8"/>
        <v>168</v>
      </c>
      <c r="V13" s="18">
        <f t="shared" si="9"/>
        <v>-44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2" t="s">
        <v>22</v>
      </c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31"/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19</v>
      </c>
      <c r="Q78" s="18">
        <f t="shared" ref="Q78:Q89" si="14">COUNTIFS(E$78:E$143,O78,K$78:K$143,3)+COUNTIFS(I$78:I$143,O78,L$78:L$143,3)</f>
        <v>5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156</v>
      </c>
      <c r="U78" s="20">
        <f t="shared" ref="U78:U89" si="18">SUMIF(E$78:E$143,O78,H$78:H$143)+SUMIF(I$78:I$143,O78,F$78:F$143)</f>
        <v>136</v>
      </c>
      <c r="V78" s="18">
        <f t="shared" ref="V78:V89" si="19">T78-U78</f>
        <v>20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20.0</v>
      </c>
      <c r="AH80" s="23">
        <v>5.0</v>
      </c>
      <c r="AI80" s="24">
        <v>1.0</v>
      </c>
      <c r="AJ80" s="24">
        <v>3.0</v>
      </c>
      <c r="AK80" s="23">
        <v>193.0</v>
      </c>
      <c r="AL80" s="24">
        <v>153.0</v>
      </c>
      <c r="AM80" s="23">
        <v>40.0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19.0</v>
      </c>
      <c r="AH81" s="23">
        <v>5.0</v>
      </c>
      <c r="AI81" s="24">
        <v>1.0</v>
      </c>
      <c r="AJ81" s="24">
        <v>2.0</v>
      </c>
      <c r="AK81" s="23">
        <v>156.0</v>
      </c>
      <c r="AL81" s="24">
        <v>136.0</v>
      </c>
      <c r="AM81" s="23">
        <v>20.0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64</v>
      </c>
      <c r="AG82" s="23">
        <v>17.0</v>
      </c>
      <c r="AH82" s="23">
        <v>4.0</v>
      </c>
      <c r="AI82" s="24">
        <v>0.0</v>
      </c>
      <c r="AJ82" s="24">
        <v>5.0</v>
      </c>
      <c r="AK82" s="23">
        <v>158.0</v>
      </c>
      <c r="AL82" s="24">
        <v>158.0</v>
      </c>
      <c r="AM82" s="23">
        <v>0.0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/>
      <c r="G83" s="16" t="s">
        <v>24</v>
      </c>
      <c r="H83" s="13"/>
      <c r="I83" s="45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16</v>
      </c>
      <c r="Q83" s="18">
        <f t="shared" si="14"/>
        <v>4</v>
      </c>
      <c r="R83" s="20">
        <f t="shared" si="15"/>
        <v>0</v>
      </c>
      <c r="S83" s="20">
        <f t="shared" si="16"/>
        <v>4</v>
      </c>
      <c r="T83" s="18">
        <f t="shared" si="17"/>
        <v>123</v>
      </c>
      <c r="U83" s="20">
        <f t="shared" si="18"/>
        <v>138</v>
      </c>
      <c r="V83" s="18">
        <f t="shared" si="19"/>
        <v>-15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66</v>
      </c>
      <c r="AG83" s="23">
        <v>16.0</v>
      </c>
      <c r="AH83" s="23">
        <v>4.0</v>
      </c>
      <c r="AI83" s="24">
        <v>0.0</v>
      </c>
      <c r="AJ83" s="24">
        <v>4.0</v>
      </c>
      <c r="AK83" s="23">
        <v>123.0</v>
      </c>
      <c r="AL83" s="24">
        <v>138.0</v>
      </c>
      <c r="AM83" s="23">
        <v>-15.0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/>
      <c r="G84" s="16" t="s">
        <v>24</v>
      </c>
      <c r="H84" s="13"/>
      <c r="I84" s="48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62</v>
      </c>
      <c r="AG85" s="23">
        <v>14.0</v>
      </c>
      <c r="AH85" s="23">
        <v>3.0</v>
      </c>
      <c r="AI85" s="24">
        <v>0.0</v>
      </c>
      <c r="AJ85" s="24">
        <v>5.0</v>
      </c>
      <c r="AK85" s="23">
        <v>168.0</v>
      </c>
      <c r="AL85" s="24">
        <v>170.0</v>
      </c>
      <c r="AM85" s="23">
        <v>-2.0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60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164.0</v>
      </c>
      <c r="AL86" s="24">
        <v>185.0</v>
      </c>
      <c r="AM86" s="23">
        <v>-21.0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14</v>
      </c>
      <c r="Q87" s="18">
        <f t="shared" si="14"/>
        <v>3</v>
      </c>
      <c r="R87" s="20">
        <f t="shared" si="15"/>
        <v>0</v>
      </c>
      <c r="S87" s="20">
        <f t="shared" si="16"/>
        <v>5</v>
      </c>
      <c r="T87" s="18">
        <f t="shared" si="17"/>
        <v>164</v>
      </c>
      <c r="U87" s="20">
        <f t="shared" si="18"/>
        <v>185</v>
      </c>
      <c r="V87" s="18">
        <f t="shared" si="19"/>
        <v>-21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9">
        <v>2.0</v>
      </c>
      <c r="AI87" s="50">
        <v>0.0</v>
      </c>
      <c r="AJ87" s="50">
        <v>7.0</v>
      </c>
      <c r="AK87" s="49">
        <v>113.0</v>
      </c>
      <c r="AL87" s="50">
        <v>151.0</v>
      </c>
      <c r="AM87" s="49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8</v>
      </c>
      <c r="Q88" s="18">
        <f t="shared" si="14"/>
        <v>0</v>
      </c>
      <c r="R88" s="20">
        <f t="shared" si="15"/>
        <v>0</v>
      </c>
      <c r="S88" s="20">
        <f t="shared" si="16"/>
        <v>8</v>
      </c>
      <c r="T88" s="18">
        <f t="shared" si="17"/>
        <v>111</v>
      </c>
      <c r="U88" s="20">
        <f t="shared" si="18"/>
        <v>193</v>
      </c>
      <c r="V88" s="18">
        <f t="shared" si="19"/>
        <v>-82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8.0</v>
      </c>
      <c r="AH88" s="23">
        <v>0.0</v>
      </c>
      <c r="AI88" s="24">
        <v>0.0</v>
      </c>
      <c r="AJ88" s="24">
        <v>8.0</v>
      </c>
      <c r="AK88" s="23">
        <v>111.0</v>
      </c>
      <c r="AL88" s="24">
        <v>193.0</v>
      </c>
      <c r="AM88" s="23">
        <v>-82.0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52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3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/>
      <c r="G95" s="16" t="s">
        <v>24</v>
      </c>
      <c r="H95" s="13"/>
      <c r="I95" s="45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4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4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5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5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5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5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13">
        <v>22.0</v>
      </c>
      <c r="G117" s="16" t="s">
        <v>24</v>
      </c>
      <c r="H117" s="13">
        <v>17.0</v>
      </c>
      <c r="I117" s="45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/>
      <c r="C118" s="12"/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6" t="s">
        <v>69</v>
      </c>
      <c r="F119" s="13"/>
      <c r="G119" s="31" t="s">
        <v>24</v>
      </c>
      <c r="H119" s="13"/>
      <c r="I119" s="45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52</v>
      </c>
      <c r="D126" s="12" t="s">
        <v>22</v>
      </c>
      <c r="E126" s="45" t="s">
        <v>65</v>
      </c>
      <c r="F126" s="13">
        <v>31.0</v>
      </c>
      <c r="G126" s="31" t="s">
        <v>24</v>
      </c>
      <c r="H126" s="13">
        <v>10.0</v>
      </c>
      <c r="I126" s="45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13">
        <v>26.0</v>
      </c>
      <c r="G127" s="16" t="s">
        <v>24</v>
      </c>
      <c r="H127" s="13">
        <v>25.0</v>
      </c>
      <c r="I127" s="45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13">
        <v>9.0</v>
      </c>
      <c r="G128" s="16" t="s">
        <v>24</v>
      </c>
      <c r="H128" s="13">
        <v>16.0</v>
      </c>
      <c r="I128" s="45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13">
        <v>27.0</v>
      </c>
      <c r="G129" s="16" t="s">
        <v>24</v>
      </c>
      <c r="H129" s="13">
        <v>17.0</v>
      </c>
      <c r="I129" s="45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13">
        <v>21.0</v>
      </c>
      <c r="G130" s="16" t="s">
        <v>24</v>
      </c>
      <c r="H130" s="13">
        <v>23.0</v>
      </c>
      <c r="I130" s="45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6" t="s">
        <v>69</v>
      </c>
      <c r="F132" s="13"/>
      <c r="G132" s="31" t="s">
        <v>24</v>
      </c>
      <c r="H132" s="13"/>
      <c r="I132" s="45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13">
        <v>14.0</v>
      </c>
      <c r="G133" s="16" t="s">
        <v>24</v>
      </c>
      <c r="H133" s="13">
        <v>16.0</v>
      </c>
      <c r="I133" s="45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13">
        <v>13.0</v>
      </c>
      <c r="G134" s="16" t="s">
        <v>24</v>
      </c>
      <c r="H134" s="13">
        <v>14.0</v>
      </c>
      <c r="I134" s="45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13">
        <v>0.0</v>
      </c>
      <c r="G135" s="16" t="s">
        <v>24</v>
      </c>
      <c r="H135" s="13">
        <v>15.0</v>
      </c>
      <c r="I135" s="45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5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5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5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5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4">
        <v>46106.0</v>
      </c>
      <c r="C142" s="12" t="s">
        <v>54</v>
      </c>
      <c r="D142" s="12" t="s">
        <v>22</v>
      </c>
      <c r="E142" s="45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2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4">
        <v>46099.0</v>
      </c>
      <c r="C3" s="66" t="s">
        <v>96</v>
      </c>
      <c r="D3" s="12" t="s">
        <v>97</v>
      </c>
      <c r="E3" s="45" t="s">
        <v>40</v>
      </c>
      <c r="F3" s="45">
        <v>8.0</v>
      </c>
      <c r="G3" s="67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3"/>
    </row>
    <row r="4" ht="15.75" customHeight="1">
      <c r="A4" s="25"/>
      <c r="B4" s="44">
        <v>46099.0</v>
      </c>
      <c r="C4" s="66" t="s">
        <v>99</v>
      </c>
      <c r="D4" s="12" t="s">
        <v>97</v>
      </c>
      <c r="E4" s="45" t="s">
        <v>32</v>
      </c>
      <c r="F4" s="45">
        <v>13.0</v>
      </c>
      <c r="G4" s="67" t="s">
        <v>24</v>
      </c>
      <c r="H4" s="45">
        <v>17.0</v>
      </c>
      <c r="I4" s="45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3"/>
    </row>
    <row r="5" ht="15.75" customHeight="1">
      <c r="A5" s="25"/>
      <c r="B5" s="44">
        <v>45952.0</v>
      </c>
      <c r="C5" s="39" t="s">
        <v>100</v>
      </c>
      <c r="D5" s="71" t="s">
        <v>97</v>
      </c>
      <c r="E5" s="45" t="s">
        <v>64</v>
      </c>
      <c r="F5" s="45">
        <v>6.0</v>
      </c>
      <c r="G5" s="67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39</v>
      </c>
      <c r="AE5" s="70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3"/>
    </row>
    <row r="6" ht="15.75" customHeight="1">
      <c r="A6" s="25"/>
      <c r="B6" s="44">
        <v>45952.0</v>
      </c>
      <c r="C6" s="12" t="s">
        <v>54</v>
      </c>
      <c r="D6" s="71" t="s">
        <v>97</v>
      </c>
      <c r="E6" s="45" t="s">
        <v>101</v>
      </c>
      <c r="F6" s="45">
        <v>4.0</v>
      </c>
      <c r="G6" s="67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3"/>
      <c r="X6" s="28" t="s">
        <v>37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3"/>
    </row>
    <row r="7" ht="15.75" customHeight="1">
      <c r="A7" s="25"/>
      <c r="B7" s="44">
        <v>45952.0</v>
      </c>
      <c r="C7" s="66" t="s">
        <v>96</v>
      </c>
      <c r="D7" s="71" t="s">
        <v>97</v>
      </c>
      <c r="E7" s="45" t="s">
        <v>61</v>
      </c>
      <c r="F7" s="45">
        <v>3.0</v>
      </c>
      <c r="G7" s="67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3"/>
    </row>
    <row r="8" ht="15.75" customHeight="1">
      <c r="A8" s="29"/>
      <c r="B8" s="44">
        <v>45952.0</v>
      </c>
      <c r="C8" s="12" t="s">
        <v>99</v>
      </c>
      <c r="D8" s="71" t="s">
        <v>97</v>
      </c>
      <c r="E8" s="45" t="s">
        <v>25</v>
      </c>
      <c r="F8" s="45">
        <v>5.0</v>
      </c>
      <c r="G8" s="67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3"/>
    </row>
    <row r="9" ht="15.75" customHeight="1">
      <c r="A9" s="65">
        <v>2.0</v>
      </c>
      <c r="B9" s="44">
        <v>45952.0</v>
      </c>
      <c r="C9" s="12" t="s">
        <v>52</v>
      </c>
      <c r="D9" s="71" t="s">
        <v>97</v>
      </c>
      <c r="E9" s="45" t="s">
        <v>98</v>
      </c>
      <c r="F9" s="45">
        <v>4.0</v>
      </c>
      <c r="G9" s="67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3">
        <v>7.0</v>
      </c>
      <c r="AE9" s="70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3"/>
    </row>
    <row r="10" ht="15.75" customHeight="1">
      <c r="A10" s="25"/>
      <c r="B10" s="44">
        <v>45952.0</v>
      </c>
      <c r="C10" s="66" t="s">
        <v>102</v>
      </c>
      <c r="D10" s="71" t="s">
        <v>97</v>
      </c>
      <c r="E10" s="45" t="s">
        <v>43</v>
      </c>
      <c r="F10" s="45">
        <v>5.0</v>
      </c>
      <c r="G10" s="67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3">
        <v>8.0</v>
      </c>
      <c r="AE10" s="70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3"/>
    </row>
    <row r="11" ht="15.75" customHeight="1">
      <c r="A11" s="25"/>
      <c r="B11" s="44">
        <v>45952.0</v>
      </c>
      <c r="C11" s="66" t="s">
        <v>103</v>
      </c>
      <c r="D11" s="71" t="s">
        <v>97</v>
      </c>
      <c r="E11" s="45" t="s">
        <v>33</v>
      </c>
      <c r="F11" s="45">
        <v>13.0</v>
      </c>
      <c r="G11" s="67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3"/>
    </row>
    <row r="12" ht="15.75" customHeight="1">
      <c r="A12" s="25"/>
      <c r="B12" s="44">
        <v>45952.0</v>
      </c>
      <c r="C12" s="66" t="s">
        <v>55</v>
      </c>
      <c r="D12" s="71" t="s">
        <v>97</v>
      </c>
      <c r="E12" s="45" t="s">
        <v>65</v>
      </c>
      <c r="F12" s="45">
        <v>7.0</v>
      </c>
      <c r="G12" s="67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5" t="s">
        <v>37</v>
      </c>
      <c r="F13" s="45">
        <v>4.0</v>
      </c>
      <c r="G13" s="67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5" t="s">
        <v>38</v>
      </c>
      <c r="F14" s="45">
        <v>9.0</v>
      </c>
      <c r="G14" s="67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5" t="s">
        <v>98</v>
      </c>
      <c r="F15" s="45">
        <v>13.0</v>
      </c>
      <c r="G15" s="67" t="s">
        <v>24</v>
      </c>
      <c r="H15" s="45">
        <v>3.0</v>
      </c>
      <c r="I15" s="45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5" t="s">
        <v>40</v>
      </c>
      <c r="F16" s="45">
        <v>8.0</v>
      </c>
      <c r="G16" s="67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5" t="s">
        <v>32</v>
      </c>
      <c r="F17" s="45">
        <v>12.0</v>
      </c>
      <c r="G17" s="67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4"/>
      <c r="AG17" s="37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5" t="s">
        <v>64</v>
      </c>
      <c r="F18" s="45">
        <v>10.0</v>
      </c>
      <c r="G18" s="67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54</v>
      </c>
      <c r="D19" s="71" t="s">
        <v>97</v>
      </c>
      <c r="E19" s="45" t="s">
        <v>101</v>
      </c>
      <c r="F19" s="45">
        <v>8.0</v>
      </c>
      <c r="G19" s="67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I19" s="37"/>
      <c r="AJ19" s="37"/>
      <c r="AK19" s="37"/>
      <c r="AL19" s="37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5" t="s">
        <v>25</v>
      </c>
      <c r="F20" s="45">
        <v>7.0</v>
      </c>
      <c r="G20" s="67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I20" s="37"/>
      <c r="AJ20" s="37"/>
      <c r="AK20" s="37"/>
      <c r="AL20" s="37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5" t="s">
        <v>43</v>
      </c>
      <c r="F21" s="45">
        <v>12.0</v>
      </c>
      <c r="G21" s="67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I21" s="37"/>
      <c r="AJ21" s="37"/>
      <c r="AK21" s="37"/>
      <c r="AL21" s="37"/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5" t="s">
        <v>33</v>
      </c>
      <c r="F22" s="45">
        <v>11.0</v>
      </c>
      <c r="G22" s="67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I22" s="37"/>
      <c r="AJ22" s="37"/>
      <c r="AK22" s="37"/>
      <c r="AL22" s="37"/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5" t="s">
        <v>65</v>
      </c>
      <c r="F23" s="45">
        <v>8.0</v>
      </c>
      <c r="G23" s="67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I23" s="37"/>
      <c r="AJ23" s="37"/>
      <c r="AK23" s="37"/>
      <c r="AL23" s="37"/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5" t="s">
        <v>37</v>
      </c>
      <c r="F24" s="45">
        <v>10.0</v>
      </c>
      <c r="G24" s="67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I24" s="37"/>
      <c r="AJ24" s="37"/>
      <c r="AK24" s="37"/>
      <c r="AL24" s="37"/>
      <c r="AM24" s="63"/>
    </row>
    <row r="25" ht="15.75" customHeight="1">
      <c r="A25" s="25"/>
      <c r="B25" s="11">
        <v>46008.0</v>
      </c>
      <c r="C25" s="66" t="s">
        <v>55</v>
      </c>
      <c r="D25" s="71" t="s">
        <v>97</v>
      </c>
      <c r="E25" s="45" t="s">
        <v>38</v>
      </c>
      <c r="F25" s="45">
        <v>8.0</v>
      </c>
      <c r="G25" s="67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37"/>
      <c r="AH25" s="37"/>
      <c r="AI25" s="37"/>
      <c r="AJ25" s="37"/>
      <c r="AK25" s="37"/>
      <c r="AL25" s="37"/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5" t="s">
        <v>61</v>
      </c>
      <c r="F26" s="45">
        <v>11.0</v>
      </c>
      <c r="G26" s="67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37"/>
      <c r="AE26" s="37"/>
      <c r="AF26" s="37"/>
      <c r="AG26" s="37"/>
      <c r="AH26" s="37"/>
      <c r="AI26" s="37"/>
      <c r="AJ26" s="37"/>
      <c r="AK26" s="37"/>
      <c r="AL26" s="37"/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5" t="s">
        <v>43</v>
      </c>
      <c r="F27" s="45">
        <v>8.0</v>
      </c>
      <c r="G27" s="67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37"/>
      <c r="AE27" s="37"/>
      <c r="AF27" s="37"/>
      <c r="AG27" s="37"/>
      <c r="AH27" s="37"/>
      <c r="AI27" s="37"/>
      <c r="AJ27" s="37"/>
      <c r="AK27" s="37"/>
      <c r="AL27" s="37"/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7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37"/>
      <c r="AE28" s="37"/>
      <c r="AF28" s="37"/>
      <c r="AG28" s="37"/>
      <c r="AH28" s="37"/>
      <c r="AI28" s="37"/>
      <c r="AJ28" s="37"/>
      <c r="AK28" s="37"/>
      <c r="AL28" s="37"/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7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37"/>
      <c r="AE29" s="37"/>
      <c r="AF29" s="37"/>
      <c r="AG29" s="37"/>
      <c r="AH29" s="37"/>
      <c r="AI29" s="37"/>
      <c r="AJ29" s="37"/>
      <c r="AK29" s="37"/>
      <c r="AL29" s="37"/>
      <c r="AM29" s="63"/>
    </row>
    <row r="30" ht="15.75" customHeight="1">
      <c r="A30" s="25"/>
      <c r="B30" s="11">
        <v>46072.0</v>
      </c>
      <c r="C30" s="12" t="s">
        <v>54</v>
      </c>
      <c r="D30" s="12" t="s">
        <v>97</v>
      </c>
      <c r="E30" s="45" t="s">
        <v>32</v>
      </c>
      <c r="F30" s="45">
        <v>10.0</v>
      </c>
      <c r="G30" s="67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37"/>
      <c r="AE30" s="37"/>
      <c r="AF30" s="37"/>
      <c r="AG30" s="37"/>
      <c r="AH30" s="37"/>
      <c r="AI30" s="37"/>
      <c r="AJ30" s="37"/>
      <c r="AK30" s="37"/>
      <c r="AL30" s="37"/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5" t="s">
        <v>64</v>
      </c>
      <c r="F31" s="45">
        <v>3.0</v>
      </c>
      <c r="G31" s="67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37"/>
      <c r="AE31" s="37"/>
      <c r="AF31" s="37"/>
      <c r="AG31" s="37"/>
      <c r="AH31" s="37"/>
      <c r="AI31" s="37"/>
      <c r="AJ31" s="37"/>
      <c r="AK31" s="37"/>
      <c r="AL31" s="37"/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7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7"/>
      <c r="AE32" s="37"/>
      <c r="AF32" s="37"/>
      <c r="AG32" s="37"/>
      <c r="AH32" s="37"/>
      <c r="AI32" s="37"/>
      <c r="AJ32" s="37"/>
      <c r="AK32" s="37"/>
      <c r="AL32" s="37"/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5" t="s">
        <v>33</v>
      </c>
      <c r="F33" s="45">
        <v>4.0</v>
      </c>
      <c r="G33" s="67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7"/>
      <c r="AE33" s="37"/>
      <c r="AF33" s="37"/>
      <c r="AG33" s="37"/>
      <c r="AH33" s="37"/>
      <c r="AI33" s="37"/>
      <c r="AJ33" s="37"/>
      <c r="AK33" s="37"/>
      <c r="AL33" s="37"/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5" t="s">
        <v>65</v>
      </c>
      <c r="F34" s="45">
        <v>6.0</v>
      </c>
      <c r="G34" s="67" t="s">
        <v>24</v>
      </c>
      <c r="H34" s="45">
        <v>16.0</v>
      </c>
      <c r="I34" s="45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7"/>
      <c r="AE34" s="37"/>
      <c r="AF34" s="37"/>
      <c r="AG34" s="37"/>
      <c r="AH34" s="37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5" t="s">
        <v>37</v>
      </c>
      <c r="F35" s="45">
        <v>11.0</v>
      </c>
      <c r="G35" s="67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37"/>
      <c r="AE35" s="37"/>
      <c r="AF35" s="37"/>
      <c r="AG35" s="37"/>
      <c r="AH35" s="37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55</v>
      </c>
      <c r="D36" s="12" t="s">
        <v>97</v>
      </c>
      <c r="E36" s="45" t="s">
        <v>38</v>
      </c>
      <c r="F36" s="45">
        <v>2.0</v>
      </c>
      <c r="G36" s="67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5" t="s">
        <v>61</v>
      </c>
      <c r="F37" s="45">
        <v>8.0</v>
      </c>
      <c r="G37" s="67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7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37"/>
      <c r="AE38" s="37"/>
      <c r="AF38" s="37"/>
      <c r="AG38" s="37"/>
      <c r="AH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7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37"/>
      <c r="AE39" s="37"/>
      <c r="AF39" s="37"/>
      <c r="AG39" s="37"/>
      <c r="AH39" s="37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5" t="s">
        <v>43</v>
      </c>
      <c r="F40" s="45">
        <v>6.0</v>
      </c>
      <c r="G40" s="67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37"/>
      <c r="AE40" s="37"/>
      <c r="AF40" s="37"/>
      <c r="AG40" s="37"/>
      <c r="AH40" s="37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7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37"/>
      <c r="AE41" s="37"/>
      <c r="AF41" s="37"/>
      <c r="AG41" s="37"/>
      <c r="AH41" s="37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54</v>
      </c>
      <c r="D42" s="12" t="s">
        <v>22</v>
      </c>
      <c r="E42" s="45" t="s">
        <v>40</v>
      </c>
      <c r="F42" s="45">
        <v>14.0</v>
      </c>
      <c r="G42" s="67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37"/>
      <c r="AE42" s="37"/>
      <c r="AF42" s="37"/>
      <c r="AG42" s="37"/>
      <c r="AH42" s="37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5" t="s">
        <v>32</v>
      </c>
      <c r="F43" s="45">
        <v>10.0</v>
      </c>
      <c r="G43" s="67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37"/>
      <c r="AE43" s="37"/>
      <c r="AF43" s="37"/>
      <c r="AG43" s="37"/>
      <c r="AH43" s="37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5" t="s">
        <v>25</v>
      </c>
      <c r="F44" s="45">
        <v>18.0</v>
      </c>
      <c r="G44" s="67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37"/>
      <c r="AE44" s="37"/>
      <c r="AF44" s="37"/>
      <c r="AG44" s="37"/>
      <c r="AH44" s="37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7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37"/>
      <c r="AE45" s="37"/>
      <c r="AF45" s="37"/>
      <c r="AG45" s="37"/>
      <c r="AH45" s="37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5" t="s">
        <v>37</v>
      </c>
      <c r="F46" s="45">
        <v>6.0</v>
      </c>
      <c r="G46" s="67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5" t="s">
        <v>38</v>
      </c>
      <c r="F47" s="45">
        <v>11.0</v>
      </c>
      <c r="G47" s="67" t="s">
        <v>24</v>
      </c>
      <c r="H47" s="45">
        <v>17.0</v>
      </c>
      <c r="I47" s="45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55</v>
      </c>
      <c r="D48" s="12" t="s">
        <v>22</v>
      </c>
      <c r="E48" s="45" t="s">
        <v>61</v>
      </c>
      <c r="F48" s="45">
        <v>14.0</v>
      </c>
      <c r="G48" s="67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5" t="s">
        <v>101</v>
      </c>
      <c r="F49" s="45">
        <v>4.0</v>
      </c>
      <c r="G49" s="67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5" t="s">
        <v>64</v>
      </c>
      <c r="F50" s="45">
        <v>11.0</v>
      </c>
      <c r="G50" s="67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5" t="s">
        <v>65</v>
      </c>
      <c r="F51" s="45">
        <v>6.0</v>
      </c>
      <c r="G51" s="67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5" t="s">
        <v>33</v>
      </c>
      <c r="F52" s="45">
        <v>11.0</v>
      </c>
      <c r="G52" s="67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5" t="s">
        <v>43</v>
      </c>
      <c r="F53" s="45">
        <v>14.0</v>
      </c>
      <c r="G53" s="67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55</v>
      </c>
      <c r="D54" s="12" t="s">
        <v>97</v>
      </c>
      <c r="E54" s="45" t="s">
        <v>98</v>
      </c>
      <c r="F54" s="45">
        <v>8.0</v>
      </c>
      <c r="G54" s="67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5" t="s">
        <v>40</v>
      </c>
      <c r="F55" s="45">
        <v>10.0</v>
      </c>
      <c r="G55" s="67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5" t="s">
        <v>25</v>
      </c>
      <c r="F56" s="45">
        <v>5.0</v>
      </c>
      <c r="G56" s="67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81"/>
      <c r="C57" s="67"/>
      <c r="D57" s="67"/>
      <c r="E57" s="45" t="s">
        <v>25</v>
      </c>
      <c r="F57" s="67"/>
      <c r="G57" s="67" t="s">
        <v>24</v>
      </c>
      <c r="H57" s="67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81"/>
      <c r="C58" s="67"/>
      <c r="D58" s="67"/>
      <c r="E58" s="45" t="s">
        <v>38</v>
      </c>
      <c r="F58" s="67"/>
      <c r="G58" s="67" t="s">
        <v>24</v>
      </c>
      <c r="H58" s="67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81"/>
      <c r="C59" s="67"/>
      <c r="D59" s="67"/>
      <c r="E59" s="45" t="s">
        <v>61</v>
      </c>
      <c r="F59" s="67"/>
      <c r="G59" s="67" t="s">
        <v>24</v>
      </c>
      <c r="H59" s="67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81"/>
      <c r="C60" s="67"/>
      <c r="D60" s="67"/>
      <c r="E60" s="45" t="s">
        <v>101</v>
      </c>
      <c r="F60" s="67"/>
      <c r="G60" s="67" t="s">
        <v>24</v>
      </c>
      <c r="H60" s="67"/>
      <c r="I60" s="45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81"/>
      <c r="C61" s="67"/>
      <c r="D61" s="67"/>
      <c r="E61" s="45" t="s">
        <v>64</v>
      </c>
      <c r="F61" s="67"/>
      <c r="G61" s="67" t="s">
        <v>24</v>
      </c>
      <c r="H61" s="67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81"/>
      <c r="C62" s="67"/>
      <c r="D62" s="67"/>
      <c r="E62" s="45" t="s">
        <v>32</v>
      </c>
      <c r="F62" s="67"/>
      <c r="G62" s="67" t="s">
        <v>24</v>
      </c>
      <c r="H62" s="67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81"/>
      <c r="C63" s="67"/>
      <c r="D63" s="67"/>
      <c r="E63" s="45" t="s">
        <v>37</v>
      </c>
      <c r="F63" s="67"/>
      <c r="G63" s="67" t="s">
        <v>24</v>
      </c>
      <c r="H63" s="67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81"/>
      <c r="C64" s="67"/>
      <c r="D64" s="67"/>
      <c r="E64" s="45" t="s">
        <v>65</v>
      </c>
      <c r="F64" s="67"/>
      <c r="G64" s="67" t="s">
        <v>24</v>
      </c>
      <c r="H64" s="67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81"/>
      <c r="C65" s="67"/>
      <c r="D65" s="67"/>
      <c r="E65" s="45" t="s">
        <v>33</v>
      </c>
      <c r="F65" s="67"/>
      <c r="G65" s="67" t="s">
        <v>24</v>
      </c>
      <c r="H65" s="67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81"/>
      <c r="C66" s="67"/>
      <c r="D66" s="67"/>
      <c r="E66" s="45" t="s">
        <v>43</v>
      </c>
      <c r="F66" s="67"/>
      <c r="G66" s="67" t="s">
        <v>24</v>
      </c>
      <c r="H66" s="67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81"/>
      <c r="C67" s="67"/>
      <c r="D67" s="67"/>
      <c r="E67" s="45" t="s">
        <v>98</v>
      </c>
      <c r="F67" s="67"/>
      <c r="G67" s="67" t="s">
        <v>24</v>
      </c>
      <c r="H67" s="67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81"/>
      <c r="C68" s="67"/>
      <c r="D68" s="67"/>
      <c r="E68" s="45" t="s">
        <v>40</v>
      </c>
      <c r="F68" s="45"/>
      <c r="G68" s="67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2"/>
      <c r="B69" s="83"/>
      <c r="C69" s="83"/>
      <c r="D69" s="83"/>
      <c r="E69" s="83"/>
      <c r="F69" s="83"/>
      <c r="G69" s="8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2"/>
      <c r="B70" s="83"/>
      <c r="C70" s="83"/>
      <c r="D70" s="83"/>
      <c r="E70" s="83"/>
      <c r="F70" s="83"/>
      <c r="G70" s="8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2"/>
      <c r="B71" s="83"/>
      <c r="C71" s="83"/>
      <c r="D71" s="83"/>
      <c r="E71" s="83"/>
      <c r="F71" s="83"/>
      <c r="G71" s="8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111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44"/>
      <c r="C74" s="39"/>
      <c r="D74" s="39"/>
      <c r="E74" s="17" t="s">
        <v>31</v>
      </c>
      <c r="F74" s="84"/>
      <c r="G74" s="67" t="s">
        <v>24</v>
      </c>
      <c r="H74" s="84"/>
      <c r="I74" s="85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3"/>
      <c r="X74" s="63"/>
      <c r="Y74" s="63"/>
      <c r="Z74" s="63"/>
      <c r="AA74" s="63"/>
      <c r="AB74" s="63"/>
      <c r="AC74" s="63"/>
      <c r="AD74" s="46" t="s">
        <v>29</v>
      </c>
      <c r="AE74" s="70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3"/>
    </row>
    <row r="75" ht="15.75" customHeight="1">
      <c r="A75" s="25"/>
      <c r="B75" s="44">
        <v>45952.0</v>
      </c>
      <c r="C75" s="39" t="s">
        <v>113</v>
      </c>
      <c r="D75" s="71" t="s">
        <v>97</v>
      </c>
      <c r="E75" s="17" t="s">
        <v>114</v>
      </c>
      <c r="F75" s="17">
        <v>0.0</v>
      </c>
      <c r="G75" s="67" t="s">
        <v>24</v>
      </c>
      <c r="H75" s="17">
        <v>9.0</v>
      </c>
      <c r="I75" s="85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3"/>
      <c r="X75" s="63"/>
      <c r="Y75" s="63"/>
      <c r="Z75" s="63"/>
      <c r="AA75" s="63"/>
      <c r="AB75" s="63"/>
      <c r="AC75" s="63"/>
      <c r="AD75" s="73" t="s">
        <v>116</v>
      </c>
      <c r="AE75" s="70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3"/>
    </row>
    <row r="76" ht="15.75" customHeight="1">
      <c r="A76" s="25"/>
      <c r="B76" s="44"/>
      <c r="C76" s="39"/>
      <c r="D76" s="39"/>
      <c r="E76" s="17" t="s">
        <v>63</v>
      </c>
      <c r="F76" s="84"/>
      <c r="G76" s="67" t="s">
        <v>24</v>
      </c>
      <c r="H76" s="84"/>
      <c r="I76" s="85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7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3"/>
    </row>
    <row r="77" ht="15.75" customHeight="1">
      <c r="A77" s="25"/>
      <c r="B77" s="44">
        <v>45952.0</v>
      </c>
      <c r="C77" s="12" t="s">
        <v>107</v>
      </c>
      <c r="D77" s="71" t="s">
        <v>97</v>
      </c>
      <c r="E77" s="17" t="s">
        <v>118</v>
      </c>
      <c r="F77" s="17">
        <v>7.0</v>
      </c>
      <c r="G77" s="67" t="s">
        <v>24</v>
      </c>
      <c r="H77" s="17">
        <v>10.0</v>
      </c>
      <c r="I77" s="85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3"/>
    </row>
    <row r="78" ht="15.75" customHeight="1">
      <c r="A78" s="29"/>
      <c r="B78" s="86"/>
      <c r="C78" s="67"/>
      <c r="D78" s="67"/>
      <c r="E78" s="17" t="s">
        <v>59</v>
      </c>
      <c r="F78" s="84"/>
      <c r="G78" s="67" t="s">
        <v>24</v>
      </c>
      <c r="H78" s="84"/>
      <c r="I78" s="85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3"/>
    </row>
    <row r="79" ht="15.75" customHeight="1">
      <c r="A79" s="10">
        <v>2.0</v>
      </c>
      <c r="B79" s="44">
        <v>45952.0</v>
      </c>
      <c r="C79" s="39" t="s">
        <v>51</v>
      </c>
      <c r="D79" s="71" t="s">
        <v>97</v>
      </c>
      <c r="E79" s="17" t="s">
        <v>112</v>
      </c>
      <c r="F79" s="17">
        <v>7.0</v>
      </c>
      <c r="G79" s="67" t="s">
        <v>24</v>
      </c>
      <c r="H79" s="17">
        <v>2.0</v>
      </c>
      <c r="I79" s="85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3"/>
    </row>
    <row r="80" ht="15.75" customHeight="1">
      <c r="A80" s="25"/>
      <c r="B80" s="87"/>
      <c r="C80" s="88"/>
      <c r="D80" s="88"/>
      <c r="E80" s="17">
        <v>0.0</v>
      </c>
      <c r="F80" s="84"/>
      <c r="G80" s="67" t="s">
        <v>24</v>
      </c>
      <c r="H80" s="84"/>
      <c r="I80" s="85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3"/>
    </row>
    <row r="81" ht="15.75" customHeight="1">
      <c r="A81" s="25"/>
      <c r="B81" s="44">
        <v>45952.0</v>
      </c>
      <c r="C81" s="39" t="s">
        <v>110</v>
      </c>
      <c r="D81" s="71" t="s">
        <v>97</v>
      </c>
      <c r="E81" s="85" t="s">
        <v>115</v>
      </c>
      <c r="F81" s="17">
        <v>16.0</v>
      </c>
      <c r="G81" s="67" t="s">
        <v>24</v>
      </c>
      <c r="H81" s="17">
        <v>5.0</v>
      </c>
      <c r="I81" s="85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117</v>
      </c>
      <c r="F82" s="17">
        <v>16.0</v>
      </c>
      <c r="G82" s="67" t="s">
        <v>24</v>
      </c>
      <c r="H82" s="17">
        <v>14.0</v>
      </c>
      <c r="I82" s="85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3"/>
    </row>
    <row r="83" ht="15.75" customHeight="1">
      <c r="A83" s="29"/>
      <c r="B83" s="11">
        <v>45952.0</v>
      </c>
      <c r="C83" s="12" t="s">
        <v>54</v>
      </c>
      <c r="D83" s="71" t="s">
        <v>97</v>
      </c>
      <c r="E83" s="17" t="s">
        <v>119</v>
      </c>
      <c r="F83" s="17">
        <v>6.0</v>
      </c>
      <c r="G83" s="67" t="s">
        <v>24</v>
      </c>
      <c r="H83" s="17">
        <v>8.0</v>
      </c>
      <c r="I83" s="85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120</v>
      </c>
      <c r="AG83" s="89"/>
      <c r="AH83" s="89"/>
      <c r="AI83" s="89"/>
      <c r="AJ83" s="89"/>
      <c r="AK83" s="89"/>
      <c r="AL83" s="89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85" t="s">
        <v>112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114</v>
      </c>
      <c r="F85" s="17">
        <v>2.0</v>
      </c>
      <c r="G85" s="67" t="s">
        <v>24</v>
      </c>
      <c r="H85" s="17">
        <v>21.0</v>
      </c>
      <c r="I85" s="85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55</v>
      </c>
      <c r="D86" s="71" t="s">
        <v>97</v>
      </c>
      <c r="E86" s="17" t="s">
        <v>118</v>
      </c>
      <c r="F86" s="17">
        <v>9.0</v>
      </c>
      <c r="G86" s="67" t="s">
        <v>24</v>
      </c>
      <c r="H86" s="17">
        <v>7.0</v>
      </c>
      <c r="I86" s="85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85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81"/>
      <c r="C88" s="67"/>
      <c r="D88" s="67"/>
      <c r="E88" s="17">
        <v>0.0</v>
      </c>
      <c r="F88" s="84"/>
      <c r="G88" s="67" t="s">
        <v>24</v>
      </c>
      <c r="H88" s="84"/>
      <c r="I88" s="85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112</v>
      </c>
      <c r="F89" s="17">
        <v>21.0</v>
      </c>
      <c r="G89" s="67" t="s">
        <v>24</v>
      </c>
      <c r="H89" s="17">
        <v>0.0</v>
      </c>
      <c r="I89" s="85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85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0"/>
      <c r="C91" s="88"/>
      <c r="D91" s="88"/>
      <c r="E91" s="17" t="s">
        <v>114</v>
      </c>
      <c r="F91" s="17">
        <v>12.0</v>
      </c>
      <c r="G91" s="67" t="s">
        <v>24</v>
      </c>
      <c r="H91" s="17">
        <v>13.0</v>
      </c>
      <c r="I91" s="85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5" t="s">
        <v>115</v>
      </c>
      <c r="F92" s="84"/>
      <c r="G92" s="67" t="s">
        <v>24</v>
      </c>
      <c r="H92" s="84"/>
      <c r="I92" s="85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7" t="s">
        <v>24</v>
      </c>
      <c r="H93" s="17">
        <v>12.0</v>
      </c>
      <c r="I93" s="85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85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7" t="s">
        <v>24</v>
      </c>
      <c r="H95" s="17">
        <v>16.0</v>
      </c>
      <c r="I95" s="85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85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7" t="s">
        <v>24</v>
      </c>
      <c r="H97" s="17">
        <v>9.0</v>
      </c>
      <c r="I97" s="85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81"/>
      <c r="C98" s="67"/>
      <c r="D98" s="84"/>
      <c r="E98" s="17">
        <v>0.0</v>
      </c>
      <c r="F98" s="84"/>
      <c r="G98" s="67" t="s">
        <v>24</v>
      </c>
      <c r="H98" s="84"/>
      <c r="I98" s="85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81"/>
      <c r="C99" s="67"/>
      <c r="D99" s="84"/>
      <c r="E99" s="17" t="s">
        <v>112</v>
      </c>
      <c r="F99" s="84"/>
      <c r="G99" s="67" t="s">
        <v>24</v>
      </c>
      <c r="H99" s="84"/>
      <c r="I99" s="85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85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114</v>
      </c>
      <c r="F101" s="17">
        <v>5.0</v>
      </c>
      <c r="G101" s="67" t="s">
        <v>24</v>
      </c>
      <c r="H101" s="17">
        <v>16.0</v>
      </c>
      <c r="I101" s="85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0"/>
      <c r="C102" s="88"/>
      <c r="D102" s="41"/>
      <c r="E102" s="17" t="s">
        <v>63</v>
      </c>
      <c r="F102" s="84"/>
      <c r="G102" s="67" t="s">
        <v>24</v>
      </c>
      <c r="H102" s="84"/>
      <c r="I102" s="85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54</v>
      </c>
      <c r="D103" s="39" t="s">
        <v>22</v>
      </c>
      <c r="E103" s="85" t="s">
        <v>115</v>
      </c>
      <c r="F103" s="17">
        <v>12.0</v>
      </c>
      <c r="G103" s="67" t="s">
        <v>24</v>
      </c>
      <c r="H103" s="17">
        <v>10.0</v>
      </c>
      <c r="I103" s="85" t="s">
        <v>117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81"/>
      <c r="C104" s="67"/>
      <c r="D104" s="67"/>
      <c r="E104" s="17" t="s">
        <v>117</v>
      </c>
      <c r="F104" s="84"/>
      <c r="G104" s="67" t="s">
        <v>24</v>
      </c>
      <c r="H104" s="84"/>
      <c r="I104" s="85" t="s">
        <v>112</v>
      </c>
      <c r="J104" s="63"/>
      <c r="K104" s="4" t="str">
        <f t="shared" si="11"/>
        <v/>
      </c>
      <c r="L104" s="18" t="str">
        <f t="shared" si="12"/>
        <v/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81"/>
      <c r="C105" s="67"/>
      <c r="D105" s="67"/>
      <c r="E105" s="17" t="s">
        <v>119</v>
      </c>
      <c r="F105" s="84"/>
      <c r="G105" s="67" t="s">
        <v>24</v>
      </c>
      <c r="H105" s="84"/>
      <c r="I105" s="85" t="s">
        <v>31</v>
      </c>
      <c r="J105" s="63"/>
      <c r="K105" s="4" t="str">
        <f t="shared" si="11"/>
        <v/>
      </c>
      <c r="L105" s="18" t="str">
        <f t="shared" si="12"/>
        <v/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81"/>
      <c r="C106" s="67"/>
      <c r="D106" s="67"/>
      <c r="E106" s="17" t="s">
        <v>59</v>
      </c>
      <c r="F106" s="84"/>
      <c r="G106" s="67" t="s">
        <v>24</v>
      </c>
      <c r="H106" s="84"/>
      <c r="I106" s="85" t="s">
        <v>114</v>
      </c>
      <c r="J106" s="63"/>
      <c r="K106" s="4" t="str">
        <f t="shared" si="11"/>
        <v/>
      </c>
      <c r="L106" s="18" t="str">
        <f t="shared" si="12"/>
        <v/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118</v>
      </c>
      <c r="F107" s="17">
        <v>20.0</v>
      </c>
      <c r="G107" s="67" t="s">
        <v>24</v>
      </c>
      <c r="H107" s="17">
        <v>6.0</v>
      </c>
      <c r="I107" s="85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81"/>
      <c r="C108" s="67"/>
      <c r="D108" s="67"/>
      <c r="E108" s="17">
        <v>0.0</v>
      </c>
      <c r="F108" s="84"/>
      <c r="G108" s="67" t="s">
        <v>24</v>
      </c>
      <c r="H108" s="84"/>
      <c r="I108" s="85" t="s">
        <v>115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81"/>
      <c r="C109" s="67"/>
      <c r="D109" s="67"/>
      <c r="E109" s="17" t="s">
        <v>112</v>
      </c>
      <c r="F109" s="84"/>
      <c r="G109" s="67" t="s">
        <v>24</v>
      </c>
      <c r="H109" s="84"/>
      <c r="I109" s="85" t="s">
        <v>115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81"/>
      <c r="C110" s="67"/>
      <c r="D110" s="67"/>
      <c r="E110" s="17" t="s">
        <v>31</v>
      </c>
      <c r="F110" s="84"/>
      <c r="G110" s="67" t="s">
        <v>24</v>
      </c>
      <c r="H110" s="84"/>
      <c r="I110" s="85" t="s">
        <v>117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81"/>
      <c r="C111" s="67"/>
      <c r="D111" s="67"/>
      <c r="E111" s="17" t="s">
        <v>114</v>
      </c>
      <c r="F111" s="84"/>
      <c r="G111" s="67" t="s">
        <v>24</v>
      </c>
      <c r="H111" s="84"/>
      <c r="I111" s="85" t="s">
        <v>119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81"/>
      <c r="C112" s="67"/>
      <c r="D112" s="67"/>
      <c r="E112" s="17" t="s">
        <v>63</v>
      </c>
      <c r="F112" s="84"/>
      <c r="G112" s="67" t="s">
        <v>24</v>
      </c>
      <c r="H112" s="84"/>
      <c r="I112" s="85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81"/>
      <c r="C113" s="67"/>
      <c r="D113" s="67"/>
      <c r="E113" s="17" t="s">
        <v>118</v>
      </c>
      <c r="F113" s="84"/>
      <c r="G113" s="67" t="s">
        <v>24</v>
      </c>
      <c r="H113" s="84"/>
      <c r="I113" s="85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81"/>
      <c r="C114" s="67"/>
      <c r="D114" s="67"/>
      <c r="E114" s="17">
        <v>0.0</v>
      </c>
      <c r="F114" s="84"/>
      <c r="G114" s="67" t="s">
        <v>24</v>
      </c>
      <c r="H114" s="84"/>
      <c r="I114" s="85" t="s">
        <v>112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81"/>
      <c r="C115" s="67"/>
      <c r="D115" s="67"/>
      <c r="E115" s="17" t="s">
        <v>115</v>
      </c>
      <c r="F115" s="84"/>
      <c r="G115" s="67" t="s">
        <v>24</v>
      </c>
      <c r="H115" s="84"/>
      <c r="I115" s="85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81"/>
      <c r="C116" s="67"/>
      <c r="D116" s="67"/>
      <c r="E116" s="17" t="s">
        <v>117</v>
      </c>
      <c r="F116" s="84"/>
      <c r="G116" s="67" t="s">
        <v>24</v>
      </c>
      <c r="H116" s="84"/>
      <c r="I116" s="8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81"/>
      <c r="C117" s="67"/>
      <c r="D117" s="67"/>
      <c r="E117" s="17" t="s">
        <v>119</v>
      </c>
      <c r="F117" s="84"/>
      <c r="G117" s="67" t="s">
        <v>24</v>
      </c>
      <c r="H117" s="84"/>
      <c r="I117" s="85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81"/>
      <c r="C118" s="67"/>
      <c r="D118" s="67"/>
      <c r="E118" s="17" t="s">
        <v>59</v>
      </c>
      <c r="F118" s="84"/>
      <c r="G118" s="67" t="s">
        <v>24</v>
      </c>
      <c r="H118" s="84"/>
      <c r="I118" s="85" t="s">
        <v>118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2"/>
      <c r="B123" s="83"/>
      <c r="C123" s="83"/>
      <c r="D123" s="83"/>
      <c r="E123" s="83"/>
      <c r="F123" s="83"/>
      <c r="G123" s="8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2" t="s">
        <v>121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4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6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4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38</v>
      </c>
      <c r="Y127" s="28">
        <v>3.0</v>
      </c>
      <c r="Z127" s="63"/>
      <c r="AA127" s="63"/>
      <c r="AB127" s="63"/>
      <c r="AC127" s="63"/>
      <c r="AD127" s="73" t="s">
        <v>116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4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119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4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86"/>
      <c r="C130" s="67"/>
      <c r="D130" s="67"/>
      <c r="E130" s="17" t="s">
        <v>67</v>
      </c>
      <c r="F130" s="84"/>
      <c r="G130" s="67" t="s">
        <v>24</v>
      </c>
      <c r="H130" s="84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4">
        <v>45952.0</v>
      </c>
      <c r="C131" s="39" t="s">
        <v>102</v>
      </c>
      <c r="D131" s="71" t="s">
        <v>97</v>
      </c>
      <c r="E131" s="17" t="s">
        <v>122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87"/>
      <c r="C132" s="88"/>
      <c r="D132" s="88"/>
      <c r="E132" s="17">
        <v>0.0</v>
      </c>
      <c r="F132" s="84"/>
      <c r="G132" s="67" t="s">
        <v>24</v>
      </c>
      <c r="H132" s="84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4">
        <v>45952.0</v>
      </c>
      <c r="C133" s="39" t="s">
        <v>102</v>
      </c>
      <c r="D133" s="71" t="s">
        <v>97</v>
      </c>
      <c r="E133" s="17" t="s">
        <v>123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55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55</v>
      </c>
      <c r="D135" s="71" t="s">
        <v>97</v>
      </c>
      <c r="E135" s="17" t="s">
        <v>124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125</v>
      </c>
      <c r="AG135" s="89"/>
      <c r="AH135" s="89"/>
      <c r="AI135" s="89"/>
      <c r="AJ135" s="89"/>
      <c r="AK135" s="89"/>
      <c r="AL135" s="89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54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81"/>
      <c r="C140" s="67"/>
      <c r="D140" s="67"/>
      <c r="E140" s="17">
        <v>0.0</v>
      </c>
      <c r="F140" s="84"/>
      <c r="G140" s="67" t="s">
        <v>24</v>
      </c>
      <c r="H140" s="84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122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0"/>
      <c r="C143" s="88"/>
      <c r="D143" s="88"/>
      <c r="E143" s="17" t="s">
        <v>45</v>
      </c>
      <c r="F143" s="84"/>
      <c r="G143" s="67" t="s">
        <v>24</v>
      </c>
      <c r="H143" s="84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7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81"/>
      <c r="C150" s="84"/>
      <c r="D150" s="84"/>
      <c r="E150" s="17">
        <v>0.0</v>
      </c>
      <c r="F150" s="84"/>
      <c r="G150" s="67" t="s">
        <v>24</v>
      </c>
      <c r="H150" s="84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122</v>
      </c>
      <c r="F151" s="17">
        <v>6.0</v>
      </c>
      <c r="G151" s="67" t="s">
        <v>24</v>
      </c>
      <c r="H151" s="17">
        <v>10.0</v>
      </c>
      <c r="I151" s="17" t="s">
        <v>124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0"/>
      <c r="C154" s="91"/>
      <c r="D154" s="41"/>
      <c r="E154" s="17" t="s">
        <v>60</v>
      </c>
      <c r="F154" s="84"/>
      <c r="G154" s="67" t="s">
        <v>24</v>
      </c>
      <c r="H154" s="84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123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122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55</v>
      </c>
      <c r="D157" s="39" t="s">
        <v>22</v>
      </c>
      <c r="E157" s="17" t="s">
        <v>124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81"/>
      <c r="C160" s="67"/>
      <c r="D160" s="67"/>
      <c r="E160" s="17">
        <v>0.0</v>
      </c>
      <c r="F160" s="84"/>
      <c r="G160" s="67" t="s">
        <v>24</v>
      </c>
      <c r="H160" s="84"/>
      <c r="I160" s="17" t="s">
        <v>123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81"/>
      <c r="C161" s="67"/>
      <c r="D161" s="67"/>
      <c r="E161" s="17" t="s">
        <v>122</v>
      </c>
      <c r="F161" s="84"/>
      <c r="G161" s="67" t="s">
        <v>24</v>
      </c>
      <c r="H161" s="84"/>
      <c r="I161" s="17" t="s">
        <v>123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81"/>
      <c r="C162" s="67"/>
      <c r="D162" s="67"/>
      <c r="E162" s="17" t="s">
        <v>68</v>
      </c>
      <c r="F162" s="84"/>
      <c r="G162" s="67" t="s">
        <v>24</v>
      </c>
      <c r="H162" s="84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81"/>
      <c r="C163" s="67"/>
      <c r="D163" s="67"/>
      <c r="E163" s="17" t="s">
        <v>45</v>
      </c>
      <c r="F163" s="84"/>
      <c r="G163" s="67" t="s">
        <v>24</v>
      </c>
      <c r="H163" s="84"/>
      <c r="I163" s="17" t="s">
        <v>124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81"/>
      <c r="C164" s="67"/>
      <c r="D164" s="67"/>
      <c r="E164" s="17" t="s">
        <v>60</v>
      </c>
      <c r="F164" s="84"/>
      <c r="G164" s="67" t="s">
        <v>24</v>
      </c>
      <c r="H164" s="84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81"/>
      <c r="C165" s="67"/>
      <c r="D165" s="67"/>
      <c r="E165" s="17" t="s">
        <v>58</v>
      </c>
      <c r="F165" s="84"/>
      <c r="G165" s="67" t="s">
        <v>24</v>
      </c>
      <c r="H165" s="84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81"/>
      <c r="C166" s="67"/>
      <c r="D166" s="67"/>
      <c r="E166" s="17">
        <v>0.0</v>
      </c>
      <c r="F166" s="84"/>
      <c r="G166" s="67" t="s">
        <v>24</v>
      </c>
      <c r="H166" s="84"/>
      <c r="I166" s="17" t="s">
        <v>122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81"/>
      <c r="C167" s="67"/>
      <c r="D167" s="67"/>
      <c r="E167" s="17" t="s">
        <v>123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81"/>
      <c r="C168" s="67"/>
      <c r="D168" s="67"/>
      <c r="E168" s="17" t="s">
        <v>66</v>
      </c>
      <c r="F168" s="84"/>
      <c r="G168" s="67" t="s">
        <v>24</v>
      </c>
      <c r="H168" s="84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81"/>
      <c r="C169" s="67"/>
      <c r="D169" s="67"/>
      <c r="E169" s="17" t="s">
        <v>124</v>
      </c>
      <c r="F169" s="84"/>
      <c r="G169" s="67" t="s">
        <v>24</v>
      </c>
      <c r="H169" s="84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81"/>
      <c r="C170" s="67"/>
      <c r="D170" s="67"/>
      <c r="E170" s="17" t="s">
        <v>67</v>
      </c>
      <c r="F170" s="84"/>
      <c r="G170" s="67" t="s">
        <v>24</v>
      </c>
      <c r="H170" s="84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92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92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92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92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126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93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94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93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94">
        <v>2.0</v>
      </c>
      <c r="AE178" s="70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93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130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5"/>
      <c r="C191" s="31"/>
      <c r="D191" s="12"/>
      <c r="E191" s="52" t="s">
        <v>84</v>
      </c>
      <c r="F191" s="13"/>
      <c r="G191" s="16" t="s">
        <v>24</v>
      </c>
      <c r="H191" s="13"/>
      <c r="I191" s="45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92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92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92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92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92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92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92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92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92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92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92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92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92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92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92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92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92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92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92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92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92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92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92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92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92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92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92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92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92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92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92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92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92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92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92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92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92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92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92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92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92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92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92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92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92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92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92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92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92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92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92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92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92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92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92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92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92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92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92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92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92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92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92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92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92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92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92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92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92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92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92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92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92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92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92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92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92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92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92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92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92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92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92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92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92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92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92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92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92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92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92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92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92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92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92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92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92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92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92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92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92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92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92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92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92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92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92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92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92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92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92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92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92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92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92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92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92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92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92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92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92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92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92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5" t="s">
        <v>133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4">
        <v>45951.0</v>
      </c>
      <c r="C3" s="12" t="s">
        <v>96</v>
      </c>
      <c r="D3" s="71" t="s">
        <v>97</v>
      </c>
      <c r="E3" s="45" t="s">
        <v>25</v>
      </c>
      <c r="F3" s="17">
        <v>12.0</v>
      </c>
      <c r="G3" s="84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71" t="s">
        <v>97</v>
      </c>
      <c r="E4" s="45" t="s">
        <v>23</v>
      </c>
      <c r="F4" s="17">
        <v>21.0</v>
      </c>
      <c r="G4" s="84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3"/>
      <c r="X4" s="63"/>
      <c r="Y4" s="63"/>
      <c r="Z4" s="63"/>
      <c r="AA4" s="22" t="s">
        <v>34</v>
      </c>
      <c r="AB4" s="70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71" t="s">
        <v>97</v>
      </c>
      <c r="E5" s="45" t="s">
        <v>37</v>
      </c>
      <c r="F5" s="17">
        <v>14.0</v>
      </c>
      <c r="G5" s="84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3"/>
      <c r="X5" s="63"/>
      <c r="Y5" s="63"/>
      <c r="Z5" s="63"/>
      <c r="AA5" s="22" t="s">
        <v>39</v>
      </c>
      <c r="AB5" s="70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71" t="s">
        <v>97</v>
      </c>
      <c r="E6" s="45" t="s">
        <v>33</v>
      </c>
      <c r="F6" s="17">
        <v>15.0</v>
      </c>
      <c r="G6" s="84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3" t="s">
        <v>42</v>
      </c>
      <c r="AB6" s="70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52</v>
      </c>
      <c r="D7" s="71" t="s">
        <v>97</v>
      </c>
      <c r="E7" s="14" t="s">
        <v>69</v>
      </c>
      <c r="F7" s="96">
        <v>0.0</v>
      </c>
      <c r="G7" s="84" t="s">
        <v>24</v>
      </c>
      <c r="H7" s="96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3"/>
      <c r="X7" s="63"/>
      <c r="Y7" s="63"/>
      <c r="Z7" s="63"/>
      <c r="AA7" s="53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52</v>
      </c>
      <c r="D8" s="71" t="s">
        <v>97</v>
      </c>
      <c r="E8" s="45" t="s">
        <v>40</v>
      </c>
      <c r="F8" s="17">
        <v>3.0</v>
      </c>
      <c r="G8" s="84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3"/>
      <c r="X8" s="63"/>
      <c r="Y8" s="63"/>
      <c r="Z8" s="63"/>
      <c r="AA8" s="53" t="s">
        <v>47</v>
      </c>
      <c r="AB8" s="70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71" t="s">
        <v>97</v>
      </c>
      <c r="E9" s="45" t="s">
        <v>68</v>
      </c>
      <c r="F9" s="17">
        <v>1.0</v>
      </c>
      <c r="G9" s="84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3"/>
      <c r="X9" s="63"/>
      <c r="Y9" s="63"/>
      <c r="Z9" s="63"/>
      <c r="AA9" s="53" t="s">
        <v>48</v>
      </c>
      <c r="AB9" s="70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4">
        <v>45951.0</v>
      </c>
      <c r="C10" s="12" t="s">
        <v>102</v>
      </c>
      <c r="D10" s="71" t="s">
        <v>97</v>
      </c>
      <c r="E10" s="45" t="s">
        <v>25</v>
      </c>
      <c r="F10" s="17">
        <v>14.0</v>
      </c>
      <c r="G10" s="84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52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3"/>
      <c r="X10" s="63"/>
      <c r="Y10" s="63"/>
      <c r="Z10" s="63"/>
      <c r="AA10" s="53" t="s">
        <v>135</v>
      </c>
      <c r="AB10" s="70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71" t="s">
        <v>97</v>
      </c>
      <c r="E11" s="45" t="s">
        <v>23</v>
      </c>
      <c r="F11" s="17">
        <v>21.0</v>
      </c>
      <c r="G11" s="84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71" t="s">
        <v>97</v>
      </c>
      <c r="E12" s="45" t="s">
        <v>37</v>
      </c>
      <c r="F12" s="17">
        <v>12.0</v>
      </c>
      <c r="G12" s="84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3"/>
      <c r="X12" s="63"/>
      <c r="Y12" s="63"/>
      <c r="Z12" s="63"/>
      <c r="AA12" s="22">
        <v>10.0</v>
      </c>
      <c r="AB12" s="70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71" t="s">
        <v>97</v>
      </c>
      <c r="E13" s="45" t="s">
        <v>33</v>
      </c>
      <c r="F13" s="17">
        <v>12.0</v>
      </c>
      <c r="G13" s="84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3"/>
      <c r="X13" s="63"/>
      <c r="Y13" s="63"/>
      <c r="Z13" s="63"/>
      <c r="AA13" s="22">
        <v>11.0</v>
      </c>
      <c r="AB13" s="70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71" t="s">
        <v>97</v>
      </c>
      <c r="E14" s="14" t="s">
        <v>136</v>
      </c>
      <c r="F14" s="96">
        <v>0.0</v>
      </c>
      <c r="G14" s="84" t="s">
        <v>24</v>
      </c>
      <c r="H14" s="96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3"/>
      <c r="X14" s="63"/>
      <c r="Y14" s="63"/>
      <c r="Z14" s="63"/>
      <c r="AA14" s="22">
        <v>12.0</v>
      </c>
      <c r="AB14" s="70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71" t="s">
        <v>97</v>
      </c>
      <c r="E15" s="45" t="s">
        <v>40</v>
      </c>
      <c r="F15" s="17">
        <v>1.0</v>
      </c>
      <c r="G15" s="84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7">
        <v>13.0</v>
      </c>
      <c r="O15" s="97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3"/>
      <c r="X15" s="63"/>
      <c r="Y15" s="63"/>
      <c r="Z15" s="63"/>
      <c r="AA15" s="22">
        <v>13.0</v>
      </c>
      <c r="AB15" s="70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71" t="s">
        <v>97</v>
      </c>
      <c r="E16" s="45" t="s">
        <v>64</v>
      </c>
      <c r="F16" s="17">
        <v>6.0</v>
      </c>
      <c r="G16" s="84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7">
        <v>14.0</v>
      </c>
      <c r="O16" s="97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98">
        <v>46008.0</v>
      </c>
      <c r="C17" s="12" t="s">
        <v>53</v>
      </c>
      <c r="D17" s="71" t="s">
        <v>97</v>
      </c>
      <c r="E17" s="45" t="s">
        <v>25</v>
      </c>
      <c r="F17" s="17">
        <v>15.0</v>
      </c>
      <c r="G17" s="84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8">
        <v>46008.0</v>
      </c>
      <c r="C18" s="12" t="s">
        <v>53</v>
      </c>
      <c r="D18" s="71" t="s">
        <v>97</v>
      </c>
      <c r="E18" s="45" t="s">
        <v>23</v>
      </c>
      <c r="F18" s="17">
        <v>20.0</v>
      </c>
      <c r="G18" s="84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8">
        <v>46008.0</v>
      </c>
      <c r="C19" s="12" t="s">
        <v>113</v>
      </c>
      <c r="D19" s="71" t="s">
        <v>97</v>
      </c>
      <c r="E19" s="45" t="s">
        <v>61</v>
      </c>
      <c r="F19" s="17">
        <v>21.0</v>
      </c>
      <c r="G19" s="84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8">
        <v>46008.0</v>
      </c>
      <c r="C20" s="12" t="s">
        <v>113</v>
      </c>
      <c r="D20" s="71" t="s">
        <v>97</v>
      </c>
      <c r="E20" s="45" t="s">
        <v>134</v>
      </c>
      <c r="F20" s="17">
        <v>14.0</v>
      </c>
      <c r="G20" s="84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8">
        <v>46008.0</v>
      </c>
      <c r="C21" s="12" t="s">
        <v>107</v>
      </c>
      <c r="D21" s="71" t="s">
        <v>97</v>
      </c>
      <c r="E21" s="45" t="s">
        <v>64</v>
      </c>
      <c r="F21" s="96">
        <v>4.0</v>
      </c>
      <c r="G21" s="84" t="s">
        <v>24</v>
      </c>
      <c r="H21" s="96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8">
        <v>46008.0</v>
      </c>
      <c r="C22" s="12" t="s">
        <v>51</v>
      </c>
      <c r="D22" s="71" t="s">
        <v>97</v>
      </c>
      <c r="E22" s="45" t="s">
        <v>45</v>
      </c>
      <c r="F22" s="17">
        <v>6.0</v>
      </c>
      <c r="G22" s="84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8">
        <v>46008.0</v>
      </c>
      <c r="C23" s="12" t="s">
        <v>110</v>
      </c>
      <c r="D23" s="71" t="s">
        <v>97</v>
      </c>
      <c r="E23" s="45" t="s">
        <v>117</v>
      </c>
      <c r="F23" s="17">
        <v>5.0</v>
      </c>
      <c r="G23" s="84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4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4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17">
        <v>7.0</v>
      </c>
      <c r="G26" s="84" t="s">
        <v>24</v>
      </c>
      <c r="H26" s="17">
        <v>5.0</v>
      </c>
      <c r="I26" s="45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37"/>
      <c r="AB26" s="63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54</v>
      </c>
      <c r="D27" s="12" t="s">
        <v>97</v>
      </c>
      <c r="E27" s="45" t="s">
        <v>134</v>
      </c>
      <c r="F27" s="17">
        <v>9.0</v>
      </c>
      <c r="G27" s="84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37"/>
      <c r="AB27" s="63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6" t="s">
        <v>96</v>
      </c>
      <c r="D28" s="12" t="s">
        <v>97</v>
      </c>
      <c r="E28" s="45" t="s">
        <v>63</v>
      </c>
      <c r="F28" s="96">
        <v>12.0</v>
      </c>
      <c r="G28" s="84" t="s">
        <v>24</v>
      </c>
      <c r="H28" s="96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4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52</v>
      </c>
      <c r="D30" s="12" t="s">
        <v>97</v>
      </c>
      <c r="E30" s="99" t="s">
        <v>136</v>
      </c>
      <c r="F30" s="17">
        <v>0.0</v>
      </c>
      <c r="G30" s="84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4">
        <v>46072.0</v>
      </c>
      <c r="C31" s="66" t="s">
        <v>102</v>
      </c>
      <c r="D31" s="12" t="s">
        <v>97</v>
      </c>
      <c r="E31" s="45" t="s">
        <v>25</v>
      </c>
      <c r="F31" s="17">
        <v>12.0</v>
      </c>
      <c r="G31" s="84" t="s">
        <v>24</v>
      </c>
      <c r="H31" s="17">
        <v>9.0</v>
      </c>
      <c r="I31" s="45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6" t="s">
        <v>103</v>
      </c>
      <c r="D32" s="12" t="s">
        <v>97</v>
      </c>
      <c r="E32" s="45" t="s">
        <v>23</v>
      </c>
      <c r="F32" s="17">
        <v>21.0</v>
      </c>
      <c r="G32" s="84" t="s">
        <v>24</v>
      </c>
      <c r="H32" s="17">
        <v>7.0</v>
      </c>
      <c r="I32" s="45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6" t="s">
        <v>55</v>
      </c>
      <c r="D33" s="12" t="s">
        <v>97</v>
      </c>
      <c r="E33" s="45" t="s">
        <v>37</v>
      </c>
      <c r="F33" s="17">
        <v>21.0</v>
      </c>
      <c r="G33" s="84" t="s">
        <v>24</v>
      </c>
      <c r="H33" s="17">
        <v>0.0</v>
      </c>
      <c r="I33" s="14" t="s">
        <v>136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6" t="s">
        <v>105</v>
      </c>
      <c r="D34" s="12" t="s">
        <v>97</v>
      </c>
      <c r="E34" s="45" t="s">
        <v>33</v>
      </c>
      <c r="F34" s="17">
        <v>21.0</v>
      </c>
      <c r="G34" s="84" t="s">
        <v>24</v>
      </c>
      <c r="H34" s="17">
        <v>2.0</v>
      </c>
      <c r="I34" s="45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6">
        <v>6.0</v>
      </c>
      <c r="G35" s="84" t="s">
        <v>24</v>
      </c>
      <c r="H35" s="96">
        <v>12.0</v>
      </c>
      <c r="I35" s="45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6" t="s">
        <v>96</v>
      </c>
      <c r="D36" s="12" t="s">
        <v>97</v>
      </c>
      <c r="E36" s="45" t="s">
        <v>134</v>
      </c>
      <c r="F36" s="17">
        <v>10.0</v>
      </c>
      <c r="G36" s="84" t="s">
        <v>24</v>
      </c>
      <c r="H36" s="17">
        <v>11.0</v>
      </c>
      <c r="I36" s="45" t="s">
        <v>117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37"/>
      <c r="AB36" s="63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6"/>
      <c r="C37" s="84"/>
      <c r="D37" s="84"/>
      <c r="E37" s="45" t="s">
        <v>63</v>
      </c>
      <c r="F37" s="84"/>
      <c r="G37" s="84" t="s">
        <v>24</v>
      </c>
      <c r="H37" s="84"/>
      <c r="I37" s="45" t="s">
        <v>45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7"/>
      <c r="AB37" s="63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4" t="s">
        <v>24</v>
      </c>
      <c r="H38" s="17">
        <v>1.0</v>
      </c>
      <c r="I38" s="45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37"/>
      <c r="AB38" s="63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52</v>
      </c>
      <c r="D39" s="12" t="s">
        <v>97</v>
      </c>
      <c r="E39" s="45" t="s">
        <v>23</v>
      </c>
      <c r="F39" s="17">
        <v>10.0</v>
      </c>
      <c r="G39" s="84" t="s">
        <v>24</v>
      </c>
      <c r="H39" s="17">
        <v>8.0</v>
      </c>
      <c r="I39" s="45" t="s">
        <v>117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37"/>
      <c r="AB39" s="63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6" t="s">
        <v>102</v>
      </c>
      <c r="D40" s="12" t="s">
        <v>97</v>
      </c>
      <c r="E40" s="45" t="s">
        <v>37</v>
      </c>
      <c r="F40" s="17">
        <v>10.0</v>
      </c>
      <c r="G40" s="84" t="s">
        <v>24</v>
      </c>
      <c r="H40" s="17">
        <v>1.0</v>
      </c>
      <c r="I40" s="45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37"/>
      <c r="AB40" s="63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6" t="s">
        <v>103</v>
      </c>
      <c r="D41" s="12" t="s">
        <v>97</v>
      </c>
      <c r="E41" s="45" t="s">
        <v>33</v>
      </c>
      <c r="F41" s="17">
        <v>1.0</v>
      </c>
      <c r="G41" s="84" t="s">
        <v>24</v>
      </c>
      <c r="H41" s="17">
        <v>12.0</v>
      </c>
      <c r="I41" s="45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37"/>
      <c r="AB41" s="63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6" t="s">
        <v>55</v>
      </c>
      <c r="D42" s="12" t="s">
        <v>97</v>
      </c>
      <c r="E42" s="45" t="s">
        <v>61</v>
      </c>
      <c r="F42" s="96">
        <v>6.0</v>
      </c>
      <c r="G42" s="84" t="s">
        <v>24</v>
      </c>
      <c r="H42" s="96">
        <v>8.0</v>
      </c>
      <c r="I42" s="45" t="s">
        <v>134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37"/>
      <c r="AB42" s="63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6" t="s">
        <v>105</v>
      </c>
      <c r="D43" s="12" t="s">
        <v>97</v>
      </c>
      <c r="E43" s="14" t="s">
        <v>136</v>
      </c>
      <c r="F43" s="17">
        <v>0.0</v>
      </c>
      <c r="G43" s="84" t="s">
        <v>24</v>
      </c>
      <c r="H43" s="17">
        <v>21.0</v>
      </c>
      <c r="I43" s="45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37"/>
      <c r="AB43" s="63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4" t="s">
        <v>24</v>
      </c>
      <c r="H44" s="17">
        <v>21.0</v>
      </c>
      <c r="I44" s="45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37"/>
      <c r="AB44" s="63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86"/>
      <c r="C45" s="84"/>
      <c r="D45" s="84"/>
      <c r="E45" s="45" t="s">
        <v>25</v>
      </c>
      <c r="F45" s="84"/>
      <c r="G45" s="84" t="s">
        <v>24</v>
      </c>
      <c r="H45" s="84"/>
      <c r="I45" s="45" t="s">
        <v>117</v>
      </c>
      <c r="J45" s="63"/>
      <c r="K45" s="4" t="str">
        <f t="shared" si="1"/>
        <v/>
      </c>
      <c r="L45" s="18" t="str">
        <f t="shared" si="2"/>
        <v/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37"/>
      <c r="AB45" s="63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6"/>
      <c r="C46" s="84"/>
      <c r="D46" s="84"/>
      <c r="E46" s="45" t="s">
        <v>23</v>
      </c>
      <c r="F46" s="84"/>
      <c r="G46" s="84" t="s">
        <v>24</v>
      </c>
      <c r="H46" s="84"/>
      <c r="I46" s="45" t="s">
        <v>31</v>
      </c>
      <c r="J46" s="63"/>
      <c r="K46" s="4" t="str">
        <f t="shared" si="1"/>
        <v/>
      </c>
      <c r="L46" s="18" t="str">
        <f t="shared" si="2"/>
        <v/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37"/>
      <c r="AB46" s="63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6"/>
      <c r="C47" s="84"/>
      <c r="D47" s="84"/>
      <c r="E47" s="45" t="s">
        <v>37</v>
      </c>
      <c r="F47" s="17"/>
      <c r="G47" s="84" t="s">
        <v>24</v>
      </c>
      <c r="H47" s="17"/>
      <c r="I47" s="45" t="s">
        <v>64</v>
      </c>
      <c r="J47" s="63"/>
      <c r="K47" s="4" t="str">
        <f t="shared" si="1"/>
        <v/>
      </c>
      <c r="L47" s="18" t="str">
        <f t="shared" si="2"/>
        <v/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37"/>
      <c r="AB47" s="63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6"/>
      <c r="C48" s="84"/>
      <c r="D48" s="84"/>
      <c r="E48" s="45" t="s">
        <v>33</v>
      </c>
      <c r="F48" s="17">
        <v>21.0</v>
      </c>
      <c r="G48" s="84" t="s">
        <v>24</v>
      </c>
      <c r="H48" s="17">
        <v>0.0</v>
      </c>
      <c r="I48" s="14" t="s">
        <v>136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37"/>
      <c r="AB48" s="63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6"/>
      <c r="C49" s="84"/>
      <c r="D49" s="84"/>
      <c r="E49" s="45" t="s">
        <v>61</v>
      </c>
      <c r="F49" s="28"/>
      <c r="G49" s="84" t="s">
        <v>24</v>
      </c>
      <c r="H49" s="28"/>
      <c r="I49" s="45" t="s">
        <v>45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37"/>
      <c r="AB49" s="63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6"/>
      <c r="C50" s="84"/>
      <c r="D50" s="84"/>
      <c r="E50" s="45" t="s">
        <v>134</v>
      </c>
      <c r="F50" s="84"/>
      <c r="G50" s="84" t="s">
        <v>24</v>
      </c>
      <c r="H50" s="84"/>
      <c r="I50" s="45" t="s">
        <v>40</v>
      </c>
      <c r="J50" s="63"/>
      <c r="K50" s="4" t="str">
        <f t="shared" si="1"/>
        <v/>
      </c>
      <c r="L50" s="18" t="str">
        <f t="shared" si="2"/>
        <v/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37"/>
      <c r="AB50" s="63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6"/>
      <c r="C51" s="84"/>
      <c r="D51" s="84"/>
      <c r="E51" s="45" t="s">
        <v>63</v>
      </c>
      <c r="F51" s="84"/>
      <c r="G51" s="84" t="s">
        <v>24</v>
      </c>
      <c r="H51" s="84"/>
      <c r="I51" s="45" t="s">
        <v>68</v>
      </c>
      <c r="J51" s="63"/>
      <c r="K51" s="4" t="str">
        <f t="shared" si="1"/>
        <v/>
      </c>
      <c r="L51" s="18" t="str">
        <f t="shared" si="2"/>
        <v/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37"/>
      <c r="AB51" s="63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2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2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2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2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2" t="s">
        <v>84</v>
      </c>
      <c r="F63" s="13"/>
      <c r="G63" s="16" t="s">
        <v>24</v>
      </c>
      <c r="H63" s="13"/>
      <c r="I63" s="45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2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2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2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2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2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2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2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2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2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2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2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2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2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2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2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2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9.5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5" t="s">
        <v>140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4">
        <v>45965.0</v>
      </c>
      <c r="C3" s="66" t="s">
        <v>141</v>
      </c>
      <c r="D3" s="12" t="s">
        <v>97</v>
      </c>
      <c r="E3" s="45" t="s">
        <v>32</v>
      </c>
      <c r="F3" s="17">
        <v>2.0</v>
      </c>
      <c r="G3" s="84" t="s">
        <v>24</v>
      </c>
      <c r="H3" s="17">
        <v>4.0</v>
      </c>
      <c r="I3" s="45" t="s">
        <v>23</v>
      </c>
      <c r="J3" s="4"/>
      <c r="K3" s="4">
        <f t="shared" ref="K3:K66" si="1">IF(F3="","",IFS(F3&gt;H3,3,F3=H3,1,H3&gt;F3,0,F3="",0))</f>
        <v>0</v>
      </c>
      <c r="L3" s="18">
        <f t="shared" ref="L3:L66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5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21.0</v>
      </c>
      <c r="AB3" s="23">
        <v>7.0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4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2</v>
      </c>
      <c r="T4" s="18">
        <f t="shared" si="7"/>
        <v>26</v>
      </c>
      <c r="U4" s="20">
        <f t="shared" si="8"/>
        <v>15</v>
      </c>
      <c r="V4" s="18">
        <f t="shared" si="9"/>
        <v>11</v>
      </c>
      <c r="W4" s="63"/>
      <c r="X4" s="63"/>
      <c r="Y4" s="22" t="s">
        <v>34</v>
      </c>
      <c r="Z4" s="70" t="s">
        <v>23</v>
      </c>
      <c r="AA4" s="23">
        <v>18.0</v>
      </c>
      <c r="AB4" s="23">
        <v>6.0</v>
      </c>
      <c r="AC4" s="23">
        <v>0.0</v>
      </c>
      <c r="AD4" s="24">
        <v>1.0</v>
      </c>
      <c r="AE4" s="23">
        <v>40.0</v>
      </c>
      <c r="AF4" s="24">
        <v>10.0</v>
      </c>
      <c r="AG4" s="23">
        <v>30.0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6" t="s">
        <v>49</v>
      </c>
      <c r="D5" s="12" t="s">
        <v>97</v>
      </c>
      <c r="E5" s="45" t="s">
        <v>66</v>
      </c>
      <c r="F5" s="17"/>
      <c r="G5" s="84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15</v>
      </c>
      <c r="Q5" s="18">
        <f t="shared" si="4"/>
        <v>5</v>
      </c>
      <c r="R5" s="18">
        <f t="shared" si="5"/>
        <v>0</v>
      </c>
      <c r="S5" s="20">
        <f t="shared" si="6"/>
        <v>0</v>
      </c>
      <c r="T5" s="18">
        <f t="shared" si="7"/>
        <v>36</v>
      </c>
      <c r="U5" s="20">
        <f t="shared" si="8"/>
        <v>1</v>
      </c>
      <c r="V5" s="18">
        <f t="shared" si="9"/>
        <v>35</v>
      </c>
      <c r="W5" s="63"/>
      <c r="X5" s="63"/>
      <c r="Y5" s="22" t="s">
        <v>39</v>
      </c>
      <c r="Z5" s="70" t="s">
        <v>66</v>
      </c>
      <c r="AA5" s="23">
        <v>15.0</v>
      </c>
      <c r="AB5" s="23">
        <v>5.0</v>
      </c>
      <c r="AC5" s="23">
        <v>0.0</v>
      </c>
      <c r="AD5" s="24">
        <v>0.0</v>
      </c>
      <c r="AE5" s="23">
        <v>36.0</v>
      </c>
      <c r="AF5" s="24">
        <v>1.0</v>
      </c>
      <c r="AG5" s="23">
        <v>35.0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6" t="s">
        <v>54</v>
      </c>
      <c r="D6" s="12" t="s">
        <v>97</v>
      </c>
      <c r="E6" s="45" t="s">
        <v>65</v>
      </c>
      <c r="F6" s="17">
        <v>4.0</v>
      </c>
      <c r="G6" s="84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21</v>
      </c>
      <c r="Q6" s="18">
        <f t="shared" si="4"/>
        <v>7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3" t="s">
        <v>42</v>
      </c>
      <c r="Z6" s="70" t="s">
        <v>31</v>
      </c>
      <c r="AA6" s="23">
        <v>12.0</v>
      </c>
      <c r="AB6" s="23">
        <v>4.0</v>
      </c>
      <c r="AC6" s="23">
        <v>0.0</v>
      </c>
      <c r="AD6" s="24">
        <v>2.0</v>
      </c>
      <c r="AE6" s="23">
        <v>26.0</v>
      </c>
      <c r="AF6" s="24">
        <v>15.0</v>
      </c>
      <c r="AG6" s="23">
        <v>11.0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6" t="s">
        <v>142</v>
      </c>
      <c r="D7" s="12" t="s">
        <v>97</v>
      </c>
      <c r="E7" s="45" t="s">
        <v>114</v>
      </c>
      <c r="F7" s="96"/>
      <c r="G7" s="84" t="s">
        <v>24</v>
      </c>
      <c r="H7" s="96"/>
      <c r="I7" s="100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1</v>
      </c>
      <c r="T7" s="18">
        <f t="shared" si="7"/>
        <v>40</v>
      </c>
      <c r="U7" s="20">
        <f t="shared" si="8"/>
        <v>10</v>
      </c>
      <c r="V7" s="18">
        <f t="shared" si="9"/>
        <v>30</v>
      </c>
      <c r="W7" s="63"/>
      <c r="X7" s="63"/>
      <c r="Y7" s="53" t="s">
        <v>44</v>
      </c>
      <c r="Z7" s="70" t="s">
        <v>37</v>
      </c>
      <c r="AA7" s="23">
        <v>12.0</v>
      </c>
      <c r="AB7" s="23">
        <v>4.0</v>
      </c>
      <c r="AC7" s="23">
        <v>0.0</v>
      </c>
      <c r="AD7" s="24">
        <v>3.0</v>
      </c>
      <c r="AE7" s="23">
        <v>26.0</v>
      </c>
      <c r="AF7" s="24">
        <v>19.0</v>
      </c>
      <c r="AG7" s="23">
        <v>7.0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6" t="s">
        <v>143</v>
      </c>
      <c r="D8" s="12" t="s">
        <v>97</v>
      </c>
      <c r="E8" s="45" t="s">
        <v>61</v>
      </c>
      <c r="F8" s="17">
        <v>3.0</v>
      </c>
      <c r="G8" s="84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24</v>
      </c>
      <c r="U8" s="20">
        <f t="shared" si="8"/>
        <v>15</v>
      </c>
      <c r="V8" s="18">
        <f t="shared" si="9"/>
        <v>9</v>
      </c>
      <c r="W8" s="63"/>
      <c r="X8" s="63"/>
      <c r="Y8" s="53" t="s">
        <v>47</v>
      </c>
      <c r="Z8" s="70" t="s">
        <v>144</v>
      </c>
      <c r="AA8" s="23">
        <v>10.0</v>
      </c>
      <c r="AB8" s="23">
        <v>3.0</v>
      </c>
      <c r="AC8" s="23">
        <v>1.0</v>
      </c>
      <c r="AD8" s="24">
        <v>3.0</v>
      </c>
      <c r="AE8" s="23">
        <v>17.0</v>
      </c>
      <c r="AF8" s="24">
        <v>24.0</v>
      </c>
      <c r="AG8" s="23">
        <v>-7.0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52</v>
      </c>
      <c r="D9" s="12" t="s">
        <v>97</v>
      </c>
      <c r="E9" s="45" t="s">
        <v>112</v>
      </c>
      <c r="F9" s="17">
        <v>3.0</v>
      </c>
      <c r="G9" s="84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3" t="s">
        <v>48</v>
      </c>
      <c r="Z9" s="70" t="s">
        <v>33</v>
      </c>
      <c r="AA9" s="23">
        <v>9.0</v>
      </c>
      <c r="AB9" s="23">
        <v>3.0</v>
      </c>
      <c r="AC9" s="23">
        <v>0.0</v>
      </c>
      <c r="AD9" s="24">
        <v>3.0</v>
      </c>
      <c r="AE9" s="23">
        <v>26.0</v>
      </c>
      <c r="AF9" s="24">
        <v>17.0</v>
      </c>
      <c r="AG9" s="23">
        <v>9.0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4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52">
        <v>8.0</v>
      </c>
      <c r="O10" s="68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3</v>
      </c>
      <c r="T10" s="18">
        <f t="shared" si="7"/>
        <v>26</v>
      </c>
      <c r="U10" s="20">
        <f t="shared" si="8"/>
        <v>17</v>
      </c>
      <c r="V10" s="18">
        <f t="shared" si="9"/>
        <v>9</v>
      </c>
      <c r="W10" s="63"/>
      <c r="X10" s="63"/>
      <c r="Y10" s="53" t="s">
        <v>135</v>
      </c>
      <c r="Z10" s="70" t="s">
        <v>32</v>
      </c>
      <c r="AA10" s="23">
        <v>7.0</v>
      </c>
      <c r="AB10" s="23">
        <v>2.0</v>
      </c>
      <c r="AC10" s="23">
        <v>1.0</v>
      </c>
      <c r="AD10" s="24">
        <v>5.0</v>
      </c>
      <c r="AE10" s="23">
        <v>20.0</v>
      </c>
      <c r="AF10" s="24">
        <v>22.0</v>
      </c>
      <c r="AG10" s="23">
        <v>-2.0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54</v>
      </c>
      <c r="D11" s="12" t="s">
        <v>22</v>
      </c>
      <c r="E11" s="45" t="s">
        <v>31</v>
      </c>
      <c r="F11" s="17">
        <v>5.0</v>
      </c>
      <c r="G11" s="84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5</v>
      </c>
      <c r="T11" s="18">
        <f t="shared" si="7"/>
        <v>2</v>
      </c>
      <c r="U11" s="20">
        <f t="shared" si="8"/>
        <v>56</v>
      </c>
      <c r="V11" s="18">
        <f t="shared" si="9"/>
        <v>-54</v>
      </c>
      <c r="W11" s="63"/>
      <c r="X11" s="63"/>
      <c r="Y11" s="22">
        <v>9.0</v>
      </c>
      <c r="Z11" s="70" t="s">
        <v>25</v>
      </c>
      <c r="AA11" s="23">
        <v>6.0</v>
      </c>
      <c r="AB11" s="23">
        <v>2.0</v>
      </c>
      <c r="AC11" s="23">
        <v>0.0</v>
      </c>
      <c r="AD11" s="24">
        <v>4.0</v>
      </c>
      <c r="AE11" s="23">
        <v>24.0</v>
      </c>
      <c r="AF11" s="24">
        <v>15.0</v>
      </c>
      <c r="AG11" s="23">
        <v>9.0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4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112</v>
      </c>
      <c r="AA12" s="23">
        <v>5.0</v>
      </c>
      <c r="AB12" s="23">
        <v>1.0</v>
      </c>
      <c r="AC12" s="23">
        <v>2.0</v>
      </c>
      <c r="AD12" s="24">
        <v>3.0</v>
      </c>
      <c r="AE12" s="23">
        <v>13.0</v>
      </c>
      <c r="AF12" s="24">
        <v>21.0</v>
      </c>
      <c r="AG12" s="23">
        <v>-8.0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4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3</v>
      </c>
      <c r="T13" s="18">
        <f t="shared" si="7"/>
        <v>4</v>
      </c>
      <c r="U13" s="20">
        <f t="shared" si="8"/>
        <v>25</v>
      </c>
      <c r="V13" s="18">
        <f t="shared" si="9"/>
        <v>-21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3.0</v>
      </c>
      <c r="AE13" s="23">
        <v>4.0</v>
      </c>
      <c r="AF13" s="24">
        <v>25.0</v>
      </c>
      <c r="AG13" s="23">
        <v>-21.0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6"/>
      <c r="G14" s="84" t="s">
        <v>24</v>
      </c>
      <c r="H14" s="96"/>
      <c r="I14" s="100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6</v>
      </c>
      <c r="T14" s="18">
        <f t="shared" si="7"/>
        <v>3</v>
      </c>
      <c r="U14" s="20">
        <f t="shared" si="8"/>
        <v>43</v>
      </c>
      <c r="V14" s="18">
        <f t="shared" si="9"/>
        <v>-40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4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7">
        <v>13.0</v>
      </c>
      <c r="O15" s="97" t="s">
        <v>112</v>
      </c>
      <c r="P15" s="18">
        <f t="shared" si="3"/>
        <v>5</v>
      </c>
      <c r="Q15" s="18">
        <f t="shared" si="4"/>
        <v>1</v>
      </c>
      <c r="R15" s="18">
        <f t="shared" si="5"/>
        <v>2</v>
      </c>
      <c r="S15" s="20">
        <f t="shared" si="6"/>
        <v>3</v>
      </c>
      <c r="T15" s="18">
        <f t="shared" si="7"/>
        <v>13</v>
      </c>
      <c r="U15" s="20">
        <f t="shared" si="8"/>
        <v>21</v>
      </c>
      <c r="V15" s="18">
        <f t="shared" si="9"/>
        <v>-8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14" t="s">
        <v>43</v>
      </c>
      <c r="F16" s="17"/>
      <c r="G16" s="84" t="s">
        <v>24</v>
      </c>
      <c r="H16" s="17"/>
      <c r="I16" s="45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7">
        <v>14.0</v>
      </c>
      <c r="O16" s="97" t="s">
        <v>144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3</v>
      </c>
      <c r="T16" s="18">
        <f t="shared" si="7"/>
        <v>17</v>
      </c>
      <c r="U16" s="20">
        <f t="shared" si="8"/>
        <v>24</v>
      </c>
      <c r="V16" s="18">
        <f t="shared" si="9"/>
        <v>-7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6.0</v>
      </c>
      <c r="AE16" s="23">
        <v>3.0</v>
      </c>
      <c r="AF16" s="24">
        <v>43.0</v>
      </c>
      <c r="AG16" s="23">
        <v>-40.0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4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7">
        <v>15.0</v>
      </c>
      <c r="O17" s="97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3</v>
      </c>
      <c r="T17" s="18">
        <f t="shared" si="7"/>
        <v>26</v>
      </c>
      <c r="U17" s="20">
        <f t="shared" si="8"/>
        <v>19</v>
      </c>
      <c r="V17" s="18">
        <f t="shared" si="9"/>
        <v>7</v>
      </c>
      <c r="W17" s="63"/>
      <c r="X17" s="63"/>
      <c r="Y17" s="53">
        <v>15.0</v>
      </c>
      <c r="Z17" s="70" t="s">
        <v>114</v>
      </c>
      <c r="AA17" s="23">
        <v>0.0</v>
      </c>
      <c r="AB17" s="23">
        <v>0.0</v>
      </c>
      <c r="AC17" s="23">
        <v>0.0</v>
      </c>
      <c r="AD17" s="24">
        <v>5.0</v>
      </c>
      <c r="AE17" s="23">
        <v>2.0</v>
      </c>
      <c r="AF17" s="24">
        <v>56.0</v>
      </c>
      <c r="AG17" s="23">
        <v>-54.0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6" t="s">
        <v>148</v>
      </c>
      <c r="D18" s="12" t="s">
        <v>22</v>
      </c>
      <c r="E18" s="45" t="s">
        <v>144</v>
      </c>
      <c r="F18" s="17">
        <v>0.0</v>
      </c>
      <c r="G18" s="84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6" t="s">
        <v>150</v>
      </c>
      <c r="D19" s="12" t="s">
        <v>22</v>
      </c>
      <c r="E19" s="14" t="s">
        <v>69</v>
      </c>
      <c r="F19" s="17"/>
      <c r="G19" s="84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6" t="s">
        <v>51</v>
      </c>
      <c r="D20" s="12" t="s">
        <v>22</v>
      </c>
      <c r="E20" s="45" t="s">
        <v>114</v>
      </c>
      <c r="F20" s="17">
        <v>0.0</v>
      </c>
      <c r="G20" s="84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6" t="s">
        <v>151</v>
      </c>
      <c r="D21" s="12" t="s">
        <v>22</v>
      </c>
      <c r="E21" s="45" t="s">
        <v>33</v>
      </c>
      <c r="F21" s="96">
        <v>0.0</v>
      </c>
      <c r="G21" s="84" t="s">
        <v>24</v>
      </c>
      <c r="H21" s="96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6" t="s">
        <v>152</v>
      </c>
      <c r="D22" s="12" t="s">
        <v>22</v>
      </c>
      <c r="E22" s="45" t="s">
        <v>61</v>
      </c>
      <c r="F22" s="17">
        <v>0.0</v>
      </c>
      <c r="G22" s="84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6" t="s">
        <v>30</v>
      </c>
      <c r="D23" s="12" t="s">
        <v>22</v>
      </c>
      <c r="E23" s="45" t="s">
        <v>112</v>
      </c>
      <c r="F23" s="17"/>
      <c r="G23" s="84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4">
        <v>46062.0</v>
      </c>
      <c r="C24" s="12" t="s">
        <v>142</v>
      </c>
      <c r="D24" s="12" t="s">
        <v>97</v>
      </c>
      <c r="E24" s="45" t="s">
        <v>37</v>
      </c>
      <c r="F24" s="17">
        <v>3.0</v>
      </c>
      <c r="G24" s="84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4">
        <v>46062.0</v>
      </c>
      <c r="C25" s="12" t="s">
        <v>145</v>
      </c>
      <c r="D25" s="12" t="s">
        <v>97</v>
      </c>
      <c r="E25" s="45" t="s">
        <v>63</v>
      </c>
      <c r="F25" s="17">
        <v>2.0</v>
      </c>
      <c r="G25" s="84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4">
        <v>46062.0</v>
      </c>
      <c r="C26" s="12" t="s">
        <v>36</v>
      </c>
      <c r="D26" s="12" t="s">
        <v>97</v>
      </c>
      <c r="E26" s="45" t="s">
        <v>65</v>
      </c>
      <c r="F26" s="17">
        <v>3.0</v>
      </c>
      <c r="G26" s="84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6"/>
      <c r="C27" s="84"/>
      <c r="D27" s="84"/>
      <c r="E27" s="45" t="s">
        <v>61</v>
      </c>
      <c r="F27" s="84"/>
      <c r="G27" s="84" t="s">
        <v>24</v>
      </c>
      <c r="H27" s="84"/>
      <c r="I27" s="101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6"/>
      <c r="C28" s="84"/>
      <c r="D28" s="84"/>
      <c r="E28" s="45" t="s">
        <v>114</v>
      </c>
      <c r="F28" s="96"/>
      <c r="G28" s="84" t="s">
        <v>24</v>
      </c>
      <c r="H28" s="96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4">
        <v>46077.0</v>
      </c>
      <c r="C29" s="12" t="s">
        <v>36</v>
      </c>
      <c r="D29" s="12" t="s">
        <v>22</v>
      </c>
      <c r="E29" s="45" t="s">
        <v>32</v>
      </c>
      <c r="F29" s="17">
        <v>1.0</v>
      </c>
      <c r="G29" s="84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4">
        <v>46077.0</v>
      </c>
      <c r="C30" s="12" t="s">
        <v>54</v>
      </c>
      <c r="D30" s="12" t="s">
        <v>22</v>
      </c>
      <c r="E30" s="45" t="s">
        <v>31</v>
      </c>
      <c r="F30" s="17">
        <v>1.0</v>
      </c>
      <c r="G30" s="84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4">
        <v>46077.0</v>
      </c>
      <c r="C31" s="12" t="s">
        <v>142</v>
      </c>
      <c r="D31" s="12" t="s">
        <v>22</v>
      </c>
      <c r="E31" s="45" t="s">
        <v>23</v>
      </c>
      <c r="F31" s="17">
        <v>10.0</v>
      </c>
      <c r="G31" s="84" t="s">
        <v>24</v>
      </c>
      <c r="H31" s="17">
        <v>1.0</v>
      </c>
      <c r="I31" s="45" t="s">
        <v>114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4">
        <v>46077.0</v>
      </c>
      <c r="C32" s="12" t="s">
        <v>145</v>
      </c>
      <c r="D32" s="12" t="s">
        <v>22</v>
      </c>
      <c r="E32" s="45" t="s">
        <v>25</v>
      </c>
      <c r="F32" s="17"/>
      <c r="G32" s="84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6"/>
      <c r="C33" s="84"/>
      <c r="D33" s="84"/>
      <c r="E33" s="14" t="s">
        <v>69</v>
      </c>
      <c r="F33" s="17"/>
      <c r="G33" s="84" t="s">
        <v>24</v>
      </c>
      <c r="H33" s="17"/>
      <c r="I33" s="45" t="s">
        <v>112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4"/>
      <c r="C34" s="12"/>
      <c r="D34" s="12"/>
      <c r="E34" s="45" t="s">
        <v>33</v>
      </c>
      <c r="F34" s="17"/>
      <c r="G34" s="84" t="s">
        <v>24</v>
      </c>
      <c r="H34" s="17"/>
      <c r="I34" s="45" t="s">
        <v>61</v>
      </c>
      <c r="J34" s="63"/>
      <c r="K34" s="4" t="str">
        <f t="shared" si="1"/>
        <v/>
      </c>
      <c r="L34" s="18" t="str">
        <f t="shared" si="2"/>
        <v/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4">
        <v>46077.0</v>
      </c>
      <c r="C35" s="12" t="s">
        <v>49</v>
      </c>
      <c r="D35" s="12" t="s">
        <v>22</v>
      </c>
      <c r="E35" s="45" t="s">
        <v>37</v>
      </c>
      <c r="F35" s="96">
        <v>6.0</v>
      </c>
      <c r="G35" s="84" t="s">
        <v>24</v>
      </c>
      <c r="H35" s="96">
        <v>0.0</v>
      </c>
      <c r="I35" s="45" t="s">
        <v>144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4">
        <v>46085.0</v>
      </c>
      <c r="C36" s="12" t="s">
        <v>54</v>
      </c>
      <c r="D36" s="12" t="s">
        <v>97</v>
      </c>
      <c r="E36" s="45" t="s">
        <v>112</v>
      </c>
      <c r="F36" s="17">
        <v>3.0</v>
      </c>
      <c r="G36" s="84" t="s">
        <v>24</v>
      </c>
      <c r="H36" s="17">
        <v>3.0</v>
      </c>
      <c r="I36" s="45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102"/>
      <c r="C37" s="41"/>
      <c r="D37" s="12"/>
      <c r="E37" s="45" t="s">
        <v>63</v>
      </c>
      <c r="F37" s="84"/>
      <c r="G37" s="84" t="s">
        <v>24</v>
      </c>
      <c r="H37" s="84"/>
      <c r="I37" s="45" t="s">
        <v>31</v>
      </c>
      <c r="J37" s="63"/>
      <c r="K37" s="4" t="str">
        <f t="shared" si="1"/>
        <v/>
      </c>
      <c r="L37" s="18" t="str">
        <f t="shared" si="2"/>
        <v/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102"/>
      <c r="C38" s="41"/>
      <c r="D38" s="12"/>
      <c r="E38" s="45" t="s">
        <v>61</v>
      </c>
      <c r="F38" s="84"/>
      <c r="G38" s="84" t="s">
        <v>24</v>
      </c>
      <c r="H38" s="84"/>
      <c r="I38" s="45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41"/>
      <c r="D39" s="41"/>
      <c r="E39" s="14" t="s">
        <v>69</v>
      </c>
      <c r="F39" s="84"/>
      <c r="G39" s="84" t="s">
        <v>24</v>
      </c>
      <c r="H39" s="84"/>
      <c r="I39" s="45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4">
        <v>46085.0</v>
      </c>
      <c r="C40" s="12" t="s">
        <v>142</v>
      </c>
      <c r="D40" s="12" t="s">
        <v>97</v>
      </c>
      <c r="E40" s="45" t="s">
        <v>25</v>
      </c>
      <c r="F40" s="17">
        <v>2.0</v>
      </c>
      <c r="G40" s="84" t="s">
        <v>24</v>
      </c>
      <c r="H40" s="17">
        <v>5.0</v>
      </c>
      <c r="I40" s="45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4">
        <v>46085.0</v>
      </c>
      <c r="C41" s="12" t="s">
        <v>145</v>
      </c>
      <c r="D41" s="12" t="s">
        <v>97</v>
      </c>
      <c r="E41" s="45" t="s">
        <v>33</v>
      </c>
      <c r="F41" s="17">
        <v>0.0</v>
      </c>
      <c r="G41" s="84" t="s">
        <v>24</v>
      </c>
      <c r="H41" s="17">
        <v>4.0</v>
      </c>
      <c r="I41" s="45" t="s">
        <v>37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4">
        <v>46085.0</v>
      </c>
      <c r="C42" s="12" t="s">
        <v>36</v>
      </c>
      <c r="D42" s="12" t="s">
        <v>97</v>
      </c>
      <c r="E42" s="45" t="s">
        <v>144</v>
      </c>
      <c r="F42" s="96"/>
      <c r="G42" s="84" t="s">
        <v>24</v>
      </c>
      <c r="H42" s="96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4">
        <v>46091.0</v>
      </c>
      <c r="C43" s="12" t="s">
        <v>54</v>
      </c>
      <c r="D43" s="12" t="s">
        <v>97</v>
      </c>
      <c r="E43" s="45" t="s">
        <v>32</v>
      </c>
      <c r="F43" s="17">
        <v>1.0</v>
      </c>
      <c r="G43" s="84" t="s">
        <v>24</v>
      </c>
      <c r="H43" s="17">
        <v>6.0</v>
      </c>
      <c r="I43" s="45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/>
      <c r="G44" s="84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46111.0</v>
      </c>
      <c r="C45" s="12" t="s">
        <v>142</v>
      </c>
      <c r="D45" s="12" t="s">
        <v>97</v>
      </c>
      <c r="E45" s="45" t="s">
        <v>66</v>
      </c>
      <c r="F45" s="17">
        <v>3.0</v>
      </c>
      <c r="G45" s="84" t="s">
        <v>24</v>
      </c>
      <c r="H45" s="17">
        <v>0.0</v>
      </c>
      <c r="I45" s="45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17">
        <v>3.0</v>
      </c>
      <c r="G46" s="84" t="s">
        <v>24</v>
      </c>
      <c r="H46" s="17">
        <v>2.0</v>
      </c>
      <c r="I46" s="45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4" t="s">
        <v>24</v>
      </c>
      <c r="H47" s="17">
        <v>2.0</v>
      </c>
      <c r="I47" s="45" t="s">
        <v>144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4" t="s">
        <v>24</v>
      </c>
      <c r="H48" s="17">
        <v>5.0</v>
      </c>
      <c r="I48" s="45" t="s">
        <v>37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6"/>
      <c r="C49" s="84"/>
      <c r="D49" s="84"/>
      <c r="E49" s="103" t="s">
        <v>69</v>
      </c>
      <c r="F49" s="28"/>
      <c r="G49" s="84" t="s">
        <v>24</v>
      </c>
      <c r="H49" s="28"/>
      <c r="I49" s="45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4">
        <v>46105.0</v>
      </c>
      <c r="C50" s="12" t="s">
        <v>142</v>
      </c>
      <c r="D50" s="12" t="s">
        <v>97</v>
      </c>
      <c r="E50" s="45" t="s">
        <v>66</v>
      </c>
      <c r="F50" s="17">
        <v>3.0</v>
      </c>
      <c r="G50" s="84" t="s">
        <v>24</v>
      </c>
      <c r="H50" s="17">
        <v>0.0</v>
      </c>
      <c r="I50" s="45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4">
        <v>46111.0</v>
      </c>
      <c r="C51" s="12" t="s">
        <v>142</v>
      </c>
      <c r="D51" s="12" t="s">
        <v>97</v>
      </c>
      <c r="E51" s="45" t="s">
        <v>65</v>
      </c>
      <c r="F51" s="17">
        <v>4.0</v>
      </c>
      <c r="G51" s="84" t="s">
        <v>24</v>
      </c>
      <c r="H51" s="17">
        <v>2.0</v>
      </c>
      <c r="I51" s="45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4">
        <v>46111.0</v>
      </c>
      <c r="C52" s="12" t="s">
        <v>145</v>
      </c>
      <c r="D52" s="12" t="s">
        <v>97</v>
      </c>
      <c r="E52" s="45" t="s">
        <v>144</v>
      </c>
      <c r="F52" s="17">
        <v>2.0</v>
      </c>
      <c r="G52" s="84" t="s">
        <v>24</v>
      </c>
      <c r="H52" s="17">
        <v>8.0</v>
      </c>
      <c r="I52" s="45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4">
        <v>46105.0</v>
      </c>
      <c r="C53" s="12" t="s">
        <v>54</v>
      </c>
      <c r="D53" s="12" t="s">
        <v>97</v>
      </c>
      <c r="E53" s="45" t="s">
        <v>112</v>
      </c>
      <c r="F53" s="17">
        <v>3.0</v>
      </c>
      <c r="G53" s="84" t="s">
        <v>24</v>
      </c>
      <c r="H53" s="17">
        <v>2.0</v>
      </c>
      <c r="I53" s="45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4">
        <v>46105.0</v>
      </c>
      <c r="C54" s="12" t="s">
        <v>36</v>
      </c>
      <c r="D54" s="12" t="s">
        <v>97</v>
      </c>
      <c r="E54" s="45" t="s">
        <v>37</v>
      </c>
      <c r="F54" s="17"/>
      <c r="G54" s="84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4">
        <v>46111.0</v>
      </c>
      <c r="C55" s="12" t="s">
        <v>36</v>
      </c>
      <c r="D55" s="12" t="s">
        <v>97</v>
      </c>
      <c r="E55" s="45" t="s">
        <v>63</v>
      </c>
      <c r="F55" s="17">
        <v>0.0</v>
      </c>
      <c r="G55" s="84" t="s">
        <v>24</v>
      </c>
      <c r="H55" s="17">
        <v>8.0</v>
      </c>
      <c r="I55" s="45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6"/>
      <c r="C56" s="84"/>
      <c r="D56" s="84"/>
      <c r="E56" s="45" t="s">
        <v>61</v>
      </c>
      <c r="F56" s="96"/>
      <c r="G56" s="84" t="s">
        <v>24</v>
      </c>
      <c r="H56" s="96"/>
      <c r="I56" s="45" t="s">
        <v>114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4">
        <v>46133.0</v>
      </c>
      <c r="C57" s="66" t="s">
        <v>145</v>
      </c>
      <c r="D57" s="12" t="s">
        <v>22</v>
      </c>
      <c r="E57" s="45" t="s">
        <v>66</v>
      </c>
      <c r="F57" s="17">
        <v>5.0</v>
      </c>
      <c r="G57" s="84" t="s">
        <v>24</v>
      </c>
      <c r="H57" s="17">
        <v>0.0</v>
      </c>
      <c r="I57" s="45" t="s">
        <v>37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4">
        <v>46133.0</v>
      </c>
      <c r="C58" s="66" t="s">
        <v>54</v>
      </c>
      <c r="D58" s="12" t="s">
        <v>22</v>
      </c>
      <c r="E58" s="45" t="s">
        <v>31</v>
      </c>
      <c r="F58" s="17">
        <v>9.0</v>
      </c>
      <c r="G58" s="84" t="s">
        <v>24</v>
      </c>
      <c r="H58" s="17">
        <v>0.0</v>
      </c>
      <c r="I58" s="45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4">
        <v>46133.0</v>
      </c>
      <c r="C59" s="66" t="s">
        <v>142</v>
      </c>
      <c r="D59" s="12" t="s">
        <v>22</v>
      </c>
      <c r="E59" s="45" t="s">
        <v>144</v>
      </c>
      <c r="F59" s="17">
        <v>1.0</v>
      </c>
      <c r="G59" s="84" t="s">
        <v>24</v>
      </c>
      <c r="H59" s="17">
        <v>1.0</v>
      </c>
      <c r="I59" s="45" t="s">
        <v>112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41"/>
      <c r="D60" s="41"/>
      <c r="E60" s="14" t="s">
        <v>43</v>
      </c>
      <c r="F60" s="84"/>
      <c r="G60" s="84" t="s">
        <v>24</v>
      </c>
      <c r="H60" s="84"/>
      <c r="I60" s="100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4">
        <v>46133.0</v>
      </c>
      <c r="C61" s="12" t="s">
        <v>49</v>
      </c>
      <c r="D61" s="12" t="s">
        <v>22</v>
      </c>
      <c r="E61" s="45" t="s">
        <v>114</v>
      </c>
      <c r="F61" s="17">
        <v>0.0</v>
      </c>
      <c r="G61" s="84" t="s">
        <v>24</v>
      </c>
      <c r="H61" s="17">
        <v>11.0</v>
      </c>
      <c r="I61" s="45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4">
        <v>46133.0</v>
      </c>
      <c r="C62" s="66" t="s">
        <v>36</v>
      </c>
      <c r="D62" s="12" t="s">
        <v>22</v>
      </c>
      <c r="E62" s="45" t="s">
        <v>23</v>
      </c>
      <c r="F62" s="17">
        <v>3.0</v>
      </c>
      <c r="G62" s="84" t="s">
        <v>24</v>
      </c>
      <c r="H62" s="17">
        <v>0.0</v>
      </c>
      <c r="I62" s="45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86"/>
      <c r="C63" s="84"/>
      <c r="D63" s="84"/>
      <c r="E63" s="45" t="s">
        <v>114</v>
      </c>
      <c r="F63" s="17"/>
      <c r="G63" s="84" t="s">
        <v>24</v>
      </c>
      <c r="H63" s="17"/>
      <c r="I63" s="45" t="s">
        <v>112</v>
      </c>
      <c r="J63" s="63"/>
      <c r="K63" s="4" t="str">
        <f t="shared" si="1"/>
        <v/>
      </c>
      <c r="L63" s="18" t="str">
        <f t="shared" si="2"/>
        <v/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86"/>
      <c r="C64" s="84"/>
      <c r="D64" s="84"/>
      <c r="E64" s="45" t="s">
        <v>23</v>
      </c>
      <c r="F64" s="84"/>
      <c r="G64" s="84" t="s">
        <v>24</v>
      </c>
      <c r="H64" s="84"/>
      <c r="I64" s="45" t="s">
        <v>66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86"/>
      <c r="C65" s="84"/>
      <c r="D65" s="84"/>
      <c r="E65" s="45" t="s">
        <v>61</v>
      </c>
      <c r="F65" s="84"/>
      <c r="G65" s="84" t="s">
        <v>24</v>
      </c>
      <c r="H65" s="84"/>
      <c r="I65" s="45" t="s">
        <v>65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6"/>
      <c r="C66" s="84"/>
      <c r="D66" s="84"/>
      <c r="E66" s="45" t="s">
        <v>63</v>
      </c>
      <c r="F66" s="84"/>
      <c r="G66" s="84" t="s">
        <v>24</v>
      </c>
      <c r="H66" s="84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4">
        <v>46131.0</v>
      </c>
      <c r="C67" s="12" t="s">
        <v>54</v>
      </c>
      <c r="D67" s="12" t="s">
        <v>22</v>
      </c>
      <c r="E67" s="45" t="s">
        <v>66</v>
      </c>
      <c r="F67" s="17">
        <v>11.0</v>
      </c>
      <c r="G67" s="84" t="s">
        <v>24</v>
      </c>
      <c r="H67" s="17">
        <v>0.0</v>
      </c>
      <c r="I67" s="45" t="s">
        <v>144</v>
      </c>
      <c r="J67" s="63"/>
      <c r="K67" s="4"/>
      <c r="L67" s="18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4">
        <v>46131.0</v>
      </c>
      <c r="C68" s="12" t="s">
        <v>142</v>
      </c>
      <c r="D68" s="12" t="s">
        <v>22</v>
      </c>
      <c r="E68" s="45" t="s">
        <v>112</v>
      </c>
      <c r="F68" s="17">
        <v>11.0</v>
      </c>
      <c r="G68" s="84" t="s">
        <v>24</v>
      </c>
      <c r="H68" s="17">
        <v>0.0</v>
      </c>
      <c r="I68" s="45" t="s">
        <v>63</v>
      </c>
      <c r="J68" s="63"/>
      <c r="K68" s="4"/>
      <c r="L68" s="18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4">
        <v>46131.0</v>
      </c>
      <c r="C69" s="12" t="s">
        <v>145</v>
      </c>
      <c r="D69" s="12" t="s">
        <v>22</v>
      </c>
      <c r="E69" s="45" t="s">
        <v>25</v>
      </c>
      <c r="F69" s="17">
        <v>2.0</v>
      </c>
      <c r="G69" s="84" t="s">
        <v>24</v>
      </c>
      <c r="H69" s="17">
        <v>1.0</v>
      </c>
      <c r="I69" s="45" t="s">
        <v>37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86"/>
      <c r="C70" s="84"/>
      <c r="D70" s="84"/>
      <c r="E70" s="45" t="s">
        <v>33</v>
      </c>
      <c r="F70" s="84"/>
      <c r="G70" s="84" t="s">
        <v>24</v>
      </c>
      <c r="H70" s="84"/>
      <c r="I70" s="45" t="s">
        <v>31</v>
      </c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153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4"/>
      <c r="C75" s="12"/>
      <c r="D75" s="12"/>
      <c r="E75" s="45" t="s">
        <v>73</v>
      </c>
      <c r="F75" s="31"/>
      <c r="G75" s="16" t="s">
        <v>24</v>
      </c>
      <c r="H75" s="31"/>
      <c r="I75" s="45" t="s">
        <v>139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4"/>
      <c r="C76" s="12"/>
      <c r="D76" s="12"/>
      <c r="E76" s="45" t="s">
        <v>75</v>
      </c>
      <c r="F76" s="31"/>
      <c r="G76" s="16" t="s">
        <v>24</v>
      </c>
      <c r="H76" s="31"/>
      <c r="I76" s="45" t="s">
        <v>76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4"/>
      <c r="C77" s="12"/>
      <c r="D77" s="12"/>
      <c r="E77" s="45" t="s">
        <v>77</v>
      </c>
      <c r="F77" s="31"/>
      <c r="G77" s="16" t="s">
        <v>24</v>
      </c>
      <c r="H77" s="31"/>
      <c r="I77" s="45" t="s">
        <v>78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4"/>
      <c r="C78" s="12"/>
      <c r="D78" s="12"/>
      <c r="E78" s="45" t="s">
        <v>79</v>
      </c>
      <c r="F78" s="31"/>
      <c r="G78" s="16" t="s">
        <v>24</v>
      </c>
      <c r="H78" s="31"/>
      <c r="I78" s="45" t="s">
        <v>80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81</v>
      </c>
      <c r="B79" s="44"/>
      <c r="C79" s="12"/>
      <c r="D79" s="12"/>
      <c r="E79" s="45" t="s">
        <v>82</v>
      </c>
      <c r="F79" s="31"/>
      <c r="G79" s="16" t="s">
        <v>24</v>
      </c>
      <c r="H79" s="31"/>
      <c r="I79" s="45" t="s">
        <v>83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2" t="s">
        <v>84</v>
      </c>
      <c r="F80" s="13"/>
      <c r="G80" s="16" t="s">
        <v>24</v>
      </c>
      <c r="H80" s="13"/>
      <c r="I80" s="45" t="s">
        <v>85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86</v>
      </c>
      <c r="B81" s="30"/>
      <c r="C81" s="31"/>
      <c r="D81" s="12"/>
      <c r="E81" s="45" t="s">
        <v>87</v>
      </c>
      <c r="F81" s="31"/>
      <c r="G81" s="16" t="s">
        <v>24</v>
      </c>
      <c r="H81" s="31"/>
      <c r="I81" s="61" t="s">
        <v>88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89</v>
      </c>
      <c r="B82" s="30"/>
      <c r="C82" s="31"/>
      <c r="D82" s="12"/>
      <c r="E82" s="45" t="s">
        <v>90</v>
      </c>
      <c r="F82" s="31"/>
      <c r="G82" s="16" t="s">
        <v>24</v>
      </c>
      <c r="H82" s="31"/>
      <c r="I82" s="45" t="s">
        <v>91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2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2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2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2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2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2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2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2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2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2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2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2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2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2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2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2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2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2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2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2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2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2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2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2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2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2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2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2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2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2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2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2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2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2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2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2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2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2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2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2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2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2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2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2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2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2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2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2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2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2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2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2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2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2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2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2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2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2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2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2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2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2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2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2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2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2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2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2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2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2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2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2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2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2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2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2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2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2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2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2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2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2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2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2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2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2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2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2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2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2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2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2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2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2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2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2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2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2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2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2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2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4" t="s">
        <v>154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4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5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19</v>
      </c>
      <c r="U3" s="20">
        <f t="shared" ref="U3:U14" si="8">SUMIF(E$3:E$68,O3,H$3:H$68)+SUMIF(I$3:I$68,O3,F$3:F$68)</f>
        <v>49</v>
      </c>
      <c r="V3" s="18">
        <f t="shared" ref="V3:V14" si="9">T3-U3</f>
        <v>-30</v>
      </c>
      <c r="W3" s="63"/>
      <c r="X3" s="63"/>
      <c r="Y3" s="69" t="s">
        <v>26</v>
      </c>
      <c r="Z3" s="69" t="s">
        <v>13</v>
      </c>
      <c r="AA3" s="106"/>
      <c r="AB3" s="106"/>
      <c r="AC3" s="106"/>
      <c r="AD3" s="63"/>
      <c r="AE3" s="22" t="s">
        <v>29</v>
      </c>
      <c r="AF3" s="23" t="str">
        <f t="array" ref="AF3:AN14">SORT(O3:W14,2,FALSE,9,FALSE,8,FALSE())</f>
        <v>Eng. Mecânica</v>
      </c>
      <c r="AG3" s="23">
        <v>27.0</v>
      </c>
      <c r="AH3" s="23">
        <v>9.0</v>
      </c>
      <c r="AI3" s="23">
        <v>0.0</v>
      </c>
      <c r="AJ3" s="23">
        <v>1.0</v>
      </c>
      <c r="AK3" s="23">
        <v>35.0</v>
      </c>
      <c r="AL3" s="23">
        <v>14.0</v>
      </c>
      <c r="AM3" s="23">
        <v>21.0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22</v>
      </c>
      <c r="E4" s="17" t="s">
        <v>23</v>
      </c>
      <c r="F4" s="17">
        <v>4.0</v>
      </c>
      <c r="G4" s="84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5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89"/>
      <c r="AB4" s="89"/>
      <c r="AC4" s="89"/>
      <c r="AD4" s="63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4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33</v>
      </c>
      <c r="P5" s="18">
        <f t="shared" si="3"/>
        <v>27</v>
      </c>
      <c r="Q5" s="18">
        <f t="shared" si="4"/>
        <v>9</v>
      </c>
      <c r="R5" s="18">
        <f t="shared" si="5"/>
        <v>0</v>
      </c>
      <c r="S5" s="20">
        <f t="shared" si="6"/>
        <v>1</v>
      </c>
      <c r="T5" s="18">
        <f t="shared" si="7"/>
        <v>35</v>
      </c>
      <c r="U5" s="20">
        <f t="shared" si="8"/>
        <v>14</v>
      </c>
      <c r="V5" s="18">
        <f t="shared" si="9"/>
        <v>21</v>
      </c>
      <c r="W5" s="63"/>
      <c r="X5" s="63"/>
      <c r="Y5" s="28" t="s">
        <v>37</v>
      </c>
      <c r="Z5" s="28">
        <v>0.0</v>
      </c>
      <c r="AA5" s="89"/>
      <c r="AB5" s="89"/>
      <c r="AC5" s="89"/>
      <c r="AD5" s="63"/>
      <c r="AE5" s="22" t="s">
        <v>39</v>
      </c>
      <c r="AF5" s="23" t="s">
        <v>25</v>
      </c>
      <c r="AG5" s="23">
        <v>19.0</v>
      </c>
      <c r="AH5" s="23">
        <v>6.0</v>
      </c>
      <c r="AI5" s="23">
        <v>1.0</v>
      </c>
      <c r="AJ5" s="23">
        <v>3.0</v>
      </c>
      <c r="AK5" s="23">
        <v>37.0</v>
      </c>
      <c r="AL5" s="23">
        <v>17.0</v>
      </c>
      <c r="AM5" s="23">
        <v>20.0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22</v>
      </c>
      <c r="E6" s="17" t="s">
        <v>25</v>
      </c>
      <c r="F6" s="17">
        <v>2.0</v>
      </c>
      <c r="G6" s="84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10</v>
      </c>
      <c r="T6" s="18">
        <f t="shared" si="7"/>
        <v>8</v>
      </c>
      <c r="U6" s="20">
        <f t="shared" si="8"/>
        <v>64</v>
      </c>
      <c r="V6" s="18">
        <f t="shared" si="9"/>
        <v>-56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112</v>
      </c>
      <c r="AG6" s="23">
        <v>18.0</v>
      </c>
      <c r="AH6" s="23">
        <v>5.0</v>
      </c>
      <c r="AI6" s="23">
        <v>3.0</v>
      </c>
      <c r="AJ6" s="23">
        <v>3.0</v>
      </c>
      <c r="AK6" s="23">
        <v>29.0</v>
      </c>
      <c r="AL6" s="23">
        <v>27.0</v>
      </c>
      <c r="AM6" s="23">
        <v>2.0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4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5" t="s">
        <v>115</v>
      </c>
      <c r="P7" s="18">
        <f t="shared" si="3"/>
        <v>17</v>
      </c>
      <c r="Q7" s="18">
        <f t="shared" si="4"/>
        <v>5</v>
      </c>
      <c r="R7" s="18">
        <f t="shared" si="5"/>
        <v>2</v>
      </c>
      <c r="S7" s="20">
        <f t="shared" si="6"/>
        <v>3</v>
      </c>
      <c r="T7" s="18">
        <f t="shared" si="7"/>
        <v>29</v>
      </c>
      <c r="U7" s="20">
        <f t="shared" si="8"/>
        <v>18</v>
      </c>
      <c r="V7" s="18">
        <f t="shared" si="9"/>
        <v>11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115</v>
      </c>
      <c r="AG7" s="23">
        <v>17.0</v>
      </c>
      <c r="AH7" s="23">
        <v>5.0</v>
      </c>
      <c r="AI7" s="23">
        <v>2.0</v>
      </c>
      <c r="AJ7" s="23">
        <v>3.0</v>
      </c>
      <c r="AK7" s="23">
        <v>29.0</v>
      </c>
      <c r="AL7" s="23">
        <v>18.0</v>
      </c>
      <c r="AM7" s="23">
        <v>11.0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4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8">
        <f t="shared" si="3"/>
        <v>19</v>
      </c>
      <c r="Q8" s="18">
        <f t="shared" si="4"/>
        <v>6</v>
      </c>
      <c r="R8" s="18">
        <f t="shared" si="5"/>
        <v>1</v>
      </c>
      <c r="S8" s="20">
        <f t="shared" si="6"/>
        <v>3</v>
      </c>
      <c r="T8" s="18">
        <f t="shared" si="7"/>
        <v>37</v>
      </c>
      <c r="U8" s="20">
        <f t="shared" si="8"/>
        <v>17</v>
      </c>
      <c r="V8" s="18">
        <f t="shared" si="9"/>
        <v>20</v>
      </c>
      <c r="W8" s="63"/>
      <c r="X8" s="63"/>
      <c r="Y8" s="63"/>
      <c r="Z8" s="63"/>
      <c r="AA8" s="63"/>
      <c r="AB8" s="63"/>
      <c r="AC8" s="63"/>
      <c r="AD8" s="63"/>
      <c r="AE8" s="53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3.0</v>
      </c>
      <c r="AK8" s="23">
        <v>32.0</v>
      </c>
      <c r="AL8" s="23">
        <v>26.0</v>
      </c>
      <c r="AM8" s="23">
        <v>6.0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4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5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3</v>
      </c>
      <c r="T9" s="18">
        <f t="shared" si="7"/>
        <v>32</v>
      </c>
      <c r="U9" s="20">
        <f t="shared" si="8"/>
        <v>26</v>
      </c>
      <c r="V9" s="18">
        <f t="shared" si="9"/>
        <v>6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23</v>
      </c>
      <c r="AG9" s="23">
        <v>16.0</v>
      </c>
      <c r="AH9" s="23">
        <v>5.0</v>
      </c>
      <c r="AI9" s="23">
        <v>1.0</v>
      </c>
      <c r="AJ9" s="23">
        <v>4.0</v>
      </c>
      <c r="AK9" s="23">
        <v>35.0</v>
      </c>
      <c r="AL9" s="23">
        <v>24.0</v>
      </c>
      <c r="AM9" s="23">
        <v>11.0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4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5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4</v>
      </c>
      <c r="T10" s="18">
        <f t="shared" si="7"/>
        <v>30</v>
      </c>
      <c r="U10" s="20">
        <f t="shared" si="8"/>
        <v>30</v>
      </c>
      <c r="V10" s="18">
        <f t="shared" si="9"/>
        <v>0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66</v>
      </c>
      <c r="AG10" s="23">
        <v>13.0</v>
      </c>
      <c r="AH10" s="23">
        <v>3.0</v>
      </c>
      <c r="AI10" s="23">
        <v>4.0</v>
      </c>
      <c r="AJ10" s="23">
        <v>3.0</v>
      </c>
      <c r="AK10" s="23">
        <v>38.0</v>
      </c>
      <c r="AL10" s="23">
        <v>30.0</v>
      </c>
      <c r="AM10" s="23">
        <v>8.0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4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66</v>
      </c>
      <c r="P11" s="18">
        <f t="shared" si="3"/>
        <v>13</v>
      </c>
      <c r="Q11" s="18">
        <f t="shared" si="4"/>
        <v>3</v>
      </c>
      <c r="R11" s="18">
        <f t="shared" si="5"/>
        <v>4</v>
      </c>
      <c r="S11" s="20">
        <f t="shared" si="6"/>
        <v>3</v>
      </c>
      <c r="T11" s="18">
        <f t="shared" si="7"/>
        <v>38</v>
      </c>
      <c r="U11" s="20">
        <f t="shared" si="8"/>
        <v>30</v>
      </c>
      <c r="V11" s="18">
        <f t="shared" si="9"/>
        <v>8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4.0</v>
      </c>
      <c r="AK11" s="23">
        <v>30.0</v>
      </c>
      <c r="AL11" s="23">
        <v>30.0</v>
      </c>
      <c r="AM11" s="23">
        <v>0.0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4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5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4</v>
      </c>
      <c r="T12" s="18">
        <f t="shared" si="7"/>
        <v>35</v>
      </c>
      <c r="U12" s="20">
        <f t="shared" si="8"/>
        <v>24</v>
      </c>
      <c r="V12" s="18">
        <f t="shared" si="9"/>
        <v>11</v>
      </c>
      <c r="W12" s="63"/>
      <c r="X12" s="63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7.0</v>
      </c>
      <c r="AK12" s="23">
        <v>27.0</v>
      </c>
      <c r="AL12" s="23">
        <v>35.0</v>
      </c>
      <c r="AM12" s="23">
        <v>-8.0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4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5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07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9.0</v>
      </c>
      <c r="AK13" s="23">
        <v>19.0</v>
      </c>
      <c r="AL13" s="23">
        <v>49.0</v>
      </c>
      <c r="AM13" s="23">
        <v>-30.0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4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5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7</v>
      </c>
      <c r="T14" s="18">
        <f t="shared" si="7"/>
        <v>27</v>
      </c>
      <c r="U14" s="20">
        <f t="shared" si="8"/>
        <v>35</v>
      </c>
      <c r="V14" s="18">
        <f t="shared" si="9"/>
        <v>-8</v>
      </c>
      <c r="W14" s="63"/>
      <c r="X14" s="63"/>
      <c r="Y14" s="63"/>
      <c r="Z14" s="63"/>
      <c r="AA14" s="63"/>
      <c r="AB14" s="63"/>
      <c r="AC14" s="63"/>
      <c r="AD14" s="63"/>
      <c r="AE14" s="107">
        <v>12.0</v>
      </c>
      <c r="AF14" s="84" t="s">
        <v>45</v>
      </c>
      <c r="AG14" s="23">
        <v>0.0</v>
      </c>
      <c r="AH14" s="23">
        <v>0.0</v>
      </c>
      <c r="AI14" s="23">
        <v>0.0</v>
      </c>
      <c r="AJ14" s="23">
        <v>10.0</v>
      </c>
      <c r="AK14" s="23">
        <v>8.0</v>
      </c>
      <c r="AL14" s="23">
        <v>64.0</v>
      </c>
      <c r="AM14" s="23">
        <v>-56.0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4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4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4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97</v>
      </c>
      <c r="E18" s="17" t="s">
        <v>157</v>
      </c>
      <c r="F18" s="17">
        <v>2.0</v>
      </c>
      <c r="G18" s="84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4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4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4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4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4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4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4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4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4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4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4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4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54</v>
      </c>
      <c r="D31" s="12" t="s">
        <v>97</v>
      </c>
      <c r="E31" s="17" t="s">
        <v>157</v>
      </c>
      <c r="F31" s="17">
        <v>7.0</v>
      </c>
      <c r="G31" s="84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4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4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4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4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4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4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4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54</v>
      </c>
      <c r="D39" s="12" t="s">
        <v>97</v>
      </c>
      <c r="E39" s="17" t="s">
        <v>158</v>
      </c>
      <c r="F39" s="17">
        <v>6.0</v>
      </c>
      <c r="G39" s="84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4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4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54</v>
      </c>
      <c r="D42" s="12" t="s">
        <v>97</v>
      </c>
      <c r="E42" s="17" t="s">
        <v>37</v>
      </c>
      <c r="F42" s="17">
        <v>5.0</v>
      </c>
      <c r="G42" s="84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4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4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54</v>
      </c>
      <c r="D45" s="12" t="s">
        <v>97</v>
      </c>
      <c r="E45" s="17" t="s">
        <v>66</v>
      </c>
      <c r="F45" s="17">
        <v>6.0</v>
      </c>
      <c r="G45" s="84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4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4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54</v>
      </c>
      <c r="D48" s="12" t="s">
        <v>97</v>
      </c>
      <c r="E48" s="45" t="s">
        <v>45</v>
      </c>
      <c r="F48" s="17">
        <v>0.0</v>
      </c>
      <c r="G48" s="84" t="s">
        <v>24</v>
      </c>
      <c r="H48" s="17">
        <v>2.0</v>
      </c>
      <c r="I48" s="45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4" t="s">
        <v>24</v>
      </c>
      <c r="H49" s="17">
        <v>0.0</v>
      </c>
      <c r="I49" s="17" t="s">
        <v>37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4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54</v>
      </c>
      <c r="D51" s="12" t="s">
        <v>97</v>
      </c>
      <c r="E51" s="17" t="s">
        <v>66</v>
      </c>
      <c r="F51" s="17">
        <v>3.0</v>
      </c>
      <c r="G51" s="84" t="s">
        <v>24</v>
      </c>
      <c r="H51" s="17">
        <v>3.0</v>
      </c>
      <c r="I51" s="17" t="s">
        <v>112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52</v>
      </c>
      <c r="D52" s="12" t="s">
        <v>97</v>
      </c>
      <c r="E52" s="45" t="s">
        <v>158</v>
      </c>
      <c r="F52" s="17">
        <v>3.0</v>
      </c>
      <c r="G52" s="84" t="s">
        <v>24</v>
      </c>
      <c r="H52" s="17">
        <v>7.0</v>
      </c>
      <c r="I52" s="45" t="s">
        <v>156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17">
        <v>10.0</v>
      </c>
      <c r="G53" s="84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4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4" t="s">
        <v>24</v>
      </c>
      <c r="H55" s="17">
        <v>7.0</v>
      </c>
      <c r="I55" s="17" t="s">
        <v>157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17">
        <v>2.0</v>
      </c>
      <c r="G56" s="84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4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4" t="s">
        <v>24</v>
      </c>
      <c r="H57" s="17">
        <v>1.0</v>
      </c>
      <c r="I57" s="17" t="s">
        <v>112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4">
        <v>46127.0</v>
      </c>
      <c r="C58" s="12" t="s">
        <v>51</v>
      </c>
      <c r="D58" s="12" t="s">
        <v>97</v>
      </c>
      <c r="E58" s="45" t="s">
        <v>156</v>
      </c>
      <c r="F58" s="17">
        <v>4.0</v>
      </c>
      <c r="G58" s="84" t="s">
        <v>24</v>
      </c>
      <c r="H58" s="17">
        <v>4.0</v>
      </c>
      <c r="I58" s="45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4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4" t="s">
        <v>24</v>
      </c>
      <c r="H59" s="17">
        <v>3.0</v>
      </c>
      <c r="I59" s="17" t="s">
        <v>158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4">
        <v>46127.0</v>
      </c>
      <c r="C60" s="12" t="s">
        <v>54</v>
      </c>
      <c r="D60" s="12" t="s">
        <v>97</v>
      </c>
      <c r="E60" s="17" t="s">
        <v>25</v>
      </c>
      <c r="F60" s="17">
        <v>1.0</v>
      </c>
      <c r="G60" s="84" t="s">
        <v>24</v>
      </c>
      <c r="H60" s="17">
        <v>1.0</v>
      </c>
      <c r="I60" s="17" t="s">
        <v>115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4">
        <v>46127.0</v>
      </c>
      <c r="C61" s="12" t="s">
        <v>53</v>
      </c>
      <c r="D61" s="12" t="s">
        <v>22</v>
      </c>
      <c r="E61" s="17" t="s">
        <v>157</v>
      </c>
      <c r="F61" s="17">
        <v>1.0</v>
      </c>
      <c r="G61" s="84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4">
        <v>46127.0</v>
      </c>
      <c r="C62" s="12" t="s">
        <v>55</v>
      </c>
      <c r="D62" s="12" t="s">
        <v>97</v>
      </c>
      <c r="E62" s="17" t="s">
        <v>23</v>
      </c>
      <c r="F62" s="17">
        <v>5.0</v>
      </c>
      <c r="G62" s="84" t="s">
        <v>24</v>
      </c>
      <c r="H62" s="17">
        <v>2.0</v>
      </c>
      <c r="I62" s="17" t="s">
        <v>37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4">
        <v>46131.0</v>
      </c>
      <c r="C63" s="12" t="s">
        <v>51</v>
      </c>
      <c r="D63" s="12" t="s">
        <v>22</v>
      </c>
      <c r="E63" s="45" t="s">
        <v>112</v>
      </c>
      <c r="F63" s="17">
        <v>10.0</v>
      </c>
      <c r="G63" s="84" t="s">
        <v>24</v>
      </c>
      <c r="H63" s="17">
        <v>6.0</v>
      </c>
      <c r="I63" s="45" t="s">
        <v>156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4">
        <v>46134.0</v>
      </c>
      <c r="C64" s="12" t="s">
        <v>51</v>
      </c>
      <c r="D64" s="12" t="s">
        <v>97</v>
      </c>
      <c r="E64" s="45" t="s">
        <v>66</v>
      </c>
      <c r="F64" s="84"/>
      <c r="G64" s="84" t="s">
        <v>24</v>
      </c>
      <c r="H64" s="84"/>
      <c r="I64" s="45" t="s">
        <v>45</v>
      </c>
      <c r="J64" s="63"/>
      <c r="K64" s="4" t="str">
        <f t="shared" si="1"/>
        <v/>
      </c>
      <c r="L64" s="18" t="str">
        <f t="shared" si="2"/>
        <v/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4">
        <v>46134.0</v>
      </c>
      <c r="C65" s="12" t="s">
        <v>54</v>
      </c>
      <c r="D65" s="12" t="s">
        <v>97</v>
      </c>
      <c r="E65" s="45" t="s">
        <v>158</v>
      </c>
      <c r="F65" s="84"/>
      <c r="G65" s="84" t="s">
        <v>24</v>
      </c>
      <c r="H65" s="84"/>
      <c r="I65" s="45" t="s">
        <v>25</v>
      </c>
      <c r="J65" s="63"/>
      <c r="K65" s="4" t="str">
        <f t="shared" si="1"/>
        <v/>
      </c>
      <c r="L65" s="18" t="str">
        <f t="shared" si="2"/>
        <v/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4">
        <v>46134.0</v>
      </c>
      <c r="C66" s="12" t="s">
        <v>155</v>
      </c>
      <c r="D66" s="12" t="s">
        <v>22</v>
      </c>
      <c r="E66" s="17" t="s">
        <v>115</v>
      </c>
      <c r="F66" s="84"/>
      <c r="G66" s="84" t="s">
        <v>24</v>
      </c>
      <c r="H66" s="84"/>
      <c r="I66" s="45" t="s">
        <v>157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4">
        <v>46134.0</v>
      </c>
      <c r="C67" s="12" t="s">
        <v>52</v>
      </c>
      <c r="D67" s="12" t="s">
        <v>97</v>
      </c>
      <c r="E67" s="45" t="s">
        <v>33</v>
      </c>
      <c r="F67" s="84"/>
      <c r="G67" s="84" t="s">
        <v>24</v>
      </c>
      <c r="H67" s="84"/>
      <c r="I67" s="45" t="s">
        <v>23</v>
      </c>
      <c r="J67" s="63"/>
      <c r="K67" s="4" t="str">
        <f t="shared" si="1"/>
        <v/>
      </c>
      <c r="L67" s="18" t="str">
        <f t="shared" si="2"/>
        <v/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4">
        <v>46134.0</v>
      </c>
      <c r="C68" s="12" t="s">
        <v>55</v>
      </c>
      <c r="D68" s="12" t="s">
        <v>97</v>
      </c>
      <c r="E68" s="45" t="s">
        <v>37</v>
      </c>
      <c r="F68" s="84"/>
      <c r="G68" s="84" t="s">
        <v>24</v>
      </c>
      <c r="H68" s="84"/>
      <c r="I68" s="45" t="s">
        <v>159</v>
      </c>
      <c r="J68" s="63"/>
      <c r="K68" s="4" t="str">
        <f t="shared" si="1"/>
        <v/>
      </c>
      <c r="L68" s="18" t="str">
        <f t="shared" si="2"/>
        <v/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4" t="s">
        <v>164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5" t="s">
        <v>114</v>
      </c>
      <c r="F75" s="45">
        <v>3.0</v>
      </c>
      <c r="G75" s="84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7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4" t="s">
        <v>24</v>
      </c>
      <c r="H76" s="45">
        <v>4.0</v>
      </c>
      <c r="I76" s="45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7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3"/>
      <c r="X76" s="63"/>
      <c r="Y76" s="63"/>
      <c r="Z76" s="63"/>
      <c r="AA76" s="63"/>
      <c r="AB76" s="63"/>
      <c r="AC76" s="63"/>
      <c r="AD76" s="63"/>
      <c r="AE76" s="108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4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7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97</v>
      </c>
      <c r="E78" s="45" t="s">
        <v>63</v>
      </c>
      <c r="F78" s="45">
        <v>12.0</v>
      </c>
      <c r="G78" s="84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7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09"/>
      <c r="C79" s="84"/>
      <c r="D79" s="67"/>
      <c r="E79" s="45" t="s">
        <v>59</v>
      </c>
      <c r="F79" s="67"/>
      <c r="G79" s="84" t="s">
        <v>24</v>
      </c>
      <c r="H79" s="67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7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110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4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7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41"/>
      <c r="D81" s="88"/>
      <c r="E81" s="45">
        <v>0.0</v>
      </c>
      <c r="F81" s="67"/>
      <c r="G81" s="84" t="s">
        <v>24</v>
      </c>
      <c r="H81" s="67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7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110">
        <v>45957.0</v>
      </c>
      <c r="C82" s="12" t="s">
        <v>54</v>
      </c>
      <c r="D82" s="39" t="s">
        <v>97</v>
      </c>
      <c r="E82" s="45" t="s">
        <v>43</v>
      </c>
      <c r="F82" s="45">
        <v>2.0</v>
      </c>
      <c r="G82" s="84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7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110">
        <v>45957.0</v>
      </c>
      <c r="C83" s="12" t="s">
        <v>52</v>
      </c>
      <c r="D83" s="39" t="s">
        <v>97</v>
      </c>
      <c r="E83" s="45" t="s">
        <v>68</v>
      </c>
      <c r="F83" s="45">
        <v>4.0</v>
      </c>
      <c r="G83" s="84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7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9">
        <v>45.0</v>
      </c>
      <c r="AM83" s="49">
        <v>-36.0</v>
      </c>
      <c r="AN83" s="18"/>
    </row>
    <row r="84" ht="15.75" customHeight="1">
      <c r="A84" s="25"/>
      <c r="B84" s="110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4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166</v>
      </c>
      <c r="AH84" s="32"/>
      <c r="AI84" s="32"/>
      <c r="AJ84" s="32"/>
      <c r="AK84" s="32"/>
      <c r="AL84" s="111"/>
      <c r="AM84" s="111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4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10">
        <v>45973.0</v>
      </c>
      <c r="C86" s="12" t="s">
        <v>53</v>
      </c>
      <c r="D86" s="39" t="s">
        <v>22</v>
      </c>
      <c r="E86" s="45" t="s">
        <v>67</v>
      </c>
      <c r="F86" s="45">
        <v>8.0</v>
      </c>
      <c r="G86" s="84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E86" s="4"/>
      <c r="AG86" s="63"/>
      <c r="AH86" s="37"/>
      <c r="AJ86" s="18"/>
      <c r="AK86" s="18"/>
      <c r="AL86" s="18"/>
      <c r="AM86" s="18"/>
      <c r="AN86" s="4"/>
    </row>
    <row r="87" ht="15.75" customHeight="1">
      <c r="A87" s="25"/>
      <c r="B87" s="110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4" t="s">
        <v>24</v>
      </c>
      <c r="H87" s="45">
        <v>2.0</v>
      </c>
      <c r="I87" s="45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G87" s="63"/>
      <c r="AJ87" s="4"/>
      <c r="AK87" s="4"/>
      <c r="AL87" s="4"/>
      <c r="AM87" s="4"/>
      <c r="AN87" s="4"/>
    </row>
    <row r="88" ht="15.75" customHeight="1">
      <c r="A88" s="25"/>
      <c r="B88" s="110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4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G88" s="63"/>
      <c r="AJ88" s="4"/>
      <c r="AK88" s="4"/>
      <c r="AL88" s="4"/>
      <c r="AM88" s="4"/>
      <c r="AN88" s="4"/>
    </row>
    <row r="89" ht="15.75" customHeight="1">
      <c r="A89" s="25"/>
      <c r="B89" s="109"/>
      <c r="C89" s="84"/>
      <c r="D89" s="84"/>
      <c r="E89" s="45">
        <v>0.0</v>
      </c>
      <c r="F89" s="67"/>
      <c r="G89" s="84" t="s">
        <v>24</v>
      </c>
      <c r="H89" s="67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4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4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4"/>
      <c r="E92" s="45" t="s">
        <v>67</v>
      </c>
      <c r="F92" s="67"/>
      <c r="G92" s="84" t="s">
        <v>24</v>
      </c>
      <c r="H92" s="67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43</v>
      </c>
      <c r="F93" s="45">
        <v>7.0</v>
      </c>
      <c r="G93" s="84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4"/>
      <c r="AF93" s="4"/>
      <c r="AG93" s="4"/>
      <c r="AH93" s="63"/>
      <c r="AI93" s="63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4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4"/>
      <c r="AF94" s="4"/>
      <c r="AG94" s="4"/>
      <c r="AH94" s="63"/>
      <c r="AI94" s="63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97</v>
      </c>
      <c r="E95" s="45" t="s">
        <v>59</v>
      </c>
      <c r="F95" s="45">
        <v>2.0</v>
      </c>
      <c r="G95" s="84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4"/>
      <c r="AF95" s="4"/>
      <c r="AG95" s="4"/>
      <c r="AH95" s="63"/>
      <c r="AI95" s="63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5" t="s">
        <v>63</v>
      </c>
      <c r="F96" s="45">
        <v>0.0</v>
      </c>
      <c r="G96" s="84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4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54</v>
      </c>
      <c r="D98" s="39" t="s">
        <v>97</v>
      </c>
      <c r="E98" s="45" t="s">
        <v>165</v>
      </c>
      <c r="F98" s="45">
        <v>0.0</v>
      </c>
      <c r="G98" s="84" t="s">
        <v>24</v>
      </c>
      <c r="H98" s="45">
        <v>15.0</v>
      </c>
      <c r="I98" s="45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9"/>
      <c r="C99" s="84"/>
      <c r="D99" s="84"/>
      <c r="E99" s="45">
        <v>0.0</v>
      </c>
      <c r="F99" s="67"/>
      <c r="G99" s="84" t="s">
        <v>24</v>
      </c>
      <c r="H99" s="67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5" t="s">
        <v>117</v>
      </c>
      <c r="F100" s="45">
        <v>1.0</v>
      </c>
      <c r="G100" s="84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5" t="s">
        <v>114</v>
      </c>
      <c r="F101" s="45">
        <v>5.0</v>
      </c>
      <c r="G101" s="84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4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8"/>
      <c r="D103" s="88"/>
      <c r="E103" s="45" t="s">
        <v>32</v>
      </c>
      <c r="F103" s="67"/>
      <c r="G103" s="84" t="s">
        <v>24</v>
      </c>
      <c r="H103" s="67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43</v>
      </c>
      <c r="F104" s="45">
        <v>4.0</v>
      </c>
      <c r="G104" s="84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10">
        <v>46098.0</v>
      </c>
      <c r="C105" s="12" t="s">
        <v>54</v>
      </c>
      <c r="D105" s="39" t="s">
        <v>97</v>
      </c>
      <c r="E105" s="45" t="s">
        <v>68</v>
      </c>
      <c r="F105" s="45">
        <v>3.0</v>
      </c>
      <c r="G105" s="84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10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4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10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4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10">
        <v>46098.0</v>
      </c>
      <c r="C108" s="12" t="s">
        <v>52</v>
      </c>
      <c r="D108" s="39" t="s">
        <v>97</v>
      </c>
      <c r="E108" s="45" t="s">
        <v>63</v>
      </c>
      <c r="F108" s="45">
        <v>2.0</v>
      </c>
      <c r="G108" s="84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9"/>
      <c r="C109" s="84"/>
      <c r="D109" s="84"/>
      <c r="E109" s="45">
        <v>0.0</v>
      </c>
      <c r="F109" s="67"/>
      <c r="G109" s="84" t="s">
        <v>24</v>
      </c>
      <c r="H109" s="67"/>
      <c r="I109" s="45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5" t="s">
        <v>117</v>
      </c>
      <c r="F110" s="45">
        <v>1.0</v>
      </c>
      <c r="G110" s="84" t="s">
        <v>24</v>
      </c>
      <c r="H110" s="45">
        <v>7.0</v>
      </c>
      <c r="I110" s="45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97</v>
      </c>
      <c r="E111" s="45" t="s">
        <v>114</v>
      </c>
      <c r="F111" s="45">
        <v>3.0</v>
      </c>
      <c r="G111" s="84" t="s">
        <v>24</v>
      </c>
      <c r="H111" s="45">
        <v>0.0</v>
      </c>
      <c r="I111" s="45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5" t="s">
        <v>67</v>
      </c>
      <c r="F112" s="45">
        <v>10.0</v>
      </c>
      <c r="G112" s="84" t="s">
        <v>24</v>
      </c>
      <c r="H112" s="45">
        <v>2.0</v>
      </c>
      <c r="I112" s="45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55</v>
      </c>
      <c r="D113" s="39" t="s">
        <v>97</v>
      </c>
      <c r="E113" s="45" t="s">
        <v>32</v>
      </c>
      <c r="F113" s="45">
        <v>3.0</v>
      </c>
      <c r="G113" s="84" t="s">
        <v>24</v>
      </c>
      <c r="H113" s="45">
        <v>4.0</v>
      </c>
      <c r="I113" s="45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9"/>
      <c r="C114" s="84"/>
      <c r="D114" s="84"/>
      <c r="E114" s="45" t="s">
        <v>63</v>
      </c>
      <c r="F114" s="67"/>
      <c r="G114" s="84" t="s">
        <v>24</v>
      </c>
      <c r="H114" s="67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9"/>
      <c r="C115" s="84"/>
      <c r="D115" s="84"/>
      <c r="E115" s="45">
        <v>0.0</v>
      </c>
      <c r="F115" s="67"/>
      <c r="G115" s="84" t="s">
        <v>24</v>
      </c>
      <c r="H115" s="67"/>
      <c r="I115" s="45" t="s">
        <v>117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9"/>
      <c r="C116" s="84"/>
      <c r="D116" s="84"/>
      <c r="E116" s="45" t="s">
        <v>43</v>
      </c>
      <c r="F116" s="67"/>
      <c r="G116" s="84" t="s">
        <v>24</v>
      </c>
      <c r="H116" s="67"/>
      <c r="I116" s="45" t="s">
        <v>114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9"/>
      <c r="C117" s="67"/>
      <c r="D117" s="84"/>
      <c r="E117" s="45" t="s">
        <v>68</v>
      </c>
      <c r="F117" s="67"/>
      <c r="G117" s="84" t="s">
        <v>24</v>
      </c>
      <c r="H117" s="67"/>
      <c r="I117" s="45" t="s">
        <v>67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9"/>
      <c r="C118" s="67"/>
      <c r="D118" s="84"/>
      <c r="E118" s="45" t="s">
        <v>165</v>
      </c>
      <c r="F118" s="67"/>
      <c r="G118" s="84" t="s">
        <v>24</v>
      </c>
      <c r="H118" s="67"/>
      <c r="I118" s="17" t="s">
        <v>32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09"/>
      <c r="C119" s="84"/>
      <c r="D119" s="84"/>
      <c r="E119" s="45" t="s">
        <v>59</v>
      </c>
      <c r="F119" s="67"/>
      <c r="G119" s="84" t="s">
        <v>24</v>
      </c>
      <c r="H119" s="67"/>
      <c r="I119" s="45" t="s">
        <v>63</v>
      </c>
      <c r="J119" s="63"/>
      <c r="K119" s="4" t="str">
        <f t="shared" si="11"/>
        <v/>
      </c>
      <c r="L119" s="18" t="str">
        <f t="shared" si="12"/>
        <v/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4" t="s">
        <v>167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10">
        <v>45945.0</v>
      </c>
      <c r="C126" s="12" t="s">
        <v>54</v>
      </c>
      <c r="D126" s="12" t="s">
        <v>97</v>
      </c>
      <c r="E126" s="45" t="s">
        <v>65</v>
      </c>
      <c r="F126" s="45">
        <v>5.0</v>
      </c>
      <c r="G126" s="84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7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6" t="s">
        <v>29</v>
      </c>
      <c r="AF126" s="23" t="str">
        <f t="array" ref="AF126:AN134">SORT(O126:W135,2,FALSE,9,FALSE,8,FALSE())</f>
        <v>Eng. Computacional</v>
      </c>
      <c r="AG126" s="23">
        <v>21.0</v>
      </c>
      <c r="AH126" s="23">
        <v>7.0</v>
      </c>
      <c r="AI126" s="23">
        <v>0.0</v>
      </c>
      <c r="AJ126" s="23">
        <v>1.0</v>
      </c>
      <c r="AK126" s="23">
        <v>51.0</v>
      </c>
      <c r="AL126" s="23">
        <v>21.0</v>
      </c>
      <c r="AM126" s="23">
        <v>30.0</v>
      </c>
      <c r="AN126" s="18"/>
    </row>
    <row r="127" ht="15.75" customHeight="1">
      <c r="A127" s="25"/>
      <c r="B127" s="110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4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7" t="s">
        <v>65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4</v>
      </c>
      <c r="T127" s="18">
        <f t="shared" si="26"/>
        <v>42</v>
      </c>
      <c r="U127" s="20">
        <f t="shared" si="27"/>
        <v>29</v>
      </c>
      <c r="V127" s="18">
        <f t="shared" si="28"/>
        <v>13</v>
      </c>
      <c r="W127" s="63"/>
      <c r="X127" s="63"/>
      <c r="Y127" s="63"/>
      <c r="Z127" s="63"/>
      <c r="AA127" s="63"/>
      <c r="AB127" s="63"/>
      <c r="AC127" s="63"/>
      <c r="AD127" s="63"/>
      <c r="AE127" s="108" t="s">
        <v>116</v>
      </c>
      <c r="AF127" s="23" t="s">
        <v>169</v>
      </c>
      <c r="AG127" s="23">
        <v>21.0</v>
      </c>
      <c r="AH127" s="23">
        <v>7.0</v>
      </c>
      <c r="AI127" s="23">
        <v>0.0</v>
      </c>
      <c r="AJ127" s="23">
        <v>0.0</v>
      </c>
      <c r="AK127" s="23">
        <v>39.0</v>
      </c>
      <c r="AL127" s="23">
        <v>17.0</v>
      </c>
      <c r="AM127" s="23">
        <v>22.0</v>
      </c>
      <c r="AN127" s="18"/>
    </row>
    <row r="128" ht="15.75" customHeight="1">
      <c r="A128" s="25"/>
      <c r="B128" s="110">
        <v>45945.0</v>
      </c>
      <c r="C128" s="39" t="s">
        <v>52</v>
      </c>
      <c r="D128" s="12" t="s">
        <v>97</v>
      </c>
      <c r="E128" s="45" t="s">
        <v>134</v>
      </c>
      <c r="F128" s="45">
        <v>1.0</v>
      </c>
      <c r="G128" s="84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7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10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4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7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12.0</v>
      </c>
      <c r="AH129" s="23">
        <v>4.0</v>
      </c>
      <c r="AI129" s="23">
        <v>0.0</v>
      </c>
      <c r="AJ129" s="23">
        <v>4.0</v>
      </c>
      <c r="AK129" s="23">
        <v>42.0</v>
      </c>
      <c r="AL129" s="23">
        <v>29.0</v>
      </c>
      <c r="AM129" s="23">
        <v>13.0</v>
      </c>
      <c r="AN129" s="18"/>
    </row>
    <row r="130" ht="15.75" customHeight="1">
      <c r="A130" s="25"/>
      <c r="B130" s="109"/>
      <c r="C130" s="84"/>
      <c r="D130" s="67"/>
      <c r="E130" s="45" t="s">
        <v>170</v>
      </c>
      <c r="F130" s="67"/>
      <c r="G130" s="84" t="s">
        <v>24</v>
      </c>
      <c r="H130" s="67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7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4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7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7"/>
      <c r="G132" s="84" t="s">
        <v>24</v>
      </c>
      <c r="H132" s="67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7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4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7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97</v>
      </c>
      <c r="E134" s="45" t="s">
        <v>61</v>
      </c>
      <c r="F134" s="45">
        <v>2.0</v>
      </c>
      <c r="G134" s="84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7" t="s">
        <v>124</v>
      </c>
      <c r="P134" s="18">
        <f t="shared" si="22"/>
        <v>21</v>
      </c>
      <c r="Q134" s="18">
        <f t="shared" si="23"/>
        <v>7</v>
      </c>
      <c r="R134" s="20">
        <f t="shared" si="24"/>
        <v>0</v>
      </c>
      <c r="S134" s="20">
        <f t="shared" si="25"/>
        <v>1</v>
      </c>
      <c r="T134" s="18">
        <f t="shared" si="26"/>
        <v>51</v>
      </c>
      <c r="U134" s="20">
        <f t="shared" si="27"/>
        <v>21</v>
      </c>
      <c r="V134" s="18">
        <f t="shared" si="28"/>
        <v>30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5" t="s">
        <v>169</v>
      </c>
      <c r="F135" s="45">
        <v>5.0</v>
      </c>
      <c r="G135" s="84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4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4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4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4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09"/>
      <c r="C140" s="84"/>
      <c r="D140" s="84"/>
      <c r="E140" s="45">
        <v>0.0</v>
      </c>
      <c r="F140" s="67"/>
      <c r="G140" s="84" t="s">
        <v>24</v>
      </c>
      <c r="H140" s="67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4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4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4" t="s">
        <v>24</v>
      </c>
      <c r="H143" s="67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4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4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97</v>
      </c>
      <c r="E146" s="45" t="s">
        <v>170</v>
      </c>
      <c r="F146" s="45">
        <v>8.0</v>
      </c>
      <c r="G146" s="84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54</v>
      </c>
      <c r="D147" s="12" t="s">
        <v>97</v>
      </c>
      <c r="E147" s="45" t="s">
        <v>60</v>
      </c>
      <c r="F147" s="45">
        <v>5.0</v>
      </c>
      <c r="G147" s="84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5" t="s">
        <v>134</v>
      </c>
      <c r="F148" s="45">
        <v>1.0</v>
      </c>
      <c r="G148" s="84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5" t="s">
        <v>169</v>
      </c>
      <c r="F149" s="45">
        <v>3.0</v>
      </c>
      <c r="G149" s="84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9"/>
      <c r="C150" s="84"/>
      <c r="D150" s="84"/>
      <c r="E150" s="45">
        <v>0.0</v>
      </c>
      <c r="F150" s="67"/>
      <c r="G150" s="84" t="s">
        <v>24</v>
      </c>
      <c r="H150" s="67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4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54</v>
      </c>
      <c r="D152" s="12" t="s">
        <v>97</v>
      </c>
      <c r="E152" s="45" t="s">
        <v>65</v>
      </c>
      <c r="F152" s="45">
        <v>4.0</v>
      </c>
      <c r="G152" s="84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5" t="s">
        <v>119</v>
      </c>
      <c r="F153" s="45">
        <v>0.0</v>
      </c>
      <c r="G153" s="84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8"/>
      <c r="D154" s="41"/>
      <c r="E154" s="45" t="s">
        <v>134</v>
      </c>
      <c r="F154" s="67"/>
      <c r="G154" s="84" t="s">
        <v>24</v>
      </c>
      <c r="H154" s="67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4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97</v>
      </c>
      <c r="E156" s="45" t="s">
        <v>61</v>
      </c>
      <c r="F156" s="45">
        <v>4.0</v>
      </c>
      <c r="G156" s="84" t="s">
        <v>24</v>
      </c>
      <c r="H156" s="45">
        <v>8.0</v>
      </c>
      <c r="I156" s="45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97</v>
      </c>
      <c r="E157" s="45" t="s">
        <v>169</v>
      </c>
      <c r="F157" s="45">
        <v>3.0</v>
      </c>
      <c r="G157" s="84" t="s">
        <v>24</v>
      </c>
      <c r="H157" s="45">
        <v>2.0</v>
      </c>
      <c r="I157" s="45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55</v>
      </c>
      <c r="D158" s="12" t="s">
        <v>97</v>
      </c>
      <c r="E158" s="45" t="s">
        <v>170</v>
      </c>
      <c r="F158" s="45">
        <v>1.0</v>
      </c>
      <c r="G158" s="84" t="s">
        <v>24</v>
      </c>
      <c r="H158" s="45">
        <v>3.0</v>
      </c>
      <c r="I158" s="45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9"/>
      <c r="C159" s="84"/>
      <c r="D159" s="84"/>
      <c r="E159" s="45" t="s">
        <v>60</v>
      </c>
      <c r="F159" s="67"/>
      <c r="G159" s="84" t="s">
        <v>24</v>
      </c>
      <c r="H159" s="67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9"/>
      <c r="C160" s="84"/>
      <c r="D160" s="84"/>
      <c r="E160" s="45">
        <v>0.0</v>
      </c>
      <c r="F160" s="67"/>
      <c r="G160" s="84" t="s">
        <v>24</v>
      </c>
      <c r="H160" s="67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97</v>
      </c>
      <c r="E161" s="45" t="s">
        <v>168</v>
      </c>
      <c r="F161" s="45">
        <v>0.0</v>
      </c>
      <c r="G161" s="84" t="s">
        <v>24</v>
      </c>
      <c r="H161" s="45">
        <v>11.0</v>
      </c>
      <c r="I161" s="45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5" t="s">
        <v>65</v>
      </c>
      <c r="F162" s="45">
        <v>3.0</v>
      </c>
      <c r="G162" s="84" t="s">
        <v>24</v>
      </c>
      <c r="H162" s="45">
        <v>1.0</v>
      </c>
      <c r="I162" s="45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55</v>
      </c>
      <c r="D163" s="12" t="s">
        <v>97</v>
      </c>
      <c r="E163" s="45" t="s">
        <v>119</v>
      </c>
      <c r="F163" s="45">
        <v>3.0</v>
      </c>
      <c r="G163" s="84" t="s">
        <v>24</v>
      </c>
      <c r="H163" s="45">
        <v>6.0</v>
      </c>
      <c r="I163" s="45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5" t="s">
        <v>134</v>
      </c>
      <c r="F164" s="45">
        <v>1.0</v>
      </c>
      <c r="G164" s="84" t="s">
        <v>24</v>
      </c>
      <c r="H164" s="45">
        <v>9.0</v>
      </c>
      <c r="I164" s="45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9"/>
      <c r="C165" s="84"/>
      <c r="D165" s="84"/>
      <c r="E165" s="45" t="s">
        <v>60</v>
      </c>
      <c r="F165" s="67"/>
      <c r="G165" s="84" t="s">
        <v>24</v>
      </c>
      <c r="H165" s="67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9"/>
      <c r="C166" s="84"/>
      <c r="D166" s="84"/>
      <c r="E166" s="45">
        <v>0.0</v>
      </c>
      <c r="F166" s="67"/>
      <c r="G166" s="84" t="s">
        <v>24</v>
      </c>
      <c r="H166" s="67"/>
      <c r="I166" s="45" t="s">
        <v>168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97</v>
      </c>
      <c r="E167" s="45" t="s">
        <v>124</v>
      </c>
      <c r="F167" s="45">
        <v>10.0</v>
      </c>
      <c r="G167" s="84" t="s">
        <v>24</v>
      </c>
      <c r="H167" s="45">
        <v>6.0</v>
      </c>
      <c r="I167" s="45" t="s">
        <v>65</v>
      </c>
      <c r="J167" s="63"/>
      <c r="K167" s="4">
        <f t="shared" si="20"/>
        <v>3</v>
      </c>
      <c r="L167" s="18">
        <f t="shared" si="21"/>
        <v>0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9"/>
      <c r="C168" s="67"/>
      <c r="D168" s="84"/>
      <c r="E168" s="45" t="s">
        <v>61</v>
      </c>
      <c r="F168" s="67"/>
      <c r="G168" s="84" t="s">
        <v>24</v>
      </c>
      <c r="H168" s="67"/>
      <c r="I168" s="45" t="s">
        <v>119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9"/>
      <c r="C169" s="67"/>
      <c r="D169" s="84"/>
      <c r="E169" s="45" t="s">
        <v>169</v>
      </c>
      <c r="F169" s="67"/>
      <c r="G169" s="84" t="s">
        <v>24</v>
      </c>
      <c r="H169" s="67"/>
      <c r="I169" s="17" t="s">
        <v>134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09"/>
      <c r="C170" s="84"/>
      <c r="D170" s="84"/>
      <c r="E170" s="45" t="s">
        <v>170</v>
      </c>
      <c r="F170" s="67"/>
      <c r="G170" s="84" t="s">
        <v>24</v>
      </c>
      <c r="H170" s="67"/>
      <c r="I170" s="45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2" t="s">
        <v>173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97</v>
      </c>
      <c r="E177" s="45" t="s">
        <v>31</v>
      </c>
      <c r="F177" s="45">
        <v>2.0</v>
      </c>
      <c r="G177" s="84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7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6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5" t="s">
        <v>58</v>
      </c>
      <c r="F178" s="45">
        <v>2.0</v>
      </c>
      <c r="G178" s="84" t="s">
        <v>24</v>
      </c>
      <c r="H178" s="45">
        <v>2.0</v>
      </c>
      <c r="I178" s="45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7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08" t="s">
        <v>116</v>
      </c>
      <c r="AF178" s="23" t="s">
        <v>35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4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7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4" t="s">
        <v>24</v>
      </c>
      <c r="H180" s="45">
        <v>3.0</v>
      </c>
      <c r="I180" s="45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7" t="s">
        <v>122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4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7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144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22</v>
      </c>
      <c r="E182" s="45" t="s">
        <v>40</v>
      </c>
      <c r="F182" s="45">
        <v>6.0</v>
      </c>
      <c r="G182" s="84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7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122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4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22</v>
      </c>
      <c r="E184" s="45" t="s">
        <v>35</v>
      </c>
      <c r="F184" s="45">
        <v>3.0</v>
      </c>
      <c r="G184" s="84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7" t="s">
        <v>144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5" t="s">
        <v>144</v>
      </c>
      <c r="F185" s="45">
        <v>7.0</v>
      </c>
      <c r="G185" s="84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7" t="s">
        <v>35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174</v>
      </c>
      <c r="F186" s="45">
        <v>13.0</v>
      </c>
      <c r="G186" s="84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7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10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4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10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4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10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4" t="s">
        <v>24</v>
      </c>
      <c r="H189" s="45">
        <v>9.0</v>
      </c>
      <c r="I189" s="45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E189" s="4"/>
      <c r="AG189" s="63"/>
      <c r="AH189" s="37"/>
      <c r="AJ189" s="4"/>
      <c r="AK189" s="4"/>
      <c r="AL189" s="4"/>
      <c r="AM189" s="4"/>
      <c r="AN189" s="4"/>
    </row>
    <row r="190" ht="15.75" customHeight="1">
      <c r="A190" s="25"/>
      <c r="B190" s="110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4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G190" s="63"/>
      <c r="AJ190" s="4"/>
      <c r="AK190" s="4"/>
      <c r="AL190" s="4"/>
      <c r="AM190" s="4"/>
      <c r="AN190" s="4"/>
    </row>
    <row r="191" ht="15.75" customHeight="1">
      <c r="A191" s="25"/>
      <c r="B191" s="110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4" t="s">
        <v>24</v>
      </c>
      <c r="H191" s="45">
        <v>2.0</v>
      </c>
      <c r="I191" s="45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4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5" t="s">
        <v>31</v>
      </c>
      <c r="F193" s="45">
        <v>3.0</v>
      </c>
      <c r="G193" s="84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4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35</v>
      </c>
      <c r="F195" s="45">
        <v>10.0</v>
      </c>
      <c r="G195" s="84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54</v>
      </c>
      <c r="D196" s="12" t="s">
        <v>97</v>
      </c>
      <c r="E196" s="45" t="s">
        <v>144</v>
      </c>
      <c r="F196" s="45">
        <v>5.0</v>
      </c>
      <c r="G196" s="84" t="s">
        <v>24</v>
      </c>
      <c r="H196" s="45">
        <v>2.0</v>
      </c>
      <c r="I196" s="45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4"/>
      <c r="AF196" s="4"/>
      <c r="AG196" s="4"/>
      <c r="AH196" s="63"/>
      <c r="AI196" s="63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4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4"/>
      <c r="AF197" s="4"/>
      <c r="AG197" s="4"/>
      <c r="AH197" s="63"/>
      <c r="AI197" s="63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54</v>
      </c>
      <c r="D198" s="12" t="s">
        <v>97</v>
      </c>
      <c r="E198" s="45" t="s">
        <v>38</v>
      </c>
      <c r="F198" s="45">
        <v>2.0</v>
      </c>
      <c r="G198" s="84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5" t="s">
        <v>122</v>
      </c>
      <c r="F199" s="45">
        <v>3.0</v>
      </c>
      <c r="G199" s="84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174</v>
      </c>
      <c r="F200" s="45">
        <v>5.0</v>
      </c>
      <c r="G200" s="84" t="s">
        <v>24</v>
      </c>
      <c r="H200" s="45">
        <v>3.0</v>
      </c>
      <c r="I200" s="45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54</v>
      </c>
      <c r="D201" s="12" t="s">
        <v>97</v>
      </c>
      <c r="E201" s="45" t="s">
        <v>98</v>
      </c>
      <c r="F201" s="45">
        <v>2.0</v>
      </c>
      <c r="G201" s="84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97</v>
      </c>
      <c r="E202" s="45" t="s">
        <v>40</v>
      </c>
      <c r="F202" s="45">
        <v>3.0</v>
      </c>
      <c r="G202" s="84" t="s">
        <v>24</v>
      </c>
      <c r="H202" s="45">
        <v>3.0</v>
      </c>
      <c r="I202" s="45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5" t="s">
        <v>31</v>
      </c>
      <c r="F203" s="45">
        <v>4.0</v>
      </c>
      <c r="G203" s="84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4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5" t="s">
        <v>122</v>
      </c>
      <c r="F205" s="45">
        <v>2.0</v>
      </c>
      <c r="G205" s="84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35</v>
      </c>
      <c r="F206" s="45">
        <v>8.0</v>
      </c>
      <c r="G206" s="84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45">
        <v>0.0</v>
      </c>
      <c r="G207" s="84" t="s">
        <v>24</v>
      </c>
      <c r="H207" s="45">
        <v>5.0</v>
      </c>
      <c r="I207" s="45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174</v>
      </c>
      <c r="F208" s="45">
        <v>2.0</v>
      </c>
      <c r="G208" s="84" t="s">
        <v>24</v>
      </c>
      <c r="H208" s="45">
        <v>3.0</v>
      </c>
      <c r="I208" s="45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97</v>
      </c>
      <c r="E209" s="45" t="s">
        <v>64</v>
      </c>
      <c r="F209" s="45">
        <v>3.0</v>
      </c>
      <c r="G209" s="84" t="s">
        <v>24</v>
      </c>
      <c r="H209" s="45">
        <v>7.0</v>
      </c>
      <c r="I209" s="45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5" t="s">
        <v>38</v>
      </c>
      <c r="F210" s="45">
        <v>0.0</v>
      </c>
      <c r="G210" s="84" t="s">
        <v>24</v>
      </c>
      <c r="H210" s="45">
        <v>3.0</v>
      </c>
      <c r="I210" s="45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45">
        <v>2.0</v>
      </c>
      <c r="G211" s="84" t="s">
        <v>24</v>
      </c>
      <c r="H211" s="45">
        <v>4.0</v>
      </c>
      <c r="I211" s="45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5" t="s">
        <v>40</v>
      </c>
      <c r="F212" s="45">
        <v>5.0</v>
      </c>
      <c r="G212" s="84" t="s">
        <v>24</v>
      </c>
      <c r="H212" s="45">
        <v>5.0</v>
      </c>
      <c r="I212" s="45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5" t="s">
        <v>31</v>
      </c>
      <c r="F213" s="45">
        <v>2.0</v>
      </c>
      <c r="G213" s="84" t="s">
        <v>24</v>
      </c>
      <c r="H213" s="45">
        <v>8.0</v>
      </c>
      <c r="I213" s="45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97</v>
      </c>
      <c r="E214" s="45" t="s">
        <v>58</v>
      </c>
      <c r="F214" s="45">
        <v>2.0</v>
      </c>
      <c r="G214" s="84" t="s">
        <v>24</v>
      </c>
      <c r="H214" s="45">
        <v>6.0</v>
      </c>
      <c r="I214" s="45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5" t="s">
        <v>122</v>
      </c>
      <c r="F215" s="45">
        <v>3.0</v>
      </c>
      <c r="G215" s="84" t="s">
        <v>24</v>
      </c>
      <c r="H215" s="45">
        <v>2.0</v>
      </c>
      <c r="I215" s="45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55</v>
      </c>
      <c r="D216" s="12" t="s">
        <v>97</v>
      </c>
      <c r="E216" s="45" t="s">
        <v>38</v>
      </c>
      <c r="F216" s="45">
        <v>3.0</v>
      </c>
      <c r="G216" s="84" t="s">
        <v>24</v>
      </c>
      <c r="H216" s="45">
        <v>17.0</v>
      </c>
      <c r="I216" s="45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55</v>
      </c>
      <c r="D217" s="12" t="s">
        <v>97</v>
      </c>
      <c r="E217" s="45" t="s">
        <v>98</v>
      </c>
      <c r="F217" s="45">
        <v>2.0</v>
      </c>
      <c r="G217" s="84" t="s">
        <v>24</v>
      </c>
      <c r="H217" s="45">
        <v>2.0</v>
      </c>
      <c r="I217" s="45" t="s">
        <v>40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5" t="s">
        <v>35</v>
      </c>
      <c r="F218" s="45">
        <v>5.0</v>
      </c>
      <c r="G218" s="84" t="s">
        <v>24</v>
      </c>
      <c r="H218" s="45">
        <v>1.0</v>
      </c>
      <c r="I218" s="45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55</v>
      </c>
      <c r="D219" s="12" t="s">
        <v>97</v>
      </c>
      <c r="E219" s="45" t="s">
        <v>144</v>
      </c>
      <c r="F219" s="45">
        <v>5.0</v>
      </c>
      <c r="G219" s="84" t="s">
        <v>24</v>
      </c>
      <c r="H219" s="45">
        <v>4.0</v>
      </c>
      <c r="I219" s="45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97</v>
      </c>
      <c r="E220" s="45" t="s">
        <v>174</v>
      </c>
      <c r="F220" s="45">
        <v>2.0</v>
      </c>
      <c r="G220" s="84" t="s">
        <v>24</v>
      </c>
      <c r="H220" s="45">
        <v>4.0</v>
      </c>
      <c r="I220" s="17" t="s">
        <v>122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5" t="s">
        <v>64</v>
      </c>
      <c r="F221" s="45">
        <v>11.0</v>
      </c>
      <c r="G221" s="84" t="s">
        <v>24</v>
      </c>
      <c r="H221" s="45">
        <v>6.0</v>
      </c>
      <c r="I221" s="45" t="s">
        <v>38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177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178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4"/>
      <c r="C229" s="12"/>
      <c r="D229" s="12"/>
      <c r="E229" s="45" t="s">
        <v>179</v>
      </c>
      <c r="F229" s="13"/>
      <c r="G229" s="16" t="s">
        <v>24</v>
      </c>
      <c r="H229" s="13"/>
      <c r="I229" s="45" t="s">
        <v>180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93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181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182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5"/>
      <c r="C242" s="31"/>
      <c r="D242" s="12"/>
      <c r="E242" s="52" t="s">
        <v>84</v>
      </c>
      <c r="F242" s="13"/>
      <c r="G242" s="16" t="s">
        <v>24</v>
      </c>
      <c r="H242" s="13"/>
      <c r="I242" s="45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184</v>
      </c>
      <c r="E3" s="45" t="s">
        <v>115</v>
      </c>
      <c r="F3" s="17">
        <v>2.0</v>
      </c>
      <c r="G3" s="84" t="s">
        <v>24</v>
      </c>
      <c r="H3" s="114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5" t="s">
        <v>115</v>
      </c>
      <c r="P3" s="115">
        <f t="shared" ref="P3:P14" si="3">SUMIF(E$3:E$68,O3,K$3:K$68)+SUMIF(I$3:I$68,O3,L$3:L$68)</f>
        <v>15</v>
      </c>
      <c r="Q3" s="115">
        <f t="shared" ref="Q3:Q14" si="4">COUNTIFS(E$3:E$68,O3,K$3:K$68,3)+COUNTIFS(I$3:I$68,O3,L$3:L$68,3)</f>
        <v>5</v>
      </c>
      <c r="R3" s="115">
        <f t="shared" ref="R3:R14" si="5">COUNTIFS(E$3:E$68,O3,K$3:K$68,1)+COUNTIFS(I$3:I$68,O3,L$3:L$68,1)</f>
        <v>0</v>
      </c>
      <c r="S3" s="116">
        <f t="shared" ref="S3:S14" si="6">COUNTIFS(E$3:E$68,O3,K$3:K$68,0)+COUNTIFS(I$3:I$68,O3,L$3:L$68,0)</f>
        <v>2</v>
      </c>
      <c r="T3" s="115">
        <f t="shared" ref="T3:T14" si="7">SUMIF(E$3:E$68,O3,F$3:F$68)+SUMIF(I$3:I$68,O3,H$3:H$68)</f>
        <v>26</v>
      </c>
      <c r="U3" s="116">
        <f t="shared" ref="U3:U14" si="8">SUMIF(E$3:E$68,O3,H$3:H$68)+SUMIF(I$3:I$68,O3,F$3:F$68)</f>
        <v>10</v>
      </c>
      <c r="V3" s="115">
        <f t="shared" ref="V3:V14" si="9">T3-U3</f>
        <v>16</v>
      </c>
      <c r="W3" s="2"/>
      <c r="X3" s="117" t="s">
        <v>26</v>
      </c>
      <c r="Y3" s="117" t="s">
        <v>13</v>
      </c>
      <c r="Z3" s="2"/>
      <c r="AA3" s="22" t="s">
        <v>29</v>
      </c>
      <c r="AB3" s="28" t="str">
        <f t="array" ref="AB3:AI14">SORT(O3:V14,2,FALSE,9,FALSE,8,FALSE())</f>
        <v>Eng. Mecânica</v>
      </c>
      <c r="AC3" s="28">
        <v>21.0</v>
      </c>
      <c r="AD3" s="28">
        <v>7.0</v>
      </c>
      <c r="AE3" s="28">
        <v>0.0</v>
      </c>
      <c r="AF3" s="28">
        <v>2.0</v>
      </c>
      <c r="AG3" s="28">
        <v>34.0</v>
      </c>
      <c r="AH3" s="28">
        <v>10.0</v>
      </c>
      <c r="AI3" s="28">
        <v>24.0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5" t="s">
        <v>40</v>
      </c>
      <c r="F4" s="17">
        <v>1.0</v>
      </c>
      <c r="G4" s="84" t="s">
        <v>24</v>
      </c>
      <c r="H4" s="114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5" t="s">
        <v>33</v>
      </c>
      <c r="P4" s="115">
        <f t="shared" si="3"/>
        <v>21</v>
      </c>
      <c r="Q4" s="115">
        <f t="shared" si="4"/>
        <v>7</v>
      </c>
      <c r="R4" s="115">
        <f t="shared" si="5"/>
        <v>0</v>
      </c>
      <c r="S4" s="116">
        <f t="shared" si="6"/>
        <v>2</v>
      </c>
      <c r="T4" s="115">
        <f t="shared" si="7"/>
        <v>34</v>
      </c>
      <c r="U4" s="116">
        <f t="shared" si="8"/>
        <v>10</v>
      </c>
      <c r="V4" s="115">
        <f t="shared" si="9"/>
        <v>24</v>
      </c>
      <c r="W4" s="2"/>
      <c r="X4" s="118" t="s">
        <v>25</v>
      </c>
      <c r="Y4" s="118">
        <v>3.0</v>
      </c>
      <c r="Z4" s="2"/>
      <c r="AA4" s="22" t="s">
        <v>34</v>
      </c>
      <c r="AB4" s="28" t="s">
        <v>23</v>
      </c>
      <c r="AC4" s="28">
        <v>19.0</v>
      </c>
      <c r="AD4" s="28">
        <v>6.0</v>
      </c>
      <c r="AE4" s="28">
        <v>1.0</v>
      </c>
      <c r="AF4" s="28">
        <v>0.0</v>
      </c>
      <c r="AG4" s="28">
        <v>17.0</v>
      </c>
      <c r="AH4" s="28">
        <v>5.0</v>
      </c>
      <c r="AI4" s="28">
        <v>12.0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10">
        <v>45950.0</v>
      </c>
      <c r="C5" s="12" t="s">
        <v>55</v>
      </c>
      <c r="D5" s="12" t="s">
        <v>184</v>
      </c>
      <c r="E5" s="45" t="s">
        <v>23</v>
      </c>
      <c r="F5" s="17">
        <v>1.0</v>
      </c>
      <c r="G5" s="84" t="s">
        <v>24</v>
      </c>
      <c r="H5" s="114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5" t="s">
        <v>58</v>
      </c>
      <c r="P5" s="115">
        <f t="shared" si="3"/>
        <v>0</v>
      </c>
      <c r="Q5" s="115">
        <f t="shared" si="4"/>
        <v>0</v>
      </c>
      <c r="R5" s="115">
        <f t="shared" si="5"/>
        <v>0</v>
      </c>
      <c r="S5" s="116">
        <f t="shared" si="6"/>
        <v>8</v>
      </c>
      <c r="T5" s="115">
        <f t="shared" si="7"/>
        <v>5</v>
      </c>
      <c r="U5" s="116">
        <f t="shared" si="8"/>
        <v>24</v>
      </c>
      <c r="V5" s="115">
        <f t="shared" si="9"/>
        <v>-19</v>
      </c>
      <c r="W5" s="2"/>
      <c r="X5" s="118" t="s">
        <v>156</v>
      </c>
      <c r="Y5" s="118">
        <v>0.0</v>
      </c>
      <c r="Z5" s="2"/>
      <c r="AA5" s="22" t="s">
        <v>39</v>
      </c>
      <c r="AB5" s="28" t="s">
        <v>25</v>
      </c>
      <c r="AC5" s="28">
        <v>18.0</v>
      </c>
      <c r="AD5" s="28">
        <v>6.0</v>
      </c>
      <c r="AE5" s="28">
        <v>0.0</v>
      </c>
      <c r="AF5" s="28">
        <v>1.0</v>
      </c>
      <c r="AG5" s="28">
        <v>16.0</v>
      </c>
      <c r="AH5" s="28">
        <v>6.0</v>
      </c>
      <c r="AI5" s="28">
        <v>10.0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5" t="s">
        <v>25</v>
      </c>
      <c r="F6" s="17">
        <v>2.0</v>
      </c>
      <c r="G6" s="84" t="s">
        <v>24</v>
      </c>
      <c r="H6" s="114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5" t="s">
        <v>66</v>
      </c>
      <c r="P6" s="115">
        <f t="shared" si="3"/>
        <v>3</v>
      </c>
      <c r="Q6" s="115">
        <f t="shared" si="4"/>
        <v>1</v>
      </c>
      <c r="R6" s="115">
        <f t="shared" si="5"/>
        <v>0</v>
      </c>
      <c r="S6" s="116">
        <f t="shared" si="6"/>
        <v>7</v>
      </c>
      <c r="T6" s="115">
        <f t="shared" si="7"/>
        <v>9</v>
      </c>
      <c r="U6" s="116">
        <f t="shared" si="8"/>
        <v>30</v>
      </c>
      <c r="V6" s="115">
        <f t="shared" si="9"/>
        <v>-21</v>
      </c>
      <c r="W6" s="2"/>
      <c r="X6" s="2"/>
      <c r="Y6" s="2"/>
      <c r="Z6" s="2"/>
      <c r="AA6" s="22" t="s">
        <v>42</v>
      </c>
      <c r="AB6" s="28" t="s">
        <v>115</v>
      </c>
      <c r="AC6" s="28">
        <v>15.0</v>
      </c>
      <c r="AD6" s="28">
        <v>5.0</v>
      </c>
      <c r="AE6" s="28">
        <v>0.0</v>
      </c>
      <c r="AF6" s="28">
        <v>2.0</v>
      </c>
      <c r="AG6" s="28">
        <v>26.0</v>
      </c>
      <c r="AH6" s="28">
        <v>10.0</v>
      </c>
      <c r="AI6" s="28">
        <v>16.0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184</v>
      </c>
      <c r="E7" s="45" t="s">
        <v>66</v>
      </c>
      <c r="F7" s="17"/>
      <c r="G7" s="84" t="s">
        <v>24</v>
      </c>
      <c r="H7" s="114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5" t="s">
        <v>63</v>
      </c>
      <c r="P7" s="115">
        <f t="shared" si="3"/>
        <v>12</v>
      </c>
      <c r="Q7" s="115">
        <f t="shared" si="4"/>
        <v>4</v>
      </c>
      <c r="R7" s="115">
        <f t="shared" si="5"/>
        <v>0</v>
      </c>
      <c r="S7" s="116">
        <f t="shared" si="6"/>
        <v>4</v>
      </c>
      <c r="T7" s="115">
        <f t="shared" si="7"/>
        <v>17</v>
      </c>
      <c r="U7" s="116">
        <f t="shared" si="8"/>
        <v>29</v>
      </c>
      <c r="V7" s="115">
        <f t="shared" si="9"/>
        <v>-12</v>
      </c>
      <c r="W7" s="2"/>
      <c r="X7" s="2"/>
      <c r="Y7" s="2"/>
      <c r="Z7" s="2"/>
      <c r="AA7" s="22" t="s">
        <v>44</v>
      </c>
      <c r="AB7" s="28" t="s">
        <v>63</v>
      </c>
      <c r="AC7" s="28">
        <v>12.0</v>
      </c>
      <c r="AD7" s="28">
        <v>4.0</v>
      </c>
      <c r="AE7" s="28">
        <v>0.0</v>
      </c>
      <c r="AF7" s="28">
        <v>4.0</v>
      </c>
      <c r="AG7" s="28">
        <v>17.0</v>
      </c>
      <c r="AH7" s="28">
        <v>29.0</v>
      </c>
      <c r="AI7" s="28">
        <v>-12.0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184</v>
      </c>
      <c r="E8" s="45" t="s">
        <v>112</v>
      </c>
      <c r="F8" s="15">
        <v>1.0</v>
      </c>
      <c r="G8" s="84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5" t="s">
        <v>25</v>
      </c>
      <c r="P8" s="115">
        <f t="shared" si="3"/>
        <v>18</v>
      </c>
      <c r="Q8" s="115">
        <f t="shared" si="4"/>
        <v>6</v>
      </c>
      <c r="R8" s="115">
        <f t="shared" si="5"/>
        <v>0</v>
      </c>
      <c r="S8" s="116">
        <f t="shared" si="6"/>
        <v>1</v>
      </c>
      <c r="T8" s="115">
        <f t="shared" si="7"/>
        <v>16</v>
      </c>
      <c r="U8" s="116">
        <f t="shared" si="8"/>
        <v>6</v>
      </c>
      <c r="V8" s="115">
        <f t="shared" si="9"/>
        <v>10</v>
      </c>
      <c r="W8" s="2"/>
      <c r="X8" s="2"/>
      <c r="Y8" s="2"/>
      <c r="Z8" s="2"/>
      <c r="AA8" s="22" t="s">
        <v>47</v>
      </c>
      <c r="AB8" s="28" t="s">
        <v>38</v>
      </c>
      <c r="AC8" s="28">
        <v>11.0</v>
      </c>
      <c r="AD8" s="28">
        <v>3.0</v>
      </c>
      <c r="AE8" s="28">
        <v>2.0</v>
      </c>
      <c r="AF8" s="28">
        <v>2.0</v>
      </c>
      <c r="AG8" s="28">
        <v>15.0</v>
      </c>
      <c r="AH8" s="28">
        <v>15.0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54</v>
      </c>
      <c r="D9" s="12" t="s">
        <v>184</v>
      </c>
      <c r="E9" s="45" t="s">
        <v>58</v>
      </c>
      <c r="F9" s="15">
        <v>0.0</v>
      </c>
      <c r="G9" s="84" t="s">
        <v>24</v>
      </c>
      <c r="H9" s="114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5" t="s">
        <v>38</v>
      </c>
      <c r="P9" s="115">
        <f t="shared" si="3"/>
        <v>11</v>
      </c>
      <c r="Q9" s="115">
        <f t="shared" si="4"/>
        <v>3</v>
      </c>
      <c r="R9" s="115">
        <f t="shared" si="5"/>
        <v>2</v>
      </c>
      <c r="S9" s="116">
        <f t="shared" si="6"/>
        <v>2</v>
      </c>
      <c r="T9" s="115">
        <f t="shared" si="7"/>
        <v>15</v>
      </c>
      <c r="U9" s="116">
        <f t="shared" si="8"/>
        <v>15</v>
      </c>
      <c r="V9" s="115">
        <f t="shared" si="9"/>
        <v>0</v>
      </c>
      <c r="W9" s="2"/>
      <c r="X9" s="2"/>
      <c r="Y9" s="2"/>
      <c r="Z9" s="2"/>
      <c r="AA9" s="22">
        <v>7.0</v>
      </c>
      <c r="AB9" s="28" t="s">
        <v>37</v>
      </c>
      <c r="AC9" s="28">
        <v>10.0</v>
      </c>
      <c r="AD9" s="28">
        <v>3.0</v>
      </c>
      <c r="AE9" s="28">
        <v>1.0</v>
      </c>
      <c r="AF9" s="28">
        <v>4.0</v>
      </c>
      <c r="AG9" s="28">
        <v>19.0</v>
      </c>
      <c r="AH9" s="28">
        <v>19.0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184</v>
      </c>
      <c r="E10" s="45" t="s">
        <v>63</v>
      </c>
      <c r="F10" s="15">
        <v>1.0</v>
      </c>
      <c r="G10" s="84" t="s">
        <v>24</v>
      </c>
      <c r="H10" s="114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5" t="s">
        <v>23</v>
      </c>
      <c r="P10" s="115">
        <f t="shared" si="3"/>
        <v>19</v>
      </c>
      <c r="Q10" s="115">
        <f t="shared" si="4"/>
        <v>6</v>
      </c>
      <c r="R10" s="115">
        <f t="shared" si="5"/>
        <v>1</v>
      </c>
      <c r="S10" s="116">
        <f t="shared" si="6"/>
        <v>0</v>
      </c>
      <c r="T10" s="115">
        <f t="shared" si="7"/>
        <v>17</v>
      </c>
      <c r="U10" s="116">
        <f t="shared" si="8"/>
        <v>5</v>
      </c>
      <c r="V10" s="115">
        <f t="shared" si="9"/>
        <v>12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5.0</v>
      </c>
      <c r="AG10" s="28">
        <v>12.0</v>
      </c>
      <c r="AH10" s="28">
        <v>13.0</v>
      </c>
      <c r="AI10" s="28">
        <v>-1.0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185</v>
      </c>
      <c r="D11" s="12" t="s">
        <v>184</v>
      </c>
      <c r="E11" s="45" t="s">
        <v>38</v>
      </c>
      <c r="F11" s="15">
        <v>3.0</v>
      </c>
      <c r="G11" s="84" t="s">
        <v>24</v>
      </c>
      <c r="H11" s="114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5" t="s">
        <v>37</v>
      </c>
      <c r="P11" s="115">
        <f t="shared" si="3"/>
        <v>10</v>
      </c>
      <c r="Q11" s="115">
        <f t="shared" si="4"/>
        <v>3</v>
      </c>
      <c r="R11" s="115">
        <f t="shared" si="5"/>
        <v>1</v>
      </c>
      <c r="S11" s="116">
        <f t="shared" si="6"/>
        <v>4</v>
      </c>
      <c r="T11" s="115">
        <f t="shared" si="7"/>
        <v>19</v>
      </c>
      <c r="U11" s="116">
        <f t="shared" si="8"/>
        <v>19</v>
      </c>
      <c r="V11" s="115">
        <f t="shared" si="9"/>
        <v>0</v>
      </c>
      <c r="W11" s="2"/>
      <c r="X11" s="2"/>
      <c r="Y11" s="2"/>
      <c r="Z11" s="2"/>
      <c r="AA11" s="108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5.0</v>
      </c>
      <c r="AG11" s="28">
        <v>9.0</v>
      </c>
      <c r="AH11" s="28">
        <v>18.0</v>
      </c>
      <c r="AI11" s="28">
        <v>-9.0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186</v>
      </c>
      <c r="D12" s="12" t="s">
        <v>184</v>
      </c>
      <c r="E12" s="45" t="s">
        <v>37</v>
      </c>
      <c r="F12" s="17">
        <v>0.0</v>
      </c>
      <c r="G12" s="84" t="s">
        <v>24</v>
      </c>
      <c r="H12" s="114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5" t="s">
        <v>40</v>
      </c>
      <c r="P12" s="115">
        <f t="shared" si="3"/>
        <v>9</v>
      </c>
      <c r="Q12" s="115">
        <f t="shared" si="4"/>
        <v>3</v>
      </c>
      <c r="R12" s="115">
        <f t="shared" si="5"/>
        <v>0</v>
      </c>
      <c r="S12" s="116">
        <f t="shared" si="6"/>
        <v>5</v>
      </c>
      <c r="T12" s="115">
        <f t="shared" si="7"/>
        <v>12</v>
      </c>
      <c r="U12" s="116">
        <f t="shared" si="8"/>
        <v>13</v>
      </c>
      <c r="V12" s="115">
        <f t="shared" si="9"/>
        <v>-1</v>
      </c>
      <c r="W12" s="2"/>
      <c r="X12" s="2"/>
      <c r="Y12" s="2"/>
      <c r="Z12" s="2"/>
      <c r="AA12" s="76">
        <v>10.0</v>
      </c>
      <c r="AB12" s="28" t="s">
        <v>66</v>
      </c>
      <c r="AC12" s="28">
        <v>3.0</v>
      </c>
      <c r="AD12" s="28">
        <v>1.0</v>
      </c>
      <c r="AE12" s="28">
        <v>0.0</v>
      </c>
      <c r="AF12" s="28">
        <v>7.0</v>
      </c>
      <c r="AG12" s="28">
        <v>9.0</v>
      </c>
      <c r="AH12" s="28">
        <v>30.0</v>
      </c>
      <c r="AI12" s="28">
        <v>-21.0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4" t="s">
        <v>24</v>
      </c>
      <c r="H13" s="114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5" t="s">
        <v>156</v>
      </c>
      <c r="P13" s="115">
        <f t="shared" si="3"/>
        <v>0</v>
      </c>
      <c r="Q13" s="115">
        <f t="shared" si="4"/>
        <v>0</v>
      </c>
      <c r="R13" s="115">
        <f t="shared" si="5"/>
        <v>0</v>
      </c>
      <c r="S13" s="116">
        <f t="shared" si="6"/>
        <v>0</v>
      </c>
      <c r="T13" s="115">
        <f t="shared" si="7"/>
        <v>0</v>
      </c>
      <c r="U13" s="116">
        <f t="shared" si="8"/>
        <v>0</v>
      </c>
      <c r="V13" s="115">
        <f t="shared" si="9"/>
        <v>0</v>
      </c>
      <c r="W13" s="2"/>
      <c r="X13" s="2"/>
      <c r="Y13" s="2"/>
      <c r="Z13" s="2"/>
      <c r="AA13" s="76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5" t="s">
        <v>33</v>
      </c>
      <c r="F14" s="17">
        <v>6.0</v>
      </c>
      <c r="G14" s="84" t="s">
        <v>24</v>
      </c>
      <c r="H14" s="114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5" t="s">
        <v>112</v>
      </c>
      <c r="P14" s="115">
        <f t="shared" si="3"/>
        <v>6</v>
      </c>
      <c r="Q14" s="115">
        <f t="shared" si="4"/>
        <v>2</v>
      </c>
      <c r="R14" s="115">
        <f t="shared" si="5"/>
        <v>0</v>
      </c>
      <c r="S14" s="116">
        <f t="shared" si="6"/>
        <v>5</v>
      </c>
      <c r="T14" s="115">
        <f t="shared" si="7"/>
        <v>9</v>
      </c>
      <c r="U14" s="116">
        <f t="shared" si="8"/>
        <v>18</v>
      </c>
      <c r="V14" s="115">
        <f t="shared" si="9"/>
        <v>-9</v>
      </c>
      <c r="W14" s="2"/>
      <c r="X14" s="2"/>
      <c r="Y14" s="2"/>
      <c r="Z14" s="2"/>
      <c r="AA14" s="76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8.0</v>
      </c>
      <c r="AG14" s="28">
        <v>5.0</v>
      </c>
      <c r="AH14" s="28">
        <v>24.0</v>
      </c>
      <c r="AI14" s="28">
        <v>-19.0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5" t="s">
        <v>58</v>
      </c>
      <c r="F15" s="17">
        <v>1.0</v>
      </c>
      <c r="G15" s="84" t="s">
        <v>24</v>
      </c>
      <c r="H15" s="114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5" t="s">
        <v>115</v>
      </c>
      <c r="F16" s="17">
        <v>1.0</v>
      </c>
      <c r="G16" s="84" t="s">
        <v>24</v>
      </c>
      <c r="H16" s="114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184</v>
      </c>
      <c r="E17" s="45" t="s">
        <v>40</v>
      </c>
      <c r="F17" s="17">
        <v>1.0</v>
      </c>
      <c r="G17" s="84" t="s">
        <v>24</v>
      </c>
      <c r="H17" s="114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5" t="s">
        <v>23</v>
      </c>
      <c r="F18" s="14"/>
      <c r="G18" s="84" t="s">
        <v>24</v>
      </c>
      <c r="H18" s="114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186</v>
      </c>
      <c r="D19" s="12" t="s">
        <v>184</v>
      </c>
      <c r="E19" s="45" t="s">
        <v>25</v>
      </c>
      <c r="F19" s="17">
        <v>2.0</v>
      </c>
      <c r="G19" s="84" t="s">
        <v>24</v>
      </c>
      <c r="H19" s="114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187</v>
      </c>
      <c r="D20" s="12" t="s">
        <v>184</v>
      </c>
      <c r="E20" s="45" t="s">
        <v>112</v>
      </c>
      <c r="F20" s="17">
        <v>5.0</v>
      </c>
      <c r="G20" s="84" t="s">
        <v>24</v>
      </c>
      <c r="H20" s="114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9">
        <v>46000.0</v>
      </c>
      <c r="C21" s="12" t="s">
        <v>54</v>
      </c>
      <c r="D21" s="12" t="s">
        <v>184</v>
      </c>
      <c r="E21" s="45" t="s">
        <v>63</v>
      </c>
      <c r="F21" s="17">
        <v>4.0</v>
      </c>
      <c r="G21" s="84" t="s">
        <v>24</v>
      </c>
      <c r="H21" s="114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9">
        <v>46078.0</v>
      </c>
      <c r="C22" s="12" t="s">
        <v>160</v>
      </c>
      <c r="D22" s="12" t="s">
        <v>184</v>
      </c>
      <c r="E22" s="45" t="s">
        <v>38</v>
      </c>
      <c r="F22" s="17">
        <v>5.0</v>
      </c>
      <c r="G22" s="84" t="s">
        <v>24</v>
      </c>
      <c r="H22" s="114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9">
        <v>46078.0</v>
      </c>
      <c r="C23" s="12" t="s">
        <v>152</v>
      </c>
      <c r="D23" s="12" t="s">
        <v>184</v>
      </c>
      <c r="E23" s="45" t="s">
        <v>37</v>
      </c>
      <c r="F23" s="17">
        <v>1.0</v>
      </c>
      <c r="G23" s="84" t="s">
        <v>24</v>
      </c>
      <c r="H23" s="114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9">
        <v>46000.0</v>
      </c>
      <c r="C24" s="39" t="s">
        <v>55</v>
      </c>
      <c r="D24" s="12" t="s">
        <v>184</v>
      </c>
      <c r="E24" s="14" t="s">
        <v>156</v>
      </c>
      <c r="F24" s="17"/>
      <c r="G24" s="84" t="s">
        <v>24</v>
      </c>
      <c r="H24" s="114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9">
        <v>46078.0</v>
      </c>
      <c r="C25" s="12" t="s">
        <v>145</v>
      </c>
      <c r="D25" s="12" t="s">
        <v>184</v>
      </c>
      <c r="E25" s="45" t="s">
        <v>33</v>
      </c>
      <c r="F25" s="17">
        <v>1.0</v>
      </c>
      <c r="G25" s="84" t="s">
        <v>24</v>
      </c>
      <c r="H25" s="114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9">
        <v>46000.0</v>
      </c>
      <c r="C26" s="12" t="s">
        <v>52</v>
      </c>
      <c r="D26" s="12" t="s">
        <v>184</v>
      </c>
      <c r="E26" s="45" t="s">
        <v>66</v>
      </c>
      <c r="F26" s="17">
        <v>1.0</v>
      </c>
      <c r="G26" s="84" t="s">
        <v>24</v>
      </c>
      <c r="H26" s="114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54</v>
      </c>
      <c r="D27" s="12" t="s">
        <v>184</v>
      </c>
      <c r="E27" s="45" t="s">
        <v>63</v>
      </c>
      <c r="F27" s="17">
        <v>1.0</v>
      </c>
      <c r="G27" s="84" t="s">
        <v>24</v>
      </c>
      <c r="H27" s="114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52</v>
      </c>
      <c r="D28" s="12" t="s">
        <v>184</v>
      </c>
      <c r="E28" s="45" t="s">
        <v>58</v>
      </c>
      <c r="F28" s="17">
        <v>1.0</v>
      </c>
      <c r="G28" s="84" t="s">
        <v>24</v>
      </c>
      <c r="H28" s="114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184</v>
      </c>
      <c r="E29" s="45" t="s">
        <v>115</v>
      </c>
      <c r="F29" s="17"/>
      <c r="G29" s="84" t="s">
        <v>24</v>
      </c>
      <c r="H29" s="114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184</v>
      </c>
      <c r="E30" s="45" t="s">
        <v>40</v>
      </c>
      <c r="F30" s="17">
        <v>1.0</v>
      </c>
      <c r="G30" s="84" t="s">
        <v>24</v>
      </c>
      <c r="H30" s="114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52</v>
      </c>
      <c r="D31" s="12" t="s">
        <v>184</v>
      </c>
      <c r="E31" s="45" t="s">
        <v>23</v>
      </c>
      <c r="F31" s="17">
        <v>3.0</v>
      </c>
      <c r="G31" s="84" t="s">
        <v>24</v>
      </c>
      <c r="H31" s="114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54</v>
      </c>
      <c r="D32" s="12" t="s">
        <v>184</v>
      </c>
      <c r="E32" s="56" t="s">
        <v>112</v>
      </c>
      <c r="F32" s="17">
        <v>0.0</v>
      </c>
      <c r="G32" s="84" t="s">
        <v>24</v>
      </c>
      <c r="H32" s="114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54</v>
      </c>
      <c r="D33" s="12" t="s">
        <v>184</v>
      </c>
      <c r="E33" s="45" t="s">
        <v>38</v>
      </c>
      <c r="F33" s="84"/>
      <c r="G33" s="84" t="s">
        <v>24</v>
      </c>
      <c r="H33" s="120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52</v>
      </c>
      <c r="D34" s="12" t="s">
        <v>184</v>
      </c>
      <c r="E34" s="45" t="s">
        <v>37</v>
      </c>
      <c r="F34" s="17">
        <v>7.0</v>
      </c>
      <c r="G34" s="84" t="s">
        <v>24</v>
      </c>
      <c r="H34" s="114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184</v>
      </c>
      <c r="E35" s="14" t="s">
        <v>156</v>
      </c>
      <c r="F35" s="17"/>
      <c r="G35" s="84" t="s">
        <v>24</v>
      </c>
      <c r="H35" s="114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46107.0</v>
      </c>
      <c r="C36" s="39" t="s">
        <v>52</v>
      </c>
      <c r="D36" s="12" t="s">
        <v>184</v>
      </c>
      <c r="E36" s="45" t="s">
        <v>33</v>
      </c>
      <c r="F36" s="17">
        <v>3.0</v>
      </c>
      <c r="G36" s="84" t="s">
        <v>24</v>
      </c>
      <c r="H36" s="114">
        <v>0.0</v>
      </c>
      <c r="I36" s="45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54</v>
      </c>
      <c r="D37" s="12" t="s">
        <v>184</v>
      </c>
      <c r="E37" s="45" t="s">
        <v>66</v>
      </c>
      <c r="F37" s="17">
        <v>1.0</v>
      </c>
      <c r="G37" s="84" t="s">
        <v>24</v>
      </c>
      <c r="H37" s="114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184</v>
      </c>
      <c r="E38" s="45" t="s">
        <v>25</v>
      </c>
      <c r="F38" s="17">
        <v>0.0</v>
      </c>
      <c r="G38" s="84" t="s">
        <v>24</v>
      </c>
      <c r="H38" s="114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54</v>
      </c>
      <c r="D39" s="12" t="s">
        <v>184</v>
      </c>
      <c r="E39" s="45" t="s">
        <v>38</v>
      </c>
      <c r="F39" s="17">
        <v>2.0</v>
      </c>
      <c r="G39" s="84" t="s">
        <v>24</v>
      </c>
      <c r="H39" s="114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184</v>
      </c>
      <c r="E40" s="45" t="s">
        <v>63</v>
      </c>
      <c r="F40" s="84"/>
      <c r="G40" s="84" t="s">
        <v>24</v>
      </c>
      <c r="H40" s="120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52</v>
      </c>
      <c r="D41" s="12" t="s">
        <v>184</v>
      </c>
      <c r="E41" s="45" t="s">
        <v>58</v>
      </c>
      <c r="F41" s="17">
        <v>0.0</v>
      </c>
      <c r="G41" s="84" t="s">
        <v>24</v>
      </c>
      <c r="H41" s="114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184</v>
      </c>
      <c r="E42" s="45" t="s">
        <v>115</v>
      </c>
      <c r="F42" s="17">
        <v>6.0</v>
      </c>
      <c r="G42" s="84" t="s">
        <v>24</v>
      </c>
      <c r="H42" s="114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54</v>
      </c>
      <c r="D43" s="12" t="s">
        <v>184</v>
      </c>
      <c r="E43" s="45" t="s">
        <v>40</v>
      </c>
      <c r="F43" s="17">
        <v>1.0</v>
      </c>
      <c r="G43" s="84" t="s">
        <v>24</v>
      </c>
      <c r="H43" s="114">
        <v>2.0</v>
      </c>
      <c r="I43" s="45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4">
        <v>46125.0</v>
      </c>
      <c r="C44" s="12" t="s">
        <v>55</v>
      </c>
      <c r="D44" s="12" t="s">
        <v>184</v>
      </c>
      <c r="E44" s="45" t="s">
        <v>112</v>
      </c>
      <c r="F44" s="84"/>
      <c r="G44" s="84" t="s">
        <v>24</v>
      </c>
      <c r="H44" s="120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184</v>
      </c>
      <c r="E45" s="45" t="s">
        <v>37</v>
      </c>
      <c r="F45" s="17">
        <v>5.0</v>
      </c>
      <c r="G45" s="84" t="s">
        <v>24</v>
      </c>
      <c r="H45" s="114">
        <v>1.0</v>
      </c>
      <c r="I45" s="45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52</v>
      </c>
      <c r="D46" s="12" t="s">
        <v>184</v>
      </c>
      <c r="E46" s="14" t="s">
        <v>156</v>
      </c>
      <c r="F46" s="84"/>
      <c r="G46" s="84" t="s">
        <v>24</v>
      </c>
      <c r="H46" s="120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184</v>
      </c>
      <c r="E47" s="45" t="s">
        <v>33</v>
      </c>
      <c r="F47" s="17">
        <v>8.0</v>
      </c>
      <c r="G47" s="84" t="s">
        <v>24</v>
      </c>
      <c r="H47" s="114">
        <v>2.0</v>
      </c>
      <c r="I47" s="45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54</v>
      </c>
      <c r="D48" s="12" t="s">
        <v>184</v>
      </c>
      <c r="E48" s="45" t="s">
        <v>66</v>
      </c>
      <c r="F48" s="17">
        <v>3.0</v>
      </c>
      <c r="G48" s="84" t="s">
        <v>24</v>
      </c>
      <c r="H48" s="114">
        <v>0.0</v>
      </c>
      <c r="I48" s="45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4">
        <v>46125.0</v>
      </c>
      <c r="C49" s="12" t="s">
        <v>52</v>
      </c>
      <c r="D49" s="12" t="s">
        <v>184</v>
      </c>
      <c r="E49" s="45" t="s">
        <v>25</v>
      </c>
      <c r="F49" s="84"/>
      <c r="G49" s="84" t="s">
        <v>24</v>
      </c>
      <c r="H49" s="120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52</v>
      </c>
      <c r="D50" s="12" t="s">
        <v>184</v>
      </c>
      <c r="E50" s="45" t="s">
        <v>23</v>
      </c>
      <c r="F50" s="17">
        <v>2.0</v>
      </c>
      <c r="G50" s="84" t="s">
        <v>24</v>
      </c>
      <c r="H50" s="114">
        <v>1.0</v>
      </c>
      <c r="I50" s="45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1"/>
      <c r="E51" s="45" t="s">
        <v>37</v>
      </c>
      <c r="F51" s="84"/>
      <c r="G51" s="84" t="s">
        <v>24</v>
      </c>
      <c r="H51" s="120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4">
        <v>46126.0</v>
      </c>
      <c r="C52" s="39" t="s">
        <v>55</v>
      </c>
      <c r="D52" s="12" t="s">
        <v>184</v>
      </c>
      <c r="E52" s="45" t="s">
        <v>38</v>
      </c>
      <c r="F52" s="17">
        <v>1.0</v>
      </c>
      <c r="G52" s="84" t="s">
        <v>24</v>
      </c>
      <c r="H52" s="114">
        <v>6.0</v>
      </c>
      <c r="I52" s="45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4">
        <v>46125.0</v>
      </c>
      <c r="C53" s="12" t="s">
        <v>54</v>
      </c>
      <c r="D53" s="12" t="s">
        <v>184</v>
      </c>
      <c r="E53" s="45" t="s">
        <v>63</v>
      </c>
      <c r="F53" s="17">
        <v>3.0</v>
      </c>
      <c r="G53" s="84" t="s">
        <v>24</v>
      </c>
      <c r="H53" s="114">
        <v>0.0</v>
      </c>
      <c r="I53" s="45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4">
        <v>46128.0</v>
      </c>
      <c r="C54" s="12" t="s">
        <v>52</v>
      </c>
      <c r="D54" s="12" t="s">
        <v>184</v>
      </c>
      <c r="E54" s="45" t="s">
        <v>58</v>
      </c>
      <c r="F54" s="17">
        <v>0.0</v>
      </c>
      <c r="G54" s="84" t="s">
        <v>24</v>
      </c>
      <c r="H54" s="114">
        <v>3.0</v>
      </c>
      <c r="I54" s="45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4">
        <v>46128.0</v>
      </c>
      <c r="C55" s="12" t="s">
        <v>55</v>
      </c>
      <c r="D55" s="12" t="s">
        <v>184</v>
      </c>
      <c r="E55" s="45" t="s">
        <v>115</v>
      </c>
      <c r="F55" s="17">
        <v>2.0</v>
      </c>
      <c r="G55" s="84" t="s">
        <v>24</v>
      </c>
      <c r="H55" s="114">
        <v>3.0</v>
      </c>
      <c r="I55" s="45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4">
        <v>46128.0</v>
      </c>
      <c r="C56" s="39" t="s">
        <v>54</v>
      </c>
      <c r="D56" s="12" t="s">
        <v>184</v>
      </c>
      <c r="E56" s="14" t="s">
        <v>112</v>
      </c>
      <c r="F56" s="17">
        <v>0.0</v>
      </c>
      <c r="G56" s="84" t="s">
        <v>24</v>
      </c>
      <c r="H56" s="114">
        <v>3.0</v>
      </c>
      <c r="I56" s="45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1"/>
      <c r="E57" s="45" t="s">
        <v>112</v>
      </c>
      <c r="F57" s="31"/>
      <c r="G57" s="84" t="s">
        <v>24</v>
      </c>
      <c r="H57" s="120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4">
        <v>46135.0</v>
      </c>
      <c r="C58" s="12" t="s">
        <v>55</v>
      </c>
      <c r="D58" s="12" t="s">
        <v>184</v>
      </c>
      <c r="E58" s="45" t="s">
        <v>33</v>
      </c>
      <c r="F58" s="16"/>
      <c r="G58" s="84" t="s">
        <v>24</v>
      </c>
      <c r="H58" s="120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4">
        <v>46135.0</v>
      </c>
      <c r="C59" s="12" t="s">
        <v>54</v>
      </c>
      <c r="D59" s="12" t="s">
        <v>184</v>
      </c>
      <c r="E59" s="45" t="s">
        <v>66</v>
      </c>
      <c r="F59" s="31"/>
      <c r="G59" s="84" t="s">
        <v>24</v>
      </c>
      <c r="H59" s="120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4">
        <v>46133.0</v>
      </c>
      <c r="C60" s="12" t="s">
        <v>54</v>
      </c>
      <c r="D60" s="12" t="s">
        <v>184</v>
      </c>
      <c r="E60" s="45" t="s">
        <v>25</v>
      </c>
      <c r="F60" s="31"/>
      <c r="G60" s="84" t="s">
        <v>24</v>
      </c>
      <c r="H60" s="120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4">
        <v>46133.0</v>
      </c>
      <c r="C61" s="12" t="s">
        <v>52</v>
      </c>
      <c r="D61" s="12" t="s">
        <v>184</v>
      </c>
      <c r="E61" s="45" t="s">
        <v>23</v>
      </c>
      <c r="F61" s="31"/>
      <c r="G61" s="84" t="s">
        <v>24</v>
      </c>
      <c r="H61" s="120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4">
        <v>46135.0</v>
      </c>
      <c r="C62" s="12" t="s">
        <v>52</v>
      </c>
      <c r="D62" s="12" t="s">
        <v>184</v>
      </c>
      <c r="E62" s="45" t="s">
        <v>40</v>
      </c>
      <c r="F62" s="31"/>
      <c r="G62" s="84" t="s">
        <v>24</v>
      </c>
      <c r="H62" s="120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4"/>
      <c r="G63" s="84" t="s">
        <v>24</v>
      </c>
      <c r="H63" s="120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2"/>
      <c r="C64" s="31"/>
      <c r="D64" s="31"/>
      <c r="E64" s="45" t="s">
        <v>37</v>
      </c>
      <c r="F64" s="84"/>
      <c r="G64" s="84" t="s">
        <v>24</v>
      </c>
      <c r="H64" s="120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5"/>
      <c r="C65" s="31"/>
      <c r="D65" s="31"/>
      <c r="E65" s="45" t="s">
        <v>38</v>
      </c>
      <c r="F65" s="84"/>
      <c r="G65" s="84" t="s">
        <v>24</v>
      </c>
      <c r="H65" s="120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5"/>
      <c r="C66" s="31"/>
      <c r="D66" s="31"/>
      <c r="E66" s="45" t="s">
        <v>63</v>
      </c>
      <c r="F66" s="84"/>
      <c r="G66" s="84" t="s">
        <v>24</v>
      </c>
      <c r="H66" s="120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5"/>
      <c r="C67" s="31"/>
      <c r="D67" s="31"/>
      <c r="E67" s="45" t="s">
        <v>58</v>
      </c>
      <c r="F67" s="84"/>
      <c r="G67" s="84" t="s">
        <v>24</v>
      </c>
      <c r="H67" s="120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5"/>
      <c r="C68" s="31"/>
      <c r="D68" s="31"/>
      <c r="E68" s="45" t="s">
        <v>115</v>
      </c>
      <c r="F68" s="17"/>
      <c r="G68" s="84" t="s">
        <v>24</v>
      </c>
      <c r="H68" s="114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10">
        <v>45952.0</v>
      </c>
      <c r="C75" s="39" t="s">
        <v>51</v>
      </c>
      <c r="D75" s="39" t="s">
        <v>184</v>
      </c>
      <c r="E75" s="17" t="s">
        <v>61</v>
      </c>
      <c r="F75" s="85">
        <v>1.0</v>
      </c>
      <c r="G75" s="84" t="s">
        <v>24</v>
      </c>
      <c r="H75" s="85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10">
        <v>45952.0</v>
      </c>
      <c r="C76" s="39" t="s">
        <v>54</v>
      </c>
      <c r="D76" s="39" t="s">
        <v>184</v>
      </c>
      <c r="E76" s="17" t="s">
        <v>32</v>
      </c>
      <c r="F76" s="85"/>
      <c r="G76" s="84" t="s">
        <v>24</v>
      </c>
      <c r="H76" s="85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08" t="s">
        <v>116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10">
        <v>45950.0</v>
      </c>
      <c r="C77" s="39" t="s">
        <v>54</v>
      </c>
      <c r="D77" s="39" t="s">
        <v>184</v>
      </c>
      <c r="E77" s="45" t="s">
        <v>43</v>
      </c>
      <c r="F77" s="85">
        <v>1.0</v>
      </c>
      <c r="G77" s="84" t="s">
        <v>24</v>
      </c>
      <c r="H77" s="85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122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184</v>
      </c>
      <c r="E78" s="17" t="s">
        <v>122</v>
      </c>
      <c r="F78" s="85">
        <v>7.0</v>
      </c>
      <c r="G78" s="84"/>
      <c r="H78" s="85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124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10">
        <v>45979.0</v>
      </c>
      <c r="C79" s="12" t="s">
        <v>52</v>
      </c>
      <c r="D79" s="39" t="s">
        <v>184</v>
      </c>
      <c r="E79" s="17" t="s">
        <v>190</v>
      </c>
      <c r="F79" s="85">
        <v>1.0</v>
      </c>
      <c r="G79" s="84"/>
      <c r="H79" s="85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10"/>
      <c r="C80" s="12"/>
      <c r="D80" s="39" t="s">
        <v>184</v>
      </c>
      <c r="E80" s="45" t="s">
        <v>124</v>
      </c>
      <c r="F80" s="15">
        <v>7.0</v>
      </c>
      <c r="G80" s="84" t="s">
        <v>24</v>
      </c>
      <c r="H80" s="85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55</v>
      </c>
      <c r="D81" s="39" t="s">
        <v>184</v>
      </c>
      <c r="E81" s="14" t="s">
        <v>45</v>
      </c>
      <c r="F81" s="15"/>
      <c r="G81" s="84" t="s">
        <v>24</v>
      </c>
      <c r="H81" s="85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1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4" t="s">
        <v>24</v>
      </c>
      <c r="H82" s="85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184</v>
      </c>
      <c r="E83" s="17" t="s">
        <v>43</v>
      </c>
      <c r="F83" s="15">
        <v>3.0</v>
      </c>
      <c r="G83" s="84" t="s">
        <v>24</v>
      </c>
      <c r="H83" s="85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4" t="s">
        <v>24</v>
      </c>
      <c r="H84" s="85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5"/>
      <c r="G85" s="84" t="s">
        <v>24</v>
      </c>
      <c r="H85" s="85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5" t="s">
        <v>124</v>
      </c>
      <c r="F86" s="85">
        <v>1.0</v>
      </c>
      <c r="G86" s="84" t="s">
        <v>24</v>
      </c>
      <c r="H86" s="85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184</v>
      </c>
      <c r="E87" s="17" t="s">
        <v>190</v>
      </c>
      <c r="F87" s="85">
        <v>3.0</v>
      </c>
      <c r="G87" s="84" t="s">
        <v>24</v>
      </c>
      <c r="H87" s="85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184</v>
      </c>
      <c r="E88" s="17" t="s">
        <v>61</v>
      </c>
      <c r="F88" s="85">
        <v>1.0</v>
      </c>
      <c r="G88" s="84" t="s">
        <v>24</v>
      </c>
      <c r="H88" s="85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184</v>
      </c>
      <c r="E89" s="45" t="s">
        <v>32</v>
      </c>
      <c r="F89" s="85">
        <v>2.0</v>
      </c>
      <c r="G89" s="84" t="s">
        <v>24</v>
      </c>
      <c r="H89" s="85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4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5">
        <v>3.0</v>
      </c>
      <c r="G91" s="84" t="s">
        <v>24</v>
      </c>
      <c r="H91" s="85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184</v>
      </c>
      <c r="E92" s="17" t="s">
        <v>122</v>
      </c>
      <c r="F92" s="85">
        <v>4.0</v>
      </c>
      <c r="G92" s="84" t="s">
        <v>24</v>
      </c>
      <c r="H92" s="85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5">
        <v>0.0</v>
      </c>
      <c r="G93" s="84" t="s">
        <v>24</v>
      </c>
      <c r="H93" s="85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5"/>
      <c r="G94" s="84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24"/>
      <c r="C95" s="16"/>
      <c r="D95" s="121"/>
      <c r="E95" s="17" t="s">
        <v>190</v>
      </c>
      <c r="F95" s="125"/>
      <c r="G95" s="84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5">
        <v>0.0</v>
      </c>
      <c r="G96" s="84" t="s">
        <v>24</v>
      </c>
      <c r="H96" s="85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5">
        <v>2.0</v>
      </c>
      <c r="G97" s="84" t="s">
        <v>24</v>
      </c>
      <c r="H97" s="85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184</v>
      </c>
      <c r="E98" s="45" t="s">
        <v>43</v>
      </c>
      <c r="F98" s="85">
        <v>2.0</v>
      </c>
      <c r="G98" s="84" t="s">
        <v>24</v>
      </c>
      <c r="H98" s="85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10">
        <v>46111.0</v>
      </c>
      <c r="C99" s="39" t="s">
        <v>52</v>
      </c>
      <c r="D99" s="39" t="s">
        <v>184</v>
      </c>
      <c r="E99" s="45" t="s">
        <v>124</v>
      </c>
      <c r="F99" s="85">
        <v>4.0</v>
      </c>
      <c r="G99" s="84" t="s">
        <v>24</v>
      </c>
      <c r="H99" s="85">
        <v>1.0</v>
      </c>
      <c r="I99" s="45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1"/>
      <c r="E100" s="14" t="s">
        <v>45</v>
      </c>
      <c r="F100" s="125"/>
      <c r="G100" s="84" t="s">
        <v>24</v>
      </c>
      <c r="H100" s="125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85">
        <v>4.0</v>
      </c>
      <c r="G101" s="84" t="s">
        <v>24</v>
      </c>
      <c r="H101" s="85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184</v>
      </c>
      <c r="E102" s="17" t="s">
        <v>122</v>
      </c>
      <c r="F102" s="85">
        <v>3.0</v>
      </c>
      <c r="G102" s="84" t="s">
        <v>24</v>
      </c>
      <c r="H102" s="85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10">
        <v>45953.0</v>
      </c>
      <c r="C111" s="39" t="s">
        <v>54</v>
      </c>
      <c r="D111" s="39" t="s">
        <v>184</v>
      </c>
      <c r="E111" s="17" t="s">
        <v>35</v>
      </c>
      <c r="F111" s="85">
        <v>1.0</v>
      </c>
      <c r="G111" s="84" t="s">
        <v>24</v>
      </c>
      <c r="H111" s="85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21.0</v>
      </c>
      <c r="AD111" s="23">
        <v>7.0</v>
      </c>
      <c r="AE111" s="23">
        <v>0.0</v>
      </c>
      <c r="AF111" s="23">
        <v>0.0</v>
      </c>
      <c r="AG111" s="23">
        <v>33.0</v>
      </c>
      <c r="AH111" s="24">
        <v>14.0</v>
      </c>
      <c r="AI111" s="23">
        <v>19.0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10">
        <v>45953.0</v>
      </c>
      <c r="C112" s="39" t="s">
        <v>52</v>
      </c>
      <c r="D112" s="39" t="s">
        <v>184</v>
      </c>
      <c r="E112" s="17" t="s">
        <v>60</v>
      </c>
      <c r="F112" s="85">
        <v>7.0</v>
      </c>
      <c r="G112" s="84" t="s">
        <v>24</v>
      </c>
      <c r="H112" s="85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35</v>
      </c>
      <c r="P112" s="18">
        <f t="shared" si="21"/>
        <v>6</v>
      </c>
      <c r="Q112" s="18">
        <f t="shared" si="22"/>
        <v>2</v>
      </c>
      <c r="R112" s="20">
        <f t="shared" si="23"/>
        <v>0</v>
      </c>
      <c r="S112" s="20">
        <f t="shared" si="24"/>
        <v>5</v>
      </c>
      <c r="T112" s="18">
        <f t="shared" si="25"/>
        <v>20</v>
      </c>
      <c r="U112" s="20">
        <f t="shared" si="26"/>
        <v>29</v>
      </c>
      <c r="V112" s="18">
        <f t="shared" si="27"/>
        <v>-9</v>
      </c>
      <c r="W112" s="2"/>
      <c r="X112" s="2"/>
      <c r="Y112" s="2"/>
      <c r="Z112" s="2"/>
      <c r="AA112" s="108" t="s">
        <v>116</v>
      </c>
      <c r="AB112" s="23" t="s">
        <v>144</v>
      </c>
      <c r="AC112" s="23">
        <v>18.0</v>
      </c>
      <c r="AD112" s="23">
        <v>6.0</v>
      </c>
      <c r="AE112" s="23">
        <v>0.0</v>
      </c>
      <c r="AF112" s="23">
        <v>1.0</v>
      </c>
      <c r="AG112" s="23">
        <v>37.0</v>
      </c>
      <c r="AH112" s="24">
        <v>12.0</v>
      </c>
      <c r="AI112" s="23">
        <v>25.0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10">
        <v>45953.0</v>
      </c>
      <c r="C113" s="39" t="s">
        <v>55</v>
      </c>
      <c r="D113" s="39" t="s">
        <v>184</v>
      </c>
      <c r="E113" s="17" t="s">
        <v>157</v>
      </c>
      <c r="F113" s="85">
        <v>6.0</v>
      </c>
      <c r="G113" s="84" t="s">
        <v>24</v>
      </c>
      <c r="H113" s="85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15</v>
      </c>
      <c r="Q113" s="18">
        <f t="shared" si="22"/>
        <v>5</v>
      </c>
      <c r="R113" s="20">
        <f t="shared" si="23"/>
        <v>0</v>
      </c>
      <c r="S113" s="20">
        <f t="shared" si="24"/>
        <v>2</v>
      </c>
      <c r="T113" s="18">
        <f t="shared" si="25"/>
        <v>30</v>
      </c>
      <c r="U113" s="20">
        <f t="shared" si="26"/>
        <v>11</v>
      </c>
      <c r="V113" s="18">
        <f t="shared" si="27"/>
        <v>19</v>
      </c>
      <c r="W113" s="2"/>
      <c r="X113" s="2"/>
      <c r="Y113" s="2"/>
      <c r="Z113" s="2"/>
      <c r="AA113" s="22">
        <v>3.0</v>
      </c>
      <c r="AB113" s="23" t="s">
        <v>60</v>
      </c>
      <c r="AC113" s="23">
        <v>15.0</v>
      </c>
      <c r="AD113" s="23">
        <v>5.0</v>
      </c>
      <c r="AE113" s="23">
        <v>0.0</v>
      </c>
      <c r="AF113" s="23">
        <v>2.0</v>
      </c>
      <c r="AG113" s="23">
        <v>30.0</v>
      </c>
      <c r="AH113" s="24">
        <v>11.0</v>
      </c>
      <c r="AI113" s="23">
        <v>19.0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10">
        <v>45950.0</v>
      </c>
      <c r="C114" s="39" t="s">
        <v>52</v>
      </c>
      <c r="D114" s="39" t="s">
        <v>184</v>
      </c>
      <c r="E114" s="45" t="s">
        <v>31</v>
      </c>
      <c r="F114" s="85">
        <v>4.0</v>
      </c>
      <c r="G114" s="84" t="s">
        <v>24</v>
      </c>
      <c r="H114" s="85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2</v>
      </c>
      <c r="T114" s="18">
        <f t="shared" si="25"/>
        <v>25</v>
      </c>
      <c r="U114" s="20">
        <f t="shared" si="26"/>
        <v>13</v>
      </c>
      <c r="V114" s="18">
        <f t="shared" si="27"/>
        <v>12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2.0</v>
      </c>
      <c r="AG114" s="23">
        <v>25.0</v>
      </c>
      <c r="AH114" s="24">
        <v>13.0</v>
      </c>
      <c r="AI114" s="23">
        <v>12.0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1"/>
      <c r="E115" s="17" t="s">
        <v>59</v>
      </c>
      <c r="F115" s="125"/>
      <c r="G115" s="84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21</v>
      </c>
      <c r="Q115" s="18">
        <f t="shared" si="22"/>
        <v>7</v>
      </c>
      <c r="R115" s="20">
        <f t="shared" si="23"/>
        <v>0</v>
      </c>
      <c r="S115" s="20">
        <f t="shared" si="24"/>
        <v>0</v>
      </c>
      <c r="T115" s="18">
        <f t="shared" si="25"/>
        <v>33</v>
      </c>
      <c r="U115" s="20">
        <f t="shared" si="26"/>
        <v>14</v>
      </c>
      <c r="V115" s="18">
        <f t="shared" si="27"/>
        <v>19</v>
      </c>
      <c r="W115" s="2"/>
      <c r="X115" s="2"/>
      <c r="Y115" s="2"/>
      <c r="Z115" s="2"/>
      <c r="AA115" s="22">
        <v>5.0</v>
      </c>
      <c r="AB115" s="23" t="s">
        <v>64</v>
      </c>
      <c r="AC115" s="23">
        <v>9.0</v>
      </c>
      <c r="AD115" s="23">
        <v>3.0</v>
      </c>
      <c r="AE115" s="23">
        <v>0.0</v>
      </c>
      <c r="AF115" s="23">
        <v>4.0</v>
      </c>
      <c r="AG115" s="23">
        <v>12.0</v>
      </c>
      <c r="AH115" s="24">
        <v>34.0</v>
      </c>
      <c r="AI115" s="23">
        <v>-22.0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10">
        <v>45971.0</v>
      </c>
      <c r="C116" s="12" t="s">
        <v>52</v>
      </c>
      <c r="D116" s="39" t="s">
        <v>184</v>
      </c>
      <c r="E116" s="45" t="s">
        <v>65</v>
      </c>
      <c r="F116" s="15">
        <v>0.0</v>
      </c>
      <c r="G116" s="84" t="s">
        <v>24</v>
      </c>
      <c r="H116" s="85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6</v>
      </c>
      <c r="T116" s="18">
        <f t="shared" si="25"/>
        <v>7</v>
      </c>
      <c r="U116" s="20">
        <f t="shared" si="26"/>
        <v>24</v>
      </c>
      <c r="V116" s="18">
        <f t="shared" si="27"/>
        <v>-17</v>
      </c>
      <c r="W116" s="2"/>
      <c r="X116" s="2"/>
      <c r="Y116" s="2"/>
      <c r="Z116" s="2"/>
      <c r="AA116" s="22">
        <v>6.0</v>
      </c>
      <c r="AB116" s="23" t="s">
        <v>65</v>
      </c>
      <c r="AC116" s="23">
        <v>7.0</v>
      </c>
      <c r="AD116" s="23">
        <v>2.0</v>
      </c>
      <c r="AE116" s="23">
        <v>1.0</v>
      </c>
      <c r="AF116" s="23">
        <v>5.0</v>
      </c>
      <c r="AG116" s="23">
        <v>17.0</v>
      </c>
      <c r="AH116" s="24">
        <v>23.0</v>
      </c>
      <c r="AI116" s="23">
        <v>-6.0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41"/>
      <c r="D117" s="88"/>
      <c r="E117" s="17">
        <v>0.0</v>
      </c>
      <c r="F117" s="16"/>
      <c r="G117" s="84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18</v>
      </c>
      <c r="Q117" s="18">
        <f t="shared" si="22"/>
        <v>6</v>
      </c>
      <c r="R117" s="20">
        <f t="shared" si="23"/>
        <v>0</v>
      </c>
      <c r="S117" s="20">
        <f t="shared" si="24"/>
        <v>1</v>
      </c>
      <c r="T117" s="18">
        <f t="shared" si="25"/>
        <v>37</v>
      </c>
      <c r="U117" s="20">
        <f t="shared" si="26"/>
        <v>12</v>
      </c>
      <c r="V117" s="18">
        <f t="shared" si="27"/>
        <v>25</v>
      </c>
      <c r="W117" s="2"/>
      <c r="X117" s="2"/>
      <c r="Y117" s="2"/>
      <c r="Z117" s="2"/>
      <c r="AA117" s="22">
        <v>7.0</v>
      </c>
      <c r="AB117" s="23" t="s">
        <v>35</v>
      </c>
      <c r="AC117" s="23">
        <v>6.0</v>
      </c>
      <c r="AD117" s="23">
        <v>2.0</v>
      </c>
      <c r="AE117" s="23">
        <v>0.0</v>
      </c>
      <c r="AF117" s="23">
        <v>5.0</v>
      </c>
      <c r="AG117" s="23">
        <v>20.0</v>
      </c>
      <c r="AH117" s="24">
        <v>29.0</v>
      </c>
      <c r="AI117" s="23">
        <v>-9.0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10">
        <v>45965.0</v>
      </c>
      <c r="C118" s="39" t="s">
        <v>54</v>
      </c>
      <c r="D118" s="39" t="s">
        <v>184</v>
      </c>
      <c r="E118" s="17" t="s">
        <v>114</v>
      </c>
      <c r="F118" s="15">
        <v>1.0</v>
      </c>
      <c r="G118" s="84" t="s">
        <v>24</v>
      </c>
      <c r="H118" s="85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4</v>
      </c>
      <c r="T118" s="18">
        <f t="shared" si="25"/>
        <v>12</v>
      </c>
      <c r="U118" s="20">
        <f t="shared" si="26"/>
        <v>34</v>
      </c>
      <c r="V118" s="18">
        <f t="shared" si="27"/>
        <v>-22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5.0</v>
      </c>
      <c r="AG118" s="23">
        <v>11.0</v>
      </c>
      <c r="AH118" s="24">
        <v>32.0</v>
      </c>
      <c r="AI118" s="23">
        <v>-21.0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10">
        <v>45972.0</v>
      </c>
      <c r="C119" s="12" t="s">
        <v>54</v>
      </c>
      <c r="D119" s="39" t="s">
        <v>184</v>
      </c>
      <c r="E119" s="17" t="s">
        <v>64</v>
      </c>
      <c r="F119" s="15">
        <v>0.0</v>
      </c>
      <c r="G119" s="84" t="s">
        <v>24</v>
      </c>
      <c r="H119" s="85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5</v>
      </c>
      <c r="T119" s="18">
        <f t="shared" si="25"/>
        <v>11</v>
      </c>
      <c r="U119" s="20">
        <f t="shared" si="26"/>
        <v>32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6.0</v>
      </c>
      <c r="AG119" s="28">
        <v>7.0</v>
      </c>
      <c r="AH119" s="28">
        <v>24.0</v>
      </c>
      <c r="AI119" s="28">
        <v>-17.0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10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4" t="s">
        <v>24</v>
      </c>
      <c r="H120" s="85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184</v>
      </c>
      <c r="E121" s="17" t="s">
        <v>157</v>
      </c>
      <c r="F121" s="85">
        <v>2.0</v>
      </c>
      <c r="G121" s="84" t="s">
        <v>24</v>
      </c>
      <c r="H121" s="85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5" t="s">
        <v>60</v>
      </c>
      <c r="F122" s="85">
        <v>7.0</v>
      </c>
      <c r="G122" s="84" t="s">
        <v>24</v>
      </c>
      <c r="H122" s="85">
        <v>0.0</v>
      </c>
      <c r="I122" s="45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184</v>
      </c>
      <c r="E123" s="17" t="s">
        <v>31</v>
      </c>
      <c r="F123" s="85">
        <v>4.0</v>
      </c>
      <c r="G123" s="84" t="s">
        <v>24</v>
      </c>
      <c r="H123" s="85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184</v>
      </c>
      <c r="E124" s="17" t="s">
        <v>59</v>
      </c>
      <c r="F124" s="85">
        <v>2.0</v>
      </c>
      <c r="G124" s="84" t="s">
        <v>24</v>
      </c>
      <c r="H124" s="85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1"/>
      <c r="E125" s="45">
        <v>0.0</v>
      </c>
      <c r="F125" s="125"/>
      <c r="G125" s="84" t="s">
        <v>24</v>
      </c>
      <c r="H125" s="125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184</v>
      </c>
      <c r="E126" s="17" t="s">
        <v>65</v>
      </c>
      <c r="F126" s="85">
        <v>3.0</v>
      </c>
      <c r="G126" s="84" t="s">
        <v>24</v>
      </c>
      <c r="H126" s="85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5">
        <v>0.0</v>
      </c>
      <c r="G127" s="84" t="s">
        <v>24</v>
      </c>
      <c r="H127" s="85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8"/>
      <c r="D128" s="39" t="s">
        <v>184</v>
      </c>
      <c r="E128" s="17" t="s">
        <v>60</v>
      </c>
      <c r="F128" s="125"/>
      <c r="G128" s="84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5">
        <v>2.0</v>
      </c>
      <c r="G129" s="84" t="s">
        <v>24</v>
      </c>
      <c r="H129" s="85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184</v>
      </c>
      <c r="E130" s="45" t="s">
        <v>64</v>
      </c>
      <c r="F130" s="85">
        <v>0.0</v>
      </c>
      <c r="G130" s="84" t="s">
        <v>24</v>
      </c>
      <c r="H130" s="85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184</v>
      </c>
      <c r="E131" s="17" t="s">
        <v>59</v>
      </c>
      <c r="F131" s="85">
        <v>0.0</v>
      </c>
      <c r="G131" s="84" t="s">
        <v>24</v>
      </c>
      <c r="H131" s="85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10">
        <v>46104.0</v>
      </c>
      <c r="C132" s="39" t="s">
        <v>52</v>
      </c>
      <c r="D132" s="39" t="s">
        <v>184</v>
      </c>
      <c r="E132" s="17" t="s">
        <v>31</v>
      </c>
      <c r="F132" s="85">
        <v>2.0</v>
      </c>
      <c r="G132" s="84" t="s">
        <v>24</v>
      </c>
      <c r="H132" s="85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184</v>
      </c>
      <c r="E133" s="17" t="s">
        <v>157</v>
      </c>
      <c r="F133" s="85">
        <v>1.0</v>
      </c>
      <c r="G133" s="84" t="s">
        <v>24</v>
      </c>
      <c r="H133" s="85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5" t="s">
        <v>144</v>
      </c>
      <c r="F134" s="85">
        <v>6.0</v>
      </c>
      <c r="G134" s="84" t="s">
        <v>24</v>
      </c>
      <c r="H134" s="85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1"/>
      <c r="E135" s="45">
        <v>0.0</v>
      </c>
      <c r="F135" s="125"/>
      <c r="G135" s="84" t="s">
        <v>24</v>
      </c>
      <c r="H135" s="125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10">
        <v>46097.0</v>
      </c>
      <c r="C136" s="39" t="s">
        <v>54</v>
      </c>
      <c r="D136" s="39" t="s">
        <v>184</v>
      </c>
      <c r="E136" s="45" t="s">
        <v>65</v>
      </c>
      <c r="F136" s="85">
        <v>1.0</v>
      </c>
      <c r="G136" s="84" t="s">
        <v>24</v>
      </c>
      <c r="H136" s="85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10">
        <v>46100.0</v>
      </c>
      <c r="C137" s="39" t="s">
        <v>54</v>
      </c>
      <c r="D137" s="39" t="s">
        <v>184</v>
      </c>
      <c r="E137" s="17" t="s">
        <v>35</v>
      </c>
      <c r="F137" s="85">
        <v>3.0</v>
      </c>
      <c r="G137" s="84" t="s">
        <v>24</v>
      </c>
      <c r="H137" s="85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10">
        <v>46100.0</v>
      </c>
      <c r="C138" s="39" t="s">
        <v>52</v>
      </c>
      <c r="D138" s="39" t="s">
        <v>184</v>
      </c>
      <c r="E138" s="17" t="s">
        <v>60</v>
      </c>
      <c r="F138" s="85">
        <v>3.0</v>
      </c>
      <c r="G138" s="84" t="s">
        <v>24</v>
      </c>
      <c r="H138" s="85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8"/>
      <c r="D139" s="88"/>
      <c r="E139" s="17" t="s">
        <v>157</v>
      </c>
      <c r="F139" s="125"/>
      <c r="G139" s="84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10">
        <v>46097.0</v>
      </c>
      <c r="C140" s="39" t="s">
        <v>55</v>
      </c>
      <c r="D140" s="39" t="s">
        <v>184</v>
      </c>
      <c r="E140" s="17" t="s">
        <v>114</v>
      </c>
      <c r="F140" s="85">
        <v>0.0</v>
      </c>
      <c r="G140" s="84" t="s">
        <v>24</v>
      </c>
      <c r="H140" s="85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10">
        <v>46106.0</v>
      </c>
      <c r="C141" s="39" t="s">
        <v>55</v>
      </c>
      <c r="D141" s="39" t="s">
        <v>184</v>
      </c>
      <c r="E141" s="17" t="s">
        <v>64</v>
      </c>
      <c r="F141" s="85">
        <v>2.0</v>
      </c>
      <c r="G141" s="84" t="s">
        <v>24</v>
      </c>
      <c r="H141" s="85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10">
        <v>46111.0</v>
      </c>
      <c r="C142" s="39" t="s">
        <v>54</v>
      </c>
      <c r="D142" s="39" t="s">
        <v>184</v>
      </c>
      <c r="E142" s="17" t="s">
        <v>144</v>
      </c>
      <c r="F142" s="85">
        <v>8.0</v>
      </c>
      <c r="G142" s="84" t="s">
        <v>24</v>
      </c>
      <c r="H142" s="85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10">
        <v>46104.0</v>
      </c>
      <c r="C143" s="39" t="s">
        <v>55</v>
      </c>
      <c r="D143" s="39" t="s">
        <v>184</v>
      </c>
      <c r="E143" s="17" t="s">
        <v>59</v>
      </c>
      <c r="F143" s="85">
        <v>0.0</v>
      </c>
      <c r="G143" s="84" t="s">
        <v>24</v>
      </c>
      <c r="H143" s="85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10">
        <v>46111.0</v>
      </c>
      <c r="C144" s="39" t="s">
        <v>55</v>
      </c>
      <c r="D144" s="39" t="s">
        <v>184</v>
      </c>
      <c r="E144" s="17" t="s">
        <v>31</v>
      </c>
      <c r="F144" s="85">
        <v>7.0</v>
      </c>
      <c r="G144" s="84" t="s">
        <v>24</v>
      </c>
      <c r="H144" s="85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1"/>
      <c r="E145" s="17">
        <v>0.0</v>
      </c>
      <c r="F145" s="125"/>
      <c r="G145" s="84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65</v>
      </c>
      <c r="F146" s="85">
        <v>2.0</v>
      </c>
      <c r="G146" s="84" t="s">
        <v>24</v>
      </c>
      <c r="H146" s="85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5">
        <v>14.0</v>
      </c>
      <c r="G147" s="84" t="s">
        <v>24</v>
      </c>
      <c r="H147" s="85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184</v>
      </c>
      <c r="E148" s="17" t="s">
        <v>60</v>
      </c>
      <c r="F148" s="85">
        <v>1.0</v>
      </c>
      <c r="G148" s="84" t="s">
        <v>24</v>
      </c>
      <c r="H148" s="85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5">
        <v>3.0</v>
      </c>
      <c r="G149" s="84" t="s">
        <v>24</v>
      </c>
      <c r="H149" s="85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1"/>
      <c r="E150" s="17" t="s">
        <v>31</v>
      </c>
      <c r="F150" s="125"/>
      <c r="G150" s="84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1"/>
      <c r="E151" s="17">
        <v>0.0</v>
      </c>
      <c r="F151" s="125"/>
      <c r="G151" s="84" t="s">
        <v>24</v>
      </c>
      <c r="H151" s="125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10">
        <v>46134.0</v>
      </c>
      <c r="C152" s="39" t="s">
        <v>55</v>
      </c>
      <c r="D152" s="39" t="s">
        <v>184</v>
      </c>
      <c r="E152" s="17" t="s">
        <v>114</v>
      </c>
      <c r="F152" s="125"/>
      <c r="G152" s="84" t="s">
        <v>24</v>
      </c>
      <c r="H152" s="125"/>
      <c r="I152" s="17" t="s">
        <v>35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10">
        <v>46134.0</v>
      </c>
      <c r="C153" s="39" t="s">
        <v>54</v>
      </c>
      <c r="D153" s="39" t="s">
        <v>184</v>
      </c>
      <c r="E153" s="17" t="s">
        <v>64</v>
      </c>
      <c r="F153" s="125"/>
      <c r="G153" s="84" t="s">
        <v>24</v>
      </c>
      <c r="H153" s="125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10">
        <v>46133.0</v>
      </c>
      <c r="C154" s="39" t="s">
        <v>55</v>
      </c>
      <c r="D154" s="39" t="s">
        <v>184</v>
      </c>
      <c r="E154" s="17" t="s">
        <v>144</v>
      </c>
      <c r="F154" s="125"/>
      <c r="G154" s="84" t="s">
        <v>24</v>
      </c>
      <c r="H154" s="125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10">
        <v>46134.0</v>
      </c>
      <c r="C155" s="39" t="s">
        <v>52</v>
      </c>
      <c r="D155" s="39" t="s">
        <v>184</v>
      </c>
      <c r="E155" s="17" t="s">
        <v>59</v>
      </c>
      <c r="F155" s="85"/>
      <c r="G155" s="84" t="s">
        <v>24</v>
      </c>
      <c r="H155" s="85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2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2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2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2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194</v>
      </c>
      <c r="H160" s="2"/>
      <c r="I160" s="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3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94">
        <v>1.0</v>
      </c>
      <c r="AB162" s="70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3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7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94">
        <v>2.0</v>
      </c>
      <c r="AB163" s="70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3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2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2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2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2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195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2" t="s">
        <v>84</v>
      </c>
      <c r="F176" s="13"/>
      <c r="G176" s="16" t="s">
        <v>24</v>
      </c>
      <c r="H176" s="13"/>
      <c r="I176" s="45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2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2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2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2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2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2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2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2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2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2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2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18" t="s">
        <v>66</v>
      </c>
      <c r="Y4" s="118">
        <v>2.0</v>
      </c>
      <c r="AA4" s="22" t="s">
        <v>34</v>
      </c>
      <c r="AB4" s="70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6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18" t="s">
        <v>31</v>
      </c>
      <c r="Y5" s="118">
        <v>1.0</v>
      </c>
      <c r="AA5" s="22" t="s">
        <v>39</v>
      </c>
      <c r="AB5" s="70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70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70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70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70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70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08" t="s">
        <v>104</v>
      </c>
      <c r="AB11" s="70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6">
        <v>10.0</v>
      </c>
      <c r="AB12" s="70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66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6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6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6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4">
        <v>46126.0</v>
      </c>
      <c r="C47" s="66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6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6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6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1"/>
      <c r="C51" s="142"/>
      <c r="D51" s="143"/>
      <c r="E51" s="17" t="s">
        <v>43</v>
      </c>
      <c r="F51" s="143"/>
      <c r="G51" s="31" t="s">
        <v>24</v>
      </c>
      <c r="H51" s="31"/>
      <c r="I51" s="17" t="s">
        <v>66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1"/>
      <c r="C52" s="142"/>
      <c r="D52" s="143"/>
      <c r="E52" s="17" t="s">
        <v>190</v>
      </c>
      <c r="F52" s="143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6" t="s">
        <v>30</v>
      </c>
      <c r="D53" s="12" t="s">
        <v>22</v>
      </c>
      <c r="E53" s="17" t="s">
        <v>117</v>
      </c>
      <c r="F53" s="144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1"/>
      <c r="C54" s="142"/>
      <c r="D54" s="143"/>
      <c r="E54" s="17" t="s">
        <v>25</v>
      </c>
      <c r="F54" s="143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1"/>
      <c r="C55" s="142"/>
      <c r="D55" s="143"/>
      <c r="E55" s="17" t="s">
        <v>23</v>
      </c>
      <c r="F55" s="143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1"/>
      <c r="C56" s="142"/>
      <c r="D56" s="143"/>
      <c r="E56" s="17" t="s">
        <v>61</v>
      </c>
      <c r="F56" s="143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4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4">
        <v>46128.0</v>
      </c>
      <c r="C68" s="66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5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Eng. Ambiente</v>
      </c>
      <c r="AC74" s="23">
        <v>25.0</v>
      </c>
      <c r="AD74" s="23">
        <v>9.0</v>
      </c>
      <c r="AE74" s="24"/>
      <c r="AF74" s="24">
        <v>0.0</v>
      </c>
      <c r="AG74" s="23">
        <v>18.0</v>
      </c>
      <c r="AH74" s="24">
        <v>2.0</v>
      </c>
      <c r="AI74" s="23">
        <v>16.0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6</v>
      </c>
      <c r="T75" s="132">
        <f t="shared" si="14"/>
        <v>8</v>
      </c>
      <c r="U75" s="135">
        <f t="shared" si="15"/>
        <v>13</v>
      </c>
      <c r="V75" s="132">
        <f t="shared" si="16"/>
        <v>-5</v>
      </c>
      <c r="X75" s="118" t="s">
        <v>33</v>
      </c>
      <c r="Y75" s="118">
        <v>3.0</v>
      </c>
      <c r="AA75" s="108" t="s">
        <v>116</v>
      </c>
      <c r="AB75" s="70" t="s">
        <v>68</v>
      </c>
      <c r="AC75" s="23">
        <v>23.0</v>
      </c>
      <c r="AD75" s="23">
        <v>8.0</v>
      </c>
      <c r="AE75" s="24"/>
      <c r="AF75" s="24">
        <v>1.0</v>
      </c>
      <c r="AG75" s="23">
        <v>17.0</v>
      </c>
      <c r="AH75" s="24">
        <v>4.0</v>
      </c>
      <c r="AI75" s="23">
        <v>13.0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3</v>
      </c>
      <c r="T76" s="132">
        <f t="shared" si="14"/>
        <v>14</v>
      </c>
      <c r="U76" s="135">
        <f t="shared" si="15"/>
        <v>8</v>
      </c>
      <c r="V76" s="132">
        <f t="shared" si="16"/>
        <v>6</v>
      </c>
      <c r="X76" s="118" t="s">
        <v>41</v>
      </c>
      <c r="Y76" s="118">
        <v>0.0</v>
      </c>
      <c r="AA76" s="22">
        <v>3.0</v>
      </c>
      <c r="AB76" s="70" t="s">
        <v>158</v>
      </c>
      <c r="AC76" s="23">
        <v>18.0</v>
      </c>
      <c r="AD76" s="23">
        <v>6.0</v>
      </c>
      <c r="AE76" s="24"/>
      <c r="AF76" s="24">
        <v>3.0</v>
      </c>
      <c r="AG76" s="23">
        <v>14.0</v>
      </c>
      <c r="AH76" s="24">
        <v>8.0</v>
      </c>
      <c r="AI76" s="23">
        <v>6.0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3</v>
      </c>
      <c r="T77" s="132">
        <f t="shared" si="14"/>
        <v>13</v>
      </c>
      <c r="U77" s="135">
        <f t="shared" si="15"/>
        <v>9</v>
      </c>
      <c r="V77" s="132">
        <f t="shared" si="16"/>
        <v>4</v>
      </c>
      <c r="AA77" s="22">
        <v>4.0</v>
      </c>
      <c r="AB77" s="70" t="s">
        <v>119</v>
      </c>
      <c r="AC77" s="23">
        <v>16.0</v>
      </c>
      <c r="AD77" s="23">
        <v>6.0</v>
      </c>
      <c r="AE77" s="24"/>
      <c r="AF77" s="24">
        <v>3.0</v>
      </c>
      <c r="AG77" s="23">
        <v>13.0</v>
      </c>
      <c r="AH77" s="24">
        <v>9.0</v>
      </c>
      <c r="AI77" s="23">
        <v>4.0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15</v>
      </c>
      <c r="Q78" s="134">
        <f t="shared" si="12"/>
        <v>5</v>
      </c>
      <c r="R78" s="135"/>
      <c r="S78" s="135">
        <f t="shared" si="13"/>
        <v>4</v>
      </c>
      <c r="T78" s="132">
        <f t="shared" si="14"/>
        <v>11</v>
      </c>
      <c r="U78" s="135">
        <f t="shared" si="15"/>
        <v>9</v>
      </c>
      <c r="V78" s="132">
        <f t="shared" si="16"/>
        <v>2</v>
      </c>
      <c r="AA78" s="22">
        <v>5.0</v>
      </c>
      <c r="AB78" s="70" t="s">
        <v>64</v>
      </c>
      <c r="AC78" s="23">
        <v>15.0</v>
      </c>
      <c r="AD78" s="23">
        <v>5.0</v>
      </c>
      <c r="AE78" s="24"/>
      <c r="AF78" s="24">
        <v>4.0</v>
      </c>
      <c r="AG78" s="23">
        <v>11.0</v>
      </c>
      <c r="AH78" s="24">
        <v>9.0</v>
      </c>
      <c r="AI78" s="23">
        <v>2.0</v>
      </c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8</v>
      </c>
      <c r="T79" s="132">
        <f t="shared" si="14"/>
        <v>3</v>
      </c>
      <c r="U79" s="135">
        <f t="shared" si="15"/>
        <v>17</v>
      </c>
      <c r="V79" s="132">
        <f t="shared" si="16"/>
        <v>-14</v>
      </c>
      <c r="AA79" s="22">
        <v>6.0</v>
      </c>
      <c r="AB79" s="70" t="s">
        <v>202</v>
      </c>
      <c r="AC79" s="23">
        <v>15.0</v>
      </c>
      <c r="AD79" s="23">
        <v>4.0</v>
      </c>
      <c r="AE79" s="24"/>
      <c r="AF79" s="24">
        <v>5.0</v>
      </c>
      <c r="AG79" s="23">
        <v>11.0</v>
      </c>
      <c r="AH79" s="24">
        <v>10.0</v>
      </c>
      <c r="AI79" s="23">
        <v>1.0</v>
      </c>
    </row>
    <row r="80" ht="15.75" customHeight="1">
      <c r="A80" s="65">
        <v>2.0</v>
      </c>
      <c r="B80" s="141"/>
      <c r="C80" s="142"/>
      <c r="D80" s="143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7</v>
      </c>
      <c r="Q80" s="134">
        <f t="shared" si="12"/>
        <v>3</v>
      </c>
      <c r="R80" s="135"/>
      <c r="S80" s="135">
        <f t="shared" si="13"/>
        <v>6</v>
      </c>
      <c r="T80" s="132">
        <f t="shared" si="14"/>
        <v>7</v>
      </c>
      <c r="U80" s="135">
        <f t="shared" si="15"/>
        <v>15</v>
      </c>
      <c r="V80" s="132">
        <f t="shared" si="16"/>
        <v>-8</v>
      </c>
      <c r="AA80" s="22">
        <v>7.0</v>
      </c>
      <c r="AB80" s="70" t="s">
        <v>112</v>
      </c>
      <c r="AC80" s="23">
        <v>11.0</v>
      </c>
      <c r="AD80" s="23">
        <v>4.0</v>
      </c>
      <c r="AE80" s="24"/>
      <c r="AF80" s="24">
        <v>5.0</v>
      </c>
      <c r="AG80" s="23">
        <v>10.0</v>
      </c>
      <c r="AH80" s="24">
        <v>13.0</v>
      </c>
      <c r="AI80" s="23">
        <v>-3.0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15</v>
      </c>
      <c r="Q81" s="134">
        <f t="shared" si="12"/>
        <v>4</v>
      </c>
      <c r="R81" s="135"/>
      <c r="S81" s="135">
        <f t="shared" si="13"/>
        <v>5</v>
      </c>
      <c r="T81" s="132">
        <f t="shared" si="14"/>
        <v>11</v>
      </c>
      <c r="U81" s="135">
        <f t="shared" si="15"/>
        <v>10</v>
      </c>
      <c r="V81" s="132">
        <f t="shared" si="16"/>
        <v>1</v>
      </c>
      <c r="AA81" s="22">
        <v>8.0</v>
      </c>
      <c r="AB81" s="70" t="s">
        <v>41</v>
      </c>
      <c r="AC81" s="23">
        <v>10.0</v>
      </c>
      <c r="AD81" s="23">
        <v>3.0</v>
      </c>
      <c r="AE81" s="24"/>
      <c r="AF81" s="24">
        <v>6.0</v>
      </c>
      <c r="AG81" s="23">
        <v>8.0</v>
      </c>
      <c r="AH81" s="24">
        <v>13.0</v>
      </c>
      <c r="AI81" s="23">
        <v>-5.0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11</v>
      </c>
      <c r="Q82" s="134">
        <f t="shared" si="12"/>
        <v>4</v>
      </c>
      <c r="R82" s="135"/>
      <c r="S82" s="135">
        <f t="shared" si="13"/>
        <v>5</v>
      </c>
      <c r="T82" s="132">
        <f t="shared" si="14"/>
        <v>10</v>
      </c>
      <c r="U82" s="135">
        <f t="shared" si="15"/>
        <v>13</v>
      </c>
      <c r="V82" s="132">
        <f t="shared" si="16"/>
        <v>-3</v>
      </c>
      <c r="AA82" s="22">
        <v>9.0</v>
      </c>
      <c r="AB82" s="70" t="s">
        <v>134</v>
      </c>
      <c r="AC82" s="23">
        <v>7.0</v>
      </c>
      <c r="AD82" s="23">
        <v>3.0</v>
      </c>
      <c r="AE82" s="24"/>
      <c r="AF82" s="24">
        <v>6.0</v>
      </c>
      <c r="AG82" s="23">
        <v>7.0</v>
      </c>
      <c r="AH82" s="24">
        <v>15.0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25</v>
      </c>
      <c r="Q83" s="134">
        <f t="shared" si="12"/>
        <v>9</v>
      </c>
      <c r="R83" s="135"/>
      <c r="S83" s="135">
        <f t="shared" si="13"/>
        <v>0</v>
      </c>
      <c r="T83" s="132">
        <f t="shared" si="14"/>
        <v>18</v>
      </c>
      <c r="U83" s="135">
        <f t="shared" si="15"/>
        <v>2</v>
      </c>
      <c r="V83" s="132">
        <f t="shared" si="16"/>
        <v>16</v>
      </c>
      <c r="AA83" s="22">
        <v>10.0</v>
      </c>
      <c r="AB83" s="70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23</v>
      </c>
      <c r="Q84" s="134">
        <f t="shared" si="12"/>
        <v>8</v>
      </c>
      <c r="S84" s="135">
        <f t="shared" si="13"/>
        <v>1</v>
      </c>
      <c r="T84" s="132">
        <f t="shared" si="14"/>
        <v>17</v>
      </c>
      <c r="U84" s="135">
        <f t="shared" si="15"/>
        <v>4</v>
      </c>
      <c r="V84" s="132">
        <f t="shared" si="16"/>
        <v>13</v>
      </c>
      <c r="AA84" s="53">
        <v>11.0</v>
      </c>
      <c r="AB84" s="70" t="s">
        <v>69</v>
      </c>
      <c r="AC84" s="23">
        <v>3.0</v>
      </c>
      <c r="AD84" s="23">
        <v>1.0</v>
      </c>
      <c r="AE84" s="24"/>
      <c r="AF84" s="24">
        <v>8.0</v>
      </c>
      <c r="AG84" s="23">
        <v>3.0</v>
      </c>
      <c r="AH84" s="24">
        <v>17.0</v>
      </c>
      <c r="AI84" s="23">
        <v>-14.0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4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4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4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4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41"/>
      <c r="C104" s="142"/>
      <c r="D104" s="143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41"/>
      <c r="C116" s="142"/>
      <c r="D116" s="143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41"/>
      <c r="C134" s="142"/>
      <c r="D134" s="143"/>
      <c r="E134" s="17" t="s">
        <v>68</v>
      </c>
      <c r="F134" s="13"/>
      <c r="G134" s="31" t="s">
        <v>24</v>
      </c>
      <c r="H134" s="13"/>
      <c r="I134" s="17" t="s">
        <v>41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1"/>
      <c r="C135" s="142"/>
      <c r="D135" s="143"/>
      <c r="E135" s="17" t="s">
        <v>112</v>
      </c>
      <c r="F135" s="31"/>
      <c r="G135" s="31" t="s">
        <v>24</v>
      </c>
      <c r="H135" s="31"/>
      <c r="I135" s="17" t="s">
        <v>119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1"/>
      <c r="C136" s="142"/>
      <c r="D136" s="143"/>
      <c r="E136" s="17" t="s">
        <v>134</v>
      </c>
      <c r="F136" s="13"/>
      <c r="G136" s="31" t="s">
        <v>24</v>
      </c>
      <c r="H136" s="13"/>
      <c r="I136" s="17" t="s">
        <v>69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1"/>
      <c r="C137" s="142"/>
      <c r="D137" s="143"/>
      <c r="E137" s="17" t="s">
        <v>64</v>
      </c>
      <c r="F137" s="31"/>
      <c r="G137" s="31" t="s">
        <v>24</v>
      </c>
      <c r="H137" s="31"/>
      <c r="I137" s="17" t="s">
        <v>202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1"/>
      <c r="C138" s="143"/>
      <c r="D138" s="143"/>
      <c r="E138" s="17" t="s">
        <v>158</v>
      </c>
      <c r="F138" s="13"/>
      <c r="G138" s="31" t="s">
        <v>24</v>
      </c>
      <c r="H138" s="13"/>
      <c r="I138" s="17" t="s">
        <v>170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1"/>
      <c r="C139" s="143"/>
      <c r="D139" s="143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5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18" t="s">
        <v>33</v>
      </c>
      <c r="Y147" s="118">
        <v>3.0</v>
      </c>
      <c r="AA147" s="108" t="s">
        <v>116</v>
      </c>
      <c r="AB147" s="70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70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70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70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5">
        <v>2.0</v>
      </c>
      <c r="B152" s="141"/>
      <c r="C152" s="142"/>
      <c r="D152" s="143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65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70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70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6" t="s">
        <v>53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70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3">
        <v>11.0</v>
      </c>
      <c r="AB156" s="70" t="s">
        <v>65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1"/>
      <c r="C164" s="143"/>
      <c r="D164" s="143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65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4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4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4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4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5">
        <v>6.0</v>
      </c>
      <c r="B176" s="141"/>
      <c r="C176" s="142"/>
      <c r="D176" s="143"/>
      <c r="E176" s="17" t="s">
        <v>65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5">
        <v>8.0</v>
      </c>
      <c r="B188" s="141"/>
      <c r="C188" s="142"/>
      <c r="D188" s="143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1"/>
      <c r="C193" s="143"/>
      <c r="D193" s="143"/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41"/>
      <c r="C206" s="142"/>
      <c r="D206" s="143"/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1"/>
      <c r="C207" s="142"/>
      <c r="D207" s="143"/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1"/>
      <c r="C208" s="142"/>
      <c r="D208" s="143"/>
      <c r="E208" s="17" t="s">
        <v>65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1"/>
      <c r="C209" s="142"/>
      <c r="D209" s="143"/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1"/>
      <c r="C210" s="143"/>
      <c r="D210" s="143"/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1"/>
      <c r="C211" s="143"/>
      <c r="D211" s="143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209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92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18</v>
      </c>
      <c r="Q3" s="134">
        <f t="shared" ref="Q3:Q14" si="4">COUNTIFS(E$3:E$68,O3,K$3:K$68,2)+COUNTIFS(I$3:I$68,O3,L$3:L$68,2)+COUNTIFS(E$3:E$68,O3,K$3:K$68,3)+COUNTIFS(I$3:I$68,O3,L$3:L$68,3)</f>
        <v>6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13</v>
      </c>
      <c r="U3" s="135">
        <f t="shared" ref="U3:U14" si="7">SUMIF(E$3:E$68,O3,H$3:H$68)+SUMIF(I$3:I$68,O3,F$3:F$68)</f>
        <v>5</v>
      </c>
      <c r="V3" s="132">
        <f t="shared" ref="V3:V14" si="8">T3-U3</f>
        <v>8</v>
      </c>
      <c r="X3" s="117" t="s">
        <v>26</v>
      </c>
      <c r="Y3" s="117" t="s">
        <v>13</v>
      </c>
      <c r="AA3" s="22" t="s">
        <v>29</v>
      </c>
      <c r="AB3" s="70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1</v>
      </c>
      <c r="Q4" s="134">
        <f t="shared" si="4"/>
        <v>0</v>
      </c>
      <c r="R4" s="134"/>
      <c r="S4" s="135">
        <f t="shared" si="5"/>
        <v>8</v>
      </c>
      <c r="T4" s="132">
        <f t="shared" si="6"/>
        <v>1</v>
      </c>
      <c r="U4" s="135">
        <f t="shared" si="7"/>
        <v>16</v>
      </c>
      <c r="V4" s="132">
        <f t="shared" si="8"/>
        <v>-15</v>
      </c>
      <c r="X4" s="118" t="s">
        <v>66</v>
      </c>
      <c r="Y4" s="118">
        <v>2.0</v>
      </c>
      <c r="AA4" s="22" t="s">
        <v>34</v>
      </c>
      <c r="AB4" s="70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13</v>
      </c>
      <c r="Q5" s="134">
        <f t="shared" si="4"/>
        <v>4</v>
      </c>
      <c r="R5" s="134"/>
      <c r="S5" s="135">
        <f t="shared" si="5"/>
        <v>4</v>
      </c>
      <c r="T5" s="132">
        <f t="shared" si="6"/>
        <v>9</v>
      </c>
      <c r="U5" s="135">
        <f t="shared" si="7"/>
        <v>8</v>
      </c>
      <c r="V5" s="132">
        <f t="shared" si="8"/>
        <v>1</v>
      </c>
      <c r="X5" s="118" t="s">
        <v>31</v>
      </c>
      <c r="Y5" s="118">
        <v>1.0</v>
      </c>
      <c r="AA5" s="22" t="s">
        <v>39</v>
      </c>
      <c r="AB5" s="70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7</v>
      </c>
      <c r="Q6" s="134">
        <f t="shared" si="4"/>
        <v>2</v>
      </c>
      <c r="R6" s="134"/>
      <c r="S6" s="135">
        <f t="shared" si="5"/>
        <v>6</v>
      </c>
      <c r="T6" s="132">
        <f t="shared" si="6"/>
        <v>5</v>
      </c>
      <c r="U6" s="135">
        <f t="shared" si="7"/>
        <v>12</v>
      </c>
      <c r="V6" s="132">
        <f t="shared" si="8"/>
        <v>-7</v>
      </c>
      <c r="AA6" s="22" t="s">
        <v>42</v>
      </c>
      <c r="AB6" s="70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22</v>
      </c>
      <c r="Q7" s="134">
        <f t="shared" si="4"/>
        <v>7</v>
      </c>
      <c r="R7" s="134"/>
      <c r="S7" s="135">
        <f t="shared" si="5"/>
        <v>1</v>
      </c>
      <c r="T7" s="132">
        <f t="shared" si="6"/>
        <v>15</v>
      </c>
      <c r="U7" s="135">
        <f t="shared" si="7"/>
        <v>2</v>
      </c>
      <c r="V7" s="132">
        <f t="shared" si="8"/>
        <v>13</v>
      </c>
      <c r="AA7" s="22" t="s">
        <v>44</v>
      </c>
      <c r="AB7" s="70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19</v>
      </c>
      <c r="Q8" s="134">
        <f t="shared" si="4"/>
        <v>7</v>
      </c>
      <c r="R8" s="134"/>
      <c r="S8" s="135">
        <f t="shared" si="5"/>
        <v>1</v>
      </c>
      <c r="T8" s="132">
        <f t="shared" si="6"/>
        <v>15</v>
      </c>
      <c r="U8" s="135">
        <f t="shared" si="7"/>
        <v>5</v>
      </c>
      <c r="V8" s="132">
        <f t="shared" si="8"/>
        <v>10</v>
      </c>
      <c r="AA8" s="22" t="s">
        <v>47</v>
      </c>
      <c r="AB8" s="70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66</v>
      </c>
      <c r="P9" s="132">
        <f t="shared" si="3"/>
        <v>12</v>
      </c>
      <c r="Q9" s="134">
        <f t="shared" si="4"/>
        <v>4</v>
      </c>
      <c r="R9" s="134"/>
      <c r="S9" s="135">
        <f t="shared" si="5"/>
        <v>4</v>
      </c>
      <c r="T9" s="132">
        <f t="shared" si="6"/>
        <v>9</v>
      </c>
      <c r="U9" s="135">
        <f t="shared" si="7"/>
        <v>9</v>
      </c>
      <c r="V9" s="132">
        <f t="shared" si="8"/>
        <v>0</v>
      </c>
      <c r="AA9" s="22">
        <v>7.0</v>
      </c>
      <c r="AB9" s="70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23</v>
      </c>
      <c r="Q10" s="134">
        <f t="shared" si="4"/>
        <v>8</v>
      </c>
      <c r="R10" s="134"/>
      <c r="S10" s="135">
        <f t="shared" si="5"/>
        <v>0</v>
      </c>
      <c r="T10" s="132">
        <f t="shared" si="6"/>
        <v>16</v>
      </c>
      <c r="U10" s="135">
        <f t="shared" si="7"/>
        <v>1</v>
      </c>
      <c r="V10" s="132">
        <f t="shared" si="8"/>
        <v>15</v>
      </c>
      <c r="AA10" s="22">
        <v>8.0</v>
      </c>
      <c r="AB10" s="70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3</v>
      </c>
      <c r="Q11" s="134">
        <f t="shared" si="4"/>
        <v>0</v>
      </c>
      <c r="R11" s="134"/>
      <c r="S11" s="135">
        <f t="shared" si="5"/>
        <v>8</v>
      </c>
      <c r="T11" s="132">
        <f t="shared" si="6"/>
        <v>3</v>
      </c>
      <c r="U11" s="135">
        <f t="shared" si="7"/>
        <v>16</v>
      </c>
      <c r="V11" s="132">
        <f t="shared" si="8"/>
        <v>-13</v>
      </c>
      <c r="AA11" s="108" t="s">
        <v>104</v>
      </c>
      <c r="AB11" s="70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12</v>
      </c>
      <c r="Q12" s="134">
        <f t="shared" si="4"/>
        <v>4</v>
      </c>
      <c r="R12" s="134"/>
      <c r="S12" s="135">
        <f t="shared" si="5"/>
        <v>4</v>
      </c>
      <c r="T12" s="132">
        <f t="shared" si="6"/>
        <v>9</v>
      </c>
      <c r="U12" s="135">
        <f t="shared" si="7"/>
        <v>9</v>
      </c>
      <c r="V12" s="132">
        <f t="shared" si="8"/>
        <v>0</v>
      </c>
      <c r="AA12" s="76">
        <v>10.0</v>
      </c>
      <c r="AB12" s="70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0</v>
      </c>
      <c r="Q13" s="134">
        <f t="shared" si="4"/>
        <v>0</v>
      </c>
      <c r="R13" s="134"/>
      <c r="S13" s="135">
        <f t="shared" si="5"/>
        <v>8</v>
      </c>
      <c r="T13" s="132">
        <f t="shared" si="6"/>
        <v>0</v>
      </c>
      <c r="U13" s="135">
        <f t="shared" si="7"/>
        <v>16</v>
      </c>
      <c r="V13" s="132">
        <f t="shared" si="8"/>
        <v>-16</v>
      </c>
      <c r="AA13" s="76">
        <v>11.0</v>
      </c>
      <c r="AB13" s="70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14</v>
      </c>
      <c r="Q14" s="134">
        <f t="shared" si="4"/>
        <v>6</v>
      </c>
      <c r="S14" s="135">
        <f t="shared" si="5"/>
        <v>2</v>
      </c>
      <c r="T14" s="132">
        <f t="shared" si="6"/>
        <v>13</v>
      </c>
      <c r="U14" s="135">
        <f t="shared" si="7"/>
        <v>9</v>
      </c>
      <c r="V14" s="132">
        <f t="shared" si="8"/>
        <v>4</v>
      </c>
      <c r="AA14" s="76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9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1"/>
      <c r="C51" s="142"/>
      <c r="D51" s="143"/>
      <c r="E51" s="17" t="s">
        <v>40</v>
      </c>
      <c r="F51" s="143"/>
      <c r="G51" s="31" t="s">
        <v>24</v>
      </c>
      <c r="H51" s="31"/>
      <c r="I51" s="17" t="s">
        <v>114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1"/>
      <c r="C52" s="142"/>
      <c r="D52" s="143"/>
      <c r="E52" s="17" t="s">
        <v>66</v>
      </c>
      <c r="F52" s="143"/>
      <c r="G52" s="31" t="s">
        <v>24</v>
      </c>
      <c r="H52" s="31"/>
      <c r="I52" s="17" t="s">
        <v>115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1"/>
      <c r="C53" s="142"/>
      <c r="D53" s="143"/>
      <c r="E53" s="17" t="s">
        <v>37</v>
      </c>
      <c r="F53" s="143"/>
      <c r="G53" s="31" t="s">
        <v>24</v>
      </c>
      <c r="H53" s="31"/>
      <c r="I53" s="17" t="s">
        <v>119</v>
      </c>
      <c r="K53" s="131" t="str">
        <f t="shared" si="1"/>
        <v/>
      </c>
      <c r="L53" s="132" t="str">
        <f t="shared" si="2"/>
        <v/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1"/>
      <c r="C54" s="142"/>
      <c r="D54" s="143"/>
      <c r="E54" s="17" t="s">
        <v>101</v>
      </c>
      <c r="F54" s="143"/>
      <c r="G54" s="31" t="s">
        <v>24</v>
      </c>
      <c r="H54" s="31"/>
      <c r="I54" s="17" t="s">
        <v>25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1"/>
      <c r="C55" s="142"/>
      <c r="D55" s="143"/>
      <c r="E55" s="17" t="s">
        <v>33</v>
      </c>
      <c r="F55" s="143"/>
      <c r="G55" s="31" t="s">
        <v>24</v>
      </c>
      <c r="H55" s="31"/>
      <c r="I55" s="17" t="s">
        <v>43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1"/>
      <c r="C56" s="142"/>
      <c r="D56" s="143"/>
      <c r="E56" s="17" t="s">
        <v>117</v>
      </c>
      <c r="F56" s="143"/>
      <c r="G56" s="31" t="s">
        <v>24</v>
      </c>
      <c r="H56" s="31"/>
      <c r="I56" s="17" t="s">
        <v>67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56"/>
      <c r="C57" s="143"/>
      <c r="D57" s="143"/>
      <c r="E57" s="17" t="s">
        <v>117</v>
      </c>
      <c r="F57" s="31"/>
      <c r="G57" s="31" t="s">
        <v>24</v>
      </c>
      <c r="H57" s="31"/>
      <c r="I57" s="17" t="s">
        <v>114</v>
      </c>
      <c r="K57" s="131" t="str">
        <f t="shared" si="1"/>
        <v/>
      </c>
      <c r="L57" s="132" t="str">
        <f t="shared" si="2"/>
        <v/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1"/>
      <c r="C58" s="143"/>
      <c r="D58" s="143"/>
      <c r="E58" s="17" t="s">
        <v>115</v>
      </c>
      <c r="F58" s="31"/>
      <c r="G58" s="31" t="s">
        <v>24</v>
      </c>
      <c r="H58" s="31"/>
      <c r="I58" s="17" t="s">
        <v>40</v>
      </c>
      <c r="K58" s="131" t="str">
        <f t="shared" si="1"/>
        <v/>
      </c>
      <c r="L58" s="132" t="str">
        <f t="shared" si="2"/>
        <v/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1"/>
      <c r="C59" s="143"/>
      <c r="D59" s="143"/>
      <c r="E59" s="17" t="s">
        <v>119</v>
      </c>
      <c r="F59" s="31"/>
      <c r="G59" s="31" t="s">
        <v>24</v>
      </c>
      <c r="H59" s="31"/>
      <c r="I59" s="17" t="s">
        <v>66</v>
      </c>
      <c r="K59" s="131" t="str">
        <f t="shared" si="1"/>
        <v/>
      </c>
      <c r="L59" s="132" t="str">
        <f t="shared" si="2"/>
        <v/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1"/>
      <c r="C60" s="143"/>
      <c r="D60" s="143"/>
      <c r="E60" s="17" t="s">
        <v>25</v>
      </c>
      <c r="F60" s="31"/>
      <c r="G60" s="31" t="s">
        <v>24</v>
      </c>
      <c r="H60" s="31"/>
      <c r="I60" s="17" t="s">
        <v>37</v>
      </c>
      <c r="K60" s="131" t="str">
        <f t="shared" si="1"/>
        <v/>
      </c>
      <c r="L60" s="132" t="str">
        <f t="shared" si="2"/>
        <v/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1"/>
      <c r="C61" s="143"/>
      <c r="D61" s="143"/>
      <c r="E61" s="17" t="s">
        <v>43</v>
      </c>
      <c r="F61" s="31"/>
      <c r="G61" s="31" t="s">
        <v>24</v>
      </c>
      <c r="H61" s="31"/>
      <c r="I61" s="17" t="s">
        <v>101</v>
      </c>
      <c r="K61" s="131" t="str">
        <f t="shared" si="1"/>
        <v/>
      </c>
      <c r="L61" s="132" t="str">
        <f t="shared" si="2"/>
        <v/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1"/>
      <c r="C62" s="143"/>
      <c r="D62" s="143"/>
      <c r="E62" s="17" t="s">
        <v>67</v>
      </c>
      <c r="F62" s="31"/>
      <c r="G62" s="31" t="s">
        <v>24</v>
      </c>
      <c r="H62" s="31"/>
      <c r="I62" s="17" t="s">
        <v>33</v>
      </c>
      <c r="K62" s="131" t="str">
        <f t="shared" si="1"/>
        <v/>
      </c>
      <c r="L62" s="132" t="str">
        <f t="shared" si="2"/>
        <v/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1"/>
      <c r="C63" s="142"/>
      <c r="D63" s="143"/>
      <c r="E63" s="17" t="s">
        <v>114</v>
      </c>
      <c r="F63" s="31"/>
      <c r="G63" s="31" t="s">
        <v>24</v>
      </c>
      <c r="H63" s="31"/>
      <c r="I63" s="17" t="s">
        <v>115</v>
      </c>
      <c r="K63" s="131" t="str">
        <f t="shared" si="1"/>
        <v/>
      </c>
      <c r="L63" s="132" t="str">
        <f t="shared" si="2"/>
        <v/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1"/>
      <c r="C64" s="142"/>
      <c r="D64" s="143"/>
      <c r="E64" s="17" t="s">
        <v>40</v>
      </c>
      <c r="F64" s="31"/>
      <c r="G64" s="31" t="s">
        <v>24</v>
      </c>
      <c r="H64" s="31"/>
      <c r="I64" s="17" t="s">
        <v>119</v>
      </c>
      <c r="K64" s="131" t="str">
        <f t="shared" si="1"/>
        <v/>
      </c>
      <c r="L64" s="132" t="str">
        <f t="shared" si="2"/>
        <v/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1"/>
      <c r="C65" s="142"/>
      <c r="D65" s="143"/>
      <c r="E65" s="17" t="s">
        <v>66</v>
      </c>
      <c r="F65" s="31"/>
      <c r="G65" s="31" t="s">
        <v>24</v>
      </c>
      <c r="H65" s="31"/>
      <c r="I65" s="17" t="s">
        <v>25</v>
      </c>
      <c r="K65" s="131" t="str">
        <f t="shared" si="1"/>
        <v/>
      </c>
      <c r="L65" s="132" t="str">
        <f t="shared" si="2"/>
        <v/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1"/>
      <c r="C66" s="142"/>
      <c r="D66" s="143"/>
      <c r="E66" s="17" t="s">
        <v>37</v>
      </c>
      <c r="F66" s="31"/>
      <c r="G66" s="31" t="s">
        <v>24</v>
      </c>
      <c r="H66" s="31"/>
      <c r="I66" s="17" t="s">
        <v>43</v>
      </c>
      <c r="K66" s="131" t="str">
        <f t="shared" si="1"/>
        <v/>
      </c>
      <c r="L66" s="132" t="str">
        <f t="shared" si="2"/>
        <v/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1"/>
      <c r="C67" s="142"/>
      <c r="D67" s="143"/>
      <c r="E67" s="17" t="s">
        <v>101</v>
      </c>
      <c r="F67" s="31"/>
      <c r="G67" s="31" t="s">
        <v>24</v>
      </c>
      <c r="H67" s="31"/>
      <c r="I67" s="17" t="s">
        <v>67</v>
      </c>
      <c r="K67" s="131" t="str">
        <f t="shared" si="1"/>
        <v/>
      </c>
      <c r="L67" s="132" t="str">
        <f t="shared" si="2"/>
        <v/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56"/>
      <c r="C68" s="142"/>
      <c r="D68" s="143"/>
      <c r="E68" s="17" t="s">
        <v>33</v>
      </c>
      <c r="F68" s="13"/>
      <c r="G68" s="31" t="s">
        <v>24</v>
      </c>
      <c r="H68" s="13"/>
      <c r="I68" s="17" t="s">
        <v>117</v>
      </c>
      <c r="K68" s="131" t="str">
        <f t="shared" si="1"/>
        <v/>
      </c>
      <c r="L68" s="132" t="str">
        <f t="shared" si="2"/>
        <v/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18</v>
      </c>
      <c r="Q74" s="134">
        <f t="shared" ref="Q74:Q84" si="12">COUNTIFS(E$74:E$139,O74,K$74:K$139,2)+COUNTIFS(I$74:I$139,O74,L$74:L$139,2)+COUNTIFS(E$74:E$139,O74,K$74:K$139,3)+COUNTIFS(I$74:I$139,O74,L$74:L$139,3)</f>
        <v>6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13</v>
      </c>
      <c r="U74" s="135">
        <f t="shared" ref="U74:U84" si="15">SUMIF(E$74:E$139,O74,H$74:H$139)+SUMIF(I$74:I$139,O74,F$74:F$139)</f>
        <v>5</v>
      </c>
      <c r="V74" s="132">
        <f t="shared" ref="V74:V84" si="16">T74-U74</f>
        <v>8</v>
      </c>
      <c r="X74" s="117" t="s">
        <v>26</v>
      </c>
      <c r="Y74" s="117" t="s">
        <v>13</v>
      </c>
      <c r="AA74" s="46" t="s">
        <v>29</v>
      </c>
      <c r="AB74" s="70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5</v>
      </c>
      <c r="Q75" s="134">
        <f t="shared" si="12"/>
        <v>1</v>
      </c>
      <c r="R75" s="135"/>
      <c r="S75" s="135">
        <f t="shared" si="13"/>
        <v>7</v>
      </c>
      <c r="T75" s="132">
        <f t="shared" si="14"/>
        <v>4</v>
      </c>
      <c r="U75" s="135">
        <f t="shared" si="15"/>
        <v>14</v>
      </c>
      <c r="V75" s="132">
        <f t="shared" si="16"/>
        <v>-10</v>
      </c>
      <c r="X75" s="118" t="s">
        <v>33</v>
      </c>
      <c r="Y75" s="118">
        <v>3.0</v>
      </c>
      <c r="AA75" s="108" t="s">
        <v>116</v>
      </c>
      <c r="AB75" s="70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18</v>
      </c>
      <c r="Q76" s="134">
        <f t="shared" si="12"/>
        <v>7</v>
      </c>
      <c r="R76" s="135"/>
      <c r="S76" s="135">
        <f t="shared" si="13"/>
        <v>0</v>
      </c>
      <c r="T76" s="132">
        <f t="shared" si="14"/>
        <v>14</v>
      </c>
      <c r="U76" s="135">
        <f t="shared" si="15"/>
        <v>3</v>
      </c>
      <c r="V76" s="132">
        <f t="shared" si="16"/>
        <v>11</v>
      </c>
      <c r="X76" s="118" t="s">
        <v>41</v>
      </c>
      <c r="Y76" s="118">
        <v>0.0</v>
      </c>
      <c r="AA76" s="22">
        <v>3.0</v>
      </c>
      <c r="AB76" s="70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15</v>
      </c>
      <c r="Q77" s="134">
        <f t="shared" si="12"/>
        <v>5</v>
      </c>
      <c r="R77" s="135"/>
      <c r="S77" s="135">
        <f t="shared" si="13"/>
        <v>3</v>
      </c>
      <c r="T77" s="132">
        <f t="shared" si="14"/>
        <v>11</v>
      </c>
      <c r="U77" s="135">
        <f t="shared" si="15"/>
        <v>7</v>
      </c>
      <c r="V77" s="132">
        <f t="shared" si="16"/>
        <v>4</v>
      </c>
      <c r="AA77" s="22">
        <v>4.0</v>
      </c>
      <c r="AB77" s="70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19</v>
      </c>
      <c r="Q78" s="134">
        <f t="shared" si="12"/>
        <v>6</v>
      </c>
      <c r="R78" s="135"/>
      <c r="S78" s="135">
        <f t="shared" si="13"/>
        <v>2</v>
      </c>
      <c r="T78" s="132">
        <f t="shared" si="14"/>
        <v>13</v>
      </c>
      <c r="U78" s="135">
        <f t="shared" si="15"/>
        <v>4</v>
      </c>
      <c r="V78" s="132">
        <f t="shared" si="16"/>
        <v>9</v>
      </c>
      <c r="AA78" s="22">
        <v>5.0</v>
      </c>
      <c r="AB78" s="70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1"/>
      <c r="C79" s="142"/>
      <c r="D79" s="143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7</v>
      </c>
      <c r="T79" s="132">
        <f t="shared" si="14"/>
        <v>0</v>
      </c>
      <c r="U79" s="135">
        <f t="shared" si="15"/>
        <v>14</v>
      </c>
      <c r="V79" s="132">
        <f t="shared" si="16"/>
        <v>-14</v>
      </c>
      <c r="AA79" s="22">
        <v>6.0</v>
      </c>
      <c r="AB79" s="70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5">
        <v>2.0</v>
      </c>
      <c r="B80" s="141"/>
      <c r="C80" s="142"/>
      <c r="D80" s="143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5</v>
      </c>
      <c r="Q80" s="134">
        <f t="shared" si="12"/>
        <v>2</v>
      </c>
      <c r="R80" s="135"/>
      <c r="S80" s="135">
        <f t="shared" si="13"/>
        <v>6</v>
      </c>
      <c r="T80" s="132">
        <f t="shared" si="14"/>
        <v>4</v>
      </c>
      <c r="U80" s="135">
        <f t="shared" si="15"/>
        <v>13</v>
      </c>
      <c r="V80" s="132">
        <f t="shared" si="16"/>
        <v>-9</v>
      </c>
      <c r="AA80" s="22">
        <v>7.0</v>
      </c>
      <c r="AB80" s="70" t="s">
        <v>190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18</v>
      </c>
      <c r="Q81" s="134">
        <f t="shared" si="12"/>
        <v>7</v>
      </c>
      <c r="R81" s="135"/>
      <c r="S81" s="135">
        <f t="shared" si="13"/>
        <v>0</v>
      </c>
      <c r="T81" s="132">
        <f t="shared" si="14"/>
        <v>14</v>
      </c>
      <c r="U81" s="135">
        <f t="shared" si="15"/>
        <v>3</v>
      </c>
      <c r="V81" s="132">
        <f t="shared" si="16"/>
        <v>11</v>
      </c>
      <c r="AA81" s="22">
        <v>8.0</v>
      </c>
      <c r="AB81" s="70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8</v>
      </c>
      <c r="Q82" s="134">
        <f t="shared" si="12"/>
        <v>3</v>
      </c>
      <c r="R82" s="135"/>
      <c r="S82" s="135">
        <f t="shared" si="13"/>
        <v>5</v>
      </c>
      <c r="T82" s="132">
        <f t="shared" si="14"/>
        <v>7</v>
      </c>
      <c r="U82" s="135">
        <f t="shared" si="15"/>
        <v>12</v>
      </c>
      <c r="V82" s="132">
        <f t="shared" si="16"/>
        <v>-5</v>
      </c>
      <c r="AA82" s="22">
        <v>9.0</v>
      </c>
      <c r="AB82" s="70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5</v>
      </c>
      <c r="T83" s="132">
        <f t="shared" si="14"/>
        <v>7</v>
      </c>
      <c r="U83" s="135">
        <f t="shared" si="15"/>
        <v>10</v>
      </c>
      <c r="V83" s="132">
        <f t="shared" si="16"/>
        <v>-3</v>
      </c>
      <c r="AA83" s="22">
        <v>10.0</v>
      </c>
      <c r="AB83" s="70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213</v>
      </c>
      <c r="P84" s="132">
        <f t="shared" si="11"/>
        <v>13</v>
      </c>
      <c r="Q84" s="134">
        <f t="shared" si="12"/>
        <v>3</v>
      </c>
      <c r="S84" s="135">
        <f t="shared" si="13"/>
        <v>6</v>
      </c>
      <c r="T84" s="132">
        <f t="shared" si="14"/>
        <v>10</v>
      </c>
      <c r="U84" s="135">
        <f t="shared" si="15"/>
        <v>12</v>
      </c>
      <c r="V84" s="132">
        <f t="shared" si="16"/>
        <v>-2</v>
      </c>
      <c r="AA84" s="53">
        <v>11.0</v>
      </c>
      <c r="AB84" s="70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6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1"/>
      <c r="C91" s="143"/>
      <c r="D91" s="143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1"/>
      <c r="C92" s="143"/>
      <c r="D92" s="143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4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4">
        <v>2.0</v>
      </c>
      <c r="G100" s="31" t="s">
        <v>24</v>
      </c>
      <c r="H100" s="13">
        <v>1.0</v>
      </c>
      <c r="I100" s="17" t="s">
        <v>213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4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4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1"/>
      <c r="C103" s="143"/>
      <c r="D103" s="143"/>
      <c r="E103" s="17">
        <v>0.0</v>
      </c>
      <c r="F103" s="143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41"/>
      <c r="C104" s="142"/>
      <c r="D104" s="143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1"/>
      <c r="C115" s="143"/>
      <c r="D115" s="143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41"/>
      <c r="C116" s="142"/>
      <c r="D116" s="143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1"/>
      <c r="C125" s="142"/>
      <c r="D125" s="143"/>
      <c r="E125" s="17" t="s">
        <v>58</v>
      </c>
      <c r="F125" s="31"/>
      <c r="G125" s="31" t="s">
        <v>24</v>
      </c>
      <c r="H125" s="31"/>
      <c r="I125" s="17" t="s">
        <v>63</v>
      </c>
      <c r="J125" s="130"/>
      <c r="K125" s="131" t="str">
        <f t="shared" si="9"/>
        <v/>
      </c>
      <c r="L125" s="132" t="str">
        <f t="shared" si="10"/>
        <v/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1"/>
      <c r="C126" s="143"/>
      <c r="D126" s="143"/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1"/>
      <c r="C127" s="143"/>
      <c r="D127" s="143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41"/>
      <c r="C128" s="142"/>
      <c r="D128" s="143"/>
      <c r="E128" s="17">
        <v>0.0</v>
      </c>
      <c r="F128" s="31"/>
      <c r="G128" s="31" t="s">
        <v>24</v>
      </c>
      <c r="H128" s="31"/>
      <c r="I128" s="17" t="s">
        <v>213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1"/>
      <c r="C129" s="142"/>
      <c r="D129" s="143"/>
      <c r="E129" s="17" t="s">
        <v>32</v>
      </c>
      <c r="F129" s="31"/>
      <c r="G129" s="31" t="s">
        <v>24</v>
      </c>
      <c r="H129" s="31"/>
      <c r="I129" s="17" t="s">
        <v>61</v>
      </c>
      <c r="J129" s="130"/>
      <c r="K129" s="131" t="str">
        <f t="shared" si="9"/>
        <v/>
      </c>
      <c r="L129" s="132" t="str">
        <f t="shared" si="10"/>
        <v/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1"/>
      <c r="C130" s="142"/>
      <c r="D130" s="143"/>
      <c r="E130" s="17" t="s">
        <v>170</v>
      </c>
      <c r="F130" s="31"/>
      <c r="G130" s="31" t="s">
        <v>24</v>
      </c>
      <c r="H130" s="31"/>
      <c r="I130" s="17" t="s">
        <v>38</v>
      </c>
      <c r="J130" s="130"/>
      <c r="K130" s="131" t="str">
        <f t="shared" si="9"/>
        <v/>
      </c>
      <c r="L130" s="132" t="str">
        <f t="shared" si="10"/>
        <v/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1"/>
      <c r="C131" s="142"/>
      <c r="D131" s="143"/>
      <c r="E131" s="17" t="s">
        <v>63</v>
      </c>
      <c r="F131" s="31"/>
      <c r="G131" s="31" t="s">
        <v>24</v>
      </c>
      <c r="H131" s="31"/>
      <c r="I131" s="17" t="s">
        <v>158</v>
      </c>
      <c r="J131" s="130"/>
      <c r="K131" s="131" t="str">
        <f t="shared" si="9"/>
        <v/>
      </c>
      <c r="L131" s="132" t="str">
        <f t="shared" si="10"/>
        <v/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1"/>
      <c r="C132" s="143"/>
      <c r="D132" s="143"/>
      <c r="E132" s="17" t="s">
        <v>23</v>
      </c>
      <c r="F132" s="31"/>
      <c r="G132" s="31" t="s">
        <v>24</v>
      </c>
      <c r="H132" s="31"/>
      <c r="I132" s="17" t="s">
        <v>58</v>
      </c>
      <c r="J132" s="130"/>
      <c r="K132" s="131" t="str">
        <f t="shared" si="9"/>
        <v/>
      </c>
      <c r="L132" s="132" t="str">
        <f t="shared" si="10"/>
        <v/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1"/>
      <c r="C133" s="143"/>
      <c r="D133" s="143"/>
      <c r="E133" s="17" t="s">
        <v>190</v>
      </c>
      <c r="F133" s="31"/>
      <c r="G133" s="31" t="s">
        <v>24</v>
      </c>
      <c r="H133" s="31"/>
      <c r="I133" s="17" t="s">
        <v>144</v>
      </c>
      <c r="J133" s="130"/>
      <c r="K133" s="131" t="str">
        <f t="shared" si="9"/>
        <v/>
      </c>
      <c r="L133" s="132" t="str">
        <f t="shared" si="10"/>
        <v/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41"/>
      <c r="C134" s="142"/>
      <c r="D134" s="143"/>
      <c r="E134" s="17" t="s">
        <v>213</v>
      </c>
      <c r="F134" s="13"/>
      <c r="G134" s="31" t="s">
        <v>24</v>
      </c>
      <c r="H134" s="13"/>
      <c r="I134" s="17" t="s">
        <v>32</v>
      </c>
      <c r="J134" s="130"/>
      <c r="K134" s="131" t="str">
        <f t="shared" si="9"/>
        <v/>
      </c>
      <c r="L134" s="132" t="str">
        <f t="shared" si="10"/>
        <v/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1"/>
      <c r="C135" s="142"/>
      <c r="D135" s="143"/>
      <c r="E135" s="17" t="s">
        <v>61</v>
      </c>
      <c r="F135" s="31"/>
      <c r="G135" s="31" t="s">
        <v>24</v>
      </c>
      <c r="H135" s="31"/>
      <c r="I135" s="17" t="s">
        <v>170</v>
      </c>
      <c r="J135" s="130"/>
      <c r="K135" s="131" t="str">
        <f t="shared" si="9"/>
        <v/>
      </c>
      <c r="L135" s="132" t="str">
        <f t="shared" si="10"/>
        <v/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1"/>
      <c r="C136" s="142"/>
      <c r="D136" s="143"/>
      <c r="E136" s="17" t="s">
        <v>38</v>
      </c>
      <c r="F136" s="31"/>
      <c r="G136" s="31" t="s">
        <v>24</v>
      </c>
      <c r="H136" s="31"/>
      <c r="I136" s="17" t="s">
        <v>63</v>
      </c>
      <c r="J136" s="130"/>
      <c r="K136" s="131" t="str">
        <f t="shared" si="9"/>
        <v/>
      </c>
      <c r="L136" s="132" t="str">
        <f t="shared" si="10"/>
        <v/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1"/>
      <c r="C137" s="142"/>
      <c r="D137" s="143"/>
      <c r="E137" s="17" t="s">
        <v>158</v>
      </c>
      <c r="F137" s="31"/>
      <c r="G137" s="31" t="s">
        <v>24</v>
      </c>
      <c r="H137" s="31"/>
      <c r="I137" s="17" t="s">
        <v>23</v>
      </c>
      <c r="J137" s="130"/>
      <c r="K137" s="131" t="str">
        <f t="shared" si="9"/>
        <v/>
      </c>
      <c r="L137" s="132" t="str">
        <f t="shared" si="10"/>
        <v/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1"/>
      <c r="C138" s="143"/>
      <c r="D138" s="143"/>
      <c r="E138" s="17" t="s">
        <v>58</v>
      </c>
      <c r="F138" s="13"/>
      <c r="G138" s="31" t="s">
        <v>24</v>
      </c>
      <c r="H138" s="13"/>
      <c r="I138" s="17" t="s">
        <v>190</v>
      </c>
      <c r="J138" s="130"/>
      <c r="K138" s="131" t="str">
        <f t="shared" si="9"/>
        <v/>
      </c>
      <c r="L138" s="132" t="str">
        <f t="shared" si="10"/>
        <v/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1"/>
      <c r="C139" s="143"/>
      <c r="D139" s="143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11</v>
      </c>
      <c r="Q146" s="134">
        <f t="shared" ref="Q146:Q156" si="20">COUNTIFS(E$146:E$211,O146,K$146:K$211,2)+COUNTIFS(I$146:I$211,O146,L$146:L$211,2)+COUNTIFS(E$146:E$211,O146,K$146:K$211,3)+COUNTIFS(I$146:I$211,O146,L$146:L$211,3)</f>
        <v>5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11</v>
      </c>
      <c r="U146" s="135">
        <f t="shared" ref="U146:U156" si="23">SUMIF(E$146:E$211,O146,H$146:H$211)+SUMIF(I$146:I$211,O146,F$146:F$211)</f>
        <v>11</v>
      </c>
      <c r="V146" s="132">
        <f t="shared" ref="V146:V156" si="24">T146-U146</f>
        <v>0</v>
      </c>
      <c r="X146" s="117" t="s">
        <v>26</v>
      </c>
      <c r="Y146" s="117" t="s">
        <v>13</v>
      </c>
      <c r="AA146" s="46" t="s">
        <v>29</v>
      </c>
      <c r="AB146" s="70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7</v>
      </c>
      <c r="Q147" s="134">
        <f t="shared" si="20"/>
        <v>2</v>
      </c>
      <c r="R147" s="135"/>
      <c r="S147" s="135">
        <f t="shared" si="21"/>
        <v>6</v>
      </c>
      <c r="T147" s="132">
        <f t="shared" si="22"/>
        <v>5</v>
      </c>
      <c r="U147" s="135">
        <f t="shared" si="23"/>
        <v>12</v>
      </c>
      <c r="V147" s="132">
        <f t="shared" si="24"/>
        <v>-7</v>
      </c>
      <c r="X147" s="118" t="s">
        <v>33</v>
      </c>
      <c r="Y147" s="118">
        <v>3.0</v>
      </c>
      <c r="AA147" s="108" t="s">
        <v>116</v>
      </c>
      <c r="AB147" s="70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216</v>
      </c>
      <c r="P148" s="132">
        <f t="shared" si="19"/>
        <v>13</v>
      </c>
      <c r="Q148" s="134">
        <f t="shared" si="20"/>
        <v>5</v>
      </c>
      <c r="R148" s="135"/>
      <c r="S148" s="135">
        <f t="shared" si="21"/>
        <v>2</v>
      </c>
      <c r="T148" s="132">
        <f t="shared" si="22"/>
        <v>12</v>
      </c>
      <c r="U148" s="135">
        <f t="shared" si="23"/>
        <v>8</v>
      </c>
      <c r="V148" s="132">
        <f t="shared" si="24"/>
        <v>4</v>
      </c>
      <c r="X148" s="118" t="s">
        <v>41</v>
      </c>
      <c r="Y148" s="118">
        <v>0.0</v>
      </c>
      <c r="AA148" s="22">
        <v>3.0</v>
      </c>
      <c r="AB148" s="70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16</v>
      </c>
      <c r="Q149" s="134">
        <f t="shared" si="20"/>
        <v>6</v>
      </c>
      <c r="R149" s="135"/>
      <c r="S149" s="135">
        <f t="shared" si="21"/>
        <v>2</v>
      </c>
      <c r="T149" s="132">
        <f t="shared" si="22"/>
        <v>13</v>
      </c>
      <c r="U149" s="135">
        <f t="shared" si="23"/>
        <v>7</v>
      </c>
      <c r="V149" s="132">
        <f t="shared" si="24"/>
        <v>6</v>
      </c>
      <c r="AA149" s="22">
        <v>4.0</v>
      </c>
      <c r="AB149" s="70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217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7</v>
      </c>
      <c r="T150" s="132">
        <f t="shared" si="22"/>
        <v>5</v>
      </c>
      <c r="U150" s="135">
        <f t="shared" si="23"/>
        <v>14</v>
      </c>
      <c r="V150" s="132">
        <f t="shared" si="24"/>
        <v>-9</v>
      </c>
      <c r="AA150" s="22">
        <v>5.0</v>
      </c>
      <c r="AB150" s="70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1"/>
      <c r="C151" s="142"/>
      <c r="D151" s="143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6</v>
      </c>
      <c r="Q151" s="134">
        <f t="shared" si="20"/>
        <v>2</v>
      </c>
      <c r="R151" s="135"/>
      <c r="S151" s="135">
        <f t="shared" si="21"/>
        <v>5</v>
      </c>
      <c r="T151" s="132">
        <f t="shared" si="22"/>
        <v>6</v>
      </c>
      <c r="U151" s="135">
        <f t="shared" si="23"/>
        <v>12</v>
      </c>
      <c r="V151" s="132">
        <f t="shared" si="24"/>
        <v>-6</v>
      </c>
      <c r="AA151" s="22">
        <v>6.0</v>
      </c>
      <c r="AB151" s="70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5">
        <v>2.0</v>
      </c>
      <c r="B152" s="141"/>
      <c r="C152" s="142"/>
      <c r="D152" s="143"/>
      <c r="E152" s="17" t="s">
        <v>216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22</v>
      </c>
      <c r="Q152" s="134">
        <f t="shared" si="20"/>
        <v>8</v>
      </c>
      <c r="R152" s="135"/>
      <c r="S152" s="135">
        <f t="shared" si="21"/>
        <v>0</v>
      </c>
      <c r="T152" s="132">
        <f t="shared" si="22"/>
        <v>16</v>
      </c>
      <c r="U152" s="135">
        <f t="shared" si="23"/>
        <v>2</v>
      </c>
      <c r="V152" s="132">
        <f t="shared" si="24"/>
        <v>14</v>
      </c>
      <c r="AA152" s="22">
        <v>7.0</v>
      </c>
      <c r="AB152" s="70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1</v>
      </c>
      <c r="Q153" s="134">
        <f t="shared" si="20"/>
        <v>0</v>
      </c>
      <c r="R153" s="135"/>
      <c r="S153" s="135">
        <f t="shared" si="21"/>
        <v>7</v>
      </c>
      <c r="T153" s="132">
        <f t="shared" si="22"/>
        <v>1</v>
      </c>
      <c r="U153" s="135">
        <f t="shared" si="23"/>
        <v>14</v>
      </c>
      <c r="V153" s="132">
        <f t="shared" si="24"/>
        <v>-13</v>
      </c>
      <c r="AA153" s="22">
        <v>8.0</v>
      </c>
      <c r="AB153" s="70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65</v>
      </c>
      <c r="P154" s="132">
        <f t="shared" si="19"/>
        <v>11</v>
      </c>
      <c r="Q154" s="134">
        <f t="shared" si="20"/>
        <v>3</v>
      </c>
      <c r="R154" s="135"/>
      <c r="S154" s="135">
        <f t="shared" si="21"/>
        <v>5</v>
      </c>
      <c r="T154" s="132">
        <f t="shared" si="22"/>
        <v>9</v>
      </c>
      <c r="U154" s="135">
        <f t="shared" si="23"/>
        <v>11</v>
      </c>
      <c r="V154" s="132">
        <f t="shared" si="24"/>
        <v>-2</v>
      </c>
      <c r="AA154" s="22">
        <v>9.0</v>
      </c>
      <c r="AB154" s="70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22</v>
      </c>
      <c r="Q155" s="134">
        <f t="shared" si="20"/>
        <v>7</v>
      </c>
      <c r="R155" s="135"/>
      <c r="S155" s="135">
        <f t="shared" si="21"/>
        <v>1</v>
      </c>
      <c r="T155" s="132">
        <f t="shared" si="22"/>
        <v>15</v>
      </c>
      <c r="U155" s="135">
        <f t="shared" si="23"/>
        <v>2</v>
      </c>
      <c r="V155" s="132">
        <f t="shared" si="24"/>
        <v>13</v>
      </c>
      <c r="AA155" s="22">
        <v>10.0</v>
      </c>
      <c r="AB155" s="70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14</v>
      </c>
      <c r="Q156" s="134">
        <f t="shared" si="20"/>
        <v>4</v>
      </c>
      <c r="S156" s="135">
        <f t="shared" si="21"/>
        <v>5</v>
      </c>
      <c r="T156" s="132">
        <f t="shared" si="22"/>
        <v>11</v>
      </c>
      <c r="U156" s="135">
        <f t="shared" si="23"/>
        <v>11</v>
      </c>
      <c r="V156" s="132">
        <f t="shared" si="24"/>
        <v>0</v>
      </c>
      <c r="AA156" s="53">
        <v>11.0</v>
      </c>
      <c r="AB156" s="70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1"/>
      <c r="C163" s="143"/>
      <c r="D163" s="143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1"/>
      <c r="C164" s="143"/>
      <c r="D164" s="143"/>
      <c r="E164" s="17" t="s">
        <v>217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204</v>
      </c>
      <c r="D171" s="12" t="s">
        <v>22</v>
      </c>
      <c r="E171" s="17" t="s">
        <v>216</v>
      </c>
      <c r="F171" s="144">
        <v>2.0</v>
      </c>
      <c r="G171" s="31" t="s">
        <v>24</v>
      </c>
      <c r="H171" s="13">
        <v>1.0</v>
      </c>
      <c r="I171" s="17" t="s">
        <v>65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204</v>
      </c>
      <c r="D172" s="12" t="s">
        <v>22</v>
      </c>
      <c r="E172" s="17" t="s">
        <v>31</v>
      </c>
      <c r="F172" s="144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146</v>
      </c>
      <c r="D173" s="12" t="s">
        <v>22</v>
      </c>
      <c r="E173" s="17" t="s">
        <v>118</v>
      </c>
      <c r="F173" s="144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4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1"/>
      <c r="C175" s="143"/>
      <c r="D175" s="143"/>
      <c r="E175" s="17">
        <v>0.0</v>
      </c>
      <c r="F175" s="143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41"/>
      <c r="C176" s="142"/>
      <c r="D176" s="143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1"/>
      <c r="C187" s="143"/>
      <c r="D187" s="143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1"/>
      <c r="C197" s="142"/>
      <c r="D197" s="143"/>
      <c r="E197" s="17" t="s">
        <v>216</v>
      </c>
      <c r="F197" s="31"/>
      <c r="G197" s="31" t="s">
        <v>24</v>
      </c>
      <c r="H197" s="31"/>
      <c r="I197" s="17" t="s">
        <v>124</v>
      </c>
      <c r="J197" s="130"/>
      <c r="K197" s="131" t="str">
        <f t="shared" si="17"/>
        <v/>
      </c>
      <c r="L197" s="132" t="str">
        <f t="shared" si="18"/>
        <v/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1"/>
      <c r="C198" s="143"/>
      <c r="D198" s="143"/>
      <c r="E198" s="17" t="s">
        <v>31</v>
      </c>
      <c r="F198" s="31"/>
      <c r="G198" s="31" t="s">
        <v>24</v>
      </c>
      <c r="H198" s="31"/>
      <c r="I198" s="17" t="s">
        <v>68</v>
      </c>
      <c r="J198" s="130"/>
      <c r="K198" s="131" t="str">
        <f t="shared" si="17"/>
        <v/>
      </c>
      <c r="L198" s="132" t="str">
        <f t="shared" si="18"/>
        <v/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1"/>
      <c r="C199" s="143"/>
      <c r="D199" s="143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41"/>
      <c r="C200" s="142"/>
      <c r="D200" s="143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1"/>
      <c r="C201" s="142"/>
      <c r="D201" s="143"/>
      <c r="E201" s="17" t="s">
        <v>60</v>
      </c>
      <c r="F201" s="31"/>
      <c r="G201" s="31" t="s">
        <v>24</v>
      </c>
      <c r="H201" s="31"/>
      <c r="I201" s="17" t="s">
        <v>65</v>
      </c>
      <c r="J201" s="130"/>
      <c r="K201" s="131" t="str">
        <f t="shared" si="17"/>
        <v/>
      </c>
      <c r="L201" s="132" t="str">
        <f t="shared" si="18"/>
        <v/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1"/>
      <c r="C202" s="142"/>
      <c r="D202" s="143"/>
      <c r="E202" s="17" t="s">
        <v>45</v>
      </c>
      <c r="F202" s="31"/>
      <c r="G202" s="31" t="s">
        <v>24</v>
      </c>
      <c r="H202" s="31"/>
      <c r="I202" s="17" t="s">
        <v>112</v>
      </c>
      <c r="J202" s="130"/>
      <c r="K202" s="131" t="str">
        <f t="shared" si="17"/>
        <v/>
      </c>
      <c r="L202" s="132" t="str">
        <f t="shared" si="18"/>
        <v/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1"/>
      <c r="C203" s="142"/>
      <c r="D203" s="143"/>
      <c r="E203" s="17" t="s">
        <v>124</v>
      </c>
      <c r="F203" s="31"/>
      <c r="G203" s="31" t="s">
        <v>24</v>
      </c>
      <c r="H203" s="31"/>
      <c r="I203" s="17" t="s">
        <v>217</v>
      </c>
      <c r="J203" s="130"/>
      <c r="K203" s="131" t="str">
        <f t="shared" si="17"/>
        <v/>
      </c>
      <c r="L203" s="132" t="str">
        <f t="shared" si="18"/>
        <v/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1"/>
      <c r="C204" s="143"/>
      <c r="D204" s="143"/>
      <c r="E204" s="17" t="s">
        <v>68</v>
      </c>
      <c r="F204" s="31"/>
      <c r="G204" s="31" t="s">
        <v>24</v>
      </c>
      <c r="H204" s="31"/>
      <c r="I204" s="17" t="s">
        <v>216</v>
      </c>
      <c r="J204" s="130"/>
      <c r="K204" s="131" t="str">
        <f t="shared" si="17"/>
        <v/>
      </c>
      <c r="L204" s="132" t="str">
        <f t="shared" si="18"/>
        <v/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1"/>
      <c r="C205" s="143"/>
      <c r="D205" s="143"/>
      <c r="E205" s="17" t="s">
        <v>118</v>
      </c>
      <c r="F205" s="31"/>
      <c r="G205" s="31" t="s">
        <v>24</v>
      </c>
      <c r="H205" s="31"/>
      <c r="I205" s="17" t="s">
        <v>31</v>
      </c>
      <c r="J205" s="130"/>
      <c r="K205" s="131" t="str">
        <f t="shared" si="17"/>
        <v/>
      </c>
      <c r="L205" s="132" t="str">
        <f t="shared" si="18"/>
        <v/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41"/>
      <c r="C206" s="142"/>
      <c r="D206" s="143"/>
      <c r="E206" s="17" t="s">
        <v>64</v>
      </c>
      <c r="F206" s="13"/>
      <c r="G206" s="31" t="s">
        <v>24</v>
      </c>
      <c r="H206" s="13"/>
      <c r="I206" s="17" t="s">
        <v>60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1"/>
      <c r="C207" s="142"/>
      <c r="D207" s="143"/>
      <c r="E207" s="17" t="s">
        <v>65</v>
      </c>
      <c r="F207" s="31"/>
      <c r="G207" s="31" t="s">
        <v>24</v>
      </c>
      <c r="H207" s="31"/>
      <c r="I207" s="17" t="s">
        <v>45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1"/>
      <c r="C208" s="142"/>
      <c r="D208" s="143"/>
      <c r="E208" s="17" t="s">
        <v>112</v>
      </c>
      <c r="F208" s="31"/>
      <c r="G208" s="31" t="s">
        <v>24</v>
      </c>
      <c r="H208" s="31"/>
      <c r="I208" s="17" t="s">
        <v>124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1"/>
      <c r="C209" s="142"/>
      <c r="D209" s="143"/>
      <c r="E209" s="17" t="s">
        <v>217</v>
      </c>
      <c r="F209" s="31"/>
      <c r="G209" s="31" t="s">
        <v>24</v>
      </c>
      <c r="H209" s="31"/>
      <c r="I209" s="17" t="s">
        <v>68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1"/>
      <c r="C210" s="143"/>
      <c r="D210" s="143"/>
      <c r="E210" s="17" t="s">
        <v>216</v>
      </c>
      <c r="F210" s="13"/>
      <c r="G210" s="31" t="s">
        <v>24</v>
      </c>
      <c r="H210" s="13"/>
      <c r="I210" s="17" t="s">
        <v>118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1"/>
      <c r="C211" s="143"/>
      <c r="D211" s="143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219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3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94">
        <v>1.0</v>
      </c>
      <c r="AB218" s="70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3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7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94">
        <v>2.0</v>
      </c>
      <c r="AB219" s="70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3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7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2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92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92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92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220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2" t="s">
        <v>84</v>
      </c>
      <c r="F232" s="13"/>
      <c r="G232" s="16" t="s">
        <v>24</v>
      </c>
      <c r="H232" s="13"/>
      <c r="I232" s="45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221</v>
      </c>
      <c r="B1" s="158" t="s">
        <v>222</v>
      </c>
      <c r="C1" s="158" t="s">
        <v>223</v>
      </c>
      <c r="D1" s="158" t="s">
        <v>224</v>
      </c>
      <c r="E1" s="158" t="s">
        <v>225</v>
      </c>
      <c r="F1" s="158" t="s">
        <v>226</v>
      </c>
      <c r="G1" s="158" t="s">
        <v>227</v>
      </c>
      <c r="H1" s="158" t="s">
        <v>228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229</v>
      </c>
      <c r="B2" s="161" t="s">
        <v>230</v>
      </c>
      <c r="C2" s="162" t="s">
        <v>31</v>
      </c>
      <c r="D2" s="162" t="s">
        <v>231</v>
      </c>
      <c r="E2" s="163">
        <v>108125.0</v>
      </c>
      <c r="F2" s="164" t="s">
        <v>232</v>
      </c>
      <c r="G2" s="161" t="s">
        <v>233</v>
      </c>
      <c r="H2" s="162" t="s">
        <v>234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229</v>
      </c>
      <c r="B3" s="161" t="s">
        <v>235</v>
      </c>
      <c r="C3" s="161" t="s">
        <v>32</v>
      </c>
      <c r="D3" s="161" t="s">
        <v>236</v>
      </c>
      <c r="E3" s="165">
        <v>89159.0</v>
      </c>
      <c r="F3" s="166" t="s">
        <v>237</v>
      </c>
      <c r="G3" s="161" t="s">
        <v>233</v>
      </c>
      <c r="H3" s="161" t="s">
        <v>238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229</v>
      </c>
      <c r="B4" s="161" t="s">
        <v>239</v>
      </c>
      <c r="C4" s="161" t="s">
        <v>112</v>
      </c>
      <c r="D4" s="161" t="s">
        <v>240</v>
      </c>
      <c r="E4" s="165">
        <v>100096.0</v>
      </c>
      <c r="F4" s="166" t="s">
        <v>241</v>
      </c>
      <c r="G4" s="161" t="s">
        <v>233</v>
      </c>
      <c r="H4" s="161" t="s">
        <v>242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229</v>
      </c>
      <c r="B5" s="161" t="s">
        <v>243</v>
      </c>
      <c r="C5" s="161" t="s">
        <v>59</v>
      </c>
      <c r="D5" s="161" t="s">
        <v>244</v>
      </c>
      <c r="E5" s="165">
        <v>108498.0</v>
      </c>
      <c r="F5" s="166" t="s">
        <v>245</v>
      </c>
      <c r="G5" s="161" t="s">
        <v>233</v>
      </c>
      <c r="H5" s="161" t="s">
        <v>246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229</v>
      </c>
      <c r="B6" s="161" t="s">
        <v>247</v>
      </c>
      <c r="C6" s="161" t="s">
        <v>67</v>
      </c>
      <c r="D6" s="161" t="s">
        <v>248</v>
      </c>
      <c r="E6" s="165">
        <v>110713.0</v>
      </c>
      <c r="F6" s="166" t="s">
        <v>241</v>
      </c>
      <c r="G6" s="161" t="s">
        <v>233</v>
      </c>
      <c r="H6" s="161" t="s">
        <v>249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229</v>
      </c>
      <c r="B7" s="161" t="s">
        <v>250</v>
      </c>
      <c r="C7" s="161" t="s">
        <v>63</v>
      </c>
      <c r="D7" s="161" t="s">
        <v>251</v>
      </c>
      <c r="E7" s="165">
        <v>108196.0</v>
      </c>
      <c r="F7" s="166" t="s">
        <v>245</v>
      </c>
      <c r="G7" s="161" t="s">
        <v>233</v>
      </c>
      <c r="H7" s="161" t="s">
        <v>246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252</v>
      </c>
      <c r="B8" s="161" t="s">
        <v>253</v>
      </c>
      <c r="C8" s="161" t="s">
        <v>157</v>
      </c>
      <c r="D8" s="161" t="s">
        <v>254</v>
      </c>
      <c r="E8" s="165">
        <v>103269.0</v>
      </c>
      <c r="F8" s="166" t="s">
        <v>245</v>
      </c>
      <c r="G8" s="161" t="s">
        <v>233</v>
      </c>
      <c r="H8" s="161" t="s">
        <v>246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229</v>
      </c>
      <c r="B9" s="161" t="s">
        <v>255</v>
      </c>
      <c r="C9" s="161" t="s">
        <v>41</v>
      </c>
      <c r="D9" s="161" t="s">
        <v>256</v>
      </c>
      <c r="E9" s="165">
        <v>109271.0</v>
      </c>
      <c r="F9" s="166" t="s">
        <v>245</v>
      </c>
      <c r="G9" s="161" t="s">
        <v>257</v>
      </c>
      <c r="H9" s="161" t="s">
        <v>258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229</v>
      </c>
      <c r="B10" s="161" t="s">
        <v>259</v>
      </c>
      <c r="C10" s="161" t="s">
        <v>122</v>
      </c>
      <c r="D10" s="161" t="s">
        <v>260</v>
      </c>
      <c r="E10" s="165">
        <v>108249.0</v>
      </c>
      <c r="F10" s="166" t="s">
        <v>245</v>
      </c>
      <c r="G10" s="161" t="s">
        <v>257</v>
      </c>
      <c r="H10" s="161" t="s">
        <v>258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229</v>
      </c>
      <c r="B11" s="161" t="s">
        <v>261</v>
      </c>
      <c r="C11" s="161" t="s">
        <v>40</v>
      </c>
      <c r="D11" s="161" t="s">
        <v>262</v>
      </c>
      <c r="E11" s="165">
        <v>103583.0</v>
      </c>
      <c r="F11" s="166" t="s">
        <v>245</v>
      </c>
      <c r="G11" s="161" t="s">
        <v>257</v>
      </c>
      <c r="H11" s="161" t="s">
        <v>263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229</v>
      </c>
      <c r="B12" s="161" t="s">
        <v>261</v>
      </c>
      <c r="C12" s="161" t="s">
        <v>40</v>
      </c>
      <c r="D12" s="161" t="s">
        <v>264</v>
      </c>
      <c r="E12" s="165">
        <v>93245.0</v>
      </c>
      <c r="F12" s="167" t="s">
        <v>265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