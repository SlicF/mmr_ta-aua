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<sst xmlns="http://schemas.openxmlformats.org/spreadsheetml/2006/main" count="5875" uniqueCount="267">
  <si>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</si>
  <si>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</si>
  <si>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</si>
  <si>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</si>
  <si>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</si>
  <si>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</si>
  <si>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</si>
  <si>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</si>
  <si>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</si>
  <si>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</si>
  <si>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</si>
  <si>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</si>
  <si>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</si>
  <si>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</si>
  <si>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</si>
  <si>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</si>
  <si>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</si>
  <si>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</si>
  <si>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</si>
  <si>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</si>
  <si>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</si>
  <si>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</si>
  <si>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</si>
  <si>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</si>
  <si>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</si>
  <si>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</si>
  <si>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</si>
  <si>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</si>
  <si>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</si>
  <si>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</si>
  <si>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</si>
  <si>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</si>
  <si>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</si>
  <si>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</si>
  <si>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</si>
  <si>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</si>
  <si>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</si>
  <si>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</si>
  <si>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</si>
  <si>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</si>
  <si>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</si>
  <si>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</si>
  <si>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</si>
  <si>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</si>
  <si>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</si>
  <si>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</si>
  <si>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</si>
  <si>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</si>
  <si>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</si>
  <si>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</si>
  <si>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</si>
  <si>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</si>
  <si>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</si>
  <si>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</si>
  <si>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</si>
  <si>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</si>
  <si>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</si>
  <si>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</si>
  <si>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</si>
  <si>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</si>
  <si>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</si>
  <si>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</si>
  <si>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</si>
  <si>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</si>
  <si>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</si>
  <si>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</si>
  <si>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</si>
  <si>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</si>
  <si>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</si>
  <si>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</si>
  <si>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</si>
  <si>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</si>
  <si>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</si>
  <si>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</si>
  <si>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</si>
  <si>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</si>
  <si>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</si>
  <si>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</si>
  <si>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</si>
  <si>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</si>
  <si>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</si>
  <si>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</si>
  <si>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</si>
  <si>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</si>
  <si>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</si>
  <si>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</si>
  <si>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</si>
  <si>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</si>
  <si>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</si>
  <si>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</si>
  <si>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</si>
  <si>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</si>
  <si>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</si>
  <si>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</si>
  <si>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</si>
  <si>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</si>
  <si>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</si>
  <si>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</si>
  <si>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</si>
  <si>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</si>
  <si>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</si>
  <si>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</si>
  <si>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</si>
  <si>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</si>
  <si>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</si>
  <si>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</si>
  <si>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</si>
  <si>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</si>
  <si>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</si>
  <si>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</si>
  <si>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</si>
  <si>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</si>
  <si>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</si>
  <si>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</si>
  <si>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</si>
  <si>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</si>
  <si>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</si>
  <si>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</si>
  <si>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</si>
  <si>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</si>
  <si>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</si>
  <si>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</si>
  <si>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</si>
  <si>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</si>
  <si>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</si>
  <si>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</si>
  <si>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</si>
  <si>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</si>
  <si>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</si>
  <si>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</si>
  <si>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</si>
  <si>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</si>
  <si>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</si>
  <si>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</si>
  <si>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</si>
  <si>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</si>
  <si>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</si>
  <si>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</si>
  <si>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</si>
  <si>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</si>
  <si>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</si>
  <si>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</si>
  <si>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</si>
  <si>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Edcucação Básica</t>
  </si>
  <si>
    <t>23h30</t>
  </si>
  <si>
    <t>CBM</t>
  </si>
  <si>
    <t>Ed. Básica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</si>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</sst>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12.0</v>
      </c>
      <c r="AH3" s="22">
        <v>4.0</v>
      </c>
      <c r="AI3" s="23">
        <v>0.0</v>
      </c>
      <c r="AJ3" s="22">
        <v>0.0</v>
      </c>
      <c r="AK3" s="22">
        <v>89.0</v>
      </c>
      <c r="AL3" s="23">
        <v>52.0</v>
      </c>
      <c r="AM3" s="22">
        <v>37.0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6</v>
      </c>
      <c r="Q5" s="17">
        <f t="shared" si="4"/>
        <v>1</v>
      </c>
      <c r="R5" s="19">
        <f t="shared" si="5"/>
        <v>0</v>
      </c>
      <c r="S5" s="19">
        <f t="shared" si="6"/>
        <v>3</v>
      </c>
      <c r="T5" s="17">
        <f t="shared" si="7"/>
        <v>79</v>
      </c>
      <c r="U5" s="19">
        <f t="shared" si="8"/>
        <v>83</v>
      </c>
      <c r="V5" s="17">
        <f t="shared" si="9"/>
        <v>-4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43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12</v>
      </c>
      <c r="Q10" s="17">
        <f t="shared" si="4"/>
        <v>4</v>
      </c>
      <c r="R10" s="19">
        <f t="shared" si="5"/>
        <v>0</v>
      </c>
      <c r="S10" s="19">
        <f t="shared" si="6"/>
        <v>0</v>
      </c>
      <c r="T10" s="17">
        <f t="shared" si="7"/>
        <v>89</v>
      </c>
      <c r="U10" s="19">
        <f t="shared" si="8"/>
        <v>52</v>
      </c>
      <c r="V10" s="17">
        <f t="shared" si="9"/>
        <v>37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6.0</v>
      </c>
      <c r="AH10" s="22">
        <v>1.0</v>
      </c>
      <c r="AI10" s="23">
        <v>0.0</v>
      </c>
      <c r="AJ10" s="22">
        <v>3.0</v>
      </c>
      <c r="AK10" s="22">
        <v>79.0</v>
      </c>
      <c r="AL10" s="23">
        <v>83.0</v>
      </c>
      <c r="AM10" s="22">
        <v>-4.0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43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32</v>
      </c>
      <c r="AG11" s="22">
        <v>5.0</v>
      </c>
      <c r="AH11" s="22">
        <v>1.0</v>
      </c>
      <c r="AI11" s="23">
        <v>0.0</v>
      </c>
      <c r="AJ11" s="22">
        <v>2.0</v>
      </c>
      <c r="AK11" s="22">
        <v>68.0</v>
      </c>
      <c r="AL11" s="23">
        <v>65.0</v>
      </c>
      <c r="AM11" s="22">
        <v>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41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4</v>
      </c>
      <c r="Q3" s="17">
        <f t="shared" ref="Q3:Q14" si="4">COUNTIFS(E$3:E$68,O3,K$3:K$68,2)+COUNTIFS(I$3:I$68,O3,L$3:L$68,2)</f>
        <v>2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1</v>
      </c>
      <c r="T3" s="17">
        <f t="shared" ref="T3:T14" si="7">SUMIF(E$3:E$68,O3,F$3:F$68)+SUMIF(I$3:I$68,O3,H$3:H$68)</f>
        <v>29</v>
      </c>
      <c r="U3" s="19">
        <f t="shared" ref="U3:U14" si="8">SUMIF(E$3:E$68,O3,H$3:H$68)+SUMIF(I$3:I$68,O3,F$3:F$68)</f>
        <v>23</v>
      </c>
      <c r="V3" s="17">
        <f t="shared" ref="V3:V14" si="9">T3-U3</f>
        <v>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8.0</v>
      </c>
      <c r="AG3" s="22">
        <v>4.0</v>
      </c>
      <c r="AH3" s="22">
        <v>0.0</v>
      </c>
      <c r="AI3" s="23">
        <v>0.0</v>
      </c>
      <c r="AJ3" s="22">
        <v>34.0</v>
      </c>
      <c r="AK3" s="23">
        <v>25.0</v>
      </c>
      <c r="AL3" s="22">
        <v>9.0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3</v>
      </c>
      <c r="T4" s="17">
        <f t="shared" si="7"/>
        <v>30</v>
      </c>
      <c r="U4" s="19">
        <f t="shared" si="8"/>
        <v>40</v>
      </c>
      <c r="V4" s="17">
        <f t="shared" si="9"/>
        <v>-10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32</v>
      </c>
      <c r="AF4" s="22">
        <v>6.0</v>
      </c>
      <c r="AG4" s="22">
        <v>3.0</v>
      </c>
      <c r="AH4" s="22">
        <v>0.0</v>
      </c>
      <c r="AI4" s="23">
        <v>0.0</v>
      </c>
      <c r="AJ4" s="22">
        <v>39.0</v>
      </c>
      <c r="AK4" s="23">
        <v>31.0</v>
      </c>
      <c r="AL4" s="22">
        <v>8.0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2</v>
      </c>
      <c r="Q5" s="17">
        <f t="shared" si="4"/>
        <v>1</v>
      </c>
      <c r="R5" s="17">
        <f t="shared" si="5"/>
        <v>0</v>
      </c>
      <c r="S5" s="19">
        <f t="shared" si="6"/>
        <v>2</v>
      </c>
      <c r="T5" s="17">
        <f t="shared" si="7"/>
        <v>27</v>
      </c>
      <c r="U5" s="19">
        <f t="shared" si="8"/>
        <v>23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6.0</v>
      </c>
      <c r="AG5" s="22">
        <v>3.0</v>
      </c>
      <c r="AH5" s="22">
        <v>0.0</v>
      </c>
      <c r="AI5" s="23">
        <v>1.0</v>
      </c>
      <c r="AJ5" s="22">
        <v>45.0</v>
      </c>
      <c r="AK5" s="23">
        <v>39.0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2</v>
      </c>
      <c r="T6" s="17">
        <f t="shared" si="7"/>
        <v>30</v>
      </c>
      <c r="U6" s="19">
        <f t="shared" si="8"/>
        <v>34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4.0</v>
      </c>
      <c r="AG6" s="22">
        <v>2.0</v>
      </c>
      <c r="AH6" s="22">
        <v>0.0</v>
      </c>
      <c r="AI6" s="23">
        <v>1.0</v>
      </c>
      <c r="AJ6" s="22">
        <v>29.0</v>
      </c>
      <c r="AK6" s="23">
        <v>23.0</v>
      </c>
      <c r="AL6" s="22">
        <v>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34</v>
      </c>
      <c r="V7" s="17">
        <f t="shared" si="9"/>
        <v>-14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57</v>
      </c>
      <c r="AF7" s="22">
        <v>4.0</v>
      </c>
      <c r="AG7" s="22">
        <v>2.0</v>
      </c>
      <c r="AH7" s="22">
        <v>0.0</v>
      </c>
      <c r="AI7" s="23">
        <v>2.0</v>
      </c>
      <c r="AJ7" s="22">
        <v>30.0</v>
      </c>
      <c r="AK7" s="23">
        <v>34.0</v>
      </c>
      <c r="AL7" s="22">
        <v>-4.0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35</v>
      </c>
      <c r="U8" s="19">
        <f t="shared" si="8"/>
        <v>32</v>
      </c>
      <c r="V8" s="17">
        <f t="shared" si="9"/>
        <v>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62</v>
      </c>
      <c r="AF8" s="22">
        <v>4.0</v>
      </c>
      <c r="AG8" s="22">
        <v>2.0</v>
      </c>
      <c r="AH8" s="22">
        <v>0.0</v>
      </c>
      <c r="AI8" s="23">
        <v>2.0</v>
      </c>
      <c r="AJ8" s="22">
        <v>30.0</v>
      </c>
      <c r="AK8" s="23">
        <v>34.0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6</v>
      </c>
      <c r="Q9" s="17">
        <f t="shared" si="4"/>
        <v>3</v>
      </c>
      <c r="R9" s="17">
        <f t="shared" si="5"/>
        <v>0</v>
      </c>
      <c r="S9" s="19">
        <f t="shared" si="6"/>
        <v>1</v>
      </c>
      <c r="T9" s="17">
        <f t="shared" si="7"/>
        <v>45</v>
      </c>
      <c r="U9" s="19">
        <f t="shared" si="8"/>
        <v>39</v>
      </c>
      <c r="V9" s="17">
        <f t="shared" si="9"/>
        <v>6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37</v>
      </c>
      <c r="AF9" s="22">
        <v>4.0</v>
      </c>
      <c r="AG9" s="22">
        <v>2.0</v>
      </c>
      <c r="AH9" s="22">
        <v>0.0</v>
      </c>
      <c r="AI9" s="23">
        <v>2.0</v>
      </c>
      <c r="AJ9" s="22">
        <v>34.0</v>
      </c>
      <c r="AK9" s="23">
        <v>38.0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38</v>
      </c>
      <c r="U10" s="19">
        <f t="shared" si="8"/>
        <v>38</v>
      </c>
      <c r="V10" s="17">
        <f t="shared" si="9"/>
        <v>0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2.0</v>
      </c>
      <c r="AG10" s="22">
        <v>1.0</v>
      </c>
      <c r="AH10" s="22">
        <v>0.0</v>
      </c>
      <c r="AI10" s="23">
        <v>2.0</v>
      </c>
      <c r="AJ10" s="22">
        <v>27.0</v>
      </c>
      <c r="AK10" s="23">
        <v>23.0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2</v>
      </c>
      <c r="T11" s="17">
        <f t="shared" si="7"/>
        <v>30</v>
      </c>
      <c r="U11" s="19">
        <f t="shared" si="8"/>
        <v>34</v>
      </c>
      <c r="V11" s="17">
        <f t="shared" si="9"/>
        <v>-4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2.0</v>
      </c>
      <c r="AG11" s="44">
        <v>1.0</v>
      </c>
      <c r="AH11" s="44">
        <v>0.0</v>
      </c>
      <c r="AI11" s="45">
        <v>3.0</v>
      </c>
      <c r="AJ11" s="44">
        <v>35.0</v>
      </c>
      <c r="AK11" s="45">
        <v>32.0</v>
      </c>
      <c r="AL11" s="44">
        <v>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39</v>
      </c>
      <c r="U12" s="19">
        <f t="shared" si="8"/>
        <v>31</v>
      </c>
      <c r="V12" s="17">
        <f t="shared" si="9"/>
        <v>8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60</v>
      </c>
      <c r="AF12" s="22">
        <v>2.0</v>
      </c>
      <c r="AG12" s="22">
        <v>1.0</v>
      </c>
      <c r="AH12" s="22">
        <v>0.0</v>
      </c>
      <c r="AI12" s="23">
        <v>3.0</v>
      </c>
      <c r="AJ12" s="22">
        <v>38.0</v>
      </c>
      <c r="AK12" s="23">
        <v>38.0</v>
      </c>
      <c r="AL12" s="22">
        <v>0.0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4</v>
      </c>
      <c r="Q13" s="17">
        <f t="shared" si="4"/>
        <v>2</v>
      </c>
      <c r="R13" s="17">
        <f t="shared" si="5"/>
        <v>0</v>
      </c>
      <c r="S13" s="19">
        <f t="shared" si="6"/>
        <v>2</v>
      </c>
      <c r="T13" s="17">
        <f t="shared" si="7"/>
        <v>34</v>
      </c>
      <c r="U13" s="19">
        <f t="shared" si="8"/>
        <v>38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38</v>
      </c>
      <c r="AF13" s="22">
        <v>2.0</v>
      </c>
      <c r="AG13" s="22">
        <v>1.0</v>
      </c>
      <c r="AH13" s="22">
        <v>0.0</v>
      </c>
      <c r="AI13" s="22">
        <v>3.0</v>
      </c>
      <c r="AJ13" s="22">
        <v>30.0</v>
      </c>
      <c r="AK13" s="22">
        <v>40.0</v>
      </c>
      <c r="AL13" s="22">
        <v>-10.0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8</v>
      </c>
      <c r="Q14" s="17">
        <f t="shared" si="4"/>
        <v>4</v>
      </c>
      <c r="R14" s="17">
        <f t="shared" si="5"/>
        <v>0</v>
      </c>
      <c r="S14" s="19">
        <f t="shared" si="6"/>
        <v>0</v>
      </c>
      <c r="T14" s="17">
        <f t="shared" si="7"/>
        <v>34</v>
      </c>
      <c r="U14" s="19">
        <f t="shared" si="8"/>
        <v>25</v>
      </c>
      <c r="V14" s="17">
        <f t="shared" si="9"/>
        <v>9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43</v>
      </c>
      <c r="AF14" s="22">
        <v>0.0</v>
      </c>
      <c r="AG14" s="22">
        <v>0.0</v>
      </c>
      <c r="AH14" s="22">
        <v>0.0</v>
      </c>
      <c r="AI14" s="22">
        <v>3.0</v>
      </c>
      <c r="AJ14" s="22">
        <v>20.0</v>
      </c>
      <c r="AK14" s="22">
        <v>34.0</v>
      </c>
      <c r="AL14" s="22">
        <v>-14.0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43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43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96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4</v>
      </c>
      <c r="Q74" s="17">
        <f t="shared" ref="Q74:Q82" si="14">COUNTIFS(E$74:E$118,O74,K$74:K$118,2)+COUNTIFS(I$74:I$118,O74,L$74:L$118,2)</f>
        <v>2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22</v>
      </c>
      <c r="U74" s="19">
        <f t="shared" ref="U74:U82" si="18">SUMIF(E$74:E$118,O74,H$74:H$118)+SUMIF(I$74:I$118,O74,F$74:F$118)</f>
        <v>6</v>
      </c>
      <c r="V74" s="17">
        <f t="shared" ref="V74:V82" si="19">T74-U74</f>
        <v>16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1.0</v>
      </c>
      <c r="AJ74" s="22">
        <v>32.0</v>
      </c>
      <c r="AK74" s="23">
        <v>14.0</v>
      </c>
      <c r="AL74" s="22">
        <v>18.0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2</v>
      </c>
      <c r="Q75" s="17">
        <f t="shared" si="14"/>
        <v>1</v>
      </c>
      <c r="R75" s="19">
        <f t="shared" si="15"/>
        <v>0</v>
      </c>
      <c r="S75" s="19">
        <f t="shared" si="16"/>
        <v>0</v>
      </c>
      <c r="T75" s="17">
        <f t="shared" si="17"/>
        <v>21</v>
      </c>
      <c r="U75" s="19">
        <f t="shared" si="18"/>
        <v>2</v>
      </c>
      <c r="V75" s="17">
        <f t="shared" si="19"/>
        <v>19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4.0</v>
      </c>
      <c r="AG75" s="22">
        <v>2.0</v>
      </c>
      <c r="AH75" s="23">
        <v>0.0</v>
      </c>
      <c r="AI75" s="23">
        <v>0.0</v>
      </c>
      <c r="AJ75" s="22">
        <v>22.0</v>
      </c>
      <c r="AK75" s="23">
        <v>6.0</v>
      </c>
      <c r="AL75" s="22">
        <v>16.0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3</v>
      </c>
      <c r="T76" s="17">
        <f t="shared" si="17"/>
        <v>4</v>
      </c>
      <c r="U76" s="19">
        <f t="shared" si="18"/>
        <v>37</v>
      </c>
      <c r="V76" s="17">
        <f t="shared" si="19"/>
        <v>-33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116</v>
      </c>
      <c r="AF76" s="22">
        <v>4.0</v>
      </c>
      <c r="AG76" s="22">
        <v>2.0</v>
      </c>
      <c r="AH76" s="23">
        <v>0.0</v>
      </c>
      <c r="AI76" s="23">
        <v>0.0</v>
      </c>
      <c r="AJ76" s="22">
        <v>24.0</v>
      </c>
      <c r="AK76" s="23">
        <v>21.0</v>
      </c>
      <c r="AL76" s="22">
        <v>3.0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2</v>
      </c>
      <c r="T77" s="17">
        <f t="shared" si="17"/>
        <v>9</v>
      </c>
      <c r="U77" s="19">
        <f t="shared" si="18"/>
        <v>31</v>
      </c>
      <c r="V77" s="17">
        <f t="shared" si="19"/>
        <v>-22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31</v>
      </c>
      <c r="AF77" s="22">
        <v>2.0</v>
      </c>
      <c r="AG77" s="22">
        <v>1.0</v>
      </c>
      <c r="AH77" s="23">
        <v>0.0</v>
      </c>
      <c r="AI77" s="23">
        <v>0.0</v>
      </c>
      <c r="AJ77" s="22">
        <v>21.0</v>
      </c>
      <c r="AK77" s="23">
        <v>2.0</v>
      </c>
      <c r="AL77" s="22">
        <v>19.0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2</v>
      </c>
      <c r="T78" s="17">
        <f t="shared" si="17"/>
        <v>30</v>
      </c>
      <c r="U78" s="19">
        <f t="shared" si="18"/>
        <v>33</v>
      </c>
      <c r="V78" s="17">
        <f t="shared" si="19"/>
        <v>-3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55</v>
      </c>
      <c r="AF78" s="22">
        <v>2.0</v>
      </c>
      <c r="AG78" s="22">
        <v>1.0</v>
      </c>
      <c r="AH78" s="23">
        <v>0.0</v>
      </c>
      <c r="AI78" s="23">
        <v>1.0</v>
      </c>
      <c r="AJ78" s="22">
        <v>15.0</v>
      </c>
      <c r="AK78" s="23">
        <v>14.0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1</v>
      </c>
      <c r="T79" s="17">
        <f t="shared" si="17"/>
        <v>15</v>
      </c>
      <c r="U79" s="19">
        <f t="shared" si="18"/>
        <v>14</v>
      </c>
      <c r="V79" s="17">
        <f t="shared" si="19"/>
        <v>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118</v>
      </c>
      <c r="AF79" s="22">
        <v>2.0</v>
      </c>
      <c r="AG79" s="22">
        <v>1.0</v>
      </c>
      <c r="AH79" s="23">
        <v>0.0</v>
      </c>
      <c r="AI79" s="23">
        <v>1.0</v>
      </c>
      <c r="AJ79" s="22">
        <v>16.0</v>
      </c>
      <c r="AK79" s="23">
        <v>15.0</v>
      </c>
      <c r="AL79" s="22">
        <v>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2.0</v>
      </c>
      <c r="AG80" s="22">
        <v>1.0</v>
      </c>
      <c r="AH80" s="23">
        <v>0.0</v>
      </c>
      <c r="AI80" s="23">
        <v>2.0</v>
      </c>
      <c r="AJ80" s="22">
        <v>30.0</v>
      </c>
      <c r="AK80" s="23">
        <v>33.0</v>
      </c>
      <c r="AL80" s="22">
        <v>-3.0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0</v>
      </c>
      <c r="T81" s="17">
        <f t="shared" si="17"/>
        <v>24</v>
      </c>
      <c r="U81" s="19">
        <f t="shared" si="18"/>
        <v>21</v>
      </c>
      <c r="V81" s="17">
        <f t="shared" si="19"/>
        <v>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2.0</v>
      </c>
      <c r="AJ81" s="22">
        <v>9.0</v>
      </c>
      <c r="AK81" s="23">
        <v>31.0</v>
      </c>
      <c r="AL81" s="22">
        <v>-22.0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1</v>
      </c>
      <c r="T82" s="17">
        <f t="shared" si="17"/>
        <v>32</v>
      </c>
      <c r="U82" s="19">
        <f t="shared" si="18"/>
        <v>14</v>
      </c>
      <c r="V82" s="17">
        <f t="shared" si="19"/>
        <v>18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3.0</v>
      </c>
      <c r="AJ82" s="22">
        <v>4.0</v>
      </c>
      <c r="AK82" s="22">
        <v>37.0</v>
      </c>
      <c r="AL82" s="22">
        <v>-33.0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15</v>
      </c>
      <c r="U126" s="19">
        <f t="shared" ref="U126:U134" si="27">SUMIF(E$126:E$170,O126,H$126:H$170)+SUMIF(I$126:I$170,O126,F$126:F$170)</f>
        <v>26</v>
      </c>
      <c r="V126" s="17">
        <f t="shared" ref="V126:V134" si="28">T126-U126</f>
        <v>-11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6.0</v>
      </c>
      <c r="AG126" s="22">
        <v>3.0</v>
      </c>
      <c r="AH126" s="23">
        <v>0.0</v>
      </c>
      <c r="AI126" s="23">
        <v>0.0</v>
      </c>
      <c r="AJ126" s="22">
        <v>41.0</v>
      </c>
      <c r="AK126" s="23">
        <v>26.0</v>
      </c>
      <c r="AL126" s="22">
        <v>15.0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1</v>
      </c>
      <c r="T127" s="17">
        <f t="shared" si="26"/>
        <v>18</v>
      </c>
      <c r="U127" s="19">
        <f t="shared" si="27"/>
        <v>11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54</v>
      </c>
      <c r="AF127" s="22">
        <v>4.0</v>
      </c>
      <c r="AG127" s="22">
        <v>2.0</v>
      </c>
      <c r="AH127" s="23">
        <v>0.0</v>
      </c>
      <c r="AI127" s="23">
        <v>1.0</v>
      </c>
      <c r="AJ127" s="22">
        <v>40.0</v>
      </c>
      <c r="AK127" s="23">
        <v>29.0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1</v>
      </c>
      <c r="T128" s="17">
        <f t="shared" si="26"/>
        <v>25</v>
      </c>
      <c r="U128" s="19">
        <f t="shared" si="27"/>
        <v>22</v>
      </c>
      <c r="V128" s="17">
        <f t="shared" si="28"/>
        <v>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45</v>
      </c>
      <c r="AF128" s="22">
        <v>4.0</v>
      </c>
      <c r="AG128" s="22">
        <v>2.0</v>
      </c>
      <c r="AH128" s="23">
        <v>0.0</v>
      </c>
      <c r="AI128" s="23">
        <v>1.0</v>
      </c>
      <c r="AJ128" s="22">
        <v>25.0</v>
      </c>
      <c r="AK128" s="23">
        <v>22.0</v>
      </c>
      <c r="AL128" s="22">
        <v>3.0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4</v>
      </c>
      <c r="Q129" s="17">
        <f t="shared" si="23"/>
        <v>2</v>
      </c>
      <c r="R129" s="19">
        <f t="shared" si="24"/>
        <v>0</v>
      </c>
      <c r="S129" s="19">
        <f t="shared" si="25"/>
        <v>1</v>
      </c>
      <c r="T129" s="17">
        <f t="shared" si="26"/>
        <v>28</v>
      </c>
      <c r="U129" s="19">
        <f t="shared" si="27"/>
        <v>27</v>
      </c>
      <c r="V129" s="17">
        <f t="shared" si="28"/>
        <v>1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4.0</v>
      </c>
      <c r="AG129" s="22">
        <v>2.0</v>
      </c>
      <c r="AH129" s="23">
        <v>0.0</v>
      </c>
      <c r="AI129" s="23">
        <v>1.0</v>
      </c>
      <c r="AJ129" s="22">
        <v>28.0</v>
      </c>
      <c r="AK129" s="23">
        <v>27.0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4</v>
      </c>
      <c r="Q130" s="17">
        <f t="shared" si="23"/>
        <v>2</v>
      </c>
      <c r="R130" s="19">
        <f t="shared" si="24"/>
        <v>0</v>
      </c>
      <c r="S130" s="19">
        <f t="shared" si="25"/>
        <v>1</v>
      </c>
      <c r="T130" s="17">
        <f t="shared" si="26"/>
        <v>40</v>
      </c>
      <c r="U130" s="19">
        <f t="shared" si="27"/>
        <v>29</v>
      </c>
      <c r="V130" s="17">
        <f t="shared" si="28"/>
        <v>11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18.0</v>
      </c>
      <c r="AK130" s="23">
        <v>11.0</v>
      </c>
      <c r="AL130" s="22">
        <v>7.0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20</v>
      </c>
      <c r="U131" s="19">
        <f t="shared" si="27"/>
        <v>19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63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20.0</v>
      </c>
      <c r="AK131" s="23">
        <v>19.0</v>
      </c>
      <c r="AL131" s="22">
        <v>1.0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2.0</v>
      </c>
      <c r="AJ132" s="22">
        <v>15.0</v>
      </c>
      <c r="AK132" s="23">
        <v>26.0</v>
      </c>
      <c r="AL132" s="22">
        <v>-11.0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0</v>
      </c>
      <c r="T133" s="17">
        <f t="shared" si="26"/>
        <v>41</v>
      </c>
      <c r="U133" s="19">
        <f t="shared" si="27"/>
        <v>26</v>
      </c>
      <c r="V133" s="17">
        <f t="shared" si="28"/>
        <v>15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123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17.0</v>
      </c>
      <c r="AK133" s="22">
        <v>28.0</v>
      </c>
      <c r="AL133" s="22">
        <v>-11.0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3</v>
      </c>
      <c r="T134" s="17">
        <f t="shared" si="26"/>
        <v>19</v>
      </c>
      <c r="U134" s="19">
        <f t="shared" si="27"/>
        <v>35</v>
      </c>
      <c r="V134" s="17">
        <f t="shared" si="28"/>
        <v>-16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3.0</v>
      </c>
      <c r="AJ134" s="22">
        <v>19.0</v>
      </c>
      <c r="AK134" s="22">
        <v>35.0</v>
      </c>
      <c r="AL134" s="22">
        <v>-16.0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41</v>
      </c>
      <c r="U3" s="19">
        <f t="shared" ref="U3:U16" si="8">SUMIF(E$3:E$51,O3,H$3:H$51)+SUMIF(I$3:I$51,O3,F$3:F$51)</f>
        <v>27</v>
      </c>
      <c r="V3" s="17">
        <f t="shared" ref="V3:V16" si="9">T3-U3</f>
        <v>14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Civil</v>
      </c>
      <c r="AC3" s="22">
        <v>6.0</v>
      </c>
      <c r="AD3" s="22">
        <v>3.0</v>
      </c>
      <c r="AE3" s="22">
        <v>0.0</v>
      </c>
      <c r="AF3" s="23">
        <v>0.0</v>
      </c>
      <c r="AG3" s="22">
        <v>45.0</v>
      </c>
      <c r="AH3" s="23">
        <v>7.0</v>
      </c>
      <c r="AI3" s="22">
        <v>38.0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6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62</v>
      </c>
      <c r="U4" s="19">
        <f t="shared" si="8"/>
        <v>26</v>
      </c>
      <c r="V4" s="17">
        <f t="shared" si="9"/>
        <v>36</v>
      </c>
      <c r="W4" s="56"/>
      <c r="X4" s="56"/>
      <c r="Y4" s="56"/>
      <c r="Z4" s="56"/>
      <c r="AA4" s="21" t="s">
        <v>34</v>
      </c>
      <c r="AB4" s="63" t="s">
        <v>23</v>
      </c>
      <c r="AC4" s="22">
        <v>6.0</v>
      </c>
      <c r="AD4" s="22">
        <v>3.0</v>
      </c>
      <c r="AE4" s="22">
        <v>0.0</v>
      </c>
      <c r="AF4" s="23">
        <v>0.0</v>
      </c>
      <c r="AG4" s="22">
        <v>62.0</v>
      </c>
      <c r="AH4" s="23">
        <v>26.0</v>
      </c>
      <c r="AI4" s="22">
        <v>36.0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1</v>
      </c>
      <c r="T5" s="17">
        <f t="shared" si="7"/>
        <v>37</v>
      </c>
      <c r="U5" s="19">
        <f t="shared" si="8"/>
        <v>28</v>
      </c>
      <c r="V5" s="17">
        <f t="shared" si="9"/>
        <v>9</v>
      </c>
      <c r="W5" s="56"/>
      <c r="X5" s="56"/>
      <c r="Y5" s="56"/>
      <c r="Z5" s="56"/>
      <c r="AA5" s="21" t="s">
        <v>39</v>
      </c>
      <c r="AB5" s="63" t="s">
        <v>33</v>
      </c>
      <c r="AC5" s="22">
        <v>6.0</v>
      </c>
      <c r="AD5" s="22">
        <v>3.0</v>
      </c>
      <c r="AE5" s="22">
        <v>0.0</v>
      </c>
      <c r="AF5" s="23">
        <v>0.0</v>
      </c>
      <c r="AG5" s="22">
        <v>47.0</v>
      </c>
      <c r="AH5" s="23">
        <v>28.0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47</v>
      </c>
      <c r="U6" s="19">
        <f t="shared" si="8"/>
        <v>28</v>
      </c>
      <c r="V6" s="17">
        <f t="shared" si="9"/>
        <v>19</v>
      </c>
      <c r="W6" s="56"/>
      <c r="X6" s="56"/>
      <c r="Y6" s="56"/>
      <c r="Z6" s="56"/>
      <c r="AA6" s="47" t="s">
        <v>42</v>
      </c>
      <c r="AB6" s="63" t="s">
        <v>60</v>
      </c>
      <c r="AC6" s="22">
        <v>6.0</v>
      </c>
      <c r="AD6" s="22">
        <v>3.0</v>
      </c>
      <c r="AE6" s="22">
        <v>0.0</v>
      </c>
      <c r="AF6" s="23">
        <v>0.0</v>
      </c>
      <c r="AG6" s="22">
        <v>18.0</v>
      </c>
      <c r="AH6" s="23">
        <v>6.0</v>
      </c>
      <c r="AI6" s="22">
        <v>12.0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34</v>
      </c>
      <c r="U7" s="19">
        <f t="shared" si="8"/>
        <v>27</v>
      </c>
      <c r="V7" s="17">
        <f t="shared" si="9"/>
        <v>7</v>
      </c>
      <c r="W7" s="56"/>
      <c r="X7" s="56"/>
      <c r="Y7" s="56"/>
      <c r="Z7" s="56"/>
      <c r="AA7" s="47" t="s">
        <v>44</v>
      </c>
      <c r="AB7" s="63" t="s">
        <v>25</v>
      </c>
      <c r="AC7" s="22">
        <v>4.0</v>
      </c>
      <c r="AD7" s="22">
        <v>2.0</v>
      </c>
      <c r="AE7" s="22">
        <v>0.0</v>
      </c>
      <c r="AF7" s="23">
        <v>1.0</v>
      </c>
      <c r="AG7" s="22">
        <v>41.0</v>
      </c>
      <c r="AH7" s="23">
        <v>27.0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23</v>
      </c>
      <c r="U8" s="19">
        <f t="shared" si="8"/>
        <v>37</v>
      </c>
      <c r="V8" s="17">
        <f t="shared" si="9"/>
        <v>-14</v>
      </c>
      <c r="W8" s="56"/>
      <c r="X8" s="56"/>
      <c r="Y8" s="56"/>
      <c r="Z8" s="56"/>
      <c r="AA8" s="47" t="s">
        <v>47</v>
      </c>
      <c r="AB8" s="63" t="s">
        <v>37</v>
      </c>
      <c r="AC8" s="22">
        <v>4.0</v>
      </c>
      <c r="AD8" s="22">
        <v>2.0</v>
      </c>
      <c r="AE8" s="22">
        <v>0.0</v>
      </c>
      <c r="AF8" s="23">
        <v>1.0</v>
      </c>
      <c r="AG8" s="22">
        <v>37.0</v>
      </c>
      <c r="AH8" s="23">
        <v>28.0</v>
      </c>
      <c r="AI8" s="22">
        <v>9.0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3</v>
      </c>
      <c r="T9" s="17">
        <f t="shared" si="7"/>
        <v>18</v>
      </c>
      <c r="U9" s="19">
        <f t="shared" si="8"/>
        <v>49</v>
      </c>
      <c r="V9" s="17">
        <f t="shared" si="9"/>
        <v>-31</v>
      </c>
      <c r="W9" s="56"/>
      <c r="X9" s="56"/>
      <c r="Y9" s="56"/>
      <c r="Z9" s="56"/>
      <c r="AA9" s="47" t="s">
        <v>48</v>
      </c>
      <c r="AB9" s="63" t="s">
        <v>57</v>
      </c>
      <c r="AC9" s="22">
        <v>2.0</v>
      </c>
      <c r="AD9" s="22">
        <v>1.0</v>
      </c>
      <c r="AE9" s="22">
        <v>0.0</v>
      </c>
      <c r="AF9" s="23">
        <v>2.0</v>
      </c>
      <c r="AG9" s="22">
        <v>34.0</v>
      </c>
      <c r="AH9" s="23">
        <v>27.0</v>
      </c>
      <c r="AI9" s="22">
        <v>7.0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12</v>
      </c>
      <c r="U10" s="19">
        <f t="shared" si="8"/>
        <v>29</v>
      </c>
      <c r="V10" s="17">
        <f t="shared" si="9"/>
        <v>-17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2.0</v>
      </c>
      <c r="AD10" s="22">
        <v>1.0</v>
      </c>
      <c r="AE10" s="22">
        <v>0.0</v>
      </c>
      <c r="AF10" s="23">
        <v>2.0</v>
      </c>
      <c r="AG10" s="22">
        <v>17.0</v>
      </c>
      <c r="AH10" s="23">
        <v>14.0</v>
      </c>
      <c r="AI10" s="22">
        <v>3.0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116</v>
      </c>
      <c r="AC11" s="22">
        <v>2.0</v>
      </c>
      <c r="AD11" s="22">
        <v>1.0</v>
      </c>
      <c r="AE11" s="22">
        <v>0.0</v>
      </c>
      <c r="AF11" s="23">
        <v>2.0</v>
      </c>
      <c r="AG11" s="22">
        <v>16.0</v>
      </c>
      <c r="AH11" s="23">
        <v>25.0</v>
      </c>
      <c r="AI11" s="22">
        <v>-9.0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18</v>
      </c>
      <c r="U12" s="19">
        <f t="shared" si="8"/>
        <v>6</v>
      </c>
      <c r="V12" s="17">
        <f t="shared" si="9"/>
        <v>12</v>
      </c>
      <c r="W12" s="56"/>
      <c r="X12" s="56"/>
      <c r="Y12" s="56"/>
      <c r="Z12" s="56"/>
      <c r="AA12" s="21">
        <v>10.0</v>
      </c>
      <c r="AB12" s="63" t="s">
        <v>133</v>
      </c>
      <c r="AC12" s="22">
        <v>2.0</v>
      </c>
      <c r="AD12" s="22">
        <v>1.0</v>
      </c>
      <c r="AE12" s="22">
        <v>0.0</v>
      </c>
      <c r="AF12" s="23">
        <v>2.0</v>
      </c>
      <c r="AG12" s="22">
        <v>23.0</v>
      </c>
      <c r="AH12" s="23">
        <v>37.0</v>
      </c>
      <c r="AI12" s="22">
        <v>-14.0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3</v>
      </c>
      <c r="T13" s="17">
        <f t="shared" si="7"/>
        <v>4</v>
      </c>
      <c r="U13" s="19">
        <f t="shared" si="8"/>
        <v>28</v>
      </c>
      <c r="V13" s="17">
        <f t="shared" si="9"/>
        <v>-24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2.0</v>
      </c>
      <c r="AG13" s="22">
        <v>12.0</v>
      </c>
      <c r="AH13" s="23">
        <v>29.0</v>
      </c>
      <c r="AI13" s="22">
        <v>-17.0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16</v>
      </c>
      <c r="U14" s="19">
        <f t="shared" si="8"/>
        <v>25</v>
      </c>
      <c r="V14" s="17">
        <f t="shared" si="9"/>
        <v>-9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1.0</v>
      </c>
      <c r="AG14" s="22">
        <v>1.0</v>
      </c>
      <c r="AH14" s="23">
        <v>8.0</v>
      </c>
      <c r="AI14" s="22">
        <v>-7.0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2</v>
      </c>
      <c r="T15" s="17">
        <f t="shared" si="7"/>
        <v>17</v>
      </c>
      <c r="U15" s="19">
        <f t="shared" si="8"/>
        <v>14</v>
      </c>
      <c r="V15" s="17">
        <f t="shared" si="9"/>
        <v>3</v>
      </c>
      <c r="W15" s="56"/>
      <c r="X15" s="56"/>
      <c r="Y15" s="56"/>
      <c r="Z15" s="56"/>
      <c r="AA15" s="21">
        <v>13.0</v>
      </c>
      <c r="AB15" s="63" t="s">
        <v>40</v>
      </c>
      <c r="AC15" s="22">
        <v>0.0</v>
      </c>
      <c r="AD15" s="22">
        <v>0.0</v>
      </c>
      <c r="AE15" s="22">
        <v>0.0</v>
      </c>
      <c r="AF15" s="23">
        <v>3.0</v>
      </c>
      <c r="AG15" s="22">
        <v>4.0</v>
      </c>
      <c r="AH15" s="23">
        <v>28.0</v>
      </c>
      <c r="AI15" s="22">
        <v>-24.0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6</v>
      </c>
      <c r="Q16" s="17">
        <f t="shared" si="4"/>
        <v>3</v>
      </c>
      <c r="R16" s="17">
        <f t="shared" si="5"/>
        <v>0</v>
      </c>
      <c r="S16" s="19">
        <f t="shared" si="6"/>
        <v>0</v>
      </c>
      <c r="T16" s="17">
        <f t="shared" si="7"/>
        <v>45</v>
      </c>
      <c r="U16" s="19">
        <f t="shared" si="8"/>
        <v>7</v>
      </c>
      <c r="V16" s="17">
        <f t="shared" si="9"/>
        <v>38</v>
      </c>
      <c r="W16" s="56"/>
      <c r="X16" s="56"/>
      <c r="Y16" s="56"/>
      <c r="Z16" s="56"/>
      <c r="AA16" s="21">
        <v>14.0</v>
      </c>
      <c r="AB16" s="63" t="s">
        <v>59</v>
      </c>
      <c r="AC16" s="22">
        <v>0.0</v>
      </c>
      <c r="AD16" s="22">
        <v>0.0</v>
      </c>
      <c r="AE16" s="22">
        <v>0.0</v>
      </c>
      <c r="AF16" s="23">
        <v>3.0</v>
      </c>
      <c r="AG16" s="22">
        <v>18.0</v>
      </c>
      <c r="AH16" s="23">
        <v>49.0</v>
      </c>
      <c r="AI16" s="22">
        <v>-31.0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>
        <v>20.0</v>
      </c>
      <c r="G19" s="76" t="s">
        <v>24</v>
      </c>
      <c r="H19" s="14">
        <v>3.0</v>
      </c>
      <c r="I19" s="40" t="s">
        <v>135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140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3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11</v>
      </c>
      <c r="U3" s="19">
        <f t="shared" ref="U3:U17" si="8">SUMIF(E$3:E$62,O3,H$3:H$62)+SUMIF(I$3:I$62,O3,F$3:F$62)</f>
        <v>5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9.0</v>
      </c>
      <c r="AB3" s="22">
        <v>0.0</v>
      </c>
      <c r="AC3" s="22">
        <v>0.0</v>
      </c>
      <c r="AD3" s="23">
        <v>0.0</v>
      </c>
      <c r="AE3" s="22">
        <v>26.0</v>
      </c>
      <c r="AF3" s="23">
        <v>2.0</v>
      </c>
      <c r="AG3" s="22">
        <v>24.0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14</v>
      </c>
      <c r="U4" s="19">
        <f t="shared" si="8"/>
        <v>3</v>
      </c>
      <c r="V4" s="17">
        <f t="shared" si="9"/>
        <v>11</v>
      </c>
      <c r="W4" s="56"/>
      <c r="X4" s="56"/>
      <c r="Y4" s="21" t="s">
        <v>34</v>
      </c>
      <c r="Z4" s="63" t="s">
        <v>23</v>
      </c>
      <c r="AA4" s="22">
        <v>9.0</v>
      </c>
      <c r="AB4" s="22">
        <v>0.0</v>
      </c>
      <c r="AC4" s="22">
        <v>0.0</v>
      </c>
      <c r="AD4" s="23">
        <v>0.0</v>
      </c>
      <c r="AE4" s="22">
        <v>21.0</v>
      </c>
      <c r="AF4" s="23">
        <v>2.0</v>
      </c>
      <c r="AG4" s="22">
        <v>19.0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6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6</v>
      </c>
      <c r="U5" s="19">
        <f t="shared" si="8"/>
        <v>1</v>
      </c>
      <c r="V5" s="17">
        <f t="shared" si="9"/>
        <v>5</v>
      </c>
      <c r="W5" s="56"/>
      <c r="X5" s="56"/>
      <c r="Y5" s="21" t="s">
        <v>39</v>
      </c>
      <c r="Z5" s="63" t="s">
        <v>31</v>
      </c>
      <c r="AA5" s="22">
        <v>9.0</v>
      </c>
      <c r="AB5" s="22">
        <v>0.0</v>
      </c>
      <c r="AC5" s="22">
        <v>0.0</v>
      </c>
      <c r="AD5" s="23">
        <v>0.0</v>
      </c>
      <c r="AE5" s="22">
        <v>14.0</v>
      </c>
      <c r="AF5" s="23">
        <v>3.0</v>
      </c>
      <c r="AG5" s="22">
        <v>11.0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9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26</v>
      </c>
      <c r="U6" s="19">
        <f t="shared" si="8"/>
        <v>2</v>
      </c>
      <c r="V6" s="17">
        <f t="shared" si="9"/>
        <v>24</v>
      </c>
      <c r="W6" s="56"/>
      <c r="X6" s="56"/>
      <c r="Y6" s="47" t="s">
        <v>42</v>
      </c>
      <c r="Z6" s="63" t="s">
        <v>25</v>
      </c>
      <c r="AA6" s="22">
        <v>6.0</v>
      </c>
      <c r="AB6" s="22">
        <v>0.0</v>
      </c>
      <c r="AC6" s="22">
        <v>0.0</v>
      </c>
      <c r="AD6" s="23">
        <v>1.0</v>
      </c>
      <c r="AE6" s="22">
        <v>20.0</v>
      </c>
      <c r="AF6" s="23">
        <v>4.0</v>
      </c>
      <c r="AG6" s="22">
        <v>16.0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40" t="s">
        <v>143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9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21</v>
      </c>
      <c r="U7" s="19">
        <f t="shared" si="8"/>
        <v>2</v>
      </c>
      <c r="V7" s="17">
        <f t="shared" si="9"/>
        <v>19</v>
      </c>
      <c r="W7" s="56"/>
      <c r="X7" s="56"/>
      <c r="Y7" s="47" t="s">
        <v>44</v>
      </c>
      <c r="Z7" s="63" t="s">
        <v>61</v>
      </c>
      <c r="AA7" s="22">
        <v>6.0</v>
      </c>
      <c r="AB7" s="22">
        <v>0.0</v>
      </c>
      <c r="AC7" s="22">
        <v>0.0</v>
      </c>
      <c r="AD7" s="23">
        <v>0.0</v>
      </c>
      <c r="AE7" s="22">
        <v>6.0</v>
      </c>
      <c r="AF7" s="23">
        <v>1.0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144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20</v>
      </c>
      <c r="U8" s="19">
        <f t="shared" si="8"/>
        <v>4</v>
      </c>
      <c r="V8" s="17">
        <f t="shared" si="9"/>
        <v>16</v>
      </c>
      <c r="W8" s="56"/>
      <c r="X8" s="56"/>
      <c r="Y8" s="47" t="s">
        <v>47</v>
      </c>
      <c r="Z8" s="63" t="s">
        <v>32</v>
      </c>
      <c r="AA8" s="22">
        <v>3.0</v>
      </c>
      <c r="AB8" s="22">
        <v>0.0</v>
      </c>
      <c r="AC8" s="22">
        <v>0.0</v>
      </c>
      <c r="AD8" s="23">
        <v>2.0</v>
      </c>
      <c r="AE8" s="22">
        <v>11.0</v>
      </c>
      <c r="AF8" s="23">
        <v>5.0</v>
      </c>
      <c r="AG8" s="22">
        <v>6.0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3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8</v>
      </c>
      <c r="U9" s="19">
        <f t="shared" si="8"/>
        <v>10</v>
      </c>
      <c r="V9" s="17">
        <f t="shared" si="9"/>
        <v>-2</v>
      </c>
      <c r="W9" s="56"/>
      <c r="X9" s="56"/>
      <c r="Y9" s="47" t="s">
        <v>48</v>
      </c>
      <c r="Z9" s="63" t="s">
        <v>37</v>
      </c>
      <c r="AA9" s="22">
        <v>3.0</v>
      </c>
      <c r="AB9" s="22">
        <v>0.0</v>
      </c>
      <c r="AC9" s="22">
        <v>0.0</v>
      </c>
      <c r="AD9" s="23">
        <v>1.0</v>
      </c>
      <c r="AE9" s="22">
        <v>8.0</v>
      </c>
      <c r="AF9" s="23">
        <v>9.0</v>
      </c>
      <c r="AG9" s="22">
        <v>-1.0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145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14</v>
      </c>
      <c r="V10" s="17">
        <f t="shared" si="9"/>
        <v>-8</v>
      </c>
      <c r="W10" s="56"/>
      <c r="X10" s="56"/>
      <c r="Y10" s="47" t="s">
        <v>134</v>
      </c>
      <c r="Z10" s="63" t="s">
        <v>43</v>
      </c>
      <c r="AA10" s="22">
        <v>3.0</v>
      </c>
      <c r="AB10" s="22">
        <v>0.0</v>
      </c>
      <c r="AC10" s="22">
        <v>0.0</v>
      </c>
      <c r="AD10" s="23">
        <v>2.0</v>
      </c>
      <c r="AE10" s="22">
        <v>8.0</v>
      </c>
      <c r="AF10" s="23">
        <v>10.0</v>
      </c>
      <c r="AG10" s="22">
        <v>-2.0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4</v>
      </c>
      <c r="U11" s="19">
        <f t="shared" si="8"/>
        <v>18</v>
      </c>
      <c r="V11" s="17">
        <f t="shared" si="9"/>
        <v>-14</v>
      </c>
      <c r="W11" s="56"/>
      <c r="X11" s="56"/>
      <c r="Y11" s="21">
        <v>9.0</v>
      </c>
      <c r="Z11" s="63" t="s">
        <v>145</v>
      </c>
      <c r="AA11" s="22">
        <v>3.0</v>
      </c>
      <c r="AB11" s="22">
        <v>0.0</v>
      </c>
      <c r="AC11" s="22">
        <v>0.0</v>
      </c>
      <c r="AD11" s="23">
        <v>1.0</v>
      </c>
      <c r="AE11" s="22">
        <v>1.0</v>
      </c>
      <c r="AF11" s="23">
        <v>6.0</v>
      </c>
      <c r="AG11" s="22">
        <v>-5.0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146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33</v>
      </c>
      <c r="AA12" s="22">
        <v>3.0</v>
      </c>
      <c r="AB12" s="22">
        <v>0.0</v>
      </c>
      <c r="AC12" s="22">
        <v>0.0</v>
      </c>
      <c r="AD12" s="23">
        <v>2.0</v>
      </c>
      <c r="AE12" s="22">
        <v>6.0</v>
      </c>
      <c r="AF12" s="23">
        <v>14.0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147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57</v>
      </c>
      <c r="AA13" s="22">
        <v>3.0</v>
      </c>
      <c r="AB13" s="22">
        <v>0.0</v>
      </c>
      <c r="AC13" s="22">
        <v>0.0</v>
      </c>
      <c r="AD13" s="23">
        <v>1.0</v>
      </c>
      <c r="AE13" s="22">
        <v>3.0</v>
      </c>
      <c r="AF13" s="23">
        <v>11.0</v>
      </c>
      <c r="AG13" s="22">
        <v>-8.0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148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40" t="s">
        <v>143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3</v>
      </c>
      <c r="T14" s="17">
        <f t="shared" si="7"/>
        <v>1</v>
      </c>
      <c r="U14" s="19">
        <f t="shared" si="8"/>
        <v>21</v>
      </c>
      <c r="V14" s="17">
        <f t="shared" si="9"/>
        <v>-20</v>
      </c>
      <c r="W14" s="56"/>
      <c r="X14" s="56"/>
      <c r="Y14" s="21">
        <v>12.0</v>
      </c>
      <c r="Z14" s="63" t="s">
        <v>113</v>
      </c>
      <c r="AA14" s="22">
        <v>3.0</v>
      </c>
      <c r="AB14" s="22">
        <v>0.0</v>
      </c>
      <c r="AC14" s="22">
        <v>0.0</v>
      </c>
      <c r="AD14" s="23">
        <v>1.0</v>
      </c>
      <c r="AE14" s="22">
        <v>4.0</v>
      </c>
      <c r="AF14" s="23">
        <v>18.0</v>
      </c>
      <c r="AG14" s="22">
        <v>-14.0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149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3</v>
      </c>
      <c r="T15" s="17">
        <f t="shared" si="7"/>
        <v>8</v>
      </c>
      <c r="U15" s="19">
        <f t="shared" si="8"/>
        <v>17</v>
      </c>
      <c r="V15" s="17">
        <f t="shared" si="9"/>
        <v>-9</v>
      </c>
      <c r="W15" s="56"/>
      <c r="X15" s="56"/>
      <c r="Y15" s="21">
        <v>13.0</v>
      </c>
      <c r="Z15" s="63" t="s">
        <v>146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145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1</v>
      </c>
      <c r="T16" s="17">
        <f t="shared" si="7"/>
        <v>1</v>
      </c>
      <c r="U16" s="19">
        <f t="shared" si="8"/>
        <v>6</v>
      </c>
      <c r="V16" s="17">
        <f t="shared" si="9"/>
        <v>-5</v>
      </c>
      <c r="W16" s="56"/>
      <c r="X16" s="56"/>
      <c r="Y16" s="21">
        <v>14.0</v>
      </c>
      <c r="Z16" s="63" t="s">
        <v>111</v>
      </c>
      <c r="AA16" s="22">
        <v>0.0</v>
      </c>
      <c r="AB16" s="22">
        <v>0.0</v>
      </c>
      <c r="AC16" s="22">
        <v>0.0</v>
      </c>
      <c r="AD16" s="23">
        <v>3.0</v>
      </c>
      <c r="AE16" s="22">
        <v>8.0</v>
      </c>
      <c r="AF16" s="23">
        <v>17.0</v>
      </c>
      <c r="AG16" s="22">
        <v>-9.0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6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3.0</v>
      </c>
      <c r="AE17" s="22">
        <v>1.0</v>
      </c>
      <c r="AF17" s="23">
        <v>21.0</v>
      </c>
      <c r="AG17" s="22">
        <v>-20.0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150</v>
      </c>
      <c r="D18" s="12" t="s">
        <v>22</v>
      </c>
      <c r="E18" s="40" t="s">
        <v>145</v>
      </c>
      <c r="F18" s="14">
        <v>0.0</v>
      </c>
      <c r="G18" s="76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151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152</v>
      </c>
      <c r="D19" s="12" t="s">
        <v>22</v>
      </c>
      <c r="E19" s="40" t="s">
        <v>65</v>
      </c>
      <c r="F19" s="14">
        <v>0.0</v>
      </c>
      <c r="G19" s="76" t="s">
        <v>24</v>
      </c>
      <c r="H19" s="14">
        <v>3.0</v>
      </c>
      <c r="I19" s="40" t="s">
        <v>61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6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153</v>
      </c>
      <c r="D21" s="12" t="s">
        <v>22</v>
      </c>
      <c r="E21" s="40" t="s">
        <v>33</v>
      </c>
      <c r="F21" s="88">
        <v>0.0</v>
      </c>
      <c r="G21" s="76" t="s">
        <v>24</v>
      </c>
      <c r="H21" s="88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154</v>
      </c>
      <c r="D22" s="12" t="s">
        <v>22</v>
      </c>
      <c r="E22" s="40" t="s">
        <v>57</v>
      </c>
      <c r="F22" s="14">
        <v>0.0</v>
      </c>
      <c r="G22" s="76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6" t="s">
        <v>24</v>
      </c>
      <c r="H23" s="14">
        <v>5.0</v>
      </c>
      <c r="I23" s="40" t="s">
        <v>43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145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40" t="s">
        <v>143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145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145</v>
      </c>
      <c r="F42" s="27"/>
      <c r="G42" s="76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145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145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145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43</v>
      </c>
      <c r="F60" s="76"/>
      <c r="G60" s="76" t="s">
        <v>24</v>
      </c>
      <c r="H60" s="76"/>
      <c r="I60" s="40" t="s">
        <v>143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155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156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157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158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158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159</v>
      </c>
      <c r="F5" s="14">
        <v>1.0</v>
      </c>
      <c r="G5" s="76" t="s">
        <v>24</v>
      </c>
      <c r="H5" s="14">
        <v>1.0</v>
      </c>
      <c r="I5" s="14" t="s">
        <v>160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160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161</v>
      </c>
      <c r="F8" s="14">
        <v>2.0</v>
      </c>
      <c r="G8" s="76" t="s">
        <v>24</v>
      </c>
      <c r="H8" s="14">
        <v>3.0</v>
      </c>
      <c r="I8" s="40" t="s">
        <v>158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162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161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160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161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154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159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147</v>
      </c>
      <c r="D11" s="12" t="s">
        <v>94</v>
      </c>
      <c r="E11" s="14" t="s">
        <v>160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159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163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159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158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161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164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160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165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159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158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161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161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160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158</v>
      </c>
      <c r="F25" s="14">
        <v>5.0</v>
      </c>
      <c r="G25" s="76" t="s">
        <v>24</v>
      </c>
      <c r="H25" s="14">
        <v>1.0</v>
      </c>
      <c r="I25" s="40" t="s">
        <v>159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160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158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159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161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160</v>
      </c>
      <c r="F33" s="76"/>
      <c r="G33" s="76" t="s">
        <v>24</v>
      </c>
      <c r="H33" s="76"/>
      <c r="I33" s="14" t="s">
        <v>161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158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159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160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158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161</v>
      </c>
      <c r="F44" s="76"/>
      <c r="G44" s="76" t="s">
        <v>24</v>
      </c>
      <c r="H44" s="76"/>
      <c r="I44" s="14" t="s">
        <v>159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161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160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158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159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160</v>
      </c>
      <c r="F52" s="76"/>
      <c r="G52" s="76" t="s">
        <v>24</v>
      </c>
      <c r="H52" s="76"/>
      <c r="I52" s="40" t="s">
        <v>158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159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161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161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158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160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159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158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160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159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161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166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167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167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95</v>
      </c>
      <c r="D82" s="59" t="s">
        <v>94</v>
      </c>
      <c r="E82" s="40" t="s">
        <v>43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167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167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168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165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157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167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167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167</v>
      </c>
      <c r="F98" s="60"/>
      <c r="G98" s="76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167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43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167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167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43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167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169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170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170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154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171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171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172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170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172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171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172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170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171</v>
      </c>
      <c r="F135" s="40">
        <v>5.0</v>
      </c>
      <c r="G135" s="76" t="s">
        <v>24</v>
      </c>
      <c r="H135" s="40">
        <v>2.0</v>
      </c>
      <c r="I135" s="40" t="s">
        <v>172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173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170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165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172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171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170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172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171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172</v>
      </c>
      <c r="F146" s="60"/>
      <c r="G146" s="76" t="s">
        <v>24</v>
      </c>
      <c r="H146" s="60"/>
      <c r="I146" s="40" t="s">
        <v>170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171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170</v>
      </c>
      <c r="F151" s="60"/>
      <c r="G151" s="76" t="s">
        <v>24</v>
      </c>
      <c r="H151" s="60"/>
      <c r="I151" s="40" t="s">
        <v>171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172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170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171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172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170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171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172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170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171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172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174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145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145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162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175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175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145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145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175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176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165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149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145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162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175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35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145</v>
      </c>
      <c r="F196" s="60"/>
      <c r="G196" s="76" t="s">
        <v>24</v>
      </c>
      <c r="H196" s="60"/>
      <c r="I196" s="40" t="s">
        <v>175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175</v>
      </c>
      <c r="F200" s="60"/>
      <c r="G200" s="76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145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175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35</v>
      </c>
      <c r="F206" s="60"/>
      <c r="G206" s="76" t="s">
        <v>24</v>
      </c>
      <c r="H206" s="60"/>
      <c r="I206" s="40" t="s">
        <v>145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145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175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145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175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145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175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177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178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179</v>
      </c>
      <c r="F229" s="13"/>
      <c r="G229" s="16" t="s">
        <v>24</v>
      </c>
      <c r="H229" s="13"/>
      <c r="I229" s="40" t="s">
        <v>180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181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182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183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184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184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184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158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184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184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158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158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184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184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154</v>
      </c>
      <c r="D10" s="12" t="s">
        <v>184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185</v>
      </c>
      <c r="D11" s="12" t="s">
        <v>184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186</v>
      </c>
      <c r="D12" s="12" t="s">
        <v>184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187</v>
      </c>
      <c r="D13" s="12" t="s">
        <v>184</v>
      </c>
      <c r="E13" s="40" t="s">
        <v>158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158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147</v>
      </c>
      <c r="D14" s="12" t="s">
        <v>184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184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188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184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184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185</v>
      </c>
      <c r="D18" s="12" t="s">
        <v>184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158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186</v>
      </c>
      <c r="D19" s="12" t="s">
        <v>184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187</v>
      </c>
      <c r="D20" s="12" t="s">
        <v>184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95</v>
      </c>
      <c r="D21" s="12" t="s">
        <v>184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184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184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184</v>
      </c>
      <c r="E24" s="40" t="s">
        <v>158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184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184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158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158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158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158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158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158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158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189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184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190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190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95</v>
      </c>
      <c r="D76" s="59" t="s">
        <v>184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95</v>
      </c>
      <c r="D77" s="59" t="s">
        <v>184</v>
      </c>
      <c r="E77" s="40" t="s">
        <v>43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184</v>
      </c>
      <c r="E79" s="14" t="s">
        <v>190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190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184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184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184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184</v>
      </c>
      <c r="E83" s="14" t="s">
        <v>43</v>
      </c>
      <c r="F83" s="15">
        <v>3.0</v>
      </c>
      <c r="G83" s="76" t="s">
        <v>24</v>
      </c>
      <c r="H83" s="79">
        <v>3.0</v>
      </c>
      <c r="I83" s="14" t="s">
        <v>190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191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184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162</v>
      </c>
      <c r="D85" s="59" t="s">
        <v>184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162</v>
      </c>
      <c r="D86" s="59" t="s">
        <v>184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190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184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96</v>
      </c>
      <c r="F91" s="113"/>
      <c r="G91" s="76" t="s">
        <v>24</v>
      </c>
      <c r="H91" s="113"/>
      <c r="I91" s="14" t="s">
        <v>190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190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184</v>
      </c>
      <c r="E98" s="40" t="s">
        <v>43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190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96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192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95</v>
      </c>
      <c r="D111" s="59" t="s">
        <v>184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184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184</v>
      </c>
      <c r="E113" s="14" t="s">
        <v>159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184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145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159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145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184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145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95</v>
      </c>
      <c r="D118" s="59" t="s">
        <v>184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159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95</v>
      </c>
      <c r="D119" s="59" t="s">
        <v>184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184</v>
      </c>
      <c r="E120" s="14" t="s">
        <v>145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193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184</v>
      </c>
      <c r="E121" s="14" t="s">
        <v>159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184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184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184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145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184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194</v>
      </c>
      <c r="D127" s="59" t="s">
        <v>184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159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184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157</v>
      </c>
      <c r="D129" s="59" t="s">
        <v>184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184</v>
      </c>
      <c r="E130" s="40" t="s">
        <v>60</v>
      </c>
      <c r="F130" s="113"/>
      <c r="G130" s="76" t="s">
        <v>24</v>
      </c>
      <c r="H130" s="113"/>
      <c r="I130" s="40" t="s">
        <v>145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159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145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145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35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159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145</v>
      </c>
      <c r="F142" s="113"/>
      <c r="G142" s="76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159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35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145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159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145</v>
      </c>
      <c r="F154" s="113"/>
      <c r="G154" s="76" t="s">
        <v>24</v>
      </c>
      <c r="H154" s="113"/>
      <c r="I154" s="14" t="s">
        <v>159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195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196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197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198</v>
      </c>
      <c r="U2" s="9" t="s">
        <v>199</v>
      </c>
      <c r="V2" s="9" t="s">
        <v>200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198</v>
      </c>
      <c r="AH2" s="5" t="s">
        <v>199</v>
      </c>
      <c r="AI2" s="5" t="s">
        <v>200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145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190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145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145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190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190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43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190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145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201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190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194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157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145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190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145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190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145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190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43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145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190</v>
      </c>
      <c r="F39" s="30"/>
      <c r="G39" s="30" t="s">
        <v>24</v>
      </c>
      <c r="H39" s="30"/>
      <c r="I39" s="14" t="s">
        <v>43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145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43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190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145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43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190</v>
      </c>
      <c r="F52" s="134"/>
      <c r="G52" s="30" t="s">
        <v>24</v>
      </c>
      <c r="H52" s="30"/>
      <c r="I52" s="14" t="s">
        <v>145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145</v>
      </c>
      <c r="F58" s="30"/>
      <c r="G58" s="30" t="s">
        <v>24</v>
      </c>
      <c r="H58" s="30"/>
      <c r="I58" s="14" t="s">
        <v>43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190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145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43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190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202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198</v>
      </c>
      <c r="U73" s="9" t="s">
        <v>199</v>
      </c>
      <c r="V73" s="9" t="s">
        <v>200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198</v>
      </c>
      <c r="AH73" s="5" t="s">
        <v>199</v>
      </c>
      <c r="AI73" s="5" t="s">
        <v>200</v>
      </c>
    </row>
    <row r="74" ht="15.75" customHeight="1">
      <c r="A74" s="58">
        <v>1.0</v>
      </c>
      <c r="B74" s="11">
        <v>45944.0</v>
      </c>
      <c r="C74" s="12" t="s">
        <v>162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160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147</v>
      </c>
      <c r="D75" s="12" t="s">
        <v>22</v>
      </c>
      <c r="E75" s="14" t="s">
        <v>172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41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162</v>
      </c>
      <c r="D76" s="12" t="s">
        <v>22</v>
      </c>
      <c r="E76" s="14" t="s">
        <v>203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160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41</v>
      </c>
      <c r="Y76" s="109">
        <v>0.0</v>
      </c>
      <c r="AA76" s="21">
        <v>3.0</v>
      </c>
      <c r="AB76" s="63" t="s">
        <v>160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154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203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154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41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160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154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203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172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203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172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204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160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172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203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160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172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203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148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205</v>
      </c>
      <c r="D99" s="12" t="s">
        <v>22</v>
      </c>
      <c r="E99" s="14" t="s">
        <v>160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152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152</v>
      </c>
      <c r="D101" s="12" t="s">
        <v>22</v>
      </c>
      <c r="E101" s="14" t="s">
        <v>172</v>
      </c>
      <c r="F101" s="140">
        <v>2.0</v>
      </c>
      <c r="G101" s="30" t="s">
        <v>24</v>
      </c>
      <c r="H101" s="13">
        <v>0.0</v>
      </c>
      <c r="I101" s="14" t="s">
        <v>41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152</v>
      </c>
      <c r="D102" s="12" t="s">
        <v>22</v>
      </c>
      <c r="E102" s="14" t="s">
        <v>203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160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41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172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160</v>
      </c>
      <c r="F112" s="30"/>
      <c r="G112" s="30" t="s">
        <v>24</v>
      </c>
      <c r="H112" s="30"/>
      <c r="I112" s="14" t="s">
        <v>41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172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41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160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203</v>
      </c>
      <c r="F121" s="30"/>
      <c r="G121" s="30" t="s">
        <v>24</v>
      </c>
      <c r="H121" s="30"/>
      <c r="I121" s="14" t="s">
        <v>172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41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160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172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41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203</v>
      </c>
      <c r="F132" s="30"/>
      <c r="G132" s="30" t="s">
        <v>24</v>
      </c>
      <c r="H132" s="30"/>
      <c r="I132" s="14" t="s">
        <v>160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172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41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160</v>
      </c>
      <c r="F138" s="13"/>
      <c r="G138" s="30" t="s">
        <v>24</v>
      </c>
      <c r="H138" s="13"/>
      <c r="I138" s="14" t="s">
        <v>172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206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198</v>
      </c>
      <c r="U145" s="9" t="s">
        <v>199</v>
      </c>
      <c r="V145" s="9" t="s">
        <v>200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198</v>
      </c>
      <c r="AH145" s="5" t="s">
        <v>199</v>
      </c>
      <c r="AI145" s="5" t="s">
        <v>200</v>
      </c>
    </row>
    <row r="146" ht="15.75" customHeight="1">
      <c r="A146" s="58">
        <v>1.0</v>
      </c>
      <c r="B146" s="11">
        <v>45944.0</v>
      </c>
      <c r="C146" s="12" t="s">
        <v>147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147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159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162</v>
      </c>
      <c r="D148" s="12" t="s">
        <v>22</v>
      </c>
      <c r="E148" s="14" t="s">
        <v>207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144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159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144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35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159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144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207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207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207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159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208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207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159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35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150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150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149</v>
      </c>
      <c r="D168" s="12" t="s">
        <v>22</v>
      </c>
      <c r="E168" s="14" t="s">
        <v>159</v>
      </c>
      <c r="F168" s="13">
        <v>2.0</v>
      </c>
      <c r="G168" s="30" t="s">
        <v>24</v>
      </c>
      <c r="H168" s="13">
        <v>1.0</v>
      </c>
      <c r="I168" s="14" t="s">
        <v>207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162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159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207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35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159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207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35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159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207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159</v>
      </c>
      <c r="F190" s="30"/>
      <c r="G190" s="30" t="s">
        <v>24</v>
      </c>
      <c r="H190" s="30"/>
      <c r="I190" s="14" t="s">
        <v>35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207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159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35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207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159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35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207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159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35</v>
      </c>
      <c r="F209" s="30"/>
      <c r="G209" s="30" t="s">
        <v>24</v>
      </c>
      <c r="H209" s="30"/>
      <c r="I209" s="14" t="s">
        <v>207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198</v>
      </c>
      <c r="U217" s="147" t="s">
        <v>199</v>
      </c>
      <c r="V217" s="147" t="s">
        <v>200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198</v>
      </c>
      <c r="AH217" s="148" t="s">
        <v>199</v>
      </c>
      <c r="AI217" s="148" t="s">
        <v>200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210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211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198</v>
      </c>
      <c r="U2" s="9" t="s">
        <v>199</v>
      </c>
      <c r="V2" s="9" t="s">
        <v>200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198</v>
      </c>
      <c r="AH2" s="5" t="s">
        <v>199</v>
      </c>
      <c r="AI2" s="5" t="s">
        <v>200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96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43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212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157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148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43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96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43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96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43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96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43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96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43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43</v>
      </c>
      <c r="F61" s="30"/>
      <c r="G61" s="30" t="s">
        <v>24</v>
      </c>
      <c r="H61" s="30"/>
      <c r="I61" s="14" t="s">
        <v>96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43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96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213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198</v>
      </c>
      <c r="U73" s="9" t="s">
        <v>199</v>
      </c>
      <c r="V73" s="9" t="s">
        <v>200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198</v>
      </c>
      <c r="AH73" s="5" t="s">
        <v>199</v>
      </c>
      <c r="AI73" s="5" t="s">
        <v>200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145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145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190</v>
      </c>
      <c r="F75" s="13">
        <v>0.0</v>
      </c>
      <c r="G75" s="30" t="s">
        <v>24</v>
      </c>
      <c r="H75" s="13">
        <v>2.0</v>
      </c>
      <c r="I75" s="14" t="s">
        <v>160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41</v>
      </c>
      <c r="Y76" s="109">
        <v>0.0</v>
      </c>
      <c r="AA76" s="21">
        <v>3.0</v>
      </c>
      <c r="AB76" s="63" t="s">
        <v>145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172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172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172</v>
      </c>
      <c r="F78" s="13">
        <v>2.0</v>
      </c>
      <c r="G78" s="30" t="s">
        <v>24</v>
      </c>
      <c r="H78" s="13">
        <v>0.0</v>
      </c>
      <c r="I78" s="14" t="s">
        <v>214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160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214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160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190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160</v>
      </c>
      <c r="F81" s="13">
        <v>0.0</v>
      </c>
      <c r="G81" s="30" t="s">
        <v>24</v>
      </c>
      <c r="H81" s="13">
        <v>2.0</v>
      </c>
      <c r="I81" s="14" t="s">
        <v>145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190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190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214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214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172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215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160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145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194</v>
      </c>
      <c r="D88" s="12" t="s">
        <v>22</v>
      </c>
      <c r="E88" s="14" t="s">
        <v>190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214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172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145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214</v>
      </c>
      <c r="F95" s="13">
        <v>2.0</v>
      </c>
      <c r="G95" s="30" t="s">
        <v>24</v>
      </c>
      <c r="H95" s="13">
        <v>0.0</v>
      </c>
      <c r="I95" s="14" t="s">
        <v>190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172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160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145</v>
      </c>
      <c r="F100" s="140">
        <v>2.0</v>
      </c>
      <c r="G100" s="30" t="s">
        <v>24</v>
      </c>
      <c r="H100" s="13">
        <v>1.0</v>
      </c>
      <c r="I100" s="14" t="s">
        <v>214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190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172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214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145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172</v>
      </c>
      <c r="F108" s="30"/>
      <c r="G108" s="30" t="s">
        <v>24</v>
      </c>
      <c r="H108" s="30"/>
      <c r="I108" s="14" t="s">
        <v>190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160</v>
      </c>
      <c r="F111" s="30"/>
      <c r="G111" s="30" t="s">
        <v>24</v>
      </c>
      <c r="H111" s="30"/>
      <c r="I111" s="14" t="s">
        <v>214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145</v>
      </c>
      <c r="F113" s="30"/>
      <c r="G113" s="30" t="s">
        <v>24</v>
      </c>
      <c r="H113" s="30"/>
      <c r="I113" s="14" t="s">
        <v>172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190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214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172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145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190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160</v>
      </c>
      <c r="F124" s="30"/>
      <c r="G124" s="30" t="s">
        <v>24</v>
      </c>
      <c r="H124" s="30"/>
      <c r="I124" s="14" t="s">
        <v>172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145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190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172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190</v>
      </c>
      <c r="F133" s="30"/>
      <c r="G133" s="30" t="s">
        <v>24</v>
      </c>
      <c r="H133" s="30"/>
      <c r="I133" s="14" t="s">
        <v>145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214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172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160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190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145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216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198</v>
      </c>
      <c r="U145" s="9" t="s">
        <v>199</v>
      </c>
      <c r="V145" s="9" t="s">
        <v>200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198</v>
      </c>
      <c r="AH145" s="5" t="s">
        <v>199</v>
      </c>
      <c r="AI145" s="5" t="s">
        <v>200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217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218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217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218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217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218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217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218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219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217</v>
      </c>
      <c r="F158" s="13">
        <v>2.0</v>
      </c>
      <c r="G158" s="30" t="s">
        <v>24</v>
      </c>
      <c r="H158" s="13">
        <v>1.0</v>
      </c>
      <c r="I158" s="14" t="s">
        <v>218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194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157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218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217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150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149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162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218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205</v>
      </c>
      <c r="D171" s="12" t="s">
        <v>22</v>
      </c>
      <c r="E171" s="14" t="s">
        <v>217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205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148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218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217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218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217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218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217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218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217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218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217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218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217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220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198</v>
      </c>
      <c r="U217" s="147" t="s">
        <v>199</v>
      </c>
      <c r="V217" s="147" t="s">
        <v>200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198</v>
      </c>
      <c r="AH217" s="148" t="s">
        <v>199</v>
      </c>
      <c r="AI217" s="148" t="s">
        <v>200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221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222</v>
      </c>
      <c r="B1" s="151" t="s">
        <v>223</v>
      </c>
      <c r="C1" s="151" t="s">
        <v>224</v>
      </c>
      <c r="D1" s="151" t="s">
        <v>225</v>
      </c>
      <c r="E1" s="151" t="s">
        <v>226</v>
      </c>
      <c r="F1" s="151" t="s">
        <v>227</v>
      </c>
      <c r="G1" s="151" t="s">
        <v>228</v>
      </c>
      <c r="H1" s="151" t="s">
        <v>229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230</v>
      </c>
      <c r="B2" s="154" t="s">
        <v>231</v>
      </c>
      <c r="C2" s="155" t="s">
        <v>31</v>
      </c>
      <c r="D2" s="155" t="s">
        <v>232</v>
      </c>
      <c r="E2" s="156">
        <v>108125.0</v>
      </c>
      <c r="F2" s="157" t="s">
        <v>233</v>
      </c>
      <c r="G2" s="154" t="s">
        <v>234</v>
      </c>
      <c r="H2" s="155" t="s">
        <v>235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230</v>
      </c>
      <c r="B3" s="154" t="s">
        <v>236</v>
      </c>
      <c r="C3" s="154" t="s">
        <v>32</v>
      </c>
      <c r="D3" s="154" t="s">
        <v>237</v>
      </c>
      <c r="E3" s="158">
        <v>89159.0</v>
      </c>
      <c r="F3" s="159" t="s">
        <v>238</v>
      </c>
      <c r="G3" s="154" t="s">
        <v>234</v>
      </c>
      <c r="H3" s="154" t="s">
        <v>239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230</v>
      </c>
      <c r="B4" s="154" t="s">
        <v>240</v>
      </c>
      <c r="C4" s="154" t="s">
        <v>111</v>
      </c>
      <c r="D4" s="154" t="s">
        <v>241</v>
      </c>
      <c r="E4" s="158">
        <v>100096.0</v>
      </c>
      <c r="F4" s="159" t="s">
        <v>242</v>
      </c>
      <c r="G4" s="154" t="s">
        <v>234</v>
      </c>
      <c r="H4" s="154" t="s">
        <v>243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230</v>
      </c>
      <c r="B5" s="154" t="s">
        <v>244</v>
      </c>
      <c r="C5" s="154" t="s">
        <v>55</v>
      </c>
      <c r="D5" s="154" t="s">
        <v>245</v>
      </c>
      <c r="E5" s="158">
        <v>108498.0</v>
      </c>
      <c r="F5" s="159" t="s">
        <v>246</v>
      </c>
      <c r="G5" s="154" t="s">
        <v>234</v>
      </c>
      <c r="H5" s="154" t="s">
        <v>247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230</v>
      </c>
      <c r="B6" s="154" t="s">
        <v>248</v>
      </c>
      <c r="C6" s="154" t="s">
        <v>63</v>
      </c>
      <c r="D6" s="154" t="s">
        <v>249</v>
      </c>
      <c r="E6" s="158">
        <v>110713.0</v>
      </c>
      <c r="F6" s="159" t="s">
        <v>242</v>
      </c>
      <c r="G6" s="154" t="s">
        <v>234</v>
      </c>
      <c r="H6" s="154" t="s">
        <v>250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230</v>
      </c>
      <c r="B7" s="154" t="s">
        <v>251</v>
      </c>
      <c r="C7" s="154" t="s">
        <v>59</v>
      </c>
      <c r="D7" s="154" t="s">
        <v>252</v>
      </c>
      <c r="E7" s="158">
        <v>108196.0</v>
      </c>
      <c r="F7" s="159" t="s">
        <v>246</v>
      </c>
      <c r="G7" s="154" t="s">
        <v>234</v>
      </c>
      <c r="H7" s="154" t="s">
        <v>247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253</v>
      </c>
      <c r="B8" s="154" t="s">
        <v>254</v>
      </c>
      <c r="C8" s="154" t="s">
        <v>159</v>
      </c>
      <c r="D8" s="154" t="s">
        <v>255</v>
      </c>
      <c r="E8" s="158">
        <v>103269.0</v>
      </c>
      <c r="F8" s="159" t="s">
        <v>246</v>
      </c>
      <c r="G8" s="154" t="s">
        <v>234</v>
      </c>
      <c r="H8" s="154" t="s">
        <v>247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230</v>
      </c>
      <c r="B9" s="154" t="s">
        <v>256</v>
      </c>
      <c r="C9" s="154" t="s">
        <v>41</v>
      </c>
      <c r="D9" s="154" t="s">
        <v>257</v>
      </c>
      <c r="E9" s="158">
        <v>109271.0</v>
      </c>
      <c r="F9" s="159" t="s">
        <v>246</v>
      </c>
      <c r="G9" s="154" t="s">
        <v>258</v>
      </c>
      <c r="H9" s="154" t="s">
        <v>259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230</v>
      </c>
      <c r="B10" s="154" t="s">
        <v>260</v>
      </c>
      <c r="C10" s="154" t="s">
        <v>121</v>
      </c>
      <c r="D10" s="154" t="s">
        <v>261</v>
      </c>
      <c r="E10" s="158">
        <v>108249.0</v>
      </c>
      <c r="F10" s="159" t="s">
        <v>246</v>
      </c>
      <c r="G10" s="154" t="s">
        <v>258</v>
      </c>
      <c r="H10" s="154" t="s">
        <v>259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230</v>
      </c>
      <c r="B11" s="154" t="s">
        <v>262</v>
      </c>
      <c r="C11" s="154" t="s">
        <v>40</v>
      </c>
      <c r="D11" s="154" t="s">
        <v>263</v>
      </c>
      <c r="E11" s="158">
        <v>103583.0</v>
      </c>
      <c r="F11" s="159" t="s">
        <v>246</v>
      </c>
      <c r="G11" s="154" t="s">
        <v>258</v>
      </c>
      <c r="H11" s="154" t="s">
        <v>264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230</v>
      </c>
      <c r="B12" s="154" t="s">
        <v>262</v>
      </c>
      <c r="C12" s="154" t="s">
        <v>40</v>
      </c>
      <c r="D12" s="154" t="s">
        <v>265</v>
      </c>
      <c r="E12" s="158">
        <v>93245.0</v>
      </c>
      <c r="F12" s="160" t="s">
        <v>266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