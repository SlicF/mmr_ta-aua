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EBOL MISTO" sheetId="1" r:id="rId4"/>
    <sheet state="visible" name="BASQUETEBOL MASCULINO" sheetId="2" r:id="rId5"/>
    <sheet state="visible" name="BASQUETEBOL FEMININO" sheetId="3" r:id="rId6"/>
    <sheet state="visible" name="FUTSAL MASCULINO" sheetId="4" r:id="rId7"/>
    <sheet state="visible" name="FUTSAL FEMININO" sheetId="5" r:id="rId8"/>
    <sheet state="visible" name="FUTEBOL DE 7 MASCULINO" sheetId="6" r:id="rId9"/>
    <sheet state="visible" name="VOLEIBOL FEMININO" sheetId="7" r:id="rId10"/>
    <sheet state="visible" name="VOLEIBOL MASCULINO" sheetId="8" r:id="rId11"/>
    <sheet state="hidden" name="CASTIGOS" sheetId="9" r:id="rId12"/>
  </sheets>
  <definedNames/>
  <calcPr/>
  <extLst>
    <ext uri="GoogleSheetsCustomDataVersion2">
      <go:sheetsCustomData xmlns:go="http://customooxmlschemas.google.com/" r:id="rId13" roundtripDataChecksum="UQiD8k6JJW6ukM7GKpHI3O3lEJyqhQjfuKdhOs6keig="/>
    </ext>
  </extLst>
</workbook>
</file>

<file path=xl/sharedStrings.xml><?xml version="1.0" encoding="utf-8"?>
<sst xmlns="http://schemas.openxmlformats.org/spreadsheetml/2006/main" count="5589" uniqueCount="265">
  <si>
    <t>ANDEBOL MISTO | 1ª DIVISÃO</t>
  </si>
  <si>
    <t>Jornada</t>
  </si>
  <si>
    <t>Dia</t>
  </si>
  <si>
    <t>Hora</t>
  </si>
  <si>
    <t>Local</t>
  </si>
  <si>
    <t>Equipa Visitada</t>
  </si>
  <si>
    <t>Resultado</t>
  </si>
  <si>
    <t>Equipa Visitante</t>
  </si>
  <si>
    <t>OBSERVAÇÕES</t>
  </si>
  <si>
    <t>Pontos equipa visitada</t>
  </si>
  <si>
    <t>Pontos equipa visitante</t>
  </si>
  <si>
    <t>CLASSIFICAÇÃO</t>
  </si>
  <si>
    <t>EQUIPA</t>
  </si>
  <si>
    <t>Pontos</t>
  </si>
  <si>
    <t>Vitória</t>
  </si>
  <si>
    <t>Empate</t>
  </si>
  <si>
    <t>Derrota</t>
  </si>
  <si>
    <t>GM</t>
  </si>
  <si>
    <t>GS</t>
  </si>
  <si>
    <t>DG</t>
  </si>
  <si>
    <t>Confronto direto</t>
  </si>
  <si>
    <t>21h15</t>
  </si>
  <si>
    <t>PAH</t>
  </si>
  <si>
    <t>Fisioterapia</t>
  </si>
  <si>
    <t>vs</t>
  </si>
  <si>
    <t>EGI</t>
  </si>
  <si>
    <t>Classificação</t>
  </si>
  <si>
    <t>GM (1ªFase)</t>
  </si>
  <si>
    <t>GS (1ª Fase)</t>
  </si>
  <si>
    <t>1*</t>
  </si>
  <si>
    <t>22h15</t>
  </si>
  <si>
    <t>Eng. Civil</t>
  </si>
  <si>
    <t>Eng. Materiais</t>
  </si>
  <si>
    <t>Eng. Mecânica</t>
  </si>
  <si>
    <t>2*</t>
  </si>
  <si>
    <t>23h15</t>
  </si>
  <si>
    <t>EET</t>
  </si>
  <si>
    <t>Biotecnologia</t>
  </si>
  <si>
    <t>3*</t>
  </si>
  <si>
    <t>Gestão Comercial</t>
  </si>
  <si>
    <t>ECT</t>
  </si>
  <si>
    <t>4*</t>
  </si>
  <si>
    <t>Marketing</t>
  </si>
  <si>
    <t>Eng. Informática</t>
  </si>
  <si>
    <t>5*</t>
  </si>
  <si>
    <t>Eng. Física</t>
  </si>
  <si>
    <t xml:space="preserve">Confronto direto </t>
  </si>
  <si>
    <t>6*</t>
  </si>
  <si>
    <t>7*</t>
  </si>
  <si>
    <t>Eng Informática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</si>
  <si>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</si>
  <si>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ANDEBOL MISTO | 2ª DIVISÃO</t>
  </si>
  <si>
    <t>Confronto Direto</t>
  </si>
  <si>
    <t>20h15</t>
  </si>
  <si>
    <t>Administração Pública</t>
  </si>
  <si>
    <t>Biologia e Geologia</t>
  </si>
  <si>
    <t>Gestão</t>
  </si>
  <si>
    <t>Biologia</t>
  </si>
  <si>
    <t>DPT</t>
  </si>
  <si>
    <t>Eng. Biomédica</t>
  </si>
  <si>
    <t>Economia</t>
  </si>
  <si>
    <t>MTC</t>
  </si>
  <si>
    <t>Matemática</t>
  </si>
  <si>
    <t>Ciências do Mar</t>
  </si>
  <si>
    <t>Psicologia</t>
  </si>
  <si>
    <t>Educação Básica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</si>
  <si>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</si>
  <si>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ANDEBOL | PLAYOFFS</t>
  </si>
  <si>
    <t>Quartos de Final</t>
  </si>
  <si>
    <t>1º Class. 1ª Div.</t>
  </si>
  <si>
    <t>1º Class. 2ª Div.</t>
  </si>
  <si>
    <t>2º Class. 1ª Div.</t>
  </si>
  <si>
    <t>7º Class. 1ª Div.</t>
  </si>
  <si>
    <t>3º Class. 1ª Div.</t>
  </si>
  <si>
    <t>6º Class. 1ª Div.</t>
  </si>
  <si>
    <t>4º Class. 1ª Div.</t>
  </si>
  <si>
    <t>5º Class. 1ª Div.</t>
  </si>
  <si>
    <t>Meias Finais</t>
  </si>
  <si>
    <t>Vencedor QF1</t>
  </si>
  <si>
    <t>Vencedor QF4</t>
  </si>
  <si>
    <t>Vencedor QF2</t>
  </si>
  <si>
    <t>Vencedor QF3</t>
  </si>
  <si>
    <t>3º/4º Lugar</t>
  </si>
  <si>
    <t>Vencido MF1</t>
  </si>
  <si>
    <t>Vencido MF2</t>
  </si>
  <si>
    <t>Final</t>
  </si>
  <si>
    <t>Vencedor MF1</t>
  </si>
  <si>
    <t>Vencedor MF2</t>
  </si>
  <si>
    <t>BASQUETEBOL MASCULINO - 1ª DIVISÃO</t>
  </si>
  <si>
    <t>PM</t>
  </si>
  <si>
    <t>PS</t>
  </si>
  <si>
    <t>DP</t>
  </si>
  <si>
    <t>Eng. Aeroespacial</t>
  </si>
  <si>
    <t>20h40</t>
  </si>
  <si>
    <t>Tecnologias de Informação</t>
  </si>
  <si>
    <t>21h00</t>
  </si>
  <si>
    <t>21h20</t>
  </si>
  <si>
    <t>21h40</t>
  </si>
  <si>
    <t>22h00</t>
  </si>
  <si>
    <t>22h20</t>
  </si>
  <si>
    <t>22h40</t>
  </si>
  <si>
    <t>9"</t>
  </si>
  <si>
    <t>23h00</t>
  </si>
  <si>
    <t>23h20</t>
  </si>
  <si>
    <t>23h40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</si>
  <si>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</si>
  <si>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"  Equipa apurada para a Liguilha Manutenção/Promoção</t>
  </si>
  <si>
    <t>BASQUETEBOL MASCULINO - 2ª DIVISÃO | GRUPO A</t>
  </si>
  <si>
    <t>Contabilidade</t>
  </si>
  <si>
    <t>19h20</t>
  </si>
  <si>
    <t>Música</t>
  </si>
  <si>
    <t>GPT</t>
  </si>
  <si>
    <t>2"</t>
  </si>
  <si>
    <t>Design</t>
  </si>
  <si>
    <t>19h40</t>
  </si>
  <si>
    <t>Física</t>
  </si>
  <si>
    <t>LRE</t>
  </si>
  <si>
    <t>20h00</t>
  </si>
  <si>
    <t>20h20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</si>
  <si>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</si>
  <si>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MASCULINO - 2ª DIVISÃO | GRUPO B</t>
  </si>
  <si>
    <t>Eng. Mecânica B</t>
  </si>
  <si>
    <t>LLC</t>
  </si>
  <si>
    <t>Eng. Computacional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</si>
  <si>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</si>
  <si>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MASCULINO | LIGUILHA MANUTENÇÃO/PROMOÇÃO</t>
  </si>
  <si>
    <t>9º Class. 1ª Div.</t>
  </si>
  <si>
    <t>2º Class. 2ª Div. A</t>
  </si>
  <si>
    <t>2º Class. 2ª Div. B</t>
  </si>
  <si>
    <t>BASQUETEBOL MASCULINO | PLAYOFFS</t>
  </si>
  <si>
    <t>1º Class. 2ª Div. Gr. B</t>
  </si>
  <si>
    <t>1º Class. 2ª Div. Gr. A</t>
  </si>
  <si>
    <t>BASQUETEBOL FEMININO | FASE LIGA</t>
  </si>
  <si>
    <t>Caixa UA</t>
  </si>
  <si>
    <t>Tradução</t>
  </si>
  <si>
    <t>8*</t>
  </si>
  <si>
    <t>Ed.Básica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</si>
  <si>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</si>
  <si>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FEMININO | PLAYOFFS</t>
  </si>
  <si>
    <t>8º Class. 1ª Div.</t>
  </si>
  <si>
    <t xml:space="preserve">FUTSAL MASCULINO - 1ª DIVISÃO </t>
  </si>
  <si>
    <t>18h00</t>
  </si>
  <si>
    <t>19h00</t>
  </si>
  <si>
    <t>Finanças</t>
  </si>
  <si>
    <t>Bioquímica</t>
  </si>
  <si>
    <t>Eng. Química</t>
  </si>
  <si>
    <t>Enfermagem</t>
  </si>
  <si>
    <t>20h30</t>
  </si>
  <si>
    <t>21h30</t>
  </si>
  <si>
    <t>22h30</t>
  </si>
  <si>
    <t>Enf. Física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</si>
  <si>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</si>
  <si>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"  Equipa apurada para Playoff Manutenção/Promoção</t>
  </si>
  <si>
    <t>FUTSAL MASCULINO - 2ª DIVISÃO | GRUPO A</t>
  </si>
  <si>
    <t>ASP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</si>
  <si>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</si>
  <si>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- 2ª DIVISÃO | GRUPO B</t>
  </si>
  <si>
    <t>MOC</t>
  </si>
  <si>
    <t>EGI B</t>
  </si>
  <si>
    <t>Eng. Ambiente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</si>
  <si>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</si>
  <si>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- 2ª DIVISÃO | GRUPO C</t>
  </si>
  <si>
    <t>CBM</t>
  </si>
  <si>
    <t>Gestão Pública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</si>
  <si>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</si>
  <si>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19h30</t>
  </si>
  <si>
    <t>FUTSAL MASCULINO | PLAYOFF MANUTENÇÃO/PROMOÇÃO</t>
  </si>
  <si>
    <t>2º Class. 2ª Div. Gr. B</t>
  </si>
  <si>
    <t>2º Class. 2ª Div. Gr. A</t>
  </si>
  <si>
    <t>2º Class. 2ª Div. Gr. C</t>
  </si>
  <si>
    <t>FUTSAL MASCULINO | PLAYOFFS</t>
  </si>
  <si>
    <t>1º Class. 2ª Div. Gr. C</t>
  </si>
  <si>
    <t>22h45</t>
  </si>
  <si>
    <t>Matematica</t>
  </si>
  <si>
    <t>21h45</t>
  </si>
  <si>
    <t>Edcucação Básica</t>
  </si>
  <si>
    <t>23h30</t>
  </si>
  <si>
    <t>Ed. Básica</t>
  </si>
  <si>
    <t>18h15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</si>
  <si>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</si>
  <si>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EGO</t>
  </si>
  <si>
    <t>FUTSAL FEMININO | PLAYOFFS</t>
  </si>
  <si>
    <t>FUTEBOL DE 7 - 1ª DIVISÃO</t>
  </si>
  <si>
    <t>Sintético</t>
  </si>
  <si>
    <t>21H00</t>
  </si>
  <si>
    <t>22H00</t>
  </si>
  <si>
    <t>23H00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</si>
  <si>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</si>
  <si>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DE 7 - 2ª DIVISÃO | GRUPO A</t>
  </si>
  <si>
    <t>Geologia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</si>
  <si>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</si>
  <si>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DE 7 - 2ª DIVISÃO | GRUPO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</si>
  <si>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</si>
  <si>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7 MASCULINO | LIGUILHA MANUTENÇÃO/PROMOÇÃO</t>
  </si>
  <si>
    <t>FUTEBOL 7 MASCULINO | PLAYOFFS</t>
  </si>
  <si>
    <t>VOLEIBOL FEMININO- 1ª DIVISÃO</t>
  </si>
  <si>
    <t>SG</t>
  </si>
  <si>
    <t>SP</t>
  </si>
  <si>
    <t>DS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</si>
  <si>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</si>
  <si>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17h00</t>
  </si>
  <si>
    <t>VOLEIBOL FEMININO - 2ª DIVISÃO | GRUPO A</t>
  </si>
  <si>
    <t>Adminstração Pública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</si>
  <si>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</si>
  <si>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FEMININO - 2ª DIVISÃO | GRUPO B</t>
  </si>
  <si>
    <t>CBM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</si>
  <si>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</si>
  <si>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FEMININO | LIGUILHA MANUTENÇÃO/PROMOÇÃO</t>
  </si>
  <si>
    <t>VOLEIBOL FEMININO | PLAYOFFS</t>
  </si>
  <si>
    <t>VOLEIBOL MASCULINO- 1ª DIVISÃO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</si>
  <si>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</si>
  <si>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- 2ª DIVISÃO | GRUPO A</t>
  </si>
  <si>
    <t>Medicina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</si>
  <si>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</si>
  <si>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- 2ª DIVISÃO | GRUPO B</t>
  </si>
  <si>
    <t>Eng. Informática B</t>
  </si>
  <si>
    <t>EET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</si>
  <si>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</si>
  <si>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| LIGUILHA MANUTENÇÃO/PROMOÇÃO</t>
  </si>
  <si>
    <t>VOLEIBOL MASCULINO | PLAYOFFS</t>
  </si>
  <si>
    <t>Modalidade</t>
  </si>
  <si>
    <t>Núcleo</t>
  </si>
  <si>
    <t>Equipa</t>
  </si>
  <si>
    <t>Nome do atleta</t>
  </si>
  <si>
    <t>Número mecanográfico</t>
  </si>
  <si>
    <t>Castigo</t>
  </si>
  <si>
    <t>Inicio do Castigo</t>
  </si>
  <si>
    <t>Motivo do castigo</t>
  </si>
  <si>
    <t>Futsal Masculino</t>
  </si>
  <si>
    <t>NEBEC</t>
  </si>
  <si>
    <t>Gonçalo Diogo</t>
  </si>
  <si>
    <t>4 de 8 Jogos de suspensão</t>
  </si>
  <si>
    <t>2ª Jornada</t>
  </si>
  <si>
    <t>castigo que transitou da época passada.</t>
  </si>
  <si>
    <t>NEM</t>
  </si>
  <si>
    <t>Filipe Rocha</t>
  </si>
  <si>
    <t>2 jogos de Suspensão e multa pecuniária de 150,00€</t>
  </si>
  <si>
    <t>Atitude ofensiva ao sentimento de pudor e decência dos espetadores.</t>
  </si>
  <si>
    <t>NAE-ISCA</t>
  </si>
  <si>
    <t>Fábio Lopes</t>
  </si>
  <si>
    <t>2 jogos de Suspensão</t>
  </si>
  <si>
    <t>atitude ofensiva e vexatória para com os Árbitros.</t>
  </si>
  <si>
    <t>NEBG</t>
  </si>
  <si>
    <t>Diogo Matos</t>
  </si>
  <si>
    <t>1 jogo de Suspensão</t>
  </si>
  <si>
    <t>duplo amarelo</t>
  </si>
  <si>
    <t>NECM</t>
  </si>
  <si>
    <t>Paulo Arthur</t>
  </si>
  <si>
    <t>atitude incorreta e agressiva para com os jogadores adversários</t>
  </si>
  <si>
    <t>NEEC</t>
  </si>
  <si>
    <t>Miguel Castro</t>
  </si>
  <si>
    <t>Futebol de 7</t>
  </si>
  <si>
    <t>NEEQu</t>
  </si>
  <si>
    <t>Martim Cabeleira</t>
  </si>
  <si>
    <t>NAE-ESTGA</t>
  </si>
  <si>
    <t>Gabriel Almeida</t>
  </si>
  <si>
    <t>3ª Jornada</t>
  </si>
  <si>
    <t>Duplo amarelo</t>
  </si>
  <si>
    <t>NEEMec</t>
  </si>
  <si>
    <t>Rafael Regadas</t>
  </si>
  <si>
    <t>NEECT</t>
  </si>
  <si>
    <t>Juan</t>
  </si>
  <si>
    <t>anular uma clara oportunidade de golo de forma ilícita</t>
  </si>
  <si>
    <t>Lucas Matos</t>
  </si>
  <si>
    <t>10 dias úteis de suspensão até deliberação do conselho de disciplina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</si>
</sst>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m"/>
    <numFmt numFmtId="165" formatCode="dd/mmm"/>
    <numFmt numFmtId="166" formatCode="d/m/yyyy"/>
  </numFmts>
  <fonts count="22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rgb="FF000000"/>
      <name val="Arial"/>
    </font>
    <font/>
    <font>
      <sz val="36.0"/>
      <color rgb="FF000000"/>
      <name val="Arial"/>
    </font>
    <font>
      <color rgb="FF000000"/>
      <name val="Calibri"/>
    </font>
    <font>
      <color rgb="FF000000"/>
      <name val="Arial"/>
    </font>
    <font>
      <b/>
      <color theme="1"/>
      <name val="Arial"/>
    </font>
    <font>
      <sz val="11.0"/>
      <color theme="1"/>
      <name val="Arial"/>
    </font>
    <font>
      <i/>
      <sz val="10.0"/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color theme="1"/>
      <name val="Calibri"/>
    </font>
    <font>
      <sz val="11.0"/>
      <color theme="5"/>
      <name val="Arial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theme="1"/>
      <name val="Calibri"/>
    </font>
    <font>
      <color theme="1"/>
      <name val="Times New Roman"/>
    </font>
    <font>
      <b/>
      <color theme="1"/>
      <name val="Times New Roman"/>
    </font>
    <font>
      <b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3" fillId="0" fontId="4" numFmtId="0" xfId="0" applyBorder="1" applyFont="1"/>
    <xf borderId="4" fillId="0" fontId="4" numFmtId="0" xfId="0" applyBorder="1" applyFont="1"/>
    <xf borderId="0" fillId="2" fontId="3" numFmtId="0" xfId="0" applyAlignment="1" applyFont="1">
      <alignment horizontal="center" shrinkToFit="0" vertical="bottom" wrapText="0"/>
    </xf>
    <xf borderId="5" fillId="0" fontId="5" numFmtId="0" xfId="0" applyAlignment="1" applyBorder="1" applyFont="1">
      <alignment horizontal="center" shrinkToFit="0" vertical="center" wrapText="0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3" fontId="3" numFmtId="0" xfId="0" applyAlignment="1" applyFill="1" applyFont="1">
      <alignment horizontal="center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center"/>
    </xf>
    <xf borderId="1" fillId="0" fontId="8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/>
    </xf>
    <xf borderId="6" fillId="0" fontId="4" numFmtId="0" xfId="0" applyBorder="1" applyFont="1"/>
    <xf borderId="7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7" fillId="0" fontId="4" numFmtId="0" xfId="0" applyBorder="1" applyFont="1"/>
    <xf borderId="1" fillId="0" fontId="7" numFmtId="164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0" fillId="5" fontId="3" numFmtId="0" xfId="0" applyAlignment="1" applyFill="1" applyFont="1">
      <alignment horizontal="center" shrinkToFit="0" vertical="bottom" wrapText="0"/>
    </xf>
    <xf borderId="0" fillId="0" fontId="8" numFmtId="0" xfId="0" applyAlignment="1" applyFont="1">
      <alignment horizontal="center"/>
    </xf>
    <xf borderId="1" fillId="6" fontId="3" numFmtId="0" xfId="0" applyAlignment="1" applyBorder="1" applyFill="1" applyFont="1">
      <alignment horizontal="center" readingOrder="0" shrinkToFit="0" vertical="bottom" wrapText="0"/>
    </xf>
    <xf borderId="0" fillId="0" fontId="10" numFmtId="0" xfId="0" applyAlignment="1" applyFont="1">
      <alignment horizontal="left"/>
    </xf>
    <xf borderId="0" fillId="5" fontId="3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3" numFmtId="0" xfId="0" applyAlignment="1" applyFont="1">
      <alignment horizontal="center" shrinkToFit="0" vertical="top" wrapText="0"/>
    </xf>
    <xf borderId="0" fillId="0" fontId="7" numFmtId="0" xfId="0" applyAlignment="1" applyFont="1">
      <alignment horizontal="center" shrinkToFit="0" vertical="bottom" wrapText="0"/>
    </xf>
    <xf borderId="1" fillId="0" fontId="6" numFmtId="165" xfId="0" applyAlignment="1" applyBorder="1" applyFont="1" applyNumberForma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7" fontId="3" numFmtId="0" xfId="0" applyAlignment="1" applyBorder="1" applyFill="1" applyFont="1">
      <alignment horizontal="center" shrinkToFit="0" vertical="bottom" wrapText="0"/>
    </xf>
    <xf borderId="0" fillId="3" fontId="3" numFmtId="0" xfId="0" applyAlignment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5" fillId="3" fontId="3" numFmtId="0" xfId="0" applyAlignment="1" applyBorder="1" applyFont="1">
      <alignment horizontal="center" shrinkToFit="0" vertical="bottom" wrapText="0"/>
    </xf>
    <xf borderId="5" fillId="3" fontId="3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1" fillId="4" fontId="3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shrinkToFit="0" vertical="center" wrapText="0"/>
    </xf>
    <xf borderId="1" fillId="0" fontId="7" numFmtId="165" xfId="0" applyAlignment="1" applyBorder="1" applyFont="1" applyNumberFormat="1">
      <alignment horizontal="center" shrinkToFit="0" vertical="bottom" wrapText="0"/>
    </xf>
    <xf borderId="1" fillId="0" fontId="2" numFmtId="165" xfId="0" applyAlignment="1" applyBorder="1" applyFont="1" applyNumberFormat="1">
      <alignment horizontal="center" shrinkToFit="0" vertical="bottom" wrapText="0"/>
    </xf>
    <xf borderId="0" fillId="0" fontId="1" numFmtId="0" xfId="0" applyAlignment="1" applyFont="1">
      <alignment horizontal="left" readingOrder="0"/>
    </xf>
    <xf borderId="5" fillId="0" fontId="11" numFmtId="0" xfId="0" applyAlignment="1" applyBorder="1" applyFont="1">
      <alignment horizontal="center" readingOrder="0" shrinkToFit="0" vertical="center" wrapText="1"/>
    </xf>
    <xf borderId="6" fillId="0" fontId="11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0" fillId="0" fontId="12" numFmtId="0" xfId="0" applyAlignment="1" applyFont="1">
      <alignment horizontal="left" vertical="center"/>
    </xf>
    <xf borderId="0" fillId="0" fontId="9" numFmtId="0" xfId="0" applyAlignment="1" applyFont="1">
      <alignment horizontal="center"/>
    </xf>
    <xf borderId="1" fillId="2" fontId="3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center" readingOrder="0" shrinkToFit="0" wrapText="0"/>
    </xf>
    <xf borderId="1" fillId="0" fontId="12" numFmtId="0" xfId="0" applyAlignment="1" applyBorder="1" applyFont="1">
      <alignment horizontal="center"/>
    </xf>
    <xf borderId="1" fillId="3" fontId="9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 readingOrder="0" shrinkToFit="0" wrapText="0"/>
    </xf>
    <xf borderId="7" fillId="0" fontId="9" numFmtId="0" xfId="0" applyAlignment="1" applyBorder="1" applyFont="1">
      <alignment horizontal="center"/>
    </xf>
    <xf borderId="5" fillId="8" fontId="3" numFmtId="0" xfId="0" applyAlignment="1" applyBorder="1" applyFill="1" applyFont="1">
      <alignment horizontal="center" readingOrder="0" shrinkToFit="0" vertical="bottom" wrapText="0"/>
    </xf>
    <xf borderId="5" fillId="3" fontId="9" numFmtId="0" xfId="0" applyAlignment="1" applyBorder="1" applyFont="1">
      <alignment horizontal="center" shrinkToFit="0" wrapText="0"/>
    </xf>
    <xf borderId="0" fillId="3" fontId="9" numFmtId="0" xfId="0" applyAlignment="1" applyFont="1">
      <alignment horizontal="center" readingOrder="0" shrinkToFit="0" wrapText="0"/>
    </xf>
    <xf borderId="1" fillId="6" fontId="3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center" readingOrder="0"/>
    </xf>
    <xf borderId="1" fillId="0" fontId="9" numFmtId="0" xfId="0" applyAlignment="1" applyBorder="1" applyFont="1">
      <alignment horizontal="center"/>
    </xf>
    <xf borderId="1" fillId="0" fontId="9" numFmtId="164" xfId="0" applyAlignment="1" applyBorder="1" applyFont="1" applyNumberFormat="1">
      <alignment horizontal="center" shrinkToFit="0" vertical="bottom" wrapText="0"/>
    </xf>
    <xf borderId="0" fillId="0" fontId="10" numFmtId="0" xfId="0" applyAlignment="1" applyFont="1">
      <alignment horizontal="left" readingOrder="0"/>
    </xf>
    <xf borderId="0" fillId="3" fontId="9" numFmtId="0" xfId="0" applyAlignment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0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1" fillId="0" fontId="9" numFmtId="0" xfId="0" applyAlignment="1" applyBorder="1" applyFont="1">
      <alignment horizontal="center" readingOrder="0" vertical="bottom"/>
    </xf>
    <xf borderId="1" fillId="0" fontId="9" numFmtId="165" xfId="0" applyAlignment="1" applyBorder="1" applyFont="1" applyNumberFormat="1">
      <alignment horizontal="center" shrinkToFit="0" vertical="bottom" wrapText="0"/>
    </xf>
    <xf borderId="1" fillId="0" fontId="13" numFmtId="165" xfId="0" applyAlignment="1" applyBorder="1" applyFont="1" applyNumberFormat="1">
      <alignment horizontal="center"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0" fillId="5" fontId="9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1" fillId="0" fontId="11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horizontal="left" readingOrder="0" vertical="center"/>
    </xf>
    <xf borderId="1" fillId="0" fontId="6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left"/>
    </xf>
    <xf borderId="0" fillId="0" fontId="9" numFmtId="0" xfId="0" applyAlignment="1" applyFont="1">
      <alignment horizontal="center" readingOrder="0" vertical="bottom"/>
    </xf>
    <xf borderId="0" fillId="5" fontId="12" numFmtId="0" xfId="0" applyAlignment="1" applyFont="1">
      <alignment horizontal="center"/>
    </xf>
    <xf borderId="5" fillId="6" fontId="3" numFmtId="0" xfId="0" applyAlignment="1" applyBorder="1" applyFont="1">
      <alignment horizontal="center" shrinkToFit="0" vertical="bottom" wrapText="0"/>
    </xf>
    <xf borderId="1" fillId="0" fontId="3" numFmtId="165" xfId="0" applyAlignment="1" applyBorder="1" applyFont="1" applyNumberFormat="1">
      <alignment horizontal="center" shrinkToFit="0" vertical="bottom" wrapText="0"/>
    </xf>
    <xf borderId="1" fillId="8" fontId="3" numFmtId="0" xfId="0" applyAlignment="1" applyBorder="1" applyFon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1" fillId="0" fontId="13" numFmtId="164" xfId="0" applyAlignment="1" applyBorder="1" applyFont="1" applyNumberFormat="1">
      <alignment horizontal="center" readingOrder="0" shrinkToFit="0" vertical="bottom" wrapText="0"/>
    </xf>
    <xf borderId="1" fillId="0" fontId="13" numFmtId="164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8" fillId="3" fontId="3" numFmtId="0" xfId="0" applyAlignment="1" applyBorder="1" applyFont="1">
      <alignment horizontal="center" shrinkToFit="0" vertical="bottom" wrapText="0"/>
    </xf>
    <xf borderId="1" fillId="0" fontId="6" numFmtId="164" xfId="0" applyAlignment="1" applyBorder="1" applyFont="1" applyNumberFormat="1">
      <alignment horizontal="center" shrinkToFit="0" vertical="bottom" wrapText="0"/>
    </xf>
    <xf borderId="0" fillId="0" fontId="12" numFmtId="0" xfId="0" applyAlignment="1" applyFont="1">
      <alignment horizontal="left" readingOrder="0"/>
    </xf>
    <xf borderId="2" fillId="2" fontId="9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0"/>
    </xf>
    <xf borderId="0" fillId="3" fontId="9" numFmtId="0" xfId="0" applyAlignment="1" applyFont="1">
      <alignment horizontal="center" shrinkToFit="0" vertical="bottom" wrapText="0"/>
    </xf>
    <xf borderId="0" fillId="3" fontId="9" numFmtId="0" xfId="0" applyAlignment="1" applyFont="1">
      <alignment horizontal="center"/>
    </xf>
    <xf borderId="1" fillId="0" fontId="8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6" numFmtId="165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/>
    </xf>
    <xf borderId="1" fillId="0" fontId="9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center" shrinkToFit="0" vertical="bottom" wrapText="0"/>
    </xf>
    <xf borderId="0" fillId="3" fontId="7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3" fontId="3" numFmtId="0" xfId="0" applyAlignment="1" applyFont="1">
      <alignment horizontal="right" shrinkToFit="0" vertical="bottom" wrapText="0"/>
    </xf>
    <xf borderId="0" fillId="0" fontId="13" numFmtId="0" xfId="0" applyAlignment="1" applyFont="1">
      <alignment readingOrder="0"/>
    </xf>
    <xf borderId="0" fillId="3" fontId="3" numFmtId="0" xfId="0" applyAlignment="1" applyFont="1">
      <alignment horizontal="left" shrinkToFit="0" vertical="bottom" wrapText="0"/>
    </xf>
    <xf borderId="0" fillId="3" fontId="3" numFmtId="0" xfId="0" applyFont="1"/>
    <xf borderId="1" fillId="0" fontId="14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0" fontId="2" numFmtId="0" xfId="0" applyFont="1"/>
    <xf borderId="0" fillId="0" fontId="16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top" wrapText="0"/>
    </xf>
    <xf borderId="1" fillId="0" fontId="6" numFmtId="165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6" numFmtId="164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wrapText="0"/>
    </xf>
    <xf borderId="1" fillId="0" fontId="13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17" numFmtId="0" xfId="0" applyAlignment="1" applyFont="1">
      <alignment readingOrder="0"/>
    </xf>
    <xf borderId="6" fillId="0" fontId="5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6" numFmtId="164" xfId="0" applyAlignment="1" applyFont="1" applyNumberForma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2" fontId="3" numFmtId="0" xfId="0" applyAlignment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9" fontId="18" numFmtId="0" xfId="0" applyAlignment="1" applyBorder="1" applyFill="1" applyFont="1">
      <alignment horizontal="center" vertical="center"/>
    </xf>
    <xf borderId="4" fillId="9" fontId="18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7" fillId="0" fontId="13" numFmtId="0" xfId="0" applyAlignment="1" applyBorder="1" applyFont="1">
      <alignment vertical="center"/>
    </xf>
    <xf borderId="9" fillId="0" fontId="13" numFmtId="0" xfId="0" applyAlignment="1" applyBorder="1" applyFont="1">
      <alignment vertical="center"/>
    </xf>
    <xf borderId="9" fillId="0" fontId="19" numFmtId="0" xfId="0" applyAlignment="1" applyBorder="1" applyFont="1">
      <alignment vertical="center"/>
    </xf>
    <xf borderId="9" fillId="0" fontId="19" numFmtId="0" xfId="0" applyAlignment="1" applyBorder="1" applyFont="1">
      <alignment horizontal="center" vertical="center"/>
    </xf>
    <xf borderId="9" fillId="0" fontId="20" numFmtId="0" xfId="0" applyAlignment="1" applyBorder="1" applyFont="1">
      <alignment vertical="center"/>
    </xf>
    <xf borderId="9" fillId="0" fontId="13" numFmtId="0" xfId="0" applyAlignment="1" applyBorder="1" applyFont="1">
      <alignment horizontal="center" vertical="center"/>
    </xf>
    <xf borderId="9" fillId="0" fontId="21" numFmtId="0" xfId="0" applyAlignment="1" applyBorder="1" applyFont="1">
      <alignment vertical="center"/>
    </xf>
    <xf borderId="9" fillId="0" fontId="21" numFmtId="0" xfId="0" applyAlignment="1" applyBorder="1" applyFont="1">
      <alignment shrinkToFit="0" vertical="center" wrapText="1"/>
    </xf>
    <xf borderId="9" fillId="0" fontId="13" numFmtId="166" xfId="0" applyAlignment="1" applyBorder="1" applyFont="1" applyNumberFormat="1">
      <alignment horizontal="left" vertical="center"/>
    </xf>
    <xf borderId="9" fillId="0" fontId="1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0</xdr:colOff>
      <xdr:row>14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90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91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85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137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137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179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179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17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17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0</xdr:colOff>
      <xdr:row>15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85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85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136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136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188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188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18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18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136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136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181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181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158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159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220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220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158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159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220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220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5.38"/>
    <col customWidth="1" min="5" max="5" width="19.13"/>
    <col customWidth="1" min="7" max="7" width="2.63"/>
    <col customWidth="1" min="9" max="9" width="19.13"/>
    <col customWidth="1" hidden="1" min="10" max="10" width="14.88"/>
    <col customWidth="1" hidden="1" min="11" max="11" width="19.5"/>
    <col customWidth="1" hidden="1" min="12" max="12" width="20.0"/>
    <col hidden="1" min="13" max="14" width="12.63"/>
    <col customWidth="1" hidden="1" min="15" max="15" width="17.5"/>
    <col hidden="1" min="16" max="23" width="12.63"/>
    <col customWidth="1" hidden="1" min="24" max="24" width="14.63"/>
    <col hidden="1" min="25" max="29" width="12.63"/>
    <col customWidth="1" min="31" max="31" width="15.63"/>
    <col customWidth="1" min="32" max="32" width="23.75"/>
    <col hidden="1" min="40" max="40" width="12.63"/>
  </cols>
  <sheetData>
    <row r="1" ht="15.75" customHeight="1">
      <c r="A1" s="1" t="s">
        <v>0</v>
      </c>
      <c r="H1" s="2"/>
      <c r="I1" s="3"/>
      <c r="J1" s="2"/>
      <c r="K1" s="2"/>
      <c r="L1" s="2"/>
      <c r="M1" s="2"/>
      <c r="N1" s="2"/>
      <c r="O1" s="2"/>
      <c r="P1" s="2"/>
      <c r="Q1" s="2"/>
      <c r="R1" s="4"/>
      <c r="S1" s="4"/>
      <c r="T1" s="4"/>
      <c r="U1" s="4"/>
      <c r="V1" s="4"/>
      <c r="W1" s="2"/>
      <c r="X1" s="2"/>
      <c r="Y1" s="2"/>
      <c r="Z1" s="2"/>
      <c r="AA1" s="2"/>
      <c r="AB1" s="2"/>
      <c r="AC1" s="2"/>
      <c r="AD1" s="2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3"/>
      <c r="X2" s="6" t="s">
        <v>20</v>
      </c>
      <c r="Y2" s="7"/>
      <c r="Z2" s="7"/>
      <c r="AA2" s="7"/>
      <c r="AB2" s="8"/>
      <c r="AC2" s="3"/>
      <c r="AD2" s="3"/>
      <c r="AE2" s="5" t="s">
        <v>11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16</v>
      </c>
      <c r="AK2" s="5" t="s">
        <v>17</v>
      </c>
      <c r="AL2" s="5" t="s">
        <v>18</v>
      </c>
      <c r="AM2" s="5" t="s">
        <v>19</v>
      </c>
      <c r="AN2" s="9"/>
    </row>
    <row r="3" ht="15.75" customHeight="1">
      <c r="A3" s="10">
        <v>1.0</v>
      </c>
      <c r="B3" s="11">
        <v>45951.0</v>
      </c>
      <c r="C3" s="12" t="s">
        <v>21</v>
      </c>
      <c r="D3" s="13" t="s">
        <v>22</v>
      </c>
      <c r="E3" s="14" t="s">
        <v>23</v>
      </c>
      <c r="F3" s="15">
        <v>11.0</v>
      </c>
      <c r="G3" s="16" t="s">
        <v>24</v>
      </c>
      <c r="H3" s="15">
        <v>35.0</v>
      </c>
      <c r="I3" s="14" t="s">
        <v>25</v>
      </c>
      <c r="J3" s="4"/>
      <c r="K3" s="4">
        <f t="shared" ref="K3:K68" si="1">IF(F3="","",IFS(F3&gt;H3,3,F3=H3,2,H3&gt;F3,1,F3="",0))</f>
        <v>1</v>
      </c>
      <c r="L3" s="17">
        <f t="shared" ref="L3:L68" si="2">IF(H3="","",IFS(F3&lt;H3,3,F3=H3,2,H3&lt;F3,1))</f>
        <v>3</v>
      </c>
      <c r="M3" s="4"/>
      <c r="N3" s="17">
        <v>1.0</v>
      </c>
      <c r="O3" s="18" t="s">
        <v>23</v>
      </c>
      <c r="P3" s="17">
        <f t="shared" ref="P3:P13" si="3">SUMIF(E$3:E$68,O3,K$3:K$68)+SUMIF(I$3:I$68,O3,L$3:L$68)</f>
        <v>1</v>
      </c>
      <c r="Q3" s="17">
        <f t="shared" ref="Q3:Q13" si="4">COUNTIFS(E$3:E$68,O3,K$3:K$68,3)+COUNTIFS(I$3:I$68,O3,L$3:L$68,3)</f>
        <v>0</v>
      </c>
      <c r="R3" s="19">
        <f t="shared" ref="R3:R13" si="5">COUNTIFS(E$3:E$68,O3,K$3:K$68,2)+COUNTIFS(I$3:I$68,O3,L$3:L$68,2)</f>
        <v>0</v>
      </c>
      <c r="S3" s="19">
        <f t="shared" ref="S3:S13" si="6">COUNTIFS(E$3:E$68,O3,K$3:K$68,1)+COUNTIFS(I$3:I$68,O3,L$3:L$68,1)</f>
        <v>1</v>
      </c>
      <c r="T3" s="17">
        <f t="shared" ref="T3:T13" si="7">SUMIF(E$3:E$68,O3,F$3:F$68)+SUMIF(I$3:I$68,O3,H$3:H$68)</f>
        <v>11</v>
      </c>
      <c r="U3" s="19">
        <f t="shared" ref="U3:U13" si="8">SUMIF(E$3:E$68,O3,H$3:H$68)+SUMIF(I$3:I$68,O3,F$3:F$68)</f>
        <v>35</v>
      </c>
      <c r="V3" s="17">
        <f t="shared" ref="V3:V13" si="9">T3-U3</f>
        <v>-24</v>
      </c>
      <c r="W3" s="2"/>
      <c r="X3" s="20" t="s">
        <v>26</v>
      </c>
      <c r="Y3" s="20" t="s">
        <v>13</v>
      </c>
      <c r="Z3" s="20" t="s">
        <v>27</v>
      </c>
      <c r="AA3" s="20" t="s">
        <v>28</v>
      </c>
      <c r="AB3" s="20" t="s">
        <v>19</v>
      </c>
      <c r="AC3" s="2"/>
      <c r="AD3" s="2"/>
      <c r="AE3" s="21" t="s">
        <v>29</v>
      </c>
      <c r="AF3" s="22" t="str">
        <f t="array" ref="AF3:AM13">SORT(O3:V13,2,FALSE,8,FALSE)</f>
        <v>EGI</v>
      </c>
      <c r="AG3" s="22">
        <v>3.0</v>
      </c>
      <c r="AH3" s="22">
        <v>1.0</v>
      </c>
      <c r="AI3" s="23">
        <v>0.0</v>
      </c>
      <c r="AJ3" s="22">
        <v>0.0</v>
      </c>
      <c r="AK3" s="22">
        <v>35.0</v>
      </c>
      <c r="AL3" s="23">
        <v>11.0</v>
      </c>
      <c r="AM3" s="22">
        <v>24.0</v>
      </c>
      <c r="AN3" s="17"/>
    </row>
    <row r="4" ht="15.75" customHeight="1">
      <c r="A4" s="24"/>
      <c r="B4" s="11">
        <v>45951.0</v>
      </c>
      <c r="C4" s="12" t="s">
        <v>30</v>
      </c>
      <c r="D4" s="13" t="s">
        <v>22</v>
      </c>
      <c r="E4" s="14" t="s">
        <v>31</v>
      </c>
      <c r="F4" s="15">
        <v>26.0</v>
      </c>
      <c r="G4" s="16" t="s">
        <v>24</v>
      </c>
      <c r="H4" s="15">
        <v>17.0</v>
      </c>
      <c r="I4" s="14" t="s">
        <v>32</v>
      </c>
      <c r="J4" s="4"/>
      <c r="K4" s="4">
        <f t="shared" si="1"/>
        <v>3</v>
      </c>
      <c r="L4" s="17">
        <f t="shared" si="2"/>
        <v>1</v>
      </c>
      <c r="M4" s="4"/>
      <c r="N4" s="17">
        <v>2.0</v>
      </c>
      <c r="O4" s="18" t="s">
        <v>25</v>
      </c>
      <c r="P4" s="17">
        <f t="shared" si="3"/>
        <v>3</v>
      </c>
      <c r="Q4" s="17">
        <f t="shared" si="4"/>
        <v>1</v>
      </c>
      <c r="R4" s="19">
        <f t="shared" si="5"/>
        <v>0</v>
      </c>
      <c r="S4" s="19">
        <f t="shared" si="6"/>
        <v>0</v>
      </c>
      <c r="T4" s="17">
        <f t="shared" si="7"/>
        <v>35</v>
      </c>
      <c r="U4" s="19">
        <f t="shared" si="8"/>
        <v>11</v>
      </c>
      <c r="V4" s="17">
        <f t="shared" si="9"/>
        <v>24</v>
      </c>
      <c r="W4" s="2"/>
      <c r="X4" s="25" t="s">
        <v>33</v>
      </c>
      <c r="Y4" s="25">
        <v>2.0</v>
      </c>
      <c r="Z4" s="26">
        <v>252.0</v>
      </c>
      <c r="AA4" s="26">
        <v>161.0</v>
      </c>
      <c r="AB4" s="26">
        <f t="shared" ref="AB4:AB5" si="10">Z4-AA4</f>
        <v>91</v>
      </c>
      <c r="AC4" s="2"/>
      <c r="AD4" s="2"/>
      <c r="AE4" s="21" t="s">
        <v>34</v>
      </c>
      <c r="AF4" s="27" t="s">
        <v>31</v>
      </c>
      <c r="AG4" s="22">
        <v>3.0</v>
      </c>
      <c r="AH4" s="22">
        <v>1.0</v>
      </c>
      <c r="AI4" s="23">
        <v>0.0</v>
      </c>
      <c r="AJ4" s="22">
        <v>0.0</v>
      </c>
      <c r="AK4" s="22">
        <v>26.0</v>
      </c>
      <c r="AL4" s="23">
        <v>17.0</v>
      </c>
      <c r="AM4" s="22">
        <v>9.0</v>
      </c>
      <c r="AN4" s="17"/>
    </row>
    <row r="5" ht="15.75" customHeight="1">
      <c r="A5" s="24"/>
      <c r="B5" s="11">
        <v>45951.0</v>
      </c>
      <c r="C5" s="12" t="s">
        <v>35</v>
      </c>
      <c r="D5" s="13" t="s">
        <v>22</v>
      </c>
      <c r="E5" s="14" t="s">
        <v>36</v>
      </c>
      <c r="F5" s="15">
        <v>13.0</v>
      </c>
      <c r="G5" s="16" t="s">
        <v>24</v>
      </c>
      <c r="H5" s="15">
        <v>13.0</v>
      </c>
      <c r="I5" s="14" t="s">
        <v>33</v>
      </c>
      <c r="J5" s="4"/>
      <c r="K5" s="4">
        <f t="shared" si="1"/>
        <v>2</v>
      </c>
      <c r="L5" s="17">
        <f t="shared" si="2"/>
        <v>2</v>
      </c>
      <c r="M5" s="4"/>
      <c r="N5" s="17">
        <v>3.0</v>
      </c>
      <c r="O5" s="18" t="s">
        <v>31</v>
      </c>
      <c r="P5" s="17">
        <f t="shared" si="3"/>
        <v>3</v>
      </c>
      <c r="Q5" s="17">
        <f t="shared" si="4"/>
        <v>1</v>
      </c>
      <c r="R5" s="19">
        <f t="shared" si="5"/>
        <v>0</v>
      </c>
      <c r="S5" s="19">
        <f t="shared" si="6"/>
        <v>0</v>
      </c>
      <c r="T5" s="17">
        <f t="shared" si="7"/>
        <v>26</v>
      </c>
      <c r="U5" s="19">
        <f t="shared" si="8"/>
        <v>17</v>
      </c>
      <c r="V5" s="17">
        <f t="shared" si="9"/>
        <v>9</v>
      </c>
      <c r="W5" s="2"/>
      <c r="X5" s="26" t="s">
        <v>37</v>
      </c>
      <c r="Y5" s="26">
        <v>2.0</v>
      </c>
      <c r="Z5" s="26">
        <v>322.0</v>
      </c>
      <c r="AA5" s="26">
        <v>268.0</v>
      </c>
      <c r="AB5" s="26">
        <f t="shared" si="10"/>
        <v>54</v>
      </c>
      <c r="AC5" s="2"/>
      <c r="AD5" s="2"/>
      <c r="AE5" s="21" t="s">
        <v>38</v>
      </c>
      <c r="AF5" s="26" t="s">
        <v>39</v>
      </c>
      <c r="AG5" s="22">
        <v>3.0</v>
      </c>
      <c r="AH5" s="22">
        <v>1.0</v>
      </c>
      <c r="AI5" s="23">
        <v>0.0</v>
      </c>
      <c r="AJ5" s="22">
        <v>0.0</v>
      </c>
      <c r="AK5" s="22">
        <v>25.0</v>
      </c>
      <c r="AL5" s="23">
        <v>16.0</v>
      </c>
      <c r="AM5" s="22">
        <v>9.0</v>
      </c>
      <c r="AN5" s="17"/>
    </row>
    <row r="6" ht="15.75" customHeight="1">
      <c r="A6" s="24"/>
      <c r="B6" s="11">
        <v>45953.0</v>
      </c>
      <c r="C6" s="12" t="s">
        <v>30</v>
      </c>
      <c r="D6" s="13" t="s">
        <v>22</v>
      </c>
      <c r="E6" s="14" t="s">
        <v>40</v>
      </c>
      <c r="F6" s="15">
        <v>16.0</v>
      </c>
      <c r="G6" s="16" t="s">
        <v>24</v>
      </c>
      <c r="H6" s="15">
        <v>25.0</v>
      </c>
      <c r="I6" s="14" t="s">
        <v>39</v>
      </c>
      <c r="J6" s="4"/>
      <c r="K6" s="4">
        <f t="shared" si="1"/>
        <v>1</v>
      </c>
      <c r="L6" s="17">
        <f t="shared" si="2"/>
        <v>3</v>
      </c>
      <c r="M6" s="4"/>
      <c r="N6" s="17">
        <v>4.0</v>
      </c>
      <c r="O6" s="18" t="s">
        <v>32</v>
      </c>
      <c r="P6" s="17">
        <f t="shared" si="3"/>
        <v>1</v>
      </c>
      <c r="Q6" s="17">
        <f t="shared" si="4"/>
        <v>0</v>
      </c>
      <c r="R6" s="19">
        <f t="shared" si="5"/>
        <v>0</v>
      </c>
      <c r="S6" s="19">
        <f t="shared" si="6"/>
        <v>1</v>
      </c>
      <c r="T6" s="17">
        <f t="shared" si="7"/>
        <v>17</v>
      </c>
      <c r="U6" s="19">
        <f t="shared" si="8"/>
        <v>26</v>
      </c>
      <c r="V6" s="17">
        <f t="shared" si="9"/>
        <v>-9</v>
      </c>
      <c r="W6" s="2"/>
      <c r="X6" s="3"/>
      <c r="Y6" s="3"/>
      <c r="Z6" s="2"/>
      <c r="AA6" s="2"/>
      <c r="AB6" s="2"/>
      <c r="AC6" s="2"/>
      <c r="AD6" s="2"/>
      <c r="AE6" s="21" t="s">
        <v>41</v>
      </c>
      <c r="AF6" s="22" t="s">
        <v>42</v>
      </c>
      <c r="AG6" s="22">
        <v>3.0</v>
      </c>
      <c r="AH6" s="22">
        <v>1.0</v>
      </c>
      <c r="AI6" s="23">
        <v>0.0</v>
      </c>
      <c r="AJ6" s="22">
        <v>0.0</v>
      </c>
      <c r="AK6" s="22">
        <v>26.0</v>
      </c>
      <c r="AL6" s="23">
        <v>17.0</v>
      </c>
      <c r="AM6" s="22">
        <v>9.0</v>
      </c>
      <c r="AN6" s="17"/>
    </row>
    <row r="7" ht="15.75" customHeight="1">
      <c r="A7" s="24"/>
      <c r="B7" s="11">
        <v>45953.0</v>
      </c>
      <c r="C7" s="12" t="s">
        <v>35</v>
      </c>
      <c r="D7" s="13" t="s">
        <v>22</v>
      </c>
      <c r="E7" s="14" t="s">
        <v>43</v>
      </c>
      <c r="F7" s="15">
        <v>17.0</v>
      </c>
      <c r="G7" s="16" t="s">
        <v>24</v>
      </c>
      <c r="H7" s="15">
        <v>26.0</v>
      </c>
      <c r="I7" s="14" t="s">
        <v>42</v>
      </c>
      <c r="J7" s="4"/>
      <c r="K7" s="4">
        <f t="shared" si="1"/>
        <v>1</v>
      </c>
      <c r="L7" s="17">
        <f t="shared" si="2"/>
        <v>3</v>
      </c>
      <c r="M7" s="4"/>
      <c r="N7" s="17">
        <v>5.0</v>
      </c>
      <c r="O7" s="18" t="s">
        <v>36</v>
      </c>
      <c r="P7" s="17">
        <f t="shared" si="3"/>
        <v>2</v>
      </c>
      <c r="Q7" s="17">
        <f t="shared" si="4"/>
        <v>0</v>
      </c>
      <c r="R7" s="19">
        <f t="shared" si="5"/>
        <v>1</v>
      </c>
      <c r="S7" s="19">
        <f t="shared" si="6"/>
        <v>0</v>
      </c>
      <c r="T7" s="17">
        <f t="shared" si="7"/>
        <v>13</v>
      </c>
      <c r="U7" s="19">
        <f t="shared" si="8"/>
        <v>13</v>
      </c>
      <c r="V7" s="17">
        <f t="shared" si="9"/>
        <v>0</v>
      </c>
      <c r="W7" s="2"/>
      <c r="X7" s="3"/>
      <c r="Y7" s="2"/>
      <c r="Z7" s="2"/>
      <c r="AA7" s="2"/>
      <c r="AB7" s="2"/>
      <c r="AC7" s="2"/>
      <c r="AD7" s="2"/>
      <c r="AE7" s="21" t="s">
        <v>44</v>
      </c>
      <c r="AF7" s="22" t="s">
        <v>36</v>
      </c>
      <c r="AG7" s="22">
        <v>2.0</v>
      </c>
      <c r="AH7" s="22">
        <v>0.0</v>
      </c>
      <c r="AI7" s="23">
        <v>1.0</v>
      </c>
      <c r="AJ7" s="22">
        <v>0.0</v>
      </c>
      <c r="AK7" s="22">
        <v>13.0</v>
      </c>
      <c r="AL7" s="23">
        <v>13.0</v>
      </c>
      <c r="AM7" s="22">
        <v>0.0</v>
      </c>
      <c r="AN7" s="17"/>
    </row>
    <row r="8" ht="15.75" customHeight="1">
      <c r="A8" s="28"/>
      <c r="B8" s="29"/>
      <c r="C8" s="30"/>
      <c r="D8" s="13"/>
      <c r="E8" s="14">
        <v>0.0</v>
      </c>
      <c r="F8" s="16"/>
      <c r="G8" s="16" t="s">
        <v>24</v>
      </c>
      <c r="H8" s="16"/>
      <c r="I8" s="14" t="s">
        <v>45</v>
      </c>
      <c r="J8" s="4"/>
      <c r="K8" s="4" t="str">
        <f t="shared" si="1"/>
        <v/>
      </c>
      <c r="L8" s="17" t="str">
        <f t="shared" si="2"/>
        <v/>
      </c>
      <c r="M8" s="4"/>
      <c r="N8" s="17">
        <v>6.0</v>
      </c>
      <c r="O8" s="18" t="s">
        <v>33</v>
      </c>
      <c r="P8" s="17">
        <f t="shared" si="3"/>
        <v>2</v>
      </c>
      <c r="Q8" s="17">
        <f t="shared" si="4"/>
        <v>0</v>
      </c>
      <c r="R8" s="19">
        <f t="shared" si="5"/>
        <v>1</v>
      </c>
      <c r="S8" s="19">
        <f t="shared" si="6"/>
        <v>0</v>
      </c>
      <c r="T8" s="17">
        <f t="shared" si="7"/>
        <v>13</v>
      </c>
      <c r="U8" s="19">
        <f t="shared" si="8"/>
        <v>13</v>
      </c>
      <c r="V8" s="17">
        <f t="shared" si="9"/>
        <v>0</v>
      </c>
      <c r="W8" s="2"/>
      <c r="X8" s="6" t="s">
        <v>46</v>
      </c>
      <c r="Y8" s="8"/>
      <c r="Z8" s="31"/>
      <c r="AA8" s="31"/>
      <c r="AB8" s="31"/>
      <c r="AC8" s="2"/>
      <c r="AD8" s="2"/>
      <c r="AE8" s="21" t="s">
        <v>47</v>
      </c>
      <c r="AF8" s="22" t="s">
        <v>33</v>
      </c>
      <c r="AG8" s="22">
        <v>2.0</v>
      </c>
      <c r="AH8" s="22">
        <v>0.0</v>
      </c>
      <c r="AI8" s="23">
        <v>1.0</v>
      </c>
      <c r="AJ8" s="22">
        <v>0.0</v>
      </c>
      <c r="AK8" s="22">
        <v>13.0</v>
      </c>
      <c r="AL8" s="23">
        <v>13.0</v>
      </c>
      <c r="AM8" s="22">
        <v>0.0</v>
      </c>
      <c r="AN8" s="17"/>
    </row>
    <row r="9" ht="15.75" customHeight="1">
      <c r="A9" s="10">
        <v>2.0</v>
      </c>
      <c r="B9" s="29"/>
      <c r="C9" s="30"/>
      <c r="D9" s="13"/>
      <c r="E9" s="14" t="s">
        <v>25</v>
      </c>
      <c r="F9" s="15"/>
      <c r="G9" s="16" t="s">
        <v>24</v>
      </c>
      <c r="H9" s="16"/>
      <c r="I9" s="14">
        <v>0.0</v>
      </c>
      <c r="J9" s="4"/>
      <c r="K9" s="4" t="str">
        <f t="shared" si="1"/>
        <v/>
      </c>
      <c r="L9" s="17" t="str">
        <f t="shared" si="2"/>
        <v/>
      </c>
      <c r="M9" s="4"/>
      <c r="N9" s="17">
        <v>7.0</v>
      </c>
      <c r="O9" s="18" t="s">
        <v>40</v>
      </c>
      <c r="P9" s="17">
        <f t="shared" si="3"/>
        <v>1</v>
      </c>
      <c r="Q9" s="17">
        <f t="shared" si="4"/>
        <v>0</v>
      </c>
      <c r="R9" s="19">
        <f t="shared" si="5"/>
        <v>0</v>
      </c>
      <c r="S9" s="19">
        <f t="shared" si="6"/>
        <v>1</v>
      </c>
      <c r="T9" s="17">
        <f t="shared" si="7"/>
        <v>16</v>
      </c>
      <c r="U9" s="19">
        <f t="shared" si="8"/>
        <v>25</v>
      </c>
      <c r="V9" s="17">
        <f t="shared" si="9"/>
        <v>-9</v>
      </c>
      <c r="W9" s="2"/>
      <c r="X9" s="20" t="s">
        <v>26</v>
      </c>
      <c r="Y9" s="20" t="s">
        <v>13</v>
      </c>
      <c r="Z9" s="32"/>
      <c r="AC9" s="2"/>
      <c r="AD9" s="2"/>
      <c r="AE9" s="21" t="s">
        <v>48</v>
      </c>
      <c r="AF9" s="22" t="s">
        <v>32</v>
      </c>
      <c r="AG9" s="22">
        <v>1.0</v>
      </c>
      <c r="AH9" s="22">
        <v>0.0</v>
      </c>
      <c r="AI9" s="23">
        <v>0.0</v>
      </c>
      <c r="AJ9" s="22">
        <v>1.0</v>
      </c>
      <c r="AK9" s="22">
        <v>17.0</v>
      </c>
      <c r="AL9" s="23">
        <v>26.0</v>
      </c>
      <c r="AM9" s="22">
        <v>-9.0</v>
      </c>
      <c r="AN9" s="17"/>
    </row>
    <row r="10" ht="15.75" customHeight="1">
      <c r="A10" s="24"/>
      <c r="B10" s="29"/>
      <c r="C10" s="30"/>
      <c r="D10" s="13"/>
      <c r="E10" s="14" t="s">
        <v>32</v>
      </c>
      <c r="F10" s="15"/>
      <c r="G10" s="16" t="s">
        <v>24</v>
      </c>
      <c r="H10" s="15"/>
      <c r="I10" s="14" t="s">
        <v>23</v>
      </c>
      <c r="J10" s="4"/>
      <c r="K10" s="4" t="str">
        <f t="shared" si="1"/>
        <v/>
      </c>
      <c r="L10" s="17" t="str">
        <f t="shared" si="2"/>
        <v/>
      </c>
      <c r="M10" s="4"/>
      <c r="N10" s="17">
        <v>8.0</v>
      </c>
      <c r="O10" s="18" t="s">
        <v>39</v>
      </c>
      <c r="P10" s="17">
        <f t="shared" si="3"/>
        <v>3</v>
      </c>
      <c r="Q10" s="17">
        <f t="shared" si="4"/>
        <v>1</v>
      </c>
      <c r="R10" s="19">
        <f t="shared" si="5"/>
        <v>0</v>
      </c>
      <c r="S10" s="19">
        <f t="shared" si="6"/>
        <v>0</v>
      </c>
      <c r="T10" s="17">
        <f t="shared" si="7"/>
        <v>25</v>
      </c>
      <c r="U10" s="19">
        <f t="shared" si="8"/>
        <v>16</v>
      </c>
      <c r="V10" s="17">
        <f t="shared" si="9"/>
        <v>9</v>
      </c>
      <c r="W10" s="2"/>
      <c r="X10" s="26" t="s">
        <v>43</v>
      </c>
      <c r="Y10" s="26">
        <v>5.0</v>
      </c>
      <c r="AC10" s="2"/>
      <c r="AD10" s="2"/>
      <c r="AE10" s="21">
        <v>8.0</v>
      </c>
      <c r="AF10" s="22" t="s">
        <v>40</v>
      </c>
      <c r="AG10" s="22">
        <v>1.0</v>
      </c>
      <c r="AH10" s="22">
        <v>0.0</v>
      </c>
      <c r="AI10" s="23">
        <v>0.0</v>
      </c>
      <c r="AJ10" s="22">
        <v>1.0</v>
      </c>
      <c r="AK10" s="22">
        <v>16.0</v>
      </c>
      <c r="AL10" s="23">
        <v>25.0</v>
      </c>
      <c r="AM10" s="22">
        <v>-9.0</v>
      </c>
      <c r="AN10" s="17"/>
    </row>
    <row r="11" ht="15.75" customHeight="1">
      <c r="A11" s="24"/>
      <c r="B11" s="29"/>
      <c r="C11" s="30"/>
      <c r="D11" s="13"/>
      <c r="E11" s="14" t="s">
        <v>33</v>
      </c>
      <c r="F11" s="16"/>
      <c r="G11" s="16" t="s">
        <v>24</v>
      </c>
      <c r="H11" s="16"/>
      <c r="I11" s="14" t="s">
        <v>31</v>
      </c>
      <c r="J11" s="4"/>
      <c r="K11" s="4" t="str">
        <f t="shared" si="1"/>
        <v/>
      </c>
      <c r="L11" s="17" t="str">
        <f t="shared" si="2"/>
        <v/>
      </c>
      <c r="M11" s="4"/>
      <c r="N11" s="17">
        <v>9.0</v>
      </c>
      <c r="O11" s="18" t="s">
        <v>49</v>
      </c>
      <c r="P11" s="17">
        <f t="shared" si="3"/>
        <v>0</v>
      </c>
      <c r="Q11" s="17">
        <f t="shared" si="4"/>
        <v>0</v>
      </c>
      <c r="R11" s="19">
        <f t="shared" si="5"/>
        <v>0</v>
      </c>
      <c r="S11" s="19">
        <f t="shared" si="6"/>
        <v>0</v>
      </c>
      <c r="T11" s="17">
        <f t="shared" si="7"/>
        <v>0</v>
      </c>
      <c r="U11" s="19">
        <f t="shared" si="8"/>
        <v>0</v>
      </c>
      <c r="V11" s="17">
        <f t="shared" si="9"/>
        <v>0</v>
      </c>
      <c r="W11" s="2"/>
      <c r="X11" s="26" t="s">
        <v>40</v>
      </c>
      <c r="Y11" s="26">
        <v>4.0</v>
      </c>
      <c r="AC11" s="2"/>
      <c r="AD11" s="2"/>
      <c r="AE11" s="21">
        <v>9.0</v>
      </c>
      <c r="AF11" s="22" t="s">
        <v>23</v>
      </c>
      <c r="AG11" s="22">
        <v>1.0</v>
      </c>
      <c r="AH11" s="22">
        <v>0.0</v>
      </c>
      <c r="AI11" s="23">
        <v>0.0</v>
      </c>
      <c r="AJ11" s="22">
        <v>1.0</v>
      </c>
      <c r="AK11" s="22">
        <v>11.0</v>
      </c>
      <c r="AL11" s="23">
        <v>35.0</v>
      </c>
      <c r="AM11" s="22">
        <v>-24.0</v>
      </c>
      <c r="AN11" s="17"/>
    </row>
    <row r="12" ht="15.75" customHeight="1">
      <c r="A12" s="24"/>
      <c r="B12" s="29"/>
      <c r="C12" s="30"/>
      <c r="D12" s="13"/>
      <c r="E12" s="14" t="s">
        <v>39</v>
      </c>
      <c r="F12" s="16"/>
      <c r="G12" s="16" t="s">
        <v>24</v>
      </c>
      <c r="H12" s="16"/>
      <c r="I12" s="14" t="s">
        <v>36</v>
      </c>
      <c r="J12" s="4"/>
      <c r="K12" s="4" t="str">
        <f t="shared" si="1"/>
        <v/>
      </c>
      <c r="L12" s="17" t="str">
        <f t="shared" si="2"/>
        <v/>
      </c>
      <c r="M12" s="4"/>
      <c r="N12" s="17">
        <v>10.0</v>
      </c>
      <c r="O12" s="18" t="s">
        <v>42</v>
      </c>
      <c r="P12" s="17">
        <f t="shared" si="3"/>
        <v>3</v>
      </c>
      <c r="Q12" s="17">
        <f t="shared" si="4"/>
        <v>1</v>
      </c>
      <c r="R12" s="19">
        <f t="shared" si="5"/>
        <v>0</v>
      </c>
      <c r="S12" s="19">
        <f t="shared" si="6"/>
        <v>0</v>
      </c>
      <c r="T12" s="17">
        <f t="shared" si="7"/>
        <v>26</v>
      </c>
      <c r="U12" s="19">
        <f t="shared" si="8"/>
        <v>17</v>
      </c>
      <c r="V12" s="17">
        <f t="shared" si="9"/>
        <v>9</v>
      </c>
      <c r="W12" s="2"/>
      <c r="X12" s="26" t="s">
        <v>31</v>
      </c>
      <c r="Y12" s="26">
        <v>3.0</v>
      </c>
      <c r="AC12" s="2"/>
      <c r="AD12" s="2"/>
      <c r="AE12" s="33">
        <v>10.0</v>
      </c>
      <c r="AF12" s="22" t="s">
        <v>49</v>
      </c>
      <c r="AG12" s="22">
        <v>0.0</v>
      </c>
      <c r="AH12" s="22">
        <v>0.0</v>
      </c>
      <c r="AI12" s="23">
        <v>0.0</v>
      </c>
      <c r="AJ12" s="22">
        <v>0.0</v>
      </c>
      <c r="AK12" s="22">
        <v>0.0</v>
      </c>
      <c r="AL12" s="23">
        <v>0.0</v>
      </c>
      <c r="AM12" s="22">
        <v>0.0</v>
      </c>
      <c r="AN12" s="17"/>
    </row>
    <row r="13" ht="15.75" customHeight="1">
      <c r="A13" s="24"/>
      <c r="B13" s="29"/>
      <c r="C13" s="30"/>
      <c r="D13" s="13"/>
      <c r="E13" s="14" t="s">
        <v>42</v>
      </c>
      <c r="F13" s="16"/>
      <c r="G13" s="16" t="s">
        <v>24</v>
      </c>
      <c r="H13" s="16"/>
      <c r="I13" s="14" t="s">
        <v>40</v>
      </c>
      <c r="J13" s="4"/>
      <c r="K13" s="4" t="str">
        <f t="shared" si="1"/>
        <v/>
      </c>
      <c r="L13" s="17" t="str">
        <f t="shared" si="2"/>
        <v/>
      </c>
      <c r="M13" s="4"/>
      <c r="N13" s="4">
        <v>11.0</v>
      </c>
      <c r="O13" s="18" t="s">
        <v>45</v>
      </c>
      <c r="P13" s="17">
        <f t="shared" si="3"/>
        <v>0</v>
      </c>
      <c r="Q13" s="17">
        <f t="shared" si="4"/>
        <v>0</v>
      </c>
      <c r="R13" s="19">
        <f t="shared" si="5"/>
        <v>0</v>
      </c>
      <c r="S13" s="19">
        <f t="shared" si="6"/>
        <v>0</v>
      </c>
      <c r="T13" s="17">
        <f t="shared" si="7"/>
        <v>0</v>
      </c>
      <c r="U13" s="19">
        <f t="shared" si="8"/>
        <v>0</v>
      </c>
      <c r="V13" s="17">
        <f t="shared" si="9"/>
        <v>0</v>
      </c>
      <c r="W13" s="2"/>
      <c r="X13" s="2"/>
      <c r="Y13" s="2"/>
      <c r="Z13" s="2"/>
      <c r="AA13" s="2"/>
      <c r="AB13" s="2"/>
      <c r="AC13" s="2"/>
      <c r="AD13" s="2"/>
      <c r="AE13" s="33">
        <v>11.0</v>
      </c>
      <c r="AF13" s="27" t="s">
        <v>45</v>
      </c>
      <c r="AG13" s="22">
        <v>0.0</v>
      </c>
      <c r="AH13" s="22">
        <v>0.0</v>
      </c>
      <c r="AI13" s="23">
        <v>0.0</v>
      </c>
      <c r="AJ13" s="22">
        <v>0.0</v>
      </c>
      <c r="AK13" s="22">
        <v>0.0</v>
      </c>
      <c r="AL13" s="23">
        <v>0.0</v>
      </c>
      <c r="AM13" s="22">
        <v>0.0</v>
      </c>
      <c r="AN13" s="3"/>
    </row>
    <row r="14" ht="15.75" customHeight="1">
      <c r="A14" s="28"/>
      <c r="B14" s="29"/>
      <c r="C14" s="30"/>
      <c r="D14" s="13"/>
      <c r="E14" s="14" t="s">
        <v>45</v>
      </c>
      <c r="F14" s="16"/>
      <c r="G14" s="16" t="s">
        <v>24</v>
      </c>
      <c r="H14" s="16"/>
      <c r="I14" s="14" t="s">
        <v>43</v>
      </c>
      <c r="J14" s="4"/>
      <c r="K14" s="4" t="str">
        <f t="shared" si="1"/>
        <v/>
      </c>
      <c r="L14" s="17" t="str">
        <f t="shared" si="2"/>
        <v/>
      </c>
      <c r="M14" s="4"/>
      <c r="N14" s="4"/>
      <c r="O14" s="4"/>
      <c r="P14" s="17"/>
      <c r="Q14" s="17"/>
      <c r="R14" s="19"/>
      <c r="S14" s="19"/>
      <c r="T14" s="17"/>
      <c r="U14" s="19"/>
      <c r="V14" s="17"/>
      <c r="W14" s="2"/>
      <c r="X14" s="2"/>
      <c r="Y14" s="2"/>
      <c r="Z14" s="2"/>
      <c r="AA14" s="2"/>
      <c r="AB14" s="2"/>
      <c r="AC14" s="2"/>
      <c r="AD14" s="2"/>
      <c r="AE14" s="34" t="s">
        <v>50</v>
      </c>
      <c r="AH14" s="31"/>
      <c r="AI14" s="35"/>
      <c r="AJ14" s="31"/>
      <c r="AK14" s="31"/>
      <c r="AL14" s="35"/>
      <c r="AM14" s="31"/>
      <c r="AN14" s="3"/>
    </row>
    <row r="15" ht="15.75" customHeight="1">
      <c r="A15" s="10">
        <v>3.0</v>
      </c>
      <c r="B15" s="29"/>
      <c r="C15" s="30"/>
      <c r="D15" s="13"/>
      <c r="E15" s="14" t="s">
        <v>25</v>
      </c>
      <c r="F15" s="16"/>
      <c r="G15" s="16" t="s">
        <v>24</v>
      </c>
      <c r="H15" s="16"/>
      <c r="I15" s="14" t="s">
        <v>32</v>
      </c>
      <c r="J15" s="4"/>
      <c r="K15" s="4" t="str">
        <f t="shared" si="1"/>
        <v/>
      </c>
      <c r="L15" s="17" t="str">
        <f t="shared" si="2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36"/>
      <c r="AJ15" s="3"/>
      <c r="AK15" s="3"/>
      <c r="AL15" s="3"/>
      <c r="AM15" s="3"/>
      <c r="AN15" s="3"/>
    </row>
    <row r="16" ht="15.75" customHeight="1">
      <c r="A16" s="24"/>
      <c r="B16" s="29"/>
      <c r="C16" s="30"/>
      <c r="D16" s="13"/>
      <c r="E16" s="14" t="s">
        <v>23</v>
      </c>
      <c r="F16" s="16"/>
      <c r="G16" s="16" t="s">
        <v>24</v>
      </c>
      <c r="H16" s="16"/>
      <c r="I16" s="14" t="s">
        <v>33</v>
      </c>
      <c r="J16" s="4"/>
      <c r="K16" s="4" t="str">
        <f t="shared" si="1"/>
        <v/>
      </c>
      <c r="L16" s="17" t="str">
        <f t="shared" si="2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2"/>
      <c r="X16" s="2"/>
      <c r="Y16" s="2"/>
      <c r="Z16" s="2"/>
      <c r="AA16" s="2"/>
      <c r="AB16" s="2"/>
      <c r="AC16" s="2"/>
      <c r="AD16" s="2"/>
      <c r="AE16" s="4"/>
      <c r="AJ16" s="3"/>
      <c r="AK16" s="3"/>
      <c r="AL16" s="3"/>
      <c r="AM16" s="3"/>
      <c r="AN16" s="3"/>
    </row>
    <row r="17" ht="15.75" customHeight="1">
      <c r="A17" s="24"/>
      <c r="B17" s="29"/>
      <c r="C17" s="30"/>
      <c r="D17" s="13"/>
      <c r="E17" s="14" t="s">
        <v>31</v>
      </c>
      <c r="F17" s="16"/>
      <c r="G17" s="16" t="s">
        <v>24</v>
      </c>
      <c r="H17" s="16"/>
      <c r="I17" s="14" t="s">
        <v>39</v>
      </c>
      <c r="J17" s="4"/>
      <c r="K17" s="4" t="str">
        <f t="shared" si="1"/>
        <v/>
      </c>
      <c r="L17" s="17" t="str">
        <f t="shared" si="2"/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2"/>
      <c r="X17" s="2"/>
      <c r="Y17" s="2"/>
      <c r="Z17" s="2"/>
      <c r="AA17" s="2"/>
      <c r="AB17" s="2"/>
      <c r="AC17" s="2"/>
      <c r="AD17" s="2"/>
      <c r="AJ17" s="3"/>
      <c r="AK17" s="3"/>
      <c r="AL17" s="3"/>
      <c r="AM17" s="3"/>
      <c r="AN17" s="3"/>
    </row>
    <row r="18" ht="15.75" customHeight="1">
      <c r="A18" s="24"/>
      <c r="B18" s="29"/>
      <c r="C18" s="16"/>
      <c r="D18" s="13"/>
      <c r="E18" s="14" t="s">
        <v>36</v>
      </c>
      <c r="F18" s="16"/>
      <c r="G18" s="16" t="s">
        <v>24</v>
      </c>
      <c r="H18" s="16"/>
      <c r="I18" s="14" t="s">
        <v>42</v>
      </c>
      <c r="J18" s="37"/>
      <c r="K18" s="4" t="str">
        <f t="shared" si="1"/>
        <v/>
      </c>
      <c r="L18" s="17" t="str">
        <f t="shared" si="2"/>
        <v/>
      </c>
      <c r="M18" s="4"/>
      <c r="N18" s="4"/>
      <c r="O18" s="4"/>
      <c r="P18" s="4"/>
      <c r="Q18" s="2"/>
      <c r="R18" s="4"/>
      <c r="S18" s="4"/>
      <c r="T18" s="4"/>
      <c r="U18" s="4"/>
      <c r="V18" s="4"/>
      <c r="W18" s="2"/>
      <c r="X18" s="2"/>
      <c r="Y18" s="2"/>
      <c r="Z18" s="2"/>
      <c r="AA18" s="2"/>
      <c r="AB18" s="2"/>
      <c r="AC18" s="2"/>
      <c r="AD18" s="2"/>
      <c r="AJ18" s="3"/>
      <c r="AK18" s="3"/>
      <c r="AL18" s="3"/>
      <c r="AM18" s="3"/>
      <c r="AN18" s="3"/>
    </row>
    <row r="19" ht="15.75" customHeight="1">
      <c r="A19" s="24"/>
      <c r="B19" s="29"/>
      <c r="C19" s="30"/>
      <c r="D19" s="13"/>
      <c r="E19" s="14" t="s">
        <v>40</v>
      </c>
      <c r="F19" s="16"/>
      <c r="G19" s="16" t="s">
        <v>24</v>
      </c>
      <c r="H19" s="16"/>
      <c r="I19" s="14" t="s">
        <v>45</v>
      </c>
      <c r="J19" s="4"/>
      <c r="K19" s="4" t="str">
        <f t="shared" si="1"/>
        <v/>
      </c>
      <c r="L19" s="17" t="str">
        <f t="shared" si="2"/>
        <v/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2"/>
      <c r="X19" s="2"/>
      <c r="Y19" s="2"/>
      <c r="Z19" s="2"/>
      <c r="AA19" s="2"/>
      <c r="AB19" s="2"/>
      <c r="AC19" s="2"/>
      <c r="AD19" s="2"/>
      <c r="AJ19" s="3"/>
      <c r="AK19" s="3"/>
      <c r="AL19" s="3"/>
      <c r="AM19" s="3"/>
      <c r="AN19" s="3"/>
    </row>
    <row r="20" ht="15.75" customHeight="1">
      <c r="A20" s="28"/>
      <c r="B20" s="29"/>
      <c r="C20" s="30"/>
      <c r="D20" s="13"/>
      <c r="E20" s="14">
        <v>0.0</v>
      </c>
      <c r="F20" s="16"/>
      <c r="G20" s="16" t="s">
        <v>24</v>
      </c>
      <c r="H20" s="16"/>
      <c r="I20" s="14" t="s">
        <v>43</v>
      </c>
      <c r="J20" s="4"/>
      <c r="K20" s="4" t="str">
        <f t="shared" si="1"/>
        <v/>
      </c>
      <c r="L20" s="17" t="str">
        <f t="shared" si="2"/>
        <v/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2"/>
      <c r="X20" s="2"/>
      <c r="Y20" s="2"/>
      <c r="Z20" s="2"/>
      <c r="AA20" s="2"/>
      <c r="AB20" s="2"/>
      <c r="AC20" s="2"/>
      <c r="AD20" s="2"/>
      <c r="AJ20" s="3"/>
      <c r="AK20" s="3"/>
      <c r="AL20" s="3"/>
      <c r="AM20" s="3"/>
      <c r="AN20" s="3"/>
    </row>
    <row r="21" ht="15.75" customHeight="1">
      <c r="A21" s="10">
        <v>4.0</v>
      </c>
      <c r="B21" s="29"/>
      <c r="C21" s="30"/>
      <c r="D21" s="13"/>
      <c r="E21" s="14" t="s">
        <v>32</v>
      </c>
      <c r="F21" s="16"/>
      <c r="G21" s="16" t="s">
        <v>24</v>
      </c>
      <c r="H21" s="16"/>
      <c r="I21" s="14">
        <v>0.0</v>
      </c>
      <c r="J21" s="4"/>
      <c r="K21" s="4" t="str">
        <f t="shared" si="1"/>
        <v/>
      </c>
      <c r="L21" s="17" t="str">
        <f t="shared" si="2"/>
        <v/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2"/>
      <c r="X21" s="2"/>
      <c r="Y21" s="2"/>
      <c r="Z21" s="2"/>
      <c r="AA21" s="2"/>
      <c r="AB21" s="2"/>
      <c r="AC21" s="2"/>
      <c r="AD21" s="2"/>
      <c r="AJ21" s="3"/>
      <c r="AK21" s="3"/>
      <c r="AL21" s="3"/>
      <c r="AM21" s="3"/>
      <c r="AN21" s="3"/>
    </row>
    <row r="22" ht="15.75" customHeight="1">
      <c r="A22" s="24"/>
      <c r="B22" s="29"/>
      <c r="C22" s="30"/>
      <c r="D22" s="13"/>
      <c r="E22" s="14" t="s">
        <v>33</v>
      </c>
      <c r="F22" s="16"/>
      <c r="G22" s="16" t="s">
        <v>24</v>
      </c>
      <c r="H22" s="16"/>
      <c r="I22" s="14" t="s">
        <v>25</v>
      </c>
      <c r="J22" s="4"/>
      <c r="K22" s="4" t="str">
        <f t="shared" si="1"/>
        <v/>
      </c>
      <c r="L22" s="17" t="str">
        <f t="shared" si="2"/>
        <v/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2"/>
      <c r="X22" s="2"/>
      <c r="Y22" s="2"/>
      <c r="Z22" s="2"/>
      <c r="AA22" s="2"/>
      <c r="AB22" s="2"/>
      <c r="AC22" s="2"/>
      <c r="AD22" s="2"/>
      <c r="AJ22" s="3"/>
      <c r="AK22" s="3"/>
      <c r="AL22" s="3"/>
      <c r="AM22" s="3"/>
      <c r="AN22" s="3"/>
    </row>
    <row r="23" ht="15.75" customHeight="1">
      <c r="A23" s="24"/>
      <c r="B23" s="29"/>
      <c r="C23" s="30"/>
      <c r="D23" s="13"/>
      <c r="E23" s="14" t="s">
        <v>39</v>
      </c>
      <c r="F23" s="16"/>
      <c r="G23" s="16" t="s">
        <v>24</v>
      </c>
      <c r="H23" s="16"/>
      <c r="I23" s="14" t="s">
        <v>23</v>
      </c>
      <c r="J23" s="4"/>
      <c r="K23" s="4" t="str">
        <f t="shared" si="1"/>
        <v/>
      </c>
      <c r="L23" s="17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2"/>
      <c r="X23" s="2"/>
      <c r="Y23" s="2"/>
      <c r="Z23" s="2"/>
      <c r="AA23" s="2"/>
      <c r="AB23" s="2"/>
      <c r="AC23" s="2"/>
      <c r="AD23" s="2"/>
      <c r="AH23" s="3"/>
      <c r="AI23" s="3"/>
      <c r="AJ23" s="3"/>
      <c r="AK23" s="3"/>
      <c r="AL23" s="3"/>
      <c r="AM23" s="3"/>
      <c r="AN23" s="3"/>
    </row>
    <row r="24" ht="15.75" customHeight="1">
      <c r="A24" s="24"/>
      <c r="B24" s="29"/>
      <c r="C24" s="30"/>
      <c r="D24" s="13"/>
      <c r="E24" s="14" t="s">
        <v>42</v>
      </c>
      <c r="F24" s="16"/>
      <c r="G24" s="16" t="s">
        <v>24</v>
      </c>
      <c r="H24" s="16"/>
      <c r="I24" s="14" t="s">
        <v>31</v>
      </c>
      <c r="J24" s="4"/>
      <c r="K24" s="4" t="str">
        <f t="shared" si="1"/>
        <v/>
      </c>
      <c r="L24" s="17" t="str">
        <f t="shared" si="2"/>
        <v/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2"/>
      <c r="X24" s="2"/>
      <c r="Y24" s="2"/>
      <c r="Z24" s="2"/>
      <c r="AA24" s="2"/>
      <c r="AB24" s="2"/>
      <c r="AC24" s="2"/>
      <c r="AD24" s="2"/>
      <c r="AE24" s="4"/>
      <c r="AF24" s="3"/>
      <c r="AG24" s="3"/>
      <c r="AH24" s="3"/>
      <c r="AI24" s="3"/>
      <c r="AJ24" s="3"/>
      <c r="AK24" s="3"/>
      <c r="AL24" s="3"/>
      <c r="AM24" s="3"/>
      <c r="AN24" s="3"/>
    </row>
    <row r="25" ht="15.75" customHeight="1">
      <c r="A25" s="24"/>
      <c r="B25" s="29"/>
      <c r="C25" s="30"/>
      <c r="D25" s="13"/>
      <c r="E25" s="14" t="s">
        <v>45</v>
      </c>
      <c r="F25" s="16"/>
      <c r="G25" s="16" t="s">
        <v>24</v>
      </c>
      <c r="H25" s="16"/>
      <c r="I25" s="14" t="s">
        <v>36</v>
      </c>
      <c r="J25" s="4"/>
      <c r="K25" s="4" t="str">
        <f t="shared" si="1"/>
        <v/>
      </c>
      <c r="L25" s="17" t="str">
        <f t="shared" si="2"/>
        <v/>
      </c>
      <c r="M25" s="4"/>
      <c r="N25" s="4"/>
      <c r="O25" s="4"/>
      <c r="P25" s="4"/>
      <c r="Q25" s="4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4"/>
      <c r="AF25" s="3"/>
      <c r="AG25" s="3"/>
      <c r="AH25" s="3"/>
      <c r="AI25" s="3"/>
      <c r="AJ25" s="3"/>
      <c r="AK25" s="3"/>
      <c r="AL25" s="3"/>
      <c r="AM25" s="3"/>
      <c r="AN25" s="3"/>
    </row>
    <row r="26" ht="15.75" customHeight="1">
      <c r="A26" s="28"/>
      <c r="B26" s="29"/>
      <c r="C26" s="30"/>
      <c r="D26" s="13"/>
      <c r="E26" s="14" t="s">
        <v>43</v>
      </c>
      <c r="F26" s="16"/>
      <c r="G26" s="16" t="s">
        <v>24</v>
      </c>
      <c r="H26" s="16"/>
      <c r="I26" s="14" t="s">
        <v>40</v>
      </c>
      <c r="J26" s="4"/>
      <c r="K26" s="4" t="str">
        <f t="shared" si="1"/>
        <v/>
      </c>
      <c r="L26" s="17" t="str">
        <f t="shared" si="2"/>
        <v/>
      </c>
      <c r="M26" s="4"/>
      <c r="N26" s="4"/>
      <c r="O26" s="4"/>
      <c r="P26" s="4"/>
      <c r="Q26" s="4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4"/>
      <c r="AF26" s="3"/>
      <c r="AG26" s="3"/>
      <c r="AH26" s="3"/>
      <c r="AI26" s="3"/>
      <c r="AJ26" s="3"/>
      <c r="AK26" s="3"/>
      <c r="AL26" s="3"/>
      <c r="AM26" s="3"/>
      <c r="AN26" s="3"/>
    </row>
    <row r="27" ht="15.75" customHeight="1">
      <c r="A27" s="10">
        <v>5.0</v>
      </c>
      <c r="B27" s="29"/>
      <c r="C27" s="30"/>
      <c r="D27" s="13"/>
      <c r="E27" s="14" t="s">
        <v>32</v>
      </c>
      <c r="F27" s="16"/>
      <c r="G27" s="16" t="s">
        <v>24</v>
      </c>
      <c r="H27" s="16"/>
      <c r="I27" s="14" t="s">
        <v>33</v>
      </c>
      <c r="J27" s="4"/>
      <c r="K27" s="4" t="str">
        <f t="shared" si="1"/>
        <v/>
      </c>
      <c r="L27" s="17" t="str">
        <f t="shared" si="2"/>
        <v/>
      </c>
      <c r="M27" s="4"/>
      <c r="N27" s="4"/>
      <c r="O27" s="4"/>
      <c r="P27" s="4"/>
      <c r="Q27" s="4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4"/>
      <c r="AF27" s="3"/>
      <c r="AG27" s="3"/>
      <c r="AH27" s="3"/>
      <c r="AI27" s="3"/>
      <c r="AJ27" s="3"/>
      <c r="AK27" s="3"/>
      <c r="AL27" s="3"/>
      <c r="AM27" s="3"/>
      <c r="AN27" s="3"/>
    </row>
    <row r="28" ht="15.75" customHeight="1">
      <c r="A28" s="24"/>
      <c r="B28" s="29"/>
      <c r="C28" s="30"/>
      <c r="D28" s="13"/>
      <c r="E28" s="14" t="s">
        <v>25</v>
      </c>
      <c r="F28" s="16"/>
      <c r="G28" s="16" t="s">
        <v>24</v>
      </c>
      <c r="H28" s="16"/>
      <c r="I28" s="14" t="s">
        <v>39</v>
      </c>
      <c r="J28" s="4"/>
      <c r="K28" s="4" t="str">
        <f t="shared" si="1"/>
        <v/>
      </c>
      <c r="L28" s="17" t="str">
        <f t="shared" si="2"/>
        <v/>
      </c>
      <c r="M28" s="4"/>
      <c r="N28" s="4"/>
      <c r="O28" s="4"/>
      <c r="P28" s="4"/>
      <c r="Q28" s="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4"/>
      <c r="AF28" s="3"/>
      <c r="AG28" s="3"/>
      <c r="AH28" s="3"/>
      <c r="AI28" s="3"/>
      <c r="AJ28" s="3"/>
      <c r="AK28" s="3"/>
      <c r="AL28" s="3"/>
      <c r="AM28" s="3"/>
      <c r="AN28" s="3"/>
    </row>
    <row r="29" ht="15.75" customHeight="1">
      <c r="A29" s="24"/>
      <c r="B29" s="29"/>
      <c r="C29" s="30"/>
      <c r="D29" s="13"/>
      <c r="E29" s="14" t="s">
        <v>23</v>
      </c>
      <c r="F29" s="16"/>
      <c r="G29" s="16" t="s">
        <v>24</v>
      </c>
      <c r="H29" s="16"/>
      <c r="I29" s="14" t="s">
        <v>42</v>
      </c>
      <c r="J29" s="4"/>
      <c r="K29" s="4" t="str">
        <f t="shared" si="1"/>
        <v/>
      </c>
      <c r="L29" s="17" t="str">
        <f t="shared" si="2"/>
        <v/>
      </c>
      <c r="M29" s="4"/>
      <c r="N29" s="4"/>
      <c r="O29" s="4"/>
      <c r="P29" s="4"/>
      <c r="Q29" s="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4"/>
      <c r="AF29" s="3"/>
      <c r="AG29" s="3"/>
      <c r="AH29" s="3"/>
      <c r="AI29" s="3"/>
      <c r="AJ29" s="3"/>
      <c r="AK29" s="3"/>
      <c r="AL29" s="3"/>
      <c r="AM29" s="3"/>
      <c r="AN29" s="3"/>
    </row>
    <row r="30" ht="15.75" customHeight="1">
      <c r="A30" s="24"/>
      <c r="B30" s="29"/>
      <c r="C30" s="30"/>
      <c r="D30" s="13"/>
      <c r="E30" s="14" t="s">
        <v>31</v>
      </c>
      <c r="F30" s="16"/>
      <c r="G30" s="16" t="s">
        <v>24</v>
      </c>
      <c r="H30" s="16"/>
      <c r="I30" s="14" t="s">
        <v>45</v>
      </c>
      <c r="J30" s="4"/>
      <c r="K30" s="4" t="str">
        <f t="shared" si="1"/>
        <v/>
      </c>
      <c r="L30" s="17" t="str">
        <f t="shared" si="2"/>
        <v/>
      </c>
      <c r="M30" s="4"/>
      <c r="N30" s="4"/>
      <c r="O30" s="4"/>
      <c r="P30" s="4"/>
      <c r="Q30" s="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4"/>
      <c r="AF30" s="3"/>
      <c r="AG30" s="3"/>
      <c r="AH30" s="3"/>
      <c r="AI30" s="3"/>
      <c r="AJ30" s="3"/>
      <c r="AK30" s="3"/>
      <c r="AL30" s="3"/>
      <c r="AM30" s="3"/>
      <c r="AN30" s="3"/>
    </row>
    <row r="31" ht="15.75" customHeight="1">
      <c r="A31" s="24"/>
      <c r="B31" s="29"/>
      <c r="C31" s="30"/>
      <c r="D31" s="13"/>
      <c r="E31" s="14" t="s">
        <v>36</v>
      </c>
      <c r="F31" s="16"/>
      <c r="G31" s="16" t="s">
        <v>24</v>
      </c>
      <c r="H31" s="16"/>
      <c r="I31" s="14" t="s">
        <v>43</v>
      </c>
      <c r="J31" s="4"/>
      <c r="K31" s="4" t="str">
        <f t="shared" si="1"/>
        <v/>
      </c>
      <c r="L31" s="17" t="str">
        <f t="shared" si="2"/>
        <v/>
      </c>
      <c r="M31" s="4"/>
      <c r="N31" s="4"/>
      <c r="O31" s="4"/>
      <c r="P31" s="4"/>
      <c r="Q31" s="4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4"/>
      <c r="AF31" s="3"/>
      <c r="AG31" s="3"/>
      <c r="AH31" s="3"/>
      <c r="AI31" s="3"/>
      <c r="AJ31" s="3"/>
      <c r="AK31" s="3"/>
      <c r="AL31" s="3"/>
      <c r="AM31" s="3"/>
      <c r="AN31" s="3"/>
    </row>
    <row r="32" ht="15.75" customHeight="1">
      <c r="A32" s="28"/>
      <c r="B32" s="29"/>
      <c r="C32" s="30"/>
      <c r="D32" s="13"/>
      <c r="E32" s="14">
        <v>0.0</v>
      </c>
      <c r="F32" s="16"/>
      <c r="G32" s="16" t="s">
        <v>24</v>
      </c>
      <c r="H32" s="16"/>
      <c r="I32" s="14" t="s">
        <v>40</v>
      </c>
      <c r="J32" s="4"/>
      <c r="K32" s="4" t="str">
        <f t="shared" si="1"/>
        <v/>
      </c>
      <c r="L32" s="17" t="str">
        <f t="shared" si="2"/>
        <v/>
      </c>
      <c r="M32" s="4"/>
      <c r="N32" s="4"/>
      <c r="O32" s="4"/>
      <c r="P32" s="4"/>
      <c r="Q32" s="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4"/>
      <c r="AF32" s="3"/>
      <c r="AG32" s="3"/>
      <c r="AH32" s="3"/>
      <c r="AI32" s="3"/>
      <c r="AJ32" s="3"/>
      <c r="AK32" s="3"/>
      <c r="AL32" s="3"/>
      <c r="AM32" s="3"/>
      <c r="AN32" s="3"/>
    </row>
    <row r="33" ht="15.75" customHeight="1">
      <c r="A33" s="10">
        <v>6.0</v>
      </c>
      <c r="B33" s="29"/>
      <c r="C33" s="30"/>
      <c r="D33" s="13"/>
      <c r="E33" s="14" t="s">
        <v>33</v>
      </c>
      <c r="F33" s="16"/>
      <c r="G33" s="16" t="s">
        <v>24</v>
      </c>
      <c r="H33" s="16"/>
      <c r="I33" s="14">
        <v>0.0</v>
      </c>
      <c r="J33" s="4"/>
      <c r="K33" s="4" t="str">
        <f t="shared" si="1"/>
        <v/>
      </c>
      <c r="L33" s="17" t="str">
        <f t="shared" si="2"/>
        <v/>
      </c>
      <c r="M33" s="4"/>
      <c r="N33" s="4"/>
      <c r="O33" s="4"/>
      <c r="P33" s="4"/>
      <c r="Q33" s="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4"/>
      <c r="AF33" s="3"/>
      <c r="AG33" s="3"/>
      <c r="AH33" s="3"/>
      <c r="AI33" s="3"/>
      <c r="AJ33" s="3"/>
      <c r="AK33" s="3"/>
      <c r="AL33" s="3"/>
      <c r="AM33" s="3"/>
      <c r="AN33" s="3"/>
    </row>
    <row r="34" ht="15.75" customHeight="1">
      <c r="A34" s="24"/>
      <c r="B34" s="29"/>
      <c r="C34" s="30"/>
      <c r="D34" s="13"/>
      <c r="E34" s="14" t="s">
        <v>39</v>
      </c>
      <c r="F34" s="16"/>
      <c r="G34" s="16" t="s">
        <v>24</v>
      </c>
      <c r="H34" s="16"/>
      <c r="I34" s="14" t="s">
        <v>32</v>
      </c>
      <c r="J34" s="4"/>
      <c r="K34" s="4" t="str">
        <f t="shared" si="1"/>
        <v/>
      </c>
      <c r="L34" s="17" t="str">
        <f t="shared" si="2"/>
        <v/>
      </c>
      <c r="M34" s="4"/>
      <c r="N34" s="4"/>
      <c r="O34" s="4"/>
      <c r="P34" s="4"/>
      <c r="Q34" s="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4"/>
      <c r="AF34" s="3"/>
      <c r="AG34" s="3"/>
      <c r="AH34" s="3"/>
      <c r="AI34" s="3"/>
      <c r="AJ34" s="3"/>
      <c r="AK34" s="3"/>
      <c r="AL34" s="3"/>
      <c r="AM34" s="3"/>
      <c r="AN34" s="3"/>
    </row>
    <row r="35" ht="15.75" customHeight="1">
      <c r="A35" s="24"/>
      <c r="B35" s="29"/>
      <c r="C35" s="30"/>
      <c r="D35" s="13"/>
      <c r="E35" s="14" t="s">
        <v>42</v>
      </c>
      <c r="F35" s="16"/>
      <c r="G35" s="16" t="s">
        <v>24</v>
      </c>
      <c r="H35" s="16"/>
      <c r="I35" s="14" t="s">
        <v>25</v>
      </c>
      <c r="J35" s="4"/>
      <c r="K35" s="4" t="str">
        <f t="shared" si="1"/>
        <v/>
      </c>
      <c r="L35" s="17" t="str">
        <f t="shared" si="2"/>
        <v/>
      </c>
      <c r="M35" s="4"/>
      <c r="N35" s="4"/>
      <c r="O35" s="4"/>
      <c r="P35" s="4"/>
      <c r="Q35" s="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4"/>
      <c r="AF35" s="3"/>
      <c r="AG35" s="3"/>
      <c r="AH35" s="3"/>
      <c r="AI35" s="3"/>
      <c r="AJ35" s="3"/>
      <c r="AK35" s="3"/>
      <c r="AL35" s="3"/>
      <c r="AM35" s="3"/>
      <c r="AN35" s="3"/>
    </row>
    <row r="36" ht="15.75" customHeight="1">
      <c r="A36" s="24"/>
      <c r="B36" s="29"/>
      <c r="C36" s="30"/>
      <c r="D36" s="13"/>
      <c r="E36" s="14" t="s">
        <v>45</v>
      </c>
      <c r="F36" s="16"/>
      <c r="G36" s="16" t="s">
        <v>24</v>
      </c>
      <c r="H36" s="16"/>
      <c r="I36" s="14" t="s">
        <v>23</v>
      </c>
      <c r="J36" s="4"/>
      <c r="K36" s="4" t="str">
        <f t="shared" si="1"/>
        <v/>
      </c>
      <c r="L36" s="17" t="str">
        <f t="shared" si="2"/>
        <v/>
      </c>
      <c r="M36" s="4"/>
      <c r="N36" s="4"/>
      <c r="O36" s="4"/>
      <c r="P36" s="4"/>
      <c r="Q36" s="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4"/>
      <c r="AF36" s="3"/>
      <c r="AG36" s="3"/>
      <c r="AH36" s="3"/>
      <c r="AI36" s="3"/>
      <c r="AJ36" s="3"/>
      <c r="AK36" s="3"/>
      <c r="AL36" s="3"/>
      <c r="AM36" s="3"/>
      <c r="AN36" s="3"/>
    </row>
    <row r="37" ht="15.75" customHeight="1">
      <c r="A37" s="24"/>
      <c r="B37" s="29"/>
      <c r="C37" s="30"/>
      <c r="D37" s="13"/>
      <c r="E37" s="14" t="s">
        <v>43</v>
      </c>
      <c r="F37" s="16"/>
      <c r="G37" s="16" t="s">
        <v>24</v>
      </c>
      <c r="H37" s="16"/>
      <c r="I37" s="14" t="s">
        <v>31</v>
      </c>
      <c r="J37" s="4"/>
      <c r="K37" s="4" t="str">
        <f t="shared" si="1"/>
        <v/>
      </c>
      <c r="L37" s="17" t="str">
        <f t="shared" si="2"/>
        <v/>
      </c>
      <c r="M37" s="4"/>
      <c r="N37" s="4"/>
      <c r="O37" s="4"/>
      <c r="P37" s="4"/>
      <c r="Q37" s="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4"/>
      <c r="AF37" s="3"/>
      <c r="AG37" s="3"/>
      <c r="AH37" s="3"/>
      <c r="AI37" s="3"/>
      <c r="AJ37" s="3"/>
      <c r="AK37" s="3"/>
      <c r="AL37" s="3"/>
      <c r="AM37" s="3"/>
      <c r="AN37" s="3"/>
    </row>
    <row r="38" ht="15.75" customHeight="1">
      <c r="A38" s="28"/>
      <c r="B38" s="29"/>
      <c r="C38" s="30"/>
      <c r="D38" s="13"/>
      <c r="E38" s="14" t="s">
        <v>40</v>
      </c>
      <c r="F38" s="16"/>
      <c r="G38" s="16" t="s">
        <v>24</v>
      </c>
      <c r="H38" s="16"/>
      <c r="I38" s="14" t="s">
        <v>36</v>
      </c>
      <c r="J38" s="4"/>
      <c r="K38" s="4" t="str">
        <f t="shared" si="1"/>
        <v/>
      </c>
      <c r="L38" s="17" t="str">
        <f t="shared" si="2"/>
        <v/>
      </c>
      <c r="M38" s="4"/>
      <c r="N38" s="4"/>
      <c r="O38" s="4"/>
      <c r="P38" s="4"/>
      <c r="Q38" s="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4"/>
      <c r="AF38" s="3"/>
      <c r="AG38" s="3"/>
      <c r="AH38" s="3"/>
      <c r="AI38" s="3"/>
      <c r="AJ38" s="3"/>
      <c r="AK38" s="3"/>
      <c r="AL38" s="3"/>
      <c r="AM38" s="3"/>
      <c r="AN38" s="3"/>
    </row>
    <row r="39" ht="15.75" customHeight="1">
      <c r="A39" s="10">
        <v>7.0</v>
      </c>
      <c r="B39" s="29"/>
      <c r="C39" s="30"/>
      <c r="D39" s="13"/>
      <c r="E39" s="14" t="s">
        <v>33</v>
      </c>
      <c r="F39" s="16"/>
      <c r="G39" s="16" t="s">
        <v>24</v>
      </c>
      <c r="H39" s="16"/>
      <c r="I39" s="14" t="s">
        <v>39</v>
      </c>
      <c r="J39" s="4"/>
      <c r="K39" s="4" t="str">
        <f t="shared" si="1"/>
        <v/>
      </c>
      <c r="L39" s="17" t="str">
        <f t="shared" si="2"/>
        <v/>
      </c>
      <c r="M39" s="4"/>
      <c r="N39" s="4"/>
      <c r="O39" s="4"/>
      <c r="P39" s="4"/>
      <c r="Q39" s="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4"/>
      <c r="AF39" s="3"/>
      <c r="AG39" s="3"/>
      <c r="AH39" s="3"/>
      <c r="AI39" s="3"/>
      <c r="AJ39" s="3"/>
      <c r="AK39" s="3"/>
      <c r="AL39" s="3"/>
      <c r="AM39" s="3"/>
      <c r="AN39" s="3"/>
    </row>
    <row r="40" ht="15.75" customHeight="1">
      <c r="A40" s="24"/>
      <c r="B40" s="29"/>
      <c r="C40" s="30"/>
      <c r="D40" s="13"/>
      <c r="E40" s="14" t="s">
        <v>32</v>
      </c>
      <c r="F40" s="16"/>
      <c r="G40" s="16" t="s">
        <v>24</v>
      </c>
      <c r="H40" s="16"/>
      <c r="I40" s="14" t="s">
        <v>42</v>
      </c>
      <c r="J40" s="4"/>
      <c r="K40" s="4" t="str">
        <f t="shared" si="1"/>
        <v/>
      </c>
      <c r="L40" s="17" t="str">
        <f t="shared" si="2"/>
        <v/>
      </c>
      <c r="M40" s="4"/>
      <c r="N40" s="4"/>
      <c r="O40" s="4"/>
      <c r="P40" s="4"/>
      <c r="Q40" s="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4"/>
      <c r="AF40" s="3"/>
      <c r="AG40" s="3"/>
      <c r="AH40" s="3"/>
      <c r="AI40" s="3"/>
      <c r="AJ40" s="3"/>
      <c r="AK40" s="3"/>
      <c r="AL40" s="3"/>
      <c r="AM40" s="3"/>
      <c r="AN40" s="3"/>
    </row>
    <row r="41" ht="15.75" customHeight="1">
      <c r="A41" s="24"/>
      <c r="B41" s="29"/>
      <c r="C41" s="30"/>
      <c r="D41" s="15"/>
      <c r="E41" s="14" t="s">
        <v>25</v>
      </c>
      <c r="F41" s="16"/>
      <c r="G41" s="16" t="s">
        <v>24</v>
      </c>
      <c r="H41" s="16"/>
      <c r="I41" s="14" t="s">
        <v>45</v>
      </c>
      <c r="J41" s="4"/>
      <c r="K41" s="4" t="str">
        <f t="shared" si="1"/>
        <v/>
      </c>
      <c r="L41" s="17" t="str">
        <f t="shared" si="2"/>
        <v/>
      </c>
      <c r="M41" s="4"/>
      <c r="N41" s="4"/>
      <c r="O41" s="4"/>
      <c r="P41" s="4"/>
      <c r="Q41" s="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4"/>
      <c r="AF41" s="3"/>
      <c r="AG41" s="3"/>
      <c r="AH41" s="3"/>
      <c r="AI41" s="3"/>
      <c r="AJ41" s="3"/>
      <c r="AK41" s="3"/>
      <c r="AL41" s="3"/>
      <c r="AM41" s="3"/>
      <c r="AN41" s="3"/>
    </row>
    <row r="42" ht="15.75" customHeight="1">
      <c r="A42" s="24"/>
      <c r="B42" s="29"/>
      <c r="C42" s="16"/>
      <c r="D42" s="13"/>
      <c r="E42" s="14" t="s">
        <v>23</v>
      </c>
      <c r="F42" s="16"/>
      <c r="G42" s="16" t="s">
        <v>24</v>
      </c>
      <c r="H42" s="16"/>
      <c r="I42" s="14" t="s">
        <v>43</v>
      </c>
      <c r="J42" s="4"/>
      <c r="K42" s="4" t="str">
        <f t="shared" si="1"/>
        <v/>
      </c>
      <c r="L42" s="17" t="str">
        <f t="shared" si="2"/>
        <v/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2"/>
      <c r="X42" s="2"/>
      <c r="Y42" s="2"/>
      <c r="Z42" s="2"/>
      <c r="AA42" s="2"/>
      <c r="AB42" s="2"/>
      <c r="AC42" s="2"/>
      <c r="AD42" s="2"/>
      <c r="AE42" s="4"/>
      <c r="AF42" s="3"/>
      <c r="AG42" s="3"/>
      <c r="AH42" s="3"/>
      <c r="AI42" s="3"/>
      <c r="AJ42" s="3"/>
      <c r="AK42" s="3"/>
      <c r="AL42" s="3"/>
      <c r="AM42" s="3"/>
      <c r="AN42" s="3"/>
    </row>
    <row r="43" ht="15.75" customHeight="1">
      <c r="A43" s="24"/>
      <c r="B43" s="29"/>
      <c r="C43" s="30"/>
      <c r="D43" s="13"/>
      <c r="E43" s="14" t="s">
        <v>31</v>
      </c>
      <c r="F43" s="16"/>
      <c r="G43" s="16" t="s">
        <v>24</v>
      </c>
      <c r="H43" s="16"/>
      <c r="I43" s="14" t="s">
        <v>40</v>
      </c>
      <c r="J43" s="4"/>
      <c r="K43" s="4" t="str">
        <f t="shared" si="1"/>
        <v/>
      </c>
      <c r="L43" s="17" t="str">
        <f t="shared" si="2"/>
        <v/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2"/>
      <c r="X43" s="2"/>
      <c r="Y43" s="2"/>
      <c r="Z43" s="2"/>
      <c r="AA43" s="2"/>
      <c r="AB43" s="2"/>
      <c r="AC43" s="2"/>
      <c r="AD43" s="2"/>
      <c r="AE43" s="4"/>
      <c r="AF43" s="3"/>
      <c r="AG43" s="3"/>
      <c r="AH43" s="3"/>
      <c r="AI43" s="3"/>
      <c r="AJ43" s="3"/>
      <c r="AK43" s="3"/>
      <c r="AL43" s="3"/>
      <c r="AM43" s="3"/>
      <c r="AN43" s="3"/>
    </row>
    <row r="44" ht="15.75" customHeight="1">
      <c r="A44" s="28"/>
      <c r="B44" s="29"/>
      <c r="C44" s="30"/>
      <c r="D44" s="13"/>
      <c r="E44" s="14">
        <v>0.0</v>
      </c>
      <c r="F44" s="16"/>
      <c r="G44" s="16" t="s">
        <v>24</v>
      </c>
      <c r="H44" s="16"/>
      <c r="I44" s="14" t="s">
        <v>36</v>
      </c>
      <c r="J44" s="4"/>
      <c r="K44" s="4" t="str">
        <f t="shared" si="1"/>
        <v/>
      </c>
      <c r="L44" s="17" t="str">
        <f t="shared" si="2"/>
        <v/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2"/>
      <c r="X44" s="2"/>
      <c r="Y44" s="2"/>
      <c r="Z44" s="2"/>
      <c r="AA44" s="2"/>
      <c r="AB44" s="2"/>
      <c r="AC44" s="2"/>
      <c r="AD44" s="2"/>
      <c r="AE44" s="4"/>
      <c r="AF44" s="3"/>
      <c r="AG44" s="3"/>
      <c r="AH44" s="3"/>
      <c r="AI44" s="3"/>
      <c r="AJ44" s="3"/>
      <c r="AK44" s="3"/>
      <c r="AL44" s="3"/>
      <c r="AM44" s="3"/>
      <c r="AN44" s="3"/>
    </row>
    <row r="45" ht="15.75" customHeight="1">
      <c r="A45" s="10">
        <v>8.0</v>
      </c>
      <c r="B45" s="29"/>
      <c r="C45" s="30"/>
      <c r="D45" s="13"/>
      <c r="E45" s="14" t="s">
        <v>39</v>
      </c>
      <c r="F45" s="16"/>
      <c r="G45" s="16" t="s">
        <v>24</v>
      </c>
      <c r="H45" s="16"/>
      <c r="I45" s="14">
        <v>0.0</v>
      </c>
      <c r="J45" s="4"/>
      <c r="K45" s="4" t="str">
        <f t="shared" si="1"/>
        <v/>
      </c>
      <c r="L45" s="17" t="str">
        <f t="shared" si="2"/>
        <v/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2"/>
      <c r="X45" s="2"/>
      <c r="Y45" s="2"/>
      <c r="Z45" s="2"/>
      <c r="AA45" s="2"/>
      <c r="AB45" s="2"/>
      <c r="AC45" s="2"/>
      <c r="AD45" s="2"/>
      <c r="AE45" s="4"/>
      <c r="AF45" s="3"/>
      <c r="AG45" s="3"/>
      <c r="AH45" s="3"/>
      <c r="AI45" s="3"/>
      <c r="AJ45" s="3"/>
      <c r="AK45" s="3"/>
      <c r="AL45" s="3"/>
      <c r="AM45" s="3"/>
      <c r="AN45" s="3"/>
    </row>
    <row r="46" ht="15.0" customHeight="1">
      <c r="A46" s="24"/>
      <c r="B46" s="29"/>
      <c r="C46" s="30"/>
      <c r="D46" s="13"/>
      <c r="E46" s="14" t="s">
        <v>42</v>
      </c>
      <c r="F46" s="16"/>
      <c r="G46" s="16" t="s">
        <v>24</v>
      </c>
      <c r="H46" s="16"/>
      <c r="I46" s="14" t="s">
        <v>33</v>
      </c>
      <c r="J46" s="4"/>
      <c r="K46" s="4" t="str">
        <f t="shared" si="1"/>
        <v/>
      </c>
      <c r="L46" s="17" t="str">
        <f t="shared" si="2"/>
        <v/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2"/>
      <c r="X46" s="2"/>
      <c r="Y46" s="2"/>
      <c r="Z46" s="2"/>
      <c r="AA46" s="2"/>
      <c r="AB46" s="2"/>
      <c r="AC46" s="2"/>
      <c r="AD46" s="2"/>
      <c r="AE46" s="4"/>
      <c r="AF46" s="3"/>
      <c r="AG46" s="3"/>
      <c r="AH46" s="3"/>
      <c r="AI46" s="3"/>
      <c r="AJ46" s="3"/>
      <c r="AK46" s="3"/>
      <c r="AL46" s="3"/>
      <c r="AM46" s="3"/>
      <c r="AN46" s="3"/>
    </row>
    <row r="47" ht="15.75" customHeight="1">
      <c r="A47" s="24"/>
      <c r="B47" s="29"/>
      <c r="C47" s="30"/>
      <c r="D47" s="13"/>
      <c r="E47" s="14" t="s">
        <v>45</v>
      </c>
      <c r="F47" s="16"/>
      <c r="G47" s="16" t="s">
        <v>24</v>
      </c>
      <c r="H47" s="16"/>
      <c r="I47" s="14" t="s">
        <v>32</v>
      </c>
      <c r="J47" s="4"/>
      <c r="K47" s="4" t="str">
        <f t="shared" si="1"/>
        <v/>
      </c>
      <c r="L47" s="17" t="str">
        <f t="shared" si="2"/>
        <v/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2"/>
      <c r="X47" s="2"/>
      <c r="Y47" s="2"/>
      <c r="Z47" s="2"/>
      <c r="AA47" s="2"/>
      <c r="AB47" s="2"/>
      <c r="AC47" s="2"/>
      <c r="AD47" s="2"/>
      <c r="AE47" s="4"/>
      <c r="AF47" s="3"/>
      <c r="AG47" s="3"/>
      <c r="AH47" s="3"/>
      <c r="AI47" s="3"/>
      <c r="AJ47" s="3"/>
      <c r="AK47" s="3"/>
      <c r="AL47" s="3"/>
      <c r="AM47" s="3"/>
      <c r="AN47" s="3"/>
    </row>
    <row r="48" ht="15.75" customHeight="1">
      <c r="A48" s="24"/>
      <c r="B48" s="29"/>
      <c r="C48" s="30"/>
      <c r="D48" s="13"/>
      <c r="E48" s="14" t="s">
        <v>43</v>
      </c>
      <c r="F48" s="16"/>
      <c r="G48" s="16" t="s">
        <v>24</v>
      </c>
      <c r="H48" s="16"/>
      <c r="I48" s="14" t="s">
        <v>25</v>
      </c>
      <c r="J48" s="4"/>
      <c r="K48" s="4" t="str">
        <f t="shared" si="1"/>
        <v/>
      </c>
      <c r="L48" s="17" t="str">
        <f t="shared" si="2"/>
        <v/>
      </c>
      <c r="M48" s="4"/>
      <c r="N48" s="4"/>
      <c r="O48" s="4"/>
      <c r="P48" s="2"/>
      <c r="Q48" s="2"/>
      <c r="R48" s="4"/>
      <c r="S48" s="4"/>
      <c r="T48" s="4"/>
      <c r="U48" s="4"/>
      <c r="V48" s="4"/>
      <c r="W48" s="2"/>
      <c r="X48" s="2"/>
      <c r="Y48" s="2"/>
      <c r="Z48" s="2"/>
      <c r="AA48" s="2"/>
      <c r="AB48" s="2"/>
      <c r="AC48" s="2"/>
      <c r="AD48" s="2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ht="15.75" customHeight="1">
      <c r="A49" s="24"/>
      <c r="B49" s="29"/>
      <c r="C49" s="30"/>
      <c r="D49" s="13"/>
      <c r="E49" s="14" t="s">
        <v>40</v>
      </c>
      <c r="F49" s="16"/>
      <c r="G49" s="16" t="s">
        <v>24</v>
      </c>
      <c r="H49" s="16"/>
      <c r="I49" s="14" t="s">
        <v>23</v>
      </c>
      <c r="J49" s="4"/>
      <c r="K49" s="4" t="str">
        <f t="shared" si="1"/>
        <v/>
      </c>
      <c r="L49" s="17" t="str">
        <f t="shared" si="2"/>
        <v/>
      </c>
      <c r="M49" s="4"/>
      <c r="N49" s="4"/>
      <c r="O49" s="4"/>
      <c r="P49" s="2"/>
      <c r="Q49" s="2"/>
      <c r="R49" s="4"/>
      <c r="S49" s="4"/>
      <c r="T49" s="4"/>
      <c r="U49" s="4"/>
      <c r="V49" s="4"/>
      <c r="W49" s="2"/>
      <c r="X49" s="2"/>
      <c r="Y49" s="2"/>
      <c r="Z49" s="2"/>
      <c r="AA49" s="2"/>
      <c r="AB49" s="2"/>
      <c r="AC49" s="2"/>
      <c r="AD49" s="2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ht="15.75" customHeight="1">
      <c r="A50" s="28"/>
      <c r="B50" s="29"/>
      <c r="C50" s="30"/>
      <c r="D50" s="13"/>
      <c r="E50" s="14" t="s">
        <v>36</v>
      </c>
      <c r="F50" s="16"/>
      <c r="G50" s="16" t="s">
        <v>24</v>
      </c>
      <c r="H50" s="16"/>
      <c r="I50" s="14" t="s">
        <v>31</v>
      </c>
      <c r="J50" s="4"/>
      <c r="K50" s="4" t="str">
        <f t="shared" si="1"/>
        <v/>
      </c>
      <c r="L50" s="17" t="str">
        <f t="shared" si="2"/>
        <v/>
      </c>
      <c r="M50" s="4"/>
      <c r="N50" s="4"/>
      <c r="O50" s="4"/>
      <c r="P50" s="2"/>
      <c r="Q50" s="2"/>
      <c r="R50" s="4"/>
      <c r="S50" s="4"/>
      <c r="T50" s="4"/>
      <c r="U50" s="4"/>
      <c r="V50" s="4"/>
      <c r="W50" s="2"/>
      <c r="X50" s="2"/>
      <c r="Y50" s="2"/>
      <c r="Z50" s="2"/>
      <c r="AA50" s="2"/>
      <c r="AB50" s="2"/>
      <c r="AC50" s="2"/>
      <c r="AD50" s="2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ht="15.75" customHeight="1">
      <c r="A51" s="10">
        <v>9.0</v>
      </c>
      <c r="B51" s="29"/>
      <c r="C51" s="30"/>
      <c r="D51" s="13"/>
      <c r="E51" s="14" t="s">
        <v>39</v>
      </c>
      <c r="F51" s="16"/>
      <c r="G51" s="16" t="s">
        <v>24</v>
      </c>
      <c r="H51" s="16"/>
      <c r="I51" s="14" t="s">
        <v>42</v>
      </c>
      <c r="J51" s="4"/>
      <c r="K51" s="4" t="str">
        <f t="shared" si="1"/>
        <v/>
      </c>
      <c r="L51" s="17" t="str">
        <f t="shared" si="2"/>
        <v/>
      </c>
      <c r="M51" s="4"/>
      <c r="N51" s="4"/>
      <c r="O51" s="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ht="15.75" customHeight="1">
      <c r="A52" s="24"/>
      <c r="B52" s="29"/>
      <c r="C52" s="30"/>
      <c r="D52" s="13"/>
      <c r="E52" s="14" t="s">
        <v>33</v>
      </c>
      <c r="F52" s="16"/>
      <c r="G52" s="16" t="s">
        <v>24</v>
      </c>
      <c r="H52" s="16"/>
      <c r="I52" s="14" t="s">
        <v>45</v>
      </c>
      <c r="J52" s="4"/>
      <c r="K52" s="4" t="str">
        <f t="shared" si="1"/>
        <v/>
      </c>
      <c r="L52" s="17" t="str">
        <f t="shared" si="2"/>
        <v/>
      </c>
      <c r="M52" s="4"/>
      <c r="N52" s="4"/>
      <c r="O52" s="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ht="15.75" customHeight="1">
      <c r="A53" s="24"/>
      <c r="B53" s="29"/>
      <c r="C53" s="30"/>
      <c r="D53" s="13"/>
      <c r="E53" s="14" t="s">
        <v>32</v>
      </c>
      <c r="F53" s="16"/>
      <c r="G53" s="16" t="s">
        <v>24</v>
      </c>
      <c r="H53" s="16"/>
      <c r="I53" s="14" t="s">
        <v>43</v>
      </c>
      <c r="J53" s="4"/>
      <c r="K53" s="4" t="str">
        <f t="shared" si="1"/>
        <v/>
      </c>
      <c r="L53" s="17" t="str">
        <f t="shared" si="2"/>
        <v/>
      </c>
      <c r="M53" s="4"/>
      <c r="N53" s="4"/>
      <c r="O53" s="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ht="15.75" customHeight="1">
      <c r="A54" s="24"/>
      <c r="B54" s="29"/>
      <c r="C54" s="30"/>
      <c r="D54" s="13"/>
      <c r="E54" s="14" t="s">
        <v>25</v>
      </c>
      <c r="F54" s="16"/>
      <c r="G54" s="16" t="s">
        <v>24</v>
      </c>
      <c r="H54" s="16"/>
      <c r="I54" s="14" t="s">
        <v>40</v>
      </c>
      <c r="J54" s="4"/>
      <c r="K54" s="4" t="str">
        <f t="shared" si="1"/>
        <v/>
      </c>
      <c r="L54" s="17" t="str">
        <f t="shared" si="2"/>
        <v/>
      </c>
      <c r="M54" s="4"/>
      <c r="N54" s="4"/>
      <c r="O54" s="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ht="15.75" customHeight="1">
      <c r="A55" s="24"/>
      <c r="B55" s="29"/>
      <c r="C55" s="30"/>
      <c r="D55" s="13"/>
      <c r="E55" s="14" t="s">
        <v>23</v>
      </c>
      <c r="F55" s="16"/>
      <c r="G55" s="16" t="s">
        <v>24</v>
      </c>
      <c r="H55" s="16"/>
      <c r="I55" s="14" t="s">
        <v>36</v>
      </c>
      <c r="J55" s="4"/>
      <c r="K55" s="4" t="str">
        <f t="shared" si="1"/>
        <v/>
      </c>
      <c r="L55" s="17" t="str">
        <f t="shared" si="2"/>
        <v/>
      </c>
      <c r="M55" s="4"/>
      <c r="N55" s="4"/>
      <c r="O55" s="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ht="15.75" customHeight="1">
      <c r="A56" s="28"/>
      <c r="B56" s="29"/>
      <c r="C56" s="30"/>
      <c r="D56" s="13"/>
      <c r="E56" s="14">
        <v>0.0</v>
      </c>
      <c r="F56" s="16"/>
      <c r="G56" s="16" t="s">
        <v>24</v>
      </c>
      <c r="H56" s="16"/>
      <c r="I56" s="14" t="s">
        <v>31</v>
      </c>
      <c r="J56" s="4"/>
      <c r="K56" s="4" t="str">
        <f t="shared" si="1"/>
        <v/>
      </c>
      <c r="L56" s="17" t="str">
        <f t="shared" si="2"/>
        <v/>
      </c>
      <c r="M56" s="4"/>
      <c r="N56" s="4"/>
      <c r="O56" s="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ht="15.75" customHeight="1">
      <c r="A57" s="10">
        <v>10.0</v>
      </c>
      <c r="B57" s="29"/>
      <c r="C57" s="30"/>
      <c r="D57" s="13"/>
      <c r="E57" s="14">
        <v>0.0</v>
      </c>
      <c r="F57" s="16"/>
      <c r="G57" s="16" t="s">
        <v>24</v>
      </c>
      <c r="H57" s="16"/>
      <c r="I57" s="14" t="s">
        <v>42</v>
      </c>
      <c r="J57" s="4"/>
      <c r="K57" s="4" t="str">
        <f t="shared" si="1"/>
        <v/>
      </c>
      <c r="L57" s="17" t="str">
        <f t="shared" si="2"/>
        <v/>
      </c>
      <c r="M57" s="4"/>
      <c r="N57" s="4"/>
      <c r="O57" s="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ht="15.75" customHeight="1">
      <c r="A58" s="24"/>
      <c r="B58" s="29"/>
      <c r="C58" s="30"/>
      <c r="D58" s="13"/>
      <c r="E58" s="14" t="s">
        <v>45</v>
      </c>
      <c r="F58" s="16"/>
      <c r="G58" s="16" t="s">
        <v>24</v>
      </c>
      <c r="H58" s="16"/>
      <c r="I58" s="14" t="s">
        <v>39</v>
      </c>
      <c r="J58" s="4"/>
      <c r="K58" s="4" t="str">
        <f t="shared" si="1"/>
        <v/>
      </c>
      <c r="L58" s="17" t="str">
        <f t="shared" si="2"/>
        <v/>
      </c>
      <c r="M58" s="4"/>
      <c r="N58" s="4"/>
      <c r="O58" s="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ht="15.75" customHeight="1">
      <c r="A59" s="24"/>
      <c r="B59" s="29"/>
      <c r="C59" s="30"/>
      <c r="D59" s="13"/>
      <c r="E59" s="14" t="s">
        <v>43</v>
      </c>
      <c r="F59" s="16"/>
      <c r="G59" s="16" t="s">
        <v>24</v>
      </c>
      <c r="H59" s="16"/>
      <c r="I59" s="14" t="s">
        <v>33</v>
      </c>
      <c r="J59" s="4"/>
      <c r="K59" s="4" t="str">
        <f t="shared" si="1"/>
        <v/>
      </c>
      <c r="L59" s="17" t="str">
        <f t="shared" si="2"/>
        <v/>
      </c>
      <c r="M59" s="4"/>
      <c r="N59" s="4"/>
      <c r="O59" s="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ht="15.75" customHeight="1">
      <c r="A60" s="24"/>
      <c r="B60" s="29"/>
      <c r="C60" s="30"/>
      <c r="D60" s="13"/>
      <c r="E60" s="14" t="s">
        <v>40</v>
      </c>
      <c r="F60" s="16"/>
      <c r="G60" s="16" t="s">
        <v>24</v>
      </c>
      <c r="H60" s="16"/>
      <c r="I60" s="14" t="s">
        <v>32</v>
      </c>
      <c r="J60" s="4"/>
      <c r="K60" s="4" t="str">
        <f t="shared" si="1"/>
        <v/>
      </c>
      <c r="L60" s="17" t="str">
        <f t="shared" si="2"/>
        <v/>
      </c>
      <c r="M60" s="4"/>
      <c r="N60" s="4"/>
      <c r="O60" s="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ht="15.75" customHeight="1">
      <c r="A61" s="24"/>
      <c r="B61" s="29"/>
      <c r="C61" s="30"/>
      <c r="D61" s="13"/>
      <c r="E61" s="14" t="s">
        <v>36</v>
      </c>
      <c r="F61" s="16"/>
      <c r="G61" s="16" t="s">
        <v>24</v>
      </c>
      <c r="H61" s="16"/>
      <c r="I61" s="14" t="s">
        <v>25</v>
      </c>
      <c r="J61" s="4"/>
      <c r="K61" s="4" t="str">
        <f t="shared" si="1"/>
        <v/>
      </c>
      <c r="L61" s="17" t="str">
        <f t="shared" si="2"/>
        <v/>
      </c>
      <c r="M61" s="4"/>
      <c r="N61" s="4"/>
      <c r="O61" s="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ht="15.75" customHeight="1">
      <c r="A62" s="28"/>
      <c r="B62" s="29"/>
      <c r="C62" s="30"/>
      <c r="D62" s="13"/>
      <c r="E62" s="14" t="s">
        <v>31</v>
      </c>
      <c r="F62" s="16"/>
      <c r="G62" s="16" t="s">
        <v>24</v>
      </c>
      <c r="H62" s="16"/>
      <c r="I62" s="14" t="s">
        <v>23</v>
      </c>
      <c r="J62" s="4"/>
      <c r="K62" s="4" t="str">
        <f t="shared" si="1"/>
        <v/>
      </c>
      <c r="L62" s="17" t="str">
        <f t="shared" si="2"/>
        <v/>
      </c>
      <c r="M62" s="4"/>
      <c r="N62" s="4"/>
      <c r="O62" s="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ht="15.75" customHeight="1">
      <c r="A63" s="10">
        <v>11.0</v>
      </c>
      <c r="B63" s="29"/>
      <c r="C63" s="30"/>
      <c r="D63" s="13"/>
      <c r="E63" s="14" t="s">
        <v>42</v>
      </c>
      <c r="F63" s="16"/>
      <c r="G63" s="16" t="s">
        <v>24</v>
      </c>
      <c r="H63" s="16"/>
      <c r="I63" s="14" t="s">
        <v>45</v>
      </c>
      <c r="J63" s="4"/>
      <c r="K63" s="4" t="str">
        <f t="shared" si="1"/>
        <v/>
      </c>
      <c r="L63" s="17" t="str">
        <f t="shared" si="2"/>
        <v/>
      </c>
      <c r="M63" s="4"/>
      <c r="N63" s="4"/>
      <c r="O63" s="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ht="15.75" customHeight="1">
      <c r="A64" s="24"/>
      <c r="B64" s="29"/>
      <c r="C64" s="30"/>
      <c r="D64" s="13"/>
      <c r="E64" s="14" t="s">
        <v>39</v>
      </c>
      <c r="F64" s="16"/>
      <c r="G64" s="16" t="s">
        <v>24</v>
      </c>
      <c r="H64" s="16"/>
      <c r="I64" s="14" t="s">
        <v>43</v>
      </c>
      <c r="J64" s="4"/>
      <c r="K64" s="4" t="str">
        <f t="shared" si="1"/>
        <v/>
      </c>
      <c r="L64" s="17" t="str">
        <f t="shared" si="2"/>
        <v/>
      </c>
      <c r="M64" s="4"/>
      <c r="N64" s="4"/>
      <c r="O64" s="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ht="15.75" customHeight="1">
      <c r="A65" s="24"/>
      <c r="B65" s="29"/>
      <c r="C65" s="30"/>
      <c r="D65" s="13"/>
      <c r="E65" s="14" t="s">
        <v>33</v>
      </c>
      <c r="F65" s="16"/>
      <c r="G65" s="16" t="s">
        <v>24</v>
      </c>
      <c r="H65" s="16"/>
      <c r="I65" s="14" t="s">
        <v>40</v>
      </c>
      <c r="J65" s="4"/>
      <c r="K65" s="4" t="str">
        <f t="shared" si="1"/>
        <v/>
      </c>
      <c r="L65" s="17" t="str">
        <f t="shared" si="2"/>
        <v/>
      </c>
      <c r="M65" s="4"/>
      <c r="N65" s="4"/>
      <c r="O65" s="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ht="15.75" customHeight="1">
      <c r="A66" s="24"/>
      <c r="B66" s="29"/>
      <c r="C66" s="30"/>
      <c r="D66" s="13"/>
      <c r="E66" s="14" t="s">
        <v>32</v>
      </c>
      <c r="F66" s="16"/>
      <c r="G66" s="16" t="s">
        <v>24</v>
      </c>
      <c r="H66" s="16"/>
      <c r="I66" s="14" t="s">
        <v>36</v>
      </c>
      <c r="J66" s="4"/>
      <c r="K66" s="4" t="str">
        <f t="shared" si="1"/>
        <v/>
      </c>
      <c r="L66" s="17" t="str">
        <f t="shared" si="2"/>
        <v/>
      </c>
      <c r="M66" s="4"/>
      <c r="N66" s="4"/>
      <c r="O66" s="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ht="15.75" customHeight="1">
      <c r="A67" s="24"/>
      <c r="B67" s="29"/>
      <c r="C67" s="30"/>
      <c r="D67" s="13"/>
      <c r="E67" s="14" t="s">
        <v>25</v>
      </c>
      <c r="F67" s="16"/>
      <c r="G67" s="16" t="s">
        <v>24</v>
      </c>
      <c r="H67" s="16"/>
      <c r="I67" s="14" t="s">
        <v>31</v>
      </c>
      <c r="J67" s="4"/>
      <c r="K67" s="4" t="str">
        <f t="shared" si="1"/>
        <v/>
      </c>
      <c r="L67" s="17" t="str">
        <f t="shared" si="2"/>
        <v/>
      </c>
      <c r="M67" s="4"/>
      <c r="N67" s="4"/>
      <c r="O67" s="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ht="15.75" customHeight="1">
      <c r="A68" s="28"/>
      <c r="B68" s="29"/>
      <c r="C68" s="30"/>
      <c r="D68" s="13"/>
      <c r="E68" s="14" t="s">
        <v>23</v>
      </c>
      <c r="F68" s="16"/>
      <c r="G68" s="16" t="s">
        <v>24</v>
      </c>
      <c r="H68" s="16"/>
      <c r="I68" s="14">
        <v>0.0</v>
      </c>
      <c r="J68" s="4"/>
      <c r="K68" s="4" t="str">
        <f t="shared" si="1"/>
        <v/>
      </c>
      <c r="L68" s="17" t="str">
        <f t="shared" si="2"/>
        <v/>
      </c>
      <c r="M68" s="4"/>
      <c r="N68" s="4"/>
      <c r="O68" s="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ht="15.75" customHeight="1">
      <c r="A69" s="2"/>
      <c r="B69" s="38"/>
      <c r="C69" s="38"/>
      <c r="D69" s="38"/>
      <c r="E69" s="38"/>
      <c r="F69" s="38"/>
      <c r="G69" s="2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ht="15.75" customHeight="1">
      <c r="A70" s="2"/>
      <c r="B70" s="38"/>
      <c r="C70" s="38"/>
      <c r="D70" s="38"/>
      <c r="E70" s="38"/>
      <c r="F70" s="38"/>
      <c r="G70" s="2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ht="15.75" customHeight="1">
      <c r="A71" s="2"/>
      <c r="B71" s="38"/>
      <c r="C71" s="38"/>
      <c r="D71" s="38"/>
      <c r="E71" s="38"/>
      <c r="F71" s="38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ht="15.75" customHeight="1">
      <c r="A72" s="2"/>
      <c r="B72" s="38"/>
      <c r="C72" s="38"/>
      <c r="D72" s="38"/>
      <c r="E72" s="38"/>
      <c r="F72" s="38"/>
      <c r="G72" s="2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ht="15.75" customHeight="1">
      <c r="A73" s="2"/>
      <c r="B73" s="38"/>
      <c r="C73" s="38"/>
      <c r="D73" s="38"/>
      <c r="E73" s="38"/>
      <c r="F73" s="38"/>
      <c r="G73" s="2"/>
      <c r="H73" s="2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ht="15.75" customHeight="1">
      <c r="A74" s="2"/>
      <c r="B74" s="38"/>
      <c r="C74" s="38"/>
      <c r="D74" s="38"/>
      <c r="E74" s="38"/>
      <c r="F74" s="38"/>
      <c r="G74" s="2"/>
      <c r="H74" s="2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ht="15.75" customHeight="1">
      <c r="A75" s="2"/>
      <c r="B75" s="38"/>
      <c r="C75" s="38"/>
      <c r="D75" s="38"/>
      <c r="E75" s="38"/>
      <c r="F75" s="38"/>
      <c r="G75" s="2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ht="15.75" customHeight="1">
      <c r="A76" s="1" t="s">
        <v>51</v>
      </c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ht="15.75" customHeight="1">
      <c r="A77" s="5" t="s">
        <v>1</v>
      </c>
      <c r="B77" s="5" t="s">
        <v>2</v>
      </c>
      <c r="C77" s="5" t="s">
        <v>3</v>
      </c>
      <c r="D77" s="5" t="s">
        <v>4</v>
      </c>
      <c r="E77" s="5" t="s">
        <v>5</v>
      </c>
      <c r="F77" s="6" t="s">
        <v>6</v>
      </c>
      <c r="G77" s="7"/>
      <c r="H77" s="8"/>
      <c r="I77" s="5" t="s">
        <v>7</v>
      </c>
      <c r="J77" s="9" t="s">
        <v>8</v>
      </c>
      <c r="K77" s="9" t="s">
        <v>9</v>
      </c>
      <c r="L77" s="9" t="s">
        <v>10</v>
      </c>
      <c r="M77" s="9"/>
      <c r="N77" s="9" t="s">
        <v>11</v>
      </c>
      <c r="O77" s="9" t="s">
        <v>12</v>
      </c>
      <c r="P77" s="9" t="s">
        <v>13</v>
      </c>
      <c r="Q77" s="9" t="s">
        <v>14</v>
      </c>
      <c r="R77" s="9" t="s">
        <v>15</v>
      </c>
      <c r="S77" s="9" t="s">
        <v>16</v>
      </c>
      <c r="T77" s="9" t="s">
        <v>17</v>
      </c>
      <c r="U77" s="9" t="s">
        <v>18</v>
      </c>
      <c r="V77" s="9" t="s">
        <v>19</v>
      </c>
      <c r="W77" s="3"/>
      <c r="X77" s="3"/>
      <c r="Y77" s="3"/>
      <c r="Z77" s="3"/>
      <c r="AA77" s="3"/>
      <c r="AB77" s="3"/>
      <c r="AC77" s="3"/>
      <c r="AD77" s="3"/>
      <c r="AE77" s="5" t="s">
        <v>11</v>
      </c>
      <c r="AF77" s="5" t="s">
        <v>12</v>
      </c>
      <c r="AG77" s="5" t="s">
        <v>13</v>
      </c>
      <c r="AH77" s="5" t="s">
        <v>14</v>
      </c>
      <c r="AI77" s="5" t="s">
        <v>15</v>
      </c>
      <c r="AJ77" s="5" t="s">
        <v>16</v>
      </c>
      <c r="AK77" s="5" t="s">
        <v>17</v>
      </c>
      <c r="AL77" s="5" t="s">
        <v>18</v>
      </c>
      <c r="AM77" s="5" t="s">
        <v>19</v>
      </c>
      <c r="AN77" s="3" t="s">
        <v>52</v>
      </c>
    </row>
    <row r="78" ht="15.75" customHeight="1">
      <c r="A78" s="10">
        <v>1.0</v>
      </c>
      <c r="B78" s="39">
        <v>45950.0</v>
      </c>
      <c r="C78" s="12" t="s">
        <v>53</v>
      </c>
      <c r="D78" s="12" t="s">
        <v>22</v>
      </c>
      <c r="E78" s="40" t="s">
        <v>54</v>
      </c>
      <c r="F78" s="13">
        <v>11.0</v>
      </c>
      <c r="G78" s="16" t="s">
        <v>24</v>
      </c>
      <c r="H78" s="13">
        <v>18.0</v>
      </c>
      <c r="I78" s="40" t="s">
        <v>55</v>
      </c>
      <c r="J78" s="4"/>
      <c r="K78" s="4">
        <f t="shared" ref="K78:K143" si="11">IF(F78="","",IFS(F78&gt;H78,3,F78=H78,2,H78&gt;F78,1,F78="",0))</f>
        <v>1</v>
      </c>
      <c r="L78" s="17">
        <f t="shared" ref="L78:L143" si="12">IF(H78="","",IFS(F78&lt;H78,3,F78=H78,2,H78&lt;F78,1))</f>
        <v>3</v>
      </c>
      <c r="M78" s="4"/>
      <c r="N78" s="17">
        <v>1.0</v>
      </c>
      <c r="O78" s="18" t="s">
        <v>54</v>
      </c>
      <c r="P78" s="17">
        <f t="shared" ref="P78:P89" si="13">SUMIF(E$78:E$143,O78,K$78:K$143)+SUMIF(I$78:I$143,O78,L$78:L$143)</f>
        <v>4</v>
      </c>
      <c r="Q78" s="17">
        <f t="shared" ref="Q78:Q89" si="14">COUNTIFS(E$78:E$143,O78,K$78:K$143,3)+COUNTIFS(I$78:I$143,O78,L$78:L$143,3)</f>
        <v>1</v>
      </c>
      <c r="R78" s="19">
        <f t="shared" ref="R78:R89" si="15">COUNTIFS(E$78:E$143,O78,K$78:K$143,2)+COUNTIFS(I$78:I$143,O78,L$78:L$143,2)</f>
        <v>0</v>
      </c>
      <c r="S78" s="19">
        <f t="shared" ref="S78:S89" si="16">COUNTIFS(E$78:E$143,O78,K$78:K$143,1)+COUNTIFS(I$78:I$143,O78,L$78:L$143,1)</f>
        <v>1</v>
      </c>
      <c r="T78" s="17">
        <f t="shared" ref="T78:T89" si="17">SUMIF(E$78:E$143,O78,F$78:F$143)+SUMIF(I$78:I$143,O78,H$78:H$143)</f>
        <v>28</v>
      </c>
      <c r="U78" s="19">
        <f t="shared" ref="U78:U89" si="18">SUMIF(E$78:E$143,O78,H$78:H$143)+SUMIF(I$78:I$143,O78,F$78:F$143)</f>
        <v>33</v>
      </c>
      <c r="V78" s="17">
        <f t="shared" ref="V78:V89" si="19">T78-U78</f>
        <v>-5</v>
      </c>
      <c r="W78" s="2"/>
      <c r="X78" s="2"/>
      <c r="Y78" s="2"/>
      <c r="Z78" s="2"/>
      <c r="AA78" s="2"/>
      <c r="AB78" s="2"/>
      <c r="AC78" s="2"/>
      <c r="AD78" s="2"/>
      <c r="AE78" s="41" t="s">
        <v>29</v>
      </c>
      <c r="AF78" s="22" t="str">
        <f t="array" ref="AF78:AM89">SORT(O78:V89,2,FALSE,9,FALSE,8,FALSE())</f>
        <v>Biologia e Geologia</v>
      </c>
      <c r="AG78" s="22">
        <v>6.0</v>
      </c>
      <c r="AH78" s="22">
        <v>2.0</v>
      </c>
      <c r="AI78" s="23">
        <v>0.0</v>
      </c>
      <c r="AJ78" s="23">
        <v>0.0</v>
      </c>
      <c r="AK78" s="22">
        <v>40.0</v>
      </c>
      <c r="AL78" s="23">
        <v>24.0</v>
      </c>
      <c r="AM78" s="22">
        <v>16.0</v>
      </c>
      <c r="AN78" s="17"/>
    </row>
    <row r="79" ht="15.75" customHeight="1">
      <c r="A79" s="24"/>
      <c r="B79" s="39">
        <v>45950.0</v>
      </c>
      <c r="C79" s="12" t="s">
        <v>21</v>
      </c>
      <c r="D79" s="12" t="s">
        <v>22</v>
      </c>
      <c r="E79" s="40" t="s">
        <v>56</v>
      </c>
      <c r="F79" s="13">
        <v>23.0</v>
      </c>
      <c r="G79" s="16" t="s">
        <v>24</v>
      </c>
      <c r="H79" s="13">
        <v>16.0</v>
      </c>
      <c r="I79" s="40" t="s">
        <v>57</v>
      </c>
      <c r="J79" s="4"/>
      <c r="K79" s="4">
        <f t="shared" si="11"/>
        <v>3</v>
      </c>
      <c r="L79" s="17">
        <f t="shared" si="12"/>
        <v>1</v>
      </c>
      <c r="M79" s="4"/>
      <c r="N79" s="17">
        <v>2.0</v>
      </c>
      <c r="O79" s="18" t="s">
        <v>58</v>
      </c>
      <c r="P79" s="17">
        <f t="shared" si="13"/>
        <v>3</v>
      </c>
      <c r="Q79" s="17">
        <f t="shared" si="14"/>
        <v>1</v>
      </c>
      <c r="R79" s="19">
        <f t="shared" si="15"/>
        <v>0</v>
      </c>
      <c r="S79" s="19">
        <f t="shared" si="16"/>
        <v>0</v>
      </c>
      <c r="T79" s="17">
        <f t="shared" si="17"/>
        <v>25</v>
      </c>
      <c r="U79" s="19">
        <f t="shared" si="18"/>
        <v>16</v>
      </c>
      <c r="V79" s="17">
        <f t="shared" si="19"/>
        <v>9</v>
      </c>
      <c r="W79" s="2"/>
      <c r="X79" s="2"/>
      <c r="Y79" s="2"/>
      <c r="Z79" s="2"/>
      <c r="AA79" s="2"/>
      <c r="AB79" s="2"/>
      <c r="AC79" s="2"/>
      <c r="AD79" s="2"/>
      <c r="AE79" s="41">
        <v>2.0</v>
      </c>
      <c r="AF79" s="22" t="s">
        <v>59</v>
      </c>
      <c r="AG79" s="22">
        <v>6.0</v>
      </c>
      <c r="AH79" s="22">
        <v>2.0</v>
      </c>
      <c r="AI79" s="23">
        <v>0.0</v>
      </c>
      <c r="AJ79" s="23">
        <v>0.0</v>
      </c>
      <c r="AK79" s="22">
        <v>44.0</v>
      </c>
      <c r="AL79" s="23">
        <v>29.0</v>
      </c>
      <c r="AM79" s="22">
        <v>15.0</v>
      </c>
      <c r="AN79" s="17"/>
    </row>
    <row r="80" ht="15.75" customHeight="1">
      <c r="A80" s="24"/>
      <c r="B80" s="39">
        <v>45950.0</v>
      </c>
      <c r="C80" s="12" t="s">
        <v>30</v>
      </c>
      <c r="D80" s="12" t="s">
        <v>22</v>
      </c>
      <c r="E80" s="40" t="s">
        <v>60</v>
      </c>
      <c r="F80" s="13">
        <v>22.0</v>
      </c>
      <c r="G80" s="16" t="s">
        <v>24</v>
      </c>
      <c r="H80" s="13">
        <v>19.0</v>
      </c>
      <c r="I80" s="40" t="s">
        <v>61</v>
      </c>
      <c r="J80" s="4"/>
      <c r="K80" s="4">
        <f t="shared" si="11"/>
        <v>3</v>
      </c>
      <c r="L80" s="17">
        <f t="shared" si="12"/>
        <v>1</v>
      </c>
      <c r="M80" s="4"/>
      <c r="N80" s="17">
        <v>3.0</v>
      </c>
      <c r="O80" s="18" t="s">
        <v>55</v>
      </c>
      <c r="P80" s="17">
        <f t="shared" si="13"/>
        <v>6</v>
      </c>
      <c r="Q80" s="17">
        <f t="shared" si="14"/>
        <v>2</v>
      </c>
      <c r="R80" s="19">
        <f t="shared" si="15"/>
        <v>0</v>
      </c>
      <c r="S80" s="19">
        <f t="shared" si="16"/>
        <v>0</v>
      </c>
      <c r="T80" s="17">
        <f t="shared" si="17"/>
        <v>40</v>
      </c>
      <c r="U80" s="19">
        <f t="shared" si="18"/>
        <v>24</v>
      </c>
      <c r="V80" s="17">
        <f t="shared" si="19"/>
        <v>16</v>
      </c>
      <c r="W80" s="2"/>
      <c r="X80" s="2"/>
      <c r="Y80" s="2"/>
      <c r="Z80" s="2"/>
      <c r="AA80" s="2"/>
      <c r="AB80" s="2"/>
      <c r="AC80" s="2"/>
      <c r="AD80" s="2"/>
      <c r="AE80" s="21">
        <v>3.0</v>
      </c>
      <c r="AF80" s="22" t="s">
        <v>56</v>
      </c>
      <c r="AG80" s="22">
        <v>6.0</v>
      </c>
      <c r="AH80" s="22">
        <v>2.0</v>
      </c>
      <c r="AI80" s="23">
        <v>0.0</v>
      </c>
      <c r="AJ80" s="23">
        <v>0.0</v>
      </c>
      <c r="AK80" s="22">
        <v>47.0</v>
      </c>
      <c r="AL80" s="23">
        <v>35.0</v>
      </c>
      <c r="AM80" s="22">
        <v>12.0</v>
      </c>
      <c r="AN80" s="17"/>
    </row>
    <row r="81" ht="15.75" customHeight="1">
      <c r="A81" s="24"/>
      <c r="B81" s="39">
        <v>45950.0</v>
      </c>
      <c r="C81" s="12" t="s">
        <v>35</v>
      </c>
      <c r="D81" s="12" t="s">
        <v>22</v>
      </c>
      <c r="E81" s="40" t="s">
        <v>59</v>
      </c>
      <c r="F81" s="13">
        <v>24.0</v>
      </c>
      <c r="G81" s="16" t="s">
        <v>24</v>
      </c>
      <c r="H81" s="13">
        <v>18.0</v>
      </c>
      <c r="I81" s="40" t="s">
        <v>62</v>
      </c>
      <c r="J81" s="4"/>
      <c r="K81" s="4">
        <f t="shared" si="11"/>
        <v>3</v>
      </c>
      <c r="L81" s="17">
        <f t="shared" si="12"/>
        <v>1</v>
      </c>
      <c r="M81" s="4"/>
      <c r="N81" s="17">
        <v>4.0</v>
      </c>
      <c r="O81" s="18" t="s">
        <v>63</v>
      </c>
      <c r="P81" s="17">
        <f t="shared" si="13"/>
        <v>4</v>
      </c>
      <c r="Q81" s="17">
        <f t="shared" si="14"/>
        <v>1</v>
      </c>
      <c r="R81" s="19">
        <f t="shared" si="15"/>
        <v>0</v>
      </c>
      <c r="S81" s="19">
        <f t="shared" si="16"/>
        <v>1</v>
      </c>
      <c r="T81" s="17">
        <f t="shared" si="17"/>
        <v>33</v>
      </c>
      <c r="U81" s="19">
        <f t="shared" si="18"/>
        <v>34</v>
      </c>
      <c r="V81" s="17">
        <f t="shared" si="19"/>
        <v>-1</v>
      </c>
      <c r="W81" s="2"/>
      <c r="X81" s="2"/>
      <c r="Y81" s="2"/>
      <c r="Z81" s="2"/>
      <c r="AA81" s="2"/>
      <c r="AB81" s="2"/>
      <c r="AC81" s="2"/>
      <c r="AD81" s="2"/>
      <c r="AE81" s="21">
        <v>4.0</v>
      </c>
      <c r="AF81" s="22" t="s">
        <v>60</v>
      </c>
      <c r="AG81" s="22">
        <v>6.0</v>
      </c>
      <c r="AH81" s="22">
        <v>2.0</v>
      </c>
      <c r="AI81" s="23">
        <v>0.0</v>
      </c>
      <c r="AJ81" s="23">
        <v>0.0</v>
      </c>
      <c r="AK81" s="22">
        <v>41.0</v>
      </c>
      <c r="AL81" s="23">
        <v>37.0</v>
      </c>
      <c r="AM81" s="22">
        <v>4.0</v>
      </c>
      <c r="AN81" s="17"/>
    </row>
    <row r="82" ht="15.75" customHeight="1">
      <c r="A82" s="24"/>
      <c r="B82" s="39">
        <v>45951.0</v>
      </c>
      <c r="C82" s="12" t="s">
        <v>53</v>
      </c>
      <c r="D82" s="12" t="s">
        <v>22</v>
      </c>
      <c r="E82" s="40" t="s">
        <v>63</v>
      </c>
      <c r="F82" s="13">
        <v>17.0</v>
      </c>
      <c r="G82" s="16" t="s">
        <v>24</v>
      </c>
      <c r="H82" s="13">
        <v>9.0</v>
      </c>
      <c r="I82" s="40" t="s">
        <v>64</v>
      </c>
      <c r="J82" s="4"/>
      <c r="K82" s="4">
        <f t="shared" si="11"/>
        <v>3</v>
      </c>
      <c r="L82" s="17">
        <f t="shared" si="12"/>
        <v>1</v>
      </c>
      <c r="M82" s="4"/>
      <c r="N82" s="17">
        <v>5.0</v>
      </c>
      <c r="O82" s="18" t="s">
        <v>57</v>
      </c>
      <c r="P82" s="17">
        <f t="shared" si="13"/>
        <v>2</v>
      </c>
      <c r="Q82" s="17">
        <f t="shared" si="14"/>
        <v>0</v>
      </c>
      <c r="R82" s="19">
        <f t="shared" si="15"/>
        <v>0</v>
      </c>
      <c r="S82" s="19">
        <f t="shared" si="16"/>
        <v>2</v>
      </c>
      <c r="T82" s="17">
        <f t="shared" si="17"/>
        <v>31</v>
      </c>
      <c r="U82" s="19">
        <f t="shared" si="18"/>
        <v>40</v>
      </c>
      <c r="V82" s="17">
        <f t="shared" si="19"/>
        <v>-9</v>
      </c>
      <c r="W82" s="2"/>
      <c r="X82" s="2"/>
      <c r="Y82" s="2"/>
      <c r="Z82" s="2"/>
      <c r="AA82" s="2"/>
      <c r="AB82" s="2"/>
      <c r="AC82" s="2"/>
      <c r="AD82" s="2"/>
      <c r="AE82" s="21">
        <v>5.0</v>
      </c>
      <c r="AF82" s="22" t="s">
        <v>63</v>
      </c>
      <c r="AG82" s="22">
        <v>4.0</v>
      </c>
      <c r="AH82" s="22">
        <v>1.0</v>
      </c>
      <c r="AI82" s="23">
        <v>0.0</v>
      </c>
      <c r="AJ82" s="23">
        <v>1.0</v>
      </c>
      <c r="AK82" s="22">
        <v>33.0</v>
      </c>
      <c r="AL82" s="23">
        <v>34.0</v>
      </c>
      <c r="AM82" s="22">
        <v>-1.0</v>
      </c>
      <c r="AN82" s="17"/>
    </row>
    <row r="83" ht="15.75" customHeight="1">
      <c r="A83" s="24"/>
      <c r="B83" s="39">
        <v>45972.0</v>
      </c>
      <c r="C83" s="12" t="s">
        <v>30</v>
      </c>
      <c r="D83" s="12" t="s">
        <v>22</v>
      </c>
      <c r="E83" s="42" t="s">
        <v>65</v>
      </c>
      <c r="F83" s="13"/>
      <c r="G83" s="16" t="s">
        <v>24</v>
      </c>
      <c r="H83" s="13"/>
      <c r="I83" s="40" t="s">
        <v>58</v>
      </c>
      <c r="J83" s="4"/>
      <c r="K83" s="4" t="str">
        <f t="shared" si="11"/>
        <v/>
      </c>
      <c r="L83" s="17" t="str">
        <f t="shared" si="12"/>
        <v/>
      </c>
      <c r="M83" s="4"/>
      <c r="N83" s="17">
        <v>6.0</v>
      </c>
      <c r="O83" s="18" t="s">
        <v>59</v>
      </c>
      <c r="P83" s="17">
        <f t="shared" si="13"/>
        <v>6</v>
      </c>
      <c r="Q83" s="17">
        <f t="shared" si="14"/>
        <v>2</v>
      </c>
      <c r="R83" s="19">
        <f t="shared" si="15"/>
        <v>0</v>
      </c>
      <c r="S83" s="19">
        <f t="shared" si="16"/>
        <v>0</v>
      </c>
      <c r="T83" s="17">
        <f t="shared" si="17"/>
        <v>44</v>
      </c>
      <c r="U83" s="19">
        <f t="shared" si="18"/>
        <v>29</v>
      </c>
      <c r="V83" s="17">
        <f t="shared" si="19"/>
        <v>15</v>
      </c>
      <c r="W83" s="2"/>
      <c r="X83" s="2"/>
      <c r="Y83" s="2"/>
      <c r="Z83" s="2"/>
      <c r="AA83" s="2"/>
      <c r="AB83" s="2"/>
      <c r="AC83" s="2"/>
      <c r="AD83" s="2"/>
      <c r="AE83" s="21">
        <v>6.0</v>
      </c>
      <c r="AF83" s="22" t="s">
        <v>54</v>
      </c>
      <c r="AG83" s="22">
        <v>4.0</v>
      </c>
      <c r="AH83" s="22">
        <v>1.0</v>
      </c>
      <c r="AI83" s="23">
        <v>0.0</v>
      </c>
      <c r="AJ83" s="23">
        <v>1.0</v>
      </c>
      <c r="AK83" s="22">
        <v>28.0</v>
      </c>
      <c r="AL83" s="23">
        <v>33.0</v>
      </c>
      <c r="AM83" s="22">
        <v>-5.0</v>
      </c>
      <c r="AN83" s="17"/>
    </row>
    <row r="84" ht="15.75" customHeight="1">
      <c r="A84" s="10">
        <v>2.0</v>
      </c>
      <c r="B84" s="11">
        <v>45964.0</v>
      </c>
      <c r="C84" s="12" t="s">
        <v>53</v>
      </c>
      <c r="D84" s="12" t="s">
        <v>22</v>
      </c>
      <c r="E84" s="40" t="s">
        <v>55</v>
      </c>
      <c r="F84" s="13">
        <v>22.0</v>
      </c>
      <c r="G84" s="16" t="s">
        <v>24</v>
      </c>
      <c r="H84" s="13">
        <v>13.0</v>
      </c>
      <c r="I84" s="43" t="s">
        <v>65</v>
      </c>
      <c r="J84" s="4"/>
      <c r="K84" s="4">
        <f t="shared" si="11"/>
        <v>3</v>
      </c>
      <c r="L84" s="17">
        <f t="shared" si="12"/>
        <v>1</v>
      </c>
      <c r="M84" s="4"/>
      <c r="N84" s="17">
        <v>7.0</v>
      </c>
      <c r="O84" s="18" t="s">
        <v>61</v>
      </c>
      <c r="P84" s="17">
        <f t="shared" si="13"/>
        <v>2</v>
      </c>
      <c r="Q84" s="17">
        <f t="shared" si="14"/>
        <v>0</v>
      </c>
      <c r="R84" s="19">
        <f t="shared" si="15"/>
        <v>0</v>
      </c>
      <c r="S84" s="19">
        <f t="shared" si="16"/>
        <v>2</v>
      </c>
      <c r="T84" s="17">
        <f t="shared" si="17"/>
        <v>38</v>
      </c>
      <c r="U84" s="19">
        <f t="shared" si="18"/>
        <v>46</v>
      </c>
      <c r="V84" s="17">
        <f t="shared" si="19"/>
        <v>-8</v>
      </c>
      <c r="W84" s="2"/>
      <c r="X84" s="2"/>
      <c r="Y84" s="2"/>
      <c r="Z84" s="2"/>
      <c r="AA84" s="2"/>
      <c r="AB84" s="2"/>
      <c r="AC84" s="2"/>
      <c r="AD84" s="2"/>
      <c r="AE84" s="21">
        <v>7.0</v>
      </c>
      <c r="AF84" s="22" t="s">
        <v>58</v>
      </c>
      <c r="AG84" s="22">
        <v>3.0</v>
      </c>
      <c r="AH84" s="22">
        <v>1.0</v>
      </c>
      <c r="AI84" s="23">
        <v>0.0</v>
      </c>
      <c r="AJ84" s="23">
        <v>0.0</v>
      </c>
      <c r="AK84" s="22">
        <v>25.0</v>
      </c>
      <c r="AL84" s="23">
        <v>16.0</v>
      </c>
      <c r="AM84" s="22">
        <v>9.0</v>
      </c>
      <c r="AN84" s="17"/>
    </row>
    <row r="85" ht="15.75" customHeight="1">
      <c r="A85" s="24"/>
      <c r="B85" s="11">
        <v>45964.0</v>
      </c>
      <c r="C85" s="12" t="s">
        <v>21</v>
      </c>
      <c r="D85" s="12" t="s">
        <v>22</v>
      </c>
      <c r="E85" s="40" t="s">
        <v>57</v>
      </c>
      <c r="F85" s="13">
        <v>15.0</v>
      </c>
      <c r="G85" s="16" t="s">
        <v>24</v>
      </c>
      <c r="H85" s="13">
        <v>17.0</v>
      </c>
      <c r="I85" s="40" t="s">
        <v>54</v>
      </c>
      <c r="J85" s="4"/>
      <c r="K85" s="4">
        <f t="shared" si="11"/>
        <v>1</v>
      </c>
      <c r="L85" s="17">
        <f t="shared" si="12"/>
        <v>3</v>
      </c>
      <c r="M85" s="4"/>
      <c r="N85" s="17">
        <v>8.0</v>
      </c>
      <c r="O85" s="18" t="s">
        <v>60</v>
      </c>
      <c r="P85" s="17">
        <f t="shared" si="13"/>
        <v>6</v>
      </c>
      <c r="Q85" s="17">
        <f t="shared" si="14"/>
        <v>2</v>
      </c>
      <c r="R85" s="19">
        <f t="shared" si="15"/>
        <v>0</v>
      </c>
      <c r="S85" s="19">
        <f t="shared" si="16"/>
        <v>0</v>
      </c>
      <c r="T85" s="17">
        <f t="shared" si="17"/>
        <v>41</v>
      </c>
      <c r="U85" s="19">
        <f t="shared" si="18"/>
        <v>37</v>
      </c>
      <c r="V85" s="17">
        <f t="shared" si="19"/>
        <v>4</v>
      </c>
      <c r="W85" s="2"/>
      <c r="X85" s="2"/>
      <c r="Y85" s="2"/>
      <c r="Z85" s="2"/>
      <c r="AA85" s="2"/>
      <c r="AB85" s="2"/>
      <c r="AC85" s="2"/>
      <c r="AD85" s="2"/>
      <c r="AE85" s="21">
        <v>8.0</v>
      </c>
      <c r="AF85" s="22" t="s">
        <v>62</v>
      </c>
      <c r="AG85" s="22">
        <v>2.0</v>
      </c>
      <c r="AH85" s="22">
        <v>0.0</v>
      </c>
      <c r="AI85" s="23">
        <v>0.0</v>
      </c>
      <c r="AJ85" s="23">
        <v>2.0</v>
      </c>
      <c r="AK85" s="22">
        <v>36.0</v>
      </c>
      <c r="AL85" s="23">
        <v>43.0</v>
      </c>
      <c r="AM85" s="22">
        <v>-7.0</v>
      </c>
      <c r="AN85" s="17"/>
    </row>
    <row r="86" ht="15.75" customHeight="1">
      <c r="A86" s="24"/>
      <c r="B86" s="11">
        <v>45964.0</v>
      </c>
      <c r="C86" s="12" t="s">
        <v>30</v>
      </c>
      <c r="D86" s="12" t="s">
        <v>22</v>
      </c>
      <c r="E86" s="40" t="s">
        <v>61</v>
      </c>
      <c r="F86" s="13">
        <v>19.0</v>
      </c>
      <c r="G86" s="16" t="s">
        <v>24</v>
      </c>
      <c r="H86" s="13">
        <v>24.0</v>
      </c>
      <c r="I86" s="40" t="s">
        <v>56</v>
      </c>
      <c r="J86" s="4"/>
      <c r="K86" s="4">
        <f t="shared" si="11"/>
        <v>1</v>
      </c>
      <c r="L86" s="17">
        <f t="shared" si="12"/>
        <v>3</v>
      </c>
      <c r="M86" s="4"/>
      <c r="N86" s="17">
        <v>9.0</v>
      </c>
      <c r="O86" s="18" t="s">
        <v>62</v>
      </c>
      <c r="P86" s="17">
        <f t="shared" si="13"/>
        <v>2</v>
      </c>
      <c r="Q86" s="17">
        <f t="shared" si="14"/>
        <v>0</v>
      </c>
      <c r="R86" s="19">
        <f t="shared" si="15"/>
        <v>0</v>
      </c>
      <c r="S86" s="19">
        <f t="shared" si="16"/>
        <v>2</v>
      </c>
      <c r="T86" s="17">
        <f t="shared" si="17"/>
        <v>36</v>
      </c>
      <c r="U86" s="19">
        <f t="shared" si="18"/>
        <v>43</v>
      </c>
      <c r="V86" s="17">
        <f t="shared" si="19"/>
        <v>-7</v>
      </c>
      <c r="W86" s="2"/>
      <c r="X86" s="2"/>
      <c r="Y86" s="2"/>
      <c r="Z86" s="2"/>
      <c r="AA86" s="2"/>
      <c r="AB86" s="2"/>
      <c r="AC86" s="2"/>
      <c r="AD86" s="2"/>
      <c r="AE86" s="21">
        <v>9.0</v>
      </c>
      <c r="AF86" s="22" t="s">
        <v>61</v>
      </c>
      <c r="AG86" s="22">
        <v>2.0</v>
      </c>
      <c r="AH86" s="22">
        <v>0.0</v>
      </c>
      <c r="AI86" s="23">
        <v>0.0</v>
      </c>
      <c r="AJ86" s="23">
        <v>2.0</v>
      </c>
      <c r="AK86" s="22">
        <v>38.0</v>
      </c>
      <c r="AL86" s="23">
        <v>46.0</v>
      </c>
      <c r="AM86" s="22">
        <v>-8.0</v>
      </c>
      <c r="AN86" s="17"/>
    </row>
    <row r="87" ht="15.75" customHeight="1">
      <c r="A87" s="24"/>
      <c r="B87" s="11">
        <v>45964.0</v>
      </c>
      <c r="C87" s="12" t="s">
        <v>35</v>
      </c>
      <c r="D87" s="12" t="s">
        <v>22</v>
      </c>
      <c r="E87" s="40" t="s">
        <v>62</v>
      </c>
      <c r="F87" s="13">
        <v>18.0</v>
      </c>
      <c r="G87" s="16" t="s">
        <v>24</v>
      </c>
      <c r="H87" s="13">
        <v>19.0</v>
      </c>
      <c r="I87" s="40" t="s">
        <v>60</v>
      </c>
      <c r="J87" s="4"/>
      <c r="K87" s="4">
        <f t="shared" si="11"/>
        <v>1</v>
      </c>
      <c r="L87" s="17">
        <f t="shared" si="12"/>
        <v>3</v>
      </c>
      <c r="M87" s="4"/>
      <c r="N87" s="17">
        <v>10.0</v>
      </c>
      <c r="O87" s="18" t="s">
        <v>56</v>
      </c>
      <c r="P87" s="17">
        <f t="shared" si="13"/>
        <v>6</v>
      </c>
      <c r="Q87" s="17">
        <f t="shared" si="14"/>
        <v>2</v>
      </c>
      <c r="R87" s="19">
        <f t="shared" si="15"/>
        <v>0</v>
      </c>
      <c r="S87" s="19">
        <f t="shared" si="16"/>
        <v>0</v>
      </c>
      <c r="T87" s="17">
        <f t="shared" si="17"/>
        <v>47</v>
      </c>
      <c r="U87" s="19">
        <f t="shared" si="18"/>
        <v>35</v>
      </c>
      <c r="V87" s="17">
        <f t="shared" si="19"/>
        <v>12</v>
      </c>
      <c r="W87" s="2"/>
      <c r="X87" s="2"/>
      <c r="Y87" s="2"/>
      <c r="Z87" s="2"/>
      <c r="AA87" s="2"/>
      <c r="AB87" s="2"/>
      <c r="AC87" s="2"/>
      <c r="AD87" s="2"/>
      <c r="AE87" s="21">
        <v>10.0</v>
      </c>
      <c r="AF87" s="22" t="s">
        <v>57</v>
      </c>
      <c r="AG87" s="22">
        <v>2.0</v>
      </c>
      <c r="AH87" s="44">
        <v>0.0</v>
      </c>
      <c r="AI87" s="45">
        <v>0.0</v>
      </c>
      <c r="AJ87" s="45">
        <v>2.0</v>
      </c>
      <c r="AK87" s="44">
        <v>31.0</v>
      </c>
      <c r="AL87" s="45">
        <v>40.0</v>
      </c>
      <c r="AM87" s="44">
        <v>-9.0</v>
      </c>
      <c r="AN87" s="17"/>
    </row>
    <row r="88" ht="15.75" customHeight="1">
      <c r="A88" s="24"/>
      <c r="B88" s="11">
        <v>45720.0</v>
      </c>
      <c r="C88" s="12" t="s">
        <v>30</v>
      </c>
      <c r="D88" s="12" t="s">
        <v>22</v>
      </c>
      <c r="E88" s="40" t="s">
        <v>64</v>
      </c>
      <c r="F88" s="13">
        <v>11.0</v>
      </c>
      <c r="G88" s="16" t="s">
        <v>24</v>
      </c>
      <c r="H88" s="13">
        <v>20.0</v>
      </c>
      <c r="I88" s="40" t="s">
        <v>59</v>
      </c>
      <c r="J88" s="4"/>
      <c r="K88" s="4">
        <f t="shared" si="11"/>
        <v>1</v>
      </c>
      <c r="L88" s="17">
        <f t="shared" si="12"/>
        <v>3</v>
      </c>
      <c r="M88" s="4"/>
      <c r="N88" s="17">
        <v>11.0</v>
      </c>
      <c r="O88" s="18" t="s">
        <v>64</v>
      </c>
      <c r="P88" s="17">
        <f t="shared" si="13"/>
        <v>2</v>
      </c>
      <c r="Q88" s="17">
        <f t="shared" si="14"/>
        <v>0</v>
      </c>
      <c r="R88" s="19">
        <f t="shared" si="15"/>
        <v>0</v>
      </c>
      <c r="S88" s="19">
        <f t="shared" si="16"/>
        <v>2</v>
      </c>
      <c r="T88" s="17">
        <f t="shared" si="17"/>
        <v>20</v>
      </c>
      <c r="U88" s="19">
        <f t="shared" si="18"/>
        <v>37</v>
      </c>
      <c r="V88" s="17">
        <f t="shared" si="19"/>
        <v>-17</v>
      </c>
      <c r="W88" s="2"/>
      <c r="X88" s="2"/>
      <c r="Y88" s="2"/>
      <c r="Z88" s="2"/>
      <c r="AA88" s="2"/>
      <c r="AB88" s="2"/>
      <c r="AC88" s="2"/>
      <c r="AD88" s="2"/>
      <c r="AE88" s="21">
        <v>11.0</v>
      </c>
      <c r="AF88" s="22" t="s">
        <v>64</v>
      </c>
      <c r="AG88" s="22">
        <v>2.0</v>
      </c>
      <c r="AH88" s="22">
        <v>0.0</v>
      </c>
      <c r="AI88" s="23">
        <v>0.0</v>
      </c>
      <c r="AJ88" s="23">
        <v>2.0</v>
      </c>
      <c r="AK88" s="22">
        <v>20.0</v>
      </c>
      <c r="AL88" s="23">
        <v>37.0</v>
      </c>
      <c r="AM88" s="22">
        <v>-17.0</v>
      </c>
      <c r="AN88" s="17"/>
    </row>
    <row r="89" ht="15.75" customHeight="1">
      <c r="A89" s="28"/>
      <c r="B89" s="11">
        <v>45720.0</v>
      </c>
      <c r="C89" s="12" t="s">
        <v>35</v>
      </c>
      <c r="D89" s="12" t="s">
        <v>22</v>
      </c>
      <c r="E89" s="40" t="s">
        <v>58</v>
      </c>
      <c r="F89" s="13">
        <v>25.0</v>
      </c>
      <c r="G89" s="16" t="s">
        <v>24</v>
      </c>
      <c r="H89" s="13">
        <v>16.0</v>
      </c>
      <c r="I89" s="40" t="s">
        <v>63</v>
      </c>
      <c r="J89" s="4"/>
      <c r="K89" s="4">
        <f t="shared" si="11"/>
        <v>3</v>
      </c>
      <c r="L89" s="17">
        <f t="shared" si="12"/>
        <v>1</v>
      </c>
      <c r="M89" s="4"/>
      <c r="N89" s="46">
        <v>12.0</v>
      </c>
      <c r="O89" s="42" t="s">
        <v>65</v>
      </c>
      <c r="P89" s="17">
        <f t="shared" si="13"/>
        <v>1</v>
      </c>
      <c r="Q89" s="17">
        <f t="shared" si="14"/>
        <v>0</v>
      </c>
      <c r="R89" s="19">
        <f t="shared" si="15"/>
        <v>0</v>
      </c>
      <c r="S89" s="19">
        <f t="shared" si="16"/>
        <v>1</v>
      </c>
      <c r="T89" s="17">
        <f t="shared" si="17"/>
        <v>13</v>
      </c>
      <c r="U89" s="19">
        <f t="shared" si="18"/>
        <v>22</v>
      </c>
      <c r="V89" s="17">
        <f t="shared" si="19"/>
        <v>-9</v>
      </c>
      <c r="W89" s="2"/>
      <c r="X89" s="2"/>
      <c r="Y89" s="2"/>
      <c r="Z89" s="2"/>
      <c r="AA89" s="2"/>
      <c r="AB89" s="2"/>
      <c r="AC89" s="2"/>
      <c r="AD89" s="2"/>
      <c r="AE89" s="47">
        <v>12.0</v>
      </c>
      <c r="AF89" s="22" t="s">
        <v>65</v>
      </c>
      <c r="AG89" s="22">
        <v>1.0</v>
      </c>
      <c r="AH89" s="22">
        <v>0.0</v>
      </c>
      <c r="AI89" s="23">
        <v>0.0</v>
      </c>
      <c r="AJ89" s="23">
        <v>1.0</v>
      </c>
      <c r="AK89" s="22">
        <v>13.0</v>
      </c>
      <c r="AL89" s="23">
        <v>22.0</v>
      </c>
      <c r="AM89" s="22">
        <v>-9.0</v>
      </c>
      <c r="AN89" s="3"/>
    </row>
    <row r="90" ht="15.75" customHeight="1">
      <c r="A90" s="10">
        <v>3.0</v>
      </c>
      <c r="B90" s="29"/>
      <c r="C90" s="30"/>
      <c r="D90" s="30"/>
      <c r="E90" s="40" t="s">
        <v>55</v>
      </c>
      <c r="F90" s="30"/>
      <c r="G90" s="16" t="s">
        <v>24</v>
      </c>
      <c r="H90" s="30"/>
      <c r="I90" s="40" t="s">
        <v>57</v>
      </c>
      <c r="J90" s="4"/>
      <c r="K90" s="4" t="str">
        <f t="shared" si="11"/>
        <v/>
      </c>
      <c r="L90" s="17" t="str">
        <f t="shared" si="12"/>
        <v/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34" t="s">
        <v>66</v>
      </c>
      <c r="AJ90" s="3"/>
      <c r="AK90" s="3"/>
      <c r="AL90" s="3"/>
      <c r="AM90" s="3"/>
      <c r="AN90" s="3"/>
    </row>
    <row r="91" ht="15.75" customHeight="1">
      <c r="A91" s="24"/>
      <c r="B91" s="29"/>
      <c r="C91" s="30"/>
      <c r="D91" s="30"/>
      <c r="E91" s="40" t="s">
        <v>54</v>
      </c>
      <c r="F91" s="30"/>
      <c r="G91" s="16" t="s">
        <v>24</v>
      </c>
      <c r="H91" s="30"/>
      <c r="I91" s="40" t="s">
        <v>61</v>
      </c>
      <c r="J91" s="4"/>
      <c r="K91" s="4" t="str">
        <f t="shared" si="11"/>
        <v/>
      </c>
      <c r="L91" s="17" t="str">
        <f t="shared" si="12"/>
        <v/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G91" s="2"/>
      <c r="AH91" s="36"/>
      <c r="AJ91" s="3"/>
      <c r="AK91" s="3"/>
      <c r="AL91" s="3"/>
      <c r="AM91" s="3"/>
      <c r="AN91" s="3"/>
    </row>
    <row r="92" ht="15.75" customHeight="1">
      <c r="A92" s="24"/>
      <c r="B92" s="29"/>
      <c r="C92" s="30"/>
      <c r="D92" s="30"/>
      <c r="E92" s="40" t="s">
        <v>56</v>
      </c>
      <c r="F92" s="30"/>
      <c r="G92" s="16" t="s">
        <v>24</v>
      </c>
      <c r="H92" s="30"/>
      <c r="I92" s="40" t="s">
        <v>62</v>
      </c>
      <c r="J92" s="4"/>
      <c r="K92" s="4" t="str">
        <f t="shared" si="11"/>
        <v/>
      </c>
      <c r="L92" s="17" t="str">
        <f t="shared" si="12"/>
        <v/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4"/>
      <c r="AG92" s="2"/>
      <c r="AJ92" s="3"/>
      <c r="AK92" s="3"/>
      <c r="AL92" s="3"/>
      <c r="AM92" s="3"/>
      <c r="AN92" s="3"/>
    </row>
    <row r="93" ht="15.75" customHeight="1">
      <c r="A93" s="24"/>
      <c r="B93" s="29"/>
      <c r="C93" s="30"/>
      <c r="D93" s="30"/>
      <c r="E93" s="40" t="s">
        <v>60</v>
      </c>
      <c r="F93" s="30"/>
      <c r="G93" s="16" t="s">
        <v>24</v>
      </c>
      <c r="H93" s="30"/>
      <c r="I93" s="40" t="s">
        <v>64</v>
      </c>
      <c r="J93" s="37"/>
      <c r="K93" s="4" t="str">
        <f t="shared" si="11"/>
        <v/>
      </c>
      <c r="L93" s="17" t="str">
        <f t="shared" si="12"/>
        <v/>
      </c>
      <c r="M93" s="4"/>
      <c r="N93" s="4"/>
      <c r="O93" s="4"/>
      <c r="P93" s="4"/>
      <c r="Q93" s="2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G93" s="4"/>
      <c r="AJ93" s="3"/>
      <c r="AK93" s="3"/>
      <c r="AL93" s="3"/>
      <c r="AM93" s="3"/>
      <c r="AN93" s="3"/>
    </row>
    <row r="94" ht="15.75" customHeight="1">
      <c r="A94" s="24"/>
      <c r="B94" s="29"/>
      <c r="C94" s="30"/>
      <c r="D94" s="30"/>
      <c r="E94" s="40" t="s">
        <v>59</v>
      </c>
      <c r="F94" s="30"/>
      <c r="G94" s="16" t="s">
        <v>24</v>
      </c>
      <c r="H94" s="30"/>
      <c r="I94" s="40" t="s">
        <v>58</v>
      </c>
      <c r="J94" s="4"/>
      <c r="K94" s="4" t="str">
        <f t="shared" si="11"/>
        <v/>
      </c>
      <c r="L94" s="17" t="str">
        <f t="shared" si="12"/>
        <v/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G94" s="4"/>
      <c r="AJ94" s="3"/>
      <c r="AK94" s="3"/>
      <c r="AL94" s="3"/>
      <c r="AM94" s="3"/>
      <c r="AN94" s="3"/>
    </row>
    <row r="95" ht="15.75" customHeight="1">
      <c r="A95" s="28"/>
      <c r="B95" s="29"/>
      <c r="C95" s="30"/>
      <c r="D95" s="30"/>
      <c r="E95" s="42" t="s">
        <v>65</v>
      </c>
      <c r="F95" s="30"/>
      <c r="G95" s="16" t="s">
        <v>24</v>
      </c>
      <c r="H95" s="30"/>
      <c r="I95" s="40" t="s">
        <v>63</v>
      </c>
      <c r="J95" s="4"/>
      <c r="K95" s="4" t="str">
        <f t="shared" si="11"/>
        <v/>
      </c>
      <c r="L95" s="17" t="str">
        <f t="shared" si="12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G95" s="4"/>
      <c r="AJ95" s="3"/>
      <c r="AK95" s="3"/>
      <c r="AL95" s="3"/>
      <c r="AM95" s="3"/>
      <c r="AN95" s="3"/>
    </row>
    <row r="96" ht="15.75" customHeight="1">
      <c r="A96" s="48">
        <v>4.0</v>
      </c>
      <c r="B96" s="49"/>
      <c r="C96" s="30"/>
      <c r="D96" s="30"/>
      <c r="E96" s="40" t="s">
        <v>57</v>
      </c>
      <c r="F96" s="30"/>
      <c r="G96" s="16" t="s">
        <v>24</v>
      </c>
      <c r="H96" s="30"/>
      <c r="I96" s="40" t="s">
        <v>65</v>
      </c>
      <c r="J96" s="4"/>
      <c r="K96" s="4" t="str">
        <f t="shared" si="11"/>
        <v/>
      </c>
      <c r="L96" s="17" t="str">
        <f t="shared" si="12"/>
        <v/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G96" s="4"/>
      <c r="AJ96" s="3"/>
      <c r="AK96" s="3"/>
      <c r="AL96" s="3"/>
      <c r="AM96" s="3"/>
      <c r="AN96" s="3"/>
    </row>
    <row r="97" ht="15.75" customHeight="1">
      <c r="A97" s="24"/>
      <c r="B97" s="49"/>
      <c r="C97" s="30"/>
      <c r="D97" s="30"/>
      <c r="E97" s="40" t="s">
        <v>61</v>
      </c>
      <c r="F97" s="30"/>
      <c r="G97" s="16" t="s">
        <v>24</v>
      </c>
      <c r="H97" s="30"/>
      <c r="I97" s="40" t="s">
        <v>55</v>
      </c>
      <c r="J97" s="4"/>
      <c r="K97" s="4" t="str">
        <f t="shared" si="11"/>
        <v/>
      </c>
      <c r="L97" s="17" t="str">
        <f t="shared" si="12"/>
        <v/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G97" s="4"/>
      <c r="AJ97" s="3"/>
      <c r="AK97" s="3"/>
      <c r="AL97" s="3"/>
      <c r="AM97" s="3"/>
      <c r="AN97" s="3"/>
    </row>
    <row r="98" ht="15.75" customHeight="1">
      <c r="A98" s="24"/>
      <c r="B98" s="49"/>
      <c r="C98" s="30"/>
      <c r="D98" s="30"/>
      <c r="E98" s="40" t="s">
        <v>62</v>
      </c>
      <c r="F98" s="30"/>
      <c r="G98" s="16" t="s">
        <v>24</v>
      </c>
      <c r="H98" s="30"/>
      <c r="I98" s="40" t="s">
        <v>54</v>
      </c>
      <c r="J98" s="4"/>
      <c r="K98" s="4" t="str">
        <f t="shared" si="11"/>
        <v/>
      </c>
      <c r="L98" s="17" t="str">
        <f t="shared" si="12"/>
        <v/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G98" s="4"/>
      <c r="AJ98" s="3"/>
      <c r="AK98" s="3"/>
      <c r="AL98" s="3"/>
      <c r="AM98" s="3"/>
      <c r="AN98" s="3"/>
    </row>
    <row r="99" ht="15.75" customHeight="1">
      <c r="A99" s="24"/>
      <c r="B99" s="49"/>
      <c r="C99" s="30"/>
      <c r="D99" s="30"/>
      <c r="E99" s="40" t="s">
        <v>64</v>
      </c>
      <c r="F99" s="30"/>
      <c r="G99" s="16" t="s">
        <v>24</v>
      </c>
      <c r="H99" s="30"/>
      <c r="I99" s="40" t="s">
        <v>56</v>
      </c>
      <c r="J99" s="4"/>
      <c r="K99" s="4" t="str">
        <f t="shared" si="11"/>
        <v/>
      </c>
      <c r="L99" s="17" t="str">
        <f t="shared" si="12"/>
        <v/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4"/>
      <c r="AH99" s="3"/>
      <c r="AI99" s="3"/>
      <c r="AJ99" s="3"/>
      <c r="AK99" s="3"/>
      <c r="AL99" s="3"/>
      <c r="AM99" s="3"/>
      <c r="AN99" s="3"/>
    </row>
    <row r="100" ht="15.75" customHeight="1">
      <c r="A100" s="24"/>
      <c r="B100" s="49"/>
      <c r="C100" s="30"/>
      <c r="D100" s="30"/>
      <c r="E100" s="40" t="s">
        <v>58</v>
      </c>
      <c r="F100" s="30"/>
      <c r="G100" s="16" t="s">
        <v>24</v>
      </c>
      <c r="H100" s="30"/>
      <c r="I100" s="40" t="s">
        <v>60</v>
      </c>
      <c r="J100" s="4"/>
      <c r="K100" s="4" t="str">
        <f t="shared" si="11"/>
        <v/>
      </c>
      <c r="L100" s="17" t="str">
        <f t="shared" si="12"/>
        <v/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4"/>
      <c r="AF100" s="4"/>
      <c r="AG100" s="4"/>
      <c r="AH100" s="3"/>
      <c r="AI100" s="3"/>
      <c r="AJ100" s="3"/>
      <c r="AK100" s="3"/>
      <c r="AL100" s="3"/>
      <c r="AM100" s="3"/>
      <c r="AN100" s="3"/>
    </row>
    <row r="101" ht="15.75" customHeight="1">
      <c r="A101" s="24"/>
      <c r="B101" s="49"/>
      <c r="C101" s="30"/>
      <c r="D101" s="30"/>
      <c r="E101" s="40" t="s">
        <v>63</v>
      </c>
      <c r="F101" s="30"/>
      <c r="G101" s="16" t="s">
        <v>24</v>
      </c>
      <c r="H101" s="30"/>
      <c r="I101" s="40" t="s">
        <v>59</v>
      </c>
      <c r="J101" s="4"/>
      <c r="K101" s="4" t="str">
        <f t="shared" si="11"/>
        <v/>
      </c>
      <c r="L101" s="17" t="str">
        <f t="shared" si="12"/>
        <v/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4"/>
      <c r="AF101" s="4"/>
      <c r="AG101" s="3"/>
      <c r="AH101" s="3"/>
      <c r="AI101" s="3"/>
      <c r="AJ101" s="3"/>
      <c r="AK101" s="3"/>
      <c r="AL101" s="3"/>
      <c r="AM101" s="3"/>
      <c r="AN101" s="3"/>
    </row>
    <row r="102" ht="15.75" customHeight="1">
      <c r="A102" s="10">
        <v>5.0</v>
      </c>
      <c r="B102" s="49"/>
      <c r="C102" s="30"/>
      <c r="D102" s="30"/>
      <c r="E102" s="40" t="s">
        <v>57</v>
      </c>
      <c r="F102" s="30"/>
      <c r="G102" s="16" t="s">
        <v>24</v>
      </c>
      <c r="H102" s="30"/>
      <c r="I102" s="40" t="s">
        <v>61</v>
      </c>
      <c r="J102" s="4"/>
      <c r="K102" s="4" t="str">
        <f t="shared" si="11"/>
        <v/>
      </c>
      <c r="L102" s="17" t="str">
        <f t="shared" si="12"/>
        <v/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4"/>
      <c r="AF102" s="4"/>
      <c r="AG102" s="3"/>
      <c r="AH102" s="3"/>
      <c r="AI102" s="3"/>
      <c r="AJ102" s="3"/>
      <c r="AK102" s="3"/>
      <c r="AL102" s="3"/>
      <c r="AM102" s="3"/>
      <c r="AN102" s="3"/>
    </row>
    <row r="103" ht="15.75" customHeight="1">
      <c r="A103" s="24"/>
      <c r="B103" s="49"/>
      <c r="C103" s="30"/>
      <c r="D103" s="30"/>
      <c r="E103" s="40" t="s">
        <v>55</v>
      </c>
      <c r="F103" s="30"/>
      <c r="G103" s="16" t="s">
        <v>24</v>
      </c>
      <c r="H103" s="30"/>
      <c r="I103" s="40" t="s">
        <v>62</v>
      </c>
      <c r="J103" s="4"/>
      <c r="K103" s="4" t="str">
        <f t="shared" si="11"/>
        <v/>
      </c>
      <c r="L103" s="17" t="str">
        <f t="shared" si="12"/>
        <v/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4"/>
      <c r="AF103" s="4"/>
      <c r="AG103" s="3"/>
      <c r="AH103" s="3"/>
      <c r="AI103" s="3"/>
      <c r="AJ103" s="3"/>
      <c r="AK103" s="3"/>
      <c r="AL103" s="3"/>
      <c r="AM103" s="3"/>
      <c r="AN103" s="3"/>
    </row>
    <row r="104" ht="15.75" customHeight="1">
      <c r="A104" s="24"/>
      <c r="B104" s="49"/>
      <c r="C104" s="30"/>
      <c r="D104" s="30"/>
      <c r="E104" s="40" t="s">
        <v>54</v>
      </c>
      <c r="F104" s="30"/>
      <c r="G104" s="16" t="s">
        <v>24</v>
      </c>
      <c r="H104" s="30"/>
      <c r="I104" s="40" t="s">
        <v>64</v>
      </c>
      <c r="J104" s="4"/>
      <c r="K104" s="4" t="str">
        <f t="shared" si="11"/>
        <v/>
      </c>
      <c r="L104" s="17" t="str">
        <f t="shared" si="12"/>
        <v/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4"/>
      <c r="AF104" s="4"/>
      <c r="AG104" s="3"/>
      <c r="AH104" s="3"/>
      <c r="AI104" s="3"/>
      <c r="AJ104" s="3"/>
      <c r="AK104" s="3"/>
      <c r="AL104" s="3"/>
      <c r="AM104" s="3"/>
      <c r="AN104" s="3"/>
    </row>
    <row r="105" ht="15.75" customHeight="1">
      <c r="A105" s="24"/>
      <c r="B105" s="49"/>
      <c r="C105" s="30"/>
      <c r="D105" s="30"/>
      <c r="E105" s="40" t="s">
        <v>56</v>
      </c>
      <c r="F105" s="30"/>
      <c r="G105" s="16" t="s">
        <v>24</v>
      </c>
      <c r="H105" s="30"/>
      <c r="I105" s="40" t="s">
        <v>58</v>
      </c>
      <c r="J105" s="4"/>
      <c r="K105" s="4" t="str">
        <f t="shared" si="11"/>
        <v/>
      </c>
      <c r="L105" s="17" t="str">
        <f t="shared" si="12"/>
        <v/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4"/>
      <c r="AF105" s="4"/>
      <c r="AG105" s="3"/>
      <c r="AH105" s="3"/>
      <c r="AI105" s="3"/>
      <c r="AJ105" s="3"/>
      <c r="AK105" s="3"/>
      <c r="AL105" s="3"/>
      <c r="AM105" s="3"/>
      <c r="AN105" s="3"/>
    </row>
    <row r="106" ht="15.75" customHeight="1">
      <c r="A106" s="24"/>
      <c r="B106" s="49"/>
      <c r="C106" s="30"/>
      <c r="D106" s="30"/>
      <c r="E106" s="40" t="s">
        <v>60</v>
      </c>
      <c r="F106" s="30"/>
      <c r="G106" s="16" t="s">
        <v>24</v>
      </c>
      <c r="H106" s="30"/>
      <c r="I106" s="40" t="s">
        <v>63</v>
      </c>
      <c r="J106" s="4"/>
      <c r="K106" s="4" t="str">
        <f t="shared" si="11"/>
        <v/>
      </c>
      <c r="L106" s="17" t="str">
        <f t="shared" si="12"/>
        <v/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4"/>
      <c r="AF106" s="4"/>
      <c r="AG106" s="3"/>
      <c r="AH106" s="3"/>
      <c r="AI106" s="3"/>
      <c r="AJ106" s="3"/>
      <c r="AK106" s="3"/>
      <c r="AL106" s="3"/>
      <c r="AM106" s="3"/>
      <c r="AN106" s="3"/>
    </row>
    <row r="107" ht="15.75" customHeight="1">
      <c r="A107" s="28"/>
      <c r="B107" s="49"/>
      <c r="C107" s="30"/>
      <c r="D107" s="30"/>
      <c r="E107" s="40" t="s">
        <v>65</v>
      </c>
      <c r="F107" s="30"/>
      <c r="G107" s="16" t="s">
        <v>24</v>
      </c>
      <c r="H107" s="30"/>
      <c r="I107" s="40" t="s">
        <v>59</v>
      </c>
      <c r="J107" s="4"/>
      <c r="K107" s="4" t="str">
        <f t="shared" si="11"/>
        <v/>
      </c>
      <c r="L107" s="17" t="str">
        <f t="shared" si="12"/>
        <v/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2"/>
      <c r="X107" s="2"/>
      <c r="Y107" s="2"/>
      <c r="Z107" s="2"/>
      <c r="AA107" s="2"/>
      <c r="AB107" s="2"/>
      <c r="AC107" s="2"/>
      <c r="AD107" s="2"/>
      <c r="AE107" s="4"/>
      <c r="AF107" s="4"/>
      <c r="AG107" s="3"/>
      <c r="AH107" s="3"/>
      <c r="AI107" s="3"/>
      <c r="AJ107" s="3"/>
      <c r="AK107" s="3"/>
      <c r="AL107" s="3"/>
      <c r="AM107" s="3"/>
      <c r="AN107" s="3"/>
    </row>
    <row r="108" ht="15.75" customHeight="1">
      <c r="A108" s="10">
        <v>6.0</v>
      </c>
      <c r="B108" s="49"/>
      <c r="C108" s="30"/>
      <c r="D108" s="30"/>
      <c r="E108" s="40" t="s">
        <v>61</v>
      </c>
      <c r="F108" s="30"/>
      <c r="G108" s="16" t="s">
        <v>24</v>
      </c>
      <c r="H108" s="30"/>
      <c r="I108" s="40" t="s">
        <v>65</v>
      </c>
      <c r="J108" s="4"/>
      <c r="K108" s="4" t="str">
        <f t="shared" si="11"/>
        <v/>
      </c>
      <c r="L108" s="17" t="str">
        <f t="shared" si="12"/>
        <v/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2"/>
      <c r="X108" s="2"/>
      <c r="Y108" s="2"/>
      <c r="Z108" s="2"/>
      <c r="AA108" s="2"/>
      <c r="AB108" s="2"/>
      <c r="AC108" s="2"/>
      <c r="AD108" s="2"/>
      <c r="AE108" s="4"/>
      <c r="AF108" s="4"/>
      <c r="AG108" s="3"/>
      <c r="AH108" s="3"/>
      <c r="AI108" s="3"/>
      <c r="AJ108" s="3"/>
      <c r="AK108" s="3"/>
      <c r="AL108" s="3"/>
      <c r="AM108" s="3"/>
      <c r="AN108" s="3"/>
    </row>
    <row r="109" ht="15.75" customHeight="1">
      <c r="A109" s="24"/>
      <c r="B109" s="49"/>
      <c r="C109" s="30"/>
      <c r="D109" s="30"/>
      <c r="E109" s="40" t="s">
        <v>62</v>
      </c>
      <c r="F109" s="30"/>
      <c r="G109" s="16" t="s">
        <v>24</v>
      </c>
      <c r="H109" s="30"/>
      <c r="I109" s="40" t="s">
        <v>57</v>
      </c>
      <c r="J109" s="4"/>
      <c r="K109" s="4" t="str">
        <f t="shared" si="11"/>
        <v/>
      </c>
      <c r="L109" s="17" t="str">
        <f t="shared" si="12"/>
        <v/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2"/>
      <c r="X109" s="2"/>
      <c r="Y109" s="2"/>
      <c r="Z109" s="2"/>
      <c r="AA109" s="2"/>
      <c r="AB109" s="2"/>
      <c r="AC109" s="2"/>
      <c r="AD109" s="2"/>
      <c r="AE109" s="4"/>
      <c r="AF109" s="4"/>
      <c r="AG109" s="3"/>
      <c r="AH109" s="3"/>
      <c r="AI109" s="3"/>
      <c r="AJ109" s="3"/>
      <c r="AK109" s="3"/>
      <c r="AL109" s="3"/>
      <c r="AM109" s="3"/>
      <c r="AN109" s="3"/>
    </row>
    <row r="110" ht="15.75" customHeight="1">
      <c r="A110" s="24"/>
      <c r="B110" s="49"/>
      <c r="C110" s="30"/>
      <c r="D110" s="30"/>
      <c r="E110" s="40" t="s">
        <v>64</v>
      </c>
      <c r="F110" s="30"/>
      <c r="G110" s="16" t="s">
        <v>24</v>
      </c>
      <c r="H110" s="30"/>
      <c r="I110" s="40" t="s">
        <v>55</v>
      </c>
      <c r="J110" s="4"/>
      <c r="K110" s="4" t="str">
        <f t="shared" si="11"/>
        <v/>
      </c>
      <c r="L110" s="17" t="str">
        <f t="shared" si="12"/>
        <v/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2"/>
      <c r="X110" s="2"/>
      <c r="Y110" s="2"/>
      <c r="Z110" s="2"/>
      <c r="AA110" s="2"/>
      <c r="AB110" s="2"/>
      <c r="AC110" s="2"/>
      <c r="AD110" s="2"/>
      <c r="AE110" s="4"/>
      <c r="AF110" s="4"/>
      <c r="AG110" s="3"/>
      <c r="AH110" s="3"/>
      <c r="AI110" s="3"/>
      <c r="AJ110" s="3"/>
      <c r="AK110" s="3"/>
      <c r="AL110" s="3"/>
      <c r="AM110" s="3"/>
      <c r="AN110" s="3"/>
    </row>
    <row r="111" ht="15.75" customHeight="1">
      <c r="A111" s="24"/>
      <c r="B111" s="49"/>
      <c r="C111" s="30"/>
      <c r="D111" s="30"/>
      <c r="E111" s="40" t="s">
        <v>58</v>
      </c>
      <c r="F111" s="30"/>
      <c r="G111" s="16" t="s">
        <v>24</v>
      </c>
      <c r="H111" s="30"/>
      <c r="I111" s="40" t="s">
        <v>54</v>
      </c>
      <c r="J111" s="4"/>
      <c r="K111" s="4" t="str">
        <f t="shared" si="11"/>
        <v/>
      </c>
      <c r="L111" s="17" t="str">
        <f t="shared" si="12"/>
        <v/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2"/>
      <c r="X111" s="2"/>
      <c r="Y111" s="2"/>
      <c r="Z111" s="2"/>
      <c r="AA111" s="2"/>
      <c r="AB111" s="2"/>
      <c r="AC111" s="2"/>
      <c r="AD111" s="2"/>
      <c r="AE111" s="4"/>
      <c r="AF111" s="4"/>
      <c r="AG111" s="3"/>
      <c r="AH111" s="3"/>
      <c r="AI111" s="3"/>
      <c r="AJ111" s="3"/>
      <c r="AK111" s="3"/>
      <c r="AL111" s="3"/>
      <c r="AM111" s="3"/>
      <c r="AN111" s="3"/>
    </row>
    <row r="112" ht="15.75" customHeight="1">
      <c r="A112" s="24"/>
      <c r="B112" s="49"/>
      <c r="C112" s="30"/>
      <c r="D112" s="30"/>
      <c r="E112" s="40" t="s">
        <v>63</v>
      </c>
      <c r="F112" s="30"/>
      <c r="G112" s="16" t="s">
        <v>24</v>
      </c>
      <c r="H112" s="30"/>
      <c r="I112" s="40" t="s">
        <v>56</v>
      </c>
      <c r="J112" s="4"/>
      <c r="K112" s="4" t="str">
        <f t="shared" si="11"/>
        <v/>
      </c>
      <c r="L112" s="17" t="str">
        <f t="shared" si="12"/>
        <v/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2"/>
      <c r="X112" s="2"/>
      <c r="Y112" s="2"/>
      <c r="Z112" s="2"/>
      <c r="AA112" s="2"/>
      <c r="AB112" s="2"/>
      <c r="AC112" s="2"/>
      <c r="AD112" s="2"/>
      <c r="AE112" s="4"/>
      <c r="AF112" s="4"/>
      <c r="AG112" s="3"/>
      <c r="AH112" s="3"/>
      <c r="AI112" s="3"/>
      <c r="AJ112" s="3"/>
      <c r="AK112" s="3"/>
      <c r="AL112" s="3"/>
      <c r="AM112" s="3"/>
      <c r="AN112" s="3"/>
    </row>
    <row r="113" ht="15.75" customHeight="1">
      <c r="A113" s="28"/>
      <c r="B113" s="49"/>
      <c r="C113" s="30"/>
      <c r="D113" s="30"/>
      <c r="E113" s="40" t="s">
        <v>59</v>
      </c>
      <c r="F113" s="30"/>
      <c r="G113" s="16" t="s">
        <v>24</v>
      </c>
      <c r="H113" s="30"/>
      <c r="I113" s="40" t="s">
        <v>60</v>
      </c>
      <c r="J113" s="4"/>
      <c r="K113" s="4" t="str">
        <f t="shared" si="11"/>
        <v/>
      </c>
      <c r="L113" s="17" t="str">
        <f t="shared" si="12"/>
        <v/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2"/>
      <c r="X113" s="2"/>
      <c r="Y113" s="2"/>
      <c r="Z113" s="2"/>
      <c r="AA113" s="2"/>
      <c r="AB113" s="2"/>
      <c r="AC113" s="2"/>
      <c r="AD113" s="2"/>
      <c r="AE113" s="4"/>
      <c r="AF113" s="4"/>
      <c r="AG113" s="3"/>
      <c r="AH113" s="3"/>
      <c r="AI113" s="3"/>
      <c r="AJ113" s="3"/>
      <c r="AK113" s="3"/>
      <c r="AL113" s="3"/>
      <c r="AM113" s="3"/>
      <c r="AN113" s="3"/>
    </row>
    <row r="114" ht="15.75" customHeight="1">
      <c r="A114" s="10">
        <v>7.0</v>
      </c>
      <c r="B114" s="49"/>
      <c r="C114" s="30"/>
      <c r="D114" s="30"/>
      <c r="E114" s="40" t="s">
        <v>61</v>
      </c>
      <c r="F114" s="30"/>
      <c r="G114" s="16" t="s">
        <v>24</v>
      </c>
      <c r="H114" s="30"/>
      <c r="I114" s="40" t="s">
        <v>62</v>
      </c>
      <c r="J114" s="4"/>
      <c r="K114" s="4" t="str">
        <f t="shared" si="11"/>
        <v/>
      </c>
      <c r="L114" s="17" t="str">
        <f t="shared" si="12"/>
        <v/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2"/>
      <c r="X114" s="2"/>
      <c r="Y114" s="2"/>
      <c r="Z114" s="2"/>
      <c r="AA114" s="2"/>
      <c r="AB114" s="2"/>
      <c r="AC114" s="2"/>
      <c r="AD114" s="2"/>
      <c r="AE114" s="4"/>
      <c r="AF114" s="4"/>
      <c r="AG114" s="3"/>
      <c r="AH114" s="3"/>
      <c r="AI114" s="3"/>
      <c r="AJ114" s="3"/>
      <c r="AK114" s="3"/>
      <c r="AL114" s="3"/>
      <c r="AM114" s="3"/>
      <c r="AN114" s="3"/>
    </row>
    <row r="115" ht="15.75" customHeight="1">
      <c r="A115" s="24"/>
      <c r="B115" s="49"/>
      <c r="C115" s="30"/>
      <c r="D115" s="30"/>
      <c r="E115" s="40" t="s">
        <v>57</v>
      </c>
      <c r="F115" s="30"/>
      <c r="G115" s="16" t="s">
        <v>24</v>
      </c>
      <c r="H115" s="30"/>
      <c r="I115" s="40" t="s">
        <v>64</v>
      </c>
      <c r="J115" s="4"/>
      <c r="K115" s="4" t="str">
        <f t="shared" si="11"/>
        <v/>
      </c>
      <c r="L115" s="17" t="str">
        <f t="shared" si="12"/>
        <v/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2"/>
      <c r="X115" s="2"/>
      <c r="Y115" s="2"/>
      <c r="Z115" s="2"/>
      <c r="AA115" s="2"/>
      <c r="AB115" s="2"/>
      <c r="AC115" s="2"/>
      <c r="AD115" s="2"/>
      <c r="AE115" s="4"/>
      <c r="AF115" s="4"/>
      <c r="AG115" s="3"/>
      <c r="AH115" s="3"/>
      <c r="AI115" s="3"/>
      <c r="AJ115" s="3"/>
      <c r="AK115" s="3"/>
      <c r="AL115" s="3"/>
      <c r="AM115" s="3"/>
      <c r="AN115" s="3"/>
    </row>
    <row r="116" ht="15.75" customHeight="1">
      <c r="A116" s="24"/>
      <c r="B116" s="49"/>
      <c r="C116" s="30"/>
      <c r="D116" s="16"/>
      <c r="E116" s="14" t="s">
        <v>55</v>
      </c>
      <c r="F116" s="30"/>
      <c r="G116" s="16" t="s">
        <v>24</v>
      </c>
      <c r="H116" s="30"/>
      <c r="I116" s="40" t="s">
        <v>58</v>
      </c>
      <c r="J116" s="4"/>
      <c r="K116" s="4" t="str">
        <f t="shared" si="11"/>
        <v/>
      </c>
      <c r="L116" s="17" t="str">
        <f t="shared" si="12"/>
        <v/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2"/>
      <c r="X116" s="2"/>
      <c r="Y116" s="2"/>
      <c r="Z116" s="2"/>
      <c r="AA116" s="2"/>
      <c r="AB116" s="2"/>
      <c r="AC116" s="2"/>
      <c r="AD116" s="2"/>
      <c r="AE116" s="4"/>
      <c r="AF116" s="4"/>
      <c r="AG116" s="3"/>
      <c r="AH116" s="3"/>
      <c r="AI116" s="3"/>
      <c r="AJ116" s="3"/>
      <c r="AK116" s="3"/>
      <c r="AL116" s="3"/>
      <c r="AM116" s="3"/>
      <c r="AN116" s="3"/>
    </row>
    <row r="117" ht="15.75" customHeight="1">
      <c r="A117" s="24"/>
      <c r="B117" s="49"/>
      <c r="C117" s="30"/>
      <c r="D117" s="30"/>
      <c r="E117" s="40" t="s">
        <v>54</v>
      </c>
      <c r="F117" s="30"/>
      <c r="G117" s="16" t="s">
        <v>24</v>
      </c>
      <c r="H117" s="30"/>
      <c r="I117" s="40" t="s">
        <v>63</v>
      </c>
      <c r="J117" s="4"/>
      <c r="K117" s="4" t="str">
        <f t="shared" si="11"/>
        <v/>
      </c>
      <c r="L117" s="17" t="str">
        <f t="shared" si="12"/>
        <v/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2"/>
      <c r="X117" s="2"/>
      <c r="Y117" s="2"/>
      <c r="Z117" s="2"/>
      <c r="AA117" s="2"/>
      <c r="AB117" s="2"/>
      <c r="AC117" s="2"/>
      <c r="AD117" s="2"/>
      <c r="AE117" s="4"/>
      <c r="AF117" s="4"/>
      <c r="AG117" s="3"/>
      <c r="AH117" s="3"/>
      <c r="AI117" s="3"/>
      <c r="AJ117" s="3"/>
      <c r="AK117" s="3"/>
      <c r="AL117" s="3"/>
      <c r="AM117" s="3"/>
      <c r="AN117" s="3"/>
    </row>
    <row r="118" ht="15.75" customHeight="1">
      <c r="A118" s="24"/>
      <c r="B118" s="49"/>
      <c r="C118" s="30"/>
      <c r="D118" s="30"/>
      <c r="E118" s="40" t="s">
        <v>56</v>
      </c>
      <c r="F118" s="30"/>
      <c r="G118" s="16" t="s">
        <v>24</v>
      </c>
      <c r="H118" s="30"/>
      <c r="I118" s="40" t="s">
        <v>59</v>
      </c>
      <c r="J118" s="4"/>
      <c r="K118" s="4" t="str">
        <f t="shared" si="11"/>
        <v/>
      </c>
      <c r="L118" s="17" t="str">
        <f t="shared" si="12"/>
        <v/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2"/>
      <c r="X118" s="2"/>
      <c r="Y118" s="2"/>
      <c r="Z118" s="2"/>
      <c r="AA118" s="2"/>
      <c r="AB118" s="2"/>
      <c r="AC118" s="2"/>
      <c r="AD118" s="2"/>
      <c r="AE118" s="4"/>
      <c r="AF118" s="4"/>
      <c r="AG118" s="3"/>
      <c r="AH118" s="3"/>
      <c r="AI118" s="3"/>
      <c r="AJ118" s="3"/>
      <c r="AK118" s="3"/>
      <c r="AL118" s="3"/>
      <c r="AM118" s="3"/>
      <c r="AN118" s="3"/>
    </row>
    <row r="119" ht="15.75" customHeight="1">
      <c r="A119" s="28"/>
      <c r="B119" s="50"/>
      <c r="C119" s="16"/>
      <c r="D119" s="16"/>
      <c r="E119" s="40" t="s">
        <v>65</v>
      </c>
      <c r="F119" s="30"/>
      <c r="G119" s="30" t="s">
        <v>24</v>
      </c>
      <c r="H119" s="30"/>
      <c r="I119" s="40" t="s">
        <v>60</v>
      </c>
      <c r="J119" s="4"/>
      <c r="K119" s="4" t="str">
        <f t="shared" si="11"/>
        <v/>
      </c>
      <c r="L119" s="17" t="str">
        <f t="shared" si="12"/>
        <v/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2"/>
      <c r="X119" s="2"/>
      <c r="Y119" s="2"/>
      <c r="Z119" s="2"/>
      <c r="AA119" s="2"/>
      <c r="AB119" s="2"/>
      <c r="AC119" s="2"/>
      <c r="AD119" s="2"/>
      <c r="AE119" s="4"/>
      <c r="AF119" s="4"/>
      <c r="AG119" s="3"/>
      <c r="AH119" s="3"/>
      <c r="AI119" s="3"/>
      <c r="AJ119" s="3"/>
      <c r="AK119" s="3"/>
      <c r="AL119" s="3"/>
      <c r="AM119" s="3"/>
      <c r="AN119" s="3"/>
    </row>
    <row r="120" ht="15.75" customHeight="1">
      <c r="A120" s="10">
        <v>8.0</v>
      </c>
      <c r="B120" s="49"/>
      <c r="C120" s="30"/>
      <c r="D120" s="30"/>
      <c r="E120" s="40" t="s">
        <v>62</v>
      </c>
      <c r="F120" s="30"/>
      <c r="G120" s="30" t="s">
        <v>24</v>
      </c>
      <c r="H120" s="30"/>
      <c r="I120" s="40" t="s">
        <v>65</v>
      </c>
      <c r="J120" s="4"/>
      <c r="K120" s="4" t="str">
        <f t="shared" si="11"/>
        <v/>
      </c>
      <c r="L120" s="17" t="str">
        <f t="shared" si="12"/>
        <v/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2"/>
      <c r="X120" s="2"/>
      <c r="Y120" s="2"/>
      <c r="Z120" s="2"/>
      <c r="AA120" s="2"/>
      <c r="AB120" s="2"/>
      <c r="AC120" s="2"/>
      <c r="AD120" s="2"/>
      <c r="AE120" s="4"/>
      <c r="AF120" s="4"/>
      <c r="AG120" s="3"/>
      <c r="AH120" s="3"/>
      <c r="AI120" s="3"/>
      <c r="AJ120" s="3"/>
      <c r="AK120" s="3"/>
      <c r="AL120" s="3"/>
      <c r="AM120" s="3"/>
      <c r="AN120" s="3"/>
    </row>
    <row r="121" ht="15.75" customHeight="1">
      <c r="A121" s="24"/>
      <c r="B121" s="49"/>
      <c r="C121" s="30"/>
      <c r="D121" s="30"/>
      <c r="E121" s="40" t="s">
        <v>64</v>
      </c>
      <c r="F121" s="30"/>
      <c r="G121" s="16" t="s">
        <v>24</v>
      </c>
      <c r="H121" s="30"/>
      <c r="I121" s="40" t="s">
        <v>61</v>
      </c>
      <c r="J121" s="4"/>
      <c r="K121" s="4" t="str">
        <f t="shared" si="11"/>
        <v/>
      </c>
      <c r="L121" s="17" t="str">
        <f t="shared" si="12"/>
        <v/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2"/>
      <c r="X121" s="2"/>
      <c r="Y121" s="2"/>
      <c r="Z121" s="2"/>
      <c r="AA121" s="2"/>
      <c r="AB121" s="2"/>
      <c r="AC121" s="2"/>
      <c r="AD121" s="2"/>
      <c r="AE121" s="4"/>
      <c r="AF121" s="4"/>
      <c r="AG121" s="3"/>
      <c r="AH121" s="3"/>
      <c r="AI121" s="3"/>
      <c r="AJ121" s="3"/>
      <c r="AK121" s="3"/>
      <c r="AL121" s="3"/>
      <c r="AM121" s="3"/>
      <c r="AN121" s="3"/>
    </row>
    <row r="122" ht="15.75" customHeight="1">
      <c r="A122" s="24"/>
      <c r="B122" s="49"/>
      <c r="C122" s="30"/>
      <c r="D122" s="30"/>
      <c r="E122" s="40" t="s">
        <v>58</v>
      </c>
      <c r="F122" s="30"/>
      <c r="G122" s="16" t="s">
        <v>24</v>
      </c>
      <c r="H122" s="30"/>
      <c r="I122" s="40" t="s">
        <v>57</v>
      </c>
      <c r="J122" s="4"/>
      <c r="K122" s="4" t="str">
        <f t="shared" si="11"/>
        <v/>
      </c>
      <c r="L122" s="17" t="str">
        <f t="shared" si="12"/>
        <v/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2"/>
      <c r="X122" s="2"/>
      <c r="Y122" s="2"/>
      <c r="Z122" s="2"/>
      <c r="AA122" s="2"/>
      <c r="AB122" s="2"/>
      <c r="AC122" s="2"/>
      <c r="AD122" s="2"/>
      <c r="AE122" s="4"/>
      <c r="AF122" s="4"/>
      <c r="AG122" s="3"/>
      <c r="AH122" s="3"/>
      <c r="AI122" s="3"/>
      <c r="AJ122" s="3"/>
      <c r="AK122" s="3"/>
      <c r="AL122" s="3"/>
      <c r="AM122" s="3"/>
      <c r="AN122" s="3"/>
    </row>
    <row r="123" ht="15.75" customHeight="1">
      <c r="A123" s="24"/>
      <c r="B123" s="49"/>
      <c r="C123" s="16"/>
      <c r="D123" s="30"/>
      <c r="E123" s="40" t="s">
        <v>63</v>
      </c>
      <c r="F123" s="30"/>
      <c r="G123" s="16" t="s">
        <v>24</v>
      </c>
      <c r="H123" s="30"/>
      <c r="I123" s="40" t="s">
        <v>55</v>
      </c>
      <c r="J123" s="2"/>
      <c r="K123" s="4" t="str">
        <f t="shared" si="11"/>
        <v/>
      </c>
      <c r="L123" s="17" t="str">
        <f t="shared" si="12"/>
        <v/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ht="15.75" customHeight="1">
      <c r="A124" s="24"/>
      <c r="B124" s="49"/>
      <c r="C124" s="30"/>
      <c r="D124" s="30"/>
      <c r="E124" s="40" t="s">
        <v>59</v>
      </c>
      <c r="F124" s="30"/>
      <c r="G124" s="16" t="s">
        <v>24</v>
      </c>
      <c r="H124" s="30"/>
      <c r="I124" s="40" t="s">
        <v>54</v>
      </c>
      <c r="J124" s="2"/>
      <c r="K124" s="4" t="str">
        <f t="shared" si="11"/>
        <v/>
      </c>
      <c r="L124" s="17" t="str">
        <f t="shared" si="12"/>
        <v/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ht="15.75" customHeight="1">
      <c r="A125" s="28"/>
      <c r="B125" s="49"/>
      <c r="C125" s="30"/>
      <c r="D125" s="30"/>
      <c r="E125" s="40" t="s">
        <v>60</v>
      </c>
      <c r="F125" s="30"/>
      <c r="G125" s="16" t="s">
        <v>24</v>
      </c>
      <c r="H125" s="30"/>
      <c r="I125" s="40" t="s">
        <v>56</v>
      </c>
      <c r="J125" s="2"/>
      <c r="K125" s="4" t="str">
        <f t="shared" si="11"/>
        <v/>
      </c>
      <c r="L125" s="17" t="str">
        <f t="shared" si="12"/>
        <v/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ht="15.75" customHeight="1">
      <c r="A126" s="10">
        <v>9.0</v>
      </c>
      <c r="B126" s="49"/>
      <c r="C126" s="30"/>
      <c r="D126" s="30"/>
      <c r="E126" s="40" t="s">
        <v>62</v>
      </c>
      <c r="F126" s="30"/>
      <c r="G126" s="30" t="s">
        <v>24</v>
      </c>
      <c r="H126" s="30"/>
      <c r="I126" s="40" t="s">
        <v>64</v>
      </c>
      <c r="J126" s="2"/>
      <c r="K126" s="4" t="str">
        <f t="shared" si="11"/>
        <v/>
      </c>
      <c r="L126" s="17" t="str">
        <f t="shared" si="12"/>
        <v/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ht="15.75" customHeight="1">
      <c r="A127" s="24"/>
      <c r="B127" s="49"/>
      <c r="C127" s="30"/>
      <c r="D127" s="30"/>
      <c r="E127" s="40" t="s">
        <v>61</v>
      </c>
      <c r="F127" s="30"/>
      <c r="G127" s="16" t="s">
        <v>24</v>
      </c>
      <c r="H127" s="30"/>
      <c r="I127" s="40" t="s">
        <v>58</v>
      </c>
      <c r="J127" s="2"/>
      <c r="K127" s="4" t="str">
        <f t="shared" si="11"/>
        <v/>
      </c>
      <c r="L127" s="17" t="str">
        <f t="shared" si="12"/>
        <v/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ht="15.75" customHeight="1">
      <c r="A128" s="24"/>
      <c r="B128" s="49"/>
      <c r="C128" s="30"/>
      <c r="D128" s="30"/>
      <c r="E128" s="40" t="s">
        <v>57</v>
      </c>
      <c r="F128" s="30"/>
      <c r="G128" s="16" t="s">
        <v>24</v>
      </c>
      <c r="H128" s="30"/>
      <c r="I128" s="40" t="s">
        <v>63</v>
      </c>
      <c r="J128" s="2"/>
      <c r="K128" s="4" t="str">
        <f t="shared" si="11"/>
        <v/>
      </c>
      <c r="L128" s="17" t="str">
        <f t="shared" si="12"/>
        <v/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ht="15.75" customHeight="1">
      <c r="A129" s="24"/>
      <c r="B129" s="49"/>
      <c r="C129" s="30"/>
      <c r="D129" s="30"/>
      <c r="E129" s="40" t="s">
        <v>55</v>
      </c>
      <c r="F129" s="30"/>
      <c r="G129" s="16" t="s">
        <v>24</v>
      </c>
      <c r="H129" s="30"/>
      <c r="I129" s="40" t="s">
        <v>59</v>
      </c>
      <c r="J129" s="2"/>
      <c r="K129" s="4" t="str">
        <f t="shared" si="11"/>
        <v/>
      </c>
      <c r="L129" s="17" t="str">
        <f t="shared" si="12"/>
        <v/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ht="15.75" customHeight="1">
      <c r="A130" s="24"/>
      <c r="B130" s="49"/>
      <c r="C130" s="30"/>
      <c r="D130" s="30"/>
      <c r="E130" s="40" t="s">
        <v>54</v>
      </c>
      <c r="F130" s="30"/>
      <c r="G130" s="16" t="s">
        <v>24</v>
      </c>
      <c r="H130" s="30"/>
      <c r="I130" s="40" t="s">
        <v>60</v>
      </c>
      <c r="J130" s="2"/>
      <c r="K130" s="4" t="str">
        <f t="shared" si="11"/>
        <v/>
      </c>
      <c r="L130" s="17" t="str">
        <f t="shared" si="12"/>
        <v/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ht="15.75" customHeight="1">
      <c r="A131" s="28"/>
      <c r="B131" s="49"/>
      <c r="C131" s="30"/>
      <c r="D131" s="30"/>
      <c r="E131" s="40" t="s">
        <v>65</v>
      </c>
      <c r="F131" s="30"/>
      <c r="G131" s="16" t="s">
        <v>24</v>
      </c>
      <c r="H131" s="30"/>
      <c r="I131" s="40" t="s">
        <v>56</v>
      </c>
      <c r="J131" s="2"/>
      <c r="K131" s="4" t="str">
        <f t="shared" si="11"/>
        <v/>
      </c>
      <c r="L131" s="17" t="str">
        <f t="shared" si="12"/>
        <v/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ht="15.75" customHeight="1">
      <c r="A132" s="10">
        <v>10.0</v>
      </c>
      <c r="B132" s="49"/>
      <c r="C132" s="30"/>
      <c r="D132" s="30"/>
      <c r="E132" s="40" t="s">
        <v>65</v>
      </c>
      <c r="F132" s="30"/>
      <c r="G132" s="30" t="s">
        <v>24</v>
      </c>
      <c r="H132" s="30"/>
      <c r="I132" s="40" t="s">
        <v>64</v>
      </c>
      <c r="J132" s="2"/>
      <c r="K132" s="4" t="str">
        <f t="shared" si="11"/>
        <v/>
      </c>
      <c r="L132" s="17" t="str">
        <f t="shared" si="12"/>
        <v/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ht="15.75" customHeight="1">
      <c r="A133" s="24"/>
      <c r="B133" s="49"/>
      <c r="C133" s="30"/>
      <c r="D133" s="30"/>
      <c r="E133" s="40" t="s">
        <v>58</v>
      </c>
      <c r="F133" s="30"/>
      <c r="G133" s="16" t="s">
        <v>24</v>
      </c>
      <c r="H133" s="30"/>
      <c r="I133" s="40" t="s">
        <v>62</v>
      </c>
      <c r="J133" s="2"/>
      <c r="K133" s="4" t="str">
        <f t="shared" si="11"/>
        <v/>
      </c>
      <c r="L133" s="17" t="str">
        <f t="shared" si="12"/>
        <v/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ht="15.75" customHeight="1">
      <c r="A134" s="24"/>
      <c r="B134" s="49"/>
      <c r="C134" s="30"/>
      <c r="D134" s="30"/>
      <c r="E134" s="40" t="s">
        <v>63</v>
      </c>
      <c r="F134" s="30"/>
      <c r="G134" s="16" t="s">
        <v>24</v>
      </c>
      <c r="H134" s="30"/>
      <c r="I134" s="40" t="s">
        <v>61</v>
      </c>
      <c r="J134" s="2"/>
      <c r="K134" s="4" t="str">
        <f t="shared" si="11"/>
        <v/>
      </c>
      <c r="L134" s="17" t="str">
        <f t="shared" si="12"/>
        <v/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ht="15.75" customHeight="1">
      <c r="A135" s="24"/>
      <c r="B135" s="49"/>
      <c r="C135" s="30"/>
      <c r="D135" s="30"/>
      <c r="E135" s="40" t="s">
        <v>59</v>
      </c>
      <c r="F135" s="30"/>
      <c r="G135" s="16" t="s">
        <v>24</v>
      </c>
      <c r="H135" s="30"/>
      <c r="I135" s="40" t="s">
        <v>57</v>
      </c>
      <c r="J135" s="2"/>
      <c r="K135" s="4" t="str">
        <f t="shared" si="11"/>
        <v/>
      </c>
      <c r="L135" s="17" t="str">
        <f t="shared" si="12"/>
        <v/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ht="15.75" customHeight="1">
      <c r="A136" s="24"/>
      <c r="B136" s="49"/>
      <c r="C136" s="30"/>
      <c r="D136" s="30"/>
      <c r="E136" s="40" t="s">
        <v>60</v>
      </c>
      <c r="F136" s="30"/>
      <c r="G136" s="16" t="s">
        <v>24</v>
      </c>
      <c r="H136" s="30"/>
      <c r="I136" s="40" t="s">
        <v>55</v>
      </c>
      <c r="J136" s="2"/>
      <c r="K136" s="4" t="str">
        <f t="shared" si="11"/>
        <v/>
      </c>
      <c r="L136" s="17" t="str">
        <f t="shared" si="12"/>
        <v/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ht="15.75" customHeight="1">
      <c r="A137" s="28"/>
      <c r="B137" s="49"/>
      <c r="C137" s="30"/>
      <c r="D137" s="30"/>
      <c r="E137" s="40" t="s">
        <v>56</v>
      </c>
      <c r="F137" s="30"/>
      <c r="G137" s="16" t="s">
        <v>24</v>
      </c>
      <c r="H137" s="30"/>
      <c r="I137" s="40" t="s">
        <v>54</v>
      </c>
      <c r="J137" s="2"/>
      <c r="K137" s="4" t="str">
        <f t="shared" si="11"/>
        <v/>
      </c>
      <c r="L137" s="17" t="str">
        <f t="shared" si="12"/>
        <v/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ht="15.75" customHeight="1">
      <c r="A138" s="10">
        <v>11.0</v>
      </c>
      <c r="B138" s="49"/>
      <c r="C138" s="30"/>
      <c r="D138" s="30"/>
      <c r="E138" s="40" t="s">
        <v>64</v>
      </c>
      <c r="F138" s="30"/>
      <c r="G138" s="30" t="s">
        <v>24</v>
      </c>
      <c r="H138" s="30"/>
      <c r="I138" s="40" t="s">
        <v>58</v>
      </c>
      <c r="J138" s="2"/>
      <c r="K138" s="4" t="str">
        <f t="shared" si="11"/>
        <v/>
      </c>
      <c r="L138" s="17" t="str">
        <f t="shared" si="12"/>
        <v/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ht="15.75" customHeight="1">
      <c r="A139" s="24"/>
      <c r="B139" s="49"/>
      <c r="C139" s="30"/>
      <c r="D139" s="30"/>
      <c r="E139" s="40" t="s">
        <v>62</v>
      </c>
      <c r="F139" s="30"/>
      <c r="G139" s="16" t="s">
        <v>24</v>
      </c>
      <c r="H139" s="30"/>
      <c r="I139" s="40" t="s">
        <v>63</v>
      </c>
      <c r="J139" s="2"/>
      <c r="K139" s="4" t="str">
        <f t="shared" si="11"/>
        <v/>
      </c>
      <c r="L139" s="17" t="str">
        <f t="shared" si="12"/>
        <v/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ht="15.75" customHeight="1">
      <c r="A140" s="24"/>
      <c r="B140" s="49"/>
      <c r="C140" s="30"/>
      <c r="D140" s="30"/>
      <c r="E140" s="40" t="s">
        <v>61</v>
      </c>
      <c r="F140" s="30"/>
      <c r="G140" s="16" t="s">
        <v>24</v>
      </c>
      <c r="H140" s="30"/>
      <c r="I140" s="40" t="s">
        <v>59</v>
      </c>
      <c r="J140" s="2"/>
      <c r="K140" s="4" t="str">
        <f t="shared" si="11"/>
        <v/>
      </c>
      <c r="L140" s="17" t="str">
        <f t="shared" si="12"/>
        <v/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ht="15.75" customHeight="1">
      <c r="A141" s="24"/>
      <c r="B141" s="49"/>
      <c r="C141" s="30"/>
      <c r="D141" s="30"/>
      <c r="E141" s="40" t="s">
        <v>57</v>
      </c>
      <c r="F141" s="30"/>
      <c r="G141" s="16" t="s">
        <v>24</v>
      </c>
      <c r="H141" s="30"/>
      <c r="I141" s="14" t="s">
        <v>60</v>
      </c>
      <c r="J141" s="2"/>
      <c r="K141" s="4" t="str">
        <f t="shared" si="11"/>
        <v/>
      </c>
      <c r="L141" s="17" t="str">
        <f t="shared" si="12"/>
        <v/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ht="15.75" customHeight="1">
      <c r="A142" s="24"/>
      <c r="B142" s="49"/>
      <c r="C142" s="30"/>
      <c r="D142" s="30"/>
      <c r="E142" s="40" t="s">
        <v>55</v>
      </c>
      <c r="F142" s="30"/>
      <c r="G142" s="16" t="s">
        <v>24</v>
      </c>
      <c r="H142" s="30"/>
      <c r="I142" s="14" t="s">
        <v>56</v>
      </c>
      <c r="J142" s="2"/>
      <c r="K142" s="4" t="str">
        <f t="shared" si="11"/>
        <v/>
      </c>
      <c r="L142" s="17" t="str">
        <f t="shared" si="12"/>
        <v/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ht="15.75" customHeight="1">
      <c r="A143" s="28"/>
      <c r="B143" s="49"/>
      <c r="C143" s="30"/>
      <c r="D143" s="30"/>
      <c r="E143" s="40" t="s">
        <v>54</v>
      </c>
      <c r="F143" s="30"/>
      <c r="G143" s="16" t="s">
        <v>24</v>
      </c>
      <c r="H143" s="30"/>
      <c r="I143" s="40" t="s">
        <v>65</v>
      </c>
      <c r="J143" s="2"/>
      <c r="K143" s="4" t="str">
        <f t="shared" si="11"/>
        <v/>
      </c>
      <c r="L143" s="17" t="str">
        <f t="shared" si="12"/>
        <v/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ht="15.75" customHeight="1">
      <c r="A144" s="2"/>
      <c r="B144" s="2"/>
      <c r="C144" s="2"/>
      <c r="D144" s="2"/>
      <c r="E144" s="3"/>
      <c r="F144" s="2"/>
      <c r="G144" s="2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ht="15.75" customHeight="1">
      <c r="A145" s="2"/>
      <c r="B145" s="2"/>
      <c r="C145" s="2"/>
      <c r="D145" s="2"/>
      <c r="E145" s="3"/>
      <c r="F145" s="2"/>
      <c r="G145" s="2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ht="15.75" customHeight="1">
      <c r="A146" s="2"/>
      <c r="B146" s="2"/>
      <c r="C146" s="2"/>
      <c r="D146" s="2"/>
      <c r="E146" s="3"/>
      <c r="F146" s="2"/>
      <c r="G146" s="2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ht="15.75" customHeight="1">
      <c r="A147" s="2"/>
      <c r="B147" s="2"/>
      <c r="C147" s="2"/>
      <c r="D147" s="2"/>
      <c r="E147" s="3"/>
      <c r="F147" s="2"/>
      <c r="G147" s="2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ht="15.75" customHeight="1">
      <c r="A148" s="51" t="s">
        <v>67</v>
      </c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ht="15.75" customHeight="1">
      <c r="A149" s="5" t="s">
        <v>1</v>
      </c>
      <c r="B149" s="5" t="s">
        <v>2</v>
      </c>
      <c r="C149" s="5" t="s">
        <v>3</v>
      </c>
      <c r="D149" s="5" t="s">
        <v>4</v>
      </c>
      <c r="E149" s="5" t="s">
        <v>5</v>
      </c>
      <c r="F149" s="6" t="s">
        <v>6</v>
      </c>
      <c r="G149" s="7"/>
      <c r="H149" s="8"/>
      <c r="I149" s="5" t="s">
        <v>7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ht="15.75" customHeight="1">
      <c r="A150" s="52" t="s">
        <v>68</v>
      </c>
      <c r="B150" s="39"/>
      <c r="C150" s="12"/>
      <c r="D150" s="12"/>
      <c r="E150" s="40" t="s">
        <v>69</v>
      </c>
      <c r="F150" s="30"/>
      <c r="G150" s="16" t="s">
        <v>24</v>
      </c>
      <c r="H150" s="30"/>
      <c r="I150" s="40" t="s">
        <v>70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ht="15.75" customHeight="1">
      <c r="A151" s="24"/>
      <c r="B151" s="39"/>
      <c r="C151" s="12"/>
      <c r="D151" s="12"/>
      <c r="E151" s="40" t="s">
        <v>71</v>
      </c>
      <c r="F151" s="30"/>
      <c r="G151" s="16" t="s">
        <v>24</v>
      </c>
      <c r="H151" s="30"/>
      <c r="I151" s="40" t="s">
        <v>72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ht="15.75" customHeight="1">
      <c r="A152" s="24"/>
      <c r="B152" s="39"/>
      <c r="C152" s="12"/>
      <c r="D152" s="12"/>
      <c r="E152" s="40" t="s">
        <v>73</v>
      </c>
      <c r="F152" s="30"/>
      <c r="G152" s="16" t="s">
        <v>24</v>
      </c>
      <c r="H152" s="30"/>
      <c r="I152" s="40" t="s">
        <v>74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ht="15.75" customHeight="1">
      <c r="A153" s="28"/>
      <c r="B153" s="39"/>
      <c r="C153" s="12"/>
      <c r="D153" s="12"/>
      <c r="E153" s="40" t="s">
        <v>75</v>
      </c>
      <c r="F153" s="30"/>
      <c r="G153" s="16" t="s">
        <v>24</v>
      </c>
      <c r="H153" s="30"/>
      <c r="I153" s="40" t="s">
        <v>76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ht="15.75" customHeight="1">
      <c r="A154" s="53" t="s">
        <v>77</v>
      </c>
      <c r="B154" s="39"/>
      <c r="C154" s="12"/>
      <c r="D154" s="12"/>
      <c r="E154" s="40" t="s">
        <v>78</v>
      </c>
      <c r="F154" s="30"/>
      <c r="G154" s="16" t="s">
        <v>24</v>
      </c>
      <c r="H154" s="30"/>
      <c r="I154" s="40" t="s">
        <v>79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ht="15.75" customHeight="1">
      <c r="A155" s="24"/>
      <c r="B155" s="49"/>
      <c r="C155" s="30"/>
      <c r="D155" s="12"/>
      <c r="E155" s="42" t="s">
        <v>80</v>
      </c>
      <c r="F155" s="13"/>
      <c r="G155" s="16" t="s">
        <v>24</v>
      </c>
      <c r="H155" s="13"/>
      <c r="I155" s="40" t="s">
        <v>81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ht="15.75" customHeight="1">
      <c r="A156" s="54" t="s">
        <v>82</v>
      </c>
      <c r="B156" s="29"/>
      <c r="C156" s="30"/>
      <c r="D156" s="12"/>
      <c r="E156" s="40" t="s">
        <v>83</v>
      </c>
      <c r="F156" s="30"/>
      <c r="G156" s="16" t="s">
        <v>24</v>
      </c>
      <c r="H156" s="30"/>
      <c r="I156" s="43" t="s">
        <v>84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ht="15.75" customHeight="1">
      <c r="A157" s="54" t="s">
        <v>85</v>
      </c>
      <c r="B157" s="29"/>
      <c r="C157" s="30"/>
      <c r="D157" s="12"/>
      <c r="E157" s="40" t="s">
        <v>86</v>
      </c>
      <c r="F157" s="30"/>
      <c r="G157" s="16" t="s">
        <v>24</v>
      </c>
      <c r="H157" s="30"/>
      <c r="I157" s="40" t="s">
        <v>87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ht="15.75" customHeight="1">
      <c r="A158" s="2"/>
      <c r="B158" s="2"/>
      <c r="C158" s="2"/>
      <c r="D158" s="2"/>
      <c r="E158" s="3"/>
      <c r="F158" s="2"/>
      <c r="G158" s="2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ht="15.75" customHeight="1">
      <c r="A159" s="2"/>
      <c r="B159" s="2"/>
      <c r="C159" s="2"/>
      <c r="D159" s="2"/>
      <c r="E159" s="3"/>
      <c r="F159" s="2"/>
      <c r="G159" s="2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ht="15.75" customHeight="1">
      <c r="A160" s="2"/>
      <c r="B160" s="2"/>
      <c r="C160" s="2"/>
      <c r="D160" s="2"/>
      <c r="E160" s="3"/>
      <c r="F160" s="2"/>
      <c r="G160" s="2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ht="15.75" customHeight="1">
      <c r="A161" s="2"/>
      <c r="B161" s="2"/>
      <c r="C161" s="2"/>
      <c r="D161" s="2"/>
      <c r="E161" s="3"/>
      <c r="F161" s="2"/>
      <c r="G161" s="2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ht="15.75" customHeight="1">
      <c r="A162" s="2"/>
      <c r="B162" s="2"/>
      <c r="C162" s="2"/>
      <c r="D162" s="2"/>
      <c r="E162" s="3"/>
      <c r="F162" s="2"/>
      <c r="G162" s="2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ht="15.75" customHeight="1">
      <c r="A163" s="2"/>
      <c r="B163" s="2"/>
      <c r="C163" s="2"/>
      <c r="D163" s="2"/>
      <c r="E163" s="3"/>
      <c r="F163" s="2"/>
      <c r="G163" s="2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ht="15.75" customHeight="1">
      <c r="A164" s="2"/>
      <c r="B164" s="2"/>
      <c r="C164" s="2"/>
      <c r="D164" s="2"/>
      <c r="E164" s="3"/>
      <c r="F164" s="2"/>
      <c r="G164" s="2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ht="15.75" customHeight="1">
      <c r="A165" s="2"/>
      <c r="B165" s="2"/>
      <c r="C165" s="2"/>
      <c r="D165" s="2"/>
      <c r="E165" s="3"/>
      <c r="F165" s="2"/>
      <c r="G165" s="2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ht="15.75" customHeight="1">
      <c r="A166" s="2"/>
      <c r="B166" s="2"/>
      <c r="C166" s="2"/>
      <c r="D166" s="2"/>
      <c r="E166" s="3"/>
      <c r="F166" s="2"/>
      <c r="G166" s="2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ht="15.75" customHeight="1">
      <c r="A167" s="2"/>
      <c r="B167" s="2"/>
      <c r="C167" s="2"/>
      <c r="D167" s="2"/>
      <c r="E167" s="3"/>
      <c r="F167" s="2"/>
      <c r="G167" s="2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ht="15.75" customHeight="1">
      <c r="A168" s="2"/>
      <c r="B168" s="2"/>
      <c r="C168" s="2"/>
      <c r="D168" s="2"/>
      <c r="E168" s="3"/>
      <c r="F168" s="2"/>
      <c r="G168" s="2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ht="15.75" customHeight="1">
      <c r="A169" s="2"/>
      <c r="B169" s="2"/>
      <c r="C169" s="2"/>
      <c r="D169" s="2"/>
      <c r="E169" s="3"/>
      <c r="F169" s="2"/>
      <c r="G169" s="2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ht="15.75" customHeight="1">
      <c r="A170" s="2"/>
      <c r="B170" s="2"/>
      <c r="C170" s="2"/>
      <c r="D170" s="2"/>
      <c r="E170" s="3"/>
      <c r="F170" s="2"/>
      <c r="G170" s="2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ht="15.75" customHeight="1">
      <c r="A171" s="2"/>
      <c r="B171" s="2"/>
      <c r="C171" s="2"/>
      <c r="D171" s="2"/>
      <c r="E171" s="3"/>
      <c r="F171" s="2"/>
      <c r="G171" s="2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ht="15.75" customHeight="1">
      <c r="A172" s="2"/>
      <c r="B172" s="2"/>
      <c r="C172" s="2"/>
      <c r="D172" s="2"/>
      <c r="E172" s="3"/>
      <c r="F172" s="2"/>
      <c r="G172" s="2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ht="15.75" customHeight="1">
      <c r="A173" s="2"/>
      <c r="B173" s="2"/>
      <c r="C173" s="2"/>
      <c r="D173" s="2"/>
      <c r="E173" s="3"/>
      <c r="F173" s="2"/>
      <c r="G173" s="2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ht="15.75" customHeight="1">
      <c r="A174" s="2"/>
      <c r="B174" s="2"/>
      <c r="C174" s="2"/>
      <c r="D174" s="2"/>
      <c r="E174" s="3"/>
      <c r="F174" s="2"/>
      <c r="G174" s="2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ht="15.75" customHeight="1">
      <c r="A175" s="2"/>
      <c r="B175" s="2"/>
      <c r="C175" s="2"/>
      <c r="D175" s="2"/>
      <c r="E175" s="3"/>
      <c r="F175" s="2"/>
      <c r="G175" s="2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ht="15.75" customHeight="1">
      <c r="A176" s="2"/>
      <c r="B176" s="2"/>
      <c r="C176" s="2"/>
      <c r="D176" s="2"/>
      <c r="E176" s="3"/>
      <c r="F176" s="2"/>
      <c r="G176" s="2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ht="15.75" customHeight="1">
      <c r="A177" s="2"/>
      <c r="B177" s="2"/>
      <c r="C177" s="2"/>
      <c r="D177" s="2"/>
      <c r="E177" s="3"/>
      <c r="F177" s="2"/>
      <c r="G177" s="2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ht="15.75" customHeight="1">
      <c r="A178" s="2"/>
      <c r="B178" s="2"/>
      <c r="C178" s="2"/>
      <c r="D178" s="2"/>
      <c r="E178" s="3"/>
      <c r="F178" s="2"/>
      <c r="G178" s="2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ht="15.75" customHeight="1">
      <c r="A179" s="2"/>
      <c r="B179" s="2"/>
      <c r="C179" s="2"/>
      <c r="D179" s="2"/>
      <c r="E179" s="3"/>
      <c r="F179" s="2"/>
      <c r="G179" s="2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ht="15.75" customHeight="1">
      <c r="A180" s="2"/>
      <c r="B180" s="2"/>
      <c r="C180" s="2"/>
      <c r="D180" s="2"/>
      <c r="E180" s="3"/>
      <c r="F180" s="2"/>
      <c r="G180" s="2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ht="15.75" customHeight="1">
      <c r="A181" s="2"/>
      <c r="B181" s="2"/>
      <c r="C181" s="2"/>
      <c r="D181" s="2"/>
      <c r="E181" s="3"/>
      <c r="F181" s="2"/>
      <c r="G181" s="2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ht="15.75" customHeight="1">
      <c r="A182" s="2"/>
      <c r="B182" s="2"/>
      <c r="C182" s="2"/>
      <c r="D182" s="2"/>
      <c r="E182" s="3"/>
      <c r="F182" s="2"/>
      <c r="G182" s="2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ht="15.75" customHeight="1">
      <c r="A183" s="2"/>
      <c r="B183" s="2"/>
      <c r="C183" s="2"/>
      <c r="D183" s="2"/>
      <c r="E183" s="3"/>
      <c r="F183" s="2"/>
      <c r="G183" s="2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ht="15.75" customHeight="1">
      <c r="A184" s="2"/>
      <c r="B184" s="2"/>
      <c r="C184" s="2"/>
      <c r="D184" s="2"/>
      <c r="E184" s="3"/>
      <c r="F184" s="2"/>
      <c r="G184" s="2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ht="15.75" customHeight="1">
      <c r="A185" s="2"/>
      <c r="B185" s="2"/>
      <c r="C185" s="2"/>
      <c r="D185" s="2"/>
      <c r="E185" s="3"/>
      <c r="F185" s="2"/>
      <c r="G185" s="2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ht="15.75" customHeight="1">
      <c r="A186" s="2"/>
      <c r="B186" s="2"/>
      <c r="C186" s="2"/>
      <c r="D186" s="2"/>
      <c r="E186" s="3"/>
      <c r="F186" s="2"/>
      <c r="G186" s="2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ht="15.75" customHeight="1">
      <c r="A187" s="2"/>
      <c r="B187" s="2"/>
      <c r="C187" s="2"/>
      <c r="D187" s="2"/>
      <c r="E187" s="3"/>
      <c r="F187" s="2"/>
      <c r="G187" s="2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ht="15.75" customHeight="1">
      <c r="A188" s="2"/>
      <c r="B188" s="2"/>
      <c r="C188" s="2"/>
      <c r="D188" s="2"/>
      <c r="E188" s="3"/>
      <c r="F188" s="2"/>
      <c r="G188" s="2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ht="15.75" customHeight="1">
      <c r="A189" s="2"/>
      <c r="B189" s="2"/>
      <c r="C189" s="2"/>
      <c r="D189" s="2"/>
      <c r="E189" s="3"/>
      <c r="F189" s="2"/>
      <c r="G189" s="2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ht="15.75" customHeight="1">
      <c r="A190" s="2"/>
      <c r="B190" s="2"/>
      <c r="C190" s="2"/>
      <c r="D190" s="2"/>
      <c r="E190" s="3"/>
      <c r="F190" s="2"/>
      <c r="G190" s="2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ht="15.75" customHeight="1">
      <c r="A191" s="2"/>
      <c r="B191" s="2"/>
      <c r="C191" s="2"/>
      <c r="D191" s="2"/>
      <c r="E191" s="3"/>
      <c r="F191" s="2"/>
      <c r="G191" s="2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ht="15.75" customHeight="1">
      <c r="A192" s="2"/>
      <c r="B192" s="2"/>
      <c r="C192" s="2"/>
      <c r="D192" s="2"/>
      <c r="E192" s="3"/>
      <c r="F192" s="2"/>
      <c r="G192" s="2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ht="15.75" customHeight="1">
      <c r="A193" s="2"/>
      <c r="B193" s="2"/>
      <c r="C193" s="2"/>
      <c r="D193" s="2"/>
      <c r="E193" s="3"/>
      <c r="F193" s="2"/>
      <c r="G193" s="2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ht="15.75" customHeight="1">
      <c r="A194" s="2"/>
      <c r="B194" s="2"/>
      <c r="C194" s="2"/>
      <c r="D194" s="2"/>
      <c r="E194" s="3"/>
      <c r="F194" s="2"/>
      <c r="G194" s="2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ht="15.75" customHeight="1">
      <c r="A195" s="2"/>
      <c r="B195" s="2"/>
      <c r="C195" s="2"/>
      <c r="D195" s="2"/>
      <c r="E195" s="3"/>
      <c r="F195" s="2"/>
      <c r="G195" s="2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ht="15.75" customHeight="1">
      <c r="A196" s="2"/>
      <c r="B196" s="2"/>
      <c r="C196" s="2"/>
      <c r="D196" s="2"/>
      <c r="E196" s="3"/>
      <c r="F196" s="2"/>
      <c r="G196" s="2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ht="15.75" customHeight="1">
      <c r="A197" s="2"/>
      <c r="B197" s="2"/>
      <c r="C197" s="2"/>
      <c r="D197" s="2"/>
      <c r="E197" s="3"/>
      <c r="F197" s="2"/>
      <c r="G197" s="2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ht="15.75" customHeight="1">
      <c r="A198" s="2"/>
      <c r="B198" s="2"/>
      <c r="C198" s="2"/>
      <c r="D198" s="2"/>
      <c r="E198" s="3"/>
      <c r="F198" s="2"/>
      <c r="G198" s="2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ht="15.75" customHeight="1">
      <c r="A199" s="2"/>
      <c r="B199" s="2"/>
      <c r="C199" s="2"/>
      <c r="D199" s="2"/>
      <c r="E199" s="3"/>
      <c r="F199" s="2"/>
      <c r="G199" s="2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ht="15.75" customHeight="1">
      <c r="A200" s="2"/>
      <c r="B200" s="2"/>
      <c r="C200" s="2"/>
      <c r="D200" s="2"/>
      <c r="E200" s="3"/>
      <c r="F200" s="2"/>
      <c r="G200" s="2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ht="15.75" customHeight="1">
      <c r="A201" s="2"/>
      <c r="B201" s="2"/>
      <c r="C201" s="2"/>
      <c r="D201" s="2"/>
      <c r="E201" s="3"/>
      <c r="F201" s="2"/>
      <c r="G201" s="2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ht="15.75" customHeight="1">
      <c r="A202" s="2"/>
      <c r="B202" s="2"/>
      <c r="C202" s="2"/>
      <c r="D202" s="2"/>
      <c r="E202" s="3"/>
      <c r="F202" s="2"/>
      <c r="G202" s="2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ht="15.75" customHeight="1">
      <c r="A203" s="2"/>
      <c r="B203" s="2"/>
      <c r="C203" s="2"/>
      <c r="D203" s="2"/>
      <c r="E203" s="3"/>
      <c r="F203" s="2"/>
      <c r="G203" s="2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ht="15.75" customHeight="1">
      <c r="A204" s="2"/>
      <c r="B204" s="2"/>
      <c r="C204" s="2"/>
      <c r="D204" s="2"/>
      <c r="E204" s="3"/>
      <c r="F204" s="2"/>
      <c r="G204" s="2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ht="15.75" customHeight="1">
      <c r="A205" s="2"/>
      <c r="B205" s="2"/>
      <c r="C205" s="2"/>
      <c r="D205" s="2"/>
      <c r="E205" s="3"/>
      <c r="F205" s="2"/>
      <c r="G205" s="2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ht="15.75" customHeight="1">
      <c r="A206" s="2"/>
      <c r="B206" s="2"/>
      <c r="C206" s="2"/>
      <c r="D206" s="2"/>
      <c r="E206" s="3"/>
      <c r="F206" s="2"/>
      <c r="G206" s="2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ht="15.75" customHeight="1">
      <c r="A207" s="2"/>
      <c r="B207" s="2"/>
      <c r="C207" s="2"/>
      <c r="D207" s="2"/>
      <c r="E207" s="3"/>
      <c r="F207" s="2"/>
      <c r="G207" s="2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ht="15.75" customHeight="1">
      <c r="A208" s="2"/>
      <c r="B208" s="2"/>
      <c r="C208" s="2"/>
      <c r="D208" s="2"/>
      <c r="E208" s="3"/>
      <c r="F208" s="2"/>
      <c r="G208" s="2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ht="15.75" customHeight="1">
      <c r="A209" s="2"/>
      <c r="B209" s="2"/>
      <c r="C209" s="2"/>
      <c r="D209" s="2"/>
      <c r="E209" s="3"/>
      <c r="F209" s="2"/>
      <c r="G209" s="2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ht="15.75" customHeight="1">
      <c r="A210" s="2"/>
      <c r="B210" s="2"/>
      <c r="C210" s="2"/>
      <c r="D210" s="2"/>
      <c r="E210" s="3"/>
      <c r="F210" s="2"/>
      <c r="G210" s="2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ht="15.75" customHeight="1">
      <c r="A211" s="2"/>
      <c r="B211" s="2"/>
      <c r="C211" s="2"/>
      <c r="D211" s="2"/>
      <c r="E211" s="3"/>
      <c r="F211" s="2"/>
      <c r="G211" s="2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ht="15.75" customHeight="1">
      <c r="A212" s="2"/>
      <c r="B212" s="2"/>
      <c r="C212" s="2"/>
      <c r="D212" s="2"/>
      <c r="E212" s="3"/>
      <c r="F212" s="2"/>
      <c r="G212" s="2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ht="15.75" customHeight="1">
      <c r="A213" s="2"/>
      <c r="B213" s="2"/>
      <c r="C213" s="2"/>
      <c r="D213" s="2"/>
      <c r="E213" s="3"/>
      <c r="F213" s="2"/>
      <c r="G213" s="2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ht="15.75" customHeight="1">
      <c r="A214" s="2"/>
      <c r="B214" s="2"/>
      <c r="C214" s="2"/>
      <c r="D214" s="2"/>
      <c r="E214" s="3"/>
      <c r="F214" s="2"/>
      <c r="G214" s="2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ht="15.75" customHeight="1">
      <c r="A215" s="2"/>
      <c r="B215" s="2"/>
      <c r="C215" s="2"/>
      <c r="D215" s="2"/>
      <c r="E215" s="3"/>
      <c r="F215" s="2"/>
      <c r="G215" s="2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ht="15.75" customHeight="1">
      <c r="A216" s="2"/>
      <c r="B216" s="2"/>
      <c r="C216" s="2"/>
      <c r="D216" s="2"/>
      <c r="E216" s="3"/>
      <c r="F216" s="2"/>
      <c r="G216" s="2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ht="15.75" customHeight="1">
      <c r="A217" s="2"/>
      <c r="B217" s="2"/>
      <c r="C217" s="2"/>
      <c r="D217" s="2"/>
      <c r="E217" s="3"/>
      <c r="F217" s="2"/>
      <c r="G217" s="2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ht="15.75" customHeight="1">
      <c r="A218" s="2"/>
      <c r="B218" s="2"/>
      <c r="C218" s="2"/>
      <c r="D218" s="2"/>
      <c r="E218" s="3"/>
      <c r="F218" s="2"/>
      <c r="G218" s="2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ht="15.75" customHeight="1">
      <c r="A219" s="2"/>
      <c r="B219" s="2"/>
      <c r="C219" s="2"/>
      <c r="D219" s="2"/>
      <c r="E219" s="3"/>
      <c r="F219" s="2"/>
      <c r="G219" s="2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ht="15.75" customHeight="1">
      <c r="A220" s="2"/>
      <c r="B220" s="2"/>
      <c r="C220" s="2"/>
      <c r="D220" s="2"/>
      <c r="E220" s="3"/>
      <c r="F220" s="2"/>
      <c r="G220" s="2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ht="15.75" customHeight="1">
      <c r="A221" s="2"/>
      <c r="B221" s="2"/>
      <c r="C221" s="2"/>
      <c r="D221" s="2"/>
      <c r="E221" s="3"/>
      <c r="F221" s="2"/>
      <c r="G221" s="2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ht="15.75" customHeight="1">
      <c r="A222" s="2"/>
      <c r="B222" s="2"/>
      <c r="C222" s="2"/>
      <c r="D222" s="2"/>
      <c r="E222" s="3"/>
      <c r="F222" s="2"/>
      <c r="G222" s="2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ht="15.75" customHeight="1">
      <c r="A223" s="2"/>
      <c r="B223" s="2"/>
      <c r="C223" s="2"/>
      <c r="D223" s="2"/>
      <c r="E223" s="3"/>
      <c r="F223" s="2"/>
      <c r="G223" s="2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ht="15.75" customHeight="1">
      <c r="A224" s="2"/>
      <c r="B224" s="2"/>
      <c r="C224" s="2"/>
      <c r="D224" s="2"/>
      <c r="E224" s="3"/>
      <c r="F224" s="2"/>
      <c r="G224" s="2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ht="15.75" customHeight="1">
      <c r="A225" s="2"/>
      <c r="B225" s="2"/>
      <c r="C225" s="2"/>
      <c r="D225" s="2"/>
      <c r="E225" s="3"/>
      <c r="F225" s="2"/>
      <c r="G225" s="2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ht="15.75" customHeight="1">
      <c r="A226" s="2"/>
      <c r="B226" s="2"/>
      <c r="C226" s="2"/>
      <c r="D226" s="2"/>
      <c r="E226" s="3"/>
      <c r="F226" s="2"/>
      <c r="G226" s="2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ht="15.75" customHeight="1">
      <c r="A227" s="2"/>
      <c r="B227" s="2"/>
      <c r="C227" s="2"/>
      <c r="D227" s="2"/>
      <c r="E227" s="3"/>
      <c r="F227" s="2"/>
      <c r="G227" s="2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ht="15.75" customHeight="1">
      <c r="A228" s="2"/>
      <c r="B228" s="2"/>
      <c r="C228" s="2"/>
      <c r="D228" s="2"/>
      <c r="E228" s="3"/>
      <c r="F228" s="2"/>
      <c r="G228" s="2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ht="15.75" customHeight="1">
      <c r="A229" s="2"/>
      <c r="B229" s="2"/>
      <c r="C229" s="2"/>
      <c r="D229" s="2"/>
      <c r="E229" s="3"/>
      <c r="F229" s="2"/>
      <c r="G229" s="2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ht="15.75" customHeight="1">
      <c r="A230" s="2"/>
      <c r="B230" s="2"/>
      <c r="C230" s="2"/>
      <c r="D230" s="2"/>
      <c r="E230" s="3"/>
      <c r="F230" s="2"/>
      <c r="G230" s="2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ht="15.75" customHeight="1">
      <c r="A231" s="2"/>
      <c r="B231" s="2"/>
      <c r="C231" s="2"/>
      <c r="D231" s="2"/>
      <c r="E231" s="3"/>
      <c r="F231" s="2"/>
      <c r="G231" s="2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ht="15.75" customHeight="1">
      <c r="A232" s="2"/>
      <c r="B232" s="2"/>
      <c r="C232" s="2"/>
      <c r="D232" s="2"/>
      <c r="E232" s="3"/>
      <c r="F232" s="2"/>
      <c r="G232" s="2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ht="15.75" customHeight="1">
      <c r="A233" s="2"/>
      <c r="B233" s="2"/>
      <c r="C233" s="2"/>
      <c r="D233" s="2"/>
      <c r="E233" s="3"/>
      <c r="F233" s="2"/>
      <c r="G233" s="2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ht="15.75" customHeight="1">
      <c r="A234" s="2"/>
      <c r="B234" s="2"/>
      <c r="C234" s="2"/>
      <c r="D234" s="2"/>
      <c r="E234" s="3"/>
      <c r="F234" s="2"/>
      <c r="G234" s="2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ht="15.75" customHeight="1">
      <c r="A235" s="2"/>
      <c r="B235" s="2"/>
      <c r="C235" s="2"/>
      <c r="D235" s="2"/>
      <c r="E235" s="3"/>
      <c r="F235" s="2"/>
      <c r="G235" s="2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ht="15.75" customHeight="1">
      <c r="A236" s="2"/>
      <c r="B236" s="2"/>
      <c r="C236" s="2"/>
      <c r="D236" s="2"/>
      <c r="E236" s="3"/>
      <c r="F236" s="2"/>
      <c r="G236" s="2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ht="15.75" customHeight="1">
      <c r="A237" s="2"/>
      <c r="B237" s="2"/>
      <c r="C237" s="2"/>
      <c r="D237" s="2"/>
      <c r="E237" s="3"/>
      <c r="F237" s="2"/>
      <c r="G237" s="2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ht="15.75" customHeight="1">
      <c r="A238" s="2"/>
      <c r="B238" s="2"/>
      <c r="C238" s="2"/>
      <c r="D238" s="2"/>
      <c r="E238" s="3"/>
      <c r="F238" s="2"/>
      <c r="G238" s="2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ht="15.75" customHeight="1">
      <c r="A239" s="2"/>
      <c r="B239" s="2"/>
      <c r="C239" s="2"/>
      <c r="D239" s="2"/>
      <c r="E239" s="3"/>
      <c r="F239" s="2"/>
      <c r="G239" s="2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ht="15.75" customHeight="1">
      <c r="A240" s="2"/>
      <c r="B240" s="2"/>
      <c r="C240" s="2"/>
      <c r="D240" s="2"/>
      <c r="E240" s="3"/>
      <c r="F240" s="2"/>
      <c r="G240" s="2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ht="15.75" customHeight="1">
      <c r="A241" s="2"/>
      <c r="B241" s="2"/>
      <c r="C241" s="2"/>
      <c r="D241" s="2"/>
      <c r="E241" s="3"/>
      <c r="F241" s="2"/>
      <c r="G241" s="2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ht="15.75" customHeight="1">
      <c r="A242" s="2"/>
      <c r="B242" s="2"/>
      <c r="C242" s="2"/>
      <c r="D242" s="2"/>
      <c r="E242" s="3"/>
      <c r="F242" s="2"/>
      <c r="G242" s="2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ht="15.75" customHeight="1">
      <c r="A243" s="2"/>
      <c r="B243" s="2"/>
      <c r="C243" s="2"/>
      <c r="D243" s="2"/>
      <c r="E243" s="3"/>
      <c r="F243" s="2"/>
      <c r="G243" s="2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ht="15.75" customHeight="1">
      <c r="A244" s="2"/>
      <c r="B244" s="2"/>
      <c r="C244" s="2"/>
      <c r="D244" s="2"/>
      <c r="E244" s="3"/>
      <c r="F244" s="2"/>
      <c r="G244" s="2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ht="15.75" customHeight="1">
      <c r="A245" s="2"/>
      <c r="B245" s="2"/>
      <c r="C245" s="2"/>
      <c r="D245" s="2"/>
      <c r="E245" s="3"/>
      <c r="F245" s="2"/>
      <c r="G245" s="2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ht="15.75" customHeight="1">
      <c r="A246" s="2"/>
      <c r="B246" s="2"/>
      <c r="C246" s="2"/>
      <c r="D246" s="2"/>
      <c r="E246" s="3"/>
      <c r="F246" s="2"/>
      <c r="G246" s="2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ht="15.75" customHeight="1">
      <c r="A247" s="2"/>
      <c r="B247" s="2"/>
      <c r="C247" s="2"/>
      <c r="D247" s="2"/>
      <c r="E247" s="3"/>
      <c r="F247" s="2"/>
      <c r="G247" s="2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ht="15.75" customHeight="1">
      <c r="A248" s="2"/>
      <c r="B248" s="2"/>
      <c r="C248" s="2"/>
      <c r="D248" s="2"/>
      <c r="E248" s="3"/>
      <c r="F248" s="2"/>
      <c r="G248" s="2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ht="15.75" customHeight="1">
      <c r="A249" s="2"/>
      <c r="B249" s="2"/>
      <c r="C249" s="2"/>
      <c r="D249" s="2"/>
      <c r="E249" s="3"/>
      <c r="F249" s="2"/>
      <c r="G249" s="2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ht="15.75" customHeight="1">
      <c r="A250" s="2"/>
      <c r="B250" s="2"/>
      <c r="C250" s="2"/>
      <c r="D250" s="2"/>
      <c r="E250" s="3"/>
      <c r="F250" s="2"/>
      <c r="G250" s="2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ht="15.75" customHeight="1">
      <c r="A251" s="2"/>
      <c r="B251" s="2"/>
      <c r="C251" s="2"/>
      <c r="D251" s="2"/>
      <c r="E251" s="3"/>
      <c r="F251" s="2"/>
      <c r="G251" s="2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ht="15.75" customHeight="1">
      <c r="A252" s="2"/>
      <c r="B252" s="2"/>
      <c r="C252" s="2"/>
      <c r="D252" s="2"/>
      <c r="E252" s="3"/>
      <c r="F252" s="2"/>
      <c r="G252" s="2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ht="15.75" customHeight="1">
      <c r="A253" s="2"/>
      <c r="B253" s="2"/>
      <c r="C253" s="2"/>
      <c r="D253" s="2"/>
      <c r="E253" s="3"/>
      <c r="F253" s="2"/>
      <c r="G253" s="2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ht="15.75" customHeight="1">
      <c r="A254" s="2"/>
      <c r="B254" s="2"/>
      <c r="C254" s="2"/>
      <c r="D254" s="2"/>
      <c r="E254" s="3"/>
      <c r="F254" s="2"/>
      <c r="G254" s="2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ht="15.75" customHeight="1">
      <c r="A255" s="2"/>
      <c r="B255" s="2"/>
      <c r="C255" s="2"/>
      <c r="D255" s="2"/>
      <c r="E255" s="3"/>
      <c r="F255" s="2"/>
      <c r="G255" s="2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ht="15.75" customHeight="1">
      <c r="A256" s="2"/>
      <c r="B256" s="2"/>
      <c r="C256" s="2"/>
      <c r="D256" s="2"/>
      <c r="E256" s="3"/>
      <c r="F256" s="2"/>
      <c r="G256" s="2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ht="15.75" customHeight="1">
      <c r="A257" s="2"/>
      <c r="B257" s="2"/>
      <c r="C257" s="2"/>
      <c r="D257" s="2"/>
      <c r="E257" s="3"/>
      <c r="F257" s="2"/>
      <c r="G257" s="2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ht="15.75" customHeight="1">
      <c r="A258" s="2"/>
      <c r="B258" s="2"/>
      <c r="C258" s="2"/>
      <c r="D258" s="2"/>
      <c r="E258" s="3"/>
      <c r="F258" s="2"/>
      <c r="G258" s="2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ht="15.75" customHeight="1">
      <c r="A259" s="2"/>
      <c r="B259" s="2"/>
      <c r="C259" s="2"/>
      <c r="D259" s="2"/>
      <c r="E259" s="3"/>
      <c r="F259" s="2"/>
      <c r="G259" s="2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ht="15.75" customHeight="1">
      <c r="A260" s="2"/>
      <c r="B260" s="2"/>
      <c r="C260" s="2"/>
      <c r="D260" s="2"/>
      <c r="E260" s="3"/>
      <c r="F260" s="2"/>
      <c r="G260" s="2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ht="15.75" customHeight="1">
      <c r="A261" s="2"/>
      <c r="B261" s="2"/>
      <c r="C261" s="2"/>
      <c r="D261" s="2"/>
      <c r="E261" s="3"/>
      <c r="F261" s="2"/>
      <c r="G261" s="2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ht="15.75" customHeight="1">
      <c r="A262" s="2"/>
      <c r="B262" s="2"/>
      <c r="C262" s="2"/>
      <c r="D262" s="2"/>
      <c r="E262" s="3"/>
      <c r="F262" s="2"/>
      <c r="G262" s="2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ht="15.75" customHeight="1">
      <c r="A263" s="2"/>
      <c r="B263" s="2"/>
      <c r="C263" s="2"/>
      <c r="D263" s="2"/>
      <c r="E263" s="3"/>
      <c r="F263" s="2"/>
      <c r="G263" s="2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ht="15.75" customHeight="1">
      <c r="A264" s="2"/>
      <c r="B264" s="2"/>
      <c r="C264" s="2"/>
      <c r="D264" s="2"/>
      <c r="E264" s="3"/>
      <c r="F264" s="2"/>
      <c r="G264" s="2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ht="15.75" customHeight="1">
      <c r="A265" s="2"/>
      <c r="B265" s="2"/>
      <c r="C265" s="2"/>
      <c r="D265" s="2"/>
      <c r="E265" s="3"/>
      <c r="F265" s="2"/>
      <c r="G265" s="2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ht="15.75" customHeight="1">
      <c r="A266" s="2"/>
      <c r="B266" s="2"/>
      <c r="C266" s="2"/>
      <c r="D266" s="2"/>
      <c r="E266" s="3"/>
      <c r="F266" s="2"/>
      <c r="G266" s="2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ht="15.75" customHeight="1">
      <c r="A267" s="2"/>
      <c r="B267" s="2"/>
      <c r="C267" s="2"/>
      <c r="D267" s="2"/>
      <c r="E267" s="3"/>
      <c r="F267" s="2"/>
      <c r="G267" s="2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ht="15.75" customHeight="1">
      <c r="A268" s="2"/>
      <c r="B268" s="2"/>
      <c r="C268" s="2"/>
      <c r="D268" s="2"/>
      <c r="E268" s="3"/>
      <c r="F268" s="2"/>
      <c r="G268" s="2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ht="15.75" customHeight="1">
      <c r="A269" s="2"/>
      <c r="B269" s="2"/>
      <c r="C269" s="2"/>
      <c r="D269" s="2"/>
      <c r="E269" s="3"/>
      <c r="F269" s="2"/>
      <c r="G269" s="2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ht="15.75" customHeight="1">
      <c r="A270" s="2"/>
      <c r="B270" s="2"/>
      <c r="C270" s="2"/>
      <c r="D270" s="2"/>
      <c r="E270" s="3"/>
      <c r="F270" s="2"/>
      <c r="G270" s="2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ht="15.75" customHeight="1">
      <c r="A271" s="2"/>
      <c r="B271" s="2"/>
      <c r="C271" s="2"/>
      <c r="D271" s="2"/>
      <c r="E271" s="3"/>
      <c r="F271" s="2"/>
      <c r="G271" s="2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ht="15.75" customHeight="1">
      <c r="A272" s="2"/>
      <c r="B272" s="2"/>
      <c r="C272" s="2"/>
      <c r="D272" s="2"/>
      <c r="E272" s="3"/>
      <c r="F272" s="2"/>
      <c r="G272" s="2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ht="15.75" customHeight="1">
      <c r="A273" s="2"/>
      <c r="B273" s="2"/>
      <c r="C273" s="2"/>
      <c r="D273" s="2"/>
      <c r="E273" s="3"/>
      <c r="F273" s="2"/>
      <c r="G273" s="2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ht="15.75" customHeight="1">
      <c r="A274" s="2"/>
      <c r="B274" s="2"/>
      <c r="C274" s="2"/>
      <c r="D274" s="2"/>
      <c r="E274" s="3"/>
      <c r="F274" s="2"/>
      <c r="G274" s="2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ht="15.75" customHeight="1">
      <c r="A275" s="2"/>
      <c r="B275" s="2"/>
      <c r="C275" s="2"/>
      <c r="D275" s="2"/>
      <c r="E275" s="3"/>
      <c r="F275" s="2"/>
      <c r="G275" s="2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ht="15.75" customHeight="1">
      <c r="A276" s="2"/>
      <c r="B276" s="2"/>
      <c r="C276" s="2"/>
      <c r="D276" s="2"/>
      <c r="E276" s="3"/>
      <c r="F276" s="2"/>
      <c r="G276" s="2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ht="15.75" customHeight="1">
      <c r="A277" s="2"/>
      <c r="B277" s="2"/>
      <c r="C277" s="2"/>
      <c r="D277" s="2"/>
      <c r="E277" s="3"/>
      <c r="F277" s="2"/>
      <c r="G277" s="2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ht="15.75" customHeight="1">
      <c r="A278" s="2"/>
      <c r="B278" s="2"/>
      <c r="C278" s="2"/>
      <c r="D278" s="2"/>
      <c r="E278" s="3"/>
      <c r="F278" s="2"/>
      <c r="G278" s="2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ht="15.75" customHeight="1">
      <c r="A279" s="2"/>
      <c r="B279" s="2"/>
      <c r="C279" s="2"/>
      <c r="D279" s="2"/>
      <c r="E279" s="3"/>
      <c r="F279" s="2"/>
      <c r="G279" s="2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ht="15.75" customHeight="1">
      <c r="A280" s="2"/>
      <c r="B280" s="2"/>
      <c r="C280" s="2"/>
      <c r="D280" s="2"/>
      <c r="E280" s="3"/>
      <c r="F280" s="2"/>
      <c r="G280" s="2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ht="15.75" customHeight="1">
      <c r="A281" s="2"/>
      <c r="B281" s="2"/>
      <c r="C281" s="2"/>
      <c r="D281" s="2"/>
      <c r="E281" s="3"/>
      <c r="F281" s="2"/>
      <c r="G281" s="2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ht="15.75" customHeight="1">
      <c r="A282" s="2"/>
      <c r="B282" s="2"/>
      <c r="C282" s="2"/>
      <c r="D282" s="2"/>
      <c r="E282" s="3"/>
      <c r="F282" s="2"/>
      <c r="G282" s="2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ht="15.75" customHeight="1">
      <c r="A283" s="2"/>
      <c r="B283" s="2"/>
      <c r="C283" s="2"/>
      <c r="D283" s="2"/>
      <c r="E283" s="3"/>
      <c r="F283" s="2"/>
      <c r="G283" s="2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ht="15.75" customHeight="1">
      <c r="A284" s="2"/>
      <c r="B284" s="2"/>
      <c r="C284" s="2"/>
      <c r="D284" s="2"/>
      <c r="E284" s="3"/>
      <c r="F284" s="2"/>
      <c r="G284" s="2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ht="15.75" customHeight="1">
      <c r="A285" s="2"/>
      <c r="B285" s="2"/>
      <c r="C285" s="2"/>
      <c r="D285" s="2"/>
      <c r="E285" s="3"/>
      <c r="F285" s="2"/>
      <c r="G285" s="2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ht="15.75" customHeight="1">
      <c r="A286" s="2"/>
      <c r="B286" s="2"/>
      <c r="C286" s="2"/>
      <c r="D286" s="2"/>
      <c r="E286" s="3"/>
      <c r="F286" s="2"/>
      <c r="G286" s="2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ht="15.75" customHeight="1">
      <c r="A287" s="2"/>
      <c r="B287" s="2"/>
      <c r="C287" s="2"/>
      <c r="D287" s="2"/>
      <c r="E287" s="3"/>
      <c r="F287" s="2"/>
      <c r="G287" s="2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t="15.75" customHeight="1">
      <c r="A288" s="2"/>
      <c r="B288" s="2"/>
      <c r="C288" s="2"/>
      <c r="D288" s="2"/>
      <c r="E288" s="3"/>
      <c r="F288" s="2"/>
      <c r="G288" s="2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t="15.75" customHeight="1">
      <c r="A289" s="2"/>
      <c r="B289" s="2"/>
      <c r="C289" s="2"/>
      <c r="D289" s="2"/>
      <c r="E289" s="3"/>
      <c r="F289" s="2"/>
      <c r="G289" s="2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ht="15.75" customHeight="1">
      <c r="A290" s="2"/>
      <c r="B290" s="2"/>
      <c r="C290" s="2"/>
      <c r="D290" s="2"/>
      <c r="E290" s="3"/>
      <c r="F290" s="2"/>
      <c r="G290" s="2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ht="15.75" customHeight="1">
      <c r="A291" s="2"/>
      <c r="B291" s="2"/>
      <c r="C291" s="2"/>
      <c r="D291" s="2"/>
      <c r="E291" s="3"/>
      <c r="F291" s="2"/>
      <c r="G291" s="2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ht="15.75" customHeight="1">
      <c r="A292" s="2"/>
      <c r="B292" s="2"/>
      <c r="C292" s="2"/>
      <c r="D292" s="2"/>
      <c r="E292" s="3"/>
      <c r="F292" s="2"/>
      <c r="G292" s="2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ht="15.75" customHeight="1">
      <c r="A293" s="2"/>
      <c r="B293" s="2"/>
      <c r="C293" s="2"/>
      <c r="D293" s="2"/>
      <c r="E293" s="3"/>
      <c r="F293" s="2"/>
      <c r="G293" s="2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ht="15.75" customHeight="1">
      <c r="A294" s="2"/>
      <c r="B294" s="2"/>
      <c r="C294" s="2"/>
      <c r="D294" s="2"/>
      <c r="E294" s="3"/>
      <c r="F294" s="2"/>
      <c r="G294" s="2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ht="15.75" customHeight="1">
      <c r="A295" s="2"/>
      <c r="B295" s="2"/>
      <c r="C295" s="2"/>
      <c r="D295" s="2"/>
      <c r="E295" s="3"/>
      <c r="F295" s="2"/>
      <c r="G295" s="2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ht="15.75" customHeight="1">
      <c r="A296" s="2"/>
      <c r="B296" s="2"/>
      <c r="C296" s="2"/>
      <c r="D296" s="2"/>
      <c r="E296" s="3"/>
      <c r="F296" s="2"/>
      <c r="G296" s="2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ht="15.75" customHeight="1">
      <c r="A297" s="2"/>
      <c r="B297" s="2"/>
      <c r="C297" s="2"/>
      <c r="D297" s="2"/>
      <c r="E297" s="3"/>
      <c r="F297" s="2"/>
      <c r="G297" s="2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</sheetData>
  <mergeCells count="39">
    <mergeCell ref="AE14:AG14"/>
    <mergeCell ref="AE16:AG23"/>
    <mergeCell ref="AE90:AG90"/>
    <mergeCell ref="AH91:AI98"/>
    <mergeCell ref="AE92:AF98"/>
    <mergeCell ref="A1:G1"/>
    <mergeCell ref="F2:H2"/>
    <mergeCell ref="X2:AB2"/>
    <mergeCell ref="A3:A8"/>
    <mergeCell ref="X8:Y8"/>
    <mergeCell ref="Z9:AB12"/>
    <mergeCell ref="AH15:AI22"/>
    <mergeCell ref="A51:A56"/>
    <mergeCell ref="A57:A62"/>
    <mergeCell ref="A63:A68"/>
    <mergeCell ref="A76:G76"/>
    <mergeCell ref="F77:H77"/>
    <mergeCell ref="A9:A14"/>
    <mergeCell ref="A15:A20"/>
    <mergeCell ref="A21:A26"/>
    <mergeCell ref="A27:A32"/>
    <mergeCell ref="A33:A38"/>
    <mergeCell ref="A39:A44"/>
    <mergeCell ref="A45:A50"/>
    <mergeCell ref="A120:A125"/>
    <mergeCell ref="A126:A131"/>
    <mergeCell ref="A132:A137"/>
    <mergeCell ref="A138:A143"/>
    <mergeCell ref="A148:G148"/>
    <mergeCell ref="F149:H149"/>
    <mergeCell ref="A150:A153"/>
    <mergeCell ref="A154:A155"/>
    <mergeCell ref="A78:A83"/>
    <mergeCell ref="A84:A89"/>
    <mergeCell ref="A90:A95"/>
    <mergeCell ref="A96:A101"/>
    <mergeCell ref="A102:A107"/>
    <mergeCell ref="A108:A113"/>
    <mergeCell ref="A114:A1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38"/>
    <col customWidth="1" min="3" max="3" width="5.63"/>
    <col customWidth="1" min="4" max="4" width="7.0"/>
    <col customWidth="1" min="5" max="5" width="22.88"/>
    <col customWidth="1" min="7" max="7" width="2.63"/>
    <col customWidth="1" min="9" max="9" width="22.88"/>
    <col customWidth="1" hidden="1" min="10" max="10" width="14.88"/>
    <col hidden="1" min="11" max="14" width="12.63"/>
    <col customWidth="1" hidden="1" min="15" max="15" width="22.88"/>
    <col hidden="1" min="16" max="22" width="12.63"/>
    <col customWidth="1" hidden="1" min="23" max="23" width="14.13"/>
    <col customWidth="1" hidden="1" min="24" max="24" width="14.5"/>
    <col hidden="1" min="25" max="28" width="12.63"/>
    <col customWidth="1" min="30" max="30" width="15.63"/>
    <col customWidth="1" min="31" max="31" width="22.88"/>
  </cols>
  <sheetData>
    <row r="1" ht="15.75" customHeight="1">
      <c r="A1" s="55" t="s">
        <v>88</v>
      </c>
      <c r="H1" s="56"/>
      <c r="I1" s="3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36"/>
      <c r="AE1" s="36"/>
      <c r="AF1" s="36"/>
      <c r="AG1" s="36"/>
      <c r="AH1" s="36"/>
      <c r="AI1" s="36"/>
      <c r="AJ1" s="36"/>
      <c r="AK1" s="36"/>
      <c r="AL1" s="36"/>
      <c r="AM1" s="56"/>
    </row>
    <row r="2" ht="15.75" customHeight="1">
      <c r="A2" s="57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89</v>
      </c>
      <c r="U2" s="9" t="s">
        <v>90</v>
      </c>
      <c r="V2" s="9" t="s">
        <v>91</v>
      </c>
      <c r="W2" s="31"/>
      <c r="X2" s="6" t="s">
        <v>20</v>
      </c>
      <c r="Y2" s="8"/>
      <c r="Z2" s="36"/>
      <c r="AA2" s="36"/>
      <c r="AB2" s="36"/>
      <c r="AC2" s="36"/>
      <c r="AD2" s="5" t="s">
        <v>11</v>
      </c>
      <c r="AE2" s="5" t="s">
        <v>12</v>
      </c>
      <c r="AF2" s="5" t="s">
        <v>13</v>
      </c>
      <c r="AG2" s="5" t="s">
        <v>14</v>
      </c>
      <c r="AH2" s="5" t="s">
        <v>15</v>
      </c>
      <c r="AI2" s="5" t="s">
        <v>16</v>
      </c>
      <c r="AJ2" s="5" t="s">
        <v>89</v>
      </c>
      <c r="AK2" s="5" t="s">
        <v>90</v>
      </c>
      <c r="AL2" s="5" t="s">
        <v>91</v>
      </c>
      <c r="AM2" s="56"/>
    </row>
    <row r="3" ht="15.75" customHeight="1">
      <c r="A3" s="58">
        <v>1.0</v>
      </c>
      <c r="B3" s="39"/>
      <c r="C3" s="59"/>
      <c r="D3" s="12" t="s">
        <v>22</v>
      </c>
      <c r="E3" s="40" t="s">
        <v>40</v>
      </c>
      <c r="F3" s="60"/>
      <c r="G3" s="60" t="s">
        <v>24</v>
      </c>
      <c r="H3" s="60"/>
      <c r="I3" s="40" t="s">
        <v>92</v>
      </c>
      <c r="J3" s="4"/>
      <c r="K3" s="4" t="str">
        <f t="shared" ref="K3:K68" si="1">IF(F3="","",IFS(F3&gt;H3,2,F3=H3,1,H3&gt;F3,0,F3="",0))</f>
        <v/>
      </c>
      <c r="L3" s="17" t="str">
        <f t="shared" ref="L3:L68" si="2">IF(H3="","",IFS(F3&lt;H3,2,F3=H3,1,H3&lt;F3,0))</f>
        <v/>
      </c>
      <c r="M3" s="4"/>
      <c r="N3" s="17">
        <v>1.0</v>
      </c>
      <c r="O3" s="61" t="s">
        <v>40</v>
      </c>
      <c r="P3" s="17">
        <f t="shared" ref="P3:P14" si="3">SUMIF(E$3:E$68,O3,K$3:K$68)+SUMIF(I$3:I$68,O3,L$3:L$68)</f>
        <v>2</v>
      </c>
      <c r="Q3" s="17">
        <f t="shared" ref="Q3:Q14" si="4">COUNTIFS(E$3:E$68,O3,K$3:K$68,2)+COUNTIFS(I$3:I$68,O3,L$3:L$68,2)</f>
        <v>1</v>
      </c>
      <c r="R3" s="17">
        <f t="shared" ref="R3:R14" si="5">COUNTIFS(E$3:E$68,O3,K$3:K$68,1)+COUNTIFS(I$3:I$68,O3,L$3:L$68,1)</f>
        <v>0</v>
      </c>
      <c r="S3" s="19">
        <f t="shared" ref="S3:S14" si="6">COUNTIFS(E$3:E$68,O3,K$3:K$68,0)+COUNTIFS(I$3:I$68,O3,L$3:L$68,0)</f>
        <v>0</v>
      </c>
      <c r="T3" s="17">
        <f t="shared" ref="T3:T14" si="7">SUMIF(E$3:E$68,O3,F$3:F$68)+SUMIF(I$3:I$68,O3,H$3:H$68)</f>
        <v>8</v>
      </c>
      <c r="U3" s="19">
        <f t="shared" ref="U3:U14" si="8">SUMIF(E$3:E$68,O3,H$3:H$68)+SUMIF(I$3:I$68,O3,F$3:F$68)</f>
        <v>5</v>
      </c>
      <c r="V3" s="17">
        <f t="shared" ref="V3:V14" si="9">T3-U3</f>
        <v>3</v>
      </c>
      <c r="W3" s="36"/>
      <c r="X3" s="62" t="s">
        <v>26</v>
      </c>
      <c r="Y3" s="62" t="s">
        <v>13</v>
      </c>
      <c r="Z3" s="56"/>
      <c r="AA3" s="56"/>
      <c r="AB3" s="56"/>
      <c r="AC3" s="56"/>
      <c r="AD3" s="21" t="s">
        <v>29</v>
      </c>
      <c r="AE3" s="63" t="str">
        <f t="array" ref="AE3:AL14">SORT(O3:V14,2,FALSE,9,FALSE,8,FALSE())</f>
        <v>EGI</v>
      </c>
      <c r="AF3" s="22">
        <v>4.0</v>
      </c>
      <c r="AG3" s="22">
        <v>2.0</v>
      </c>
      <c r="AH3" s="22">
        <v>0.0</v>
      </c>
      <c r="AI3" s="23">
        <v>0.0</v>
      </c>
      <c r="AJ3" s="22">
        <v>14.0</v>
      </c>
      <c r="AK3" s="23">
        <v>7.0</v>
      </c>
      <c r="AL3" s="22">
        <v>7.0</v>
      </c>
      <c r="AM3" s="56"/>
    </row>
    <row r="4" ht="15.75" customHeight="1">
      <c r="A4" s="24"/>
      <c r="B4" s="39"/>
      <c r="C4" s="59"/>
      <c r="D4" s="12" t="s">
        <v>22</v>
      </c>
      <c r="E4" s="40" t="s">
        <v>32</v>
      </c>
      <c r="F4" s="60"/>
      <c r="G4" s="60" t="s">
        <v>24</v>
      </c>
      <c r="H4" s="60"/>
      <c r="I4" s="40" t="s">
        <v>43</v>
      </c>
      <c r="J4" s="4"/>
      <c r="K4" s="4" t="str">
        <f t="shared" si="1"/>
        <v/>
      </c>
      <c r="L4" s="17" t="str">
        <f t="shared" si="2"/>
        <v/>
      </c>
      <c r="M4" s="4"/>
      <c r="N4" s="17">
        <v>2.0</v>
      </c>
      <c r="O4" s="61" t="s">
        <v>37</v>
      </c>
      <c r="P4" s="17">
        <f t="shared" si="3"/>
        <v>0</v>
      </c>
      <c r="Q4" s="17">
        <f t="shared" si="4"/>
        <v>0</v>
      </c>
      <c r="R4" s="17">
        <f t="shared" si="5"/>
        <v>0</v>
      </c>
      <c r="S4" s="19">
        <f t="shared" si="6"/>
        <v>2</v>
      </c>
      <c r="T4" s="17">
        <f t="shared" si="7"/>
        <v>12</v>
      </c>
      <c r="U4" s="19">
        <f t="shared" si="8"/>
        <v>15</v>
      </c>
      <c r="V4" s="17">
        <f t="shared" si="9"/>
        <v>-3</v>
      </c>
      <c r="W4" s="36"/>
      <c r="X4" s="27" t="s">
        <v>33</v>
      </c>
      <c r="Y4" s="27">
        <v>6.0</v>
      </c>
      <c r="Z4" s="56"/>
      <c r="AA4" s="56"/>
      <c r="AB4" s="56"/>
      <c r="AC4" s="56"/>
      <c r="AD4" s="21" t="s">
        <v>34</v>
      </c>
      <c r="AE4" s="63" t="s">
        <v>62</v>
      </c>
      <c r="AF4" s="22">
        <v>4.0</v>
      </c>
      <c r="AG4" s="22">
        <v>2.0</v>
      </c>
      <c r="AH4" s="22">
        <v>0.0</v>
      </c>
      <c r="AI4" s="23">
        <v>0.0</v>
      </c>
      <c r="AJ4" s="22">
        <v>14.0</v>
      </c>
      <c r="AK4" s="23">
        <v>9.0</v>
      </c>
      <c r="AL4" s="22">
        <v>5.0</v>
      </c>
      <c r="AM4" s="56"/>
    </row>
    <row r="5" ht="15.75" customHeight="1">
      <c r="A5" s="24"/>
      <c r="B5" s="39">
        <v>45952.0</v>
      </c>
      <c r="C5" s="59" t="s">
        <v>93</v>
      </c>
      <c r="D5" s="12" t="s">
        <v>22</v>
      </c>
      <c r="E5" s="40" t="s">
        <v>61</v>
      </c>
      <c r="F5" s="40">
        <v>6.0</v>
      </c>
      <c r="G5" s="60" t="s">
        <v>24</v>
      </c>
      <c r="H5" s="40">
        <v>11.0</v>
      </c>
      <c r="I5" s="40" t="s">
        <v>33</v>
      </c>
      <c r="J5" s="4"/>
      <c r="K5" s="4">
        <f t="shared" si="1"/>
        <v>0</v>
      </c>
      <c r="L5" s="17">
        <f t="shared" si="2"/>
        <v>2</v>
      </c>
      <c r="M5" s="4"/>
      <c r="N5" s="17">
        <v>3.0</v>
      </c>
      <c r="O5" s="61" t="s">
        <v>92</v>
      </c>
      <c r="P5" s="17">
        <f t="shared" si="3"/>
        <v>0</v>
      </c>
      <c r="Q5" s="17">
        <f t="shared" si="4"/>
        <v>0</v>
      </c>
      <c r="R5" s="17">
        <f t="shared" si="5"/>
        <v>0</v>
      </c>
      <c r="S5" s="19">
        <f t="shared" si="6"/>
        <v>1</v>
      </c>
      <c r="T5" s="17">
        <f t="shared" si="7"/>
        <v>4</v>
      </c>
      <c r="U5" s="19">
        <f t="shared" si="8"/>
        <v>9</v>
      </c>
      <c r="V5" s="17">
        <f t="shared" si="9"/>
        <v>-5</v>
      </c>
      <c r="W5" s="36"/>
      <c r="X5" s="27" t="s">
        <v>32</v>
      </c>
      <c r="Y5" s="27">
        <v>3.0</v>
      </c>
      <c r="Z5" s="56"/>
      <c r="AA5" s="56"/>
      <c r="AB5" s="56"/>
      <c r="AC5" s="56"/>
      <c r="AD5" s="21" t="s">
        <v>38</v>
      </c>
      <c r="AE5" s="63" t="s">
        <v>94</v>
      </c>
      <c r="AF5" s="22">
        <v>2.0</v>
      </c>
      <c r="AG5" s="22">
        <v>1.0</v>
      </c>
      <c r="AH5" s="22">
        <v>0.0</v>
      </c>
      <c r="AI5" s="23">
        <v>1.0</v>
      </c>
      <c r="AJ5" s="22">
        <v>17.0</v>
      </c>
      <c r="AK5" s="23">
        <v>11.0</v>
      </c>
      <c r="AL5" s="22">
        <v>6.0</v>
      </c>
      <c r="AM5" s="56"/>
    </row>
    <row r="6" ht="15.75" customHeight="1">
      <c r="A6" s="24"/>
      <c r="B6" s="39">
        <v>45952.0</v>
      </c>
      <c r="C6" s="12" t="s">
        <v>95</v>
      </c>
      <c r="D6" s="12" t="s">
        <v>22</v>
      </c>
      <c r="E6" s="40" t="s">
        <v>94</v>
      </c>
      <c r="F6" s="40">
        <v>4.0</v>
      </c>
      <c r="G6" s="60" t="s">
        <v>24</v>
      </c>
      <c r="H6" s="40">
        <v>7.0</v>
      </c>
      <c r="I6" s="40" t="s">
        <v>62</v>
      </c>
      <c r="J6" s="4"/>
      <c r="K6" s="4">
        <f t="shared" si="1"/>
        <v>0</v>
      </c>
      <c r="L6" s="17">
        <f t="shared" si="2"/>
        <v>2</v>
      </c>
      <c r="M6" s="4"/>
      <c r="N6" s="17">
        <v>4.0</v>
      </c>
      <c r="O6" s="61" t="s">
        <v>57</v>
      </c>
      <c r="P6" s="17">
        <f t="shared" si="3"/>
        <v>2</v>
      </c>
      <c r="Q6" s="17">
        <f t="shared" si="4"/>
        <v>1</v>
      </c>
      <c r="R6" s="17">
        <f t="shared" si="5"/>
        <v>0</v>
      </c>
      <c r="S6" s="19">
        <f t="shared" si="6"/>
        <v>1</v>
      </c>
      <c r="T6" s="17">
        <f t="shared" si="7"/>
        <v>13</v>
      </c>
      <c r="U6" s="19">
        <f t="shared" si="8"/>
        <v>17</v>
      </c>
      <c r="V6" s="17">
        <f t="shared" si="9"/>
        <v>-4</v>
      </c>
      <c r="W6" s="56"/>
      <c r="X6" s="27" t="s">
        <v>36</v>
      </c>
      <c r="Y6" s="27">
        <v>0.0</v>
      </c>
      <c r="Z6" s="56"/>
      <c r="AA6" s="56"/>
      <c r="AB6" s="56"/>
      <c r="AC6" s="56"/>
      <c r="AD6" s="21" t="s">
        <v>41</v>
      </c>
      <c r="AE6" s="63" t="s">
        <v>40</v>
      </c>
      <c r="AF6" s="22">
        <v>2.0</v>
      </c>
      <c r="AG6" s="22">
        <v>1.0</v>
      </c>
      <c r="AH6" s="22">
        <v>0.0</v>
      </c>
      <c r="AI6" s="23">
        <v>0.0</v>
      </c>
      <c r="AJ6" s="22">
        <v>8.0</v>
      </c>
      <c r="AK6" s="23">
        <v>5.0</v>
      </c>
      <c r="AL6" s="22">
        <v>3.0</v>
      </c>
      <c r="AM6" s="56"/>
    </row>
    <row r="7" ht="15.75" customHeight="1">
      <c r="A7" s="24"/>
      <c r="B7" s="39">
        <v>45952.0</v>
      </c>
      <c r="C7" s="64" t="s">
        <v>96</v>
      </c>
      <c r="D7" s="12" t="s">
        <v>22</v>
      </c>
      <c r="E7" s="40" t="s">
        <v>57</v>
      </c>
      <c r="F7" s="40">
        <v>3.0</v>
      </c>
      <c r="G7" s="60" t="s">
        <v>24</v>
      </c>
      <c r="H7" s="40">
        <v>8.0</v>
      </c>
      <c r="I7" s="40" t="s">
        <v>36</v>
      </c>
      <c r="J7" s="4"/>
      <c r="K7" s="4">
        <f t="shared" si="1"/>
        <v>0</v>
      </c>
      <c r="L7" s="17">
        <f t="shared" si="2"/>
        <v>2</v>
      </c>
      <c r="M7" s="4"/>
      <c r="N7" s="17">
        <v>5.0</v>
      </c>
      <c r="O7" s="61" t="s">
        <v>43</v>
      </c>
      <c r="P7" s="17">
        <f t="shared" si="3"/>
        <v>0</v>
      </c>
      <c r="Q7" s="17">
        <f t="shared" si="4"/>
        <v>0</v>
      </c>
      <c r="R7" s="17">
        <f t="shared" si="5"/>
        <v>0</v>
      </c>
      <c r="S7" s="19">
        <f t="shared" si="6"/>
        <v>1</v>
      </c>
      <c r="T7" s="17">
        <f t="shared" si="7"/>
        <v>5</v>
      </c>
      <c r="U7" s="19">
        <f t="shared" si="8"/>
        <v>8</v>
      </c>
      <c r="V7" s="17">
        <f t="shared" si="9"/>
        <v>-3</v>
      </c>
      <c r="W7" s="56"/>
      <c r="X7" s="36"/>
      <c r="Y7" s="56"/>
      <c r="Z7" s="56"/>
      <c r="AA7" s="56"/>
      <c r="AB7" s="56"/>
      <c r="AC7" s="56"/>
      <c r="AD7" s="21" t="s">
        <v>44</v>
      </c>
      <c r="AE7" s="63" t="s">
        <v>33</v>
      </c>
      <c r="AF7" s="22">
        <v>2.0</v>
      </c>
      <c r="AG7" s="22">
        <v>1.0</v>
      </c>
      <c r="AH7" s="22">
        <v>0.0</v>
      </c>
      <c r="AI7" s="23">
        <v>1.0</v>
      </c>
      <c r="AJ7" s="22">
        <v>24.0</v>
      </c>
      <c r="AK7" s="23">
        <v>21.0</v>
      </c>
      <c r="AL7" s="22">
        <v>3.0</v>
      </c>
      <c r="AM7" s="56"/>
    </row>
    <row r="8" ht="15.75" customHeight="1">
      <c r="A8" s="28"/>
      <c r="B8" s="39">
        <v>45952.0</v>
      </c>
      <c r="C8" s="12" t="s">
        <v>97</v>
      </c>
      <c r="D8" s="12" t="s">
        <v>22</v>
      </c>
      <c r="E8" s="40" t="s">
        <v>25</v>
      </c>
      <c r="F8" s="40">
        <v>5.0</v>
      </c>
      <c r="G8" s="60" t="s">
        <v>24</v>
      </c>
      <c r="H8" s="40">
        <v>3.0</v>
      </c>
      <c r="I8" s="40" t="s">
        <v>37</v>
      </c>
      <c r="J8" s="4"/>
      <c r="K8" s="4">
        <f t="shared" si="1"/>
        <v>2</v>
      </c>
      <c r="L8" s="17">
        <f t="shared" si="2"/>
        <v>0</v>
      </c>
      <c r="M8" s="4"/>
      <c r="N8" s="17">
        <v>6.0</v>
      </c>
      <c r="O8" s="61" t="s">
        <v>94</v>
      </c>
      <c r="P8" s="17">
        <f t="shared" si="3"/>
        <v>2</v>
      </c>
      <c r="Q8" s="17">
        <f t="shared" si="4"/>
        <v>1</v>
      </c>
      <c r="R8" s="17">
        <f t="shared" si="5"/>
        <v>0</v>
      </c>
      <c r="S8" s="19">
        <f t="shared" si="6"/>
        <v>1</v>
      </c>
      <c r="T8" s="17">
        <f t="shared" si="7"/>
        <v>17</v>
      </c>
      <c r="U8" s="19">
        <f t="shared" si="8"/>
        <v>11</v>
      </c>
      <c r="V8" s="17">
        <f t="shared" si="9"/>
        <v>6</v>
      </c>
      <c r="W8" s="56"/>
      <c r="X8" s="6" t="s">
        <v>46</v>
      </c>
      <c r="Y8" s="7"/>
      <c r="Z8" s="7"/>
      <c r="AA8" s="7"/>
      <c r="AB8" s="8"/>
      <c r="AC8" s="56"/>
      <c r="AD8" s="21" t="s">
        <v>47</v>
      </c>
      <c r="AE8" s="63" t="s">
        <v>32</v>
      </c>
      <c r="AF8" s="22">
        <v>2.0</v>
      </c>
      <c r="AG8" s="22">
        <v>1.0</v>
      </c>
      <c r="AH8" s="22">
        <v>0.0</v>
      </c>
      <c r="AI8" s="23">
        <v>0.0</v>
      </c>
      <c r="AJ8" s="22">
        <v>15.0</v>
      </c>
      <c r="AK8" s="23">
        <v>13.0</v>
      </c>
      <c r="AL8" s="22">
        <v>2.0</v>
      </c>
      <c r="AM8" s="56"/>
    </row>
    <row r="9" ht="15.75" customHeight="1">
      <c r="A9" s="58">
        <v>2.0</v>
      </c>
      <c r="B9" s="39">
        <v>45952.0</v>
      </c>
      <c r="C9" s="12" t="s">
        <v>98</v>
      </c>
      <c r="D9" s="12" t="s">
        <v>22</v>
      </c>
      <c r="E9" s="40" t="s">
        <v>92</v>
      </c>
      <c r="F9" s="40">
        <v>4.0</v>
      </c>
      <c r="G9" s="60" t="s">
        <v>24</v>
      </c>
      <c r="H9" s="40">
        <v>9.0</v>
      </c>
      <c r="I9" s="40" t="s">
        <v>25</v>
      </c>
      <c r="J9" s="4"/>
      <c r="K9" s="4">
        <f t="shared" si="1"/>
        <v>0</v>
      </c>
      <c r="L9" s="17">
        <f t="shared" si="2"/>
        <v>2</v>
      </c>
      <c r="M9" s="4"/>
      <c r="N9" s="17">
        <v>7.0</v>
      </c>
      <c r="O9" s="61" t="s">
        <v>33</v>
      </c>
      <c r="P9" s="17">
        <f t="shared" si="3"/>
        <v>2</v>
      </c>
      <c r="Q9" s="17">
        <f t="shared" si="4"/>
        <v>1</v>
      </c>
      <c r="R9" s="17">
        <f t="shared" si="5"/>
        <v>0</v>
      </c>
      <c r="S9" s="19">
        <f t="shared" si="6"/>
        <v>1</v>
      </c>
      <c r="T9" s="17">
        <f t="shared" si="7"/>
        <v>24</v>
      </c>
      <c r="U9" s="19">
        <f t="shared" si="8"/>
        <v>21</v>
      </c>
      <c r="V9" s="17">
        <f t="shared" si="9"/>
        <v>3</v>
      </c>
      <c r="W9" s="56"/>
      <c r="X9" s="62" t="s">
        <v>26</v>
      </c>
      <c r="Y9" s="62" t="s">
        <v>13</v>
      </c>
      <c r="Z9" s="62" t="s">
        <v>89</v>
      </c>
      <c r="AA9" s="62" t="s">
        <v>90</v>
      </c>
      <c r="AB9" s="62" t="s">
        <v>91</v>
      </c>
      <c r="AC9" s="56"/>
      <c r="AD9" s="47">
        <v>7.0</v>
      </c>
      <c r="AE9" s="63" t="s">
        <v>57</v>
      </c>
      <c r="AF9" s="22">
        <v>2.0</v>
      </c>
      <c r="AG9" s="22">
        <v>1.0</v>
      </c>
      <c r="AH9" s="22">
        <v>0.0</v>
      </c>
      <c r="AI9" s="23">
        <v>1.0</v>
      </c>
      <c r="AJ9" s="22">
        <v>13.0</v>
      </c>
      <c r="AK9" s="23">
        <v>17.0</v>
      </c>
      <c r="AL9" s="22">
        <v>-4.0</v>
      </c>
      <c r="AM9" s="56"/>
    </row>
    <row r="10" ht="15.75" customHeight="1">
      <c r="A10" s="24"/>
      <c r="B10" s="39">
        <v>45952.0</v>
      </c>
      <c r="C10" s="64" t="s">
        <v>99</v>
      </c>
      <c r="D10" s="12" t="s">
        <v>22</v>
      </c>
      <c r="E10" s="40" t="s">
        <v>43</v>
      </c>
      <c r="F10" s="40">
        <v>5.0</v>
      </c>
      <c r="G10" s="60" t="s">
        <v>24</v>
      </c>
      <c r="H10" s="40">
        <v>8.0</v>
      </c>
      <c r="I10" s="40" t="s">
        <v>40</v>
      </c>
      <c r="J10" s="4"/>
      <c r="K10" s="4">
        <f t="shared" si="1"/>
        <v>0</v>
      </c>
      <c r="L10" s="17">
        <f t="shared" si="2"/>
        <v>2</v>
      </c>
      <c r="M10" s="4"/>
      <c r="N10" s="17">
        <v>8.0</v>
      </c>
      <c r="O10" s="61" t="s">
        <v>61</v>
      </c>
      <c r="P10" s="17">
        <f t="shared" si="3"/>
        <v>0</v>
      </c>
      <c r="Q10" s="17">
        <f t="shared" si="4"/>
        <v>0</v>
      </c>
      <c r="R10" s="17">
        <f t="shared" si="5"/>
        <v>0</v>
      </c>
      <c r="S10" s="19">
        <f t="shared" si="6"/>
        <v>2</v>
      </c>
      <c r="T10" s="17">
        <f t="shared" si="7"/>
        <v>11</v>
      </c>
      <c r="U10" s="19">
        <f t="shared" si="8"/>
        <v>18</v>
      </c>
      <c r="V10" s="17">
        <f t="shared" si="9"/>
        <v>-7</v>
      </c>
      <c r="W10" s="56"/>
      <c r="X10" s="65" t="s">
        <v>57</v>
      </c>
      <c r="Y10" s="65">
        <v>3.0</v>
      </c>
      <c r="Z10" s="27">
        <v>27.0</v>
      </c>
      <c r="AA10" s="27">
        <v>16.0</v>
      </c>
      <c r="AB10" s="27">
        <f t="shared" ref="AB10:AB12" si="10">Z10-AA10</f>
        <v>11</v>
      </c>
      <c r="AC10" s="56"/>
      <c r="AD10" s="47">
        <v>8.0</v>
      </c>
      <c r="AE10" s="63" t="s">
        <v>36</v>
      </c>
      <c r="AF10" s="22">
        <v>2.0</v>
      </c>
      <c r="AG10" s="22">
        <v>1.0</v>
      </c>
      <c r="AH10" s="22">
        <v>0.0</v>
      </c>
      <c r="AI10" s="23">
        <v>1.0</v>
      </c>
      <c r="AJ10" s="22">
        <v>12.0</v>
      </c>
      <c r="AK10" s="23">
        <v>16.0</v>
      </c>
      <c r="AL10" s="22">
        <v>-4.0</v>
      </c>
      <c r="AM10" s="56"/>
    </row>
    <row r="11" ht="15.75" customHeight="1">
      <c r="A11" s="24"/>
      <c r="B11" s="39">
        <v>45952.0</v>
      </c>
      <c r="C11" s="64" t="s">
        <v>100</v>
      </c>
      <c r="D11" s="12" t="s">
        <v>22</v>
      </c>
      <c r="E11" s="40" t="s">
        <v>33</v>
      </c>
      <c r="F11" s="40">
        <v>13.0</v>
      </c>
      <c r="G11" s="60" t="s">
        <v>24</v>
      </c>
      <c r="H11" s="40">
        <v>15.0</v>
      </c>
      <c r="I11" s="40" t="s">
        <v>32</v>
      </c>
      <c r="J11" s="4"/>
      <c r="K11" s="4">
        <f t="shared" si="1"/>
        <v>0</v>
      </c>
      <c r="L11" s="17">
        <f t="shared" si="2"/>
        <v>2</v>
      </c>
      <c r="M11" s="4"/>
      <c r="N11" s="17">
        <v>9.0</v>
      </c>
      <c r="O11" s="61" t="s">
        <v>62</v>
      </c>
      <c r="P11" s="17">
        <f t="shared" si="3"/>
        <v>4</v>
      </c>
      <c r="Q11" s="17">
        <f t="shared" si="4"/>
        <v>2</v>
      </c>
      <c r="R11" s="17">
        <f t="shared" si="5"/>
        <v>0</v>
      </c>
      <c r="S11" s="19">
        <f t="shared" si="6"/>
        <v>0</v>
      </c>
      <c r="T11" s="17">
        <f t="shared" si="7"/>
        <v>14</v>
      </c>
      <c r="U11" s="19">
        <f t="shared" si="8"/>
        <v>9</v>
      </c>
      <c r="V11" s="17">
        <f t="shared" si="9"/>
        <v>5</v>
      </c>
      <c r="W11" s="56"/>
      <c r="X11" s="27" t="s">
        <v>25</v>
      </c>
      <c r="Y11" s="27">
        <v>3.0</v>
      </c>
      <c r="Z11" s="27">
        <v>26.0</v>
      </c>
      <c r="AA11" s="27">
        <v>29.0</v>
      </c>
      <c r="AB11" s="27">
        <f t="shared" si="10"/>
        <v>-3</v>
      </c>
      <c r="AC11" s="56"/>
      <c r="AD11" s="66" t="s">
        <v>101</v>
      </c>
      <c r="AE11" s="67" t="s">
        <v>37</v>
      </c>
      <c r="AF11" s="44">
        <v>0.0</v>
      </c>
      <c r="AG11" s="44">
        <v>0.0</v>
      </c>
      <c r="AH11" s="44">
        <v>0.0</v>
      </c>
      <c r="AI11" s="45">
        <v>2.0</v>
      </c>
      <c r="AJ11" s="44">
        <v>12.0</v>
      </c>
      <c r="AK11" s="45">
        <v>15.0</v>
      </c>
      <c r="AL11" s="44">
        <v>-3.0</v>
      </c>
      <c r="AM11" s="56"/>
    </row>
    <row r="12" ht="15.75" customHeight="1">
      <c r="A12" s="24"/>
      <c r="B12" s="39">
        <v>45952.0</v>
      </c>
      <c r="C12" s="64" t="s">
        <v>102</v>
      </c>
      <c r="D12" s="12" t="s">
        <v>22</v>
      </c>
      <c r="E12" s="40" t="s">
        <v>62</v>
      </c>
      <c r="F12" s="40">
        <v>7.0</v>
      </c>
      <c r="G12" s="60" t="s">
        <v>24</v>
      </c>
      <c r="H12" s="40">
        <v>5.0</v>
      </c>
      <c r="I12" s="40" t="s">
        <v>61</v>
      </c>
      <c r="J12" s="4"/>
      <c r="K12" s="4">
        <f t="shared" si="1"/>
        <v>2</v>
      </c>
      <c r="L12" s="17">
        <f t="shared" si="2"/>
        <v>0</v>
      </c>
      <c r="M12" s="4"/>
      <c r="N12" s="17">
        <v>10.0</v>
      </c>
      <c r="O12" s="68" t="s">
        <v>32</v>
      </c>
      <c r="P12" s="17">
        <f t="shared" si="3"/>
        <v>2</v>
      </c>
      <c r="Q12" s="17">
        <f t="shared" si="4"/>
        <v>1</v>
      </c>
      <c r="R12" s="17">
        <f t="shared" si="5"/>
        <v>0</v>
      </c>
      <c r="S12" s="19">
        <f t="shared" si="6"/>
        <v>0</v>
      </c>
      <c r="T12" s="17">
        <f t="shared" si="7"/>
        <v>15</v>
      </c>
      <c r="U12" s="19">
        <f t="shared" si="8"/>
        <v>13</v>
      </c>
      <c r="V12" s="17">
        <f t="shared" si="9"/>
        <v>2</v>
      </c>
      <c r="W12" s="56"/>
      <c r="X12" s="27" t="s">
        <v>92</v>
      </c>
      <c r="Y12" s="27">
        <v>3.0</v>
      </c>
      <c r="Z12" s="27">
        <v>22.0</v>
      </c>
      <c r="AA12" s="27">
        <v>30.0</v>
      </c>
      <c r="AB12" s="27">
        <f t="shared" si="10"/>
        <v>-8</v>
      </c>
      <c r="AC12" s="56"/>
      <c r="AD12" s="69">
        <v>10.0</v>
      </c>
      <c r="AE12" s="63" t="s">
        <v>43</v>
      </c>
      <c r="AF12" s="22">
        <v>0.0</v>
      </c>
      <c r="AG12" s="22">
        <v>0.0</v>
      </c>
      <c r="AH12" s="22">
        <v>0.0</v>
      </c>
      <c r="AI12" s="23">
        <v>1.0</v>
      </c>
      <c r="AJ12" s="22">
        <v>5.0</v>
      </c>
      <c r="AK12" s="23">
        <v>8.0</v>
      </c>
      <c r="AL12" s="22">
        <v>-3.0</v>
      </c>
      <c r="AM12" s="56"/>
    </row>
    <row r="13" ht="15.75" customHeight="1">
      <c r="A13" s="24"/>
      <c r="B13" s="11">
        <v>45952.0</v>
      </c>
      <c r="C13" s="64" t="s">
        <v>103</v>
      </c>
      <c r="D13" s="12" t="s">
        <v>22</v>
      </c>
      <c r="E13" s="40" t="s">
        <v>36</v>
      </c>
      <c r="F13" s="40">
        <v>4.0</v>
      </c>
      <c r="G13" s="60" t="s">
        <v>24</v>
      </c>
      <c r="H13" s="40">
        <v>13.0</v>
      </c>
      <c r="I13" s="40" t="s">
        <v>94</v>
      </c>
      <c r="J13" s="4"/>
      <c r="K13" s="4">
        <f t="shared" si="1"/>
        <v>0</v>
      </c>
      <c r="L13" s="17">
        <f t="shared" si="2"/>
        <v>2</v>
      </c>
      <c r="M13" s="4"/>
      <c r="N13" s="70">
        <v>11.0</v>
      </c>
      <c r="O13" s="70" t="s">
        <v>36</v>
      </c>
      <c r="P13" s="17">
        <f t="shared" si="3"/>
        <v>2</v>
      </c>
      <c r="Q13" s="17">
        <f t="shared" si="4"/>
        <v>1</v>
      </c>
      <c r="R13" s="17">
        <f t="shared" si="5"/>
        <v>0</v>
      </c>
      <c r="S13" s="19">
        <f t="shared" si="6"/>
        <v>1</v>
      </c>
      <c r="T13" s="17">
        <f t="shared" si="7"/>
        <v>12</v>
      </c>
      <c r="U13" s="19">
        <f t="shared" si="8"/>
        <v>16</v>
      </c>
      <c r="V13" s="17">
        <f t="shared" si="9"/>
        <v>-4</v>
      </c>
      <c r="W13" s="56"/>
      <c r="X13" s="56"/>
      <c r="Y13" s="56"/>
      <c r="Z13" s="56"/>
      <c r="AA13" s="56"/>
      <c r="AB13" s="56"/>
      <c r="AC13" s="56"/>
      <c r="AD13" s="33">
        <v>11.0</v>
      </c>
      <c r="AE13" s="71" t="s">
        <v>92</v>
      </c>
      <c r="AF13" s="22">
        <v>0.0</v>
      </c>
      <c r="AG13" s="22">
        <v>0.0</v>
      </c>
      <c r="AH13" s="22">
        <v>0.0</v>
      </c>
      <c r="AI13" s="22">
        <v>1.0</v>
      </c>
      <c r="AJ13" s="22">
        <v>4.0</v>
      </c>
      <c r="AK13" s="22">
        <v>9.0</v>
      </c>
      <c r="AL13" s="22">
        <v>-5.0</v>
      </c>
      <c r="AM13" s="56"/>
    </row>
    <row r="14" ht="15.75" customHeight="1">
      <c r="A14" s="28"/>
      <c r="B14" s="11">
        <v>45952.0</v>
      </c>
      <c r="C14" s="64" t="s">
        <v>104</v>
      </c>
      <c r="D14" s="12" t="s">
        <v>22</v>
      </c>
      <c r="E14" s="40" t="s">
        <v>37</v>
      </c>
      <c r="F14" s="40">
        <v>9.0</v>
      </c>
      <c r="G14" s="60" t="s">
        <v>24</v>
      </c>
      <c r="H14" s="40">
        <v>10.0</v>
      </c>
      <c r="I14" s="40" t="s">
        <v>57</v>
      </c>
      <c r="J14" s="4"/>
      <c r="K14" s="4">
        <f t="shared" si="1"/>
        <v>0</v>
      </c>
      <c r="L14" s="17">
        <f t="shared" si="2"/>
        <v>2</v>
      </c>
      <c r="M14" s="4"/>
      <c r="N14" s="70">
        <v>12.0</v>
      </c>
      <c r="O14" s="70" t="s">
        <v>25</v>
      </c>
      <c r="P14" s="17">
        <f t="shared" si="3"/>
        <v>4</v>
      </c>
      <c r="Q14" s="17">
        <f t="shared" si="4"/>
        <v>2</v>
      </c>
      <c r="R14" s="17">
        <f t="shared" si="5"/>
        <v>0</v>
      </c>
      <c r="S14" s="19">
        <f t="shared" si="6"/>
        <v>0</v>
      </c>
      <c r="T14" s="17">
        <f t="shared" si="7"/>
        <v>14</v>
      </c>
      <c r="U14" s="19">
        <f t="shared" si="8"/>
        <v>7</v>
      </c>
      <c r="V14" s="17">
        <f t="shared" si="9"/>
        <v>7</v>
      </c>
      <c r="W14" s="56"/>
      <c r="X14" s="56"/>
      <c r="Y14" s="56"/>
      <c r="Z14" s="56"/>
      <c r="AA14" s="56"/>
      <c r="AB14" s="56"/>
      <c r="AC14" s="56"/>
      <c r="AD14" s="33">
        <v>12.0</v>
      </c>
      <c r="AE14" s="71" t="s">
        <v>61</v>
      </c>
      <c r="AF14" s="22">
        <v>0.0</v>
      </c>
      <c r="AG14" s="22">
        <v>0.0</v>
      </c>
      <c r="AH14" s="22">
        <v>0.0</v>
      </c>
      <c r="AI14" s="22">
        <v>2.0</v>
      </c>
      <c r="AJ14" s="22">
        <v>11.0</v>
      </c>
      <c r="AK14" s="22">
        <v>18.0</v>
      </c>
      <c r="AL14" s="22">
        <v>-7.0</v>
      </c>
      <c r="AM14" s="56"/>
    </row>
    <row r="15" ht="15.75" customHeight="1">
      <c r="A15" s="58">
        <v>3.0</v>
      </c>
      <c r="B15" s="72"/>
      <c r="C15" s="60"/>
      <c r="D15" s="60"/>
      <c r="E15" s="40" t="s">
        <v>92</v>
      </c>
      <c r="F15" s="60"/>
      <c r="G15" s="60" t="s">
        <v>24</v>
      </c>
      <c r="H15" s="60"/>
      <c r="I15" s="40" t="s">
        <v>43</v>
      </c>
      <c r="J15" s="4"/>
      <c r="K15" s="4" t="str">
        <f t="shared" si="1"/>
        <v/>
      </c>
      <c r="L15" s="17" t="str">
        <f t="shared" si="2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56"/>
      <c r="X15" s="56"/>
      <c r="Y15" s="56"/>
      <c r="Z15" s="56"/>
      <c r="AA15" s="56"/>
      <c r="AB15" s="56"/>
      <c r="AC15" s="56"/>
      <c r="AD15" s="34" t="s">
        <v>105</v>
      </c>
      <c r="AG15" s="56"/>
      <c r="AH15" s="56"/>
      <c r="AI15" s="36"/>
      <c r="AJ15" s="36"/>
      <c r="AK15" s="36"/>
      <c r="AL15" s="36"/>
      <c r="AM15" s="56"/>
    </row>
    <row r="16" ht="15.75" customHeight="1">
      <c r="A16" s="24"/>
      <c r="B16" s="72"/>
      <c r="C16" s="60"/>
      <c r="D16" s="60"/>
      <c r="E16" s="40" t="s">
        <v>40</v>
      </c>
      <c r="F16" s="60"/>
      <c r="G16" s="60" t="s">
        <v>24</v>
      </c>
      <c r="H16" s="60"/>
      <c r="I16" s="40" t="s">
        <v>33</v>
      </c>
      <c r="J16" s="4"/>
      <c r="K16" s="4" t="str">
        <f t="shared" si="1"/>
        <v/>
      </c>
      <c r="L16" s="17" t="str">
        <f t="shared" si="2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56"/>
      <c r="X16" s="56"/>
      <c r="Y16" s="56"/>
      <c r="Z16" s="56"/>
      <c r="AA16" s="56"/>
      <c r="AB16" s="56"/>
      <c r="AC16" s="56"/>
      <c r="AD16" s="73" t="s">
        <v>106</v>
      </c>
      <c r="AG16" s="56"/>
      <c r="AH16" s="56"/>
      <c r="AI16" s="36"/>
      <c r="AJ16" s="36"/>
      <c r="AK16" s="36"/>
      <c r="AL16" s="36"/>
      <c r="AM16" s="56"/>
    </row>
    <row r="17" ht="15.75" customHeight="1">
      <c r="A17" s="24"/>
      <c r="B17" s="72"/>
      <c r="C17" s="60"/>
      <c r="D17" s="60"/>
      <c r="E17" s="40" t="s">
        <v>32</v>
      </c>
      <c r="F17" s="60"/>
      <c r="G17" s="60" t="s">
        <v>24</v>
      </c>
      <c r="H17" s="60"/>
      <c r="I17" s="40" t="s">
        <v>62</v>
      </c>
      <c r="J17" s="4"/>
      <c r="K17" s="4" t="str">
        <f t="shared" si="1"/>
        <v/>
      </c>
      <c r="L17" s="17" t="str">
        <f t="shared" si="2"/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56"/>
      <c r="X17" s="56"/>
      <c r="Y17" s="56"/>
      <c r="Z17" s="56"/>
      <c r="AA17" s="56"/>
      <c r="AB17" s="56"/>
      <c r="AC17" s="56"/>
      <c r="AD17" s="4"/>
      <c r="AG17" s="36"/>
      <c r="AI17" s="36"/>
      <c r="AJ17" s="36"/>
      <c r="AK17" s="36"/>
      <c r="AL17" s="36"/>
      <c r="AM17" s="56"/>
    </row>
    <row r="18" ht="15.75" customHeight="1">
      <c r="A18" s="24"/>
      <c r="B18" s="72"/>
      <c r="C18" s="60"/>
      <c r="D18" s="60"/>
      <c r="E18" s="40" t="s">
        <v>61</v>
      </c>
      <c r="F18" s="60"/>
      <c r="G18" s="60" t="s">
        <v>24</v>
      </c>
      <c r="H18" s="60"/>
      <c r="I18" s="40" t="s">
        <v>36</v>
      </c>
      <c r="J18" s="37"/>
      <c r="K18" s="4" t="str">
        <f t="shared" si="1"/>
        <v/>
      </c>
      <c r="L18" s="17" t="str">
        <f t="shared" si="2"/>
        <v/>
      </c>
      <c r="M18" s="4"/>
      <c r="N18" s="4"/>
      <c r="O18" s="4"/>
      <c r="P18" s="4"/>
      <c r="Q18" s="56"/>
      <c r="R18" s="4"/>
      <c r="S18" s="4"/>
      <c r="T18" s="4"/>
      <c r="U18" s="4"/>
      <c r="V18" s="4"/>
      <c r="W18" s="56"/>
      <c r="X18" s="56"/>
      <c r="Y18" s="56"/>
      <c r="Z18" s="56"/>
      <c r="AA18" s="56"/>
      <c r="AB18" s="56"/>
      <c r="AC18" s="56"/>
      <c r="AI18" s="36"/>
      <c r="AJ18" s="36"/>
      <c r="AK18" s="36"/>
      <c r="AL18" s="36"/>
      <c r="AM18" s="56"/>
    </row>
    <row r="19" ht="15.75" customHeight="1">
      <c r="A19" s="24"/>
      <c r="B19" s="72"/>
      <c r="C19" s="60"/>
      <c r="D19" s="60"/>
      <c r="E19" s="40" t="s">
        <v>94</v>
      </c>
      <c r="F19" s="60"/>
      <c r="G19" s="60" t="s">
        <v>24</v>
      </c>
      <c r="H19" s="60"/>
      <c r="I19" s="40" t="s">
        <v>37</v>
      </c>
      <c r="J19" s="4"/>
      <c r="K19" s="4" t="str">
        <f t="shared" si="1"/>
        <v/>
      </c>
      <c r="L19" s="17" t="str">
        <f t="shared" si="2"/>
        <v/>
      </c>
      <c r="M19" s="4"/>
      <c r="N19" s="4"/>
      <c r="O19" s="4"/>
      <c r="P19" s="74"/>
      <c r="Q19" s="4"/>
      <c r="R19" s="4"/>
      <c r="S19" s="4"/>
      <c r="T19" s="4"/>
      <c r="U19" s="4"/>
      <c r="V19" s="4"/>
      <c r="W19" s="56"/>
      <c r="X19" s="56"/>
      <c r="Y19" s="56"/>
      <c r="Z19" s="56"/>
      <c r="AA19" s="56"/>
      <c r="AB19" s="56"/>
      <c r="AC19" s="56"/>
      <c r="AI19" s="36"/>
      <c r="AJ19" s="36"/>
      <c r="AK19" s="36"/>
      <c r="AL19" s="36"/>
      <c r="AM19" s="56"/>
    </row>
    <row r="20" ht="15.75" customHeight="1">
      <c r="A20" s="28"/>
      <c r="B20" s="72"/>
      <c r="C20" s="60"/>
      <c r="D20" s="60"/>
      <c r="E20" s="40" t="s">
        <v>25</v>
      </c>
      <c r="F20" s="60"/>
      <c r="G20" s="60" t="s">
        <v>24</v>
      </c>
      <c r="H20" s="60"/>
      <c r="I20" s="40" t="s">
        <v>57</v>
      </c>
      <c r="J20" s="4"/>
      <c r="K20" s="4" t="str">
        <f t="shared" si="1"/>
        <v/>
      </c>
      <c r="L20" s="17" t="str">
        <f t="shared" si="2"/>
        <v/>
      </c>
      <c r="M20" s="4"/>
      <c r="N20" s="4"/>
      <c r="O20" s="4"/>
      <c r="P20" s="74"/>
      <c r="Q20" s="4"/>
      <c r="R20" s="4"/>
      <c r="S20" s="4"/>
      <c r="T20" s="4"/>
      <c r="U20" s="4"/>
      <c r="V20" s="4"/>
      <c r="W20" s="56"/>
      <c r="X20" s="56"/>
      <c r="Y20" s="56"/>
      <c r="Z20" s="56"/>
      <c r="AA20" s="56"/>
      <c r="AB20" s="56"/>
      <c r="AC20" s="56"/>
      <c r="AI20" s="36"/>
      <c r="AJ20" s="36"/>
      <c r="AK20" s="36"/>
      <c r="AL20" s="36"/>
      <c r="AM20" s="56"/>
    </row>
    <row r="21" ht="15.75" customHeight="1">
      <c r="A21" s="58">
        <v>4.0</v>
      </c>
      <c r="B21" s="40"/>
      <c r="C21" s="60"/>
      <c r="D21" s="60"/>
      <c r="E21" s="40" t="s">
        <v>43</v>
      </c>
      <c r="F21" s="60"/>
      <c r="G21" s="60" t="s">
        <v>24</v>
      </c>
      <c r="H21" s="60"/>
      <c r="I21" s="40" t="s">
        <v>25</v>
      </c>
      <c r="J21" s="4"/>
      <c r="K21" s="4" t="str">
        <f t="shared" si="1"/>
        <v/>
      </c>
      <c r="L21" s="17" t="str">
        <f t="shared" si="2"/>
        <v/>
      </c>
      <c r="M21" s="4"/>
      <c r="N21" s="4"/>
      <c r="O21" s="4"/>
      <c r="P21" s="74"/>
      <c r="Q21" s="4"/>
      <c r="R21" s="4"/>
      <c r="S21" s="4"/>
      <c r="T21" s="4"/>
      <c r="U21" s="4"/>
      <c r="V21" s="4"/>
      <c r="W21" s="56"/>
      <c r="X21" s="56"/>
      <c r="Y21" s="56"/>
      <c r="Z21" s="56"/>
      <c r="AA21" s="56"/>
      <c r="AB21" s="56"/>
      <c r="AC21" s="56"/>
      <c r="AI21" s="36"/>
      <c r="AJ21" s="36"/>
      <c r="AK21" s="36"/>
      <c r="AL21" s="36"/>
      <c r="AM21" s="56"/>
    </row>
    <row r="22" ht="15.75" customHeight="1">
      <c r="A22" s="24"/>
      <c r="B22" s="72"/>
      <c r="C22" s="60"/>
      <c r="D22" s="60"/>
      <c r="E22" s="40" t="s">
        <v>33</v>
      </c>
      <c r="F22" s="60"/>
      <c r="G22" s="60" t="s">
        <v>24</v>
      </c>
      <c r="H22" s="60"/>
      <c r="I22" s="40" t="s">
        <v>92</v>
      </c>
      <c r="J22" s="4"/>
      <c r="K22" s="4" t="str">
        <f t="shared" si="1"/>
        <v/>
      </c>
      <c r="L22" s="17" t="str">
        <f t="shared" si="2"/>
        <v/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56"/>
      <c r="X22" s="56"/>
      <c r="Y22" s="56"/>
      <c r="Z22" s="56"/>
      <c r="AA22" s="56"/>
      <c r="AB22" s="56"/>
      <c r="AC22" s="56"/>
      <c r="AI22" s="36"/>
      <c r="AJ22" s="36"/>
      <c r="AK22" s="36"/>
      <c r="AL22" s="36"/>
      <c r="AM22" s="56"/>
    </row>
    <row r="23" ht="15.75" customHeight="1">
      <c r="A23" s="24"/>
      <c r="B23" s="72"/>
      <c r="C23" s="60"/>
      <c r="D23" s="75"/>
      <c r="E23" s="40" t="s">
        <v>62</v>
      </c>
      <c r="F23" s="60"/>
      <c r="G23" s="60" t="s">
        <v>24</v>
      </c>
      <c r="H23" s="60"/>
      <c r="I23" s="40" t="s">
        <v>40</v>
      </c>
      <c r="J23" s="4"/>
      <c r="K23" s="4" t="str">
        <f t="shared" si="1"/>
        <v/>
      </c>
      <c r="L23" s="17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56"/>
      <c r="X23" s="56"/>
      <c r="Y23" s="56"/>
      <c r="Z23" s="56"/>
      <c r="AA23" s="56"/>
      <c r="AB23" s="56"/>
      <c r="AC23" s="56"/>
      <c r="AI23" s="36"/>
      <c r="AJ23" s="36"/>
      <c r="AK23" s="36"/>
      <c r="AL23" s="36"/>
      <c r="AM23" s="56"/>
    </row>
    <row r="24" ht="15.75" customHeight="1">
      <c r="A24" s="24"/>
      <c r="B24" s="72"/>
      <c r="C24" s="60"/>
      <c r="D24" s="75"/>
      <c r="E24" s="40" t="s">
        <v>36</v>
      </c>
      <c r="F24" s="60"/>
      <c r="G24" s="60" t="s">
        <v>24</v>
      </c>
      <c r="H24" s="60"/>
      <c r="I24" s="40" t="s">
        <v>32</v>
      </c>
      <c r="J24" s="4"/>
      <c r="K24" s="4" t="str">
        <f t="shared" si="1"/>
        <v/>
      </c>
      <c r="L24" s="17" t="str">
        <f t="shared" si="2"/>
        <v/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56"/>
      <c r="X24" s="56"/>
      <c r="Y24" s="56"/>
      <c r="Z24" s="56"/>
      <c r="AA24" s="56"/>
      <c r="AB24" s="56"/>
      <c r="AC24" s="56"/>
      <c r="AI24" s="36"/>
      <c r="AJ24" s="36"/>
      <c r="AK24" s="36"/>
      <c r="AL24" s="36"/>
      <c r="AM24" s="56"/>
    </row>
    <row r="25" ht="15.75" customHeight="1">
      <c r="A25" s="24"/>
      <c r="B25" s="72"/>
      <c r="C25" s="60"/>
      <c r="D25" s="75"/>
      <c r="E25" s="40" t="s">
        <v>37</v>
      </c>
      <c r="F25" s="60"/>
      <c r="G25" s="60" t="s">
        <v>24</v>
      </c>
      <c r="H25" s="60"/>
      <c r="I25" s="40" t="s">
        <v>61</v>
      </c>
      <c r="J25" s="4"/>
      <c r="K25" s="4" t="str">
        <f t="shared" si="1"/>
        <v/>
      </c>
      <c r="L25" s="17" t="str">
        <f t="shared" si="2"/>
        <v/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36"/>
      <c r="AH25" s="36"/>
      <c r="AI25" s="36"/>
      <c r="AJ25" s="36"/>
      <c r="AK25" s="36"/>
      <c r="AL25" s="36"/>
      <c r="AM25" s="56"/>
    </row>
    <row r="26" ht="15.75" customHeight="1">
      <c r="A26" s="28"/>
      <c r="B26" s="72"/>
      <c r="C26" s="60"/>
      <c r="D26" s="75"/>
      <c r="E26" s="40" t="s">
        <v>57</v>
      </c>
      <c r="F26" s="60"/>
      <c r="G26" s="60" t="s">
        <v>24</v>
      </c>
      <c r="H26" s="60"/>
      <c r="I26" s="40" t="s">
        <v>94</v>
      </c>
      <c r="J26" s="4"/>
      <c r="K26" s="4" t="str">
        <f t="shared" si="1"/>
        <v/>
      </c>
      <c r="L26" s="17" t="str">
        <f t="shared" si="2"/>
        <v/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56"/>
      <c r="X26" s="56"/>
      <c r="Y26" s="56"/>
      <c r="Z26" s="56"/>
      <c r="AA26" s="56"/>
      <c r="AB26" s="56"/>
      <c r="AC26" s="56"/>
      <c r="AD26" s="36"/>
      <c r="AE26" s="36"/>
      <c r="AF26" s="36"/>
      <c r="AG26" s="36"/>
      <c r="AH26" s="36"/>
      <c r="AI26" s="36"/>
      <c r="AJ26" s="36"/>
      <c r="AK26" s="36"/>
      <c r="AL26" s="36"/>
      <c r="AM26" s="56"/>
    </row>
    <row r="27" ht="15.75" customHeight="1">
      <c r="A27" s="58">
        <v>5.0</v>
      </c>
      <c r="B27" s="72"/>
      <c r="C27" s="60"/>
      <c r="D27" s="75"/>
      <c r="E27" s="40" t="s">
        <v>43</v>
      </c>
      <c r="F27" s="60"/>
      <c r="G27" s="60" t="s">
        <v>24</v>
      </c>
      <c r="H27" s="60"/>
      <c r="I27" s="40" t="s">
        <v>33</v>
      </c>
      <c r="J27" s="4"/>
      <c r="K27" s="4" t="str">
        <f t="shared" si="1"/>
        <v/>
      </c>
      <c r="L27" s="17" t="str">
        <f t="shared" si="2"/>
        <v/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56"/>
      <c r="X27" s="56"/>
      <c r="Y27" s="56"/>
      <c r="Z27" s="56"/>
      <c r="AA27" s="56"/>
      <c r="AB27" s="56"/>
      <c r="AC27" s="56"/>
      <c r="AD27" s="36"/>
      <c r="AE27" s="36"/>
      <c r="AF27" s="36"/>
      <c r="AG27" s="36"/>
      <c r="AH27" s="36"/>
      <c r="AI27" s="36"/>
      <c r="AJ27" s="36"/>
      <c r="AK27" s="36"/>
      <c r="AL27" s="36"/>
      <c r="AM27" s="56"/>
    </row>
    <row r="28" ht="15.75" customHeight="1">
      <c r="A28" s="24"/>
      <c r="B28" s="72"/>
      <c r="C28" s="60"/>
      <c r="D28" s="75"/>
      <c r="E28" s="40" t="s">
        <v>92</v>
      </c>
      <c r="F28" s="60"/>
      <c r="G28" s="60" t="s">
        <v>24</v>
      </c>
      <c r="H28" s="60"/>
      <c r="I28" s="40" t="s">
        <v>62</v>
      </c>
      <c r="J28" s="4"/>
      <c r="K28" s="4" t="str">
        <f t="shared" si="1"/>
        <v/>
      </c>
      <c r="L28" s="17" t="str">
        <f t="shared" si="2"/>
        <v/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56"/>
      <c r="X28" s="56"/>
      <c r="Y28" s="56"/>
      <c r="Z28" s="56"/>
      <c r="AA28" s="56"/>
      <c r="AB28" s="56"/>
      <c r="AC28" s="56"/>
      <c r="AD28" s="36"/>
      <c r="AE28" s="36"/>
      <c r="AF28" s="36"/>
      <c r="AG28" s="36"/>
      <c r="AH28" s="36"/>
      <c r="AI28" s="36"/>
      <c r="AJ28" s="36"/>
      <c r="AK28" s="36"/>
      <c r="AL28" s="36"/>
      <c r="AM28" s="56"/>
    </row>
    <row r="29" ht="15.75" customHeight="1">
      <c r="A29" s="24"/>
      <c r="B29" s="72"/>
      <c r="C29" s="60"/>
      <c r="D29" s="75"/>
      <c r="E29" s="40" t="s">
        <v>40</v>
      </c>
      <c r="F29" s="60"/>
      <c r="G29" s="60" t="s">
        <v>24</v>
      </c>
      <c r="H29" s="60"/>
      <c r="I29" s="40" t="s">
        <v>36</v>
      </c>
      <c r="J29" s="4"/>
      <c r="K29" s="4" t="str">
        <f t="shared" si="1"/>
        <v/>
      </c>
      <c r="L29" s="17" t="str">
        <f t="shared" si="2"/>
        <v/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56"/>
      <c r="X29" s="56"/>
      <c r="Y29" s="56"/>
      <c r="Z29" s="56"/>
      <c r="AA29" s="56"/>
      <c r="AB29" s="56"/>
      <c r="AC29" s="56"/>
      <c r="AD29" s="36"/>
      <c r="AE29" s="36"/>
      <c r="AF29" s="36"/>
      <c r="AG29" s="36"/>
      <c r="AH29" s="36"/>
      <c r="AI29" s="36"/>
      <c r="AJ29" s="36"/>
      <c r="AK29" s="36"/>
      <c r="AL29" s="36"/>
      <c r="AM29" s="56"/>
    </row>
    <row r="30" ht="15.75" customHeight="1">
      <c r="A30" s="24"/>
      <c r="B30" s="72"/>
      <c r="C30" s="60"/>
      <c r="D30" s="75"/>
      <c r="E30" s="40" t="s">
        <v>32</v>
      </c>
      <c r="F30" s="60"/>
      <c r="G30" s="60" t="s">
        <v>24</v>
      </c>
      <c r="H30" s="60"/>
      <c r="I30" s="40" t="s">
        <v>37</v>
      </c>
      <c r="J30" s="4"/>
      <c r="K30" s="4" t="str">
        <f t="shared" si="1"/>
        <v/>
      </c>
      <c r="L30" s="17" t="str">
        <f t="shared" si="2"/>
        <v/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56"/>
      <c r="X30" s="56"/>
      <c r="Y30" s="56"/>
      <c r="Z30" s="56"/>
      <c r="AA30" s="56"/>
      <c r="AB30" s="56"/>
      <c r="AC30" s="56"/>
      <c r="AD30" s="36"/>
      <c r="AE30" s="36"/>
      <c r="AF30" s="36"/>
      <c r="AG30" s="36"/>
      <c r="AH30" s="36"/>
      <c r="AI30" s="36"/>
      <c r="AJ30" s="36"/>
      <c r="AK30" s="36"/>
      <c r="AL30" s="36"/>
      <c r="AM30" s="56"/>
    </row>
    <row r="31" ht="15.75" customHeight="1">
      <c r="A31" s="24"/>
      <c r="B31" s="72"/>
      <c r="C31" s="60"/>
      <c r="D31" s="75"/>
      <c r="E31" s="40" t="s">
        <v>61</v>
      </c>
      <c r="F31" s="60"/>
      <c r="G31" s="60" t="s">
        <v>24</v>
      </c>
      <c r="H31" s="60"/>
      <c r="I31" s="40" t="s">
        <v>57</v>
      </c>
      <c r="J31" s="4"/>
      <c r="K31" s="4" t="str">
        <f t="shared" si="1"/>
        <v/>
      </c>
      <c r="L31" s="17" t="str">
        <f t="shared" si="2"/>
        <v/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56"/>
      <c r="X31" s="56"/>
      <c r="Y31" s="56"/>
      <c r="Z31" s="56"/>
      <c r="AA31" s="56"/>
      <c r="AB31" s="56"/>
      <c r="AC31" s="56"/>
      <c r="AD31" s="36"/>
      <c r="AE31" s="36"/>
      <c r="AF31" s="36"/>
      <c r="AG31" s="36"/>
      <c r="AH31" s="36"/>
      <c r="AI31" s="36"/>
      <c r="AJ31" s="36"/>
      <c r="AK31" s="36"/>
      <c r="AL31" s="36"/>
      <c r="AM31" s="56"/>
    </row>
    <row r="32" ht="15.75" customHeight="1">
      <c r="A32" s="28"/>
      <c r="B32" s="72"/>
      <c r="C32" s="60"/>
      <c r="D32" s="75"/>
      <c r="E32" s="40" t="s">
        <v>25</v>
      </c>
      <c r="F32" s="60"/>
      <c r="G32" s="60" t="s">
        <v>24</v>
      </c>
      <c r="H32" s="60"/>
      <c r="I32" s="40" t="s">
        <v>94</v>
      </c>
      <c r="J32" s="4"/>
      <c r="K32" s="4" t="str">
        <f t="shared" si="1"/>
        <v/>
      </c>
      <c r="L32" s="17" t="str">
        <f t="shared" si="2"/>
        <v/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56"/>
      <c r="X32" s="56"/>
      <c r="Y32" s="56"/>
      <c r="Z32" s="56"/>
      <c r="AA32" s="56"/>
      <c r="AB32" s="56"/>
      <c r="AC32" s="56"/>
      <c r="AD32" s="36"/>
      <c r="AE32" s="36"/>
      <c r="AF32" s="36"/>
      <c r="AG32" s="36"/>
      <c r="AH32" s="36"/>
      <c r="AI32" s="36"/>
      <c r="AJ32" s="36"/>
      <c r="AK32" s="36"/>
      <c r="AL32" s="36"/>
      <c r="AM32" s="56"/>
    </row>
    <row r="33" ht="15.75" customHeight="1">
      <c r="A33" s="58">
        <v>6.0</v>
      </c>
      <c r="B33" s="72"/>
      <c r="C33" s="60"/>
      <c r="D33" s="60"/>
      <c r="E33" s="40" t="s">
        <v>33</v>
      </c>
      <c r="F33" s="60"/>
      <c r="G33" s="60" t="s">
        <v>24</v>
      </c>
      <c r="H33" s="60"/>
      <c r="I33" s="40" t="s">
        <v>25</v>
      </c>
      <c r="J33" s="4"/>
      <c r="K33" s="4" t="str">
        <f t="shared" si="1"/>
        <v/>
      </c>
      <c r="L33" s="17" t="str">
        <f t="shared" si="2"/>
        <v/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56"/>
      <c r="X33" s="56"/>
      <c r="Y33" s="56"/>
      <c r="Z33" s="56"/>
      <c r="AA33" s="56"/>
      <c r="AB33" s="56"/>
      <c r="AC33" s="56"/>
      <c r="AD33" s="36"/>
      <c r="AE33" s="36"/>
      <c r="AF33" s="36"/>
      <c r="AG33" s="36"/>
      <c r="AH33" s="36"/>
      <c r="AI33" s="36"/>
      <c r="AJ33" s="36"/>
      <c r="AK33" s="36"/>
      <c r="AL33" s="36"/>
      <c r="AM33" s="56"/>
    </row>
    <row r="34" ht="15.75" customHeight="1">
      <c r="A34" s="24"/>
      <c r="B34" s="72"/>
      <c r="C34" s="60"/>
      <c r="D34" s="60"/>
      <c r="E34" s="40" t="s">
        <v>62</v>
      </c>
      <c r="F34" s="60"/>
      <c r="G34" s="60" t="s">
        <v>24</v>
      </c>
      <c r="H34" s="60"/>
      <c r="I34" s="40" t="s">
        <v>43</v>
      </c>
      <c r="J34" s="4"/>
      <c r="K34" s="4" t="str">
        <f t="shared" si="1"/>
        <v/>
      </c>
      <c r="L34" s="17" t="str">
        <f t="shared" si="2"/>
        <v/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56"/>
      <c r="X34" s="56"/>
      <c r="Y34" s="56"/>
      <c r="Z34" s="56"/>
      <c r="AA34" s="56"/>
      <c r="AB34" s="56"/>
      <c r="AC34" s="56"/>
      <c r="AD34" s="36"/>
      <c r="AE34" s="36"/>
      <c r="AF34" s="36"/>
      <c r="AG34" s="36"/>
      <c r="AH34" s="36"/>
      <c r="AI34" s="36"/>
      <c r="AJ34" s="36"/>
      <c r="AK34" s="36"/>
      <c r="AL34" s="36"/>
      <c r="AM34" s="56"/>
    </row>
    <row r="35" ht="15.75" customHeight="1">
      <c r="A35" s="24"/>
      <c r="B35" s="72"/>
      <c r="C35" s="60"/>
      <c r="D35" s="60"/>
      <c r="E35" s="40" t="s">
        <v>36</v>
      </c>
      <c r="F35" s="60"/>
      <c r="G35" s="60" t="s">
        <v>24</v>
      </c>
      <c r="H35" s="60"/>
      <c r="I35" s="40" t="s">
        <v>92</v>
      </c>
      <c r="J35" s="4"/>
      <c r="K35" s="4" t="str">
        <f t="shared" si="1"/>
        <v/>
      </c>
      <c r="L35" s="17" t="str">
        <f t="shared" si="2"/>
        <v/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56"/>
      <c r="X35" s="56"/>
      <c r="Y35" s="56"/>
      <c r="Z35" s="56"/>
      <c r="AA35" s="56"/>
      <c r="AB35" s="56"/>
      <c r="AC35" s="56"/>
      <c r="AD35" s="36"/>
      <c r="AE35" s="36"/>
      <c r="AF35" s="36"/>
      <c r="AG35" s="36"/>
      <c r="AH35" s="36"/>
      <c r="AI35" s="36"/>
      <c r="AJ35" s="36"/>
      <c r="AK35" s="36"/>
      <c r="AL35" s="36"/>
      <c r="AM35" s="56"/>
    </row>
    <row r="36" ht="15.75" customHeight="1">
      <c r="A36" s="24"/>
      <c r="B36" s="72"/>
      <c r="C36" s="60"/>
      <c r="D36" s="60"/>
      <c r="E36" s="40" t="s">
        <v>37</v>
      </c>
      <c r="F36" s="60"/>
      <c r="G36" s="60" t="s">
        <v>24</v>
      </c>
      <c r="H36" s="60"/>
      <c r="I36" s="40" t="s">
        <v>40</v>
      </c>
      <c r="J36" s="4"/>
      <c r="K36" s="4" t="str">
        <f t="shared" si="1"/>
        <v/>
      </c>
      <c r="L36" s="17" t="str">
        <f t="shared" si="2"/>
        <v/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56"/>
      <c r="X36" s="56"/>
      <c r="Y36" s="56"/>
      <c r="Z36" s="56"/>
      <c r="AA36" s="56"/>
      <c r="AB36" s="56"/>
      <c r="AC36" s="56"/>
      <c r="AD36" s="36"/>
      <c r="AE36" s="36"/>
      <c r="AF36" s="36"/>
      <c r="AG36" s="36"/>
      <c r="AH36" s="36"/>
      <c r="AI36" s="36"/>
      <c r="AJ36" s="36"/>
      <c r="AK36" s="36"/>
      <c r="AL36" s="36"/>
      <c r="AM36" s="56"/>
    </row>
    <row r="37" ht="15.75" customHeight="1">
      <c r="A37" s="24"/>
      <c r="B37" s="72"/>
      <c r="C37" s="60"/>
      <c r="D37" s="60"/>
      <c r="E37" s="40" t="s">
        <v>57</v>
      </c>
      <c r="F37" s="60"/>
      <c r="G37" s="60" t="s">
        <v>24</v>
      </c>
      <c r="H37" s="60"/>
      <c r="I37" s="40" t="s">
        <v>32</v>
      </c>
      <c r="J37" s="4"/>
      <c r="K37" s="4" t="str">
        <f t="shared" si="1"/>
        <v/>
      </c>
      <c r="L37" s="17" t="str">
        <f t="shared" si="2"/>
        <v/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56"/>
      <c r="X37" s="56"/>
      <c r="Y37" s="56"/>
      <c r="Z37" s="56"/>
      <c r="AA37" s="56"/>
      <c r="AB37" s="56"/>
      <c r="AC37" s="56"/>
      <c r="AD37" s="36"/>
      <c r="AE37" s="36"/>
      <c r="AF37" s="36"/>
      <c r="AG37" s="36"/>
      <c r="AH37" s="36"/>
      <c r="AI37" s="36"/>
      <c r="AJ37" s="36"/>
      <c r="AK37" s="36"/>
      <c r="AL37" s="36"/>
      <c r="AM37" s="56"/>
    </row>
    <row r="38" ht="15.75" customHeight="1">
      <c r="A38" s="28"/>
      <c r="B38" s="72"/>
      <c r="C38" s="60"/>
      <c r="D38" s="60"/>
      <c r="E38" s="40" t="s">
        <v>94</v>
      </c>
      <c r="F38" s="60"/>
      <c r="G38" s="60" t="s">
        <v>24</v>
      </c>
      <c r="H38" s="60"/>
      <c r="I38" s="40" t="s">
        <v>61</v>
      </c>
      <c r="J38" s="4"/>
      <c r="K38" s="4" t="str">
        <f t="shared" si="1"/>
        <v/>
      </c>
      <c r="L38" s="17" t="str">
        <f t="shared" si="2"/>
        <v/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56"/>
      <c r="X38" s="56"/>
      <c r="Y38" s="56"/>
      <c r="Z38" s="56"/>
      <c r="AA38" s="56"/>
      <c r="AB38" s="56"/>
      <c r="AC38" s="56"/>
      <c r="AD38" s="36"/>
      <c r="AE38" s="36"/>
      <c r="AF38" s="36"/>
      <c r="AG38" s="36"/>
      <c r="AH38" s="36"/>
      <c r="AI38" s="36"/>
      <c r="AJ38" s="36"/>
      <c r="AK38" s="36"/>
      <c r="AL38" s="36"/>
      <c r="AM38" s="56"/>
    </row>
    <row r="39" ht="15.75" customHeight="1">
      <c r="A39" s="58">
        <v>7.0</v>
      </c>
      <c r="B39" s="72"/>
      <c r="C39" s="60"/>
      <c r="D39" s="60"/>
      <c r="E39" s="40" t="s">
        <v>33</v>
      </c>
      <c r="F39" s="60"/>
      <c r="G39" s="60" t="s">
        <v>24</v>
      </c>
      <c r="H39" s="60"/>
      <c r="I39" s="40" t="s">
        <v>62</v>
      </c>
      <c r="J39" s="4"/>
      <c r="K39" s="4" t="str">
        <f t="shared" si="1"/>
        <v/>
      </c>
      <c r="L39" s="17" t="str">
        <f t="shared" si="2"/>
        <v/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56"/>
      <c r="X39" s="56"/>
      <c r="Y39" s="56"/>
      <c r="Z39" s="56"/>
      <c r="AA39" s="56"/>
      <c r="AB39" s="56"/>
      <c r="AC39" s="56"/>
      <c r="AD39" s="36"/>
      <c r="AE39" s="36"/>
      <c r="AF39" s="36"/>
      <c r="AG39" s="36"/>
      <c r="AH39" s="36"/>
      <c r="AI39" s="36"/>
      <c r="AJ39" s="36"/>
      <c r="AK39" s="36"/>
      <c r="AL39" s="36"/>
      <c r="AM39" s="56"/>
    </row>
    <row r="40" ht="15.75" customHeight="1">
      <c r="A40" s="24"/>
      <c r="B40" s="72"/>
      <c r="C40" s="60"/>
      <c r="D40" s="60"/>
      <c r="E40" s="40" t="s">
        <v>43</v>
      </c>
      <c r="F40" s="60"/>
      <c r="G40" s="60" t="s">
        <v>24</v>
      </c>
      <c r="H40" s="60"/>
      <c r="I40" s="40" t="s">
        <v>36</v>
      </c>
      <c r="J40" s="4"/>
      <c r="K40" s="4" t="str">
        <f t="shared" si="1"/>
        <v/>
      </c>
      <c r="L40" s="17" t="str">
        <f t="shared" si="2"/>
        <v/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56"/>
      <c r="X40" s="56"/>
      <c r="Y40" s="56"/>
      <c r="Z40" s="56"/>
      <c r="AA40" s="56"/>
      <c r="AB40" s="56"/>
      <c r="AC40" s="56"/>
      <c r="AD40" s="36"/>
      <c r="AE40" s="36"/>
      <c r="AF40" s="36"/>
      <c r="AG40" s="36"/>
      <c r="AH40" s="36"/>
      <c r="AI40" s="36"/>
      <c r="AJ40" s="36"/>
      <c r="AK40" s="36"/>
      <c r="AL40" s="36"/>
      <c r="AM40" s="56"/>
    </row>
    <row r="41" ht="15.75" customHeight="1">
      <c r="A41" s="24"/>
      <c r="B41" s="72"/>
      <c r="C41" s="60"/>
      <c r="D41" s="60"/>
      <c r="E41" s="40" t="s">
        <v>92</v>
      </c>
      <c r="F41" s="60"/>
      <c r="G41" s="60" t="s">
        <v>24</v>
      </c>
      <c r="H41" s="60"/>
      <c r="I41" s="40" t="s">
        <v>37</v>
      </c>
      <c r="J41" s="4"/>
      <c r="K41" s="4" t="str">
        <f t="shared" si="1"/>
        <v/>
      </c>
      <c r="L41" s="17" t="str">
        <f t="shared" si="2"/>
        <v/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56"/>
      <c r="X41" s="56"/>
      <c r="Y41" s="56"/>
      <c r="Z41" s="56"/>
      <c r="AA41" s="56"/>
      <c r="AB41" s="56"/>
      <c r="AC41" s="56"/>
      <c r="AD41" s="36"/>
      <c r="AE41" s="36"/>
      <c r="AF41" s="36"/>
      <c r="AG41" s="36"/>
      <c r="AH41" s="36"/>
      <c r="AI41" s="36"/>
      <c r="AJ41" s="36"/>
      <c r="AK41" s="36"/>
      <c r="AL41" s="36"/>
      <c r="AM41" s="56"/>
    </row>
    <row r="42" ht="15.75" customHeight="1">
      <c r="A42" s="24"/>
      <c r="B42" s="72"/>
      <c r="C42" s="60"/>
      <c r="D42" s="60"/>
      <c r="E42" s="40" t="s">
        <v>40</v>
      </c>
      <c r="F42" s="60"/>
      <c r="G42" s="60" t="s">
        <v>24</v>
      </c>
      <c r="H42" s="60"/>
      <c r="I42" s="40" t="s">
        <v>57</v>
      </c>
      <c r="J42" s="4"/>
      <c r="K42" s="4" t="str">
        <f t="shared" si="1"/>
        <v/>
      </c>
      <c r="L42" s="17" t="str">
        <f t="shared" si="2"/>
        <v/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56"/>
      <c r="X42" s="56"/>
      <c r="Y42" s="56"/>
      <c r="Z42" s="56"/>
      <c r="AA42" s="56"/>
      <c r="AB42" s="56"/>
      <c r="AC42" s="56"/>
      <c r="AD42" s="36"/>
      <c r="AE42" s="36"/>
      <c r="AF42" s="36"/>
      <c r="AG42" s="36"/>
      <c r="AH42" s="36"/>
      <c r="AI42" s="36"/>
      <c r="AJ42" s="36"/>
      <c r="AK42" s="36"/>
      <c r="AL42" s="36"/>
      <c r="AM42" s="56"/>
    </row>
    <row r="43" ht="15.75" customHeight="1">
      <c r="A43" s="24"/>
      <c r="B43" s="72"/>
      <c r="C43" s="60"/>
      <c r="D43" s="60"/>
      <c r="E43" s="40" t="s">
        <v>32</v>
      </c>
      <c r="F43" s="60"/>
      <c r="G43" s="60" t="s">
        <v>24</v>
      </c>
      <c r="H43" s="60"/>
      <c r="I43" s="40" t="s">
        <v>94</v>
      </c>
      <c r="J43" s="4"/>
      <c r="K43" s="4" t="str">
        <f t="shared" si="1"/>
        <v/>
      </c>
      <c r="L43" s="17" t="str">
        <f t="shared" si="2"/>
        <v/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56"/>
      <c r="X43" s="56"/>
      <c r="Y43" s="56"/>
      <c r="Z43" s="56"/>
      <c r="AA43" s="56"/>
      <c r="AB43" s="56"/>
      <c r="AC43" s="56"/>
      <c r="AD43" s="36"/>
      <c r="AE43" s="36"/>
      <c r="AF43" s="36"/>
      <c r="AG43" s="36"/>
      <c r="AH43" s="36"/>
      <c r="AI43" s="36"/>
      <c r="AJ43" s="36"/>
      <c r="AK43" s="36"/>
      <c r="AL43" s="36"/>
      <c r="AM43" s="56"/>
    </row>
    <row r="44" ht="15.75" customHeight="1">
      <c r="A44" s="28"/>
      <c r="B44" s="72"/>
      <c r="C44" s="60"/>
      <c r="D44" s="60"/>
      <c r="E44" s="40" t="s">
        <v>25</v>
      </c>
      <c r="F44" s="60"/>
      <c r="G44" s="60" t="s">
        <v>24</v>
      </c>
      <c r="H44" s="60"/>
      <c r="I44" s="40" t="s">
        <v>61</v>
      </c>
      <c r="J44" s="4"/>
      <c r="K44" s="4" t="str">
        <f t="shared" si="1"/>
        <v/>
      </c>
      <c r="L44" s="17" t="str">
        <f t="shared" si="2"/>
        <v/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56"/>
      <c r="X44" s="56"/>
      <c r="Y44" s="56"/>
      <c r="Z44" s="56"/>
      <c r="AA44" s="56"/>
      <c r="AB44" s="56"/>
      <c r="AC44" s="56"/>
      <c r="AD44" s="36"/>
      <c r="AE44" s="36"/>
      <c r="AF44" s="36"/>
      <c r="AG44" s="36"/>
      <c r="AH44" s="36"/>
      <c r="AI44" s="36"/>
      <c r="AJ44" s="36"/>
      <c r="AK44" s="36"/>
      <c r="AL44" s="36"/>
      <c r="AM44" s="56"/>
    </row>
    <row r="45" ht="15.75" customHeight="1">
      <c r="A45" s="58">
        <v>8.0</v>
      </c>
      <c r="B45" s="72"/>
      <c r="C45" s="60"/>
      <c r="D45" s="60"/>
      <c r="E45" s="40" t="s">
        <v>62</v>
      </c>
      <c r="F45" s="60"/>
      <c r="G45" s="60" t="s">
        <v>24</v>
      </c>
      <c r="H45" s="60"/>
      <c r="I45" s="40" t="s">
        <v>25</v>
      </c>
      <c r="J45" s="4"/>
      <c r="K45" s="4" t="str">
        <f t="shared" si="1"/>
        <v/>
      </c>
      <c r="L45" s="17" t="str">
        <f t="shared" si="2"/>
        <v/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56"/>
      <c r="X45" s="56"/>
      <c r="Y45" s="56"/>
      <c r="Z45" s="56"/>
      <c r="AA45" s="56"/>
      <c r="AB45" s="56"/>
      <c r="AC45" s="56"/>
      <c r="AD45" s="36"/>
      <c r="AE45" s="36"/>
      <c r="AF45" s="36"/>
      <c r="AG45" s="36"/>
      <c r="AH45" s="36"/>
      <c r="AI45" s="36"/>
      <c r="AJ45" s="36"/>
      <c r="AK45" s="36"/>
      <c r="AL45" s="36"/>
      <c r="AM45" s="56"/>
    </row>
    <row r="46" ht="15.75" customHeight="1">
      <c r="A46" s="24"/>
      <c r="B46" s="72"/>
      <c r="C46" s="60"/>
      <c r="D46" s="60"/>
      <c r="E46" s="40" t="s">
        <v>36</v>
      </c>
      <c r="F46" s="60"/>
      <c r="G46" s="60" t="s">
        <v>24</v>
      </c>
      <c r="H46" s="60"/>
      <c r="I46" s="40" t="s">
        <v>33</v>
      </c>
      <c r="J46" s="4"/>
      <c r="K46" s="4" t="str">
        <f t="shared" si="1"/>
        <v/>
      </c>
      <c r="L46" s="17" t="str">
        <f t="shared" si="2"/>
        <v/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56"/>
      <c r="X46" s="56"/>
      <c r="Y46" s="56"/>
      <c r="Z46" s="56"/>
      <c r="AA46" s="56"/>
      <c r="AB46" s="56"/>
      <c r="AC46" s="56"/>
      <c r="AD46" s="36"/>
      <c r="AE46" s="36"/>
      <c r="AF46" s="36"/>
      <c r="AG46" s="36"/>
      <c r="AH46" s="36"/>
      <c r="AI46" s="36"/>
      <c r="AJ46" s="36"/>
      <c r="AK46" s="36"/>
      <c r="AL46" s="36"/>
      <c r="AM46" s="56"/>
    </row>
    <row r="47" ht="15.75" customHeight="1">
      <c r="A47" s="24"/>
      <c r="B47" s="72"/>
      <c r="C47" s="60"/>
      <c r="D47" s="60"/>
      <c r="E47" s="40" t="s">
        <v>37</v>
      </c>
      <c r="F47" s="60"/>
      <c r="G47" s="60" t="s">
        <v>24</v>
      </c>
      <c r="H47" s="60"/>
      <c r="I47" s="40" t="s">
        <v>43</v>
      </c>
      <c r="J47" s="4"/>
      <c r="K47" s="4" t="str">
        <f t="shared" si="1"/>
        <v/>
      </c>
      <c r="L47" s="17" t="str">
        <f t="shared" si="2"/>
        <v/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56"/>
      <c r="X47" s="56"/>
      <c r="Y47" s="56"/>
      <c r="Z47" s="56"/>
      <c r="AA47" s="56"/>
      <c r="AB47" s="56"/>
      <c r="AC47" s="56"/>
      <c r="AD47" s="36"/>
      <c r="AE47" s="36"/>
      <c r="AF47" s="36"/>
      <c r="AG47" s="36"/>
      <c r="AH47" s="36"/>
      <c r="AI47" s="36"/>
      <c r="AJ47" s="36"/>
      <c r="AK47" s="36"/>
      <c r="AL47" s="36"/>
      <c r="AM47" s="56"/>
    </row>
    <row r="48" ht="15.75" customHeight="1">
      <c r="A48" s="24"/>
      <c r="B48" s="72"/>
      <c r="C48" s="60"/>
      <c r="D48" s="60"/>
      <c r="E48" s="40" t="s">
        <v>57</v>
      </c>
      <c r="F48" s="60"/>
      <c r="G48" s="60" t="s">
        <v>24</v>
      </c>
      <c r="H48" s="60"/>
      <c r="I48" s="40" t="s">
        <v>92</v>
      </c>
      <c r="J48" s="4"/>
      <c r="K48" s="4" t="str">
        <f t="shared" si="1"/>
        <v/>
      </c>
      <c r="L48" s="17" t="str">
        <f t="shared" si="2"/>
        <v/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56"/>
      <c r="X48" s="56"/>
      <c r="Y48" s="56"/>
      <c r="Z48" s="56"/>
      <c r="AA48" s="56"/>
      <c r="AB48" s="56"/>
      <c r="AC48" s="56"/>
      <c r="AD48" s="36"/>
      <c r="AE48" s="36"/>
      <c r="AF48" s="36"/>
      <c r="AG48" s="36"/>
      <c r="AH48" s="36"/>
      <c r="AI48" s="36"/>
      <c r="AJ48" s="36"/>
      <c r="AK48" s="36"/>
      <c r="AL48" s="36"/>
      <c r="AM48" s="56"/>
    </row>
    <row r="49" ht="15.75" customHeight="1">
      <c r="A49" s="24"/>
      <c r="B49" s="72"/>
      <c r="C49" s="60"/>
      <c r="D49" s="60"/>
      <c r="E49" s="40" t="s">
        <v>94</v>
      </c>
      <c r="F49" s="60"/>
      <c r="G49" s="60" t="s">
        <v>24</v>
      </c>
      <c r="H49" s="60"/>
      <c r="I49" s="40" t="s">
        <v>40</v>
      </c>
      <c r="J49" s="4"/>
      <c r="K49" s="4" t="str">
        <f t="shared" si="1"/>
        <v/>
      </c>
      <c r="L49" s="17" t="str">
        <f t="shared" si="2"/>
        <v/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56"/>
      <c r="X49" s="56"/>
      <c r="Y49" s="56"/>
      <c r="Z49" s="56"/>
      <c r="AA49" s="56"/>
      <c r="AB49" s="56"/>
      <c r="AC49" s="56"/>
      <c r="AD49" s="36"/>
      <c r="AE49" s="36"/>
      <c r="AF49" s="36"/>
      <c r="AG49" s="36"/>
      <c r="AH49" s="36"/>
      <c r="AI49" s="36"/>
      <c r="AJ49" s="36"/>
      <c r="AK49" s="36"/>
      <c r="AL49" s="36"/>
      <c r="AM49" s="56"/>
    </row>
    <row r="50" ht="15.75" customHeight="1">
      <c r="A50" s="28"/>
      <c r="B50" s="72"/>
      <c r="C50" s="60"/>
      <c r="D50" s="60"/>
      <c r="E50" s="40" t="s">
        <v>61</v>
      </c>
      <c r="F50" s="60"/>
      <c r="G50" s="60" t="s">
        <v>24</v>
      </c>
      <c r="H50" s="60"/>
      <c r="I50" s="40" t="s">
        <v>32</v>
      </c>
      <c r="J50" s="4"/>
      <c r="K50" s="4" t="str">
        <f t="shared" si="1"/>
        <v/>
      </c>
      <c r="L50" s="17" t="str">
        <f t="shared" si="2"/>
        <v/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56"/>
      <c r="X50" s="56"/>
      <c r="Y50" s="56"/>
      <c r="Z50" s="56"/>
      <c r="AA50" s="56"/>
      <c r="AB50" s="56"/>
      <c r="AC50" s="56"/>
      <c r="AD50" s="36"/>
      <c r="AE50" s="36"/>
      <c r="AF50" s="36"/>
      <c r="AG50" s="36"/>
      <c r="AH50" s="36"/>
      <c r="AI50" s="36"/>
      <c r="AJ50" s="36"/>
      <c r="AK50" s="36"/>
      <c r="AL50" s="36"/>
      <c r="AM50" s="56"/>
    </row>
    <row r="51" ht="15.75" customHeight="1">
      <c r="A51" s="58">
        <v>9.0</v>
      </c>
      <c r="B51" s="72"/>
      <c r="C51" s="60"/>
      <c r="D51" s="60"/>
      <c r="E51" s="40" t="s">
        <v>62</v>
      </c>
      <c r="F51" s="60"/>
      <c r="G51" s="60" t="s">
        <v>24</v>
      </c>
      <c r="H51" s="60"/>
      <c r="I51" s="40" t="s">
        <v>36</v>
      </c>
      <c r="J51" s="4"/>
      <c r="K51" s="4" t="str">
        <f t="shared" si="1"/>
        <v/>
      </c>
      <c r="L51" s="17" t="str">
        <f t="shared" si="2"/>
        <v/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56"/>
      <c r="X51" s="56"/>
      <c r="Y51" s="56"/>
      <c r="Z51" s="56"/>
      <c r="AA51" s="56"/>
      <c r="AB51" s="56"/>
      <c r="AC51" s="56"/>
      <c r="AD51" s="36"/>
      <c r="AE51" s="36"/>
      <c r="AF51" s="36"/>
      <c r="AG51" s="36"/>
      <c r="AH51" s="36"/>
      <c r="AI51" s="36"/>
      <c r="AJ51" s="36"/>
      <c r="AK51" s="36"/>
      <c r="AL51" s="36"/>
      <c r="AM51" s="56"/>
    </row>
    <row r="52" ht="15.75" customHeight="1">
      <c r="A52" s="24"/>
      <c r="B52" s="72"/>
      <c r="C52" s="60"/>
      <c r="D52" s="60"/>
      <c r="E52" s="40" t="s">
        <v>33</v>
      </c>
      <c r="F52" s="60"/>
      <c r="G52" s="60" t="s">
        <v>24</v>
      </c>
      <c r="H52" s="60"/>
      <c r="I52" s="40" t="s">
        <v>37</v>
      </c>
      <c r="J52" s="4"/>
      <c r="K52" s="4" t="str">
        <f t="shared" si="1"/>
        <v/>
      </c>
      <c r="L52" s="17" t="str">
        <f t="shared" si="2"/>
        <v/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56"/>
      <c r="X52" s="56"/>
      <c r="Y52" s="56"/>
      <c r="Z52" s="56"/>
      <c r="AA52" s="56"/>
      <c r="AB52" s="56"/>
      <c r="AC52" s="56"/>
      <c r="AD52" s="36"/>
      <c r="AE52" s="36"/>
      <c r="AF52" s="36"/>
      <c r="AG52" s="36"/>
      <c r="AH52" s="36"/>
      <c r="AI52" s="36"/>
      <c r="AJ52" s="36"/>
      <c r="AK52" s="36"/>
      <c r="AL52" s="36"/>
      <c r="AM52" s="56"/>
    </row>
    <row r="53" ht="15.75" customHeight="1">
      <c r="A53" s="24"/>
      <c r="B53" s="72"/>
      <c r="C53" s="60"/>
      <c r="D53" s="60"/>
      <c r="E53" s="40" t="s">
        <v>43</v>
      </c>
      <c r="F53" s="60"/>
      <c r="G53" s="60" t="s">
        <v>24</v>
      </c>
      <c r="H53" s="60"/>
      <c r="I53" s="40" t="s">
        <v>57</v>
      </c>
      <c r="J53" s="4"/>
      <c r="K53" s="4" t="str">
        <f t="shared" si="1"/>
        <v/>
      </c>
      <c r="L53" s="17" t="str">
        <f t="shared" si="2"/>
        <v/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56"/>
      <c r="X53" s="56"/>
      <c r="Y53" s="56"/>
      <c r="Z53" s="56"/>
      <c r="AA53" s="56"/>
      <c r="AB53" s="56"/>
      <c r="AC53" s="56"/>
      <c r="AD53" s="36"/>
      <c r="AE53" s="36"/>
      <c r="AF53" s="36"/>
      <c r="AG53" s="36"/>
      <c r="AH53" s="36"/>
      <c r="AI53" s="36"/>
      <c r="AJ53" s="36"/>
      <c r="AK53" s="36"/>
      <c r="AL53" s="36"/>
      <c r="AM53" s="56"/>
    </row>
    <row r="54" ht="15.75" customHeight="1">
      <c r="A54" s="24"/>
      <c r="B54" s="72"/>
      <c r="C54" s="60"/>
      <c r="D54" s="60"/>
      <c r="E54" s="40" t="s">
        <v>92</v>
      </c>
      <c r="F54" s="60"/>
      <c r="G54" s="60" t="s">
        <v>24</v>
      </c>
      <c r="H54" s="60"/>
      <c r="I54" s="40" t="s">
        <v>94</v>
      </c>
      <c r="J54" s="4"/>
      <c r="K54" s="4" t="str">
        <f t="shared" si="1"/>
        <v/>
      </c>
      <c r="L54" s="17" t="str">
        <f t="shared" si="2"/>
        <v/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56"/>
      <c r="X54" s="56"/>
      <c r="Y54" s="56"/>
      <c r="Z54" s="56"/>
      <c r="AA54" s="56"/>
      <c r="AB54" s="56"/>
      <c r="AC54" s="56"/>
      <c r="AD54" s="36"/>
      <c r="AE54" s="36"/>
      <c r="AF54" s="36"/>
      <c r="AG54" s="36"/>
      <c r="AH54" s="36"/>
      <c r="AI54" s="36"/>
      <c r="AJ54" s="36"/>
      <c r="AK54" s="36"/>
      <c r="AL54" s="36"/>
      <c r="AM54" s="56"/>
    </row>
    <row r="55" ht="15.75" customHeight="1">
      <c r="A55" s="24"/>
      <c r="B55" s="72"/>
      <c r="C55" s="60"/>
      <c r="D55" s="60"/>
      <c r="E55" s="40" t="s">
        <v>40</v>
      </c>
      <c r="F55" s="60"/>
      <c r="G55" s="60" t="s">
        <v>24</v>
      </c>
      <c r="H55" s="60"/>
      <c r="I55" s="40" t="s">
        <v>61</v>
      </c>
      <c r="J55" s="4"/>
      <c r="K55" s="4" t="str">
        <f t="shared" si="1"/>
        <v/>
      </c>
      <c r="L55" s="17" t="str">
        <f t="shared" si="2"/>
        <v/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56"/>
      <c r="X55" s="56"/>
      <c r="Y55" s="56"/>
      <c r="Z55" s="56"/>
      <c r="AA55" s="56"/>
      <c r="AB55" s="56"/>
      <c r="AC55" s="56"/>
      <c r="AD55" s="36"/>
      <c r="AE55" s="36"/>
      <c r="AF55" s="36"/>
      <c r="AG55" s="36"/>
      <c r="AH55" s="36"/>
      <c r="AI55" s="36"/>
      <c r="AJ55" s="36"/>
      <c r="AK55" s="36"/>
      <c r="AL55" s="36"/>
      <c r="AM55" s="56"/>
    </row>
    <row r="56" ht="15.75" customHeight="1">
      <c r="A56" s="28"/>
      <c r="B56" s="72"/>
      <c r="C56" s="60"/>
      <c r="D56" s="60"/>
      <c r="E56" s="40" t="s">
        <v>25</v>
      </c>
      <c r="F56" s="60"/>
      <c r="G56" s="60" t="s">
        <v>24</v>
      </c>
      <c r="H56" s="60"/>
      <c r="I56" s="40" t="s">
        <v>32</v>
      </c>
      <c r="J56" s="4"/>
      <c r="K56" s="4" t="str">
        <f t="shared" si="1"/>
        <v/>
      </c>
      <c r="L56" s="17" t="str">
        <f t="shared" si="2"/>
        <v/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56"/>
      <c r="X56" s="56"/>
      <c r="Y56" s="56"/>
      <c r="Z56" s="56"/>
      <c r="AA56" s="56"/>
      <c r="AB56" s="56"/>
      <c r="AC56" s="56"/>
      <c r="AD56" s="36"/>
      <c r="AE56" s="36"/>
      <c r="AF56" s="36"/>
      <c r="AG56" s="36"/>
      <c r="AH56" s="36"/>
      <c r="AI56" s="36"/>
      <c r="AJ56" s="36"/>
      <c r="AK56" s="36"/>
      <c r="AL56" s="36"/>
      <c r="AM56" s="56"/>
    </row>
    <row r="57" ht="15.75" customHeight="1">
      <c r="A57" s="58">
        <v>10.0</v>
      </c>
      <c r="B57" s="72"/>
      <c r="C57" s="60"/>
      <c r="D57" s="60"/>
      <c r="E57" s="40" t="s">
        <v>25</v>
      </c>
      <c r="F57" s="60"/>
      <c r="G57" s="60" t="s">
        <v>24</v>
      </c>
      <c r="H57" s="60"/>
      <c r="I57" s="40" t="s">
        <v>36</v>
      </c>
      <c r="J57" s="4"/>
      <c r="K57" s="4" t="str">
        <f t="shared" si="1"/>
        <v/>
      </c>
      <c r="L57" s="17" t="str">
        <f t="shared" si="2"/>
        <v/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56"/>
      <c r="X57" s="56"/>
      <c r="Y57" s="56"/>
      <c r="Z57" s="56"/>
      <c r="AA57" s="56"/>
      <c r="AB57" s="56"/>
      <c r="AC57" s="56"/>
      <c r="AD57" s="36"/>
      <c r="AE57" s="36"/>
      <c r="AF57" s="36"/>
      <c r="AG57" s="36"/>
      <c r="AH57" s="36"/>
      <c r="AI57" s="36"/>
      <c r="AJ57" s="36"/>
      <c r="AK57" s="36"/>
      <c r="AL57" s="36"/>
      <c r="AM57" s="56"/>
    </row>
    <row r="58" ht="15.75" customHeight="1">
      <c r="A58" s="24"/>
      <c r="B58" s="72"/>
      <c r="C58" s="60"/>
      <c r="D58" s="60"/>
      <c r="E58" s="40" t="s">
        <v>37</v>
      </c>
      <c r="F58" s="60"/>
      <c r="G58" s="60" t="s">
        <v>24</v>
      </c>
      <c r="H58" s="60"/>
      <c r="I58" s="40" t="s">
        <v>62</v>
      </c>
      <c r="J58" s="4"/>
      <c r="K58" s="4" t="str">
        <f t="shared" si="1"/>
        <v/>
      </c>
      <c r="L58" s="17" t="str">
        <f t="shared" si="2"/>
        <v/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56"/>
      <c r="X58" s="56"/>
      <c r="Y58" s="56"/>
      <c r="Z58" s="56"/>
      <c r="AA58" s="56"/>
      <c r="AB58" s="56"/>
      <c r="AC58" s="56"/>
      <c r="AD58" s="36"/>
      <c r="AE58" s="36"/>
      <c r="AF58" s="36"/>
      <c r="AG58" s="36"/>
      <c r="AH58" s="36"/>
      <c r="AI58" s="36"/>
      <c r="AJ58" s="36"/>
      <c r="AK58" s="36"/>
      <c r="AL58" s="36"/>
      <c r="AM58" s="56"/>
    </row>
    <row r="59" ht="15.75" customHeight="1">
      <c r="A59" s="24"/>
      <c r="B59" s="72"/>
      <c r="C59" s="60"/>
      <c r="D59" s="60"/>
      <c r="E59" s="40" t="s">
        <v>57</v>
      </c>
      <c r="F59" s="60"/>
      <c r="G59" s="60" t="s">
        <v>24</v>
      </c>
      <c r="H59" s="60"/>
      <c r="I59" s="40" t="s">
        <v>33</v>
      </c>
      <c r="J59" s="4"/>
      <c r="K59" s="4" t="str">
        <f t="shared" si="1"/>
        <v/>
      </c>
      <c r="L59" s="17" t="str">
        <f t="shared" si="2"/>
        <v/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56"/>
      <c r="X59" s="56"/>
      <c r="Y59" s="56"/>
      <c r="Z59" s="56"/>
      <c r="AA59" s="56"/>
      <c r="AB59" s="56"/>
      <c r="AC59" s="56"/>
      <c r="AD59" s="36"/>
      <c r="AE59" s="36"/>
      <c r="AF59" s="36"/>
      <c r="AG59" s="36"/>
      <c r="AH59" s="36"/>
      <c r="AI59" s="36"/>
      <c r="AJ59" s="36"/>
      <c r="AK59" s="36"/>
      <c r="AL59" s="36"/>
      <c r="AM59" s="56"/>
    </row>
    <row r="60" ht="15.75" customHeight="1">
      <c r="A60" s="24"/>
      <c r="B60" s="72"/>
      <c r="C60" s="60"/>
      <c r="D60" s="60"/>
      <c r="E60" s="40" t="s">
        <v>94</v>
      </c>
      <c r="F60" s="60"/>
      <c r="G60" s="60" t="s">
        <v>24</v>
      </c>
      <c r="H60" s="60"/>
      <c r="I60" s="40" t="s">
        <v>43</v>
      </c>
      <c r="J60" s="4"/>
      <c r="K60" s="4" t="str">
        <f t="shared" si="1"/>
        <v/>
      </c>
      <c r="L60" s="17" t="str">
        <f t="shared" si="2"/>
        <v/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56"/>
      <c r="X60" s="56"/>
      <c r="Y60" s="56"/>
      <c r="Z60" s="56"/>
      <c r="AA60" s="56"/>
      <c r="AB60" s="56"/>
      <c r="AC60" s="56"/>
      <c r="AD60" s="36"/>
      <c r="AE60" s="36"/>
      <c r="AF60" s="36"/>
      <c r="AG60" s="36"/>
      <c r="AH60" s="36"/>
      <c r="AI60" s="36"/>
      <c r="AJ60" s="36"/>
      <c r="AK60" s="36"/>
      <c r="AL60" s="36"/>
      <c r="AM60" s="56"/>
    </row>
    <row r="61" ht="15.75" customHeight="1">
      <c r="A61" s="24"/>
      <c r="B61" s="72"/>
      <c r="C61" s="60"/>
      <c r="D61" s="60"/>
      <c r="E61" s="40" t="s">
        <v>61</v>
      </c>
      <c r="F61" s="60"/>
      <c r="G61" s="60" t="s">
        <v>24</v>
      </c>
      <c r="H61" s="60"/>
      <c r="I61" s="40" t="s">
        <v>92</v>
      </c>
      <c r="J61" s="4"/>
      <c r="K61" s="4" t="str">
        <f t="shared" si="1"/>
        <v/>
      </c>
      <c r="L61" s="17" t="str">
        <f t="shared" si="2"/>
        <v/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56"/>
      <c r="X61" s="56"/>
      <c r="Y61" s="56"/>
      <c r="Z61" s="56"/>
      <c r="AA61" s="56"/>
      <c r="AB61" s="56"/>
      <c r="AC61" s="56"/>
      <c r="AD61" s="36"/>
      <c r="AE61" s="36"/>
      <c r="AF61" s="36"/>
      <c r="AG61" s="36"/>
      <c r="AH61" s="36"/>
      <c r="AI61" s="36"/>
      <c r="AJ61" s="36"/>
      <c r="AK61" s="36"/>
      <c r="AL61" s="36"/>
      <c r="AM61" s="56"/>
    </row>
    <row r="62" ht="15.75" customHeight="1">
      <c r="A62" s="28"/>
      <c r="B62" s="72"/>
      <c r="C62" s="60"/>
      <c r="D62" s="60"/>
      <c r="E62" s="40" t="s">
        <v>32</v>
      </c>
      <c r="F62" s="60"/>
      <c r="G62" s="60" t="s">
        <v>24</v>
      </c>
      <c r="H62" s="60"/>
      <c r="I62" s="40" t="s">
        <v>40</v>
      </c>
      <c r="J62" s="4"/>
      <c r="K62" s="4" t="str">
        <f t="shared" si="1"/>
        <v/>
      </c>
      <c r="L62" s="17" t="str">
        <f t="shared" si="2"/>
        <v/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56"/>
      <c r="X62" s="56"/>
      <c r="Y62" s="56"/>
      <c r="Z62" s="56"/>
      <c r="AA62" s="56"/>
      <c r="AB62" s="56"/>
      <c r="AC62" s="56"/>
      <c r="AD62" s="36"/>
      <c r="AE62" s="36"/>
      <c r="AF62" s="36"/>
      <c r="AG62" s="36"/>
      <c r="AH62" s="36"/>
      <c r="AI62" s="36"/>
      <c r="AJ62" s="36"/>
      <c r="AK62" s="36"/>
      <c r="AL62" s="36"/>
      <c r="AM62" s="56"/>
    </row>
    <row r="63" ht="15.75" customHeight="1">
      <c r="A63" s="58">
        <v>11.0</v>
      </c>
      <c r="B63" s="72"/>
      <c r="C63" s="60"/>
      <c r="D63" s="60"/>
      <c r="E63" s="40" t="s">
        <v>36</v>
      </c>
      <c r="F63" s="60"/>
      <c r="G63" s="60" t="s">
        <v>24</v>
      </c>
      <c r="H63" s="60"/>
      <c r="I63" s="40" t="s">
        <v>37</v>
      </c>
      <c r="J63" s="4"/>
      <c r="K63" s="4" t="str">
        <f t="shared" si="1"/>
        <v/>
      </c>
      <c r="L63" s="17" t="str">
        <f t="shared" si="2"/>
        <v/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56"/>
      <c r="X63" s="56"/>
      <c r="Y63" s="56"/>
      <c r="Z63" s="56"/>
      <c r="AA63" s="56"/>
      <c r="AB63" s="56"/>
      <c r="AC63" s="56"/>
      <c r="AD63" s="36"/>
      <c r="AE63" s="36"/>
      <c r="AF63" s="36"/>
      <c r="AG63" s="36"/>
      <c r="AH63" s="36"/>
      <c r="AI63" s="36"/>
      <c r="AJ63" s="36"/>
      <c r="AK63" s="36"/>
      <c r="AL63" s="36"/>
      <c r="AM63" s="56"/>
    </row>
    <row r="64" ht="15.75" customHeight="1">
      <c r="A64" s="24"/>
      <c r="B64" s="72"/>
      <c r="C64" s="60"/>
      <c r="D64" s="60"/>
      <c r="E64" s="40" t="s">
        <v>62</v>
      </c>
      <c r="F64" s="60"/>
      <c r="G64" s="60" t="s">
        <v>24</v>
      </c>
      <c r="H64" s="60"/>
      <c r="I64" s="40" t="s">
        <v>57</v>
      </c>
      <c r="J64" s="4"/>
      <c r="K64" s="4" t="str">
        <f t="shared" si="1"/>
        <v/>
      </c>
      <c r="L64" s="17" t="str">
        <f t="shared" si="2"/>
        <v/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56"/>
      <c r="X64" s="56"/>
      <c r="Y64" s="56"/>
      <c r="Z64" s="56"/>
      <c r="AA64" s="56"/>
      <c r="AB64" s="56"/>
      <c r="AC64" s="56"/>
      <c r="AD64" s="36"/>
      <c r="AE64" s="36"/>
      <c r="AF64" s="36"/>
      <c r="AG64" s="36"/>
      <c r="AH64" s="36"/>
      <c r="AI64" s="36"/>
      <c r="AJ64" s="36"/>
      <c r="AK64" s="36"/>
      <c r="AL64" s="36"/>
      <c r="AM64" s="56"/>
    </row>
    <row r="65" ht="15.75" customHeight="1">
      <c r="A65" s="24"/>
      <c r="B65" s="72"/>
      <c r="C65" s="60"/>
      <c r="D65" s="60"/>
      <c r="E65" s="40" t="s">
        <v>33</v>
      </c>
      <c r="F65" s="60"/>
      <c r="G65" s="60" t="s">
        <v>24</v>
      </c>
      <c r="H65" s="60"/>
      <c r="I65" s="40" t="s">
        <v>94</v>
      </c>
      <c r="J65" s="4"/>
      <c r="K65" s="4" t="str">
        <f t="shared" si="1"/>
        <v/>
      </c>
      <c r="L65" s="17" t="str">
        <f t="shared" si="2"/>
        <v/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56"/>
      <c r="X65" s="56"/>
      <c r="Y65" s="56"/>
      <c r="Z65" s="56"/>
      <c r="AA65" s="56"/>
      <c r="AB65" s="56"/>
      <c r="AC65" s="56"/>
      <c r="AD65" s="36"/>
      <c r="AE65" s="36"/>
      <c r="AF65" s="36"/>
      <c r="AG65" s="36"/>
      <c r="AH65" s="36"/>
      <c r="AI65" s="36"/>
      <c r="AJ65" s="36"/>
      <c r="AK65" s="36"/>
      <c r="AL65" s="36"/>
      <c r="AM65" s="56"/>
    </row>
    <row r="66" ht="15.75" customHeight="1">
      <c r="A66" s="24"/>
      <c r="B66" s="72"/>
      <c r="C66" s="60"/>
      <c r="D66" s="60"/>
      <c r="E66" s="40" t="s">
        <v>43</v>
      </c>
      <c r="F66" s="60"/>
      <c r="G66" s="60" t="s">
        <v>24</v>
      </c>
      <c r="H66" s="60"/>
      <c r="I66" s="40" t="s">
        <v>61</v>
      </c>
      <c r="J66" s="4"/>
      <c r="K66" s="4" t="str">
        <f t="shared" si="1"/>
        <v/>
      </c>
      <c r="L66" s="17" t="str">
        <f t="shared" si="2"/>
        <v/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56"/>
      <c r="X66" s="56"/>
      <c r="Y66" s="56"/>
      <c r="Z66" s="56"/>
      <c r="AA66" s="56"/>
      <c r="AB66" s="56"/>
      <c r="AC66" s="56"/>
      <c r="AD66" s="36"/>
      <c r="AE66" s="36"/>
      <c r="AF66" s="36"/>
      <c r="AG66" s="36"/>
      <c r="AH66" s="36"/>
      <c r="AI66" s="36"/>
      <c r="AJ66" s="36"/>
      <c r="AK66" s="36"/>
      <c r="AL66" s="36"/>
      <c r="AM66" s="56"/>
    </row>
    <row r="67" ht="15.75" customHeight="1">
      <c r="A67" s="24"/>
      <c r="B67" s="72"/>
      <c r="C67" s="60"/>
      <c r="D67" s="60"/>
      <c r="E67" s="40" t="s">
        <v>92</v>
      </c>
      <c r="F67" s="60"/>
      <c r="G67" s="60" t="s">
        <v>24</v>
      </c>
      <c r="H67" s="60"/>
      <c r="I67" s="40" t="s">
        <v>32</v>
      </c>
      <c r="J67" s="4"/>
      <c r="K67" s="4" t="str">
        <f t="shared" si="1"/>
        <v/>
      </c>
      <c r="L67" s="17" t="str">
        <f t="shared" si="2"/>
        <v/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56"/>
      <c r="X67" s="56"/>
      <c r="Y67" s="56"/>
      <c r="Z67" s="56"/>
      <c r="AA67" s="56"/>
      <c r="AB67" s="56"/>
      <c r="AC67" s="56"/>
      <c r="AD67" s="36"/>
      <c r="AE67" s="36"/>
      <c r="AF67" s="36"/>
      <c r="AG67" s="36"/>
      <c r="AH67" s="36"/>
      <c r="AI67" s="36"/>
      <c r="AJ67" s="36"/>
      <c r="AK67" s="36"/>
      <c r="AL67" s="36"/>
      <c r="AM67" s="56"/>
    </row>
    <row r="68" ht="15.75" customHeight="1">
      <c r="A68" s="28"/>
      <c r="B68" s="72"/>
      <c r="C68" s="60"/>
      <c r="D68" s="60"/>
      <c r="E68" s="40" t="s">
        <v>40</v>
      </c>
      <c r="F68" s="40"/>
      <c r="G68" s="60" t="s">
        <v>24</v>
      </c>
      <c r="H68" s="40"/>
      <c r="I68" s="40" t="s">
        <v>25</v>
      </c>
      <c r="J68" s="4"/>
      <c r="K68" s="4" t="str">
        <f t="shared" si="1"/>
        <v/>
      </c>
      <c r="L68" s="17" t="str">
        <f t="shared" si="2"/>
        <v/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56"/>
      <c r="X68" s="56"/>
      <c r="Y68" s="56"/>
      <c r="Z68" s="56"/>
      <c r="AA68" s="56"/>
      <c r="AB68" s="56"/>
      <c r="AC68" s="56"/>
      <c r="AD68" s="36"/>
      <c r="AE68" s="36"/>
      <c r="AF68" s="36"/>
      <c r="AG68" s="36"/>
      <c r="AH68" s="36"/>
      <c r="AI68" s="36"/>
      <c r="AJ68" s="36"/>
      <c r="AK68" s="36"/>
      <c r="AL68" s="36"/>
      <c r="AM68" s="56"/>
    </row>
    <row r="69" ht="15.75" customHeight="1">
      <c r="A69" s="76"/>
      <c r="B69" s="77"/>
      <c r="C69" s="77"/>
      <c r="D69" s="77"/>
      <c r="E69" s="77"/>
      <c r="F69" s="77"/>
      <c r="G69" s="77"/>
      <c r="H69" s="56"/>
      <c r="I69" s="3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36"/>
      <c r="AE69" s="36"/>
      <c r="AF69" s="36"/>
      <c r="AG69" s="36"/>
      <c r="AH69" s="36"/>
      <c r="AI69" s="36"/>
      <c r="AJ69" s="36"/>
      <c r="AK69" s="36"/>
      <c r="AL69" s="36"/>
      <c r="AM69" s="56"/>
    </row>
    <row r="70" ht="15.75" customHeight="1">
      <c r="A70" s="76"/>
      <c r="B70" s="77"/>
      <c r="C70" s="77"/>
      <c r="D70" s="77"/>
      <c r="E70" s="77"/>
      <c r="F70" s="77"/>
      <c r="G70" s="77"/>
      <c r="H70" s="56"/>
      <c r="I70" s="3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36"/>
      <c r="AE70" s="36"/>
      <c r="AF70" s="36"/>
      <c r="AG70" s="36"/>
      <c r="AH70" s="36"/>
      <c r="AI70" s="36"/>
      <c r="AJ70" s="36"/>
      <c r="AK70" s="36"/>
      <c r="AL70" s="36"/>
      <c r="AM70" s="56"/>
    </row>
    <row r="71" ht="15.75" customHeight="1">
      <c r="A71" s="76"/>
      <c r="B71" s="77"/>
      <c r="C71" s="77"/>
      <c r="D71" s="77"/>
      <c r="E71" s="77"/>
      <c r="F71" s="77"/>
      <c r="G71" s="77"/>
      <c r="H71" s="56"/>
      <c r="I71" s="3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36"/>
      <c r="AE71" s="36"/>
      <c r="AF71" s="36"/>
      <c r="AG71" s="36"/>
      <c r="AH71" s="36"/>
      <c r="AI71" s="36"/>
      <c r="AJ71" s="36"/>
      <c r="AK71" s="36"/>
      <c r="AL71" s="36"/>
      <c r="AM71" s="56"/>
    </row>
    <row r="72" ht="15.75" customHeight="1">
      <c r="A72" s="55" t="s">
        <v>107</v>
      </c>
      <c r="H72" s="56"/>
      <c r="I72" s="3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36"/>
      <c r="AE72" s="36"/>
      <c r="AF72" s="36"/>
      <c r="AG72" s="36"/>
      <c r="AH72" s="36"/>
      <c r="AI72" s="36"/>
      <c r="AJ72" s="36"/>
      <c r="AK72" s="36"/>
      <c r="AL72" s="36"/>
      <c r="AM72" s="56"/>
    </row>
    <row r="73" ht="15.75" customHeight="1">
      <c r="A73" s="57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 t="s">
        <v>15</v>
      </c>
      <c r="S73" s="9" t="s">
        <v>16</v>
      </c>
      <c r="T73" s="9" t="s">
        <v>89</v>
      </c>
      <c r="U73" s="9" t="s">
        <v>90</v>
      </c>
      <c r="V73" s="9" t="s">
        <v>91</v>
      </c>
      <c r="W73" s="36"/>
      <c r="X73" s="36"/>
      <c r="Y73" s="36"/>
      <c r="Z73" s="36"/>
      <c r="AA73" s="36"/>
      <c r="AB73" s="36"/>
      <c r="AC73" s="36"/>
      <c r="AD73" s="5" t="s">
        <v>11</v>
      </c>
      <c r="AE73" s="5" t="s">
        <v>12</v>
      </c>
      <c r="AF73" s="5" t="s">
        <v>13</v>
      </c>
      <c r="AG73" s="5" t="s">
        <v>14</v>
      </c>
      <c r="AH73" s="5" t="s">
        <v>15</v>
      </c>
      <c r="AI73" s="5" t="s">
        <v>16</v>
      </c>
      <c r="AJ73" s="5" t="s">
        <v>89</v>
      </c>
      <c r="AK73" s="5" t="s">
        <v>90</v>
      </c>
      <c r="AL73" s="5" t="s">
        <v>91</v>
      </c>
      <c r="AM73" s="56"/>
    </row>
    <row r="74" ht="15.75" customHeight="1">
      <c r="A74" s="10">
        <v>1.0</v>
      </c>
      <c r="B74" s="39"/>
      <c r="C74" s="59"/>
      <c r="D74" s="59" t="s">
        <v>22</v>
      </c>
      <c r="E74" s="14" t="s">
        <v>31</v>
      </c>
      <c r="F74" s="75"/>
      <c r="G74" s="60" t="s">
        <v>24</v>
      </c>
      <c r="H74" s="75"/>
      <c r="I74" s="78" t="s">
        <v>108</v>
      </c>
      <c r="J74" s="4"/>
      <c r="K74" s="4" t="str">
        <f t="shared" ref="K74:K118" si="11">IF(F74="","",IFS(F74&gt;H74,2,F74=H74,1,H74&gt;F74,0,F74="",0))</f>
        <v/>
      </c>
      <c r="L74" s="17" t="str">
        <f t="shared" ref="L74:L118" si="12">IF(H74="","",IFS(F74&lt;H74,2,F74=H74,1,H74&lt;F74,0))</f>
        <v/>
      </c>
      <c r="M74" s="4"/>
      <c r="N74" s="17">
        <v>1.0</v>
      </c>
      <c r="O74" s="70" t="s">
        <v>108</v>
      </c>
      <c r="P74" s="17">
        <f t="shared" ref="P74:P82" si="13">SUMIF(E$74:E$118,O74,K$74:K$118)+SUMIF(I$74:I$118,O74,L$74:L$118)</f>
        <v>2</v>
      </c>
      <c r="Q74" s="17">
        <f t="shared" ref="Q74:Q82" si="14">COUNTIFS(E$74:E$118,O74,K$74:K$118,2)+COUNTIFS(I$74:I$118,O74,L$74:L$118,2)</f>
        <v>1</v>
      </c>
      <c r="R74" s="19">
        <f t="shared" ref="R74:R82" si="15">COUNTIFS(E$74:E$118,O74,K$74:K$118,1)+COUNTIFS(I$74:I$118,O74,L$74:L$118,1)</f>
        <v>0</v>
      </c>
      <c r="S74" s="19">
        <f t="shared" ref="S74:S82" si="16">COUNTIFS(E$74:E$118,O74,K$74:K$118,0)+COUNTIFS(I$74:I$118,O74,L$74:L$118,0)</f>
        <v>0</v>
      </c>
      <c r="T74" s="17">
        <f t="shared" ref="T74:T82" si="17">SUMIF(E$74:E$118,O74,F$74:F$118)+SUMIF(I$74:I$118,O74,H$74:H$118)</f>
        <v>7</v>
      </c>
      <c r="U74" s="19">
        <f t="shared" ref="U74:U82" si="18">SUMIF(E$74:E$118,O74,H$74:H$118)+SUMIF(I$74:I$118,O74,F$74:F$118)</f>
        <v>2</v>
      </c>
      <c r="V74" s="17">
        <f t="shared" ref="V74:V82" si="19">T74-U74</f>
        <v>5</v>
      </c>
      <c r="W74" s="56"/>
      <c r="X74" s="56"/>
      <c r="Y74" s="56"/>
      <c r="Z74" s="56"/>
      <c r="AA74" s="56"/>
      <c r="AB74" s="56"/>
      <c r="AC74" s="56"/>
      <c r="AD74" s="41" t="s">
        <v>29</v>
      </c>
      <c r="AE74" s="63" t="str">
        <f t="array" ref="AE74:AM82">SORT(O74:X82,2,FALSE,9,FALSE,8,FALSE())</f>
        <v>GPT</v>
      </c>
      <c r="AF74" s="22">
        <v>4.0</v>
      </c>
      <c r="AG74" s="22">
        <v>2.0</v>
      </c>
      <c r="AH74" s="23">
        <v>0.0</v>
      </c>
      <c r="AI74" s="23">
        <v>0.0</v>
      </c>
      <c r="AJ74" s="22">
        <v>25.0</v>
      </c>
      <c r="AK74" s="23">
        <v>5.0</v>
      </c>
      <c r="AL74" s="22">
        <v>20.0</v>
      </c>
      <c r="AM74" s="56"/>
    </row>
    <row r="75" ht="15.75" customHeight="1">
      <c r="A75" s="24"/>
      <c r="B75" s="39">
        <v>45952.0</v>
      </c>
      <c r="C75" s="59" t="s">
        <v>109</v>
      </c>
      <c r="D75" s="59" t="s">
        <v>22</v>
      </c>
      <c r="E75" s="14" t="s">
        <v>110</v>
      </c>
      <c r="F75" s="14">
        <v>0.0</v>
      </c>
      <c r="G75" s="60" t="s">
        <v>24</v>
      </c>
      <c r="H75" s="14">
        <v>9.0</v>
      </c>
      <c r="I75" s="78" t="s">
        <v>111</v>
      </c>
      <c r="J75" s="4"/>
      <c r="K75" s="4">
        <f t="shared" si="11"/>
        <v>0</v>
      </c>
      <c r="L75" s="17">
        <f t="shared" si="12"/>
        <v>2</v>
      </c>
      <c r="M75" s="4"/>
      <c r="N75" s="17">
        <v>2.0</v>
      </c>
      <c r="O75" s="70" t="s">
        <v>31</v>
      </c>
      <c r="P75" s="17">
        <f t="shared" si="13"/>
        <v>0</v>
      </c>
      <c r="Q75" s="17">
        <f t="shared" si="14"/>
        <v>0</v>
      </c>
      <c r="R75" s="19">
        <f t="shared" si="15"/>
        <v>0</v>
      </c>
      <c r="S75" s="19">
        <f t="shared" si="16"/>
        <v>0</v>
      </c>
      <c r="T75" s="17">
        <f t="shared" si="17"/>
        <v>0</v>
      </c>
      <c r="U75" s="19">
        <f t="shared" si="18"/>
        <v>0</v>
      </c>
      <c r="V75" s="17">
        <f t="shared" si="19"/>
        <v>0</v>
      </c>
      <c r="W75" s="56"/>
      <c r="X75" s="56"/>
      <c r="Y75" s="56"/>
      <c r="Z75" s="56"/>
      <c r="AA75" s="56"/>
      <c r="AB75" s="56"/>
      <c r="AC75" s="56"/>
      <c r="AD75" s="66" t="s">
        <v>112</v>
      </c>
      <c r="AE75" s="63" t="s">
        <v>108</v>
      </c>
      <c r="AF75" s="22">
        <v>2.0</v>
      </c>
      <c r="AG75" s="22">
        <v>1.0</v>
      </c>
      <c r="AH75" s="23">
        <v>0.0</v>
      </c>
      <c r="AI75" s="23">
        <v>0.0</v>
      </c>
      <c r="AJ75" s="22">
        <v>7.0</v>
      </c>
      <c r="AK75" s="23">
        <v>2.0</v>
      </c>
      <c r="AL75" s="22">
        <v>5.0</v>
      </c>
      <c r="AM75" s="56"/>
    </row>
    <row r="76" ht="15.75" customHeight="1">
      <c r="A76" s="24"/>
      <c r="B76" s="39"/>
      <c r="C76" s="59"/>
      <c r="D76" s="59" t="s">
        <v>22</v>
      </c>
      <c r="E76" s="14" t="s">
        <v>60</v>
      </c>
      <c r="F76" s="75"/>
      <c r="G76" s="60" t="s">
        <v>24</v>
      </c>
      <c r="H76" s="75"/>
      <c r="I76" s="78" t="s">
        <v>113</v>
      </c>
      <c r="J76" s="4"/>
      <c r="K76" s="4" t="str">
        <f t="shared" si="11"/>
        <v/>
      </c>
      <c r="L76" s="17" t="str">
        <f t="shared" si="12"/>
        <v/>
      </c>
      <c r="M76" s="4"/>
      <c r="N76" s="17">
        <v>3.0</v>
      </c>
      <c r="O76" s="70" t="s">
        <v>110</v>
      </c>
      <c r="P76" s="17">
        <f t="shared" si="13"/>
        <v>0</v>
      </c>
      <c r="Q76" s="17">
        <f t="shared" si="14"/>
        <v>0</v>
      </c>
      <c r="R76" s="19">
        <f t="shared" si="15"/>
        <v>0</v>
      </c>
      <c r="S76" s="19">
        <f t="shared" si="16"/>
        <v>2</v>
      </c>
      <c r="T76" s="17">
        <f t="shared" si="17"/>
        <v>2</v>
      </c>
      <c r="U76" s="19">
        <f t="shared" si="18"/>
        <v>16</v>
      </c>
      <c r="V76" s="17">
        <f t="shared" si="19"/>
        <v>-14</v>
      </c>
      <c r="W76" s="56"/>
      <c r="X76" s="56"/>
      <c r="Y76" s="56"/>
      <c r="Z76" s="56"/>
      <c r="AA76" s="56"/>
      <c r="AB76" s="56"/>
      <c r="AC76" s="56"/>
      <c r="AD76" s="21">
        <v>3.0</v>
      </c>
      <c r="AE76" s="63" t="s">
        <v>55</v>
      </c>
      <c r="AF76" s="22">
        <v>2.0</v>
      </c>
      <c r="AG76" s="22">
        <v>1.0</v>
      </c>
      <c r="AH76" s="23">
        <v>0.0</v>
      </c>
      <c r="AI76" s="23">
        <v>0.0</v>
      </c>
      <c r="AJ76" s="22">
        <v>8.0</v>
      </c>
      <c r="AK76" s="23">
        <v>6.0</v>
      </c>
      <c r="AL76" s="22">
        <v>2.0</v>
      </c>
      <c r="AM76" s="56"/>
    </row>
    <row r="77" ht="15.75" customHeight="1">
      <c r="A77" s="24"/>
      <c r="B77" s="39">
        <v>45952.0</v>
      </c>
      <c r="C77" s="12" t="s">
        <v>114</v>
      </c>
      <c r="D77" s="59" t="s">
        <v>22</v>
      </c>
      <c r="E77" s="14" t="s">
        <v>115</v>
      </c>
      <c r="F77" s="14">
        <v>7.0</v>
      </c>
      <c r="G77" s="60" t="s">
        <v>24</v>
      </c>
      <c r="H77" s="14">
        <v>10.0</v>
      </c>
      <c r="I77" s="78" t="s">
        <v>116</v>
      </c>
      <c r="J77" s="4"/>
      <c r="K77" s="4">
        <f t="shared" si="11"/>
        <v>0</v>
      </c>
      <c r="L77" s="17">
        <f t="shared" si="12"/>
        <v>2</v>
      </c>
      <c r="M77" s="4"/>
      <c r="N77" s="17">
        <v>4.0</v>
      </c>
      <c r="O77" s="70" t="s">
        <v>60</v>
      </c>
      <c r="P77" s="17">
        <f t="shared" si="13"/>
        <v>0</v>
      </c>
      <c r="Q77" s="17">
        <f t="shared" si="14"/>
        <v>0</v>
      </c>
      <c r="R77" s="19">
        <f t="shared" si="15"/>
        <v>0</v>
      </c>
      <c r="S77" s="19">
        <f t="shared" si="16"/>
        <v>1</v>
      </c>
      <c r="T77" s="17">
        <f t="shared" si="17"/>
        <v>5</v>
      </c>
      <c r="U77" s="19">
        <f t="shared" si="18"/>
        <v>16</v>
      </c>
      <c r="V77" s="17">
        <f t="shared" si="19"/>
        <v>-11</v>
      </c>
      <c r="W77" s="56"/>
      <c r="X77" s="56"/>
      <c r="Y77" s="56"/>
      <c r="Z77" s="56"/>
      <c r="AA77" s="56"/>
      <c r="AB77" s="56"/>
      <c r="AC77" s="56"/>
      <c r="AD77" s="21">
        <v>4.0</v>
      </c>
      <c r="AE77" s="63" t="s">
        <v>113</v>
      </c>
      <c r="AF77" s="22">
        <v>2.0</v>
      </c>
      <c r="AG77" s="22">
        <v>1.0</v>
      </c>
      <c r="AH77" s="23">
        <v>0.0</v>
      </c>
      <c r="AI77" s="23">
        <v>0.0</v>
      </c>
      <c r="AJ77" s="22">
        <v>16.0</v>
      </c>
      <c r="AK77" s="23">
        <v>14.0</v>
      </c>
      <c r="AL77" s="22">
        <v>2.0</v>
      </c>
      <c r="AM77" s="56"/>
    </row>
    <row r="78" ht="15.75" customHeight="1">
      <c r="A78" s="28"/>
      <c r="B78" s="79"/>
      <c r="C78" s="60"/>
      <c r="D78" s="60"/>
      <c r="E78" s="14" t="s">
        <v>55</v>
      </c>
      <c r="F78" s="75"/>
      <c r="G78" s="60" t="s">
        <v>24</v>
      </c>
      <c r="H78" s="75"/>
      <c r="I78" s="78">
        <v>0.0</v>
      </c>
      <c r="J78" s="4"/>
      <c r="K78" s="4" t="str">
        <f t="shared" si="11"/>
        <v/>
      </c>
      <c r="L78" s="17" t="str">
        <f t="shared" si="12"/>
        <v/>
      </c>
      <c r="M78" s="4"/>
      <c r="N78" s="17">
        <v>5.0</v>
      </c>
      <c r="O78" s="70" t="s">
        <v>115</v>
      </c>
      <c r="P78" s="17">
        <f t="shared" si="13"/>
        <v>0</v>
      </c>
      <c r="Q78" s="17">
        <f t="shared" si="14"/>
        <v>0</v>
      </c>
      <c r="R78" s="19">
        <f t="shared" si="15"/>
        <v>0</v>
      </c>
      <c r="S78" s="19">
        <f t="shared" si="16"/>
        <v>2</v>
      </c>
      <c r="T78" s="17">
        <f t="shared" si="17"/>
        <v>21</v>
      </c>
      <c r="U78" s="19">
        <f t="shared" si="18"/>
        <v>26</v>
      </c>
      <c r="V78" s="17">
        <f t="shared" si="19"/>
        <v>-5</v>
      </c>
      <c r="W78" s="56"/>
      <c r="X78" s="56"/>
      <c r="Y78" s="56"/>
      <c r="Z78" s="56"/>
      <c r="AA78" s="56"/>
      <c r="AB78" s="56"/>
      <c r="AC78" s="56"/>
      <c r="AD78" s="21">
        <v>5.0</v>
      </c>
      <c r="AE78" s="63" t="s">
        <v>116</v>
      </c>
      <c r="AF78" s="22">
        <v>2.0</v>
      </c>
      <c r="AG78" s="22">
        <v>1.0</v>
      </c>
      <c r="AH78" s="23">
        <v>0.0</v>
      </c>
      <c r="AI78" s="23">
        <v>1.0</v>
      </c>
      <c r="AJ78" s="22">
        <v>16.0</v>
      </c>
      <c r="AK78" s="23">
        <v>15.0</v>
      </c>
      <c r="AL78" s="22">
        <v>1.0</v>
      </c>
      <c r="AM78" s="56"/>
    </row>
    <row r="79" ht="15.75" customHeight="1">
      <c r="A79" s="10">
        <v>2.0</v>
      </c>
      <c r="B79" s="39">
        <v>45952.0</v>
      </c>
      <c r="C79" s="59" t="s">
        <v>117</v>
      </c>
      <c r="D79" s="59" t="s">
        <v>22</v>
      </c>
      <c r="E79" s="14" t="s">
        <v>108</v>
      </c>
      <c r="F79" s="14">
        <v>7.0</v>
      </c>
      <c r="G79" s="60" t="s">
        <v>24</v>
      </c>
      <c r="H79" s="14">
        <v>2.0</v>
      </c>
      <c r="I79" s="78" t="s">
        <v>110</v>
      </c>
      <c r="J79" s="4"/>
      <c r="K79" s="4">
        <f t="shared" si="11"/>
        <v>2</v>
      </c>
      <c r="L79" s="17">
        <f t="shared" si="12"/>
        <v>0</v>
      </c>
      <c r="M79" s="4"/>
      <c r="N79" s="17">
        <v>6.0</v>
      </c>
      <c r="O79" s="70" t="s">
        <v>55</v>
      </c>
      <c r="P79" s="17">
        <f t="shared" si="13"/>
        <v>2</v>
      </c>
      <c r="Q79" s="17">
        <f t="shared" si="14"/>
        <v>1</v>
      </c>
      <c r="R79" s="19">
        <f t="shared" si="15"/>
        <v>0</v>
      </c>
      <c r="S79" s="19">
        <f t="shared" si="16"/>
        <v>0</v>
      </c>
      <c r="T79" s="17">
        <f t="shared" si="17"/>
        <v>8</v>
      </c>
      <c r="U79" s="19">
        <f t="shared" si="18"/>
        <v>6</v>
      </c>
      <c r="V79" s="17">
        <f t="shared" si="19"/>
        <v>2</v>
      </c>
      <c r="W79" s="56"/>
      <c r="X79" s="56"/>
      <c r="Y79" s="56"/>
      <c r="Z79" s="56"/>
      <c r="AA79" s="56"/>
      <c r="AB79" s="56"/>
      <c r="AC79" s="56"/>
      <c r="AD79" s="21">
        <v>6.0</v>
      </c>
      <c r="AE79" s="63" t="s">
        <v>31</v>
      </c>
      <c r="AF79" s="22">
        <v>0.0</v>
      </c>
      <c r="AG79" s="22">
        <v>0.0</v>
      </c>
      <c r="AH79" s="23">
        <v>0.0</v>
      </c>
      <c r="AI79" s="23">
        <v>0.0</v>
      </c>
      <c r="AJ79" s="22">
        <v>0.0</v>
      </c>
      <c r="AK79" s="23">
        <v>0.0</v>
      </c>
      <c r="AL79" s="22">
        <v>0.0</v>
      </c>
      <c r="AM79" s="56"/>
    </row>
    <row r="80" ht="15.75" customHeight="1">
      <c r="A80" s="24"/>
      <c r="B80" s="80"/>
      <c r="C80" s="81"/>
      <c r="D80" s="81"/>
      <c r="E80" s="14">
        <v>0.0</v>
      </c>
      <c r="F80" s="75"/>
      <c r="G80" s="60" t="s">
        <v>24</v>
      </c>
      <c r="H80" s="75"/>
      <c r="I80" s="78" t="s">
        <v>31</v>
      </c>
      <c r="J80" s="4"/>
      <c r="K80" s="4" t="str">
        <f t="shared" si="11"/>
        <v/>
      </c>
      <c r="L80" s="17" t="str">
        <f t="shared" si="12"/>
        <v/>
      </c>
      <c r="M80" s="4"/>
      <c r="N80" s="17">
        <v>7.0</v>
      </c>
      <c r="O80" s="70" t="s">
        <v>116</v>
      </c>
      <c r="P80" s="17">
        <f t="shared" si="13"/>
        <v>2</v>
      </c>
      <c r="Q80" s="17">
        <f t="shared" si="14"/>
        <v>1</v>
      </c>
      <c r="R80" s="19">
        <f t="shared" si="15"/>
        <v>0</v>
      </c>
      <c r="S80" s="19">
        <f t="shared" si="16"/>
        <v>1</v>
      </c>
      <c r="T80" s="17">
        <f t="shared" si="17"/>
        <v>16</v>
      </c>
      <c r="U80" s="19">
        <f t="shared" si="18"/>
        <v>15</v>
      </c>
      <c r="V80" s="17">
        <f t="shared" si="19"/>
        <v>1</v>
      </c>
      <c r="W80" s="56"/>
      <c r="X80" s="56"/>
      <c r="Y80" s="56"/>
      <c r="Z80" s="56"/>
      <c r="AA80" s="56"/>
      <c r="AB80" s="56"/>
      <c r="AC80" s="56"/>
      <c r="AD80" s="21">
        <v>7.0</v>
      </c>
      <c r="AE80" s="63" t="s">
        <v>115</v>
      </c>
      <c r="AF80" s="22">
        <v>0.0</v>
      </c>
      <c r="AG80" s="22">
        <v>0.0</v>
      </c>
      <c r="AH80" s="23">
        <v>0.0</v>
      </c>
      <c r="AI80" s="23">
        <v>2.0</v>
      </c>
      <c r="AJ80" s="22">
        <v>21.0</v>
      </c>
      <c r="AK80" s="23">
        <v>26.0</v>
      </c>
      <c r="AL80" s="22">
        <v>-5.0</v>
      </c>
      <c r="AM80" s="56"/>
    </row>
    <row r="81" ht="15.75" customHeight="1">
      <c r="A81" s="24"/>
      <c r="B81" s="39">
        <v>45952.0</v>
      </c>
      <c r="C81" s="59" t="s">
        <v>118</v>
      </c>
      <c r="D81" s="59" t="s">
        <v>22</v>
      </c>
      <c r="E81" s="78" t="s">
        <v>111</v>
      </c>
      <c r="F81" s="14">
        <v>16.0</v>
      </c>
      <c r="G81" s="60" t="s">
        <v>24</v>
      </c>
      <c r="H81" s="14">
        <v>5.0</v>
      </c>
      <c r="I81" s="78" t="s">
        <v>60</v>
      </c>
      <c r="J81" s="4"/>
      <c r="K81" s="4">
        <f t="shared" si="11"/>
        <v>2</v>
      </c>
      <c r="L81" s="17">
        <f t="shared" si="12"/>
        <v>0</v>
      </c>
      <c r="M81" s="4"/>
      <c r="N81" s="17">
        <v>8.0</v>
      </c>
      <c r="O81" s="70" t="s">
        <v>113</v>
      </c>
      <c r="P81" s="17">
        <f t="shared" si="13"/>
        <v>2</v>
      </c>
      <c r="Q81" s="17">
        <f t="shared" si="14"/>
        <v>1</v>
      </c>
      <c r="R81" s="19">
        <f t="shared" si="15"/>
        <v>0</v>
      </c>
      <c r="S81" s="19">
        <f t="shared" si="16"/>
        <v>0</v>
      </c>
      <c r="T81" s="17">
        <f t="shared" si="17"/>
        <v>16</v>
      </c>
      <c r="U81" s="19">
        <f t="shared" si="18"/>
        <v>14</v>
      </c>
      <c r="V81" s="17">
        <f t="shared" si="19"/>
        <v>2</v>
      </c>
      <c r="W81" s="56"/>
      <c r="X81" s="56"/>
      <c r="Y81" s="56"/>
      <c r="Z81" s="56"/>
      <c r="AA81" s="56"/>
      <c r="AB81" s="56"/>
      <c r="AC81" s="56"/>
      <c r="AD81" s="21">
        <v>8.0</v>
      </c>
      <c r="AE81" s="63" t="s">
        <v>60</v>
      </c>
      <c r="AF81" s="22">
        <v>0.0</v>
      </c>
      <c r="AG81" s="22">
        <v>0.0</v>
      </c>
      <c r="AH81" s="23">
        <v>0.0</v>
      </c>
      <c r="AI81" s="23">
        <v>1.0</v>
      </c>
      <c r="AJ81" s="22">
        <v>5.0</v>
      </c>
      <c r="AK81" s="23">
        <v>16.0</v>
      </c>
      <c r="AL81" s="22">
        <v>-11.0</v>
      </c>
      <c r="AM81" s="56"/>
    </row>
    <row r="82" ht="15.75" customHeight="1">
      <c r="A82" s="24"/>
      <c r="B82" s="11">
        <v>45952.0</v>
      </c>
      <c r="C82" s="59" t="s">
        <v>93</v>
      </c>
      <c r="D82" s="59" t="s">
        <v>22</v>
      </c>
      <c r="E82" s="14" t="s">
        <v>113</v>
      </c>
      <c r="F82" s="14">
        <v>16.0</v>
      </c>
      <c r="G82" s="60" t="s">
        <v>24</v>
      </c>
      <c r="H82" s="14">
        <v>14.0</v>
      </c>
      <c r="I82" s="78" t="s">
        <v>115</v>
      </c>
      <c r="J82" s="4"/>
      <c r="K82" s="4">
        <f t="shared" si="11"/>
        <v>2</v>
      </c>
      <c r="L82" s="17">
        <f t="shared" si="12"/>
        <v>0</v>
      </c>
      <c r="M82" s="4"/>
      <c r="N82" s="36">
        <v>9.0</v>
      </c>
      <c r="O82" s="70" t="s">
        <v>111</v>
      </c>
      <c r="P82" s="17">
        <f t="shared" si="13"/>
        <v>4</v>
      </c>
      <c r="Q82" s="17">
        <f t="shared" si="14"/>
        <v>2</v>
      </c>
      <c r="R82" s="19">
        <f t="shared" si="15"/>
        <v>0</v>
      </c>
      <c r="S82" s="19">
        <f t="shared" si="16"/>
        <v>0</v>
      </c>
      <c r="T82" s="17">
        <f t="shared" si="17"/>
        <v>25</v>
      </c>
      <c r="U82" s="19">
        <f t="shared" si="18"/>
        <v>5</v>
      </c>
      <c r="V82" s="17">
        <f t="shared" si="19"/>
        <v>20</v>
      </c>
      <c r="W82" s="56"/>
      <c r="X82" s="56"/>
      <c r="Y82" s="56"/>
      <c r="Z82" s="56"/>
      <c r="AA82" s="56"/>
      <c r="AB82" s="56"/>
      <c r="AC82" s="56"/>
      <c r="AD82" s="21">
        <v>9.0</v>
      </c>
      <c r="AE82" s="27" t="s">
        <v>110</v>
      </c>
      <c r="AF82" s="22">
        <v>0.0</v>
      </c>
      <c r="AG82" s="22">
        <v>0.0</v>
      </c>
      <c r="AH82" s="22">
        <v>0.0</v>
      </c>
      <c r="AI82" s="22">
        <v>2.0</v>
      </c>
      <c r="AJ82" s="22">
        <v>2.0</v>
      </c>
      <c r="AK82" s="22">
        <v>16.0</v>
      </c>
      <c r="AL82" s="22">
        <v>-14.0</v>
      </c>
      <c r="AM82" s="56"/>
    </row>
    <row r="83" ht="15.75" customHeight="1">
      <c r="A83" s="28"/>
      <c r="B83" s="11">
        <v>45952.0</v>
      </c>
      <c r="C83" s="12" t="s">
        <v>95</v>
      </c>
      <c r="D83" s="59" t="s">
        <v>22</v>
      </c>
      <c r="E83" s="14" t="s">
        <v>116</v>
      </c>
      <c r="F83" s="14">
        <v>6.0</v>
      </c>
      <c r="G83" s="60" t="s">
        <v>24</v>
      </c>
      <c r="H83" s="14">
        <v>8.0</v>
      </c>
      <c r="I83" s="78" t="s">
        <v>55</v>
      </c>
      <c r="J83" s="4"/>
      <c r="K83" s="4">
        <f t="shared" si="11"/>
        <v>0</v>
      </c>
      <c r="L83" s="17">
        <f t="shared" si="12"/>
        <v>2</v>
      </c>
      <c r="M83" s="4"/>
      <c r="N83" s="36"/>
      <c r="O83" s="36"/>
      <c r="P83" s="17"/>
      <c r="Q83" s="17"/>
      <c r="R83" s="19"/>
      <c r="S83" s="19"/>
      <c r="T83" s="17"/>
      <c r="U83" s="19"/>
      <c r="V83" s="17"/>
      <c r="W83" s="56"/>
      <c r="X83" s="56"/>
      <c r="Y83" s="56"/>
      <c r="Z83" s="56"/>
      <c r="AA83" s="56"/>
      <c r="AB83" s="56"/>
      <c r="AC83" s="56"/>
      <c r="AD83" s="34" t="s">
        <v>119</v>
      </c>
      <c r="AG83" s="82"/>
      <c r="AH83" s="82"/>
      <c r="AI83" s="82"/>
      <c r="AJ83" s="82"/>
      <c r="AK83" s="82"/>
      <c r="AL83" s="82"/>
      <c r="AM83" s="56"/>
    </row>
    <row r="84" ht="15.75" customHeight="1">
      <c r="A84" s="10">
        <v>3.0</v>
      </c>
      <c r="B84" s="72"/>
      <c r="C84" s="60"/>
      <c r="D84" s="60"/>
      <c r="E84" s="14" t="s">
        <v>60</v>
      </c>
      <c r="F84" s="75"/>
      <c r="G84" s="60" t="s">
        <v>24</v>
      </c>
      <c r="H84" s="75"/>
      <c r="I84" s="78" t="s">
        <v>108</v>
      </c>
      <c r="J84" s="4"/>
      <c r="K84" s="4" t="str">
        <f t="shared" si="11"/>
        <v/>
      </c>
      <c r="L84" s="17" t="str">
        <f t="shared" si="12"/>
        <v/>
      </c>
      <c r="M84" s="4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73" t="s">
        <v>106</v>
      </c>
      <c r="AG84" s="56"/>
      <c r="AH84" s="56"/>
      <c r="AI84" s="36"/>
      <c r="AJ84" s="36"/>
      <c r="AK84" s="36"/>
      <c r="AL84" s="36"/>
      <c r="AM84" s="56"/>
    </row>
    <row r="85" ht="15.75" customHeight="1">
      <c r="A85" s="24"/>
      <c r="B85" s="72"/>
      <c r="C85" s="60"/>
      <c r="D85" s="60"/>
      <c r="E85" s="14" t="s">
        <v>110</v>
      </c>
      <c r="F85" s="75"/>
      <c r="G85" s="60" t="s">
        <v>24</v>
      </c>
      <c r="H85" s="75"/>
      <c r="I85" s="78" t="s">
        <v>31</v>
      </c>
      <c r="J85" s="4"/>
      <c r="K85" s="4" t="str">
        <f t="shared" si="11"/>
        <v/>
      </c>
      <c r="L85" s="17" t="str">
        <f t="shared" si="12"/>
        <v/>
      </c>
      <c r="M85" s="4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36"/>
      <c r="AJ85" s="36"/>
      <c r="AK85" s="36"/>
      <c r="AL85" s="36"/>
      <c r="AM85" s="56"/>
    </row>
    <row r="86" ht="15.75" customHeight="1">
      <c r="A86" s="24"/>
      <c r="B86" s="72"/>
      <c r="C86" s="60"/>
      <c r="D86" s="60"/>
      <c r="E86" s="14" t="s">
        <v>115</v>
      </c>
      <c r="F86" s="75"/>
      <c r="G86" s="60" t="s">
        <v>24</v>
      </c>
      <c r="H86" s="75"/>
      <c r="I86" s="78" t="s">
        <v>111</v>
      </c>
      <c r="J86" s="4"/>
      <c r="K86" s="4" t="str">
        <f t="shared" si="11"/>
        <v/>
      </c>
      <c r="L86" s="17" t="str">
        <f t="shared" si="12"/>
        <v/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56"/>
      <c r="X86" s="56"/>
      <c r="Y86" s="56"/>
      <c r="Z86" s="56"/>
      <c r="AA86" s="56"/>
      <c r="AB86" s="56"/>
      <c r="AC86" s="56"/>
      <c r="AD86" s="4"/>
      <c r="AG86" s="36"/>
      <c r="AI86" s="36"/>
      <c r="AJ86" s="36"/>
      <c r="AK86" s="36"/>
      <c r="AL86" s="36"/>
      <c r="AM86" s="56"/>
    </row>
    <row r="87" ht="15.75" customHeight="1">
      <c r="A87" s="24"/>
      <c r="B87" s="72"/>
      <c r="C87" s="60"/>
      <c r="D87" s="60"/>
      <c r="E87" s="14" t="s">
        <v>55</v>
      </c>
      <c r="F87" s="75"/>
      <c r="G87" s="60" t="s">
        <v>24</v>
      </c>
      <c r="H87" s="75"/>
      <c r="I87" s="78" t="s">
        <v>113</v>
      </c>
      <c r="J87" s="4"/>
      <c r="K87" s="4" t="str">
        <f t="shared" si="11"/>
        <v/>
      </c>
      <c r="L87" s="17" t="str">
        <f t="shared" si="12"/>
        <v/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56"/>
      <c r="X87" s="56"/>
      <c r="Y87" s="56"/>
      <c r="Z87" s="56"/>
      <c r="AA87" s="56"/>
      <c r="AB87" s="56"/>
      <c r="AC87" s="56"/>
      <c r="AI87" s="36"/>
      <c r="AJ87" s="36"/>
      <c r="AK87" s="36"/>
      <c r="AL87" s="36"/>
      <c r="AM87" s="56"/>
    </row>
    <row r="88" ht="15.75" customHeight="1">
      <c r="A88" s="28"/>
      <c r="B88" s="72"/>
      <c r="C88" s="60"/>
      <c r="D88" s="60"/>
      <c r="E88" s="14">
        <v>0.0</v>
      </c>
      <c r="F88" s="75"/>
      <c r="G88" s="60" t="s">
        <v>24</v>
      </c>
      <c r="H88" s="75"/>
      <c r="I88" s="78" t="s">
        <v>116</v>
      </c>
      <c r="J88" s="4"/>
      <c r="K88" s="4" t="str">
        <f t="shared" si="11"/>
        <v/>
      </c>
      <c r="L88" s="17" t="str">
        <f t="shared" si="12"/>
        <v/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56"/>
      <c r="X88" s="56"/>
      <c r="Y88" s="56"/>
      <c r="Z88" s="56"/>
      <c r="AA88" s="56"/>
      <c r="AB88" s="56"/>
      <c r="AC88" s="56"/>
      <c r="AI88" s="36"/>
      <c r="AJ88" s="36"/>
      <c r="AK88" s="36"/>
      <c r="AL88" s="36"/>
      <c r="AM88" s="56"/>
    </row>
    <row r="89" ht="15.75" customHeight="1">
      <c r="A89" s="10">
        <v>4.0</v>
      </c>
      <c r="B89" s="72"/>
      <c r="C89" s="60"/>
      <c r="D89" s="60"/>
      <c r="E89" s="14" t="s">
        <v>108</v>
      </c>
      <c r="F89" s="75"/>
      <c r="G89" s="60" t="s">
        <v>24</v>
      </c>
      <c r="H89" s="75"/>
      <c r="I89" s="78" t="s">
        <v>115</v>
      </c>
      <c r="J89" s="37"/>
      <c r="K89" s="4" t="str">
        <f t="shared" si="11"/>
        <v/>
      </c>
      <c r="L89" s="17" t="str">
        <f t="shared" si="12"/>
        <v/>
      </c>
      <c r="M89" s="4"/>
      <c r="N89" s="4"/>
      <c r="O89" s="4"/>
      <c r="P89" s="4"/>
      <c r="Q89" s="56"/>
      <c r="R89" s="4"/>
      <c r="S89" s="4"/>
      <c r="T89" s="4"/>
      <c r="U89" s="4"/>
      <c r="V89" s="4"/>
      <c r="W89" s="56"/>
      <c r="X89" s="56"/>
      <c r="Y89" s="56"/>
      <c r="Z89" s="56"/>
      <c r="AA89" s="56"/>
      <c r="AB89" s="56"/>
      <c r="AC89" s="56"/>
      <c r="AI89" s="36"/>
      <c r="AJ89" s="36"/>
      <c r="AK89" s="36"/>
      <c r="AL89" s="36"/>
      <c r="AM89" s="56"/>
    </row>
    <row r="90" ht="15.75" customHeight="1">
      <c r="A90" s="24"/>
      <c r="B90" s="72"/>
      <c r="C90" s="60"/>
      <c r="D90" s="60"/>
      <c r="E90" s="14" t="s">
        <v>31</v>
      </c>
      <c r="F90" s="75"/>
      <c r="G90" s="60" t="s">
        <v>24</v>
      </c>
      <c r="H90" s="75"/>
      <c r="I90" s="78" t="s">
        <v>60</v>
      </c>
      <c r="J90" s="4"/>
      <c r="K90" s="4" t="str">
        <f t="shared" si="11"/>
        <v/>
      </c>
      <c r="L90" s="17" t="str">
        <f t="shared" si="12"/>
        <v/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56"/>
      <c r="X90" s="56"/>
      <c r="Y90" s="56"/>
      <c r="Z90" s="56"/>
      <c r="AA90" s="56"/>
      <c r="AB90" s="56"/>
      <c r="AC90" s="56"/>
      <c r="AI90" s="36"/>
      <c r="AJ90" s="36"/>
      <c r="AK90" s="36"/>
      <c r="AL90" s="36"/>
      <c r="AM90" s="56"/>
    </row>
    <row r="91" ht="15.75" customHeight="1">
      <c r="A91" s="24"/>
      <c r="B91" s="72"/>
      <c r="C91" s="60"/>
      <c r="D91" s="60"/>
      <c r="E91" s="14" t="s">
        <v>110</v>
      </c>
      <c r="F91" s="75"/>
      <c r="G91" s="60" t="s">
        <v>24</v>
      </c>
      <c r="H91" s="75"/>
      <c r="I91" s="78">
        <v>0.0</v>
      </c>
      <c r="J91" s="4"/>
      <c r="K91" s="4" t="str">
        <f t="shared" si="11"/>
        <v/>
      </c>
      <c r="L91" s="17" t="str">
        <f t="shared" si="12"/>
        <v/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56"/>
      <c r="X91" s="56"/>
      <c r="Y91" s="56"/>
      <c r="Z91" s="56"/>
      <c r="AA91" s="56"/>
      <c r="AB91" s="56"/>
      <c r="AC91" s="56"/>
      <c r="AI91" s="36"/>
      <c r="AJ91" s="36"/>
      <c r="AK91" s="36"/>
      <c r="AL91" s="36"/>
      <c r="AM91" s="56"/>
    </row>
    <row r="92" ht="15.75" customHeight="1">
      <c r="A92" s="24"/>
      <c r="B92" s="72"/>
      <c r="C92" s="60"/>
      <c r="D92" s="60"/>
      <c r="E92" s="78" t="s">
        <v>111</v>
      </c>
      <c r="F92" s="75"/>
      <c r="G92" s="60" t="s">
        <v>24</v>
      </c>
      <c r="H92" s="75"/>
      <c r="I92" s="78" t="s">
        <v>55</v>
      </c>
      <c r="J92" s="4"/>
      <c r="K92" s="4" t="str">
        <f t="shared" si="11"/>
        <v/>
      </c>
      <c r="L92" s="17" t="str">
        <f t="shared" si="12"/>
        <v/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56"/>
      <c r="X92" s="56"/>
      <c r="Y92" s="56"/>
      <c r="Z92" s="56"/>
      <c r="AA92" s="56"/>
      <c r="AB92" s="56"/>
      <c r="AC92" s="56"/>
      <c r="AI92" s="36"/>
      <c r="AJ92" s="36"/>
      <c r="AK92" s="36"/>
      <c r="AL92" s="36"/>
      <c r="AM92" s="56"/>
    </row>
    <row r="93" ht="15.75" customHeight="1">
      <c r="A93" s="28"/>
      <c r="B93" s="72"/>
      <c r="C93" s="60"/>
      <c r="D93" s="60"/>
      <c r="E93" s="14" t="s">
        <v>113</v>
      </c>
      <c r="F93" s="75"/>
      <c r="G93" s="60" t="s">
        <v>24</v>
      </c>
      <c r="H93" s="75"/>
      <c r="I93" s="78" t="s">
        <v>116</v>
      </c>
      <c r="J93" s="4"/>
      <c r="K93" s="4" t="str">
        <f t="shared" si="11"/>
        <v/>
      </c>
      <c r="L93" s="17" t="str">
        <f t="shared" si="12"/>
        <v/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56"/>
      <c r="X93" s="56"/>
      <c r="Y93" s="56"/>
      <c r="Z93" s="56"/>
      <c r="AA93" s="56"/>
      <c r="AB93" s="56"/>
      <c r="AC93" s="56"/>
      <c r="AI93" s="36"/>
      <c r="AJ93" s="36"/>
      <c r="AK93" s="36"/>
      <c r="AL93" s="36"/>
      <c r="AM93" s="56"/>
    </row>
    <row r="94" ht="15.75" customHeight="1">
      <c r="A94" s="10">
        <v>5.0</v>
      </c>
      <c r="B94" s="72"/>
      <c r="C94" s="60"/>
      <c r="D94" s="75"/>
      <c r="E94" s="14" t="s">
        <v>55</v>
      </c>
      <c r="F94" s="75"/>
      <c r="G94" s="60" t="s">
        <v>24</v>
      </c>
      <c r="H94" s="75"/>
      <c r="I94" s="78" t="s">
        <v>108</v>
      </c>
      <c r="J94" s="4"/>
      <c r="K94" s="4" t="str">
        <f t="shared" si="11"/>
        <v/>
      </c>
      <c r="L94" s="17" t="str">
        <f t="shared" si="12"/>
        <v/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56"/>
      <c r="X94" s="56"/>
      <c r="Y94" s="56"/>
      <c r="Z94" s="56"/>
      <c r="AA94" s="56"/>
      <c r="AB94" s="56"/>
      <c r="AC94" s="56"/>
      <c r="AD94" s="36"/>
      <c r="AE94" s="36"/>
      <c r="AF94" s="36"/>
      <c r="AG94" s="36"/>
      <c r="AH94" s="36"/>
      <c r="AI94" s="36"/>
      <c r="AJ94" s="36"/>
      <c r="AK94" s="36"/>
      <c r="AL94" s="36"/>
      <c r="AM94" s="56"/>
    </row>
    <row r="95" ht="15.75" customHeight="1">
      <c r="A95" s="24"/>
      <c r="B95" s="72"/>
      <c r="C95" s="60"/>
      <c r="D95" s="75"/>
      <c r="E95" s="14" t="s">
        <v>115</v>
      </c>
      <c r="F95" s="75"/>
      <c r="G95" s="60" t="s">
        <v>24</v>
      </c>
      <c r="H95" s="75"/>
      <c r="I95" s="78" t="s">
        <v>31</v>
      </c>
      <c r="J95" s="4"/>
      <c r="K95" s="4" t="str">
        <f t="shared" si="11"/>
        <v/>
      </c>
      <c r="L95" s="17" t="str">
        <f t="shared" si="12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56"/>
      <c r="X95" s="56"/>
      <c r="Y95" s="56"/>
      <c r="Z95" s="56"/>
      <c r="AA95" s="56"/>
      <c r="AB95" s="56"/>
      <c r="AC95" s="56"/>
      <c r="AD95" s="36"/>
      <c r="AE95" s="36"/>
      <c r="AF95" s="36"/>
      <c r="AG95" s="36"/>
      <c r="AH95" s="36"/>
      <c r="AI95" s="36"/>
      <c r="AJ95" s="36"/>
      <c r="AK95" s="36"/>
      <c r="AL95" s="36"/>
      <c r="AM95" s="56"/>
    </row>
    <row r="96" ht="15.75" customHeight="1">
      <c r="A96" s="24"/>
      <c r="B96" s="72"/>
      <c r="C96" s="60"/>
      <c r="D96" s="75"/>
      <c r="E96" s="14" t="s">
        <v>60</v>
      </c>
      <c r="F96" s="75"/>
      <c r="G96" s="60" t="s">
        <v>24</v>
      </c>
      <c r="H96" s="75"/>
      <c r="I96" s="78" t="s">
        <v>110</v>
      </c>
      <c r="J96" s="4"/>
      <c r="K96" s="4" t="str">
        <f t="shared" si="11"/>
        <v/>
      </c>
      <c r="L96" s="17" t="str">
        <f t="shared" si="12"/>
        <v/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56"/>
      <c r="X96" s="56"/>
      <c r="Y96" s="56"/>
      <c r="Z96" s="56"/>
      <c r="AA96" s="56"/>
      <c r="AB96" s="56"/>
      <c r="AC96" s="56"/>
      <c r="AD96" s="36"/>
      <c r="AE96" s="36"/>
      <c r="AF96" s="36"/>
      <c r="AG96" s="36"/>
      <c r="AH96" s="36"/>
      <c r="AI96" s="36"/>
      <c r="AJ96" s="36"/>
      <c r="AK96" s="36"/>
      <c r="AL96" s="36"/>
      <c r="AM96" s="56"/>
    </row>
    <row r="97" ht="15.75" customHeight="1">
      <c r="A97" s="24"/>
      <c r="B97" s="72"/>
      <c r="C97" s="60"/>
      <c r="D97" s="75"/>
      <c r="E97" s="14" t="s">
        <v>116</v>
      </c>
      <c r="F97" s="75"/>
      <c r="G97" s="60" t="s">
        <v>24</v>
      </c>
      <c r="H97" s="75"/>
      <c r="I97" s="78" t="s">
        <v>111</v>
      </c>
      <c r="J97" s="4"/>
      <c r="K97" s="4" t="str">
        <f t="shared" si="11"/>
        <v/>
      </c>
      <c r="L97" s="17" t="str">
        <f t="shared" si="12"/>
        <v/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56"/>
      <c r="X97" s="56"/>
      <c r="Y97" s="56"/>
      <c r="Z97" s="56"/>
      <c r="AA97" s="56"/>
      <c r="AB97" s="56"/>
      <c r="AC97" s="56"/>
      <c r="AD97" s="36"/>
      <c r="AE97" s="36"/>
      <c r="AF97" s="36"/>
      <c r="AG97" s="36"/>
      <c r="AH97" s="36"/>
      <c r="AI97" s="36"/>
      <c r="AJ97" s="36"/>
      <c r="AK97" s="36"/>
      <c r="AL97" s="36"/>
      <c r="AM97" s="56"/>
    </row>
    <row r="98" ht="15.75" customHeight="1">
      <c r="A98" s="28"/>
      <c r="B98" s="72"/>
      <c r="C98" s="60"/>
      <c r="D98" s="75"/>
      <c r="E98" s="14">
        <v>0.0</v>
      </c>
      <c r="F98" s="75"/>
      <c r="G98" s="60" t="s">
        <v>24</v>
      </c>
      <c r="H98" s="75"/>
      <c r="I98" s="78" t="s">
        <v>113</v>
      </c>
      <c r="J98" s="4"/>
      <c r="K98" s="4" t="str">
        <f t="shared" si="11"/>
        <v/>
      </c>
      <c r="L98" s="17" t="str">
        <f t="shared" si="12"/>
        <v/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56"/>
      <c r="X98" s="56"/>
      <c r="Y98" s="56"/>
      <c r="Z98" s="56"/>
      <c r="AA98" s="56"/>
      <c r="AB98" s="56"/>
      <c r="AC98" s="56"/>
      <c r="AD98" s="36"/>
      <c r="AE98" s="36"/>
      <c r="AF98" s="36"/>
      <c r="AG98" s="36"/>
      <c r="AH98" s="36"/>
      <c r="AI98" s="36"/>
      <c r="AJ98" s="36"/>
      <c r="AK98" s="36"/>
      <c r="AL98" s="36"/>
      <c r="AM98" s="56"/>
    </row>
    <row r="99" ht="15.75" customHeight="1">
      <c r="A99" s="10">
        <v>6.0</v>
      </c>
      <c r="B99" s="72"/>
      <c r="C99" s="60"/>
      <c r="D99" s="75"/>
      <c r="E99" s="14" t="s">
        <v>108</v>
      </c>
      <c r="F99" s="75"/>
      <c r="G99" s="60" t="s">
        <v>24</v>
      </c>
      <c r="H99" s="75"/>
      <c r="I99" s="78" t="s">
        <v>116</v>
      </c>
      <c r="J99" s="4"/>
      <c r="K99" s="4" t="str">
        <f t="shared" si="11"/>
        <v/>
      </c>
      <c r="L99" s="17" t="str">
        <f t="shared" si="12"/>
        <v/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56"/>
      <c r="X99" s="56"/>
      <c r="Y99" s="56"/>
      <c r="Z99" s="56"/>
      <c r="AA99" s="56"/>
      <c r="AB99" s="56"/>
      <c r="AC99" s="56"/>
      <c r="AD99" s="36"/>
      <c r="AE99" s="36"/>
      <c r="AF99" s="36"/>
      <c r="AG99" s="36"/>
      <c r="AH99" s="36"/>
      <c r="AI99" s="36"/>
      <c r="AJ99" s="36"/>
      <c r="AK99" s="36"/>
      <c r="AL99" s="36"/>
      <c r="AM99" s="56"/>
    </row>
    <row r="100" ht="15.75" customHeight="1">
      <c r="A100" s="24"/>
      <c r="B100" s="72"/>
      <c r="C100" s="60"/>
      <c r="D100" s="75"/>
      <c r="E100" s="14" t="s">
        <v>31</v>
      </c>
      <c r="F100" s="75"/>
      <c r="G100" s="60" t="s">
        <v>24</v>
      </c>
      <c r="H100" s="75"/>
      <c r="I100" s="78" t="s">
        <v>55</v>
      </c>
      <c r="J100" s="4"/>
      <c r="K100" s="4" t="str">
        <f t="shared" si="11"/>
        <v/>
      </c>
      <c r="L100" s="17" t="str">
        <f t="shared" si="12"/>
        <v/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56"/>
      <c r="X100" s="56"/>
      <c r="Y100" s="56"/>
      <c r="Z100" s="56"/>
      <c r="AA100" s="56"/>
      <c r="AB100" s="56"/>
      <c r="AC100" s="56"/>
      <c r="AD100" s="36"/>
      <c r="AE100" s="36"/>
      <c r="AF100" s="36"/>
      <c r="AG100" s="36"/>
      <c r="AH100" s="36"/>
      <c r="AI100" s="36"/>
      <c r="AJ100" s="36"/>
      <c r="AK100" s="36"/>
      <c r="AL100" s="36"/>
      <c r="AM100" s="56"/>
    </row>
    <row r="101" ht="15.75" customHeight="1">
      <c r="A101" s="24"/>
      <c r="B101" s="72"/>
      <c r="C101" s="60"/>
      <c r="D101" s="75"/>
      <c r="E101" s="14" t="s">
        <v>110</v>
      </c>
      <c r="F101" s="75"/>
      <c r="G101" s="60" t="s">
        <v>24</v>
      </c>
      <c r="H101" s="75"/>
      <c r="I101" s="78" t="s">
        <v>115</v>
      </c>
      <c r="J101" s="4"/>
      <c r="K101" s="4" t="str">
        <f t="shared" si="11"/>
        <v/>
      </c>
      <c r="L101" s="17" t="str">
        <f t="shared" si="12"/>
        <v/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56"/>
      <c r="X101" s="56"/>
      <c r="Y101" s="56"/>
      <c r="Z101" s="56"/>
      <c r="AA101" s="56"/>
      <c r="AB101" s="56"/>
      <c r="AC101" s="56"/>
      <c r="AD101" s="36"/>
      <c r="AE101" s="36"/>
      <c r="AF101" s="36"/>
      <c r="AG101" s="36"/>
      <c r="AH101" s="36"/>
      <c r="AI101" s="36"/>
      <c r="AJ101" s="36"/>
      <c r="AK101" s="36"/>
      <c r="AL101" s="36"/>
      <c r="AM101" s="56"/>
    </row>
    <row r="102" ht="15.75" customHeight="1">
      <c r="A102" s="24"/>
      <c r="B102" s="72"/>
      <c r="C102" s="60"/>
      <c r="D102" s="75"/>
      <c r="E102" s="14" t="s">
        <v>60</v>
      </c>
      <c r="F102" s="75"/>
      <c r="G102" s="60" t="s">
        <v>24</v>
      </c>
      <c r="H102" s="75"/>
      <c r="I102" s="78">
        <v>0.0</v>
      </c>
      <c r="J102" s="56"/>
      <c r="K102" s="4" t="str">
        <f t="shared" si="11"/>
        <v/>
      </c>
      <c r="L102" s="17" t="str">
        <f t="shared" si="12"/>
        <v/>
      </c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36"/>
      <c r="AE102" s="36"/>
      <c r="AF102" s="36"/>
      <c r="AG102" s="36"/>
      <c r="AH102" s="36"/>
      <c r="AI102" s="36"/>
      <c r="AJ102" s="36"/>
      <c r="AK102" s="36"/>
      <c r="AL102" s="36"/>
      <c r="AM102" s="56"/>
    </row>
    <row r="103" ht="15.75" customHeight="1">
      <c r="A103" s="28"/>
      <c r="B103" s="72"/>
      <c r="C103" s="60"/>
      <c r="D103" s="75"/>
      <c r="E103" s="78" t="s">
        <v>111</v>
      </c>
      <c r="F103" s="75"/>
      <c r="G103" s="60" t="s">
        <v>24</v>
      </c>
      <c r="H103" s="75"/>
      <c r="I103" s="78" t="s">
        <v>113</v>
      </c>
      <c r="J103" s="56"/>
      <c r="K103" s="4" t="str">
        <f t="shared" si="11"/>
        <v/>
      </c>
      <c r="L103" s="17" t="str">
        <f t="shared" si="12"/>
        <v/>
      </c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36"/>
      <c r="AE103" s="36"/>
      <c r="AF103" s="36"/>
      <c r="AG103" s="36"/>
      <c r="AH103" s="36"/>
      <c r="AI103" s="36"/>
      <c r="AJ103" s="36"/>
      <c r="AK103" s="36"/>
      <c r="AL103" s="36"/>
      <c r="AM103" s="56"/>
    </row>
    <row r="104" ht="15.75" customHeight="1">
      <c r="A104" s="10">
        <v>7.0</v>
      </c>
      <c r="B104" s="72"/>
      <c r="C104" s="60"/>
      <c r="D104" s="60"/>
      <c r="E104" s="14" t="s">
        <v>113</v>
      </c>
      <c r="F104" s="75"/>
      <c r="G104" s="60" t="s">
        <v>24</v>
      </c>
      <c r="H104" s="75"/>
      <c r="I104" s="78" t="s">
        <v>108</v>
      </c>
      <c r="J104" s="56"/>
      <c r="K104" s="4" t="str">
        <f t="shared" si="11"/>
        <v/>
      </c>
      <c r="L104" s="17" t="str">
        <f t="shared" si="12"/>
        <v/>
      </c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</row>
    <row r="105" ht="15.75" customHeight="1">
      <c r="A105" s="24"/>
      <c r="B105" s="72"/>
      <c r="C105" s="60"/>
      <c r="D105" s="60"/>
      <c r="E105" s="14" t="s">
        <v>116</v>
      </c>
      <c r="F105" s="75"/>
      <c r="G105" s="60" t="s">
        <v>24</v>
      </c>
      <c r="H105" s="75"/>
      <c r="I105" s="78" t="s">
        <v>31</v>
      </c>
      <c r="J105" s="56"/>
      <c r="K105" s="4" t="str">
        <f t="shared" si="11"/>
        <v/>
      </c>
      <c r="L105" s="17" t="str">
        <f t="shared" si="12"/>
        <v/>
      </c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</row>
    <row r="106" ht="15.75" customHeight="1">
      <c r="A106" s="24"/>
      <c r="B106" s="72"/>
      <c r="C106" s="60"/>
      <c r="D106" s="60"/>
      <c r="E106" s="14" t="s">
        <v>55</v>
      </c>
      <c r="F106" s="75"/>
      <c r="G106" s="60" t="s">
        <v>24</v>
      </c>
      <c r="H106" s="75"/>
      <c r="I106" s="78" t="s">
        <v>110</v>
      </c>
      <c r="J106" s="56"/>
      <c r="K106" s="4" t="str">
        <f t="shared" si="11"/>
        <v/>
      </c>
      <c r="L106" s="17" t="str">
        <f t="shared" si="12"/>
        <v/>
      </c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</row>
    <row r="107" ht="15.75" customHeight="1">
      <c r="A107" s="24"/>
      <c r="B107" s="72"/>
      <c r="C107" s="60"/>
      <c r="D107" s="60"/>
      <c r="E107" s="14" t="s">
        <v>115</v>
      </c>
      <c r="F107" s="75"/>
      <c r="G107" s="60" t="s">
        <v>24</v>
      </c>
      <c r="H107" s="75"/>
      <c r="I107" s="78" t="s">
        <v>60</v>
      </c>
      <c r="J107" s="56"/>
      <c r="K107" s="4" t="str">
        <f t="shared" si="11"/>
        <v/>
      </c>
      <c r="L107" s="17" t="str">
        <f t="shared" si="12"/>
        <v/>
      </c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</row>
    <row r="108" ht="15.75" customHeight="1">
      <c r="A108" s="28"/>
      <c r="B108" s="72"/>
      <c r="C108" s="60"/>
      <c r="D108" s="60"/>
      <c r="E108" s="14">
        <v>0.0</v>
      </c>
      <c r="F108" s="75"/>
      <c r="G108" s="60" t="s">
        <v>24</v>
      </c>
      <c r="H108" s="75"/>
      <c r="I108" s="78" t="s">
        <v>111</v>
      </c>
      <c r="J108" s="56"/>
      <c r="K108" s="4" t="str">
        <f t="shared" si="11"/>
        <v/>
      </c>
      <c r="L108" s="17" t="str">
        <f t="shared" si="12"/>
        <v/>
      </c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</row>
    <row r="109" ht="15.75" customHeight="1">
      <c r="A109" s="10">
        <v>8.0</v>
      </c>
      <c r="B109" s="72"/>
      <c r="C109" s="60"/>
      <c r="D109" s="60"/>
      <c r="E109" s="14" t="s">
        <v>108</v>
      </c>
      <c r="F109" s="75"/>
      <c r="G109" s="60" t="s">
        <v>24</v>
      </c>
      <c r="H109" s="75"/>
      <c r="I109" s="78" t="s">
        <v>111</v>
      </c>
      <c r="J109" s="56"/>
      <c r="K109" s="4" t="str">
        <f t="shared" si="11"/>
        <v/>
      </c>
      <c r="L109" s="17" t="str">
        <f t="shared" si="12"/>
        <v/>
      </c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</row>
    <row r="110" ht="15.75" customHeight="1">
      <c r="A110" s="24"/>
      <c r="B110" s="72"/>
      <c r="C110" s="60"/>
      <c r="D110" s="60"/>
      <c r="E110" s="14" t="s">
        <v>31</v>
      </c>
      <c r="F110" s="75"/>
      <c r="G110" s="60" t="s">
        <v>24</v>
      </c>
      <c r="H110" s="75"/>
      <c r="I110" s="78" t="s">
        <v>113</v>
      </c>
      <c r="J110" s="56"/>
      <c r="K110" s="4" t="str">
        <f t="shared" si="11"/>
        <v/>
      </c>
      <c r="L110" s="17" t="str">
        <f t="shared" si="12"/>
        <v/>
      </c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</row>
    <row r="111" ht="15.75" customHeight="1">
      <c r="A111" s="24"/>
      <c r="B111" s="72"/>
      <c r="C111" s="60"/>
      <c r="D111" s="60"/>
      <c r="E111" s="14" t="s">
        <v>110</v>
      </c>
      <c r="F111" s="75"/>
      <c r="G111" s="60" t="s">
        <v>24</v>
      </c>
      <c r="H111" s="75"/>
      <c r="I111" s="78" t="s">
        <v>116</v>
      </c>
      <c r="J111" s="56"/>
      <c r="K111" s="4" t="str">
        <f t="shared" si="11"/>
        <v/>
      </c>
      <c r="L111" s="17" t="str">
        <f t="shared" si="12"/>
        <v/>
      </c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</row>
    <row r="112" ht="15.75" customHeight="1">
      <c r="A112" s="24"/>
      <c r="B112" s="72"/>
      <c r="C112" s="60"/>
      <c r="D112" s="60"/>
      <c r="E112" s="14" t="s">
        <v>60</v>
      </c>
      <c r="F112" s="75"/>
      <c r="G112" s="60" t="s">
        <v>24</v>
      </c>
      <c r="H112" s="75"/>
      <c r="I112" s="78" t="s">
        <v>55</v>
      </c>
      <c r="J112" s="56"/>
      <c r="K112" s="4" t="str">
        <f t="shared" si="11"/>
        <v/>
      </c>
      <c r="L112" s="17" t="str">
        <f t="shared" si="12"/>
        <v/>
      </c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</row>
    <row r="113" ht="15.75" customHeight="1">
      <c r="A113" s="28"/>
      <c r="B113" s="72"/>
      <c r="C113" s="60"/>
      <c r="D113" s="60"/>
      <c r="E113" s="14" t="s">
        <v>115</v>
      </c>
      <c r="F113" s="75"/>
      <c r="G113" s="60" t="s">
        <v>24</v>
      </c>
      <c r="H113" s="75"/>
      <c r="I113" s="78">
        <v>0.0</v>
      </c>
      <c r="J113" s="56"/>
      <c r="K113" s="4" t="str">
        <f t="shared" si="11"/>
        <v/>
      </c>
      <c r="L113" s="17" t="str">
        <f t="shared" si="12"/>
        <v/>
      </c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</row>
    <row r="114" ht="15.75" customHeight="1">
      <c r="A114" s="10">
        <v>9.0</v>
      </c>
      <c r="B114" s="72"/>
      <c r="C114" s="60"/>
      <c r="D114" s="60"/>
      <c r="E114" s="14">
        <v>0.0</v>
      </c>
      <c r="F114" s="75"/>
      <c r="G114" s="60" t="s">
        <v>24</v>
      </c>
      <c r="H114" s="75"/>
      <c r="I114" s="78" t="s">
        <v>108</v>
      </c>
      <c r="J114" s="56"/>
      <c r="K114" s="4" t="str">
        <f t="shared" si="11"/>
        <v/>
      </c>
      <c r="L114" s="17" t="str">
        <f t="shared" si="12"/>
        <v/>
      </c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</row>
    <row r="115" ht="15.75" customHeight="1">
      <c r="A115" s="24"/>
      <c r="B115" s="72"/>
      <c r="C115" s="60"/>
      <c r="D115" s="60"/>
      <c r="E115" s="14" t="s">
        <v>111</v>
      </c>
      <c r="F115" s="75"/>
      <c r="G115" s="60" t="s">
        <v>24</v>
      </c>
      <c r="H115" s="75"/>
      <c r="I115" s="78" t="s">
        <v>31</v>
      </c>
      <c r="J115" s="56"/>
      <c r="K115" s="4" t="str">
        <f t="shared" si="11"/>
        <v/>
      </c>
      <c r="L115" s="17" t="str">
        <f t="shared" si="12"/>
        <v/>
      </c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</row>
    <row r="116" ht="15.75" customHeight="1">
      <c r="A116" s="24"/>
      <c r="B116" s="72"/>
      <c r="C116" s="60"/>
      <c r="D116" s="60"/>
      <c r="E116" s="14" t="s">
        <v>113</v>
      </c>
      <c r="F116" s="75"/>
      <c r="G116" s="60" t="s">
        <v>24</v>
      </c>
      <c r="H116" s="75"/>
      <c r="I116" s="78" t="s">
        <v>110</v>
      </c>
      <c r="J116" s="56"/>
      <c r="K116" s="4" t="str">
        <f t="shared" si="11"/>
        <v/>
      </c>
      <c r="L116" s="17" t="str">
        <f t="shared" si="12"/>
        <v/>
      </c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</row>
    <row r="117" ht="15.75" customHeight="1">
      <c r="A117" s="24"/>
      <c r="B117" s="72"/>
      <c r="C117" s="60"/>
      <c r="D117" s="60"/>
      <c r="E117" s="14" t="s">
        <v>116</v>
      </c>
      <c r="F117" s="75"/>
      <c r="G117" s="60" t="s">
        <v>24</v>
      </c>
      <c r="H117" s="75"/>
      <c r="I117" s="78" t="s">
        <v>60</v>
      </c>
      <c r="J117" s="56"/>
      <c r="K117" s="4" t="str">
        <f t="shared" si="11"/>
        <v/>
      </c>
      <c r="L117" s="17" t="str">
        <f t="shared" si="12"/>
        <v/>
      </c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</row>
    <row r="118" ht="15.75" customHeight="1">
      <c r="A118" s="28"/>
      <c r="B118" s="72"/>
      <c r="C118" s="60"/>
      <c r="D118" s="60"/>
      <c r="E118" s="14" t="s">
        <v>55</v>
      </c>
      <c r="F118" s="75"/>
      <c r="G118" s="60" t="s">
        <v>24</v>
      </c>
      <c r="H118" s="75"/>
      <c r="I118" s="78" t="s">
        <v>115</v>
      </c>
      <c r="J118" s="56"/>
      <c r="K118" s="4" t="str">
        <f t="shared" si="11"/>
        <v/>
      </c>
      <c r="L118" s="17" t="str">
        <f t="shared" si="12"/>
        <v/>
      </c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</row>
    <row r="119" ht="15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</row>
    <row r="120" ht="15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</row>
    <row r="121" ht="15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</row>
    <row r="122" ht="15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</row>
    <row r="123" ht="15.75" customHeight="1">
      <c r="A123" s="76"/>
      <c r="B123" s="77"/>
      <c r="C123" s="77"/>
      <c r="D123" s="77"/>
      <c r="E123" s="77"/>
      <c r="F123" s="77"/>
      <c r="G123" s="77"/>
      <c r="H123" s="56"/>
      <c r="I123" s="3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36"/>
      <c r="AE123" s="36"/>
      <c r="AF123" s="36"/>
      <c r="AG123" s="36"/>
      <c r="AH123" s="36"/>
      <c r="AI123" s="36"/>
      <c r="AJ123" s="36"/>
      <c r="AK123" s="36"/>
      <c r="AL123" s="36"/>
      <c r="AM123" s="56"/>
    </row>
    <row r="124" ht="15.75" customHeight="1">
      <c r="A124" s="76" t="s">
        <v>120</v>
      </c>
      <c r="H124" s="56"/>
      <c r="I124" s="3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36"/>
      <c r="AE124" s="36"/>
      <c r="AF124" s="36"/>
      <c r="AG124" s="36"/>
      <c r="AH124" s="36"/>
      <c r="AI124" s="36"/>
      <c r="AJ124" s="36"/>
      <c r="AK124" s="36"/>
      <c r="AL124" s="36"/>
      <c r="AM124" s="56"/>
    </row>
    <row r="125" ht="15.75" customHeight="1">
      <c r="A125" s="57" t="s">
        <v>1</v>
      </c>
      <c r="B125" s="5" t="s">
        <v>2</v>
      </c>
      <c r="C125" s="5" t="s">
        <v>3</v>
      </c>
      <c r="D125" s="5" t="s">
        <v>4</v>
      </c>
      <c r="E125" s="5" t="s">
        <v>5</v>
      </c>
      <c r="F125" s="6" t="s">
        <v>6</v>
      </c>
      <c r="G125" s="7"/>
      <c r="H125" s="8"/>
      <c r="I125" s="5" t="s">
        <v>7</v>
      </c>
      <c r="J125" s="9" t="s">
        <v>8</v>
      </c>
      <c r="K125" s="9" t="s">
        <v>9</v>
      </c>
      <c r="L125" s="9" t="s">
        <v>10</v>
      </c>
      <c r="M125" s="9"/>
      <c r="N125" s="9" t="s">
        <v>11</v>
      </c>
      <c r="O125" s="9" t="s">
        <v>12</v>
      </c>
      <c r="P125" s="9" t="s">
        <v>13</v>
      </c>
      <c r="Q125" s="9" t="s">
        <v>14</v>
      </c>
      <c r="R125" s="9" t="s">
        <v>15</v>
      </c>
      <c r="S125" s="9" t="s">
        <v>16</v>
      </c>
      <c r="T125" s="9" t="s">
        <v>89</v>
      </c>
      <c r="U125" s="9" t="s">
        <v>90</v>
      </c>
      <c r="V125" s="9" t="s">
        <v>91</v>
      </c>
      <c r="W125" s="36"/>
      <c r="X125" s="6" t="s">
        <v>20</v>
      </c>
      <c r="Y125" s="8"/>
      <c r="Z125" s="36"/>
      <c r="AA125" s="36"/>
      <c r="AB125" s="36"/>
      <c r="AC125" s="36"/>
      <c r="AD125" s="5" t="s">
        <v>11</v>
      </c>
      <c r="AE125" s="5" t="s">
        <v>12</v>
      </c>
      <c r="AF125" s="5" t="s">
        <v>13</v>
      </c>
      <c r="AG125" s="5" t="s">
        <v>14</v>
      </c>
      <c r="AH125" s="5" t="s">
        <v>15</v>
      </c>
      <c r="AI125" s="5" t="s">
        <v>16</v>
      </c>
      <c r="AJ125" s="5" t="s">
        <v>89</v>
      </c>
      <c r="AK125" s="5" t="s">
        <v>90</v>
      </c>
      <c r="AL125" s="5" t="s">
        <v>91</v>
      </c>
      <c r="AM125" s="56"/>
    </row>
    <row r="126" ht="15.75" customHeight="1">
      <c r="A126" s="10">
        <v>1.0</v>
      </c>
      <c r="B126" s="39">
        <v>45952.0</v>
      </c>
      <c r="C126" s="12" t="s">
        <v>96</v>
      </c>
      <c r="D126" s="59" t="s">
        <v>22</v>
      </c>
      <c r="E126" s="14" t="s">
        <v>64</v>
      </c>
      <c r="F126" s="14">
        <v>11.0</v>
      </c>
      <c r="G126" s="60" t="s">
        <v>24</v>
      </c>
      <c r="H126" s="14">
        <v>2.0</v>
      </c>
      <c r="I126" s="14" t="s">
        <v>121</v>
      </c>
      <c r="J126" s="4"/>
      <c r="K126" s="4">
        <f t="shared" ref="K126:K170" si="20">IF(F126="","",IFS(F126&gt;H126,2,F126=H126,1,H126&gt;F126,0,F126="",0))</f>
        <v>2</v>
      </c>
      <c r="L126" s="17">
        <f t="shared" ref="L126:L170" si="21">IF(H126="","",IFS(F126&lt;H126,2,F126=H126,1,H126&lt;F126,0))</f>
        <v>0</v>
      </c>
      <c r="M126" s="4"/>
      <c r="N126" s="17">
        <v>1.0</v>
      </c>
      <c r="O126" s="70" t="s">
        <v>121</v>
      </c>
      <c r="P126" s="17">
        <f t="shared" ref="P126:P134" si="22">SUMIF(E$126:E$170,O126,K$126:K$170)+SUMIF(I$126:I$170,O126,L$126:L$170)</f>
        <v>2</v>
      </c>
      <c r="Q126" s="17">
        <f t="shared" ref="Q126:Q134" si="23">COUNTIFS(E$126:E$170,O126,K$126:K$170,2)+COUNTIFS(I$126:I$170,O126,L$126:L$170,2)</f>
        <v>1</v>
      </c>
      <c r="R126" s="19">
        <f t="shared" ref="R126:R134" si="24">COUNTIFS(E$126:E$170,O126,K$126:K$170,1)+COUNTIFS(I$126:I$170,O126,L$126:L$170,1)</f>
        <v>0</v>
      </c>
      <c r="S126" s="19">
        <f t="shared" ref="S126:S134" si="25">COUNTIFS(E$126:E$170,O126,K$126:K$170,0)+COUNTIFS(I$126:I$170,O126,L$126:L$170,0)</f>
        <v>1</v>
      </c>
      <c r="T126" s="17">
        <f t="shared" ref="T126:T134" si="26">SUMIF(E$126:E$170,O126,F$126:F$170)+SUMIF(I$126:I$170,O126,H$126:H$170)</f>
        <v>8</v>
      </c>
      <c r="U126" s="19">
        <f t="shared" ref="U126:U134" si="27">SUMIF(E$126:E$170,O126,H$126:H$170)+SUMIF(I$126:I$170,O126,F$126:F$170)</f>
        <v>16</v>
      </c>
      <c r="V126" s="17">
        <f t="shared" ref="V126:V134" si="28">T126-U126</f>
        <v>-8</v>
      </c>
      <c r="W126" s="56"/>
      <c r="X126" s="62" t="s">
        <v>26</v>
      </c>
      <c r="Y126" s="62" t="s">
        <v>13</v>
      </c>
      <c r="Z126" s="56"/>
      <c r="AA126" s="56"/>
      <c r="AB126" s="56"/>
      <c r="AC126" s="56"/>
      <c r="AD126" s="41" t="s">
        <v>29</v>
      </c>
      <c r="AE126" s="63" t="str">
        <f t="array" ref="AE126:AM134">SORT(O126:X134,2,FALSE,9,FALSE,8,FALSE())</f>
        <v>Eng. Biomédica</v>
      </c>
      <c r="AF126" s="22">
        <v>4.0</v>
      </c>
      <c r="AG126" s="22">
        <v>2.0</v>
      </c>
      <c r="AH126" s="23">
        <v>0.0</v>
      </c>
      <c r="AI126" s="23">
        <v>0.0</v>
      </c>
      <c r="AJ126" s="22">
        <v>27.0</v>
      </c>
      <c r="AK126" s="23">
        <v>17.0</v>
      </c>
      <c r="AL126" s="22">
        <v>10.0</v>
      </c>
      <c r="AM126" s="56"/>
    </row>
    <row r="127" ht="15.75" customHeight="1">
      <c r="A127" s="24"/>
      <c r="B127" s="39">
        <v>45952.0</v>
      </c>
      <c r="C127" s="12" t="s">
        <v>97</v>
      </c>
      <c r="D127" s="59" t="s">
        <v>22</v>
      </c>
      <c r="E127" s="14" t="s">
        <v>45</v>
      </c>
      <c r="F127" s="14">
        <v>11.0</v>
      </c>
      <c r="G127" s="60" t="s">
        <v>24</v>
      </c>
      <c r="H127" s="14">
        <v>9.0</v>
      </c>
      <c r="I127" s="14" t="s">
        <v>122</v>
      </c>
      <c r="J127" s="4"/>
      <c r="K127" s="4">
        <f t="shared" si="20"/>
        <v>2</v>
      </c>
      <c r="L127" s="17">
        <f t="shared" si="21"/>
        <v>0</v>
      </c>
      <c r="M127" s="4"/>
      <c r="N127" s="17">
        <v>2.0</v>
      </c>
      <c r="O127" s="70" t="s">
        <v>64</v>
      </c>
      <c r="P127" s="17">
        <f t="shared" si="22"/>
        <v>2</v>
      </c>
      <c r="Q127" s="17">
        <f t="shared" si="23"/>
        <v>1</v>
      </c>
      <c r="R127" s="19">
        <f t="shared" si="24"/>
        <v>0</v>
      </c>
      <c r="S127" s="19">
        <f t="shared" si="25"/>
        <v>0</v>
      </c>
      <c r="T127" s="17">
        <f t="shared" si="26"/>
        <v>11</v>
      </c>
      <c r="U127" s="19">
        <f t="shared" si="27"/>
        <v>2</v>
      </c>
      <c r="V127" s="17">
        <f t="shared" si="28"/>
        <v>9</v>
      </c>
      <c r="W127" s="56"/>
      <c r="X127" s="27" t="s">
        <v>37</v>
      </c>
      <c r="Y127" s="27">
        <v>3.0</v>
      </c>
      <c r="Z127" s="56"/>
      <c r="AA127" s="56"/>
      <c r="AB127" s="56"/>
      <c r="AC127" s="56"/>
      <c r="AD127" s="66" t="s">
        <v>112</v>
      </c>
      <c r="AE127" s="63" t="s">
        <v>64</v>
      </c>
      <c r="AF127" s="22">
        <v>2.0</v>
      </c>
      <c r="AG127" s="22">
        <v>1.0</v>
      </c>
      <c r="AH127" s="23">
        <v>0.0</v>
      </c>
      <c r="AI127" s="23">
        <v>0.0</v>
      </c>
      <c r="AJ127" s="22">
        <v>11.0</v>
      </c>
      <c r="AK127" s="23">
        <v>2.0</v>
      </c>
      <c r="AL127" s="22">
        <v>9.0</v>
      </c>
      <c r="AM127" s="56"/>
    </row>
    <row r="128" ht="15.75" customHeight="1">
      <c r="A128" s="24"/>
      <c r="B128" s="39">
        <v>45952.0</v>
      </c>
      <c r="C128" s="12" t="s">
        <v>98</v>
      </c>
      <c r="D128" s="59" t="s">
        <v>22</v>
      </c>
      <c r="E128" s="14" t="s">
        <v>56</v>
      </c>
      <c r="F128" s="14">
        <v>8.0</v>
      </c>
      <c r="G128" s="60" t="s">
        <v>24</v>
      </c>
      <c r="H128" s="14">
        <v>14.0</v>
      </c>
      <c r="I128" s="14" t="s">
        <v>59</v>
      </c>
      <c r="J128" s="4"/>
      <c r="K128" s="4">
        <f t="shared" si="20"/>
        <v>0</v>
      </c>
      <c r="L128" s="17">
        <f t="shared" si="21"/>
        <v>2</v>
      </c>
      <c r="M128" s="4"/>
      <c r="N128" s="17">
        <v>3.0</v>
      </c>
      <c r="O128" s="70" t="s">
        <v>45</v>
      </c>
      <c r="P128" s="17">
        <f t="shared" si="22"/>
        <v>2</v>
      </c>
      <c r="Q128" s="17">
        <f t="shared" si="23"/>
        <v>1</v>
      </c>
      <c r="R128" s="19">
        <f t="shared" si="24"/>
        <v>0</v>
      </c>
      <c r="S128" s="19">
        <f t="shared" si="25"/>
        <v>1</v>
      </c>
      <c r="T128" s="17">
        <f t="shared" si="26"/>
        <v>16</v>
      </c>
      <c r="U128" s="19">
        <f t="shared" si="27"/>
        <v>15</v>
      </c>
      <c r="V128" s="17">
        <f t="shared" si="28"/>
        <v>1</v>
      </c>
      <c r="W128" s="56"/>
      <c r="X128" s="27" t="s">
        <v>116</v>
      </c>
      <c r="Y128" s="27">
        <v>0.0</v>
      </c>
      <c r="Z128" s="56"/>
      <c r="AA128" s="56"/>
      <c r="AB128" s="56"/>
      <c r="AC128" s="56"/>
      <c r="AD128" s="21">
        <v>3.0</v>
      </c>
      <c r="AE128" s="63" t="s">
        <v>63</v>
      </c>
      <c r="AF128" s="22">
        <v>2.0</v>
      </c>
      <c r="AG128" s="22">
        <v>1.0</v>
      </c>
      <c r="AH128" s="23">
        <v>0.0</v>
      </c>
      <c r="AI128" s="23">
        <v>0.0</v>
      </c>
      <c r="AJ128" s="22">
        <v>11.0</v>
      </c>
      <c r="AK128" s="23">
        <v>5.0</v>
      </c>
      <c r="AL128" s="22">
        <v>6.0</v>
      </c>
      <c r="AM128" s="56"/>
    </row>
    <row r="129" ht="15.75" customHeight="1">
      <c r="A129" s="24"/>
      <c r="B129" s="39">
        <v>45952.0</v>
      </c>
      <c r="C129" s="64" t="s">
        <v>99</v>
      </c>
      <c r="D129" s="59" t="s">
        <v>22</v>
      </c>
      <c r="E129" s="14" t="s">
        <v>54</v>
      </c>
      <c r="F129" s="14">
        <v>17.0</v>
      </c>
      <c r="G129" s="60" t="s">
        <v>24</v>
      </c>
      <c r="H129" s="14">
        <v>12.0</v>
      </c>
      <c r="I129" s="14" t="s">
        <v>123</v>
      </c>
      <c r="J129" s="4"/>
      <c r="K129" s="4">
        <f t="shared" si="20"/>
        <v>2</v>
      </c>
      <c r="L129" s="17">
        <f t="shared" si="21"/>
        <v>0</v>
      </c>
      <c r="M129" s="4"/>
      <c r="N129" s="17">
        <v>4.0</v>
      </c>
      <c r="O129" s="70" t="s">
        <v>56</v>
      </c>
      <c r="P129" s="17">
        <f t="shared" si="22"/>
        <v>2</v>
      </c>
      <c r="Q129" s="17">
        <f t="shared" si="23"/>
        <v>1</v>
      </c>
      <c r="R129" s="19">
        <f t="shared" si="24"/>
        <v>0</v>
      </c>
      <c r="S129" s="19">
        <f t="shared" si="25"/>
        <v>1</v>
      </c>
      <c r="T129" s="17">
        <f t="shared" si="26"/>
        <v>18</v>
      </c>
      <c r="U129" s="19">
        <f t="shared" si="27"/>
        <v>20</v>
      </c>
      <c r="V129" s="17">
        <f t="shared" si="28"/>
        <v>-2</v>
      </c>
      <c r="W129" s="56"/>
      <c r="X129" s="56"/>
      <c r="Y129" s="56"/>
      <c r="Z129" s="56"/>
      <c r="AA129" s="56"/>
      <c r="AB129" s="56"/>
      <c r="AC129" s="56"/>
      <c r="AD129" s="21">
        <v>4.0</v>
      </c>
      <c r="AE129" s="63" t="s">
        <v>45</v>
      </c>
      <c r="AF129" s="22">
        <v>2.0</v>
      </c>
      <c r="AG129" s="22">
        <v>1.0</v>
      </c>
      <c r="AH129" s="23">
        <v>0.0</v>
      </c>
      <c r="AI129" s="23">
        <v>1.0</v>
      </c>
      <c r="AJ129" s="22">
        <v>16.0</v>
      </c>
      <c r="AK129" s="23">
        <v>15.0</v>
      </c>
      <c r="AL129" s="22">
        <v>1.0</v>
      </c>
      <c r="AM129" s="56"/>
    </row>
    <row r="130" ht="15.75" customHeight="1">
      <c r="A130" s="28"/>
      <c r="B130" s="79"/>
      <c r="C130" s="60"/>
      <c r="D130" s="60"/>
      <c r="E130" s="14" t="s">
        <v>63</v>
      </c>
      <c r="F130" s="75"/>
      <c r="G130" s="60" t="s">
        <v>24</v>
      </c>
      <c r="H130" s="75"/>
      <c r="I130" s="14">
        <v>0.0</v>
      </c>
      <c r="J130" s="4"/>
      <c r="K130" s="4" t="str">
        <f t="shared" si="20"/>
        <v/>
      </c>
      <c r="L130" s="17" t="str">
        <f t="shared" si="21"/>
        <v/>
      </c>
      <c r="M130" s="4"/>
      <c r="N130" s="17">
        <v>5.0</v>
      </c>
      <c r="O130" s="70" t="s">
        <v>54</v>
      </c>
      <c r="P130" s="17">
        <f t="shared" si="22"/>
        <v>2</v>
      </c>
      <c r="Q130" s="17">
        <f t="shared" si="23"/>
        <v>1</v>
      </c>
      <c r="R130" s="19">
        <f t="shared" si="24"/>
        <v>0</v>
      </c>
      <c r="S130" s="19">
        <f t="shared" si="25"/>
        <v>1</v>
      </c>
      <c r="T130" s="17">
        <f t="shared" si="26"/>
        <v>26</v>
      </c>
      <c r="U130" s="19">
        <f t="shared" si="27"/>
        <v>25</v>
      </c>
      <c r="V130" s="17">
        <f t="shared" si="28"/>
        <v>1</v>
      </c>
      <c r="W130" s="56"/>
      <c r="X130" s="56"/>
      <c r="Y130" s="56"/>
      <c r="Z130" s="56"/>
      <c r="AA130" s="56"/>
      <c r="AB130" s="56"/>
      <c r="AC130" s="56"/>
      <c r="AD130" s="21">
        <v>5.0</v>
      </c>
      <c r="AE130" s="63" t="s">
        <v>54</v>
      </c>
      <c r="AF130" s="22">
        <v>2.0</v>
      </c>
      <c r="AG130" s="22">
        <v>1.0</v>
      </c>
      <c r="AH130" s="23">
        <v>0.0</v>
      </c>
      <c r="AI130" s="23">
        <v>1.0</v>
      </c>
      <c r="AJ130" s="22">
        <v>26.0</v>
      </c>
      <c r="AK130" s="23">
        <v>25.0</v>
      </c>
      <c r="AL130" s="22">
        <v>1.0</v>
      </c>
      <c r="AM130" s="56"/>
    </row>
    <row r="131" ht="15.75" customHeight="1">
      <c r="A131" s="10">
        <v>2.0</v>
      </c>
      <c r="B131" s="39">
        <v>45952.0</v>
      </c>
      <c r="C131" s="59" t="s">
        <v>99</v>
      </c>
      <c r="D131" s="59" t="s">
        <v>22</v>
      </c>
      <c r="E131" s="14" t="s">
        <v>121</v>
      </c>
      <c r="F131" s="14">
        <v>6.0</v>
      </c>
      <c r="G131" s="60" t="s">
        <v>24</v>
      </c>
      <c r="H131" s="14">
        <v>5.0</v>
      </c>
      <c r="I131" s="14" t="s">
        <v>45</v>
      </c>
      <c r="J131" s="4"/>
      <c r="K131" s="4">
        <f t="shared" si="20"/>
        <v>2</v>
      </c>
      <c r="L131" s="17">
        <f t="shared" si="21"/>
        <v>0</v>
      </c>
      <c r="M131" s="4"/>
      <c r="N131" s="17">
        <v>6.0</v>
      </c>
      <c r="O131" s="70" t="s">
        <v>63</v>
      </c>
      <c r="P131" s="17">
        <f t="shared" si="22"/>
        <v>2</v>
      </c>
      <c r="Q131" s="17">
        <f t="shared" si="23"/>
        <v>1</v>
      </c>
      <c r="R131" s="19">
        <f t="shared" si="24"/>
        <v>0</v>
      </c>
      <c r="S131" s="19">
        <f t="shared" si="25"/>
        <v>0</v>
      </c>
      <c r="T131" s="17">
        <f t="shared" si="26"/>
        <v>11</v>
      </c>
      <c r="U131" s="19">
        <f t="shared" si="27"/>
        <v>5</v>
      </c>
      <c r="V131" s="17">
        <f t="shared" si="28"/>
        <v>6</v>
      </c>
      <c r="W131" s="56"/>
      <c r="X131" s="56"/>
      <c r="Y131" s="56"/>
      <c r="Z131" s="56"/>
      <c r="AA131" s="56"/>
      <c r="AB131" s="56"/>
      <c r="AC131" s="56"/>
      <c r="AD131" s="21">
        <v>6.0</v>
      </c>
      <c r="AE131" s="63" t="s">
        <v>56</v>
      </c>
      <c r="AF131" s="22">
        <v>2.0</v>
      </c>
      <c r="AG131" s="22">
        <v>1.0</v>
      </c>
      <c r="AH131" s="23">
        <v>0.0</v>
      </c>
      <c r="AI131" s="23">
        <v>1.0</v>
      </c>
      <c r="AJ131" s="22">
        <v>18.0</v>
      </c>
      <c r="AK131" s="23">
        <v>20.0</v>
      </c>
      <c r="AL131" s="22">
        <v>-2.0</v>
      </c>
      <c r="AM131" s="56"/>
    </row>
    <row r="132" ht="15.75" customHeight="1">
      <c r="A132" s="24"/>
      <c r="B132" s="80"/>
      <c r="C132" s="81"/>
      <c r="D132" s="81"/>
      <c r="E132" s="14">
        <v>0.0</v>
      </c>
      <c r="F132" s="75"/>
      <c r="G132" s="60" t="s">
        <v>24</v>
      </c>
      <c r="H132" s="75"/>
      <c r="I132" s="14" t="s">
        <v>64</v>
      </c>
      <c r="J132" s="4"/>
      <c r="K132" s="4" t="str">
        <f t="shared" si="20"/>
        <v/>
      </c>
      <c r="L132" s="17" t="str">
        <f t="shared" si="21"/>
        <v/>
      </c>
      <c r="M132" s="4"/>
      <c r="N132" s="17">
        <v>7.0</v>
      </c>
      <c r="O132" s="70" t="s">
        <v>123</v>
      </c>
      <c r="P132" s="17">
        <f t="shared" si="22"/>
        <v>0</v>
      </c>
      <c r="Q132" s="17">
        <f t="shared" si="23"/>
        <v>0</v>
      </c>
      <c r="R132" s="19">
        <f t="shared" si="24"/>
        <v>0</v>
      </c>
      <c r="S132" s="19">
        <f t="shared" si="25"/>
        <v>2</v>
      </c>
      <c r="T132" s="17">
        <f t="shared" si="26"/>
        <v>17</v>
      </c>
      <c r="U132" s="19">
        <f t="shared" si="27"/>
        <v>28</v>
      </c>
      <c r="V132" s="17">
        <f t="shared" si="28"/>
        <v>-11</v>
      </c>
      <c r="W132" s="56"/>
      <c r="X132" s="56"/>
      <c r="Y132" s="56"/>
      <c r="Z132" s="56"/>
      <c r="AA132" s="56"/>
      <c r="AB132" s="56"/>
      <c r="AC132" s="56"/>
      <c r="AD132" s="21">
        <v>7.0</v>
      </c>
      <c r="AE132" s="63" t="s">
        <v>121</v>
      </c>
      <c r="AF132" s="22">
        <v>2.0</v>
      </c>
      <c r="AG132" s="22">
        <v>1.0</v>
      </c>
      <c r="AH132" s="23">
        <v>0.0</v>
      </c>
      <c r="AI132" s="23">
        <v>1.0</v>
      </c>
      <c r="AJ132" s="22">
        <v>8.0</v>
      </c>
      <c r="AK132" s="23">
        <v>16.0</v>
      </c>
      <c r="AL132" s="22">
        <v>-8.0</v>
      </c>
      <c r="AM132" s="56"/>
    </row>
    <row r="133" ht="15.75" customHeight="1">
      <c r="A133" s="24"/>
      <c r="B133" s="39">
        <v>45952.0</v>
      </c>
      <c r="C133" s="59" t="s">
        <v>99</v>
      </c>
      <c r="D133" s="59" t="s">
        <v>22</v>
      </c>
      <c r="E133" s="14" t="s">
        <v>122</v>
      </c>
      <c r="F133" s="14">
        <v>6.0</v>
      </c>
      <c r="G133" s="60" t="s">
        <v>24</v>
      </c>
      <c r="H133" s="14">
        <v>10.0</v>
      </c>
      <c r="I133" s="14" t="s">
        <v>56</v>
      </c>
      <c r="J133" s="4"/>
      <c r="K133" s="4">
        <f t="shared" si="20"/>
        <v>0</v>
      </c>
      <c r="L133" s="17">
        <f t="shared" si="21"/>
        <v>2</v>
      </c>
      <c r="M133" s="4"/>
      <c r="N133" s="17">
        <v>8.0</v>
      </c>
      <c r="O133" s="70" t="s">
        <v>59</v>
      </c>
      <c r="P133" s="17">
        <f t="shared" si="22"/>
        <v>4</v>
      </c>
      <c r="Q133" s="17">
        <f t="shared" si="23"/>
        <v>2</v>
      </c>
      <c r="R133" s="19">
        <f t="shared" si="24"/>
        <v>0</v>
      </c>
      <c r="S133" s="19">
        <f t="shared" si="25"/>
        <v>0</v>
      </c>
      <c r="T133" s="17">
        <f t="shared" si="26"/>
        <v>27</v>
      </c>
      <c r="U133" s="19">
        <f t="shared" si="27"/>
        <v>17</v>
      </c>
      <c r="V133" s="17">
        <f t="shared" si="28"/>
        <v>10</v>
      </c>
      <c r="W133" s="56"/>
      <c r="X133" s="56"/>
      <c r="Y133" s="56"/>
      <c r="Z133" s="56"/>
      <c r="AA133" s="56"/>
      <c r="AB133" s="56"/>
      <c r="AC133" s="56"/>
      <c r="AD133" s="21">
        <v>8.0</v>
      </c>
      <c r="AE133" s="63" t="s">
        <v>122</v>
      </c>
      <c r="AF133" s="22">
        <v>0.0</v>
      </c>
      <c r="AG133" s="22">
        <v>0.0</v>
      </c>
      <c r="AH133" s="22">
        <v>0.0</v>
      </c>
      <c r="AI133" s="22">
        <v>2.0</v>
      </c>
      <c r="AJ133" s="22">
        <v>15.0</v>
      </c>
      <c r="AK133" s="22">
        <v>21.0</v>
      </c>
      <c r="AL133" s="22">
        <v>-6.0</v>
      </c>
      <c r="AM133" s="56"/>
    </row>
    <row r="134" ht="15.75" customHeight="1">
      <c r="A134" s="24"/>
      <c r="B134" s="11">
        <v>45952.0</v>
      </c>
      <c r="C134" s="59" t="s">
        <v>102</v>
      </c>
      <c r="D134" s="59" t="s">
        <v>22</v>
      </c>
      <c r="E134" s="14" t="s">
        <v>59</v>
      </c>
      <c r="F134" s="14">
        <v>13.0</v>
      </c>
      <c r="G134" s="60" t="s">
        <v>24</v>
      </c>
      <c r="H134" s="14">
        <v>9.0</v>
      </c>
      <c r="I134" s="14" t="s">
        <v>54</v>
      </c>
      <c r="J134" s="4"/>
      <c r="K134" s="4">
        <f t="shared" si="20"/>
        <v>2</v>
      </c>
      <c r="L134" s="17">
        <f t="shared" si="21"/>
        <v>0</v>
      </c>
      <c r="M134" s="4"/>
      <c r="N134" s="36">
        <v>9.0</v>
      </c>
      <c r="O134" s="70" t="s">
        <v>122</v>
      </c>
      <c r="P134" s="17">
        <f t="shared" si="22"/>
        <v>0</v>
      </c>
      <c r="Q134" s="17">
        <f t="shared" si="23"/>
        <v>0</v>
      </c>
      <c r="R134" s="19">
        <f t="shared" si="24"/>
        <v>0</v>
      </c>
      <c r="S134" s="19">
        <f t="shared" si="25"/>
        <v>2</v>
      </c>
      <c r="T134" s="17">
        <f t="shared" si="26"/>
        <v>15</v>
      </c>
      <c r="U134" s="19">
        <f t="shared" si="27"/>
        <v>21</v>
      </c>
      <c r="V134" s="17">
        <f t="shared" si="28"/>
        <v>-6</v>
      </c>
      <c r="W134" s="56"/>
      <c r="X134" s="56"/>
      <c r="Y134" s="56"/>
      <c r="Z134" s="56"/>
      <c r="AA134" s="56"/>
      <c r="AB134" s="56"/>
      <c r="AC134" s="56"/>
      <c r="AD134" s="21">
        <v>9.0</v>
      </c>
      <c r="AE134" s="27" t="s">
        <v>123</v>
      </c>
      <c r="AF134" s="22">
        <v>0.0</v>
      </c>
      <c r="AG134" s="22">
        <v>0.0</v>
      </c>
      <c r="AH134" s="22">
        <v>0.0</v>
      </c>
      <c r="AI134" s="22">
        <v>2.0</v>
      </c>
      <c r="AJ134" s="22">
        <v>17.0</v>
      </c>
      <c r="AK134" s="22">
        <v>28.0</v>
      </c>
      <c r="AL134" s="22">
        <v>-11.0</v>
      </c>
      <c r="AM134" s="56"/>
    </row>
    <row r="135" ht="15.75" customHeight="1">
      <c r="A135" s="28"/>
      <c r="B135" s="11">
        <v>45952.0</v>
      </c>
      <c r="C135" s="59" t="s">
        <v>102</v>
      </c>
      <c r="D135" s="59" t="s">
        <v>22</v>
      </c>
      <c r="E135" s="14" t="s">
        <v>123</v>
      </c>
      <c r="F135" s="14">
        <v>5.0</v>
      </c>
      <c r="G135" s="60" t="s">
        <v>24</v>
      </c>
      <c r="H135" s="14">
        <v>11.0</v>
      </c>
      <c r="I135" s="14" t="s">
        <v>63</v>
      </c>
      <c r="J135" s="4"/>
      <c r="K135" s="4">
        <f t="shared" si="20"/>
        <v>0</v>
      </c>
      <c r="L135" s="17">
        <f t="shared" si="21"/>
        <v>2</v>
      </c>
      <c r="M135" s="4"/>
      <c r="N135" s="36"/>
      <c r="O135" s="36"/>
      <c r="P135" s="17"/>
      <c r="Q135" s="17"/>
      <c r="R135" s="19"/>
      <c r="S135" s="19"/>
      <c r="T135" s="17"/>
      <c r="U135" s="19"/>
      <c r="V135" s="17"/>
      <c r="W135" s="56"/>
      <c r="X135" s="56"/>
      <c r="Y135" s="56"/>
      <c r="Z135" s="56"/>
      <c r="AA135" s="56"/>
      <c r="AB135" s="56"/>
      <c r="AC135" s="56"/>
      <c r="AD135" s="34" t="s">
        <v>124</v>
      </c>
      <c r="AG135" s="82"/>
      <c r="AH135" s="82"/>
      <c r="AI135" s="82"/>
      <c r="AJ135" s="82"/>
      <c r="AK135" s="82"/>
      <c r="AL135" s="82"/>
      <c r="AM135" s="56"/>
    </row>
    <row r="136" ht="15.75" customHeight="1">
      <c r="A136" s="10">
        <v>3.0</v>
      </c>
      <c r="B136" s="72"/>
      <c r="C136" s="60"/>
      <c r="D136" s="60"/>
      <c r="E136" s="14" t="s">
        <v>56</v>
      </c>
      <c r="F136" s="75"/>
      <c r="G136" s="60" t="s">
        <v>24</v>
      </c>
      <c r="H136" s="75"/>
      <c r="I136" s="14" t="s">
        <v>121</v>
      </c>
      <c r="J136" s="4"/>
      <c r="K136" s="4" t="str">
        <f t="shared" si="20"/>
        <v/>
      </c>
      <c r="L136" s="17" t="str">
        <f t="shared" si="21"/>
        <v/>
      </c>
      <c r="M136" s="4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73" t="s">
        <v>106</v>
      </c>
      <c r="AG136" s="56"/>
      <c r="AH136" s="56"/>
      <c r="AI136" s="36"/>
      <c r="AJ136" s="36"/>
      <c r="AK136" s="36"/>
      <c r="AL136" s="36"/>
      <c r="AM136" s="56"/>
    </row>
    <row r="137" ht="15.75" customHeight="1">
      <c r="A137" s="24"/>
      <c r="B137" s="72"/>
      <c r="C137" s="60"/>
      <c r="D137" s="60"/>
      <c r="E137" s="14" t="s">
        <v>45</v>
      </c>
      <c r="F137" s="75"/>
      <c r="G137" s="60" t="s">
        <v>24</v>
      </c>
      <c r="H137" s="75"/>
      <c r="I137" s="14" t="s">
        <v>64</v>
      </c>
      <c r="J137" s="4"/>
      <c r="K137" s="4" t="str">
        <f t="shared" si="20"/>
        <v/>
      </c>
      <c r="L137" s="17" t="str">
        <f t="shared" si="21"/>
        <v/>
      </c>
      <c r="M137" s="4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36"/>
      <c r="AJ137" s="36"/>
      <c r="AK137" s="36"/>
      <c r="AL137" s="36"/>
      <c r="AM137" s="56"/>
    </row>
    <row r="138" ht="15.75" customHeight="1">
      <c r="A138" s="24"/>
      <c r="B138" s="72"/>
      <c r="C138" s="60"/>
      <c r="D138" s="60"/>
      <c r="E138" s="14" t="s">
        <v>54</v>
      </c>
      <c r="F138" s="75"/>
      <c r="G138" s="60" t="s">
        <v>24</v>
      </c>
      <c r="H138" s="75"/>
      <c r="I138" s="14" t="s">
        <v>122</v>
      </c>
      <c r="J138" s="4"/>
      <c r="K138" s="4" t="str">
        <f t="shared" si="20"/>
        <v/>
      </c>
      <c r="L138" s="17" t="str">
        <f t="shared" si="21"/>
        <v/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6"/>
      <c r="X138" s="56"/>
      <c r="Y138" s="56"/>
      <c r="Z138" s="56"/>
      <c r="AA138" s="56"/>
      <c r="AB138" s="56"/>
      <c r="AC138" s="56"/>
      <c r="AD138" s="4"/>
      <c r="AG138" s="36"/>
      <c r="AI138" s="36"/>
      <c r="AJ138" s="36"/>
      <c r="AK138" s="36"/>
      <c r="AL138" s="36"/>
      <c r="AM138" s="56"/>
    </row>
    <row r="139" ht="15.75" customHeight="1">
      <c r="A139" s="24"/>
      <c r="B139" s="72"/>
      <c r="C139" s="60"/>
      <c r="D139" s="60"/>
      <c r="E139" s="14" t="s">
        <v>63</v>
      </c>
      <c r="F139" s="75"/>
      <c r="G139" s="60" t="s">
        <v>24</v>
      </c>
      <c r="H139" s="75"/>
      <c r="I139" s="14" t="s">
        <v>59</v>
      </c>
      <c r="J139" s="4"/>
      <c r="K139" s="4" t="str">
        <f t="shared" si="20"/>
        <v/>
      </c>
      <c r="L139" s="17" t="str">
        <f t="shared" si="21"/>
        <v/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6"/>
      <c r="X139" s="56"/>
      <c r="Y139" s="56"/>
      <c r="Z139" s="56"/>
      <c r="AA139" s="56"/>
      <c r="AB139" s="56"/>
      <c r="AC139" s="56"/>
      <c r="AI139" s="36"/>
      <c r="AJ139" s="36"/>
      <c r="AK139" s="36"/>
      <c r="AL139" s="36"/>
      <c r="AM139" s="56"/>
    </row>
    <row r="140" ht="15.75" customHeight="1">
      <c r="A140" s="28"/>
      <c r="B140" s="72"/>
      <c r="C140" s="60"/>
      <c r="D140" s="60"/>
      <c r="E140" s="14">
        <v>0.0</v>
      </c>
      <c r="F140" s="75"/>
      <c r="G140" s="60" t="s">
        <v>24</v>
      </c>
      <c r="H140" s="75"/>
      <c r="I140" s="14" t="s">
        <v>123</v>
      </c>
      <c r="J140" s="4"/>
      <c r="K140" s="4" t="str">
        <f t="shared" si="20"/>
        <v/>
      </c>
      <c r="L140" s="17" t="str">
        <f t="shared" si="21"/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6"/>
      <c r="X140" s="56"/>
      <c r="Y140" s="56"/>
      <c r="Z140" s="56"/>
      <c r="AA140" s="56"/>
      <c r="AB140" s="56"/>
      <c r="AC140" s="56"/>
      <c r="AI140" s="36"/>
      <c r="AJ140" s="36"/>
      <c r="AK140" s="36"/>
      <c r="AL140" s="36"/>
      <c r="AM140" s="56"/>
    </row>
    <row r="141" ht="15.75" customHeight="1">
      <c r="A141" s="10">
        <v>4.0</v>
      </c>
      <c r="B141" s="72"/>
      <c r="C141" s="60"/>
      <c r="D141" s="60"/>
      <c r="E141" s="14" t="s">
        <v>121</v>
      </c>
      <c r="F141" s="75"/>
      <c r="G141" s="60" t="s">
        <v>24</v>
      </c>
      <c r="H141" s="75"/>
      <c r="I141" s="14" t="s">
        <v>54</v>
      </c>
      <c r="J141" s="37"/>
      <c r="K141" s="4" t="str">
        <f t="shared" si="20"/>
        <v/>
      </c>
      <c r="L141" s="17" t="str">
        <f t="shared" si="21"/>
        <v/>
      </c>
      <c r="M141" s="4"/>
      <c r="N141" s="4"/>
      <c r="O141" s="4"/>
      <c r="P141" s="4"/>
      <c r="Q141" s="56"/>
      <c r="R141" s="4"/>
      <c r="S141" s="4"/>
      <c r="T141" s="4"/>
      <c r="U141" s="4"/>
      <c r="V141" s="4"/>
      <c r="W141" s="56"/>
      <c r="X141" s="56"/>
      <c r="Y141" s="56"/>
      <c r="Z141" s="56"/>
      <c r="AA141" s="56"/>
      <c r="AB141" s="56"/>
      <c r="AC141" s="56"/>
      <c r="AI141" s="36"/>
      <c r="AJ141" s="36"/>
      <c r="AK141" s="36"/>
      <c r="AL141" s="36"/>
      <c r="AM141" s="56"/>
    </row>
    <row r="142" ht="15.75" customHeight="1">
      <c r="A142" s="24"/>
      <c r="B142" s="72"/>
      <c r="C142" s="60"/>
      <c r="D142" s="60"/>
      <c r="E142" s="14" t="s">
        <v>64</v>
      </c>
      <c r="F142" s="75"/>
      <c r="G142" s="60" t="s">
        <v>24</v>
      </c>
      <c r="H142" s="75"/>
      <c r="I142" s="14" t="s">
        <v>56</v>
      </c>
      <c r="J142" s="4"/>
      <c r="K142" s="4" t="str">
        <f t="shared" si="20"/>
        <v/>
      </c>
      <c r="L142" s="17" t="str">
        <f t="shared" si="21"/>
        <v/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6"/>
      <c r="X142" s="56"/>
      <c r="Y142" s="56"/>
      <c r="Z142" s="56"/>
      <c r="AA142" s="56"/>
      <c r="AB142" s="56"/>
      <c r="AC142" s="56"/>
      <c r="AI142" s="36"/>
      <c r="AJ142" s="36"/>
      <c r="AK142" s="36"/>
      <c r="AL142" s="36"/>
      <c r="AM142" s="56"/>
    </row>
    <row r="143" ht="15.75" customHeight="1">
      <c r="A143" s="24"/>
      <c r="B143" s="72"/>
      <c r="C143" s="60"/>
      <c r="D143" s="60"/>
      <c r="E143" s="14" t="s">
        <v>45</v>
      </c>
      <c r="F143" s="75"/>
      <c r="G143" s="60" t="s">
        <v>24</v>
      </c>
      <c r="H143" s="75"/>
      <c r="I143" s="14">
        <v>0.0</v>
      </c>
      <c r="J143" s="4"/>
      <c r="K143" s="4" t="str">
        <f t="shared" si="20"/>
        <v/>
      </c>
      <c r="L143" s="17" t="str">
        <f t="shared" si="21"/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6"/>
      <c r="X143" s="56"/>
      <c r="Y143" s="56"/>
      <c r="Z143" s="56"/>
      <c r="AA143" s="56"/>
      <c r="AB143" s="56"/>
      <c r="AC143" s="56"/>
      <c r="AI143" s="36"/>
      <c r="AJ143" s="36"/>
      <c r="AK143" s="36"/>
      <c r="AL143" s="36"/>
      <c r="AM143" s="56"/>
    </row>
    <row r="144" ht="15.75" customHeight="1">
      <c r="A144" s="24"/>
      <c r="B144" s="72"/>
      <c r="C144" s="60"/>
      <c r="D144" s="60"/>
      <c r="E144" s="14" t="s">
        <v>122</v>
      </c>
      <c r="F144" s="75"/>
      <c r="G144" s="60" t="s">
        <v>24</v>
      </c>
      <c r="H144" s="75"/>
      <c r="I144" s="14" t="s">
        <v>63</v>
      </c>
      <c r="J144" s="4"/>
      <c r="K144" s="4" t="str">
        <f t="shared" si="20"/>
        <v/>
      </c>
      <c r="L144" s="17" t="str">
        <f t="shared" si="21"/>
        <v/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6"/>
      <c r="X144" s="56"/>
      <c r="Y144" s="56"/>
      <c r="Z144" s="56"/>
      <c r="AA144" s="56"/>
      <c r="AB144" s="56"/>
      <c r="AC144" s="56"/>
      <c r="AI144" s="36"/>
      <c r="AJ144" s="36"/>
      <c r="AK144" s="36"/>
      <c r="AL144" s="36"/>
      <c r="AM144" s="56"/>
    </row>
    <row r="145" ht="15.75" customHeight="1">
      <c r="A145" s="28"/>
      <c r="B145" s="72"/>
      <c r="C145" s="60"/>
      <c r="D145" s="60"/>
      <c r="E145" s="14" t="s">
        <v>59</v>
      </c>
      <c r="F145" s="75"/>
      <c r="G145" s="60" t="s">
        <v>24</v>
      </c>
      <c r="H145" s="75"/>
      <c r="I145" s="14" t="s">
        <v>123</v>
      </c>
      <c r="J145" s="4"/>
      <c r="K145" s="4" t="str">
        <f t="shared" si="20"/>
        <v/>
      </c>
      <c r="L145" s="17" t="str">
        <f t="shared" si="21"/>
        <v/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6"/>
      <c r="X145" s="56"/>
      <c r="Y145" s="56"/>
      <c r="Z145" s="56"/>
      <c r="AA145" s="56"/>
      <c r="AB145" s="56"/>
      <c r="AC145" s="56"/>
      <c r="AI145" s="36"/>
      <c r="AJ145" s="36"/>
      <c r="AK145" s="36"/>
      <c r="AL145" s="36"/>
      <c r="AM145" s="56"/>
    </row>
    <row r="146" ht="15.75" customHeight="1">
      <c r="A146" s="10">
        <v>5.0</v>
      </c>
      <c r="B146" s="72"/>
      <c r="C146" s="60"/>
      <c r="D146" s="75"/>
      <c r="E146" s="14" t="s">
        <v>63</v>
      </c>
      <c r="F146" s="75"/>
      <c r="G146" s="60" t="s">
        <v>24</v>
      </c>
      <c r="H146" s="75"/>
      <c r="I146" s="14" t="s">
        <v>121</v>
      </c>
      <c r="J146" s="4"/>
      <c r="K146" s="4" t="str">
        <f t="shared" si="20"/>
        <v/>
      </c>
      <c r="L146" s="17" t="str">
        <f t="shared" si="21"/>
        <v/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6"/>
      <c r="X146" s="56"/>
      <c r="Y146" s="56"/>
      <c r="Z146" s="56"/>
      <c r="AA146" s="56"/>
      <c r="AB146" s="56"/>
      <c r="AC146" s="56"/>
      <c r="AD146" s="36"/>
      <c r="AE146" s="36"/>
      <c r="AF146" s="36"/>
      <c r="AG146" s="36"/>
      <c r="AH146" s="36"/>
      <c r="AI146" s="36"/>
      <c r="AJ146" s="36"/>
      <c r="AK146" s="36"/>
      <c r="AL146" s="36"/>
      <c r="AM146" s="56"/>
    </row>
    <row r="147" ht="15.75" customHeight="1">
      <c r="A147" s="24"/>
      <c r="B147" s="72"/>
      <c r="C147" s="60"/>
      <c r="D147" s="75"/>
      <c r="E147" s="14" t="s">
        <v>54</v>
      </c>
      <c r="F147" s="75"/>
      <c r="G147" s="60" t="s">
        <v>24</v>
      </c>
      <c r="H147" s="75"/>
      <c r="I147" s="14" t="s">
        <v>64</v>
      </c>
      <c r="J147" s="4"/>
      <c r="K147" s="4" t="str">
        <f t="shared" si="20"/>
        <v/>
      </c>
      <c r="L147" s="17" t="str">
        <f t="shared" si="21"/>
        <v/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6"/>
      <c r="X147" s="56"/>
      <c r="Y147" s="56"/>
      <c r="Z147" s="56"/>
      <c r="AA147" s="56"/>
      <c r="AB147" s="56"/>
      <c r="AC147" s="56"/>
      <c r="AD147" s="36"/>
      <c r="AE147" s="36"/>
      <c r="AF147" s="36"/>
      <c r="AG147" s="36"/>
      <c r="AH147" s="36"/>
      <c r="AI147" s="36"/>
      <c r="AJ147" s="36"/>
      <c r="AK147" s="36"/>
      <c r="AL147" s="36"/>
      <c r="AM147" s="56"/>
    </row>
    <row r="148" ht="15.75" customHeight="1">
      <c r="A148" s="24"/>
      <c r="B148" s="72"/>
      <c r="C148" s="60"/>
      <c r="D148" s="75"/>
      <c r="E148" s="14" t="s">
        <v>56</v>
      </c>
      <c r="F148" s="75"/>
      <c r="G148" s="60" t="s">
        <v>24</v>
      </c>
      <c r="H148" s="75"/>
      <c r="I148" s="14" t="s">
        <v>45</v>
      </c>
      <c r="J148" s="4"/>
      <c r="K148" s="4" t="str">
        <f t="shared" si="20"/>
        <v/>
      </c>
      <c r="L148" s="17" t="str">
        <f t="shared" si="21"/>
        <v/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6"/>
      <c r="X148" s="56"/>
      <c r="Y148" s="56"/>
      <c r="Z148" s="56"/>
      <c r="AA148" s="56"/>
      <c r="AB148" s="56"/>
      <c r="AC148" s="56"/>
      <c r="AD148" s="36"/>
      <c r="AE148" s="36"/>
      <c r="AF148" s="36"/>
      <c r="AG148" s="36"/>
      <c r="AH148" s="36"/>
      <c r="AI148" s="36"/>
      <c r="AJ148" s="36"/>
      <c r="AK148" s="36"/>
      <c r="AL148" s="36"/>
      <c r="AM148" s="56"/>
    </row>
    <row r="149" ht="15.75" customHeight="1">
      <c r="A149" s="24"/>
      <c r="B149" s="72"/>
      <c r="C149" s="60"/>
      <c r="D149" s="75"/>
      <c r="E149" s="14" t="s">
        <v>123</v>
      </c>
      <c r="F149" s="75"/>
      <c r="G149" s="60" t="s">
        <v>24</v>
      </c>
      <c r="H149" s="75"/>
      <c r="I149" s="14" t="s">
        <v>122</v>
      </c>
      <c r="J149" s="4"/>
      <c r="K149" s="4" t="str">
        <f t="shared" si="20"/>
        <v/>
      </c>
      <c r="L149" s="17" t="str">
        <f t="shared" si="21"/>
        <v/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6"/>
      <c r="X149" s="56"/>
      <c r="Y149" s="56"/>
      <c r="Z149" s="56"/>
      <c r="AA149" s="56"/>
      <c r="AB149" s="56"/>
      <c r="AC149" s="56"/>
      <c r="AD149" s="36"/>
      <c r="AE149" s="36"/>
      <c r="AF149" s="36"/>
      <c r="AG149" s="36"/>
      <c r="AH149" s="36"/>
      <c r="AI149" s="36"/>
      <c r="AJ149" s="36"/>
      <c r="AK149" s="36"/>
      <c r="AL149" s="36"/>
      <c r="AM149" s="56"/>
    </row>
    <row r="150" ht="15.75" customHeight="1">
      <c r="A150" s="28"/>
      <c r="B150" s="72"/>
      <c r="C150" s="75"/>
      <c r="D150" s="75"/>
      <c r="E150" s="14">
        <v>0.0</v>
      </c>
      <c r="F150" s="75"/>
      <c r="G150" s="60" t="s">
        <v>24</v>
      </c>
      <c r="H150" s="75"/>
      <c r="I150" s="14" t="s">
        <v>59</v>
      </c>
      <c r="J150" s="56"/>
      <c r="K150" s="4" t="str">
        <f t="shared" si="20"/>
        <v/>
      </c>
      <c r="L150" s="17" t="str">
        <f t="shared" si="21"/>
        <v/>
      </c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36"/>
      <c r="AE150" s="36"/>
      <c r="AF150" s="36"/>
      <c r="AG150" s="36"/>
      <c r="AH150" s="36"/>
      <c r="AI150" s="36"/>
      <c r="AJ150" s="36"/>
      <c r="AK150" s="36"/>
      <c r="AL150" s="36"/>
      <c r="AM150" s="56"/>
    </row>
    <row r="151" ht="15.75" customHeight="1">
      <c r="A151" s="10">
        <v>6.0</v>
      </c>
      <c r="B151" s="72"/>
      <c r="C151" s="75"/>
      <c r="D151" s="75"/>
      <c r="E151" s="14" t="s">
        <v>121</v>
      </c>
      <c r="F151" s="75"/>
      <c r="G151" s="60" t="s">
        <v>24</v>
      </c>
      <c r="H151" s="75"/>
      <c r="I151" s="14" t="s">
        <v>123</v>
      </c>
      <c r="J151" s="56"/>
      <c r="K151" s="4" t="str">
        <f t="shared" si="20"/>
        <v/>
      </c>
      <c r="L151" s="17" t="str">
        <f t="shared" si="21"/>
        <v/>
      </c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36"/>
      <c r="AE151" s="36"/>
      <c r="AF151" s="36"/>
      <c r="AG151" s="36"/>
      <c r="AH151" s="36"/>
      <c r="AI151" s="36"/>
      <c r="AJ151" s="36"/>
      <c r="AK151" s="36"/>
      <c r="AL151" s="36"/>
      <c r="AM151" s="56"/>
    </row>
    <row r="152" ht="15.75" customHeight="1">
      <c r="A152" s="24"/>
      <c r="B152" s="72"/>
      <c r="C152" s="75"/>
      <c r="D152" s="75"/>
      <c r="E152" s="14" t="s">
        <v>64</v>
      </c>
      <c r="F152" s="75"/>
      <c r="G152" s="60" t="s">
        <v>24</v>
      </c>
      <c r="H152" s="75"/>
      <c r="I152" s="14" t="s">
        <v>63</v>
      </c>
      <c r="J152" s="56"/>
      <c r="K152" s="4" t="str">
        <f t="shared" si="20"/>
        <v/>
      </c>
      <c r="L152" s="17" t="str">
        <f t="shared" si="21"/>
        <v/>
      </c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36"/>
      <c r="AE152" s="36"/>
      <c r="AF152" s="36"/>
      <c r="AG152" s="36"/>
      <c r="AH152" s="36"/>
      <c r="AI152" s="36"/>
      <c r="AJ152" s="36"/>
      <c r="AK152" s="36"/>
      <c r="AL152" s="36"/>
      <c r="AM152" s="56"/>
    </row>
    <row r="153" ht="15.75" customHeight="1">
      <c r="A153" s="24"/>
      <c r="B153" s="72"/>
      <c r="C153" s="60"/>
      <c r="D153" s="75"/>
      <c r="E153" s="14" t="s">
        <v>45</v>
      </c>
      <c r="F153" s="75"/>
      <c r="G153" s="60" t="s">
        <v>24</v>
      </c>
      <c r="H153" s="75"/>
      <c r="I153" s="14" t="s">
        <v>54</v>
      </c>
      <c r="J153" s="56"/>
      <c r="K153" s="4" t="str">
        <f t="shared" si="20"/>
        <v/>
      </c>
      <c r="L153" s="17" t="str">
        <f t="shared" si="21"/>
        <v/>
      </c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36"/>
      <c r="AE153" s="36"/>
      <c r="AF153" s="36"/>
      <c r="AG153" s="36"/>
      <c r="AH153" s="36"/>
      <c r="AI153" s="36"/>
      <c r="AJ153" s="36"/>
      <c r="AK153" s="36"/>
      <c r="AL153" s="36"/>
      <c r="AM153" s="56"/>
    </row>
    <row r="154" ht="15.75" customHeight="1">
      <c r="A154" s="24"/>
      <c r="B154" s="72"/>
      <c r="C154" s="75"/>
      <c r="D154" s="75"/>
      <c r="E154" s="14" t="s">
        <v>56</v>
      </c>
      <c r="F154" s="75"/>
      <c r="G154" s="60" t="s">
        <v>24</v>
      </c>
      <c r="H154" s="75"/>
      <c r="I154" s="14">
        <v>0.0</v>
      </c>
      <c r="J154" s="56"/>
      <c r="K154" s="4" t="str">
        <f t="shared" si="20"/>
        <v/>
      </c>
      <c r="L154" s="17" t="str">
        <f t="shared" si="21"/>
        <v/>
      </c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36"/>
      <c r="AE154" s="36"/>
      <c r="AF154" s="36"/>
      <c r="AG154" s="36"/>
      <c r="AH154" s="36"/>
      <c r="AI154" s="36"/>
      <c r="AJ154" s="36"/>
      <c r="AK154" s="36"/>
      <c r="AL154" s="36"/>
      <c r="AM154" s="56"/>
    </row>
    <row r="155" ht="15.75" customHeight="1">
      <c r="A155" s="28"/>
      <c r="B155" s="72"/>
      <c r="C155" s="60"/>
      <c r="D155" s="75"/>
      <c r="E155" s="14" t="s">
        <v>122</v>
      </c>
      <c r="F155" s="75"/>
      <c r="G155" s="60" t="s">
        <v>24</v>
      </c>
      <c r="H155" s="75"/>
      <c r="I155" s="14" t="s">
        <v>59</v>
      </c>
      <c r="J155" s="56"/>
      <c r="K155" s="4" t="str">
        <f t="shared" si="20"/>
        <v/>
      </c>
      <c r="L155" s="17" t="str">
        <f t="shared" si="21"/>
        <v/>
      </c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36"/>
      <c r="AE155" s="36"/>
      <c r="AF155" s="36"/>
      <c r="AG155" s="36"/>
      <c r="AH155" s="36"/>
      <c r="AI155" s="36"/>
      <c r="AJ155" s="36"/>
      <c r="AK155" s="36"/>
      <c r="AL155" s="36"/>
      <c r="AM155" s="56"/>
    </row>
    <row r="156" ht="15.75" customHeight="1">
      <c r="A156" s="10">
        <v>7.0</v>
      </c>
      <c r="B156" s="72"/>
      <c r="C156" s="60"/>
      <c r="D156" s="60"/>
      <c r="E156" s="14" t="s">
        <v>59</v>
      </c>
      <c r="F156" s="75"/>
      <c r="G156" s="60" t="s">
        <v>24</v>
      </c>
      <c r="H156" s="75"/>
      <c r="I156" s="14" t="s">
        <v>121</v>
      </c>
      <c r="J156" s="56"/>
      <c r="K156" s="4" t="str">
        <f t="shared" si="20"/>
        <v/>
      </c>
      <c r="L156" s="17" t="str">
        <f t="shared" si="21"/>
        <v/>
      </c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36"/>
      <c r="AE156" s="36"/>
      <c r="AF156" s="36"/>
      <c r="AG156" s="36"/>
      <c r="AH156" s="36"/>
      <c r="AI156" s="36"/>
      <c r="AJ156" s="36"/>
      <c r="AK156" s="36"/>
      <c r="AL156" s="36"/>
      <c r="AM156" s="56"/>
    </row>
    <row r="157" ht="15.75" customHeight="1">
      <c r="A157" s="24"/>
      <c r="B157" s="72"/>
      <c r="C157" s="60"/>
      <c r="D157" s="60"/>
      <c r="E157" s="14" t="s">
        <v>123</v>
      </c>
      <c r="F157" s="75"/>
      <c r="G157" s="60" t="s">
        <v>24</v>
      </c>
      <c r="H157" s="75"/>
      <c r="I157" s="14" t="s">
        <v>64</v>
      </c>
      <c r="J157" s="56"/>
      <c r="K157" s="4" t="str">
        <f t="shared" si="20"/>
        <v/>
      </c>
      <c r="L157" s="17" t="str">
        <f t="shared" si="21"/>
        <v/>
      </c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36"/>
      <c r="AE157" s="36"/>
      <c r="AF157" s="36"/>
      <c r="AG157" s="36"/>
      <c r="AH157" s="36"/>
      <c r="AI157" s="36"/>
      <c r="AJ157" s="36"/>
      <c r="AK157" s="36"/>
      <c r="AL157" s="36"/>
      <c r="AM157" s="56"/>
    </row>
    <row r="158" ht="15.75" customHeight="1">
      <c r="A158" s="24"/>
      <c r="B158" s="72"/>
      <c r="C158" s="60"/>
      <c r="D158" s="60"/>
      <c r="E158" s="14" t="s">
        <v>63</v>
      </c>
      <c r="F158" s="75"/>
      <c r="G158" s="60" t="s">
        <v>24</v>
      </c>
      <c r="H158" s="75"/>
      <c r="I158" s="14" t="s">
        <v>45</v>
      </c>
      <c r="J158" s="56"/>
      <c r="K158" s="4" t="str">
        <f t="shared" si="20"/>
        <v/>
      </c>
      <c r="L158" s="17" t="str">
        <f t="shared" si="21"/>
        <v/>
      </c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36"/>
      <c r="AE158" s="36"/>
      <c r="AF158" s="36"/>
      <c r="AG158" s="36"/>
      <c r="AH158" s="36"/>
      <c r="AI158" s="36"/>
      <c r="AJ158" s="36"/>
      <c r="AK158" s="36"/>
      <c r="AL158" s="36"/>
      <c r="AM158" s="56"/>
    </row>
    <row r="159" ht="15.75" customHeight="1">
      <c r="A159" s="24"/>
      <c r="B159" s="72"/>
      <c r="C159" s="60"/>
      <c r="D159" s="60"/>
      <c r="E159" s="14" t="s">
        <v>54</v>
      </c>
      <c r="F159" s="75"/>
      <c r="G159" s="60" t="s">
        <v>24</v>
      </c>
      <c r="H159" s="75"/>
      <c r="I159" s="14" t="s">
        <v>56</v>
      </c>
      <c r="J159" s="56"/>
      <c r="K159" s="4" t="str">
        <f t="shared" si="20"/>
        <v/>
      </c>
      <c r="L159" s="17" t="str">
        <f t="shared" si="21"/>
        <v/>
      </c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36"/>
      <c r="AE159" s="36"/>
      <c r="AF159" s="36"/>
      <c r="AG159" s="36"/>
      <c r="AH159" s="36"/>
      <c r="AI159" s="36"/>
      <c r="AJ159" s="36"/>
      <c r="AK159" s="36"/>
      <c r="AL159" s="36"/>
      <c r="AM159" s="56"/>
    </row>
    <row r="160" ht="15.75" customHeight="1">
      <c r="A160" s="28"/>
      <c r="B160" s="72"/>
      <c r="C160" s="60"/>
      <c r="D160" s="60"/>
      <c r="E160" s="14">
        <v>0.0</v>
      </c>
      <c r="F160" s="75"/>
      <c r="G160" s="60" t="s">
        <v>24</v>
      </c>
      <c r="H160" s="75"/>
      <c r="I160" s="14" t="s">
        <v>122</v>
      </c>
      <c r="J160" s="56"/>
      <c r="K160" s="4" t="str">
        <f t="shared" si="20"/>
        <v/>
      </c>
      <c r="L160" s="17" t="str">
        <f t="shared" si="21"/>
        <v/>
      </c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36"/>
      <c r="AE160" s="36"/>
      <c r="AF160" s="36"/>
      <c r="AG160" s="36"/>
      <c r="AH160" s="36"/>
      <c r="AI160" s="36"/>
      <c r="AJ160" s="36"/>
      <c r="AK160" s="36"/>
      <c r="AL160" s="36"/>
      <c r="AM160" s="56"/>
    </row>
    <row r="161" ht="15.75" customHeight="1">
      <c r="A161" s="10">
        <v>8.0</v>
      </c>
      <c r="B161" s="72"/>
      <c r="C161" s="60"/>
      <c r="D161" s="60"/>
      <c r="E161" s="14" t="s">
        <v>121</v>
      </c>
      <c r="F161" s="75"/>
      <c r="G161" s="60" t="s">
        <v>24</v>
      </c>
      <c r="H161" s="75"/>
      <c r="I161" s="14" t="s">
        <v>122</v>
      </c>
      <c r="J161" s="56"/>
      <c r="K161" s="4" t="str">
        <f t="shared" si="20"/>
        <v/>
      </c>
      <c r="L161" s="17" t="str">
        <f t="shared" si="21"/>
        <v/>
      </c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36"/>
      <c r="AE161" s="36"/>
      <c r="AF161" s="36"/>
      <c r="AG161" s="36"/>
      <c r="AH161" s="36"/>
      <c r="AI161" s="36"/>
      <c r="AJ161" s="36"/>
      <c r="AK161" s="36"/>
      <c r="AL161" s="36"/>
      <c r="AM161" s="56"/>
    </row>
    <row r="162" ht="15.75" customHeight="1">
      <c r="A162" s="24"/>
      <c r="B162" s="72"/>
      <c r="C162" s="60"/>
      <c r="D162" s="60"/>
      <c r="E162" s="14" t="s">
        <v>64</v>
      </c>
      <c r="F162" s="75"/>
      <c r="G162" s="60" t="s">
        <v>24</v>
      </c>
      <c r="H162" s="75"/>
      <c r="I162" s="14" t="s">
        <v>59</v>
      </c>
      <c r="J162" s="56"/>
      <c r="K162" s="4" t="str">
        <f t="shared" si="20"/>
        <v/>
      </c>
      <c r="L162" s="17" t="str">
        <f t="shared" si="21"/>
        <v/>
      </c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36"/>
      <c r="AE162" s="36"/>
      <c r="AF162" s="36"/>
      <c r="AG162" s="36"/>
      <c r="AH162" s="36"/>
      <c r="AI162" s="36"/>
      <c r="AJ162" s="36"/>
      <c r="AK162" s="36"/>
      <c r="AL162" s="36"/>
      <c r="AM162" s="56"/>
    </row>
    <row r="163" ht="15.75" customHeight="1">
      <c r="A163" s="24"/>
      <c r="B163" s="72"/>
      <c r="C163" s="60"/>
      <c r="D163" s="60"/>
      <c r="E163" s="14" t="s">
        <v>45</v>
      </c>
      <c r="F163" s="75"/>
      <c r="G163" s="60" t="s">
        <v>24</v>
      </c>
      <c r="H163" s="75"/>
      <c r="I163" s="14" t="s">
        <v>123</v>
      </c>
      <c r="J163" s="56"/>
      <c r="K163" s="4" t="str">
        <f t="shared" si="20"/>
        <v/>
      </c>
      <c r="L163" s="17" t="str">
        <f t="shared" si="21"/>
        <v/>
      </c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36"/>
      <c r="AE163" s="36"/>
      <c r="AF163" s="36"/>
      <c r="AG163" s="36"/>
      <c r="AH163" s="36"/>
      <c r="AI163" s="36"/>
      <c r="AJ163" s="36"/>
      <c r="AK163" s="36"/>
      <c r="AL163" s="36"/>
      <c r="AM163" s="56"/>
    </row>
    <row r="164" ht="15.75" customHeight="1">
      <c r="A164" s="24"/>
      <c r="B164" s="72"/>
      <c r="C164" s="60"/>
      <c r="D164" s="60"/>
      <c r="E164" s="14" t="s">
        <v>56</v>
      </c>
      <c r="F164" s="75"/>
      <c r="G164" s="60" t="s">
        <v>24</v>
      </c>
      <c r="H164" s="75"/>
      <c r="I164" s="14" t="s">
        <v>63</v>
      </c>
      <c r="J164" s="56"/>
      <c r="K164" s="4" t="str">
        <f t="shared" si="20"/>
        <v/>
      </c>
      <c r="L164" s="17" t="str">
        <f t="shared" si="21"/>
        <v/>
      </c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36"/>
      <c r="AE164" s="36"/>
      <c r="AF164" s="36"/>
      <c r="AG164" s="36"/>
      <c r="AH164" s="36"/>
      <c r="AI164" s="36"/>
      <c r="AJ164" s="36"/>
      <c r="AK164" s="36"/>
      <c r="AL164" s="36"/>
      <c r="AM164" s="56"/>
    </row>
    <row r="165" ht="15.75" customHeight="1">
      <c r="A165" s="28"/>
      <c r="B165" s="72"/>
      <c r="C165" s="60"/>
      <c r="D165" s="60"/>
      <c r="E165" s="14" t="s">
        <v>54</v>
      </c>
      <c r="F165" s="75"/>
      <c r="G165" s="60" t="s">
        <v>24</v>
      </c>
      <c r="H165" s="75"/>
      <c r="I165" s="14">
        <v>0.0</v>
      </c>
      <c r="J165" s="56"/>
      <c r="K165" s="4" t="str">
        <f t="shared" si="20"/>
        <v/>
      </c>
      <c r="L165" s="17" t="str">
        <f t="shared" si="21"/>
        <v/>
      </c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36"/>
      <c r="AE165" s="36"/>
      <c r="AF165" s="36"/>
      <c r="AG165" s="36"/>
      <c r="AH165" s="36"/>
      <c r="AI165" s="36"/>
      <c r="AJ165" s="36"/>
      <c r="AK165" s="36"/>
      <c r="AL165" s="36"/>
      <c r="AM165" s="56"/>
    </row>
    <row r="166" ht="15.75" customHeight="1">
      <c r="A166" s="10">
        <v>9.0</v>
      </c>
      <c r="B166" s="72"/>
      <c r="C166" s="60"/>
      <c r="D166" s="60"/>
      <c r="E166" s="14">
        <v>0.0</v>
      </c>
      <c r="F166" s="75"/>
      <c r="G166" s="60" t="s">
        <v>24</v>
      </c>
      <c r="H166" s="75"/>
      <c r="I166" s="14" t="s">
        <v>121</v>
      </c>
      <c r="J166" s="56"/>
      <c r="K166" s="4" t="str">
        <f t="shared" si="20"/>
        <v/>
      </c>
      <c r="L166" s="17" t="str">
        <f t="shared" si="21"/>
        <v/>
      </c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36"/>
      <c r="AE166" s="36"/>
      <c r="AF166" s="36"/>
      <c r="AG166" s="36"/>
      <c r="AH166" s="36"/>
      <c r="AI166" s="36"/>
      <c r="AJ166" s="36"/>
      <c r="AK166" s="36"/>
      <c r="AL166" s="36"/>
      <c r="AM166" s="56"/>
    </row>
    <row r="167" ht="15.75" customHeight="1">
      <c r="A167" s="24"/>
      <c r="B167" s="72"/>
      <c r="C167" s="60"/>
      <c r="D167" s="60"/>
      <c r="E167" s="14" t="s">
        <v>122</v>
      </c>
      <c r="F167" s="14"/>
      <c r="G167" s="60" t="s">
        <v>24</v>
      </c>
      <c r="H167" s="14"/>
      <c r="I167" s="14" t="s">
        <v>64</v>
      </c>
      <c r="J167" s="56"/>
      <c r="K167" s="4" t="str">
        <f t="shared" si="20"/>
        <v/>
      </c>
      <c r="L167" s="17" t="str">
        <f t="shared" si="21"/>
        <v/>
      </c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36"/>
      <c r="AE167" s="36"/>
      <c r="AF167" s="36"/>
      <c r="AG167" s="36"/>
      <c r="AH167" s="36"/>
      <c r="AI167" s="36"/>
      <c r="AJ167" s="36"/>
      <c r="AK167" s="36"/>
      <c r="AL167" s="36"/>
      <c r="AM167" s="56"/>
    </row>
    <row r="168" ht="15.75" customHeight="1">
      <c r="A168" s="24"/>
      <c r="B168" s="72"/>
      <c r="C168" s="60"/>
      <c r="D168" s="60"/>
      <c r="E168" s="14" t="s">
        <v>59</v>
      </c>
      <c r="F168" s="75"/>
      <c r="G168" s="60" t="s">
        <v>24</v>
      </c>
      <c r="H168" s="75"/>
      <c r="I168" s="14" t="s">
        <v>45</v>
      </c>
      <c r="J168" s="56"/>
      <c r="K168" s="4" t="str">
        <f t="shared" si="20"/>
        <v/>
      </c>
      <c r="L168" s="17" t="str">
        <f t="shared" si="21"/>
        <v/>
      </c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36"/>
      <c r="AE168" s="36"/>
      <c r="AF168" s="36"/>
      <c r="AG168" s="36"/>
      <c r="AH168" s="36"/>
      <c r="AI168" s="36"/>
      <c r="AJ168" s="36"/>
      <c r="AK168" s="36"/>
      <c r="AL168" s="36"/>
      <c r="AM168" s="56"/>
    </row>
    <row r="169" ht="15.75" customHeight="1">
      <c r="A169" s="24"/>
      <c r="B169" s="72"/>
      <c r="C169" s="60"/>
      <c r="D169" s="60"/>
      <c r="E169" s="14" t="s">
        <v>123</v>
      </c>
      <c r="F169" s="75"/>
      <c r="G169" s="60" t="s">
        <v>24</v>
      </c>
      <c r="H169" s="75"/>
      <c r="I169" s="14" t="s">
        <v>56</v>
      </c>
      <c r="J169" s="56"/>
      <c r="K169" s="4" t="str">
        <f t="shared" si="20"/>
        <v/>
      </c>
      <c r="L169" s="17" t="str">
        <f t="shared" si="21"/>
        <v/>
      </c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36"/>
      <c r="AE169" s="36"/>
      <c r="AF169" s="36"/>
      <c r="AG169" s="36"/>
      <c r="AH169" s="36"/>
      <c r="AI169" s="36"/>
      <c r="AJ169" s="36"/>
      <c r="AK169" s="36"/>
      <c r="AL169" s="36"/>
      <c r="AM169" s="56"/>
    </row>
    <row r="170" ht="15.75" customHeight="1">
      <c r="A170" s="28"/>
      <c r="B170" s="72"/>
      <c r="C170" s="60"/>
      <c r="D170" s="60"/>
      <c r="E170" s="14" t="s">
        <v>63</v>
      </c>
      <c r="F170" s="75"/>
      <c r="G170" s="60" t="s">
        <v>24</v>
      </c>
      <c r="H170" s="75"/>
      <c r="I170" s="14" t="s">
        <v>54</v>
      </c>
      <c r="J170" s="56"/>
      <c r="K170" s="4" t="str">
        <f t="shared" si="20"/>
        <v/>
      </c>
      <c r="L170" s="17" t="str">
        <f t="shared" si="21"/>
        <v/>
      </c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36"/>
      <c r="AE170" s="36"/>
      <c r="AF170" s="36"/>
      <c r="AG170" s="36"/>
      <c r="AH170" s="36"/>
      <c r="AI170" s="36"/>
      <c r="AJ170" s="36"/>
      <c r="AK170" s="36"/>
      <c r="AL170" s="36"/>
      <c r="AM170" s="56"/>
    </row>
    <row r="171" ht="15.75" customHeight="1">
      <c r="A171" s="83"/>
      <c r="B171" s="56"/>
      <c r="C171" s="56"/>
      <c r="D171" s="56"/>
      <c r="E171" s="36"/>
      <c r="F171" s="56"/>
      <c r="G171" s="56"/>
      <c r="H171" s="56"/>
      <c r="I171" s="3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36"/>
      <c r="AE171" s="36"/>
      <c r="AF171" s="36"/>
      <c r="AG171" s="36"/>
      <c r="AH171" s="36"/>
      <c r="AI171" s="36"/>
      <c r="AJ171" s="36"/>
      <c r="AK171" s="36"/>
      <c r="AL171" s="36"/>
      <c r="AM171" s="56"/>
    </row>
    <row r="172" ht="15.75" customHeight="1">
      <c r="A172" s="83"/>
      <c r="B172" s="56"/>
      <c r="C172" s="56"/>
      <c r="D172" s="56"/>
      <c r="E172" s="36"/>
      <c r="F172" s="56"/>
      <c r="G172" s="56"/>
      <c r="H172" s="56"/>
      <c r="I172" s="3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36"/>
      <c r="AE172" s="36"/>
      <c r="AF172" s="36"/>
      <c r="AG172" s="36"/>
      <c r="AH172" s="36"/>
      <c r="AI172" s="36"/>
      <c r="AJ172" s="36"/>
      <c r="AK172" s="36"/>
      <c r="AL172" s="36"/>
      <c r="AM172" s="56"/>
    </row>
    <row r="173" ht="15.75" customHeight="1">
      <c r="A173" s="83"/>
      <c r="B173" s="56"/>
      <c r="C173" s="56"/>
      <c r="D173" s="56"/>
      <c r="E173" s="36"/>
      <c r="F173" s="56"/>
      <c r="G173" s="56"/>
      <c r="H173" s="56"/>
      <c r="I173" s="3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36"/>
      <c r="AE173" s="36"/>
      <c r="AF173" s="36"/>
      <c r="AG173" s="36"/>
      <c r="AH173" s="36"/>
      <c r="AI173" s="36"/>
      <c r="AJ173" s="36"/>
      <c r="AK173" s="36"/>
      <c r="AL173" s="36"/>
      <c r="AM173" s="56"/>
    </row>
    <row r="174" ht="15.75" customHeight="1">
      <c r="A174" s="83"/>
      <c r="B174" s="56"/>
      <c r="C174" s="56"/>
      <c r="D174" s="56"/>
      <c r="E174" s="36"/>
      <c r="F174" s="56"/>
      <c r="G174" s="56"/>
      <c r="H174" s="56"/>
      <c r="I174" s="3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36"/>
      <c r="AE174" s="36"/>
      <c r="AF174" s="36"/>
      <c r="AG174" s="36"/>
      <c r="AH174" s="36"/>
      <c r="AI174" s="36"/>
      <c r="AJ174" s="36"/>
      <c r="AK174" s="36"/>
      <c r="AL174" s="36"/>
      <c r="AM174" s="56"/>
    </row>
    <row r="175" ht="15.75" customHeight="1">
      <c r="A175" s="51" t="s">
        <v>125</v>
      </c>
      <c r="H175" s="2"/>
      <c r="I175" s="3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36"/>
      <c r="AE175" s="36"/>
      <c r="AF175" s="36"/>
      <c r="AG175" s="36"/>
      <c r="AH175" s="36"/>
      <c r="AI175" s="36"/>
      <c r="AJ175" s="36"/>
      <c r="AK175" s="36"/>
      <c r="AL175" s="36"/>
      <c r="AM175" s="56"/>
    </row>
    <row r="176" ht="15.75" customHeight="1">
      <c r="A176" s="5" t="s">
        <v>1</v>
      </c>
      <c r="B176" s="5" t="s">
        <v>2</v>
      </c>
      <c r="C176" s="5" t="s">
        <v>3</v>
      </c>
      <c r="D176" s="5" t="s">
        <v>4</v>
      </c>
      <c r="E176" s="5" t="s">
        <v>5</v>
      </c>
      <c r="F176" s="6" t="s">
        <v>6</v>
      </c>
      <c r="G176" s="7"/>
      <c r="H176" s="8"/>
      <c r="I176" s="5" t="s">
        <v>7</v>
      </c>
      <c r="J176" s="9" t="s">
        <v>8</v>
      </c>
      <c r="K176" s="9" t="s">
        <v>9</v>
      </c>
      <c r="L176" s="9" t="s">
        <v>10</v>
      </c>
      <c r="M176" s="9"/>
      <c r="N176" s="9" t="s">
        <v>11</v>
      </c>
      <c r="O176" s="9" t="s">
        <v>12</v>
      </c>
      <c r="P176" s="9" t="s">
        <v>13</v>
      </c>
      <c r="Q176" s="9" t="s">
        <v>14</v>
      </c>
      <c r="R176" s="9" t="s">
        <v>15</v>
      </c>
      <c r="S176" s="9" t="s">
        <v>16</v>
      </c>
      <c r="T176" s="9" t="s">
        <v>89</v>
      </c>
      <c r="U176" s="9" t="s">
        <v>90</v>
      </c>
      <c r="V176" s="9" t="s">
        <v>91</v>
      </c>
      <c r="W176" s="56"/>
      <c r="X176" s="56"/>
      <c r="Y176" s="56"/>
      <c r="Z176" s="56"/>
      <c r="AA176" s="56"/>
      <c r="AB176" s="56"/>
      <c r="AC176" s="56"/>
      <c r="AD176" s="5" t="s">
        <v>11</v>
      </c>
      <c r="AE176" s="5" t="s">
        <v>12</v>
      </c>
      <c r="AF176" s="5" t="s">
        <v>13</v>
      </c>
      <c r="AG176" s="5" t="s">
        <v>14</v>
      </c>
      <c r="AH176" s="5" t="s">
        <v>15</v>
      </c>
      <c r="AI176" s="5" t="s">
        <v>16</v>
      </c>
      <c r="AJ176" s="5" t="s">
        <v>89</v>
      </c>
      <c r="AK176" s="5" t="s">
        <v>90</v>
      </c>
      <c r="AL176" s="5" t="s">
        <v>91</v>
      </c>
      <c r="AM176" s="56"/>
    </row>
    <row r="177" ht="15.75" customHeight="1">
      <c r="A177" s="84">
        <v>1.0</v>
      </c>
      <c r="B177" s="39"/>
      <c r="C177" s="12"/>
      <c r="D177" s="12"/>
      <c r="E177" s="40" t="s">
        <v>126</v>
      </c>
      <c r="F177" s="13"/>
      <c r="G177" s="16" t="s">
        <v>24</v>
      </c>
      <c r="H177" s="13"/>
      <c r="I177" s="40" t="s">
        <v>127</v>
      </c>
      <c r="J177" s="4"/>
      <c r="K177" s="4" t="str">
        <f t="shared" ref="K177:K179" si="29">IF(F177="","",IFS(F177&gt;H177,2,F177=H177,1,H177&gt;F177,0,F177="",0))</f>
        <v/>
      </c>
      <c r="L177" s="17" t="str">
        <f t="shared" ref="L177:L179" si="30">IF(H177="","",IFS(F177&lt;H177,2,F177=H177,1,H177&lt;F177,0))</f>
        <v/>
      </c>
      <c r="M177" s="4"/>
      <c r="N177" s="17">
        <v>1.0</v>
      </c>
      <c r="O177" s="70" t="s">
        <v>126</v>
      </c>
      <c r="P177" s="17">
        <f t="shared" ref="P177:P179" si="31">SUMIF(E$177:E$179,O177,K$177:K$179)+SUMIF(I$177:I$179,O177,L$177:L$179)</f>
        <v>0</v>
      </c>
      <c r="Q177" s="17">
        <f t="shared" ref="Q177:Q179" si="32">COUNTIFS(E$177:E$179,O177,K$177:K$179,2)+COUNTIFS(I$177:I$179,O177,L$177:L$179,2)</f>
        <v>0</v>
      </c>
      <c r="R177" s="19">
        <f t="shared" ref="R177:R179" si="33">COUNTIFS(E$177:E$179,O177,K$177:K$179,1)+COUNTIFS(I$177:I$179,O177,L$177:L$179,1)</f>
        <v>0</v>
      </c>
      <c r="S177" s="19">
        <f t="shared" ref="S177:S179" si="34">COUNTIFS(E$177:E$179,O177,K$177:K$179,0)+COUNTIFS(I$177:I$179,O177,L$177:L$179,0)</f>
        <v>0</v>
      </c>
      <c r="T177" s="17">
        <f t="shared" ref="T177:T179" si="35">SUMIF(E$177:E$179,O177,F$177:F$179)+SUMIF(I$177:I$179,O177,H$177:H$179)</f>
        <v>0</v>
      </c>
      <c r="U177" s="19">
        <f t="shared" ref="U177:U179" si="36">SUMIF(E$177:E$179,O177,H$177:H$179)+SUMIF(I$177:I$179,O177,F$177:F$179)</f>
        <v>0</v>
      </c>
      <c r="V177" s="17">
        <f t="shared" ref="V177:V179" si="37">T177-U177</f>
        <v>0</v>
      </c>
      <c r="W177" s="56"/>
      <c r="X177" s="56"/>
      <c r="Y177" s="56"/>
      <c r="Z177" s="56"/>
      <c r="AA177" s="56"/>
      <c r="AB177" s="56"/>
      <c r="AC177" s="56"/>
      <c r="AD177" s="85">
        <v>1.0</v>
      </c>
      <c r="AE177" s="63" t="str">
        <f t="array" ref="AE177:AM179">SORT(O177:X179,2,FALSE,9,FALSE,8,FALSE())</f>
        <v>9º Class. 1ª Div.</v>
      </c>
      <c r="AF177" s="22">
        <v>0.0</v>
      </c>
      <c r="AG177" s="22">
        <v>0.0</v>
      </c>
      <c r="AH177" s="23">
        <v>0.0</v>
      </c>
      <c r="AI177" s="23">
        <v>0.0</v>
      </c>
      <c r="AJ177" s="22">
        <v>0.0</v>
      </c>
      <c r="AK177" s="23">
        <v>0.0</v>
      </c>
      <c r="AL177" s="22">
        <v>0.0</v>
      </c>
      <c r="AM177" s="56"/>
    </row>
    <row r="178" ht="15.75" customHeight="1">
      <c r="A178" s="84">
        <v>2.0</v>
      </c>
      <c r="B178" s="39"/>
      <c r="C178" s="12"/>
      <c r="D178" s="12"/>
      <c r="E178" s="40" t="s">
        <v>127</v>
      </c>
      <c r="F178" s="13"/>
      <c r="G178" s="16" t="s">
        <v>24</v>
      </c>
      <c r="H178" s="13"/>
      <c r="I178" s="40" t="s">
        <v>128</v>
      </c>
      <c r="J178" s="4"/>
      <c r="K178" s="4" t="str">
        <f t="shared" si="29"/>
        <v/>
      </c>
      <c r="L178" s="17" t="str">
        <f t="shared" si="30"/>
        <v/>
      </c>
      <c r="M178" s="4"/>
      <c r="N178" s="17">
        <v>2.0</v>
      </c>
      <c r="O178" s="70" t="s">
        <v>127</v>
      </c>
      <c r="P178" s="17">
        <f t="shared" si="31"/>
        <v>0</v>
      </c>
      <c r="Q178" s="17">
        <f t="shared" si="32"/>
        <v>0</v>
      </c>
      <c r="R178" s="19">
        <f t="shared" si="33"/>
        <v>0</v>
      </c>
      <c r="S178" s="19">
        <f t="shared" si="34"/>
        <v>0</v>
      </c>
      <c r="T178" s="17">
        <f t="shared" si="35"/>
        <v>0</v>
      </c>
      <c r="U178" s="19">
        <f t="shared" si="36"/>
        <v>0</v>
      </c>
      <c r="V178" s="17">
        <f t="shared" si="37"/>
        <v>0</v>
      </c>
      <c r="W178" s="56"/>
      <c r="X178" s="56"/>
      <c r="Y178" s="56"/>
      <c r="Z178" s="56"/>
      <c r="AA178" s="56"/>
      <c r="AB178" s="56"/>
      <c r="AC178" s="56"/>
      <c r="AD178" s="85">
        <v>2.0</v>
      </c>
      <c r="AE178" s="63" t="s">
        <v>127</v>
      </c>
      <c r="AF178" s="22">
        <v>0.0</v>
      </c>
      <c r="AG178" s="22">
        <v>0.0</v>
      </c>
      <c r="AH178" s="23">
        <v>0.0</v>
      </c>
      <c r="AI178" s="23">
        <v>0.0</v>
      </c>
      <c r="AJ178" s="22">
        <v>0.0</v>
      </c>
      <c r="AK178" s="23">
        <v>0.0</v>
      </c>
      <c r="AL178" s="22">
        <v>0.0</v>
      </c>
      <c r="AM178" s="56"/>
    </row>
    <row r="179" ht="15.75" customHeight="1">
      <c r="A179" s="84">
        <v>3.0</v>
      </c>
      <c r="B179" s="39"/>
      <c r="C179" s="12"/>
      <c r="D179" s="12"/>
      <c r="E179" s="40" t="s">
        <v>128</v>
      </c>
      <c r="F179" s="13"/>
      <c r="G179" s="16" t="s">
        <v>24</v>
      </c>
      <c r="H179" s="13"/>
      <c r="I179" s="40" t="s">
        <v>126</v>
      </c>
      <c r="J179" s="4"/>
      <c r="K179" s="4" t="str">
        <f t="shared" si="29"/>
        <v/>
      </c>
      <c r="L179" s="17" t="str">
        <f t="shared" si="30"/>
        <v/>
      </c>
      <c r="M179" s="4"/>
      <c r="N179" s="17">
        <v>3.0</v>
      </c>
      <c r="O179" s="70" t="s">
        <v>128</v>
      </c>
      <c r="P179" s="17">
        <f t="shared" si="31"/>
        <v>0</v>
      </c>
      <c r="Q179" s="17">
        <f t="shared" si="32"/>
        <v>0</v>
      </c>
      <c r="R179" s="19">
        <f t="shared" si="33"/>
        <v>0</v>
      </c>
      <c r="S179" s="19">
        <f t="shared" si="34"/>
        <v>0</v>
      </c>
      <c r="T179" s="17">
        <f t="shared" si="35"/>
        <v>0</v>
      </c>
      <c r="U179" s="19">
        <f t="shared" si="36"/>
        <v>0</v>
      </c>
      <c r="V179" s="17">
        <f t="shared" si="37"/>
        <v>0</v>
      </c>
      <c r="W179" s="56"/>
      <c r="X179" s="56"/>
      <c r="Y179" s="56"/>
      <c r="Z179" s="56"/>
      <c r="AA179" s="56"/>
      <c r="AB179" s="56"/>
      <c r="AC179" s="56"/>
      <c r="AD179" s="21">
        <v>3.0</v>
      </c>
      <c r="AE179" s="63" t="s">
        <v>128</v>
      </c>
      <c r="AF179" s="22">
        <v>0.0</v>
      </c>
      <c r="AG179" s="22">
        <v>0.0</v>
      </c>
      <c r="AH179" s="23">
        <v>0.0</v>
      </c>
      <c r="AI179" s="23">
        <v>0.0</v>
      </c>
      <c r="AJ179" s="22">
        <v>0.0</v>
      </c>
      <c r="AK179" s="23">
        <v>0.0</v>
      </c>
      <c r="AL179" s="22">
        <v>0.0</v>
      </c>
      <c r="AM179" s="56"/>
    </row>
    <row r="180" ht="15.75" customHeight="1">
      <c r="A180" s="83"/>
      <c r="B180" s="56"/>
      <c r="C180" s="56"/>
      <c r="D180" s="56"/>
      <c r="E180" s="36"/>
      <c r="F180" s="56"/>
      <c r="G180" s="56"/>
      <c r="H180" s="56"/>
      <c r="I180" s="3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4"/>
      <c r="AG180" s="36"/>
      <c r="AI180" s="36"/>
      <c r="AJ180" s="36"/>
      <c r="AK180" s="36"/>
      <c r="AL180" s="36"/>
      <c r="AM180" s="56"/>
    </row>
    <row r="181" ht="15.75" customHeight="1">
      <c r="A181" s="83"/>
      <c r="B181" s="56"/>
      <c r="C181" s="56"/>
      <c r="D181" s="56"/>
      <c r="E181" s="36"/>
      <c r="F181" s="56"/>
      <c r="G181" s="56"/>
      <c r="H181" s="56"/>
      <c r="I181" s="3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I181" s="36"/>
      <c r="AJ181" s="36"/>
      <c r="AK181" s="36"/>
      <c r="AL181" s="36"/>
      <c r="AM181" s="56"/>
    </row>
    <row r="182" ht="15.75" customHeight="1">
      <c r="A182" s="83"/>
      <c r="B182" s="56"/>
      <c r="C182" s="56"/>
      <c r="D182" s="56"/>
      <c r="E182" s="36"/>
      <c r="F182" s="56"/>
      <c r="G182" s="56"/>
      <c r="H182" s="56"/>
      <c r="I182" s="3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I182" s="36"/>
      <c r="AJ182" s="36"/>
      <c r="AK182" s="36"/>
      <c r="AL182" s="36"/>
      <c r="AM182" s="56"/>
    </row>
    <row r="183" ht="15.75" customHeight="1">
      <c r="A183" s="83"/>
      <c r="B183" s="56"/>
      <c r="C183" s="56"/>
      <c r="D183" s="56"/>
      <c r="E183" s="36"/>
      <c r="F183" s="56"/>
      <c r="G183" s="56"/>
      <c r="H183" s="56"/>
      <c r="I183" s="3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I183" s="36"/>
      <c r="AJ183" s="36"/>
      <c r="AK183" s="36"/>
      <c r="AL183" s="36"/>
      <c r="AM183" s="56"/>
    </row>
    <row r="184" ht="15.75" customHeight="1">
      <c r="A184" s="51" t="s">
        <v>129</v>
      </c>
      <c r="H184" s="2"/>
      <c r="I184" s="3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I184" s="36"/>
      <c r="AJ184" s="36"/>
      <c r="AK184" s="36"/>
      <c r="AL184" s="36"/>
      <c r="AM184" s="56"/>
    </row>
    <row r="185" ht="15.75" customHeight="1">
      <c r="A185" s="5" t="s">
        <v>1</v>
      </c>
      <c r="B185" s="5" t="s">
        <v>2</v>
      </c>
      <c r="C185" s="5" t="s">
        <v>3</v>
      </c>
      <c r="D185" s="5" t="s">
        <v>4</v>
      </c>
      <c r="E185" s="5" t="s">
        <v>5</v>
      </c>
      <c r="F185" s="6" t="s">
        <v>6</v>
      </c>
      <c r="G185" s="7"/>
      <c r="H185" s="8"/>
      <c r="I185" s="5" t="s">
        <v>7</v>
      </c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I185" s="36"/>
      <c r="AJ185" s="36"/>
      <c r="AK185" s="36"/>
      <c r="AL185" s="36"/>
      <c r="AM185" s="56"/>
    </row>
    <row r="186" ht="15.75" customHeight="1">
      <c r="A186" s="52" t="s">
        <v>68</v>
      </c>
      <c r="B186" s="39"/>
      <c r="C186" s="12"/>
      <c r="D186" s="12"/>
      <c r="E186" s="40" t="s">
        <v>69</v>
      </c>
      <c r="F186" s="30"/>
      <c r="G186" s="16" t="s">
        <v>24</v>
      </c>
      <c r="H186" s="30"/>
      <c r="I186" s="40" t="s">
        <v>130</v>
      </c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I186" s="36"/>
      <c r="AJ186" s="36"/>
      <c r="AK186" s="36"/>
      <c r="AL186" s="36"/>
      <c r="AM186" s="56"/>
    </row>
    <row r="187" ht="15.75" customHeight="1">
      <c r="A187" s="24"/>
      <c r="B187" s="39"/>
      <c r="C187" s="12"/>
      <c r="D187" s="12"/>
      <c r="E187" s="40" t="s">
        <v>71</v>
      </c>
      <c r="F187" s="30"/>
      <c r="G187" s="16" t="s">
        <v>24</v>
      </c>
      <c r="H187" s="30"/>
      <c r="I187" s="40" t="s">
        <v>131</v>
      </c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I187" s="36"/>
      <c r="AJ187" s="36"/>
      <c r="AK187" s="36"/>
      <c r="AL187" s="36"/>
      <c r="AM187" s="56"/>
    </row>
    <row r="188" ht="15.75" customHeight="1">
      <c r="A188" s="24"/>
      <c r="B188" s="39"/>
      <c r="C188" s="12"/>
      <c r="D188" s="12"/>
      <c r="E188" s="40" t="s">
        <v>73</v>
      </c>
      <c r="F188" s="30"/>
      <c r="G188" s="16" t="s">
        <v>24</v>
      </c>
      <c r="H188" s="30"/>
      <c r="I188" s="40" t="s">
        <v>74</v>
      </c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36"/>
      <c r="AE188" s="36"/>
      <c r="AF188" s="36"/>
      <c r="AG188" s="36"/>
      <c r="AH188" s="36"/>
      <c r="AI188" s="36"/>
      <c r="AJ188" s="36"/>
      <c r="AK188" s="36"/>
      <c r="AL188" s="36"/>
      <c r="AM188" s="56"/>
    </row>
    <row r="189" ht="15.75" customHeight="1">
      <c r="A189" s="28"/>
      <c r="B189" s="39"/>
      <c r="C189" s="12"/>
      <c r="D189" s="12"/>
      <c r="E189" s="40" t="s">
        <v>75</v>
      </c>
      <c r="F189" s="30"/>
      <c r="G189" s="16" t="s">
        <v>24</v>
      </c>
      <c r="H189" s="30"/>
      <c r="I189" s="40" t="s">
        <v>76</v>
      </c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36"/>
      <c r="AE189" s="36"/>
      <c r="AF189" s="36"/>
      <c r="AG189" s="36"/>
      <c r="AH189" s="36"/>
      <c r="AI189" s="36"/>
      <c r="AJ189" s="36"/>
      <c r="AK189" s="36"/>
      <c r="AL189" s="36"/>
      <c r="AM189" s="56"/>
    </row>
    <row r="190" ht="15.75" customHeight="1">
      <c r="A190" s="53" t="s">
        <v>77</v>
      </c>
      <c r="B190" s="39"/>
      <c r="C190" s="12"/>
      <c r="D190" s="12"/>
      <c r="E190" s="40" t="s">
        <v>78</v>
      </c>
      <c r="F190" s="30"/>
      <c r="G190" s="16" t="s">
        <v>24</v>
      </c>
      <c r="H190" s="30"/>
      <c r="I190" s="40" t="s">
        <v>79</v>
      </c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36"/>
      <c r="AE190" s="36"/>
      <c r="AF190" s="36"/>
      <c r="AG190" s="36"/>
      <c r="AH190" s="36"/>
      <c r="AI190" s="36"/>
      <c r="AJ190" s="36"/>
      <c r="AK190" s="36"/>
      <c r="AL190" s="36"/>
      <c r="AM190" s="56"/>
    </row>
    <row r="191" ht="15.75" customHeight="1">
      <c r="A191" s="24"/>
      <c r="B191" s="49"/>
      <c r="C191" s="30"/>
      <c r="D191" s="12"/>
      <c r="E191" s="42" t="s">
        <v>80</v>
      </c>
      <c r="F191" s="13"/>
      <c r="G191" s="16" t="s">
        <v>24</v>
      </c>
      <c r="H191" s="13"/>
      <c r="I191" s="40" t="s">
        <v>81</v>
      </c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36"/>
      <c r="AE191" s="36"/>
      <c r="AF191" s="36"/>
      <c r="AG191" s="36"/>
      <c r="AH191" s="36"/>
      <c r="AI191" s="36"/>
      <c r="AJ191" s="36"/>
      <c r="AK191" s="36"/>
      <c r="AL191" s="36"/>
      <c r="AM191" s="56"/>
    </row>
    <row r="192" ht="15.75" customHeight="1">
      <c r="A192" s="54" t="s">
        <v>82</v>
      </c>
      <c r="B192" s="29"/>
      <c r="C192" s="30"/>
      <c r="D192" s="12"/>
      <c r="E192" s="40" t="s">
        <v>83</v>
      </c>
      <c r="F192" s="30"/>
      <c r="G192" s="16" t="s">
        <v>24</v>
      </c>
      <c r="H192" s="30"/>
      <c r="I192" s="43" t="s">
        <v>84</v>
      </c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36"/>
      <c r="AE192" s="36"/>
      <c r="AF192" s="36"/>
      <c r="AG192" s="36"/>
      <c r="AH192" s="36"/>
      <c r="AI192" s="36"/>
      <c r="AJ192" s="36"/>
      <c r="AK192" s="36"/>
      <c r="AL192" s="36"/>
      <c r="AM192" s="56"/>
    </row>
    <row r="193" ht="15.75" customHeight="1">
      <c r="A193" s="54" t="s">
        <v>85</v>
      </c>
      <c r="B193" s="29"/>
      <c r="C193" s="30"/>
      <c r="D193" s="12"/>
      <c r="E193" s="40" t="s">
        <v>86</v>
      </c>
      <c r="F193" s="30"/>
      <c r="G193" s="16" t="s">
        <v>24</v>
      </c>
      <c r="H193" s="30"/>
      <c r="I193" s="40" t="s">
        <v>87</v>
      </c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36"/>
      <c r="AE193" s="36"/>
      <c r="AF193" s="36"/>
      <c r="AG193" s="36"/>
      <c r="AH193" s="36"/>
      <c r="AI193" s="36"/>
      <c r="AJ193" s="36"/>
      <c r="AK193" s="36"/>
      <c r="AL193" s="36"/>
      <c r="AM193" s="56"/>
    </row>
    <row r="194" ht="15.75" customHeight="1">
      <c r="A194" s="83"/>
      <c r="B194" s="56"/>
      <c r="C194" s="56"/>
      <c r="D194" s="56"/>
      <c r="E194" s="36"/>
      <c r="F194" s="56"/>
      <c r="G194" s="56"/>
      <c r="H194" s="56"/>
      <c r="I194" s="3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36"/>
      <c r="AE194" s="36"/>
      <c r="AF194" s="36"/>
      <c r="AG194" s="36"/>
      <c r="AH194" s="36"/>
      <c r="AI194" s="36"/>
      <c r="AJ194" s="36"/>
      <c r="AK194" s="36"/>
      <c r="AL194" s="36"/>
      <c r="AM194" s="56"/>
    </row>
    <row r="195" ht="15.75" customHeight="1">
      <c r="A195" s="83"/>
      <c r="B195" s="56"/>
      <c r="C195" s="56"/>
      <c r="D195" s="56"/>
      <c r="E195" s="36"/>
      <c r="F195" s="56"/>
      <c r="G195" s="56"/>
      <c r="H195" s="56"/>
      <c r="I195" s="3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36"/>
      <c r="AE195" s="36"/>
      <c r="AF195" s="36"/>
      <c r="AG195" s="36"/>
      <c r="AH195" s="36"/>
      <c r="AI195" s="36"/>
      <c r="AJ195" s="36"/>
      <c r="AK195" s="36"/>
      <c r="AL195" s="36"/>
      <c r="AM195" s="56"/>
    </row>
    <row r="196" ht="15.75" customHeight="1">
      <c r="A196" s="83"/>
      <c r="B196" s="56"/>
      <c r="C196" s="56"/>
      <c r="D196" s="56"/>
      <c r="E196" s="36"/>
      <c r="F196" s="56"/>
      <c r="G196" s="56"/>
      <c r="H196" s="56"/>
      <c r="I196" s="3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36"/>
      <c r="AE196" s="36"/>
      <c r="AF196" s="36"/>
      <c r="AG196" s="36"/>
      <c r="AH196" s="36"/>
      <c r="AI196" s="36"/>
      <c r="AJ196" s="36"/>
      <c r="AK196" s="36"/>
      <c r="AL196" s="36"/>
      <c r="AM196" s="56"/>
    </row>
    <row r="197" ht="15.75" customHeight="1">
      <c r="A197" s="83"/>
      <c r="B197" s="56"/>
      <c r="C197" s="56"/>
      <c r="D197" s="56"/>
      <c r="E197" s="36"/>
      <c r="F197" s="56"/>
      <c r="G197" s="56"/>
      <c r="H197" s="56"/>
      <c r="I197" s="3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36"/>
      <c r="AE197" s="36"/>
      <c r="AF197" s="36"/>
      <c r="AG197" s="36"/>
      <c r="AH197" s="36"/>
      <c r="AI197" s="36"/>
      <c r="AJ197" s="36"/>
      <c r="AK197" s="36"/>
      <c r="AL197" s="36"/>
      <c r="AM197" s="56"/>
    </row>
    <row r="198" ht="15.75" customHeight="1">
      <c r="A198" s="83"/>
      <c r="B198" s="56"/>
      <c r="C198" s="56"/>
      <c r="D198" s="56"/>
      <c r="E198" s="36"/>
      <c r="F198" s="56"/>
      <c r="G198" s="56"/>
      <c r="H198" s="56"/>
      <c r="I198" s="3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36"/>
      <c r="AE198" s="36"/>
      <c r="AF198" s="36"/>
      <c r="AG198" s="36"/>
      <c r="AH198" s="36"/>
      <c r="AI198" s="36"/>
      <c r="AJ198" s="36"/>
      <c r="AK198" s="36"/>
      <c r="AL198" s="36"/>
      <c r="AM198" s="56"/>
    </row>
    <row r="199" ht="15.75" customHeight="1">
      <c r="A199" s="83"/>
      <c r="B199" s="56"/>
      <c r="C199" s="56"/>
      <c r="D199" s="56"/>
      <c r="E199" s="36"/>
      <c r="F199" s="56"/>
      <c r="G199" s="56"/>
      <c r="H199" s="56"/>
      <c r="I199" s="3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36"/>
      <c r="AE199" s="36"/>
      <c r="AF199" s="36"/>
      <c r="AG199" s="36"/>
      <c r="AH199" s="36"/>
      <c r="AI199" s="36"/>
      <c r="AJ199" s="36"/>
      <c r="AK199" s="36"/>
      <c r="AL199" s="36"/>
      <c r="AM199" s="56"/>
    </row>
    <row r="200" ht="15.75" customHeight="1">
      <c r="A200" s="83"/>
      <c r="B200" s="56"/>
      <c r="C200" s="56"/>
      <c r="D200" s="56"/>
      <c r="E200" s="36"/>
      <c r="F200" s="56"/>
      <c r="G200" s="56"/>
      <c r="H200" s="56"/>
      <c r="I200" s="3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36"/>
      <c r="AE200" s="36"/>
      <c r="AF200" s="36"/>
      <c r="AG200" s="36"/>
      <c r="AH200" s="36"/>
      <c r="AI200" s="36"/>
      <c r="AJ200" s="36"/>
      <c r="AK200" s="36"/>
      <c r="AL200" s="36"/>
      <c r="AM200" s="56"/>
    </row>
    <row r="201" ht="15.75" customHeight="1">
      <c r="A201" s="83"/>
      <c r="B201" s="56"/>
      <c r="C201" s="56"/>
      <c r="D201" s="56"/>
      <c r="E201" s="36"/>
      <c r="F201" s="56"/>
      <c r="G201" s="56"/>
      <c r="H201" s="56"/>
      <c r="I201" s="3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36"/>
      <c r="AE201" s="36"/>
      <c r="AF201" s="36"/>
      <c r="AG201" s="36"/>
      <c r="AH201" s="36"/>
      <c r="AI201" s="36"/>
      <c r="AJ201" s="36"/>
      <c r="AK201" s="36"/>
      <c r="AL201" s="36"/>
      <c r="AM201" s="56"/>
    </row>
    <row r="202" ht="15.75" customHeight="1">
      <c r="A202" s="83"/>
      <c r="B202" s="56"/>
      <c r="C202" s="56"/>
      <c r="D202" s="56"/>
      <c r="E202" s="36"/>
      <c r="F202" s="56"/>
      <c r="G202" s="56"/>
      <c r="H202" s="56"/>
      <c r="I202" s="3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36"/>
      <c r="AE202" s="36"/>
      <c r="AF202" s="36"/>
      <c r="AG202" s="36"/>
      <c r="AH202" s="36"/>
      <c r="AI202" s="36"/>
      <c r="AJ202" s="36"/>
      <c r="AK202" s="36"/>
      <c r="AL202" s="36"/>
      <c r="AM202" s="56"/>
    </row>
    <row r="203" ht="15.75" customHeight="1">
      <c r="A203" s="83"/>
      <c r="B203" s="56"/>
      <c r="C203" s="56"/>
      <c r="D203" s="56"/>
      <c r="E203" s="36"/>
      <c r="F203" s="56"/>
      <c r="G203" s="56"/>
      <c r="H203" s="56"/>
      <c r="I203" s="3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36"/>
      <c r="AE203" s="36"/>
      <c r="AF203" s="36"/>
      <c r="AG203" s="36"/>
      <c r="AH203" s="36"/>
      <c r="AI203" s="36"/>
      <c r="AJ203" s="36"/>
      <c r="AK203" s="36"/>
      <c r="AL203" s="36"/>
      <c r="AM203" s="56"/>
    </row>
    <row r="204" ht="15.75" customHeight="1">
      <c r="A204" s="83"/>
      <c r="B204" s="56"/>
      <c r="C204" s="56"/>
      <c r="D204" s="56"/>
      <c r="E204" s="36"/>
      <c r="F204" s="56"/>
      <c r="G204" s="56"/>
      <c r="H204" s="56"/>
      <c r="I204" s="3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36"/>
      <c r="AE204" s="36"/>
      <c r="AF204" s="36"/>
      <c r="AG204" s="36"/>
      <c r="AH204" s="36"/>
      <c r="AI204" s="36"/>
      <c r="AJ204" s="36"/>
      <c r="AK204" s="36"/>
      <c r="AL204" s="36"/>
      <c r="AM204" s="56"/>
    </row>
    <row r="205" ht="15.75" customHeight="1">
      <c r="A205" s="83"/>
      <c r="B205" s="56"/>
      <c r="C205" s="56"/>
      <c r="D205" s="56"/>
      <c r="E205" s="36"/>
      <c r="F205" s="56"/>
      <c r="G205" s="56"/>
      <c r="H205" s="56"/>
      <c r="I205" s="3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36"/>
      <c r="AE205" s="36"/>
      <c r="AF205" s="36"/>
      <c r="AG205" s="36"/>
      <c r="AH205" s="36"/>
      <c r="AI205" s="36"/>
      <c r="AJ205" s="36"/>
      <c r="AK205" s="36"/>
      <c r="AL205" s="36"/>
      <c r="AM205" s="56"/>
    </row>
    <row r="206" ht="15.75" customHeight="1">
      <c r="A206" s="83"/>
      <c r="B206" s="56"/>
      <c r="C206" s="56"/>
      <c r="D206" s="56"/>
      <c r="E206" s="36"/>
      <c r="F206" s="56"/>
      <c r="G206" s="56"/>
      <c r="H206" s="56"/>
      <c r="I206" s="3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36"/>
      <c r="AE206" s="36"/>
      <c r="AF206" s="36"/>
      <c r="AG206" s="36"/>
      <c r="AH206" s="36"/>
      <c r="AI206" s="36"/>
      <c r="AJ206" s="36"/>
      <c r="AK206" s="36"/>
      <c r="AL206" s="36"/>
      <c r="AM206" s="56"/>
    </row>
    <row r="207" ht="15.75" customHeight="1">
      <c r="A207" s="83"/>
      <c r="B207" s="56"/>
      <c r="C207" s="56"/>
      <c r="D207" s="56"/>
      <c r="E207" s="36"/>
      <c r="F207" s="56"/>
      <c r="G207" s="56"/>
      <c r="H207" s="56"/>
      <c r="I207" s="3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36"/>
      <c r="AE207" s="36"/>
      <c r="AF207" s="36"/>
      <c r="AG207" s="36"/>
      <c r="AH207" s="36"/>
      <c r="AI207" s="36"/>
      <c r="AJ207" s="36"/>
      <c r="AK207" s="36"/>
      <c r="AL207" s="36"/>
      <c r="AM207" s="56"/>
    </row>
    <row r="208" ht="15.75" customHeight="1">
      <c r="A208" s="83"/>
      <c r="B208" s="56"/>
      <c r="C208" s="56"/>
      <c r="D208" s="56"/>
      <c r="E208" s="36"/>
      <c r="F208" s="56"/>
      <c r="G208" s="56"/>
      <c r="H208" s="56"/>
      <c r="I208" s="3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36"/>
      <c r="AE208" s="36"/>
      <c r="AF208" s="36"/>
      <c r="AG208" s="36"/>
      <c r="AH208" s="36"/>
      <c r="AI208" s="36"/>
      <c r="AJ208" s="36"/>
      <c r="AK208" s="36"/>
      <c r="AL208" s="36"/>
      <c r="AM208" s="56"/>
    </row>
    <row r="209" ht="15.75" customHeight="1">
      <c r="A209" s="83"/>
      <c r="B209" s="56"/>
      <c r="C209" s="56"/>
      <c r="D209" s="56"/>
      <c r="E209" s="36"/>
      <c r="F209" s="56"/>
      <c r="G209" s="56"/>
      <c r="H209" s="56"/>
      <c r="I209" s="3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36"/>
      <c r="AE209" s="36"/>
      <c r="AF209" s="36"/>
      <c r="AG209" s="36"/>
      <c r="AH209" s="36"/>
      <c r="AI209" s="36"/>
      <c r="AJ209" s="36"/>
      <c r="AK209" s="36"/>
      <c r="AL209" s="36"/>
      <c r="AM209" s="56"/>
    </row>
    <row r="210" ht="15.75" customHeight="1">
      <c r="A210" s="83"/>
      <c r="B210" s="56"/>
      <c r="C210" s="56"/>
      <c r="D210" s="56"/>
      <c r="E210" s="36"/>
      <c r="F210" s="56"/>
      <c r="G210" s="56"/>
      <c r="H210" s="56"/>
      <c r="I210" s="3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36"/>
      <c r="AE210" s="36"/>
      <c r="AF210" s="36"/>
      <c r="AG210" s="36"/>
      <c r="AH210" s="36"/>
      <c r="AI210" s="36"/>
      <c r="AJ210" s="36"/>
      <c r="AK210" s="36"/>
      <c r="AL210" s="36"/>
      <c r="AM210" s="56"/>
    </row>
    <row r="211" ht="15.75" customHeight="1">
      <c r="A211" s="83"/>
      <c r="B211" s="56"/>
      <c r="C211" s="56"/>
      <c r="D211" s="56"/>
      <c r="E211" s="36"/>
      <c r="F211" s="56"/>
      <c r="G211" s="56"/>
      <c r="H211" s="56"/>
      <c r="I211" s="3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36"/>
      <c r="AE211" s="36"/>
      <c r="AF211" s="36"/>
      <c r="AG211" s="36"/>
      <c r="AH211" s="36"/>
      <c r="AI211" s="36"/>
      <c r="AJ211" s="36"/>
      <c r="AK211" s="36"/>
      <c r="AL211" s="36"/>
      <c r="AM211" s="56"/>
    </row>
    <row r="212" ht="15.75" customHeight="1">
      <c r="A212" s="83"/>
      <c r="B212" s="56"/>
      <c r="C212" s="56"/>
      <c r="D212" s="56"/>
      <c r="E212" s="36"/>
      <c r="F212" s="56"/>
      <c r="G212" s="56"/>
      <c r="H212" s="56"/>
      <c r="I212" s="3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36"/>
      <c r="AE212" s="36"/>
      <c r="AF212" s="36"/>
      <c r="AG212" s="36"/>
      <c r="AH212" s="36"/>
      <c r="AI212" s="36"/>
      <c r="AJ212" s="36"/>
      <c r="AK212" s="36"/>
      <c r="AL212" s="36"/>
      <c r="AM212" s="56"/>
    </row>
    <row r="213" ht="15.75" customHeight="1">
      <c r="A213" s="83"/>
      <c r="B213" s="56"/>
      <c r="C213" s="56"/>
      <c r="D213" s="56"/>
      <c r="E213" s="36"/>
      <c r="F213" s="56"/>
      <c r="G213" s="56"/>
      <c r="H213" s="56"/>
      <c r="I213" s="3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36"/>
      <c r="AE213" s="36"/>
      <c r="AF213" s="36"/>
      <c r="AG213" s="36"/>
      <c r="AH213" s="36"/>
      <c r="AI213" s="36"/>
      <c r="AJ213" s="36"/>
      <c r="AK213" s="36"/>
      <c r="AL213" s="36"/>
      <c r="AM213" s="56"/>
    </row>
    <row r="214" ht="15.75" customHeight="1">
      <c r="A214" s="83"/>
      <c r="B214" s="56"/>
      <c r="C214" s="56"/>
      <c r="D214" s="56"/>
      <c r="E214" s="36"/>
      <c r="F214" s="56"/>
      <c r="G214" s="56"/>
      <c r="H214" s="56"/>
      <c r="I214" s="3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36"/>
      <c r="AE214" s="36"/>
      <c r="AF214" s="36"/>
      <c r="AG214" s="36"/>
      <c r="AH214" s="36"/>
      <c r="AI214" s="36"/>
      <c r="AJ214" s="36"/>
      <c r="AK214" s="36"/>
      <c r="AL214" s="36"/>
      <c r="AM214" s="56"/>
    </row>
    <row r="215" ht="15.75" customHeight="1">
      <c r="A215" s="83"/>
      <c r="B215" s="56"/>
      <c r="C215" s="56"/>
      <c r="D215" s="56"/>
      <c r="E215" s="36"/>
      <c r="F215" s="56"/>
      <c r="G215" s="56"/>
      <c r="H215" s="56"/>
      <c r="I215" s="3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36"/>
      <c r="AE215" s="36"/>
      <c r="AF215" s="36"/>
      <c r="AG215" s="36"/>
      <c r="AH215" s="36"/>
      <c r="AI215" s="36"/>
      <c r="AJ215" s="36"/>
      <c r="AK215" s="36"/>
      <c r="AL215" s="36"/>
      <c r="AM215" s="56"/>
    </row>
    <row r="216" ht="15.75" customHeight="1">
      <c r="A216" s="83"/>
      <c r="B216" s="56"/>
      <c r="C216" s="56"/>
      <c r="D216" s="56"/>
      <c r="E216" s="36"/>
      <c r="F216" s="56"/>
      <c r="G216" s="56"/>
      <c r="H216" s="56"/>
      <c r="I216" s="3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36"/>
      <c r="AE216" s="36"/>
      <c r="AF216" s="36"/>
      <c r="AG216" s="36"/>
      <c r="AH216" s="36"/>
      <c r="AI216" s="36"/>
      <c r="AJ216" s="36"/>
      <c r="AK216" s="36"/>
      <c r="AL216" s="36"/>
      <c r="AM216" s="56"/>
    </row>
    <row r="217" ht="15.75" customHeight="1">
      <c r="A217" s="83"/>
      <c r="B217" s="56"/>
      <c r="C217" s="56"/>
      <c r="D217" s="56"/>
      <c r="E217" s="36"/>
      <c r="F217" s="56"/>
      <c r="G217" s="56"/>
      <c r="H217" s="56"/>
      <c r="I217" s="3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36"/>
      <c r="AE217" s="36"/>
      <c r="AF217" s="36"/>
      <c r="AG217" s="36"/>
      <c r="AH217" s="36"/>
      <c r="AI217" s="36"/>
      <c r="AJ217" s="36"/>
      <c r="AK217" s="36"/>
      <c r="AL217" s="36"/>
      <c r="AM217" s="56"/>
    </row>
    <row r="218" ht="15.75" customHeight="1">
      <c r="A218" s="83"/>
      <c r="B218" s="56"/>
      <c r="C218" s="56"/>
      <c r="D218" s="56"/>
      <c r="E218" s="36"/>
      <c r="F218" s="56"/>
      <c r="G218" s="56"/>
      <c r="H218" s="56"/>
      <c r="I218" s="3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36"/>
      <c r="AE218" s="36"/>
      <c r="AF218" s="36"/>
      <c r="AG218" s="36"/>
      <c r="AH218" s="36"/>
      <c r="AI218" s="36"/>
      <c r="AJ218" s="36"/>
      <c r="AK218" s="36"/>
      <c r="AL218" s="36"/>
      <c r="AM218" s="56"/>
    </row>
    <row r="219" ht="15.75" customHeight="1">
      <c r="A219" s="83"/>
      <c r="B219" s="56"/>
      <c r="C219" s="56"/>
      <c r="D219" s="56"/>
      <c r="E219" s="36"/>
      <c r="F219" s="56"/>
      <c r="G219" s="56"/>
      <c r="H219" s="56"/>
      <c r="I219" s="3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36"/>
      <c r="AE219" s="36"/>
      <c r="AF219" s="36"/>
      <c r="AG219" s="36"/>
      <c r="AH219" s="36"/>
      <c r="AI219" s="36"/>
      <c r="AJ219" s="36"/>
      <c r="AK219" s="36"/>
      <c r="AL219" s="36"/>
      <c r="AM219" s="56"/>
    </row>
    <row r="220" ht="15.75" customHeight="1">
      <c r="A220" s="83"/>
      <c r="B220" s="56"/>
      <c r="C220" s="56"/>
      <c r="D220" s="56"/>
      <c r="E220" s="36"/>
      <c r="F220" s="56"/>
      <c r="G220" s="56"/>
      <c r="H220" s="56"/>
      <c r="I220" s="3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36"/>
      <c r="AE220" s="36"/>
      <c r="AF220" s="36"/>
      <c r="AG220" s="36"/>
      <c r="AH220" s="36"/>
      <c r="AI220" s="36"/>
      <c r="AJ220" s="36"/>
      <c r="AK220" s="36"/>
      <c r="AL220" s="36"/>
      <c r="AM220" s="56"/>
    </row>
    <row r="221" ht="15.75" customHeight="1">
      <c r="A221" s="83"/>
      <c r="B221" s="56"/>
      <c r="C221" s="56"/>
      <c r="D221" s="56"/>
      <c r="E221" s="36"/>
      <c r="F221" s="56"/>
      <c r="G221" s="56"/>
      <c r="H221" s="56"/>
      <c r="I221" s="3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36"/>
      <c r="AE221" s="36"/>
      <c r="AF221" s="36"/>
      <c r="AG221" s="36"/>
      <c r="AH221" s="36"/>
      <c r="AI221" s="36"/>
      <c r="AJ221" s="36"/>
      <c r="AK221" s="36"/>
      <c r="AL221" s="36"/>
      <c r="AM221" s="56"/>
    </row>
    <row r="222" ht="15.75" customHeight="1">
      <c r="A222" s="83"/>
      <c r="B222" s="56"/>
      <c r="C222" s="56"/>
      <c r="D222" s="56"/>
      <c r="E222" s="36"/>
      <c r="F222" s="56"/>
      <c r="G222" s="56"/>
      <c r="H222" s="56"/>
      <c r="I222" s="3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36"/>
      <c r="AE222" s="36"/>
      <c r="AF222" s="36"/>
      <c r="AG222" s="36"/>
      <c r="AH222" s="36"/>
      <c r="AI222" s="36"/>
      <c r="AJ222" s="36"/>
      <c r="AK222" s="36"/>
      <c r="AL222" s="36"/>
      <c r="AM222" s="56"/>
    </row>
    <row r="223" ht="15.75" customHeight="1">
      <c r="A223" s="83"/>
      <c r="B223" s="56"/>
      <c r="C223" s="56"/>
      <c r="D223" s="56"/>
      <c r="E223" s="36"/>
      <c r="F223" s="56"/>
      <c r="G223" s="56"/>
      <c r="H223" s="56"/>
      <c r="I223" s="3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36"/>
      <c r="AE223" s="36"/>
      <c r="AF223" s="36"/>
      <c r="AG223" s="36"/>
      <c r="AH223" s="36"/>
      <c r="AI223" s="36"/>
      <c r="AJ223" s="36"/>
      <c r="AK223" s="36"/>
      <c r="AL223" s="36"/>
      <c r="AM223" s="56"/>
    </row>
    <row r="224" ht="15.75" customHeight="1">
      <c r="A224" s="83"/>
      <c r="B224" s="56"/>
      <c r="C224" s="56"/>
      <c r="D224" s="56"/>
      <c r="E224" s="36"/>
      <c r="F224" s="56"/>
      <c r="G224" s="56"/>
      <c r="H224" s="56"/>
      <c r="I224" s="3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36"/>
      <c r="AE224" s="36"/>
      <c r="AF224" s="36"/>
      <c r="AG224" s="36"/>
      <c r="AH224" s="36"/>
      <c r="AI224" s="36"/>
      <c r="AJ224" s="36"/>
      <c r="AK224" s="36"/>
      <c r="AL224" s="36"/>
      <c r="AM224" s="56"/>
    </row>
    <row r="225" ht="15.75" customHeight="1">
      <c r="A225" s="83"/>
      <c r="B225" s="56"/>
      <c r="C225" s="56"/>
      <c r="D225" s="56"/>
      <c r="E225" s="36"/>
      <c r="F225" s="56"/>
      <c r="G225" s="56"/>
      <c r="H225" s="56"/>
      <c r="I225" s="3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36"/>
      <c r="AE225" s="36"/>
      <c r="AF225" s="36"/>
      <c r="AG225" s="36"/>
      <c r="AH225" s="36"/>
      <c r="AI225" s="36"/>
      <c r="AJ225" s="36"/>
      <c r="AK225" s="36"/>
      <c r="AL225" s="36"/>
      <c r="AM225" s="56"/>
    </row>
    <row r="226" ht="15.75" customHeight="1">
      <c r="A226" s="83"/>
      <c r="B226" s="56"/>
      <c r="C226" s="56"/>
      <c r="D226" s="56"/>
      <c r="E226" s="36"/>
      <c r="F226" s="56"/>
      <c r="G226" s="56"/>
      <c r="H226" s="56"/>
      <c r="I226" s="3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36"/>
      <c r="AE226" s="36"/>
      <c r="AF226" s="36"/>
      <c r="AG226" s="36"/>
      <c r="AH226" s="36"/>
      <c r="AI226" s="36"/>
      <c r="AJ226" s="36"/>
      <c r="AK226" s="36"/>
      <c r="AL226" s="36"/>
      <c r="AM226" s="56"/>
    </row>
    <row r="227" ht="15.75" customHeight="1">
      <c r="A227" s="83"/>
      <c r="B227" s="56"/>
      <c r="C227" s="56"/>
      <c r="D227" s="56"/>
      <c r="E227" s="36"/>
      <c r="F227" s="56"/>
      <c r="G227" s="56"/>
      <c r="H227" s="56"/>
      <c r="I227" s="3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36"/>
      <c r="AE227" s="36"/>
      <c r="AF227" s="36"/>
      <c r="AG227" s="36"/>
      <c r="AH227" s="36"/>
      <c r="AI227" s="36"/>
      <c r="AJ227" s="36"/>
      <c r="AK227" s="36"/>
      <c r="AL227" s="36"/>
      <c r="AM227" s="56"/>
    </row>
    <row r="228" ht="15.75" customHeight="1">
      <c r="A228" s="83"/>
      <c r="B228" s="56"/>
      <c r="C228" s="56"/>
      <c r="D228" s="56"/>
      <c r="E228" s="36"/>
      <c r="F228" s="56"/>
      <c r="G228" s="56"/>
      <c r="H228" s="56"/>
      <c r="I228" s="3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36"/>
      <c r="AE228" s="36"/>
      <c r="AF228" s="36"/>
      <c r="AG228" s="36"/>
      <c r="AH228" s="36"/>
      <c r="AI228" s="36"/>
      <c r="AJ228" s="36"/>
      <c r="AK228" s="36"/>
      <c r="AL228" s="36"/>
      <c r="AM228" s="56"/>
    </row>
    <row r="229" ht="15.75" customHeight="1">
      <c r="A229" s="83"/>
      <c r="B229" s="56"/>
      <c r="C229" s="56"/>
      <c r="D229" s="56"/>
      <c r="E229" s="36"/>
      <c r="F229" s="56"/>
      <c r="G229" s="56"/>
      <c r="H229" s="56"/>
      <c r="I229" s="3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36"/>
      <c r="AE229" s="36"/>
      <c r="AF229" s="36"/>
      <c r="AG229" s="36"/>
      <c r="AH229" s="36"/>
      <c r="AI229" s="36"/>
      <c r="AJ229" s="36"/>
      <c r="AK229" s="36"/>
      <c r="AL229" s="36"/>
      <c r="AM229" s="56"/>
    </row>
    <row r="230" ht="15.75" customHeight="1">
      <c r="A230" s="83"/>
      <c r="B230" s="56"/>
      <c r="C230" s="56"/>
      <c r="D230" s="56"/>
      <c r="E230" s="36"/>
      <c r="F230" s="56"/>
      <c r="G230" s="56"/>
      <c r="H230" s="56"/>
      <c r="I230" s="3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36"/>
      <c r="AE230" s="36"/>
      <c r="AF230" s="36"/>
      <c r="AG230" s="36"/>
      <c r="AH230" s="36"/>
      <c r="AI230" s="36"/>
      <c r="AJ230" s="36"/>
      <c r="AK230" s="36"/>
      <c r="AL230" s="36"/>
      <c r="AM230" s="56"/>
    </row>
    <row r="231" ht="15.75" customHeight="1">
      <c r="A231" s="83"/>
      <c r="B231" s="56"/>
      <c r="C231" s="56"/>
      <c r="D231" s="56"/>
      <c r="E231" s="36"/>
      <c r="F231" s="56"/>
      <c r="G231" s="56"/>
      <c r="H231" s="56"/>
      <c r="I231" s="3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36"/>
      <c r="AE231" s="36"/>
      <c r="AF231" s="36"/>
      <c r="AG231" s="36"/>
      <c r="AH231" s="36"/>
      <c r="AI231" s="36"/>
      <c r="AJ231" s="36"/>
      <c r="AK231" s="36"/>
      <c r="AL231" s="36"/>
      <c r="AM231" s="56"/>
    </row>
    <row r="232" ht="15.75" customHeight="1">
      <c r="A232" s="83"/>
      <c r="B232" s="56"/>
      <c r="C232" s="56"/>
      <c r="D232" s="56"/>
      <c r="E232" s="36"/>
      <c r="F232" s="56"/>
      <c r="G232" s="56"/>
      <c r="H232" s="56"/>
      <c r="I232" s="3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36"/>
      <c r="AE232" s="36"/>
      <c r="AF232" s="36"/>
      <c r="AG232" s="36"/>
      <c r="AH232" s="36"/>
      <c r="AI232" s="36"/>
      <c r="AJ232" s="36"/>
      <c r="AK232" s="36"/>
      <c r="AL232" s="36"/>
      <c r="AM232" s="56"/>
    </row>
    <row r="233" ht="15.75" customHeight="1">
      <c r="A233" s="83"/>
      <c r="B233" s="56"/>
      <c r="C233" s="56"/>
      <c r="D233" s="56"/>
      <c r="E233" s="36"/>
      <c r="F233" s="56"/>
      <c r="G233" s="56"/>
      <c r="H233" s="56"/>
      <c r="I233" s="3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36"/>
      <c r="AE233" s="36"/>
      <c r="AF233" s="36"/>
      <c r="AG233" s="36"/>
      <c r="AH233" s="36"/>
      <c r="AI233" s="36"/>
      <c r="AJ233" s="36"/>
      <c r="AK233" s="36"/>
      <c r="AL233" s="36"/>
      <c r="AM233" s="56"/>
    </row>
    <row r="234" ht="15.75" customHeight="1">
      <c r="A234" s="83"/>
      <c r="B234" s="56"/>
      <c r="C234" s="56"/>
      <c r="D234" s="56"/>
      <c r="E234" s="36"/>
      <c r="F234" s="56"/>
      <c r="G234" s="56"/>
      <c r="H234" s="56"/>
      <c r="I234" s="3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36"/>
      <c r="AE234" s="36"/>
      <c r="AF234" s="36"/>
      <c r="AG234" s="36"/>
      <c r="AH234" s="36"/>
      <c r="AI234" s="36"/>
      <c r="AJ234" s="36"/>
      <c r="AK234" s="36"/>
      <c r="AL234" s="36"/>
      <c r="AM234" s="56"/>
    </row>
    <row r="235" ht="15.75" customHeight="1">
      <c r="A235" s="83"/>
      <c r="B235" s="56"/>
      <c r="C235" s="56"/>
      <c r="D235" s="56"/>
      <c r="E235" s="36"/>
      <c r="F235" s="56"/>
      <c r="G235" s="56"/>
      <c r="H235" s="56"/>
      <c r="I235" s="3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36"/>
      <c r="AE235" s="36"/>
      <c r="AF235" s="36"/>
      <c r="AG235" s="36"/>
      <c r="AH235" s="36"/>
      <c r="AI235" s="36"/>
      <c r="AJ235" s="36"/>
      <c r="AK235" s="36"/>
      <c r="AL235" s="36"/>
      <c r="AM235" s="56"/>
    </row>
    <row r="236" ht="15.75" customHeight="1">
      <c r="A236" s="83"/>
      <c r="B236" s="56"/>
      <c r="C236" s="56"/>
      <c r="D236" s="56"/>
      <c r="E236" s="36"/>
      <c r="F236" s="56"/>
      <c r="G236" s="56"/>
      <c r="H236" s="56"/>
      <c r="I236" s="3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36"/>
      <c r="AE236" s="36"/>
      <c r="AF236" s="36"/>
      <c r="AG236" s="36"/>
      <c r="AH236" s="36"/>
      <c r="AI236" s="36"/>
      <c r="AJ236" s="36"/>
      <c r="AK236" s="36"/>
      <c r="AL236" s="36"/>
      <c r="AM236" s="56"/>
    </row>
    <row r="237" ht="15.75" customHeight="1">
      <c r="A237" s="83"/>
      <c r="B237" s="56"/>
      <c r="C237" s="56"/>
      <c r="D237" s="56"/>
      <c r="E237" s="36"/>
      <c r="F237" s="56"/>
      <c r="G237" s="56"/>
      <c r="H237" s="56"/>
      <c r="I237" s="3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36"/>
      <c r="AE237" s="36"/>
      <c r="AF237" s="36"/>
      <c r="AG237" s="36"/>
      <c r="AH237" s="36"/>
      <c r="AI237" s="36"/>
      <c r="AJ237" s="36"/>
      <c r="AK237" s="36"/>
      <c r="AL237" s="36"/>
      <c r="AM237" s="56"/>
    </row>
    <row r="238" ht="15.75" customHeight="1">
      <c r="A238" s="83"/>
      <c r="B238" s="56"/>
      <c r="C238" s="56"/>
      <c r="D238" s="56"/>
      <c r="E238" s="36"/>
      <c r="F238" s="56"/>
      <c r="G238" s="56"/>
      <c r="H238" s="56"/>
      <c r="I238" s="3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36"/>
      <c r="AE238" s="36"/>
      <c r="AF238" s="36"/>
      <c r="AG238" s="36"/>
      <c r="AH238" s="36"/>
      <c r="AI238" s="36"/>
      <c r="AJ238" s="36"/>
      <c r="AK238" s="36"/>
      <c r="AL238" s="36"/>
      <c r="AM238" s="56"/>
    </row>
    <row r="239" ht="15.75" customHeight="1">
      <c r="A239" s="83"/>
      <c r="B239" s="56"/>
      <c r="C239" s="56"/>
      <c r="D239" s="56"/>
      <c r="E239" s="36"/>
      <c r="F239" s="56"/>
      <c r="G239" s="56"/>
      <c r="H239" s="56"/>
      <c r="I239" s="3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36"/>
      <c r="AE239" s="36"/>
      <c r="AF239" s="36"/>
      <c r="AG239" s="36"/>
      <c r="AH239" s="36"/>
      <c r="AI239" s="36"/>
      <c r="AJ239" s="36"/>
      <c r="AK239" s="36"/>
      <c r="AL239" s="36"/>
      <c r="AM239" s="56"/>
    </row>
    <row r="240" ht="15.75" customHeight="1">
      <c r="A240" s="83"/>
      <c r="B240" s="56"/>
      <c r="C240" s="56"/>
      <c r="D240" s="56"/>
      <c r="E240" s="36"/>
      <c r="F240" s="56"/>
      <c r="G240" s="56"/>
      <c r="H240" s="56"/>
      <c r="I240" s="3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36"/>
      <c r="AE240" s="36"/>
      <c r="AF240" s="36"/>
      <c r="AG240" s="36"/>
      <c r="AH240" s="36"/>
      <c r="AI240" s="36"/>
      <c r="AJ240" s="36"/>
      <c r="AK240" s="36"/>
      <c r="AL240" s="36"/>
      <c r="AM240" s="56"/>
    </row>
    <row r="241" ht="15.75" customHeight="1">
      <c r="A241" s="83"/>
      <c r="B241" s="56"/>
      <c r="C241" s="56"/>
      <c r="D241" s="56"/>
      <c r="E241" s="36"/>
      <c r="F241" s="56"/>
      <c r="G241" s="56"/>
      <c r="H241" s="56"/>
      <c r="I241" s="3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36"/>
      <c r="AE241" s="36"/>
      <c r="AF241" s="36"/>
      <c r="AG241" s="36"/>
      <c r="AH241" s="36"/>
      <c r="AI241" s="36"/>
      <c r="AJ241" s="36"/>
      <c r="AK241" s="36"/>
      <c r="AL241" s="36"/>
      <c r="AM241" s="56"/>
    </row>
    <row r="242" ht="15.75" customHeight="1">
      <c r="A242" s="83"/>
      <c r="B242" s="56"/>
      <c r="C242" s="56"/>
      <c r="D242" s="56"/>
      <c r="E242" s="36"/>
      <c r="F242" s="56"/>
      <c r="G242" s="56"/>
      <c r="H242" s="56"/>
      <c r="I242" s="3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36"/>
      <c r="AE242" s="36"/>
      <c r="AF242" s="36"/>
      <c r="AG242" s="36"/>
      <c r="AH242" s="36"/>
      <c r="AI242" s="36"/>
      <c r="AJ242" s="36"/>
      <c r="AK242" s="36"/>
      <c r="AL242" s="36"/>
      <c r="AM242" s="56"/>
    </row>
    <row r="243" ht="15.75" customHeight="1">
      <c r="A243" s="83"/>
      <c r="B243" s="56"/>
      <c r="C243" s="56"/>
      <c r="D243" s="56"/>
      <c r="E243" s="36"/>
      <c r="F243" s="56"/>
      <c r="G243" s="56"/>
      <c r="H243" s="56"/>
      <c r="I243" s="3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36"/>
      <c r="AE243" s="36"/>
      <c r="AF243" s="36"/>
      <c r="AG243" s="36"/>
      <c r="AH243" s="36"/>
      <c r="AI243" s="36"/>
      <c r="AJ243" s="36"/>
      <c r="AK243" s="36"/>
      <c r="AL243" s="36"/>
      <c r="AM243" s="56"/>
    </row>
    <row r="244" ht="15.75" customHeight="1">
      <c r="A244" s="83"/>
      <c r="B244" s="56"/>
      <c r="C244" s="56"/>
      <c r="D244" s="56"/>
      <c r="E244" s="36"/>
      <c r="F244" s="56"/>
      <c r="G244" s="56"/>
      <c r="H244" s="56"/>
      <c r="I244" s="3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36"/>
      <c r="AE244" s="36"/>
      <c r="AF244" s="36"/>
      <c r="AG244" s="36"/>
      <c r="AH244" s="36"/>
      <c r="AI244" s="36"/>
      <c r="AJ244" s="36"/>
      <c r="AK244" s="36"/>
      <c r="AL244" s="36"/>
      <c r="AM244" s="56"/>
    </row>
    <row r="245" ht="15.75" customHeight="1">
      <c r="A245" s="83"/>
      <c r="B245" s="56"/>
      <c r="C245" s="56"/>
      <c r="D245" s="56"/>
      <c r="E245" s="36"/>
      <c r="F245" s="56"/>
      <c r="G245" s="56"/>
      <c r="H245" s="56"/>
      <c r="I245" s="3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36"/>
      <c r="AE245" s="36"/>
      <c r="AF245" s="36"/>
      <c r="AG245" s="36"/>
      <c r="AH245" s="36"/>
      <c r="AI245" s="36"/>
      <c r="AJ245" s="36"/>
      <c r="AK245" s="36"/>
      <c r="AL245" s="36"/>
      <c r="AM245" s="56"/>
    </row>
    <row r="246" ht="15.75" customHeight="1">
      <c r="A246" s="83"/>
      <c r="B246" s="56"/>
      <c r="C246" s="56"/>
      <c r="D246" s="56"/>
      <c r="E246" s="36"/>
      <c r="F246" s="56"/>
      <c r="G246" s="56"/>
      <c r="H246" s="56"/>
      <c r="I246" s="3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36"/>
      <c r="AE246" s="36"/>
      <c r="AF246" s="36"/>
      <c r="AG246" s="36"/>
      <c r="AH246" s="36"/>
      <c r="AI246" s="36"/>
      <c r="AJ246" s="36"/>
      <c r="AK246" s="36"/>
      <c r="AL246" s="36"/>
      <c r="AM246" s="56"/>
    </row>
    <row r="247" ht="15.75" customHeight="1">
      <c r="A247" s="83"/>
      <c r="B247" s="56"/>
      <c r="C247" s="56"/>
      <c r="D247" s="56"/>
      <c r="E247" s="36"/>
      <c r="F247" s="56"/>
      <c r="G247" s="56"/>
      <c r="H247" s="56"/>
      <c r="I247" s="3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36"/>
      <c r="AE247" s="36"/>
      <c r="AF247" s="36"/>
      <c r="AG247" s="36"/>
      <c r="AH247" s="36"/>
      <c r="AI247" s="36"/>
      <c r="AJ247" s="36"/>
      <c r="AK247" s="36"/>
      <c r="AL247" s="36"/>
      <c r="AM247" s="56"/>
    </row>
    <row r="248" ht="15.75" customHeight="1">
      <c r="A248" s="83"/>
      <c r="B248" s="56"/>
      <c r="C248" s="56"/>
      <c r="D248" s="56"/>
      <c r="E248" s="36"/>
      <c r="F248" s="56"/>
      <c r="G248" s="56"/>
      <c r="H248" s="56"/>
      <c r="I248" s="3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36"/>
      <c r="AE248" s="36"/>
      <c r="AF248" s="36"/>
      <c r="AG248" s="36"/>
      <c r="AH248" s="36"/>
      <c r="AI248" s="36"/>
      <c r="AJ248" s="36"/>
      <c r="AK248" s="36"/>
      <c r="AL248" s="36"/>
      <c r="AM248" s="56"/>
    </row>
    <row r="249" ht="15.75" customHeight="1">
      <c r="A249" s="83"/>
      <c r="B249" s="56"/>
      <c r="C249" s="56"/>
      <c r="D249" s="56"/>
      <c r="E249" s="36"/>
      <c r="F249" s="56"/>
      <c r="G249" s="56"/>
      <c r="H249" s="56"/>
      <c r="I249" s="3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36"/>
      <c r="AE249" s="36"/>
      <c r="AF249" s="36"/>
      <c r="AG249" s="36"/>
      <c r="AH249" s="36"/>
      <c r="AI249" s="36"/>
      <c r="AJ249" s="36"/>
      <c r="AK249" s="36"/>
      <c r="AL249" s="36"/>
      <c r="AM249" s="56"/>
    </row>
    <row r="250" ht="15.75" customHeight="1">
      <c r="A250" s="83"/>
      <c r="B250" s="56"/>
      <c r="C250" s="56"/>
      <c r="D250" s="56"/>
      <c r="E250" s="36"/>
      <c r="F250" s="56"/>
      <c r="G250" s="56"/>
      <c r="H250" s="56"/>
      <c r="I250" s="3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36"/>
      <c r="AE250" s="36"/>
      <c r="AF250" s="36"/>
      <c r="AG250" s="36"/>
      <c r="AH250" s="36"/>
      <c r="AI250" s="36"/>
      <c r="AJ250" s="36"/>
      <c r="AK250" s="36"/>
      <c r="AL250" s="36"/>
      <c r="AM250" s="56"/>
    </row>
    <row r="251" ht="15.75" customHeight="1">
      <c r="A251" s="83"/>
      <c r="B251" s="56"/>
      <c r="C251" s="56"/>
      <c r="D251" s="56"/>
      <c r="E251" s="36"/>
      <c r="F251" s="56"/>
      <c r="G251" s="56"/>
      <c r="H251" s="56"/>
      <c r="I251" s="3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36"/>
      <c r="AE251" s="36"/>
      <c r="AF251" s="36"/>
      <c r="AG251" s="36"/>
      <c r="AH251" s="36"/>
      <c r="AI251" s="36"/>
      <c r="AJ251" s="36"/>
      <c r="AK251" s="36"/>
      <c r="AL251" s="36"/>
      <c r="AM251" s="56"/>
    </row>
    <row r="252" ht="15.75" customHeight="1">
      <c r="A252" s="83"/>
      <c r="B252" s="56"/>
      <c r="C252" s="56"/>
      <c r="D252" s="56"/>
      <c r="E252" s="36"/>
      <c r="F252" s="56"/>
      <c r="G252" s="56"/>
      <c r="H252" s="56"/>
      <c r="I252" s="3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36"/>
      <c r="AE252" s="36"/>
      <c r="AF252" s="36"/>
      <c r="AG252" s="36"/>
      <c r="AH252" s="36"/>
      <c r="AI252" s="36"/>
      <c r="AJ252" s="36"/>
      <c r="AK252" s="36"/>
      <c r="AL252" s="36"/>
      <c r="AM252" s="56"/>
    </row>
    <row r="253" ht="15.75" customHeight="1">
      <c r="A253" s="83"/>
      <c r="B253" s="56"/>
      <c r="C253" s="56"/>
      <c r="D253" s="56"/>
      <c r="E253" s="36"/>
      <c r="F253" s="56"/>
      <c r="G253" s="56"/>
      <c r="H253" s="56"/>
      <c r="I253" s="3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36"/>
      <c r="AE253" s="36"/>
      <c r="AF253" s="36"/>
      <c r="AG253" s="36"/>
      <c r="AH253" s="36"/>
      <c r="AI253" s="36"/>
      <c r="AJ253" s="36"/>
      <c r="AK253" s="36"/>
      <c r="AL253" s="36"/>
      <c r="AM253" s="56"/>
    </row>
    <row r="254" ht="15.75" customHeight="1">
      <c r="A254" s="83"/>
      <c r="B254" s="56"/>
      <c r="C254" s="56"/>
      <c r="D254" s="56"/>
      <c r="E254" s="36"/>
      <c r="F254" s="56"/>
      <c r="G254" s="56"/>
      <c r="H254" s="56"/>
      <c r="I254" s="3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36"/>
      <c r="AE254" s="36"/>
      <c r="AF254" s="36"/>
      <c r="AG254" s="36"/>
      <c r="AH254" s="36"/>
      <c r="AI254" s="36"/>
      <c r="AJ254" s="36"/>
      <c r="AK254" s="36"/>
      <c r="AL254" s="36"/>
      <c r="AM254" s="56"/>
    </row>
    <row r="255" ht="15.75" customHeight="1">
      <c r="A255" s="83"/>
      <c r="B255" s="56"/>
      <c r="C255" s="56"/>
      <c r="D255" s="56"/>
      <c r="E255" s="36"/>
      <c r="F255" s="56"/>
      <c r="G255" s="56"/>
      <c r="H255" s="56"/>
      <c r="I255" s="3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36"/>
      <c r="AE255" s="36"/>
      <c r="AF255" s="36"/>
      <c r="AG255" s="36"/>
      <c r="AH255" s="36"/>
      <c r="AI255" s="36"/>
      <c r="AJ255" s="36"/>
      <c r="AK255" s="36"/>
      <c r="AL255" s="36"/>
      <c r="AM255" s="56"/>
    </row>
    <row r="256" ht="15.75" customHeight="1">
      <c r="A256" s="83"/>
      <c r="B256" s="56"/>
      <c r="C256" s="56"/>
      <c r="D256" s="56"/>
      <c r="E256" s="36"/>
      <c r="F256" s="56"/>
      <c r="G256" s="56"/>
      <c r="H256" s="56"/>
      <c r="I256" s="3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36"/>
      <c r="AE256" s="36"/>
      <c r="AF256" s="36"/>
      <c r="AG256" s="36"/>
      <c r="AH256" s="36"/>
      <c r="AI256" s="36"/>
      <c r="AJ256" s="36"/>
      <c r="AK256" s="36"/>
      <c r="AL256" s="36"/>
      <c r="AM256" s="56"/>
    </row>
    <row r="257" ht="15.75" customHeight="1">
      <c r="A257" s="83"/>
      <c r="B257" s="56"/>
      <c r="C257" s="56"/>
      <c r="D257" s="56"/>
      <c r="E257" s="36"/>
      <c r="F257" s="56"/>
      <c r="G257" s="56"/>
      <c r="H257" s="56"/>
      <c r="I257" s="3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36"/>
      <c r="AE257" s="36"/>
      <c r="AF257" s="36"/>
      <c r="AG257" s="36"/>
      <c r="AH257" s="36"/>
      <c r="AI257" s="36"/>
      <c r="AJ257" s="36"/>
      <c r="AK257" s="36"/>
      <c r="AL257" s="36"/>
      <c r="AM257" s="56"/>
    </row>
    <row r="258" ht="15.75" customHeight="1">
      <c r="A258" s="83"/>
      <c r="B258" s="56"/>
      <c r="C258" s="56"/>
      <c r="D258" s="56"/>
      <c r="E258" s="36"/>
      <c r="F258" s="56"/>
      <c r="G258" s="56"/>
      <c r="H258" s="56"/>
      <c r="I258" s="3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36"/>
      <c r="AE258" s="36"/>
      <c r="AF258" s="36"/>
      <c r="AG258" s="36"/>
      <c r="AH258" s="36"/>
      <c r="AI258" s="36"/>
      <c r="AJ258" s="36"/>
      <c r="AK258" s="36"/>
      <c r="AL258" s="36"/>
      <c r="AM258" s="56"/>
    </row>
    <row r="259" ht="15.75" customHeight="1">
      <c r="A259" s="83"/>
      <c r="B259" s="56"/>
      <c r="C259" s="56"/>
      <c r="D259" s="56"/>
      <c r="E259" s="36"/>
      <c r="F259" s="56"/>
      <c r="G259" s="56"/>
      <c r="H259" s="56"/>
      <c r="I259" s="3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36"/>
      <c r="AE259" s="36"/>
      <c r="AF259" s="36"/>
      <c r="AG259" s="36"/>
      <c r="AH259" s="36"/>
      <c r="AI259" s="36"/>
      <c r="AJ259" s="36"/>
      <c r="AK259" s="36"/>
      <c r="AL259" s="36"/>
      <c r="AM259" s="56"/>
    </row>
    <row r="260" ht="15.75" customHeight="1">
      <c r="A260" s="83"/>
      <c r="B260" s="56"/>
      <c r="C260" s="56"/>
      <c r="D260" s="56"/>
      <c r="E260" s="36"/>
      <c r="F260" s="56"/>
      <c r="G260" s="56"/>
      <c r="H260" s="56"/>
      <c r="I260" s="3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36"/>
      <c r="AE260" s="36"/>
      <c r="AF260" s="36"/>
      <c r="AG260" s="36"/>
      <c r="AH260" s="36"/>
      <c r="AI260" s="36"/>
      <c r="AJ260" s="36"/>
      <c r="AK260" s="36"/>
      <c r="AL260" s="36"/>
      <c r="AM260" s="56"/>
    </row>
    <row r="261" ht="15.75" customHeight="1">
      <c r="A261" s="83"/>
      <c r="B261" s="56"/>
      <c r="C261" s="56"/>
      <c r="D261" s="56"/>
      <c r="E261" s="36"/>
      <c r="F261" s="56"/>
      <c r="G261" s="56"/>
      <c r="H261" s="56"/>
      <c r="I261" s="3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36"/>
      <c r="AE261" s="36"/>
      <c r="AF261" s="36"/>
      <c r="AG261" s="36"/>
      <c r="AH261" s="36"/>
      <c r="AI261" s="36"/>
      <c r="AJ261" s="36"/>
      <c r="AK261" s="36"/>
      <c r="AL261" s="36"/>
      <c r="AM261" s="56"/>
    </row>
    <row r="262" ht="15.75" customHeight="1">
      <c r="A262" s="83"/>
      <c r="B262" s="56"/>
      <c r="C262" s="56"/>
      <c r="D262" s="56"/>
      <c r="E262" s="36"/>
      <c r="F262" s="56"/>
      <c r="G262" s="56"/>
      <c r="H262" s="56"/>
      <c r="I262" s="3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36"/>
      <c r="AE262" s="36"/>
      <c r="AF262" s="36"/>
      <c r="AG262" s="36"/>
      <c r="AH262" s="36"/>
      <c r="AI262" s="36"/>
      <c r="AJ262" s="36"/>
      <c r="AK262" s="36"/>
      <c r="AL262" s="36"/>
      <c r="AM262" s="56"/>
    </row>
    <row r="263" ht="15.75" customHeight="1">
      <c r="A263" s="83"/>
      <c r="B263" s="56"/>
      <c r="C263" s="56"/>
      <c r="D263" s="56"/>
      <c r="E263" s="36"/>
      <c r="F263" s="56"/>
      <c r="G263" s="56"/>
      <c r="H263" s="56"/>
      <c r="I263" s="3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36"/>
      <c r="AE263" s="36"/>
      <c r="AF263" s="36"/>
      <c r="AG263" s="36"/>
      <c r="AH263" s="36"/>
      <c r="AI263" s="36"/>
      <c r="AJ263" s="36"/>
      <c r="AK263" s="36"/>
      <c r="AL263" s="36"/>
      <c r="AM263" s="56"/>
    </row>
    <row r="264" ht="15.75" customHeight="1">
      <c r="A264" s="83"/>
      <c r="B264" s="56"/>
      <c r="C264" s="56"/>
      <c r="D264" s="56"/>
      <c r="E264" s="36"/>
      <c r="F264" s="56"/>
      <c r="G264" s="56"/>
      <c r="H264" s="56"/>
      <c r="I264" s="3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36"/>
      <c r="AE264" s="36"/>
      <c r="AF264" s="36"/>
      <c r="AG264" s="36"/>
      <c r="AH264" s="36"/>
      <c r="AI264" s="36"/>
      <c r="AJ264" s="36"/>
      <c r="AK264" s="36"/>
      <c r="AL264" s="36"/>
      <c r="AM264" s="56"/>
    </row>
    <row r="265" ht="15.75" customHeight="1">
      <c r="A265" s="83"/>
      <c r="B265" s="56"/>
      <c r="C265" s="56"/>
      <c r="D265" s="56"/>
      <c r="E265" s="36"/>
      <c r="F265" s="56"/>
      <c r="G265" s="56"/>
      <c r="H265" s="56"/>
      <c r="I265" s="3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36"/>
      <c r="AE265" s="36"/>
      <c r="AF265" s="36"/>
      <c r="AG265" s="36"/>
      <c r="AH265" s="36"/>
      <c r="AI265" s="36"/>
      <c r="AJ265" s="36"/>
      <c r="AK265" s="36"/>
      <c r="AL265" s="36"/>
      <c r="AM265" s="56"/>
    </row>
    <row r="266" ht="15.75" customHeight="1">
      <c r="A266" s="83"/>
      <c r="B266" s="56"/>
      <c r="C266" s="56"/>
      <c r="D266" s="56"/>
      <c r="E266" s="36"/>
      <c r="F266" s="56"/>
      <c r="G266" s="56"/>
      <c r="H266" s="56"/>
      <c r="I266" s="3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36"/>
      <c r="AE266" s="36"/>
      <c r="AF266" s="36"/>
      <c r="AG266" s="36"/>
      <c r="AH266" s="36"/>
      <c r="AI266" s="36"/>
      <c r="AJ266" s="36"/>
      <c r="AK266" s="36"/>
      <c r="AL266" s="36"/>
      <c r="AM266" s="56"/>
    </row>
    <row r="267" ht="15.75" customHeight="1">
      <c r="A267" s="83"/>
      <c r="B267" s="56"/>
      <c r="C267" s="56"/>
      <c r="D267" s="56"/>
      <c r="E267" s="36"/>
      <c r="F267" s="56"/>
      <c r="G267" s="56"/>
      <c r="H267" s="56"/>
      <c r="I267" s="3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36"/>
      <c r="AE267" s="36"/>
      <c r="AF267" s="36"/>
      <c r="AG267" s="36"/>
      <c r="AH267" s="36"/>
      <c r="AI267" s="36"/>
      <c r="AJ267" s="36"/>
      <c r="AK267" s="36"/>
      <c r="AL267" s="36"/>
      <c r="AM267" s="56"/>
    </row>
    <row r="268" ht="15.75" customHeight="1">
      <c r="A268" s="83"/>
      <c r="B268" s="56"/>
      <c r="C268" s="56"/>
      <c r="D268" s="56"/>
      <c r="E268" s="36"/>
      <c r="F268" s="56"/>
      <c r="G268" s="56"/>
      <c r="H268" s="56"/>
      <c r="I268" s="3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36"/>
      <c r="AE268" s="36"/>
      <c r="AF268" s="36"/>
      <c r="AG268" s="36"/>
      <c r="AH268" s="36"/>
      <c r="AI268" s="36"/>
      <c r="AJ268" s="36"/>
      <c r="AK268" s="36"/>
      <c r="AL268" s="36"/>
      <c r="AM268" s="56"/>
    </row>
    <row r="269" ht="15.75" customHeight="1">
      <c r="A269" s="83"/>
      <c r="B269" s="56"/>
      <c r="C269" s="56"/>
      <c r="D269" s="56"/>
      <c r="E269" s="36"/>
      <c r="F269" s="56"/>
      <c r="G269" s="56"/>
      <c r="H269" s="56"/>
      <c r="I269" s="3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36"/>
      <c r="AE269" s="36"/>
      <c r="AF269" s="36"/>
      <c r="AG269" s="36"/>
      <c r="AH269" s="36"/>
      <c r="AI269" s="36"/>
      <c r="AJ269" s="36"/>
      <c r="AK269" s="36"/>
      <c r="AL269" s="36"/>
      <c r="AM269" s="56"/>
    </row>
    <row r="270" ht="15.75" customHeight="1">
      <c r="A270" s="83"/>
      <c r="B270" s="56"/>
      <c r="C270" s="56"/>
      <c r="D270" s="56"/>
      <c r="E270" s="36"/>
      <c r="F270" s="56"/>
      <c r="G270" s="56"/>
      <c r="H270" s="56"/>
      <c r="I270" s="3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36"/>
      <c r="AE270" s="36"/>
      <c r="AF270" s="36"/>
      <c r="AG270" s="36"/>
      <c r="AH270" s="36"/>
      <c r="AI270" s="36"/>
      <c r="AJ270" s="36"/>
      <c r="AK270" s="36"/>
      <c r="AL270" s="36"/>
      <c r="AM270" s="56"/>
    </row>
    <row r="271" ht="15.75" customHeight="1">
      <c r="A271" s="83"/>
      <c r="B271" s="56"/>
      <c r="C271" s="56"/>
      <c r="D271" s="56"/>
      <c r="E271" s="36"/>
      <c r="F271" s="56"/>
      <c r="G271" s="56"/>
      <c r="H271" s="56"/>
      <c r="I271" s="3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36"/>
      <c r="AE271" s="36"/>
      <c r="AF271" s="36"/>
      <c r="AG271" s="36"/>
      <c r="AH271" s="36"/>
      <c r="AI271" s="36"/>
      <c r="AJ271" s="36"/>
      <c r="AK271" s="36"/>
      <c r="AL271" s="36"/>
      <c r="AM271" s="56"/>
    </row>
    <row r="272" ht="15.75" customHeight="1">
      <c r="A272" s="83"/>
      <c r="B272" s="56"/>
      <c r="C272" s="56"/>
      <c r="D272" s="56"/>
      <c r="E272" s="36"/>
      <c r="F272" s="56"/>
      <c r="G272" s="56"/>
      <c r="H272" s="56"/>
      <c r="I272" s="3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36"/>
      <c r="AE272" s="36"/>
      <c r="AF272" s="36"/>
      <c r="AG272" s="36"/>
      <c r="AH272" s="36"/>
      <c r="AI272" s="36"/>
      <c r="AJ272" s="36"/>
      <c r="AK272" s="36"/>
      <c r="AL272" s="36"/>
      <c r="AM272" s="56"/>
    </row>
    <row r="273" ht="15.75" customHeight="1">
      <c r="A273" s="83"/>
      <c r="B273" s="56"/>
      <c r="C273" s="56"/>
      <c r="D273" s="56"/>
      <c r="E273" s="36"/>
      <c r="F273" s="56"/>
      <c r="G273" s="56"/>
      <c r="H273" s="56"/>
      <c r="I273" s="3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36"/>
      <c r="AE273" s="36"/>
      <c r="AF273" s="36"/>
      <c r="AG273" s="36"/>
      <c r="AH273" s="36"/>
      <c r="AI273" s="36"/>
      <c r="AJ273" s="36"/>
      <c r="AK273" s="36"/>
      <c r="AL273" s="36"/>
      <c r="AM273" s="56"/>
    </row>
    <row r="274" ht="15.75" customHeight="1">
      <c r="A274" s="83"/>
      <c r="B274" s="56"/>
      <c r="C274" s="56"/>
      <c r="D274" s="56"/>
      <c r="E274" s="36"/>
      <c r="F274" s="56"/>
      <c r="G274" s="56"/>
      <c r="H274" s="56"/>
      <c r="I274" s="3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36"/>
      <c r="AE274" s="36"/>
      <c r="AF274" s="36"/>
      <c r="AG274" s="36"/>
      <c r="AH274" s="36"/>
      <c r="AI274" s="36"/>
      <c r="AJ274" s="36"/>
      <c r="AK274" s="36"/>
      <c r="AL274" s="36"/>
      <c r="AM274" s="56"/>
    </row>
    <row r="275" ht="15.75" customHeight="1">
      <c r="A275" s="83"/>
      <c r="B275" s="56"/>
      <c r="C275" s="56"/>
      <c r="D275" s="56"/>
      <c r="E275" s="36"/>
      <c r="F275" s="56"/>
      <c r="G275" s="56"/>
      <c r="H275" s="56"/>
      <c r="I275" s="3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36"/>
      <c r="AE275" s="36"/>
      <c r="AF275" s="36"/>
      <c r="AG275" s="36"/>
      <c r="AH275" s="36"/>
      <c r="AI275" s="36"/>
      <c r="AJ275" s="36"/>
      <c r="AK275" s="36"/>
      <c r="AL275" s="36"/>
      <c r="AM275" s="56"/>
    </row>
    <row r="276" ht="15.75" customHeight="1">
      <c r="A276" s="83"/>
      <c r="B276" s="56"/>
      <c r="C276" s="56"/>
      <c r="D276" s="56"/>
      <c r="E276" s="36"/>
      <c r="F276" s="56"/>
      <c r="G276" s="56"/>
      <c r="H276" s="56"/>
      <c r="I276" s="3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36"/>
      <c r="AE276" s="36"/>
      <c r="AF276" s="36"/>
      <c r="AG276" s="36"/>
      <c r="AH276" s="36"/>
      <c r="AI276" s="36"/>
      <c r="AJ276" s="36"/>
      <c r="AK276" s="36"/>
      <c r="AL276" s="36"/>
      <c r="AM276" s="56"/>
    </row>
    <row r="277" ht="15.75" customHeight="1">
      <c r="A277" s="83"/>
      <c r="B277" s="56"/>
      <c r="C277" s="56"/>
      <c r="D277" s="56"/>
      <c r="E277" s="36"/>
      <c r="F277" s="56"/>
      <c r="G277" s="56"/>
      <c r="H277" s="56"/>
      <c r="I277" s="3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36"/>
      <c r="AE277" s="36"/>
      <c r="AF277" s="36"/>
      <c r="AG277" s="36"/>
      <c r="AH277" s="36"/>
      <c r="AI277" s="36"/>
      <c r="AJ277" s="36"/>
      <c r="AK277" s="36"/>
      <c r="AL277" s="36"/>
      <c r="AM277" s="56"/>
    </row>
    <row r="278" ht="15.75" customHeight="1">
      <c r="A278" s="83"/>
      <c r="B278" s="56"/>
      <c r="C278" s="56"/>
      <c r="D278" s="56"/>
      <c r="E278" s="36"/>
      <c r="F278" s="56"/>
      <c r="G278" s="56"/>
      <c r="H278" s="56"/>
      <c r="I278" s="3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36"/>
      <c r="AE278" s="36"/>
      <c r="AF278" s="36"/>
      <c r="AG278" s="36"/>
      <c r="AH278" s="36"/>
      <c r="AI278" s="36"/>
      <c r="AJ278" s="36"/>
      <c r="AK278" s="36"/>
      <c r="AL278" s="36"/>
      <c r="AM278" s="56"/>
    </row>
    <row r="279" ht="15.75" customHeight="1">
      <c r="A279" s="83"/>
      <c r="B279" s="56"/>
      <c r="C279" s="56"/>
      <c r="D279" s="56"/>
      <c r="E279" s="36"/>
      <c r="F279" s="56"/>
      <c r="G279" s="56"/>
      <c r="H279" s="56"/>
      <c r="I279" s="3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36"/>
      <c r="AE279" s="36"/>
      <c r="AF279" s="36"/>
      <c r="AG279" s="36"/>
      <c r="AH279" s="36"/>
      <c r="AI279" s="36"/>
      <c r="AJ279" s="36"/>
      <c r="AK279" s="36"/>
      <c r="AL279" s="36"/>
      <c r="AM279" s="56"/>
    </row>
    <row r="280" ht="15.75" customHeight="1">
      <c r="A280" s="83"/>
      <c r="B280" s="56"/>
      <c r="C280" s="56"/>
      <c r="D280" s="56"/>
      <c r="E280" s="36"/>
      <c r="F280" s="56"/>
      <c r="G280" s="56"/>
      <c r="H280" s="56"/>
      <c r="I280" s="3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36"/>
      <c r="AE280" s="36"/>
      <c r="AF280" s="36"/>
      <c r="AG280" s="36"/>
      <c r="AH280" s="36"/>
      <c r="AI280" s="36"/>
      <c r="AJ280" s="36"/>
      <c r="AK280" s="36"/>
      <c r="AL280" s="36"/>
      <c r="AM280" s="56"/>
    </row>
    <row r="281" ht="15.75" customHeight="1">
      <c r="A281" s="83"/>
      <c r="B281" s="56"/>
      <c r="C281" s="56"/>
      <c r="D281" s="56"/>
      <c r="E281" s="36"/>
      <c r="F281" s="56"/>
      <c r="G281" s="56"/>
      <c r="H281" s="56"/>
      <c r="I281" s="3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36"/>
      <c r="AE281" s="36"/>
      <c r="AF281" s="36"/>
      <c r="AG281" s="36"/>
      <c r="AH281" s="36"/>
      <c r="AI281" s="36"/>
      <c r="AJ281" s="36"/>
      <c r="AK281" s="36"/>
      <c r="AL281" s="36"/>
      <c r="AM281" s="56"/>
    </row>
    <row r="282" ht="15.75" customHeight="1">
      <c r="A282" s="83"/>
      <c r="B282" s="56"/>
      <c r="C282" s="56"/>
      <c r="D282" s="56"/>
      <c r="E282" s="36"/>
      <c r="F282" s="56"/>
      <c r="G282" s="56"/>
      <c r="H282" s="56"/>
      <c r="I282" s="3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36"/>
      <c r="AE282" s="36"/>
      <c r="AF282" s="36"/>
      <c r="AG282" s="36"/>
      <c r="AH282" s="36"/>
      <c r="AI282" s="36"/>
      <c r="AJ282" s="36"/>
      <c r="AK282" s="36"/>
      <c r="AL282" s="36"/>
      <c r="AM282" s="56"/>
    </row>
    <row r="283" ht="15.75" customHeight="1">
      <c r="A283" s="83"/>
      <c r="B283" s="56"/>
      <c r="C283" s="56"/>
      <c r="D283" s="56"/>
      <c r="E283" s="36"/>
      <c r="F283" s="56"/>
      <c r="G283" s="56"/>
      <c r="H283" s="56"/>
      <c r="I283" s="3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36"/>
      <c r="AE283" s="36"/>
      <c r="AF283" s="36"/>
      <c r="AG283" s="36"/>
      <c r="AH283" s="36"/>
      <c r="AI283" s="36"/>
      <c r="AJ283" s="36"/>
      <c r="AK283" s="36"/>
      <c r="AL283" s="36"/>
      <c r="AM283" s="56"/>
    </row>
    <row r="284" ht="15.75" customHeight="1">
      <c r="A284" s="83"/>
      <c r="B284" s="56"/>
      <c r="C284" s="56"/>
      <c r="D284" s="56"/>
      <c r="E284" s="36"/>
      <c r="F284" s="56"/>
      <c r="G284" s="56"/>
      <c r="H284" s="56"/>
      <c r="I284" s="3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36"/>
      <c r="AE284" s="36"/>
      <c r="AF284" s="36"/>
      <c r="AG284" s="36"/>
      <c r="AH284" s="36"/>
      <c r="AI284" s="36"/>
      <c r="AJ284" s="36"/>
      <c r="AK284" s="36"/>
      <c r="AL284" s="36"/>
      <c r="AM284" s="56"/>
    </row>
    <row r="285" ht="15.75" customHeight="1">
      <c r="A285" s="83"/>
      <c r="B285" s="56"/>
      <c r="C285" s="56"/>
      <c r="D285" s="56"/>
      <c r="E285" s="36"/>
      <c r="F285" s="56"/>
      <c r="G285" s="56"/>
      <c r="H285" s="56"/>
      <c r="I285" s="3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36"/>
      <c r="AE285" s="36"/>
      <c r="AF285" s="36"/>
      <c r="AG285" s="36"/>
      <c r="AH285" s="36"/>
      <c r="AI285" s="36"/>
      <c r="AJ285" s="36"/>
      <c r="AK285" s="36"/>
      <c r="AL285" s="36"/>
      <c r="AM285" s="56"/>
    </row>
    <row r="286" ht="15.75" customHeight="1">
      <c r="A286" s="83"/>
      <c r="B286" s="56"/>
      <c r="C286" s="56"/>
      <c r="D286" s="56"/>
      <c r="E286" s="36"/>
      <c r="F286" s="56"/>
      <c r="G286" s="56"/>
      <c r="H286" s="56"/>
      <c r="I286" s="3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36"/>
      <c r="AE286" s="36"/>
      <c r="AF286" s="36"/>
      <c r="AG286" s="36"/>
      <c r="AH286" s="36"/>
      <c r="AI286" s="36"/>
      <c r="AJ286" s="36"/>
      <c r="AK286" s="36"/>
      <c r="AL286" s="36"/>
      <c r="AM286" s="56"/>
    </row>
    <row r="287" ht="15.75" customHeight="1">
      <c r="A287" s="83"/>
      <c r="B287" s="56"/>
      <c r="C287" s="56"/>
      <c r="D287" s="56"/>
      <c r="E287" s="36"/>
      <c r="F287" s="56"/>
      <c r="G287" s="56"/>
      <c r="H287" s="56"/>
      <c r="I287" s="3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36"/>
      <c r="AE287" s="36"/>
      <c r="AF287" s="36"/>
      <c r="AG287" s="36"/>
      <c r="AH287" s="36"/>
      <c r="AI287" s="36"/>
      <c r="AJ287" s="36"/>
      <c r="AK287" s="36"/>
      <c r="AL287" s="36"/>
      <c r="AM287" s="56"/>
    </row>
    <row r="288" ht="15.75" customHeight="1">
      <c r="A288" s="83"/>
      <c r="B288" s="56"/>
      <c r="C288" s="56"/>
      <c r="D288" s="56"/>
      <c r="E288" s="36"/>
      <c r="F288" s="56"/>
      <c r="G288" s="56"/>
      <c r="H288" s="56"/>
      <c r="I288" s="3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36"/>
      <c r="AE288" s="36"/>
      <c r="AF288" s="36"/>
      <c r="AG288" s="36"/>
      <c r="AH288" s="36"/>
      <c r="AI288" s="36"/>
      <c r="AJ288" s="36"/>
      <c r="AK288" s="36"/>
      <c r="AL288" s="36"/>
      <c r="AM288" s="56"/>
    </row>
    <row r="289" ht="15.75" customHeight="1">
      <c r="A289" s="83"/>
      <c r="B289" s="56"/>
      <c r="C289" s="56"/>
      <c r="D289" s="56"/>
      <c r="E289" s="36"/>
      <c r="F289" s="56"/>
      <c r="G289" s="56"/>
      <c r="H289" s="56"/>
      <c r="I289" s="3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36"/>
      <c r="AE289" s="36"/>
      <c r="AF289" s="36"/>
      <c r="AG289" s="36"/>
      <c r="AH289" s="36"/>
      <c r="AI289" s="36"/>
      <c r="AJ289" s="36"/>
      <c r="AK289" s="36"/>
      <c r="AL289" s="36"/>
      <c r="AM289" s="56"/>
    </row>
    <row r="290" ht="15.75" customHeight="1">
      <c r="A290" s="83"/>
      <c r="B290" s="56"/>
      <c r="C290" s="56"/>
      <c r="D290" s="56"/>
      <c r="E290" s="36"/>
      <c r="F290" s="56"/>
      <c r="G290" s="56"/>
      <c r="H290" s="56"/>
      <c r="I290" s="3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36"/>
      <c r="AE290" s="36"/>
      <c r="AF290" s="36"/>
      <c r="AG290" s="36"/>
      <c r="AH290" s="36"/>
      <c r="AI290" s="36"/>
      <c r="AJ290" s="36"/>
      <c r="AK290" s="36"/>
      <c r="AL290" s="36"/>
      <c r="AM290" s="56"/>
    </row>
    <row r="291" ht="15.75" customHeight="1">
      <c r="A291" s="83"/>
      <c r="B291" s="56"/>
      <c r="C291" s="56"/>
      <c r="D291" s="56"/>
      <c r="E291" s="36"/>
      <c r="F291" s="56"/>
      <c r="G291" s="56"/>
      <c r="H291" s="56"/>
      <c r="I291" s="3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36"/>
      <c r="AE291" s="36"/>
      <c r="AF291" s="36"/>
      <c r="AG291" s="36"/>
      <c r="AH291" s="36"/>
      <c r="AI291" s="36"/>
      <c r="AJ291" s="36"/>
      <c r="AK291" s="36"/>
      <c r="AL291" s="36"/>
      <c r="AM291" s="56"/>
    </row>
    <row r="292" ht="15.75" customHeight="1">
      <c r="A292" s="83"/>
      <c r="B292" s="56"/>
      <c r="C292" s="56"/>
      <c r="D292" s="56"/>
      <c r="E292" s="36"/>
      <c r="F292" s="56"/>
      <c r="G292" s="56"/>
      <c r="H292" s="56"/>
      <c r="I292" s="3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36"/>
      <c r="AE292" s="36"/>
      <c r="AF292" s="36"/>
      <c r="AG292" s="36"/>
      <c r="AH292" s="36"/>
      <c r="AI292" s="36"/>
      <c r="AJ292" s="36"/>
      <c r="AK292" s="36"/>
      <c r="AL292" s="36"/>
      <c r="AM292" s="56"/>
    </row>
    <row r="293" ht="15.75" customHeight="1">
      <c r="A293" s="83"/>
      <c r="B293" s="56"/>
      <c r="C293" s="56"/>
      <c r="D293" s="56"/>
      <c r="E293" s="36"/>
      <c r="F293" s="56"/>
      <c r="G293" s="56"/>
      <c r="H293" s="56"/>
      <c r="I293" s="3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36"/>
      <c r="AE293" s="36"/>
      <c r="AF293" s="36"/>
      <c r="AG293" s="36"/>
      <c r="AH293" s="36"/>
      <c r="AI293" s="36"/>
      <c r="AJ293" s="36"/>
      <c r="AK293" s="36"/>
      <c r="AL293" s="36"/>
      <c r="AM293" s="56"/>
    </row>
    <row r="294" ht="15.75" customHeight="1">
      <c r="A294" s="83"/>
      <c r="B294" s="56"/>
      <c r="C294" s="56"/>
      <c r="D294" s="56"/>
      <c r="E294" s="36"/>
      <c r="F294" s="56"/>
      <c r="G294" s="56"/>
      <c r="H294" s="56"/>
      <c r="I294" s="3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36"/>
      <c r="AE294" s="36"/>
      <c r="AF294" s="36"/>
      <c r="AG294" s="36"/>
      <c r="AH294" s="36"/>
      <c r="AI294" s="36"/>
      <c r="AJ294" s="36"/>
      <c r="AK294" s="36"/>
      <c r="AL294" s="36"/>
      <c r="AM294" s="56"/>
    </row>
    <row r="295" ht="15.75" customHeight="1">
      <c r="A295" s="83"/>
      <c r="B295" s="56"/>
      <c r="C295" s="56"/>
      <c r="D295" s="56"/>
      <c r="E295" s="36"/>
      <c r="F295" s="56"/>
      <c r="G295" s="56"/>
      <c r="H295" s="56"/>
      <c r="I295" s="3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36"/>
      <c r="AE295" s="36"/>
      <c r="AF295" s="36"/>
      <c r="AG295" s="36"/>
      <c r="AH295" s="36"/>
      <c r="AI295" s="36"/>
      <c r="AJ295" s="36"/>
      <c r="AK295" s="36"/>
      <c r="AL295" s="36"/>
      <c r="AM295" s="56"/>
    </row>
    <row r="296" ht="15.75" customHeight="1">
      <c r="A296" s="83"/>
      <c r="B296" s="56"/>
      <c r="C296" s="56"/>
      <c r="D296" s="56"/>
      <c r="E296" s="36"/>
      <c r="F296" s="56"/>
      <c r="G296" s="56"/>
      <c r="H296" s="56"/>
      <c r="I296" s="3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36"/>
      <c r="AE296" s="36"/>
      <c r="AF296" s="36"/>
      <c r="AG296" s="36"/>
      <c r="AH296" s="36"/>
      <c r="AI296" s="36"/>
      <c r="AJ296" s="36"/>
      <c r="AK296" s="36"/>
      <c r="AL296" s="36"/>
      <c r="AM296" s="56"/>
    </row>
    <row r="297" ht="15.75" customHeight="1">
      <c r="A297" s="83"/>
      <c r="B297" s="56"/>
      <c r="C297" s="56"/>
      <c r="D297" s="56"/>
      <c r="E297" s="36"/>
      <c r="F297" s="56"/>
      <c r="G297" s="56"/>
      <c r="H297" s="56"/>
      <c r="I297" s="3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36"/>
      <c r="AE297" s="36"/>
      <c r="AF297" s="36"/>
      <c r="AG297" s="36"/>
      <c r="AH297" s="36"/>
      <c r="AI297" s="36"/>
      <c r="AJ297" s="36"/>
      <c r="AK297" s="36"/>
      <c r="AL297" s="36"/>
      <c r="AM297" s="56"/>
    </row>
    <row r="298" ht="15.75" customHeight="1">
      <c r="A298" s="83"/>
      <c r="B298" s="56"/>
      <c r="C298" s="56"/>
      <c r="D298" s="56"/>
      <c r="E298" s="36"/>
      <c r="F298" s="56"/>
      <c r="G298" s="56"/>
      <c r="H298" s="56"/>
      <c r="I298" s="3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36"/>
      <c r="AE298" s="36"/>
      <c r="AF298" s="36"/>
      <c r="AG298" s="36"/>
      <c r="AH298" s="36"/>
      <c r="AI298" s="36"/>
      <c r="AJ298" s="36"/>
      <c r="AK298" s="36"/>
      <c r="AL298" s="36"/>
      <c r="AM298" s="56"/>
    </row>
    <row r="299" ht="15.75" customHeight="1">
      <c r="A299" s="83"/>
      <c r="B299" s="56"/>
      <c r="C299" s="56"/>
      <c r="D299" s="56"/>
      <c r="E299" s="36"/>
      <c r="F299" s="56"/>
      <c r="G299" s="56"/>
      <c r="H299" s="56"/>
      <c r="I299" s="3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36"/>
      <c r="AE299" s="36"/>
      <c r="AF299" s="36"/>
      <c r="AG299" s="36"/>
      <c r="AH299" s="36"/>
      <c r="AI299" s="36"/>
      <c r="AJ299" s="36"/>
      <c r="AK299" s="36"/>
      <c r="AL299" s="36"/>
      <c r="AM299" s="56"/>
    </row>
    <row r="300" ht="15.75" customHeight="1">
      <c r="A300" s="83"/>
      <c r="B300" s="56"/>
      <c r="C300" s="56"/>
      <c r="D300" s="56"/>
      <c r="E300" s="36"/>
      <c r="F300" s="56"/>
      <c r="G300" s="56"/>
      <c r="H300" s="56"/>
      <c r="I300" s="3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36"/>
      <c r="AE300" s="36"/>
      <c r="AF300" s="36"/>
      <c r="AG300" s="36"/>
      <c r="AH300" s="36"/>
      <c r="AI300" s="36"/>
      <c r="AJ300" s="36"/>
      <c r="AK300" s="36"/>
      <c r="AL300" s="36"/>
      <c r="AM300" s="56"/>
    </row>
    <row r="301" ht="15.75" customHeight="1">
      <c r="A301" s="83"/>
      <c r="B301" s="56"/>
      <c r="C301" s="56"/>
      <c r="D301" s="56"/>
      <c r="E301" s="36"/>
      <c r="F301" s="56"/>
      <c r="G301" s="56"/>
      <c r="H301" s="56"/>
      <c r="I301" s="3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36"/>
      <c r="AE301" s="36"/>
      <c r="AF301" s="36"/>
      <c r="AG301" s="36"/>
      <c r="AH301" s="36"/>
      <c r="AI301" s="36"/>
      <c r="AJ301" s="36"/>
      <c r="AK301" s="36"/>
      <c r="AL301" s="36"/>
      <c r="AM301" s="56"/>
    </row>
    <row r="302" ht="15.75" customHeight="1">
      <c r="A302" s="83"/>
      <c r="B302" s="56"/>
      <c r="C302" s="56"/>
      <c r="D302" s="56"/>
      <c r="E302" s="36"/>
      <c r="F302" s="56"/>
      <c r="G302" s="56"/>
      <c r="H302" s="56"/>
      <c r="I302" s="3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36"/>
      <c r="AE302" s="36"/>
      <c r="AF302" s="36"/>
      <c r="AG302" s="36"/>
      <c r="AH302" s="36"/>
      <c r="AI302" s="36"/>
      <c r="AJ302" s="36"/>
      <c r="AK302" s="36"/>
      <c r="AL302" s="36"/>
      <c r="AM302" s="56"/>
    </row>
    <row r="303" ht="15.75" customHeight="1">
      <c r="A303" s="83"/>
      <c r="B303" s="56"/>
      <c r="C303" s="56"/>
      <c r="D303" s="56"/>
      <c r="E303" s="36"/>
      <c r="F303" s="56"/>
      <c r="G303" s="56"/>
      <c r="H303" s="56"/>
      <c r="I303" s="3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36"/>
      <c r="AE303" s="36"/>
      <c r="AF303" s="36"/>
      <c r="AG303" s="36"/>
      <c r="AH303" s="36"/>
      <c r="AI303" s="36"/>
      <c r="AJ303" s="36"/>
      <c r="AK303" s="36"/>
      <c r="AL303" s="36"/>
      <c r="AM303" s="56"/>
    </row>
    <row r="304" ht="15.75" customHeight="1">
      <c r="A304" s="83"/>
      <c r="B304" s="56"/>
      <c r="C304" s="56"/>
      <c r="D304" s="56"/>
      <c r="E304" s="36"/>
      <c r="F304" s="56"/>
      <c r="G304" s="56"/>
      <c r="H304" s="56"/>
      <c r="I304" s="3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36"/>
      <c r="AE304" s="36"/>
      <c r="AF304" s="36"/>
      <c r="AG304" s="36"/>
      <c r="AH304" s="36"/>
      <c r="AI304" s="36"/>
      <c r="AJ304" s="36"/>
      <c r="AK304" s="36"/>
      <c r="AL304" s="36"/>
      <c r="AM304" s="56"/>
    </row>
    <row r="305" ht="15.75" customHeight="1">
      <c r="A305" s="83"/>
      <c r="B305" s="56"/>
      <c r="C305" s="56"/>
      <c r="D305" s="56"/>
      <c r="E305" s="36"/>
      <c r="F305" s="56"/>
      <c r="G305" s="56"/>
      <c r="H305" s="56"/>
      <c r="I305" s="3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36"/>
      <c r="AE305" s="36"/>
      <c r="AF305" s="36"/>
      <c r="AG305" s="36"/>
      <c r="AH305" s="36"/>
      <c r="AI305" s="36"/>
      <c r="AJ305" s="36"/>
      <c r="AK305" s="36"/>
      <c r="AL305" s="36"/>
      <c r="AM305" s="56"/>
    </row>
    <row r="306" ht="15.75" customHeight="1">
      <c r="A306" s="83"/>
      <c r="B306" s="56"/>
      <c r="C306" s="56"/>
      <c r="D306" s="56"/>
      <c r="E306" s="36"/>
      <c r="F306" s="56"/>
      <c r="G306" s="56"/>
      <c r="H306" s="56"/>
      <c r="I306" s="3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36"/>
      <c r="AE306" s="36"/>
      <c r="AF306" s="36"/>
      <c r="AG306" s="36"/>
      <c r="AH306" s="36"/>
      <c r="AI306" s="36"/>
      <c r="AJ306" s="36"/>
      <c r="AK306" s="36"/>
      <c r="AL306" s="36"/>
      <c r="AM306" s="56"/>
    </row>
    <row r="307" ht="15.75" customHeight="1">
      <c r="A307" s="83"/>
      <c r="B307" s="56"/>
      <c r="C307" s="56"/>
      <c r="D307" s="56"/>
      <c r="E307" s="36"/>
      <c r="F307" s="56"/>
      <c r="G307" s="56"/>
      <c r="H307" s="56"/>
      <c r="I307" s="3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36"/>
      <c r="AE307" s="36"/>
      <c r="AF307" s="36"/>
      <c r="AG307" s="36"/>
      <c r="AH307" s="36"/>
      <c r="AI307" s="36"/>
      <c r="AJ307" s="36"/>
      <c r="AK307" s="36"/>
      <c r="AL307" s="36"/>
      <c r="AM307" s="56"/>
    </row>
    <row r="308" ht="15.75" customHeight="1">
      <c r="A308" s="83"/>
      <c r="B308" s="56"/>
      <c r="C308" s="56"/>
      <c r="D308" s="56"/>
      <c r="E308" s="36"/>
      <c r="F308" s="56"/>
      <c r="G308" s="56"/>
      <c r="H308" s="56"/>
      <c r="I308" s="3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36"/>
      <c r="AE308" s="36"/>
      <c r="AF308" s="36"/>
      <c r="AG308" s="36"/>
      <c r="AH308" s="36"/>
      <c r="AI308" s="36"/>
      <c r="AJ308" s="36"/>
      <c r="AK308" s="36"/>
      <c r="AL308" s="36"/>
      <c r="AM308" s="56"/>
    </row>
    <row r="309" ht="15.75" customHeight="1">
      <c r="A309" s="83"/>
      <c r="B309" s="56"/>
      <c r="C309" s="56"/>
      <c r="D309" s="56"/>
      <c r="E309" s="36"/>
      <c r="F309" s="56"/>
      <c r="G309" s="56"/>
      <c r="H309" s="56"/>
      <c r="I309" s="3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36"/>
      <c r="AE309" s="36"/>
      <c r="AF309" s="36"/>
      <c r="AG309" s="36"/>
      <c r="AH309" s="36"/>
      <c r="AI309" s="36"/>
      <c r="AJ309" s="36"/>
      <c r="AK309" s="36"/>
      <c r="AL309" s="36"/>
      <c r="AM309" s="56"/>
    </row>
    <row r="310" ht="15.75" customHeight="1">
      <c r="A310" s="83"/>
      <c r="B310" s="56"/>
      <c r="C310" s="56"/>
      <c r="D310" s="56"/>
      <c r="E310" s="36"/>
      <c r="F310" s="56"/>
      <c r="G310" s="56"/>
      <c r="H310" s="56"/>
      <c r="I310" s="3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36"/>
      <c r="AE310" s="36"/>
      <c r="AF310" s="36"/>
      <c r="AG310" s="36"/>
      <c r="AH310" s="36"/>
      <c r="AI310" s="36"/>
      <c r="AJ310" s="36"/>
      <c r="AK310" s="36"/>
      <c r="AL310" s="36"/>
      <c r="AM310" s="56"/>
    </row>
    <row r="311" ht="15.75" customHeight="1">
      <c r="A311" s="83"/>
      <c r="B311" s="56"/>
      <c r="C311" s="56"/>
      <c r="D311" s="56"/>
      <c r="E311" s="36"/>
      <c r="F311" s="56"/>
      <c r="G311" s="56"/>
      <c r="H311" s="56"/>
      <c r="I311" s="3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36"/>
      <c r="AE311" s="36"/>
      <c r="AF311" s="36"/>
      <c r="AG311" s="36"/>
      <c r="AH311" s="36"/>
      <c r="AI311" s="36"/>
      <c r="AJ311" s="36"/>
      <c r="AK311" s="36"/>
      <c r="AL311" s="36"/>
      <c r="AM311" s="56"/>
    </row>
    <row r="312" ht="15.75" customHeight="1">
      <c r="A312" s="83"/>
      <c r="B312" s="56"/>
      <c r="C312" s="56"/>
      <c r="D312" s="56"/>
      <c r="E312" s="36"/>
      <c r="F312" s="56"/>
      <c r="G312" s="56"/>
      <c r="H312" s="56"/>
      <c r="I312" s="3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36"/>
      <c r="AE312" s="36"/>
      <c r="AF312" s="36"/>
      <c r="AG312" s="36"/>
      <c r="AH312" s="36"/>
      <c r="AI312" s="36"/>
      <c r="AJ312" s="36"/>
      <c r="AK312" s="36"/>
      <c r="AL312" s="36"/>
      <c r="AM312" s="56"/>
    </row>
    <row r="313" ht="15.75" customHeight="1">
      <c r="A313" s="83"/>
      <c r="B313" s="56"/>
      <c r="C313" s="56"/>
      <c r="D313" s="56"/>
      <c r="E313" s="36"/>
      <c r="F313" s="56"/>
      <c r="G313" s="56"/>
      <c r="H313" s="56"/>
      <c r="I313" s="3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36"/>
      <c r="AE313" s="36"/>
      <c r="AF313" s="36"/>
      <c r="AG313" s="36"/>
      <c r="AH313" s="36"/>
      <c r="AI313" s="36"/>
      <c r="AJ313" s="36"/>
      <c r="AK313" s="36"/>
      <c r="AL313" s="36"/>
      <c r="AM313" s="56"/>
    </row>
    <row r="314" ht="15.75" customHeight="1">
      <c r="A314" s="83"/>
      <c r="B314" s="56"/>
      <c r="C314" s="56"/>
      <c r="D314" s="56"/>
      <c r="E314" s="36"/>
      <c r="F314" s="56"/>
      <c r="G314" s="56"/>
      <c r="H314" s="56"/>
      <c r="I314" s="3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36"/>
      <c r="AE314" s="36"/>
      <c r="AF314" s="36"/>
      <c r="AG314" s="36"/>
      <c r="AH314" s="36"/>
      <c r="AI314" s="36"/>
      <c r="AJ314" s="36"/>
      <c r="AK314" s="36"/>
      <c r="AL314" s="36"/>
      <c r="AM314" s="56"/>
    </row>
    <row r="315" ht="15.75" customHeight="1">
      <c r="A315" s="83"/>
      <c r="B315" s="56"/>
      <c r="C315" s="56"/>
      <c r="D315" s="56"/>
      <c r="E315" s="36"/>
      <c r="F315" s="56"/>
      <c r="G315" s="56"/>
      <c r="H315" s="56"/>
      <c r="I315" s="3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36"/>
      <c r="AE315" s="36"/>
      <c r="AF315" s="36"/>
      <c r="AG315" s="36"/>
      <c r="AH315" s="36"/>
      <c r="AI315" s="36"/>
      <c r="AJ315" s="36"/>
      <c r="AK315" s="36"/>
      <c r="AL315" s="36"/>
      <c r="AM315" s="56"/>
    </row>
    <row r="316" ht="15.75" customHeight="1">
      <c r="A316" s="83"/>
      <c r="B316" s="56"/>
      <c r="C316" s="56"/>
      <c r="D316" s="56"/>
      <c r="E316" s="36"/>
      <c r="F316" s="56"/>
      <c r="G316" s="56"/>
      <c r="H316" s="56"/>
      <c r="I316" s="3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36"/>
      <c r="AE316" s="36"/>
      <c r="AF316" s="36"/>
      <c r="AG316" s="36"/>
      <c r="AH316" s="36"/>
      <c r="AI316" s="36"/>
      <c r="AJ316" s="36"/>
      <c r="AK316" s="36"/>
      <c r="AL316" s="36"/>
      <c r="AM316" s="56"/>
    </row>
    <row r="317" ht="15.75" customHeight="1">
      <c r="A317" s="83"/>
      <c r="B317" s="56"/>
      <c r="C317" s="56"/>
      <c r="D317" s="56"/>
      <c r="E317" s="36"/>
      <c r="F317" s="56"/>
      <c r="G317" s="56"/>
      <c r="H317" s="56"/>
      <c r="I317" s="3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36"/>
      <c r="AE317" s="36"/>
      <c r="AF317" s="36"/>
      <c r="AG317" s="36"/>
      <c r="AH317" s="36"/>
      <c r="AI317" s="36"/>
      <c r="AJ317" s="36"/>
      <c r="AK317" s="36"/>
      <c r="AL317" s="36"/>
      <c r="AM317" s="56"/>
    </row>
    <row r="318" ht="15.75" customHeight="1">
      <c r="A318" s="83"/>
      <c r="B318" s="56"/>
      <c r="C318" s="56"/>
      <c r="D318" s="56"/>
      <c r="E318" s="36"/>
      <c r="F318" s="56"/>
      <c r="G318" s="56"/>
      <c r="H318" s="56"/>
      <c r="I318" s="3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36"/>
      <c r="AE318" s="36"/>
      <c r="AF318" s="36"/>
      <c r="AG318" s="36"/>
      <c r="AH318" s="36"/>
      <c r="AI318" s="36"/>
      <c r="AJ318" s="36"/>
      <c r="AK318" s="36"/>
      <c r="AL318" s="36"/>
      <c r="AM318" s="56"/>
    </row>
    <row r="319" ht="15.75" customHeight="1">
      <c r="A319" s="83"/>
      <c r="B319" s="56"/>
      <c r="C319" s="56"/>
      <c r="D319" s="56"/>
      <c r="E319" s="36"/>
      <c r="F319" s="56"/>
      <c r="G319" s="56"/>
      <c r="H319" s="56"/>
      <c r="I319" s="3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36"/>
      <c r="AE319" s="36"/>
      <c r="AF319" s="36"/>
      <c r="AG319" s="36"/>
      <c r="AH319" s="36"/>
      <c r="AI319" s="36"/>
      <c r="AJ319" s="36"/>
      <c r="AK319" s="36"/>
      <c r="AL319" s="36"/>
      <c r="AM319" s="56"/>
    </row>
    <row r="320" ht="15.75" customHeight="1">
      <c r="A320" s="83"/>
      <c r="B320" s="56"/>
      <c r="C320" s="56"/>
      <c r="D320" s="56"/>
      <c r="E320" s="36"/>
      <c r="F320" s="56"/>
      <c r="G320" s="56"/>
      <c r="H320" s="56"/>
      <c r="I320" s="3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36"/>
      <c r="AE320" s="36"/>
      <c r="AF320" s="36"/>
      <c r="AG320" s="36"/>
      <c r="AH320" s="36"/>
      <c r="AI320" s="36"/>
      <c r="AJ320" s="36"/>
      <c r="AK320" s="36"/>
      <c r="AL320" s="36"/>
      <c r="AM320" s="56"/>
    </row>
    <row r="321" ht="15.75" customHeight="1">
      <c r="A321" s="83"/>
      <c r="B321" s="56"/>
      <c r="C321" s="56"/>
      <c r="D321" s="56"/>
      <c r="E321" s="36"/>
      <c r="F321" s="56"/>
      <c r="G321" s="56"/>
      <c r="H321" s="56"/>
      <c r="I321" s="3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36"/>
      <c r="AE321" s="36"/>
      <c r="AF321" s="36"/>
      <c r="AG321" s="36"/>
      <c r="AH321" s="36"/>
      <c r="AI321" s="36"/>
      <c r="AJ321" s="36"/>
      <c r="AK321" s="36"/>
      <c r="AL321" s="36"/>
      <c r="AM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</row>
    <row r="1001" ht="15.75" customHeight="1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  <c r="AJ1001" s="56"/>
      <c r="AK1001" s="56"/>
      <c r="AL1001" s="56"/>
      <c r="AM1001" s="56"/>
    </row>
    <row r="1002" ht="15.75" customHeight="1">
      <c r="A1002" s="56"/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  <c r="AJ1002" s="56"/>
      <c r="AK1002" s="56"/>
      <c r="AL1002" s="56"/>
      <c r="AM1002" s="56"/>
    </row>
    <row r="1003" ht="15.75" customHeight="1">
      <c r="A1003" s="56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  <c r="AJ1003" s="56"/>
      <c r="AK1003" s="56"/>
      <c r="AL1003" s="56"/>
      <c r="AM1003" s="56"/>
    </row>
    <row r="1004" ht="15.75" customHeight="1">
      <c r="A1004" s="56"/>
      <c r="B1004" s="56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  <c r="AJ1004" s="56"/>
      <c r="AK1004" s="56"/>
      <c r="AL1004" s="56"/>
      <c r="AM1004" s="56"/>
    </row>
    <row r="1005" ht="15.75" customHeight="1">
      <c r="A1005" s="56"/>
      <c r="B1005" s="56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  <c r="AJ1005" s="56"/>
      <c r="AK1005" s="56"/>
      <c r="AL1005" s="56"/>
      <c r="AM1005" s="56"/>
    </row>
    <row r="1006" ht="15.75" customHeight="1">
      <c r="A1006" s="56"/>
      <c r="B1006" s="56"/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  <c r="AJ1006" s="56"/>
      <c r="AK1006" s="56"/>
      <c r="AL1006" s="56"/>
      <c r="AM1006" s="56"/>
    </row>
    <row r="1007" ht="15.75" customHeight="1">
      <c r="A1007" s="56"/>
      <c r="B1007" s="56"/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  <c r="AJ1007" s="56"/>
      <c r="AK1007" s="56"/>
      <c r="AL1007" s="56"/>
      <c r="AM1007" s="56"/>
    </row>
    <row r="1008" ht="15.75" customHeight="1">
      <c r="A1008" s="56"/>
      <c r="B1008" s="56"/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  <c r="AG1008" s="56"/>
      <c r="AH1008" s="56"/>
      <c r="AI1008" s="56"/>
      <c r="AJ1008" s="56"/>
      <c r="AK1008" s="56"/>
      <c r="AL1008" s="56"/>
      <c r="AM1008" s="56"/>
    </row>
  </sheetData>
  <mergeCells count="58">
    <mergeCell ref="A161:A165"/>
    <mergeCell ref="A166:A170"/>
    <mergeCell ref="A175:G175"/>
    <mergeCell ref="F176:H176"/>
    <mergeCell ref="A126:A130"/>
    <mergeCell ref="A131:A135"/>
    <mergeCell ref="A136:A140"/>
    <mergeCell ref="A141:A145"/>
    <mergeCell ref="A146:A150"/>
    <mergeCell ref="A151:A155"/>
    <mergeCell ref="A156:A160"/>
    <mergeCell ref="A1:G1"/>
    <mergeCell ref="F2:H2"/>
    <mergeCell ref="X2:Y2"/>
    <mergeCell ref="A3:A8"/>
    <mergeCell ref="X8:AB8"/>
    <mergeCell ref="A9:A14"/>
    <mergeCell ref="A15:A20"/>
    <mergeCell ref="A63:A68"/>
    <mergeCell ref="A72:G72"/>
    <mergeCell ref="F73:H73"/>
    <mergeCell ref="A21:A26"/>
    <mergeCell ref="A27:A32"/>
    <mergeCell ref="A33:A38"/>
    <mergeCell ref="A39:A44"/>
    <mergeCell ref="A45:A50"/>
    <mergeCell ref="A51:A56"/>
    <mergeCell ref="A57:A62"/>
    <mergeCell ref="A109:A113"/>
    <mergeCell ref="A114:A118"/>
    <mergeCell ref="A124:G124"/>
    <mergeCell ref="F125:H125"/>
    <mergeCell ref="X125:Y125"/>
    <mergeCell ref="AD86:AF93"/>
    <mergeCell ref="AD135:AF135"/>
    <mergeCell ref="AD136:AF136"/>
    <mergeCell ref="AD138:AF145"/>
    <mergeCell ref="AG138:AH145"/>
    <mergeCell ref="AD180:AF187"/>
    <mergeCell ref="AG180:AH187"/>
    <mergeCell ref="AD15:AF15"/>
    <mergeCell ref="AD16:AF16"/>
    <mergeCell ref="AD17:AF24"/>
    <mergeCell ref="AG17:AH24"/>
    <mergeCell ref="AD83:AF83"/>
    <mergeCell ref="AD84:AF84"/>
    <mergeCell ref="AG86:AH93"/>
    <mergeCell ref="A184:G184"/>
    <mergeCell ref="F185:H185"/>
    <mergeCell ref="A186:A189"/>
    <mergeCell ref="A190:A191"/>
    <mergeCell ref="A74:A78"/>
    <mergeCell ref="A79:A83"/>
    <mergeCell ref="A84:A88"/>
    <mergeCell ref="A89:A93"/>
    <mergeCell ref="A94:A98"/>
    <mergeCell ref="A99:A103"/>
    <mergeCell ref="A104:A108"/>
  </mergeCells>
  <conditionalFormatting sqref="AJ90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88"/>
    <col customWidth="1" min="5" max="5" width="15.13"/>
    <col customWidth="1" min="7" max="7" width="2.38"/>
    <col customWidth="1" min="9" max="9" width="18.75"/>
    <col customWidth="1" hidden="1" min="10" max="10" width="14.88"/>
    <col hidden="1" min="11" max="14" width="12.63"/>
    <col customWidth="1" hidden="1" min="15" max="15" width="22.75"/>
    <col hidden="1" min="16" max="25" width="12.63"/>
    <col customWidth="1" min="27" max="27" width="15.63"/>
    <col customWidth="1" min="28" max="28" width="22.75"/>
    <col hidden="1" min="36" max="46" width="12.63"/>
  </cols>
  <sheetData>
    <row r="1" ht="15.75" customHeight="1">
      <c r="A1" s="86" t="s">
        <v>132</v>
      </c>
      <c r="H1" s="36"/>
      <c r="I1" s="3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36"/>
      <c r="AB1" s="5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</row>
    <row r="2" ht="15.75" customHeight="1">
      <c r="A2" s="57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89</v>
      </c>
      <c r="U2" s="9" t="s">
        <v>90</v>
      </c>
      <c r="V2" s="9" t="s">
        <v>91</v>
      </c>
      <c r="W2" s="36"/>
      <c r="X2" s="56"/>
      <c r="Y2" s="56"/>
      <c r="Z2" s="36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89</v>
      </c>
      <c r="AH2" s="5" t="s">
        <v>90</v>
      </c>
      <c r="AI2" s="5" t="s">
        <v>91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15.75" customHeight="1">
      <c r="A3" s="58">
        <v>1.0</v>
      </c>
      <c r="B3" s="39">
        <v>45951.0</v>
      </c>
      <c r="C3" s="12" t="s">
        <v>96</v>
      </c>
      <c r="D3" s="87" t="s">
        <v>133</v>
      </c>
      <c r="E3" s="40" t="s">
        <v>25</v>
      </c>
      <c r="F3" s="14">
        <v>12.0</v>
      </c>
      <c r="G3" s="75" t="s">
        <v>24</v>
      </c>
      <c r="H3" s="14">
        <v>4.0</v>
      </c>
      <c r="I3" s="40" t="s">
        <v>57</v>
      </c>
      <c r="J3" s="4"/>
      <c r="K3" s="4">
        <f t="shared" ref="K3:K51" si="1">IF(F3="","",IFS(F3&gt;H3,2,F3=H3,1,H3&gt;F3,0,F3="",0))</f>
        <v>2</v>
      </c>
      <c r="L3" s="17">
        <f t="shared" ref="L3:L51" si="2">IF(H3="","",IFS(F3&lt;H3,2,F3=H3,1,H3&lt;F3,0))</f>
        <v>0</v>
      </c>
      <c r="M3" s="4"/>
      <c r="N3" s="17">
        <v>1.0</v>
      </c>
      <c r="O3" s="61" t="s">
        <v>25</v>
      </c>
      <c r="P3" s="17">
        <f t="shared" ref="P3:P16" si="3">SUMIF(E$3:E$51,O3,K$3:K$51)+SUMIF(I$3:I$51,O3,L$3:L$51)</f>
        <v>4</v>
      </c>
      <c r="Q3" s="17">
        <f t="shared" ref="Q3:Q16" si="4">COUNTIFS(E$3:E$51,O3,K$3:K$51,2)+COUNTIFS(I$3:I$51,O3,L$3:L$51,2)</f>
        <v>2</v>
      </c>
      <c r="R3" s="17">
        <f t="shared" ref="R3:R16" si="5">COUNTIFS(E$3:E$51,O3,K$3:K$51,1)+COUNTIFS(I$3:I$51,O3,L$3:L$51,1)</f>
        <v>0</v>
      </c>
      <c r="S3" s="19">
        <f t="shared" ref="S3:S16" si="6">COUNTIFS(E$3:E$51,O3,K$3:K$51,0)+COUNTIFS(I$3:I$51,O3,L$3:L$51,0)</f>
        <v>0</v>
      </c>
      <c r="T3" s="17">
        <f t="shared" ref="T3:T16" si="7">SUMIF(E$3:E$51,O3,F$3:F$51)+SUMIF(I$3:I$51,O3,H$3:H$51)</f>
        <v>26</v>
      </c>
      <c r="U3" s="19">
        <f t="shared" ref="U3:U16" si="8">SUMIF(E$3:E$51,O3,H$3:H$51)+SUMIF(I$3:I$51,O3,F$3:F$51)</f>
        <v>7</v>
      </c>
      <c r="V3" s="17">
        <f t="shared" ref="V3:V16" si="9">T3-U3</f>
        <v>19</v>
      </c>
      <c r="W3" s="56"/>
      <c r="X3" s="56"/>
      <c r="Y3" s="56"/>
      <c r="Z3" s="56"/>
      <c r="AA3" s="21" t="s">
        <v>29</v>
      </c>
      <c r="AB3" s="63" t="str">
        <f t="array" ref="AB3:AI16">SORT(O3:V16,2,FALSE,8,FALSE,8,FALSE())</f>
        <v>Fisioterapia</v>
      </c>
      <c r="AC3" s="22">
        <v>4.0</v>
      </c>
      <c r="AD3" s="22">
        <v>2.0</v>
      </c>
      <c r="AE3" s="22">
        <v>0.0</v>
      </c>
      <c r="AF3" s="23">
        <v>0.0</v>
      </c>
      <c r="AG3" s="22">
        <v>42.0</v>
      </c>
      <c r="AH3" s="23">
        <v>15.0</v>
      </c>
      <c r="AI3" s="22">
        <v>27.0</v>
      </c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</row>
    <row r="4" ht="15.75" customHeight="1">
      <c r="A4" s="24"/>
      <c r="B4" s="39">
        <v>45951.0</v>
      </c>
      <c r="C4" s="12" t="s">
        <v>96</v>
      </c>
      <c r="D4" s="87" t="s">
        <v>133</v>
      </c>
      <c r="E4" s="40" t="s">
        <v>23</v>
      </c>
      <c r="F4" s="14">
        <v>21.0</v>
      </c>
      <c r="G4" s="75" t="s">
        <v>24</v>
      </c>
      <c r="H4" s="14">
        <v>5.0</v>
      </c>
      <c r="I4" s="40" t="s">
        <v>134</v>
      </c>
      <c r="J4" s="4"/>
      <c r="K4" s="4">
        <f t="shared" si="1"/>
        <v>2</v>
      </c>
      <c r="L4" s="17">
        <f t="shared" si="2"/>
        <v>0</v>
      </c>
      <c r="M4" s="4"/>
      <c r="N4" s="17">
        <v>2.0</v>
      </c>
      <c r="O4" s="61" t="s">
        <v>23</v>
      </c>
      <c r="P4" s="17">
        <f t="shared" si="3"/>
        <v>4</v>
      </c>
      <c r="Q4" s="17">
        <f t="shared" si="4"/>
        <v>2</v>
      </c>
      <c r="R4" s="17">
        <f t="shared" si="5"/>
        <v>0</v>
      </c>
      <c r="S4" s="19">
        <f t="shared" si="6"/>
        <v>0</v>
      </c>
      <c r="T4" s="17">
        <f t="shared" si="7"/>
        <v>42</v>
      </c>
      <c r="U4" s="19">
        <f t="shared" si="8"/>
        <v>15</v>
      </c>
      <c r="V4" s="17">
        <f t="shared" si="9"/>
        <v>27</v>
      </c>
      <c r="W4" s="56"/>
      <c r="X4" s="56"/>
      <c r="Y4" s="56"/>
      <c r="Z4" s="56"/>
      <c r="AA4" s="21" t="s">
        <v>34</v>
      </c>
      <c r="AB4" s="63" t="s">
        <v>31</v>
      </c>
      <c r="AC4" s="22">
        <v>4.0</v>
      </c>
      <c r="AD4" s="22">
        <v>2.0</v>
      </c>
      <c r="AE4" s="22">
        <v>0.0</v>
      </c>
      <c r="AF4" s="23">
        <v>0.0</v>
      </c>
      <c r="AG4" s="22">
        <v>29.0</v>
      </c>
      <c r="AH4" s="23">
        <v>2.0</v>
      </c>
      <c r="AI4" s="22">
        <v>27.0</v>
      </c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</row>
    <row r="5" ht="15.75" customHeight="1">
      <c r="A5" s="24"/>
      <c r="B5" s="39">
        <v>45951.0</v>
      </c>
      <c r="C5" s="12" t="s">
        <v>97</v>
      </c>
      <c r="D5" s="87" t="s">
        <v>133</v>
      </c>
      <c r="E5" s="40" t="s">
        <v>36</v>
      </c>
      <c r="F5" s="14">
        <v>14.0</v>
      </c>
      <c r="G5" s="75" t="s">
        <v>24</v>
      </c>
      <c r="H5" s="14">
        <v>4.0</v>
      </c>
      <c r="I5" s="40" t="s">
        <v>60</v>
      </c>
      <c r="J5" s="4"/>
      <c r="K5" s="4">
        <f t="shared" si="1"/>
        <v>2</v>
      </c>
      <c r="L5" s="17">
        <f t="shared" si="2"/>
        <v>0</v>
      </c>
      <c r="M5" s="4"/>
      <c r="N5" s="17">
        <v>3.0</v>
      </c>
      <c r="O5" s="61" t="s">
        <v>36</v>
      </c>
      <c r="P5" s="17">
        <f t="shared" si="3"/>
        <v>4</v>
      </c>
      <c r="Q5" s="17">
        <f t="shared" si="4"/>
        <v>2</v>
      </c>
      <c r="R5" s="17">
        <f t="shared" si="5"/>
        <v>0</v>
      </c>
      <c r="S5" s="19">
        <f t="shared" si="6"/>
        <v>0</v>
      </c>
      <c r="T5" s="17">
        <f t="shared" si="7"/>
        <v>26</v>
      </c>
      <c r="U5" s="19">
        <f t="shared" si="8"/>
        <v>8</v>
      </c>
      <c r="V5" s="17">
        <f t="shared" si="9"/>
        <v>18</v>
      </c>
      <c r="W5" s="56"/>
      <c r="X5" s="56"/>
      <c r="Y5" s="56"/>
      <c r="Z5" s="56"/>
      <c r="AA5" s="21" t="s">
        <v>38</v>
      </c>
      <c r="AB5" s="63" t="s">
        <v>25</v>
      </c>
      <c r="AC5" s="22">
        <v>4.0</v>
      </c>
      <c r="AD5" s="22">
        <v>2.0</v>
      </c>
      <c r="AE5" s="22">
        <v>0.0</v>
      </c>
      <c r="AF5" s="23">
        <v>0.0</v>
      </c>
      <c r="AG5" s="22">
        <v>26.0</v>
      </c>
      <c r="AH5" s="23">
        <v>7.0</v>
      </c>
      <c r="AI5" s="22">
        <v>19.0</v>
      </c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</row>
    <row r="6" ht="15.75" customHeight="1">
      <c r="A6" s="24"/>
      <c r="B6" s="39">
        <v>45951.0</v>
      </c>
      <c r="C6" s="12" t="s">
        <v>97</v>
      </c>
      <c r="D6" s="87" t="s">
        <v>133</v>
      </c>
      <c r="E6" s="40" t="s">
        <v>33</v>
      </c>
      <c r="F6" s="14">
        <v>15.0</v>
      </c>
      <c r="G6" s="75" t="s">
        <v>24</v>
      </c>
      <c r="H6" s="14">
        <v>3.0</v>
      </c>
      <c r="I6" s="40" t="s">
        <v>45</v>
      </c>
      <c r="J6" s="4"/>
      <c r="K6" s="4">
        <f t="shared" si="1"/>
        <v>2</v>
      </c>
      <c r="L6" s="17">
        <f t="shared" si="2"/>
        <v>0</v>
      </c>
      <c r="M6" s="4"/>
      <c r="N6" s="17">
        <v>4.0</v>
      </c>
      <c r="O6" s="61" t="s">
        <v>33</v>
      </c>
      <c r="P6" s="17">
        <f t="shared" si="3"/>
        <v>4</v>
      </c>
      <c r="Q6" s="17">
        <f t="shared" si="4"/>
        <v>2</v>
      </c>
      <c r="R6" s="17">
        <f t="shared" si="5"/>
        <v>0</v>
      </c>
      <c r="S6" s="19">
        <f t="shared" si="6"/>
        <v>0</v>
      </c>
      <c r="T6" s="17">
        <f t="shared" si="7"/>
        <v>27</v>
      </c>
      <c r="U6" s="19">
        <f t="shared" si="8"/>
        <v>13</v>
      </c>
      <c r="V6" s="17">
        <f t="shared" si="9"/>
        <v>14</v>
      </c>
      <c r="W6" s="56"/>
      <c r="X6" s="56"/>
      <c r="Y6" s="56"/>
      <c r="Z6" s="56"/>
      <c r="AA6" s="47" t="s">
        <v>41</v>
      </c>
      <c r="AB6" s="63" t="s">
        <v>36</v>
      </c>
      <c r="AC6" s="22">
        <v>4.0</v>
      </c>
      <c r="AD6" s="22">
        <v>2.0</v>
      </c>
      <c r="AE6" s="22">
        <v>0.0</v>
      </c>
      <c r="AF6" s="23">
        <v>0.0</v>
      </c>
      <c r="AG6" s="22">
        <v>26.0</v>
      </c>
      <c r="AH6" s="23">
        <v>8.0</v>
      </c>
      <c r="AI6" s="22">
        <v>18.0</v>
      </c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</row>
    <row r="7" ht="15.75" customHeight="1">
      <c r="A7" s="24"/>
      <c r="B7" s="39">
        <v>45951.0</v>
      </c>
      <c r="C7" s="12" t="s">
        <v>98</v>
      </c>
      <c r="D7" s="87" t="s">
        <v>133</v>
      </c>
      <c r="E7" s="40" t="s">
        <v>65</v>
      </c>
      <c r="F7" s="88">
        <v>1.0</v>
      </c>
      <c r="G7" s="75" t="s">
        <v>24</v>
      </c>
      <c r="H7" s="88">
        <v>8.0</v>
      </c>
      <c r="I7" s="40" t="s">
        <v>61</v>
      </c>
      <c r="J7" s="4"/>
      <c r="K7" s="4">
        <f t="shared" si="1"/>
        <v>0</v>
      </c>
      <c r="L7" s="17">
        <f t="shared" si="2"/>
        <v>2</v>
      </c>
      <c r="M7" s="4"/>
      <c r="N7" s="17">
        <v>5.0</v>
      </c>
      <c r="O7" s="61" t="s">
        <v>57</v>
      </c>
      <c r="P7" s="17">
        <f t="shared" si="3"/>
        <v>0</v>
      </c>
      <c r="Q7" s="17">
        <f t="shared" si="4"/>
        <v>0</v>
      </c>
      <c r="R7" s="17">
        <f t="shared" si="5"/>
        <v>0</v>
      </c>
      <c r="S7" s="19">
        <f t="shared" si="6"/>
        <v>2</v>
      </c>
      <c r="T7" s="17">
        <f t="shared" si="7"/>
        <v>14</v>
      </c>
      <c r="U7" s="19">
        <f t="shared" si="8"/>
        <v>24</v>
      </c>
      <c r="V7" s="17">
        <f t="shared" si="9"/>
        <v>-10</v>
      </c>
      <c r="W7" s="56"/>
      <c r="X7" s="56"/>
      <c r="Y7" s="56"/>
      <c r="Z7" s="56"/>
      <c r="AA7" s="47" t="s">
        <v>44</v>
      </c>
      <c r="AB7" s="63" t="s">
        <v>33</v>
      </c>
      <c r="AC7" s="22">
        <v>4.0</v>
      </c>
      <c r="AD7" s="22">
        <v>2.0</v>
      </c>
      <c r="AE7" s="22">
        <v>0.0</v>
      </c>
      <c r="AF7" s="23">
        <v>0.0</v>
      </c>
      <c r="AG7" s="22">
        <v>27.0</v>
      </c>
      <c r="AH7" s="23">
        <v>13.0</v>
      </c>
      <c r="AI7" s="22">
        <v>14.0</v>
      </c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</row>
    <row r="8" ht="15.75" customHeight="1">
      <c r="A8" s="24"/>
      <c r="B8" s="39">
        <v>45951.0</v>
      </c>
      <c r="C8" s="12" t="s">
        <v>98</v>
      </c>
      <c r="D8" s="87" t="s">
        <v>133</v>
      </c>
      <c r="E8" s="40" t="s">
        <v>40</v>
      </c>
      <c r="F8" s="14">
        <v>3.0</v>
      </c>
      <c r="G8" s="75" t="s">
        <v>24</v>
      </c>
      <c r="H8" s="14">
        <v>9.0</v>
      </c>
      <c r="I8" s="40" t="s">
        <v>113</v>
      </c>
      <c r="J8" s="4"/>
      <c r="K8" s="4">
        <f t="shared" si="1"/>
        <v>0</v>
      </c>
      <c r="L8" s="17">
        <f t="shared" si="2"/>
        <v>2</v>
      </c>
      <c r="M8" s="4"/>
      <c r="N8" s="17">
        <v>6.0</v>
      </c>
      <c r="O8" s="61" t="s">
        <v>134</v>
      </c>
      <c r="P8" s="17">
        <f t="shared" si="3"/>
        <v>0</v>
      </c>
      <c r="Q8" s="17">
        <f t="shared" si="4"/>
        <v>0</v>
      </c>
      <c r="R8" s="17">
        <f t="shared" si="5"/>
        <v>0</v>
      </c>
      <c r="S8" s="19">
        <f t="shared" si="6"/>
        <v>2</v>
      </c>
      <c r="T8" s="17">
        <f t="shared" si="7"/>
        <v>9</v>
      </c>
      <c r="U8" s="19">
        <f t="shared" si="8"/>
        <v>33</v>
      </c>
      <c r="V8" s="17">
        <f t="shared" si="9"/>
        <v>-24</v>
      </c>
      <c r="W8" s="56"/>
      <c r="X8" s="56"/>
      <c r="Y8" s="56"/>
      <c r="Z8" s="56"/>
      <c r="AA8" s="47" t="s">
        <v>47</v>
      </c>
      <c r="AB8" s="63" t="s">
        <v>61</v>
      </c>
      <c r="AC8" s="22">
        <v>4.0</v>
      </c>
      <c r="AD8" s="22">
        <v>2.0</v>
      </c>
      <c r="AE8" s="22">
        <v>0.0</v>
      </c>
      <c r="AF8" s="23">
        <v>0.0</v>
      </c>
      <c r="AG8" s="22">
        <v>14.0</v>
      </c>
      <c r="AH8" s="23">
        <v>3.0</v>
      </c>
      <c r="AI8" s="22">
        <v>11.0</v>
      </c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</row>
    <row r="9" ht="15.75" customHeight="1">
      <c r="A9" s="24"/>
      <c r="B9" s="39">
        <v>45951.0</v>
      </c>
      <c r="C9" s="12" t="s">
        <v>99</v>
      </c>
      <c r="D9" s="87" t="s">
        <v>133</v>
      </c>
      <c r="E9" s="40" t="s">
        <v>64</v>
      </c>
      <c r="F9" s="14">
        <v>1.0</v>
      </c>
      <c r="G9" s="75" t="s">
        <v>24</v>
      </c>
      <c r="H9" s="14">
        <v>9.0</v>
      </c>
      <c r="I9" s="40" t="s">
        <v>31</v>
      </c>
      <c r="J9" s="4"/>
      <c r="K9" s="4">
        <f t="shared" si="1"/>
        <v>0</v>
      </c>
      <c r="L9" s="17">
        <f t="shared" si="2"/>
        <v>2</v>
      </c>
      <c r="M9" s="4"/>
      <c r="N9" s="17">
        <v>7.0</v>
      </c>
      <c r="O9" s="61" t="s">
        <v>60</v>
      </c>
      <c r="P9" s="17">
        <f t="shared" si="3"/>
        <v>0</v>
      </c>
      <c r="Q9" s="17">
        <f t="shared" si="4"/>
        <v>0</v>
      </c>
      <c r="R9" s="17">
        <f t="shared" si="5"/>
        <v>0</v>
      </c>
      <c r="S9" s="19">
        <f t="shared" si="6"/>
        <v>2</v>
      </c>
      <c r="T9" s="17">
        <f t="shared" si="7"/>
        <v>14</v>
      </c>
      <c r="U9" s="19">
        <f t="shared" si="8"/>
        <v>35</v>
      </c>
      <c r="V9" s="17">
        <f t="shared" si="9"/>
        <v>-21</v>
      </c>
      <c r="W9" s="56"/>
      <c r="X9" s="56"/>
      <c r="Y9" s="56"/>
      <c r="Z9" s="56"/>
      <c r="AA9" s="47" t="s">
        <v>48</v>
      </c>
      <c r="AB9" s="63" t="s">
        <v>64</v>
      </c>
      <c r="AC9" s="22">
        <v>2.0</v>
      </c>
      <c r="AD9" s="22">
        <v>1.0</v>
      </c>
      <c r="AE9" s="22">
        <v>0.0</v>
      </c>
      <c r="AF9" s="23">
        <v>1.0</v>
      </c>
      <c r="AG9" s="22">
        <v>14.0</v>
      </c>
      <c r="AH9" s="23">
        <v>10.0</v>
      </c>
      <c r="AI9" s="22">
        <v>4.0</v>
      </c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</row>
    <row r="10" ht="15.75" customHeight="1">
      <c r="A10" s="58">
        <v>2.0</v>
      </c>
      <c r="B10" s="39">
        <v>45951.0</v>
      </c>
      <c r="C10" s="12" t="s">
        <v>99</v>
      </c>
      <c r="D10" s="87" t="s">
        <v>133</v>
      </c>
      <c r="E10" s="40" t="s">
        <v>25</v>
      </c>
      <c r="F10" s="14">
        <v>14.0</v>
      </c>
      <c r="G10" s="75" t="s">
        <v>24</v>
      </c>
      <c r="H10" s="14">
        <v>3.0</v>
      </c>
      <c r="I10" s="40" t="s">
        <v>45</v>
      </c>
      <c r="J10" s="4"/>
      <c r="K10" s="4">
        <f t="shared" si="1"/>
        <v>2</v>
      </c>
      <c r="L10" s="17">
        <f t="shared" si="2"/>
        <v>0</v>
      </c>
      <c r="M10" s="4"/>
      <c r="N10" s="42">
        <v>8.0</v>
      </c>
      <c r="O10" s="61" t="s">
        <v>45</v>
      </c>
      <c r="P10" s="17">
        <f t="shared" si="3"/>
        <v>0</v>
      </c>
      <c r="Q10" s="17">
        <f t="shared" si="4"/>
        <v>0</v>
      </c>
      <c r="R10" s="17">
        <f t="shared" si="5"/>
        <v>0</v>
      </c>
      <c r="S10" s="19">
        <f t="shared" si="6"/>
        <v>2</v>
      </c>
      <c r="T10" s="17">
        <f t="shared" si="7"/>
        <v>6</v>
      </c>
      <c r="U10" s="19">
        <f t="shared" si="8"/>
        <v>29</v>
      </c>
      <c r="V10" s="17">
        <f t="shared" si="9"/>
        <v>-23</v>
      </c>
      <c r="W10" s="56"/>
      <c r="X10" s="56"/>
      <c r="Y10" s="56"/>
      <c r="Z10" s="56"/>
      <c r="AA10" s="47" t="s">
        <v>135</v>
      </c>
      <c r="AB10" s="63" t="s">
        <v>113</v>
      </c>
      <c r="AC10" s="22">
        <v>2.0</v>
      </c>
      <c r="AD10" s="22">
        <v>1.0</v>
      </c>
      <c r="AE10" s="22">
        <v>0.0</v>
      </c>
      <c r="AF10" s="23">
        <v>1.0</v>
      </c>
      <c r="AG10" s="22">
        <v>11.0</v>
      </c>
      <c r="AH10" s="23">
        <v>9.0</v>
      </c>
      <c r="AI10" s="22">
        <v>2.0</v>
      </c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</row>
    <row r="11" ht="15.75" customHeight="1">
      <c r="A11" s="24"/>
      <c r="B11" s="39">
        <v>45951.0</v>
      </c>
      <c r="C11" s="12" t="s">
        <v>100</v>
      </c>
      <c r="D11" s="87" t="s">
        <v>133</v>
      </c>
      <c r="E11" s="40" t="s">
        <v>23</v>
      </c>
      <c r="F11" s="14">
        <v>21.0</v>
      </c>
      <c r="G11" s="75" t="s">
        <v>24</v>
      </c>
      <c r="H11" s="14">
        <v>10.0</v>
      </c>
      <c r="I11" s="40" t="s">
        <v>60</v>
      </c>
      <c r="J11" s="4"/>
      <c r="K11" s="4">
        <f t="shared" si="1"/>
        <v>2</v>
      </c>
      <c r="L11" s="17">
        <f t="shared" si="2"/>
        <v>0</v>
      </c>
      <c r="M11" s="4"/>
      <c r="N11" s="70">
        <v>9.0</v>
      </c>
      <c r="O11" s="70" t="s">
        <v>65</v>
      </c>
      <c r="P11" s="17">
        <f t="shared" si="3"/>
        <v>0</v>
      </c>
      <c r="Q11" s="17">
        <f t="shared" si="4"/>
        <v>0</v>
      </c>
      <c r="R11" s="17">
        <f t="shared" si="5"/>
        <v>0</v>
      </c>
      <c r="S11" s="19">
        <f t="shared" si="6"/>
        <v>1</v>
      </c>
      <c r="T11" s="17">
        <f t="shared" si="7"/>
        <v>1</v>
      </c>
      <c r="U11" s="19">
        <f t="shared" si="8"/>
        <v>8</v>
      </c>
      <c r="V11" s="17">
        <f t="shared" si="9"/>
        <v>-7</v>
      </c>
      <c r="W11" s="56"/>
      <c r="X11" s="56"/>
      <c r="Y11" s="56"/>
      <c r="Z11" s="56"/>
      <c r="AA11" s="21">
        <v>9.0</v>
      </c>
      <c r="AB11" s="63" t="s">
        <v>65</v>
      </c>
      <c r="AC11" s="22">
        <v>0.0</v>
      </c>
      <c r="AD11" s="22">
        <v>0.0</v>
      </c>
      <c r="AE11" s="22">
        <v>0.0</v>
      </c>
      <c r="AF11" s="23">
        <v>1.0</v>
      </c>
      <c r="AG11" s="22">
        <v>1.0</v>
      </c>
      <c r="AH11" s="23">
        <v>8.0</v>
      </c>
      <c r="AI11" s="22">
        <v>-7.0</v>
      </c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</row>
    <row r="12" ht="15.75" customHeight="1">
      <c r="A12" s="24"/>
      <c r="B12" s="39">
        <v>45951.0</v>
      </c>
      <c r="C12" s="12" t="s">
        <v>100</v>
      </c>
      <c r="D12" s="87" t="s">
        <v>133</v>
      </c>
      <c r="E12" s="40" t="s">
        <v>36</v>
      </c>
      <c r="F12" s="14">
        <v>12.0</v>
      </c>
      <c r="G12" s="75" t="s">
        <v>24</v>
      </c>
      <c r="H12" s="14">
        <v>4.0</v>
      </c>
      <c r="I12" s="40" t="s">
        <v>134</v>
      </c>
      <c r="J12" s="4"/>
      <c r="K12" s="4">
        <f t="shared" si="1"/>
        <v>2</v>
      </c>
      <c r="L12" s="17">
        <f t="shared" si="2"/>
        <v>0</v>
      </c>
      <c r="M12" s="4"/>
      <c r="N12" s="70">
        <v>10.0</v>
      </c>
      <c r="O12" s="70" t="s">
        <v>61</v>
      </c>
      <c r="P12" s="17">
        <f t="shared" si="3"/>
        <v>4</v>
      </c>
      <c r="Q12" s="17">
        <f t="shared" si="4"/>
        <v>2</v>
      </c>
      <c r="R12" s="17">
        <f t="shared" si="5"/>
        <v>0</v>
      </c>
      <c r="S12" s="19">
        <f t="shared" si="6"/>
        <v>0</v>
      </c>
      <c r="T12" s="17">
        <f t="shared" si="7"/>
        <v>14</v>
      </c>
      <c r="U12" s="19">
        <f t="shared" si="8"/>
        <v>3</v>
      </c>
      <c r="V12" s="17">
        <f t="shared" si="9"/>
        <v>11</v>
      </c>
      <c r="W12" s="56"/>
      <c r="X12" s="56"/>
      <c r="Y12" s="56"/>
      <c r="Z12" s="56"/>
      <c r="AA12" s="21">
        <v>10.0</v>
      </c>
      <c r="AB12" s="63" t="s">
        <v>57</v>
      </c>
      <c r="AC12" s="22">
        <v>0.0</v>
      </c>
      <c r="AD12" s="22">
        <v>0.0</v>
      </c>
      <c r="AE12" s="22">
        <v>0.0</v>
      </c>
      <c r="AF12" s="23">
        <v>2.0</v>
      </c>
      <c r="AG12" s="22">
        <v>14.0</v>
      </c>
      <c r="AH12" s="23">
        <v>24.0</v>
      </c>
      <c r="AI12" s="22">
        <v>-10.0</v>
      </c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</row>
    <row r="13" ht="15.75" customHeight="1">
      <c r="A13" s="24"/>
      <c r="B13" s="39">
        <v>45951.0</v>
      </c>
      <c r="C13" s="12" t="s">
        <v>102</v>
      </c>
      <c r="D13" s="87" t="s">
        <v>133</v>
      </c>
      <c r="E13" s="40" t="s">
        <v>33</v>
      </c>
      <c r="F13" s="14">
        <v>12.0</v>
      </c>
      <c r="G13" s="75" t="s">
        <v>24</v>
      </c>
      <c r="H13" s="14">
        <v>10.0</v>
      </c>
      <c r="I13" s="40" t="s">
        <v>57</v>
      </c>
      <c r="J13" s="4"/>
      <c r="K13" s="4">
        <f t="shared" si="1"/>
        <v>2</v>
      </c>
      <c r="L13" s="17">
        <f t="shared" si="2"/>
        <v>0</v>
      </c>
      <c r="M13" s="4"/>
      <c r="N13" s="70">
        <v>11.0</v>
      </c>
      <c r="O13" s="70" t="s">
        <v>40</v>
      </c>
      <c r="P13" s="17">
        <f t="shared" si="3"/>
        <v>0</v>
      </c>
      <c r="Q13" s="17">
        <f t="shared" si="4"/>
        <v>0</v>
      </c>
      <c r="R13" s="17">
        <f t="shared" si="5"/>
        <v>0</v>
      </c>
      <c r="S13" s="19">
        <f t="shared" si="6"/>
        <v>2</v>
      </c>
      <c r="T13" s="17">
        <f t="shared" si="7"/>
        <v>4</v>
      </c>
      <c r="U13" s="19">
        <f t="shared" si="8"/>
        <v>22</v>
      </c>
      <c r="V13" s="17">
        <f t="shared" si="9"/>
        <v>-18</v>
      </c>
      <c r="W13" s="56"/>
      <c r="X13" s="56"/>
      <c r="Y13" s="56"/>
      <c r="Z13" s="56"/>
      <c r="AA13" s="21">
        <v>11.0</v>
      </c>
      <c r="AB13" s="63" t="s">
        <v>40</v>
      </c>
      <c r="AC13" s="22">
        <v>0.0</v>
      </c>
      <c r="AD13" s="22">
        <v>0.0</v>
      </c>
      <c r="AE13" s="22">
        <v>0.0</v>
      </c>
      <c r="AF13" s="23">
        <v>2.0</v>
      </c>
      <c r="AG13" s="22">
        <v>4.0</v>
      </c>
      <c r="AH13" s="23">
        <v>22.0</v>
      </c>
      <c r="AI13" s="22">
        <v>-18.0</v>
      </c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</row>
    <row r="14" ht="15.75" customHeight="1">
      <c r="A14" s="24"/>
      <c r="B14" s="39">
        <v>45951.0</v>
      </c>
      <c r="C14" s="12" t="s">
        <v>102</v>
      </c>
      <c r="D14" s="87" t="s">
        <v>133</v>
      </c>
      <c r="E14" s="40" t="s">
        <v>136</v>
      </c>
      <c r="F14" s="88">
        <v>1.0</v>
      </c>
      <c r="G14" s="75" t="s">
        <v>24</v>
      </c>
      <c r="H14" s="88">
        <v>20.0</v>
      </c>
      <c r="I14" s="40" t="s">
        <v>31</v>
      </c>
      <c r="J14" s="4"/>
      <c r="K14" s="4">
        <f t="shared" si="1"/>
        <v>0</v>
      </c>
      <c r="L14" s="17">
        <f t="shared" si="2"/>
        <v>2</v>
      </c>
      <c r="M14" s="4"/>
      <c r="N14" s="70">
        <v>12.0</v>
      </c>
      <c r="O14" s="70" t="s">
        <v>113</v>
      </c>
      <c r="P14" s="17">
        <f t="shared" si="3"/>
        <v>2</v>
      </c>
      <c r="Q14" s="17">
        <f t="shared" si="4"/>
        <v>1</v>
      </c>
      <c r="R14" s="17">
        <f t="shared" si="5"/>
        <v>0</v>
      </c>
      <c r="S14" s="19">
        <f t="shared" si="6"/>
        <v>1</v>
      </c>
      <c r="T14" s="17">
        <f t="shared" si="7"/>
        <v>11</v>
      </c>
      <c r="U14" s="19">
        <f t="shared" si="8"/>
        <v>9</v>
      </c>
      <c r="V14" s="17">
        <f t="shared" si="9"/>
        <v>2</v>
      </c>
      <c r="W14" s="56"/>
      <c r="X14" s="56"/>
      <c r="Y14" s="56"/>
      <c r="Z14" s="56"/>
      <c r="AA14" s="21">
        <v>12.0</v>
      </c>
      <c r="AB14" s="63" t="s">
        <v>60</v>
      </c>
      <c r="AC14" s="22">
        <v>0.0</v>
      </c>
      <c r="AD14" s="22">
        <v>0.0</v>
      </c>
      <c r="AE14" s="22">
        <v>0.0</v>
      </c>
      <c r="AF14" s="23">
        <v>2.0</v>
      </c>
      <c r="AG14" s="22">
        <v>14.0</v>
      </c>
      <c r="AH14" s="23">
        <v>35.0</v>
      </c>
      <c r="AI14" s="22">
        <v>-21.0</v>
      </c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</row>
    <row r="15" ht="15.75" customHeight="1">
      <c r="A15" s="24"/>
      <c r="B15" s="39">
        <v>45951.0</v>
      </c>
      <c r="C15" s="12" t="s">
        <v>103</v>
      </c>
      <c r="D15" s="87" t="s">
        <v>133</v>
      </c>
      <c r="E15" s="40" t="s">
        <v>40</v>
      </c>
      <c r="F15" s="14">
        <v>1.0</v>
      </c>
      <c r="G15" s="75" t="s">
        <v>24</v>
      </c>
      <c r="H15" s="14">
        <v>13.0</v>
      </c>
      <c r="I15" s="40" t="s">
        <v>64</v>
      </c>
      <c r="J15" s="4"/>
      <c r="K15" s="4">
        <f t="shared" si="1"/>
        <v>0</v>
      </c>
      <c r="L15" s="17">
        <f t="shared" si="2"/>
        <v>2</v>
      </c>
      <c r="M15" s="4"/>
      <c r="N15" s="89">
        <v>13.0</v>
      </c>
      <c r="O15" s="89" t="s">
        <v>64</v>
      </c>
      <c r="P15" s="17">
        <f t="shared" si="3"/>
        <v>2</v>
      </c>
      <c r="Q15" s="17">
        <f t="shared" si="4"/>
        <v>1</v>
      </c>
      <c r="R15" s="17">
        <f t="shared" si="5"/>
        <v>0</v>
      </c>
      <c r="S15" s="19">
        <f t="shared" si="6"/>
        <v>1</v>
      </c>
      <c r="T15" s="17">
        <f t="shared" si="7"/>
        <v>14</v>
      </c>
      <c r="U15" s="19">
        <f t="shared" si="8"/>
        <v>10</v>
      </c>
      <c r="V15" s="17">
        <f t="shared" si="9"/>
        <v>4</v>
      </c>
      <c r="W15" s="56"/>
      <c r="X15" s="56"/>
      <c r="Y15" s="56"/>
      <c r="Z15" s="56"/>
      <c r="AA15" s="21">
        <v>13.0</v>
      </c>
      <c r="AB15" s="63" t="s">
        <v>45</v>
      </c>
      <c r="AC15" s="22">
        <v>0.0</v>
      </c>
      <c r="AD15" s="22">
        <v>0.0</v>
      </c>
      <c r="AE15" s="22">
        <v>0.0</v>
      </c>
      <c r="AF15" s="23">
        <v>2.0</v>
      </c>
      <c r="AG15" s="22">
        <v>6.0</v>
      </c>
      <c r="AH15" s="23">
        <v>29.0</v>
      </c>
      <c r="AI15" s="22">
        <v>-23.0</v>
      </c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</row>
    <row r="16" ht="15.75" customHeight="1">
      <c r="A16" s="24"/>
      <c r="B16" s="39">
        <v>45951.0</v>
      </c>
      <c r="C16" s="12" t="s">
        <v>103</v>
      </c>
      <c r="D16" s="87" t="s">
        <v>133</v>
      </c>
      <c r="E16" s="40" t="s">
        <v>61</v>
      </c>
      <c r="F16" s="14">
        <v>6.0</v>
      </c>
      <c r="G16" s="75" t="s">
        <v>24</v>
      </c>
      <c r="H16" s="14">
        <v>2.0</v>
      </c>
      <c r="I16" s="40" t="s">
        <v>113</v>
      </c>
      <c r="J16" s="4"/>
      <c r="K16" s="4">
        <f t="shared" si="1"/>
        <v>2</v>
      </c>
      <c r="L16" s="17">
        <f t="shared" si="2"/>
        <v>0</v>
      </c>
      <c r="M16" s="4"/>
      <c r="N16" s="89">
        <v>14.0</v>
      </c>
      <c r="O16" s="89" t="s">
        <v>31</v>
      </c>
      <c r="P16" s="17">
        <f t="shared" si="3"/>
        <v>4</v>
      </c>
      <c r="Q16" s="17">
        <f t="shared" si="4"/>
        <v>2</v>
      </c>
      <c r="R16" s="17">
        <f t="shared" si="5"/>
        <v>0</v>
      </c>
      <c r="S16" s="19">
        <f t="shared" si="6"/>
        <v>0</v>
      </c>
      <c r="T16" s="17">
        <f t="shared" si="7"/>
        <v>29</v>
      </c>
      <c r="U16" s="19">
        <f t="shared" si="8"/>
        <v>2</v>
      </c>
      <c r="V16" s="17">
        <f t="shared" si="9"/>
        <v>27</v>
      </c>
      <c r="W16" s="56"/>
      <c r="X16" s="56"/>
      <c r="Y16" s="56"/>
      <c r="Z16" s="56"/>
      <c r="AA16" s="21">
        <v>14.0</v>
      </c>
      <c r="AB16" s="63" t="s">
        <v>134</v>
      </c>
      <c r="AC16" s="22">
        <v>0.0</v>
      </c>
      <c r="AD16" s="22">
        <v>0.0</v>
      </c>
      <c r="AE16" s="22">
        <v>0.0</v>
      </c>
      <c r="AF16" s="23">
        <v>2.0</v>
      </c>
      <c r="AG16" s="22">
        <v>9.0</v>
      </c>
      <c r="AH16" s="23">
        <v>33.0</v>
      </c>
      <c r="AI16" s="22">
        <v>-24.0</v>
      </c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</row>
    <row r="17" ht="15.75" customHeight="1">
      <c r="A17" s="58">
        <v>3.0</v>
      </c>
      <c r="B17" s="79"/>
      <c r="C17" s="75"/>
      <c r="D17" s="75"/>
      <c r="E17" s="40" t="s">
        <v>25</v>
      </c>
      <c r="F17" s="75"/>
      <c r="G17" s="75" t="s">
        <v>24</v>
      </c>
      <c r="H17" s="75"/>
      <c r="I17" s="40" t="s">
        <v>33</v>
      </c>
      <c r="J17" s="4"/>
      <c r="K17" s="4" t="str">
        <f t="shared" si="1"/>
        <v/>
      </c>
      <c r="L17" s="17" t="str">
        <f t="shared" si="2"/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56"/>
      <c r="X17" s="56"/>
      <c r="Y17" s="56"/>
      <c r="Z17" s="56"/>
      <c r="AA17" s="34" t="s">
        <v>137</v>
      </c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</row>
    <row r="18" ht="15.75" customHeight="1">
      <c r="A18" s="24"/>
      <c r="B18" s="79"/>
      <c r="C18" s="75"/>
      <c r="D18" s="75"/>
      <c r="E18" s="40" t="s">
        <v>23</v>
      </c>
      <c r="F18" s="75"/>
      <c r="G18" s="75" t="s">
        <v>24</v>
      </c>
      <c r="H18" s="75"/>
      <c r="I18" s="40" t="s">
        <v>36</v>
      </c>
      <c r="J18" s="37"/>
      <c r="K18" s="4" t="str">
        <f t="shared" si="1"/>
        <v/>
      </c>
      <c r="L18" s="17" t="str">
        <f t="shared" si="2"/>
        <v/>
      </c>
      <c r="M18" s="4"/>
      <c r="N18" s="4"/>
      <c r="O18" s="4"/>
      <c r="P18" s="4"/>
      <c r="Q18" s="56"/>
      <c r="R18" s="4"/>
      <c r="S18" s="4"/>
      <c r="T18" s="4"/>
      <c r="U18" s="4"/>
      <c r="V18" s="4"/>
      <c r="W18" s="56"/>
      <c r="X18" s="56"/>
      <c r="Y18" s="56"/>
      <c r="Z18" s="56"/>
      <c r="AA18" s="4"/>
      <c r="AD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ht="15.75" customHeight="1">
      <c r="A19" s="24"/>
      <c r="B19" s="79"/>
      <c r="C19" s="75"/>
      <c r="D19" s="75"/>
      <c r="E19" s="40" t="s">
        <v>57</v>
      </c>
      <c r="F19" s="75"/>
      <c r="G19" s="75" t="s">
        <v>24</v>
      </c>
      <c r="H19" s="75"/>
      <c r="I19" s="40" t="s">
        <v>136</v>
      </c>
      <c r="J19" s="4"/>
      <c r="K19" s="4" t="str">
        <f t="shared" si="1"/>
        <v/>
      </c>
      <c r="L19" s="17" t="str">
        <f t="shared" si="2"/>
        <v/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56"/>
      <c r="X19" s="56"/>
      <c r="Y19" s="56"/>
      <c r="Z19" s="5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ht="15.75" customHeight="1">
      <c r="A20" s="24"/>
      <c r="B20" s="79"/>
      <c r="C20" s="75"/>
      <c r="D20" s="75"/>
      <c r="E20" s="40" t="s">
        <v>134</v>
      </c>
      <c r="F20" s="75"/>
      <c r="G20" s="75" t="s">
        <v>24</v>
      </c>
      <c r="H20" s="75"/>
      <c r="I20" s="40" t="s">
        <v>60</v>
      </c>
      <c r="J20" s="4"/>
      <c r="K20" s="4" t="str">
        <f t="shared" si="1"/>
        <v/>
      </c>
      <c r="L20" s="17" t="str">
        <f t="shared" si="2"/>
        <v/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56"/>
      <c r="X20" s="56"/>
      <c r="Y20" s="56"/>
      <c r="Z20" s="5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ht="15.75" customHeight="1">
      <c r="A21" s="24"/>
      <c r="B21" s="79"/>
      <c r="C21" s="75"/>
      <c r="D21" s="75"/>
      <c r="E21" s="40" t="s">
        <v>61</v>
      </c>
      <c r="F21" s="27"/>
      <c r="G21" s="75" t="s">
        <v>24</v>
      </c>
      <c r="H21" s="27"/>
      <c r="I21" s="40" t="s">
        <v>64</v>
      </c>
      <c r="J21" s="4"/>
      <c r="K21" s="4" t="str">
        <f t="shared" si="1"/>
        <v/>
      </c>
      <c r="L21" s="17" t="str">
        <f t="shared" si="2"/>
        <v/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56"/>
      <c r="X21" s="56"/>
      <c r="Y21" s="56"/>
      <c r="Z21" s="5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ht="15.75" customHeight="1">
      <c r="A22" s="24"/>
      <c r="B22" s="79"/>
      <c r="C22" s="75"/>
      <c r="D22" s="75"/>
      <c r="E22" s="40" t="s">
        <v>45</v>
      </c>
      <c r="F22" s="75"/>
      <c r="G22" s="75" t="s">
        <v>24</v>
      </c>
      <c r="H22" s="75"/>
      <c r="I22" s="40" t="s">
        <v>40</v>
      </c>
      <c r="J22" s="4"/>
      <c r="K22" s="4" t="str">
        <f t="shared" si="1"/>
        <v/>
      </c>
      <c r="L22" s="17" t="str">
        <f t="shared" si="2"/>
        <v/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56"/>
      <c r="X22" s="56"/>
      <c r="Y22" s="56"/>
      <c r="Z22" s="5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ht="15.75" customHeight="1">
      <c r="A23" s="24"/>
      <c r="B23" s="79"/>
      <c r="C23" s="75"/>
      <c r="D23" s="75"/>
      <c r="E23" s="40" t="s">
        <v>113</v>
      </c>
      <c r="F23" s="75"/>
      <c r="G23" s="75" t="s">
        <v>24</v>
      </c>
      <c r="H23" s="75"/>
      <c r="I23" s="40" t="s">
        <v>31</v>
      </c>
      <c r="J23" s="4"/>
      <c r="K23" s="4" t="str">
        <f t="shared" si="1"/>
        <v/>
      </c>
      <c r="L23" s="17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56"/>
      <c r="X23" s="56"/>
      <c r="Y23" s="56"/>
      <c r="Z23" s="5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ht="15.75" customHeight="1">
      <c r="A24" s="58">
        <v>4.0</v>
      </c>
      <c r="B24" s="79"/>
      <c r="C24" s="75"/>
      <c r="D24" s="75"/>
      <c r="E24" s="40" t="s">
        <v>25</v>
      </c>
      <c r="F24" s="75"/>
      <c r="G24" s="75" t="s">
        <v>24</v>
      </c>
      <c r="H24" s="75"/>
      <c r="I24" s="40" t="s">
        <v>36</v>
      </c>
      <c r="J24" s="4"/>
      <c r="K24" s="4" t="str">
        <f t="shared" si="1"/>
        <v/>
      </c>
      <c r="L24" s="17" t="str">
        <f t="shared" si="2"/>
        <v/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56"/>
      <c r="X24" s="56"/>
      <c r="Y24" s="56"/>
      <c r="Z24" s="5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ht="15.75" customHeight="1">
      <c r="A25" s="24"/>
      <c r="B25" s="79"/>
      <c r="C25" s="75"/>
      <c r="D25" s="75"/>
      <c r="E25" s="40" t="s">
        <v>23</v>
      </c>
      <c r="F25" s="75"/>
      <c r="G25" s="75" t="s">
        <v>24</v>
      </c>
      <c r="H25" s="75"/>
      <c r="I25" s="40" t="s">
        <v>33</v>
      </c>
      <c r="J25" s="4"/>
      <c r="K25" s="4" t="str">
        <f t="shared" si="1"/>
        <v/>
      </c>
      <c r="L25" s="17" t="str">
        <f t="shared" si="2"/>
        <v/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56"/>
      <c r="X25" s="56"/>
      <c r="Y25" s="56"/>
      <c r="Z25" s="5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ht="15.75" customHeight="1">
      <c r="A26" s="24"/>
      <c r="B26" s="79"/>
      <c r="C26" s="75"/>
      <c r="D26" s="75"/>
      <c r="E26" s="40" t="s">
        <v>57</v>
      </c>
      <c r="F26" s="75"/>
      <c r="G26" s="75" t="s">
        <v>24</v>
      </c>
      <c r="H26" s="75"/>
      <c r="I26" s="40" t="s">
        <v>31</v>
      </c>
      <c r="J26" s="4"/>
      <c r="K26" s="4" t="str">
        <f t="shared" si="1"/>
        <v/>
      </c>
      <c r="L26" s="17" t="str">
        <f t="shared" si="2"/>
        <v/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56"/>
      <c r="X26" s="56"/>
      <c r="Y26" s="56"/>
      <c r="Z26" s="56"/>
      <c r="AA26" s="36"/>
      <c r="AB26" s="5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ht="15.75" customHeight="1">
      <c r="A27" s="24"/>
      <c r="B27" s="79"/>
      <c r="C27" s="75"/>
      <c r="D27" s="75"/>
      <c r="E27" s="40" t="s">
        <v>134</v>
      </c>
      <c r="F27" s="75"/>
      <c r="G27" s="75" t="s">
        <v>24</v>
      </c>
      <c r="H27" s="75"/>
      <c r="I27" s="40" t="s">
        <v>64</v>
      </c>
      <c r="J27" s="4"/>
      <c r="K27" s="4" t="str">
        <f t="shared" si="1"/>
        <v/>
      </c>
      <c r="L27" s="17" t="str">
        <f t="shared" si="2"/>
        <v/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56"/>
      <c r="X27" s="56"/>
      <c r="Y27" s="56"/>
      <c r="Z27" s="56"/>
      <c r="AA27" s="36"/>
      <c r="AB27" s="5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ht="15.75" customHeight="1">
      <c r="A28" s="24"/>
      <c r="B28" s="79"/>
      <c r="C28" s="75"/>
      <c r="D28" s="75"/>
      <c r="E28" s="40" t="s">
        <v>60</v>
      </c>
      <c r="F28" s="27"/>
      <c r="G28" s="75" t="s">
        <v>24</v>
      </c>
      <c r="H28" s="27"/>
      <c r="I28" s="40" t="s">
        <v>61</v>
      </c>
      <c r="J28" s="4"/>
      <c r="K28" s="4" t="str">
        <f t="shared" si="1"/>
        <v/>
      </c>
      <c r="L28" s="17" t="str">
        <f t="shared" si="2"/>
        <v/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56"/>
      <c r="X28" s="56"/>
      <c r="Y28" s="56"/>
      <c r="Z28" s="56"/>
      <c r="AA28" s="4"/>
      <c r="AB28" s="4"/>
      <c r="AC28" s="4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ht="15.75" customHeight="1">
      <c r="A29" s="24"/>
      <c r="B29" s="79"/>
      <c r="C29" s="75"/>
      <c r="D29" s="75"/>
      <c r="E29" s="40" t="s">
        <v>45</v>
      </c>
      <c r="F29" s="75"/>
      <c r="G29" s="75" t="s">
        <v>24</v>
      </c>
      <c r="H29" s="75"/>
      <c r="I29" s="40" t="s">
        <v>113</v>
      </c>
      <c r="J29" s="4"/>
      <c r="K29" s="4" t="str">
        <f t="shared" si="1"/>
        <v/>
      </c>
      <c r="L29" s="17" t="str">
        <f t="shared" si="2"/>
        <v/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56"/>
      <c r="X29" s="56"/>
      <c r="Y29" s="56"/>
      <c r="Z29" s="56"/>
      <c r="AA29" s="4"/>
      <c r="AB29" s="4"/>
      <c r="AC29" s="4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ht="15.75" customHeight="1">
      <c r="A30" s="24"/>
      <c r="B30" s="79"/>
      <c r="C30" s="75"/>
      <c r="D30" s="75"/>
      <c r="E30" s="40" t="s">
        <v>136</v>
      </c>
      <c r="F30" s="75"/>
      <c r="G30" s="75" t="s">
        <v>24</v>
      </c>
      <c r="H30" s="75"/>
      <c r="I30" s="40" t="s">
        <v>40</v>
      </c>
      <c r="J30" s="4"/>
      <c r="K30" s="4" t="str">
        <f t="shared" si="1"/>
        <v/>
      </c>
      <c r="L30" s="17" t="str">
        <f t="shared" si="2"/>
        <v/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56"/>
      <c r="X30" s="56"/>
      <c r="Y30" s="56"/>
      <c r="Z30" s="56"/>
      <c r="AA30" s="4"/>
      <c r="AB30" s="4"/>
      <c r="AC30" s="4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ht="15.75" customHeight="1">
      <c r="A31" s="58">
        <v>5.0</v>
      </c>
      <c r="B31" s="79"/>
      <c r="C31" s="75"/>
      <c r="D31" s="75"/>
      <c r="E31" s="40" t="s">
        <v>25</v>
      </c>
      <c r="F31" s="75"/>
      <c r="G31" s="75" t="s">
        <v>24</v>
      </c>
      <c r="H31" s="75"/>
      <c r="I31" s="40" t="s">
        <v>31</v>
      </c>
      <c r="J31" s="56"/>
      <c r="K31" s="4" t="str">
        <f t="shared" si="1"/>
        <v/>
      </c>
      <c r="L31" s="17" t="str">
        <f t="shared" si="2"/>
        <v/>
      </c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4"/>
      <c r="AB31" s="4"/>
      <c r="AC31" s="4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ht="15.75" customHeight="1">
      <c r="A32" s="24"/>
      <c r="B32" s="79"/>
      <c r="C32" s="75"/>
      <c r="D32" s="75"/>
      <c r="E32" s="40" t="s">
        <v>23</v>
      </c>
      <c r="F32" s="75"/>
      <c r="G32" s="75" t="s">
        <v>24</v>
      </c>
      <c r="H32" s="75"/>
      <c r="I32" s="40" t="s">
        <v>64</v>
      </c>
      <c r="J32" s="56"/>
      <c r="K32" s="4" t="str">
        <f t="shared" si="1"/>
        <v/>
      </c>
      <c r="L32" s="17" t="str">
        <f t="shared" si="2"/>
        <v/>
      </c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4"/>
      <c r="AB32" s="4"/>
      <c r="AC32" s="4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ht="15.75" customHeight="1">
      <c r="A33" s="24"/>
      <c r="B33" s="79"/>
      <c r="C33" s="75"/>
      <c r="D33" s="75"/>
      <c r="E33" s="40" t="s">
        <v>36</v>
      </c>
      <c r="F33" s="75"/>
      <c r="G33" s="75" t="s">
        <v>24</v>
      </c>
      <c r="H33" s="75"/>
      <c r="I33" s="40" t="s">
        <v>136</v>
      </c>
      <c r="J33" s="56"/>
      <c r="K33" s="4" t="str">
        <f t="shared" si="1"/>
        <v/>
      </c>
      <c r="L33" s="17" t="str">
        <f t="shared" si="2"/>
        <v/>
      </c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4"/>
      <c r="AB33" s="4"/>
      <c r="AC33" s="4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ht="15.75" customHeight="1">
      <c r="A34" s="24"/>
      <c r="B34" s="79"/>
      <c r="C34" s="75"/>
      <c r="D34" s="75"/>
      <c r="E34" s="40" t="s">
        <v>33</v>
      </c>
      <c r="F34" s="75"/>
      <c r="G34" s="75" t="s">
        <v>24</v>
      </c>
      <c r="H34" s="75"/>
      <c r="I34" s="40" t="s">
        <v>40</v>
      </c>
      <c r="J34" s="56"/>
      <c r="K34" s="4" t="str">
        <f t="shared" si="1"/>
        <v/>
      </c>
      <c r="L34" s="17" t="str">
        <f t="shared" si="2"/>
        <v/>
      </c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4"/>
      <c r="AB34" s="4"/>
      <c r="AC34" s="4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ht="15.75" customHeight="1">
      <c r="A35" s="24"/>
      <c r="B35" s="79"/>
      <c r="C35" s="75"/>
      <c r="D35" s="75"/>
      <c r="E35" s="40" t="s">
        <v>57</v>
      </c>
      <c r="F35" s="27"/>
      <c r="G35" s="75" t="s">
        <v>24</v>
      </c>
      <c r="H35" s="27"/>
      <c r="I35" s="40" t="s">
        <v>61</v>
      </c>
      <c r="J35" s="56"/>
      <c r="K35" s="4" t="str">
        <f t="shared" si="1"/>
        <v/>
      </c>
      <c r="L35" s="17" t="str">
        <f t="shared" si="2"/>
        <v/>
      </c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4"/>
      <c r="AB35" s="4"/>
      <c r="AC35" s="4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ht="15.75" customHeight="1">
      <c r="A36" s="24"/>
      <c r="B36" s="79"/>
      <c r="C36" s="75"/>
      <c r="D36" s="75"/>
      <c r="E36" s="40" t="s">
        <v>134</v>
      </c>
      <c r="F36" s="75"/>
      <c r="G36" s="75" t="s">
        <v>24</v>
      </c>
      <c r="H36" s="75"/>
      <c r="I36" s="40" t="s">
        <v>113</v>
      </c>
      <c r="J36" s="56"/>
      <c r="K36" s="4" t="str">
        <f t="shared" si="1"/>
        <v/>
      </c>
      <c r="L36" s="17" t="str">
        <f t="shared" si="2"/>
        <v/>
      </c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36"/>
      <c r="AB36" s="5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ht="15.75" customHeight="1">
      <c r="A37" s="24"/>
      <c r="B37" s="79"/>
      <c r="C37" s="75"/>
      <c r="D37" s="75"/>
      <c r="E37" s="40" t="s">
        <v>60</v>
      </c>
      <c r="F37" s="75"/>
      <c r="G37" s="75" t="s">
        <v>24</v>
      </c>
      <c r="H37" s="75"/>
      <c r="I37" s="40" t="s">
        <v>45</v>
      </c>
      <c r="J37" s="56"/>
      <c r="K37" s="4" t="str">
        <f t="shared" si="1"/>
        <v/>
      </c>
      <c r="L37" s="17" t="str">
        <f t="shared" si="2"/>
        <v/>
      </c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36"/>
      <c r="AB37" s="5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ht="15.75" customHeight="1">
      <c r="A38" s="58">
        <v>6.0</v>
      </c>
      <c r="B38" s="79"/>
      <c r="C38" s="75"/>
      <c r="D38" s="75"/>
      <c r="E38" s="40" t="s">
        <v>25</v>
      </c>
      <c r="F38" s="75"/>
      <c r="G38" s="75" t="s">
        <v>24</v>
      </c>
      <c r="H38" s="75"/>
      <c r="I38" s="40" t="s">
        <v>64</v>
      </c>
      <c r="J38" s="56"/>
      <c r="K38" s="4" t="str">
        <f t="shared" si="1"/>
        <v/>
      </c>
      <c r="L38" s="17" t="str">
        <f t="shared" si="2"/>
        <v/>
      </c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36"/>
      <c r="AB38" s="5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ht="15.75" customHeight="1">
      <c r="A39" s="24"/>
      <c r="B39" s="79"/>
      <c r="C39" s="75"/>
      <c r="D39" s="75"/>
      <c r="E39" s="40" t="s">
        <v>23</v>
      </c>
      <c r="F39" s="75"/>
      <c r="G39" s="75" t="s">
        <v>24</v>
      </c>
      <c r="H39" s="75"/>
      <c r="I39" s="40" t="s">
        <v>113</v>
      </c>
      <c r="J39" s="56"/>
      <c r="K39" s="4" t="str">
        <f t="shared" si="1"/>
        <v/>
      </c>
      <c r="L39" s="17" t="str">
        <f t="shared" si="2"/>
        <v/>
      </c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36"/>
      <c r="AB39" s="5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ht="15.75" customHeight="1">
      <c r="A40" s="24"/>
      <c r="B40" s="79"/>
      <c r="C40" s="75"/>
      <c r="D40" s="75"/>
      <c r="E40" s="40" t="s">
        <v>36</v>
      </c>
      <c r="F40" s="75"/>
      <c r="G40" s="75" t="s">
        <v>24</v>
      </c>
      <c r="H40" s="75"/>
      <c r="I40" s="40" t="s">
        <v>40</v>
      </c>
      <c r="J40" s="56"/>
      <c r="K40" s="4" t="str">
        <f t="shared" si="1"/>
        <v/>
      </c>
      <c r="L40" s="17" t="str">
        <f t="shared" si="2"/>
        <v/>
      </c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36"/>
      <c r="AB40" s="5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ht="15.75" customHeight="1">
      <c r="A41" s="24"/>
      <c r="B41" s="79"/>
      <c r="C41" s="75"/>
      <c r="D41" s="75"/>
      <c r="E41" s="40" t="s">
        <v>33</v>
      </c>
      <c r="F41" s="75"/>
      <c r="G41" s="75" t="s">
        <v>24</v>
      </c>
      <c r="H41" s="75"/>
      <c r="I41" s="40" t="s">
        <v>61</v>
      </c>
      <c r="J41" s="56"/>
      <c r="K41" s="4" t="str">
        <f t="shared" si="1"/>
        <v/>
      </c>
      <c r="L41" s="17" t="str">
        <f t="shared" si="2"/>
        <v/>
      </c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36"/>
      <c r="AB41" s="5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ht="15.75" customHeight="1">
      <c r="A42" s="24"/>
      <c r="B42" s="79"/>
      <c r="C42" s="75"/>
      <c r="D42" s="75"/>
      <c r="E42" s="40" t="s">
        <v>57</v>
      </c>
      <c r="F42" s="27"/>
      <c r="G42" s="75" t="s">
        <v>24</v>
      </c>
      <c r="H42" s="27"/>
      <c r="I42" s="40" t="s">
        <v>134</v>
      </c>
      <c r="J42" s="56"/>
      <c r="K42" s="4" t="str">
        <f t="shared" si="1"/>
        <v/>
      </c>
      <c r="L42" s="17" t="str">
        <f t="shared" si="2"/>
        <v/>
      </c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36"/>
      <c r="AB42" s="5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ht="15.75" customHeight="1">
      <c r="A43" s="24"/>
      <c r="B43" s="79"/>
      <c r="C43" s="75"/>
      <c r="D43" s="75"/>
      <c r="E43" s="40" t="s">
        <v>136</v>
      </c>
      <c r="F43" s="75"/>
      <c r="G43" s="75" t="s">
        <v>24</v>
      </c>
      <c r="H43" s="75"/>
      <c r="I43" s="40" t="s">
        <v>45</v>
      </c>
      <c r="J43" s="56"/>
      <c r="K43" s="4" t="str">
        <f t="shared" si="1"/>
        <v/>
      </c>
      <c r="L43" s="17" t="str">
        <f t="shared" si="2"/>
        <v/>
      </c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36"/>
      <c r="AB43" s="5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ht="15.75" customHeight="1">
      <c r="A44" s="24"/>
      <c r="B44" s="79"/>
      <c r="C44" s="75"/>
      <c r="D44" s="75"/>
      <c r="E44" s="40" t="s">
        <v>60</v>
      </c>
      <c r="F44" s="75"/>
      <c r="G44" s="75" t="s">
        <v>24</v>
      </c>
      <c r="H44" s="75"/>
      <c r="I44" s="40" t="s">
        <v>31</v>
      </c>
      <c r="J44" s="56"/>
      <c r="K44" s="4" t="str">
        <f t="shared" si="1"/>
        <v/>
      </c>
      <c r="L44" s="17" t="str">
        <f t="shared" si="2"/>
        <v/>
      </c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36"/>
      <c r="AB44" s="5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ht="15.75" customHeight="1">
      <c r="A45" s="58">
        <v>7.0</v>
      </c>
      <c r="B45" s="79"/>
      <c r="C45" s="75"/>
      <c r="D45" s="75"/>
      <c r="E45" s="40" t="s">
        <v>25</v>
      </c>
      <c r="F45" s="75"/>
      <c r="G45" s="75" t="s">
        <v>24</v>
      </c>
      <c r="H45" s="75"/>
      <c r="I45" s="40" t="s">
        <v>113</v>
      </c>
      <c r="J45" s="56"/>
      <c r="K45" s="4" t="str">
        <f t="shared" si="1"/>
        <v/>
      </c>
      <c r="L45" s="17" t="str">
        <f t="shared" si="2"/>
        <v/>
      </c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36"/>
      <c r="AB45" s="5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ht="15.75" customHeight="1">
      <c r="A46" s="24"/>
      <c r="B46" s="79"/>
      <c r="C46" s="75"/>
      <c r="D46" s="75"/>
      <c r="E46" s="40" t="s">
        <v>23</v>
      </c>
      <c r="F46" s="75"/>
      <c r="G46" s="75" t="s">
        <v>24</v>
      </c>
      <c r="H46" s="75"/>
      <c r="I46" s="40" t="s">
        <v>31</v>
      </c>
      <c r="J46" s="56"/>
      <c r="K46" s="4" t="str">
        <f t="shared" si="1"/>
        <v/>
      </c>
      <c r="L46" s="17" t="str">
        <f t="shared" si="2"/>
        <v/>
      </c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36"/>
      <c r="AB46" s="5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ht="15.75" customHeight="1">
      <c r="A47" s="24"/>
      <c r="B47" s="79"/>
      <c r="C47" s="75"/>
      <c r="D47" s="75"/>
      <c r="E47" s="40" t="s">
        <v>36</v>
      </c>
      <c r="F47" s="14"/>
      <c r="G47" s="75" t="s">
        <v>24</v>
      </c>
      <c r="H47" s="14"/>
      <c r="I47" s="40" t="s">
        <v>61</v>
      </c>
      <c r="J47" s="56"/>
      <c r="K47" s="4" t="str">
        <f t="shared" si="1"/>
        <v/>
      </c>
      <c r="L47" s="17" t="str">
        <f t="shared" si="2"/>
        <v/>
      </c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36"/>
      <c r="AB47" s="5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ht="15.75" customHeight="1">
      <c r="A48" s="24"/>
      <c r="B48" s="79"/>
      <c r="C48" s="75"/>
      <c r="D48" s="75"/>
      <c r="E48" s="40" t="s">
        <v>33</v>
      </c>
      <c r="F48" s="75"/>
      <c r="G48" s="75" t="s">
        <v>24</v>
      </c>
      <c r="H48" s="75"/>
      <c r="I48" s="40" t="s">
        <v>136</v>
      </c>
      <c r="J48" s="56"/>
      <c r="K48" s="4" t="str">
        <f t="shared" si="1"/>
        <v/>
      </c>
      <c r="L48" s="17" t="str">
        <f t="shared" si="2"/>
        <v/>
      </c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36"/>
      <c r="AB48" s="5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ht="15.75" customHeight="1">
      <c r="A49" s="24"/>
      <c r="B49" s="79"/>
      <c r="C49" s="75"/>
      <c r="D49" s="75"/>
      <c r="E49" s="40" t="s">
        <v>57</v>
      </c>
      <c r="F49" s="27"/>
      <c r="G49" s="75" t="s">
        <v>24</v>
      </c>
      <c r="H49" s="27"/>
      <c r="I49" s="40" t="s">
        <v>45</v>
      </c>
      <c r="J49" s="56"/>
      <c r="K49" s="4" t="str">
        <f t="shared" si="1"/>
        <v/>
      </c>
      <c r="L49" s="17" t="str">
        <f t="shared" si="2"/>
        <v/>
      </c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36"/>
      <c r="AB49" s="5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ht="15.75" customHeight="1">
      <c r="A50" s="24"/>
      <c r="B50" s="79"/>
      <c r="C50" s="75"/>
      <c r="D50" s="75"/>
      <c r="E50" s="40" t="s">
        <v>134</v>
      </c>
      <c r="F50" s="75"/>
      <c r="G50" s="75" t="s">
        <v>24</v>
      </c>
      <c r="H50" s="75"/>
      <c r="I50" s="40" t="s">
        <v>40</v>
      </c>
      <c r="J50" s="56"/>
      <c r="K50" s="4" t="str">
        <f t="shared" si="1"/>
        <v/>
      </c>
      <c r="L50" s="17" t="str">
        <f t="shared" si="2"/>
        <v/>
      </c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36"/>
      <c r="AB50" s="5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ht="15.75" customHeight="1">
      <c r="A51" s="28"/>
      <c r="B51" s="79"/>
      <c r="C51" s="75"/>
      <c r="D51" s="75"/>
      <c r="E51" s="40" t="s">
        <v>60</v>
      </c>
      <c r="F51" s="75"/>
      <c r="G51" s="75" t="s">
        <v>24</v>
      </c>
      <c r="H51" s="75"/>
      <c r="I51" s="40" t="s">
        <v>64</v>
      </c>
      <c r="J51" s="56"/>
      <c r="K51" s="4" t="str">
        <f t="shared" si="1"/>
        <v/>
      </c>
      <c r="L51" s="17" t="str">
        <f t="shared" si="2"/>
        <v/>
      </c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36"/>
      <c r="AB51" s="5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ht="15.75" customHeight="1">
      <c r="A52" s="83"/>
      <c r="B52" s="36"/>
      <c r="C52" s="36"/>
      <c r="D52" s="36"/>
      <c r="E52" s="36"/>
      <c r="F52" s="36"/>
      <c r="G52" s="36"/>
      <c r="H52" s="36"/>
      <c r="I52" s="3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36"/>
      <c r="AB52" s="5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ht="15.75" customHeight="1">
      <c r="A53" s="83"/>
      <c r="B53" s="36"/>
      <c r="C53" s="36"/>
      <c r="D53" s="36"/>
      <c r="E53" s="36"/>
      <c r="F53" s="36"/>
      <c r="G53" s="36"/>
      <c r="H53" s="36"/>
      <c r="I53" s="3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36"/>
      <c r="AB53" s="5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ht="15.75" customHeight="1">
      <c r="A54" s="83"/>
      <c r="B54" s="36"/>
      <c r="C54" s="36"/>
      <c r="D54" s="36"/>
      <c r="E54" s="36"/>
      <c r="F54" s="36"/>
      <c r="G54" s="36"/>
      <c r="H54" s="36"/>
      <c r="I54" s="3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36"/>
      <c r="AB54" s="5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ht="15.75" customHeight="1">
      <c r="A55" s="83"/>
      <c r="B55" s="36"/>
      <c r="C55" s="36"/>
      <c r="D55" s="36"/>
      <c r="E55" s="36"/>
      <c r="F55" s="36"/>
      <c r="G55" s="36"/>
      <c r="H55" s="36"/>
      <c r="I55" s="3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36"/>
      <c r="AB55" s="5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ht="15.75" customHeight="1">
      <c r="A56" s="51" t="s">
        <v>138</v>
      </c>
      <c r="H56" s="2"/>
      <c r="I56" s="3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36"/>
      <c r="AB56" s="5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ht="15.75" customHeight="1">
      <c r="A57" s="5" t="s">
        <v>1</v>
      </c>
      <c r="B57" s="5" t="s">
        <v>2</v>
      </c>
      <c r="C57" s="5" t="s">
        <v>3</v>
      </c>
      <c r="D57" s="5" t="s">
        <v>4</v>
      </c>
      <c r="E57" s="5" t="s">
        <v>5</v>
      </c>
      <c r="F57" s="6" t="s">
        <v>6</v>
      </c>
      <c r="G57" s="7"/>
      <c r="H57" s="8"/>
      <c r="I57" s="5" t="s">
        <v>7</v>
      </c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36"/>
      <c r="AB57" s="5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ht="15.75" customHeight="1">
      <c r="A58" s="52" t="s">
        <v>68</v>
      </c>
      <c r="B58" s="39"/>
      <c r="C58" s="12"/>
      <c r="D58" s="12"/>
      <c r="E58" s="40" t="s">
        <v>69</v>
      </c>
      <c r="F58" s="30"/>
      <c r="G58" s="16" t="s">
        <v>24</v>
      </c>
      <c r="H58" s="30"/>
      <c r="I58" s="40" t="s">
        <v>139</v>
      </c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36"/>
      <c r="AB58" s="5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ht="15.75" customHeight="1">
      <c r="A59" s="24"/>
      <c r="B59" s="39"/>
      <c r="C59" s="12"/>
      <c r="D59" s="12"/>
      <c r="E59" s="40" t="s">
        <v>71</v>
      </c>
      <c r="F59" s="30"/>
      <c r="G59" s="16" t="s">
        <v>24</v>
      </c>
      <c r="H59" s="30"/>
      <c r="I59" s="40" t="s">
        <v>72</v>
      </c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36"/>
      <c r="AB59" s="5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ht="15.75" customHeight="1">
      <c r="A60" s="24"/>
      <c r="B60" s="39"/>
      <c r="C60" s="12"/>
      <c r="D60" s="12"/>
      <c r="E60" s="40" t="s">
        <v>73</v>
      </c>
      <c r="F60" s="30"/>
      <c r="G60" s="16" t="s">
        <v>24</v>
      </c>
      <c r="H60" s="30"/>
      <c r="I60" s="40" t="s">
        <v>74</v>
      </c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36"/>
      <c r="AB60" s="5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ht="15.75" customHeight="1">
      <c r="A61" s="28"/>
      <c r="B61" s="39"/>
      <c r="C61" s="12"/>
      <c r="D61" s="12"/>
      <c r="E61" s="40" t="s">
        <v>75</v>
      </c>
      <c r="F61" s="30"/>
      <c r="G61" s="16" t="s">
        <v>24</v>
      </c>
      <c r="H61" s="30"/>
      <c r="I61" s="40" t="s">
        <v>76</v>
      </c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36"/>
      <c r="AB61" s="5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ht="15.75" customHeight="1">
      <c r="A62" s="53" t="s">
        <v>77</v>
      </c>
      <c r="B62" s="39"/>
      <c r="C62" s="12"/>
      <c r="D62" s="12"/>
      <c r="E62" s="40" t="s">
        <v>78</v>
      </c>
      <c r="F62" s="30"/>
      <c r="G62" s="16" t="s">
        <v>24</v>
      </c>
      <c r="H62" s="30"/>
      <c r="I62" s="40" t="s">
        <v>79</v>
      </c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36"/>
      <c r="AB62" s="5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ht="15.75" customHeight="1">
      <c r="A63" s="24"/>
      <c r="B63" s="49"/>
      <c r="C63" s="30"/>
      <c r="D63" s="12"/>
      <c r="E63" s="42" t="s">
        <v>80</v>
      </c>
      <c r="F63" s="13"/>
      <c r="G63" s="16" t="s">
        <v>24</v>
      </c>
      <c r="H63" s="13"/>
      <c r="I63" s="40" t="s">
        <v>81</v>
      </c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36"/>
      <c r="AB63" s="5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ht="15.75" customHeight="1">
      <c r="A64" s="54" t="s">
        <v>82</v>
      </c>
      <c r="B64" s="29"/>
      <c r="C64" s="30"/>
      <c r="D64" s="12"/>
      <c r="E64" s="40" t="s">
        <v>83</v>
      </c>
      <c r="F64" s="30"/>
      <c r="G64" s="16" t="s">
        <v>24</v>
      </c>
      <c r="H64" s="30"/>
      <c r="I64" s="43" t="s">
        <v>84</v>
      </c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36"/>
      <c r="AB64" s="5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ht="15.75" customHeight="1">
      <c r="A65" s="54" t="s">
        <v>85</v>
      </c>
      <c r="B65" s="29"/>
      <c r="C65" s="30"/>
      <c r="D65" s="12"/>
      <c r="E65" s="40" t="s">
        <v>86</v>
      </c>
      <c r="F65" s="30"/>
      <c r="G65" s="16" t="s">
        <v>24</v>
      </c>
      <c r="H65" s="30"/>
      <c r="I65" s="40" t="s">
        <v>87</v>
      </c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36"/>
      <c r="AB65" s="5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ht="15.75" customHeight="1">
      <c r="A66" s="83"/>
      <c r="B66" s="36"/>
      <c r="C66" s="36"/>
      <c r="D66" s="36"/>
      <c r="E66" s="36"/>
      <c r="F66" s="36"/>
      <c r="G66" s="36"/>
      <c r="H66" s="36"/>
      <c r="I66" s="3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36"/>
      <c r="AB66" s="5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ht="15.75" customHeight="1">
      <c r="A67" s="83"/>
      <c r="B67" s="36"/>
      <c r="C67" s="36"/>
      <c r="D67" s="36"/>
      <c r="E67" s="36"/>
      <c r="F67" s="36"/>
      <c r="G67" s="36"/>
      <c r="H67" s="36"/>
      <c r="I67" s="3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36"/>
      <c r="AB67" s="5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ht="15.75" customHeight="1">
      <c r="A68" s="83"/>
      <c r="B68" s="36"/>
      <c r="C68" s="36"/>
      <c r="D68" s="36"/>
      <c r="E68" s="36"/>
      <c r="F68" s="36"/>
      <c r="G68" s="36"/>
      <c r="H68" s="36"/>
      <c r="I68" s="3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36"/>
      <c r="AB68" s="5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ht="15.75" customHeight="1">
      <c r="A69" s="83"/>
      <c r="B69" s="36"/>
      <c r="C69" s="36"/>
      <c r="D69" s="36"/>
      <c r="E69" s="36"/>
      <c r="F69" s="36"/>
      <c r="G69" s="36"/>
      <c r="H69" s="36"/>
      <c r="I69" s="3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36"/>
      <c r="AB69" s="5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ht="15.75" customHeight="1">
      <c r="A70" s="83"/>
      <c r="B70" s="36"/>
      <c r="C70" s="36"/>
      <c r="D70" s="36"/>
      <c r="E70" s="36"/>
      <c r="F70" s="36"/>
      <c r="G70" s="36"/>
      <c r="H70" s="36"/>
      <c r="I70" s="3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36"/>
      <c r="AB70" s="5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ht="15.75" customHeight="1">
      <c r="A71" s="83"/>
      <c r="B71" s="36"/>
      <c r="C71" s="36"/>
      <c r="D71" s="36"/>
      <c r="E71" s="36"/>
      <c r="F71" s="36"/>
      <c r="G71" s="36"/>
      <c r="H71" s="36"/>
      <c r="I71" s="3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36"/>
      <c r="AB71" s="5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ht="15.75" customHeight="1">
      <c r="A72" s="83"/>
      <c r="B72" s="36"/>
      <c r="C72" s="36"/>
      <c r="D72" s="36"/>
      <c r="E72" s="36"/>
      <c r="F72" s="36"/>
      <c r="G72" s="36"/>
      <c r="H72" s="36"/>
      <c r="I72" s="3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36"/>
      <c r="AB72" s="5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ht="15.75" customHeight="1">
      <c r="A73" s="83"/>
      <c r="B73" s="36"/>
      <c r="C73" s="36"/>
      <c r="D73" s="36"/>
      <c r="E73" s="36"/>
      <c r="F73" s="36"/>
      <c r="G73" s="36"/>
      <c r="H73" s="36"/>
      <c r="I73" s="3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36"/>
      <c r="AB73" s="5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ht="15.75" customHeight="1">
      <c r="A74" s="83"/>
      <c r="B74" s="36"/>
      <c r="C74" s="36"/>
      <c r="D74" s="36"/>
      <c r="E74" s="36"/>
      <c r="F74" s="36"/>
      <c r="G74" s="36"/>
      <c r="H74" s="36"/>
      <c r="I74" s="3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36"/>
      <c r="AB74" s="5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ht="15.75" customHeight="1">
      <c r="A75" s="83"/>
      <c r="B75" s="36"/>
      <c r="C75" s="36"/>
      <c r="D75" s="36"/>
      <c r="E75" s="36"/>
      <c r="F75" s="36"/>
      <c r="G75" s="36"/>
      <c r="H75" s="36"/>
      <c r="I75" s="3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36"/>
      <c r="AB75" s="5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ht="15.75" customHeight="1">
      <c r="A76" s="83"/>
      <c r="B76" s="36"/>
      <c r="C76" s="36"/>
      <c r="D76" s="36"/>
      <c r="E76" s="36"/>
      <c r="F76" s="36"/>
      <c r="G76" s="36"/>
      <c r="H76" s="36"/>
      <c r="I76" s="3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36"/>
      <c r="AB76" s="5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ht="15.75" customHeight="1">
      <c r="A77" s="83"/>
      <c r="B77" s="36"/>
      <c r="C77" s="36"/>
      <c r="D77" s="36"/>
      <c r="E77" s="36"/>
      <c r="F77" s="36"/>
      <c r="G77" s="36"/>
      <c r="H77" s="36"/>
      <c r="I77" s="3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36"/>
      <c r="AB77" s="5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ht="15.75" customHeight="1">
      <c r="A78" s="83"/>
      <c r="B78" s="36"/>
      <c r="C78" s="36"/>
      <c r="D78" s="36"/>
      <c r="E78" s="36"/>
      <c r="F78" s="36"/>
      <c r="G78" s="36"/>
      <c r="H78" s="36"/>
      <c r="I78" s="3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36"/>
      <c r="AB78" s="5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ht="15.75" customHeight="1">
      <c r="A79" s="83"/>
      <c r="B79" s="36"/>
      <c r="C79" s="36"/>
      <c r="D79" s="36"/>
      <c r="E79" s="36"/>
      <c r="F79" s="36"/>
      <c r="G79" s="36"/>
      <c r="H79" s="36"/>
      <c r="I79" s="3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36"/>
      <c r="AB79" s="5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ht="15.75" customHeight="1">
      <c r="A80" s="83"/>
      <c r="B80" s="36"/>
      <c r="C80" s="36"/>
      <c r="D80" s="36"/>
      <c r="E80" s="36"/>
      <c r="F80" s="36"/>
      <c r="G80" s="36"/>
      <c r="H80" s="36"/>
      <c r="I80" s="3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36"/>
      <c r="AB80" s="5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ht="15.75" customHeight="1">
      <c r="A81" s="83"/>
      <c r="B81" s="36"/>
      <c r="C81" s="36"/>
      <c r="D81" s="36"/>
      <c r="E81" s="36"/>
      <c r="F81" s="36"/>
      <c r="G81" s="36"/>
      <c r="H81" s="36"/>
      <c r="I81" s="3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36"/>
      <c r="AB81" s="5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ht="15.75" customHeight="1">
      <c r="A82" s="83"/>
      <c r="B82" s="36"/>
      <c r="C82" s="36"/>
      <c r="D82" s="36"/>
      <c r="E82" s="36"/>
      <c r="F82" s="36"/>
      <c r="G82" s="36"/>
      <c r="H82" s="36"/>
      <c r="I82" s="3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36"/>
      <c r="AB82" s="5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ht="15.75" customHeight="1">
      <c r="A83" s="83"/>
      <c r="B83" s="36"/>
      <c r="C83" s="36"/>
      <c r="D83" s="36"/>
      <c r="E83" s="36"/>
      <c r="F83" s="36"/>
      <c r="G83" s="36"/>
      <c r="H83" s="36"/>
      <c r="I83" s="3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36"/>
      <c r="AB83" s="5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ht="15.75" customHeight="1">
      <c r="A84" s="83"/>
      <c r="B84" s="36"/>
      <c r="C84" s="36"/>
      <c r="D84" s="36"/>
      <c r="E84" s="36"/>
      <c r="F84" s="36"/>
      <c r="G84" s="36"/>
      <c r="H84" s="36"/>
      <c r="I84" s="3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36"/>
      <c r="AB84" s="5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ht="15.75" customHeight="1">
      <c r="A85" s="83"/>
      <c r="B85" s="36"/>
      <c r="C85" s="36"/>
      <c r="D85" s="36"/>
      <c r="E85" s="36"/>
      <c r="F85" s="36"/>
      <c r="G85" s="36"/>
      <c r="H85" s="36"/>
      <c r="I85" s="3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36"/>
      <c r="AB85" s="5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ht="15.75" customHeight="1">
      <c r="A86" s="83"/>
      <c r="B86" s="36"/>
      <c r="C86" s="36"/>
      <c r="D86" s="36"/>
      <c r="E86" s="36"/>
      <c r="F86" s="36"/>
      <c r="G86" s="36"/>
      <c r="H86" s="36"/>
      <c r="I86" s="3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36"/>
      <c r="AB86" s="5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ht="15.75" customHeight="1">
      <c r="A87" s="83"/>
      <c r="B87" s="36"/>
      <c r="C87" s="36"/>
      <c r="D87" s="36"/>
      <c r="E87" s="36"/>
      <c r="F87" s="36"/>
      <c r="G87" s="36"/>
      <c r="H87" s="36"/>
      <c r="I87" s="3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36"/>
      <c r="AB87" s="5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ht="15.75" customHeight="1">
      <c r="A88" s="83"/>
      <c r="B88" s="36"/>
      <c r="C88" s="36"/>
      <c r="D88" s="36"/>
      <c r="E88" s="36"/>
      <c r="F88" s="36"/>
      <c r="G88" s="36"/>
      <c r="H88" s="36"/>
      <c r="I88" s="3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36"/>
      <c r="AB88" s="5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ht="15.75" customHeight="1">
      <c r="A89" s="83"/>
      <c r="B89" s="36"/>
      <c r="C89" s="36"/>
      <c r="D89" s="36"/>
      <c r="E89" s="36"/>
      <c r="F89" s="36"/>
      <c r="G89" s="36"/>
      <c r="H89" s="36"/>
      <c r="I89" s="3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36"/>
      <c r="AB89" s="5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ht="15.75" customHeight="1">
      <c r="A90" s="83"/>
      <c r="B90" s="36"/>
      <c r="C90" s="36"/>
      <c r="D90" s="36"/>
      <c r="E90" s="36"/>
      <c r="F90" s="36"/>
      <c r="G90" s="36"/>
      <c r="H90" s="36"/>
      <c r="I90" s="3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36"/>
      <c r="AB90" s="5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ht="15.75" customHeight="1">
      <c r="A91" s="83"/>
      <c r="B91" s="36"/>
      <c r="C91" s="36"/>
      <c r="D91" s="36"/>
      <c r="E91" s="36"/>
      <c r="F91" s="36"/>
      <c r="G91" s="36"/>
      <c r="H91" s="36"/>
      <c r="I91" s="3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36"/>
      <c r="AB91" s="5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ht="15.75" customHeight="1">
      <c r="A92" s="83"/>
      <c r="B92" s="36"/>
      <c r="C92" s="36"/>
      <c r="D92" s="36"/>
      <c r="E92" s="36"/>
      <c r="F92" s="36"/>
      <c r="G92" s="36"/>
      <c r="H92" s="36"/>
      <c r="I92" s="3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36"/>
      <c r="AB92" s="5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ht="15.75" customHeight="1">
      <c r="A93" s="83"/>
      <c r="B93" s="36"/>
      <c r="C93" s="36"/>
      <c r="D93" s="36"/>
      <c r="E93" s="36"/>
      <c r="F93" s="36"/>
      <c r="G93" s="36"/>
      <c r="H93" s="36"/>
      <c r="I93" s="3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36"/>
      <c r="AB93" s="5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ht="15.75" customHeight="1">
      <c r="A94" s="83"/>
      <c r="B94" s="36"/>
      <c r="C94" s="36"/>
      <c r="D94" s="36"/>
      <c r="E94" s="36"/>
      <c r="F94" s="36"/>
      <c r="G94" s="36"/>
      <c r="H94" s="36"/>
      <c r="I94" s="3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36"/>
      <c r="AB94" s="5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ht="15.75" customHeight="1">
      <c r="A95" s="83"/>
      <c r="B95" s="36"/>
      <c r="C95" s="36"/>
      <c r="D95" s="36"/>
      <c r="E95" s="36"/>
      <c r="F95" s="36"/>
      <c r="G95" s="36"/>
      <c r="H95" s="36"/>
      <c r="I95" s="3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36"/>
      <c r="AB95" s="5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ht="15.75" customHeight="1">
      <c r="A96" s="83"/>
      <c r="B96" s="36"/>
      <c r="C96" s="36"/>
      <c r="D96" s="36"/>
      <c r="E96" s="36"/>
      <c r="F96" s="36"/>
      <c r="G96" s="36"/>
      <c r="H96" s="36"/>
      <c r="I96" s="3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36"/>
      <c r="AB96" s="5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ht="15.75" customHeight="1">
      <c r="A97" s="83"/>
      <c r="B97" s="36"/>
      <c r="C97" s="36"/>
      <c r="D97" s="36"/>
      <c r="E97" s="36"/>
      <c r="F97" s="36"/>
      <c r="G97" s="36"/>
      <c r="H97" s="36"/>
      <c r="I97" s="3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36"/>
      <c r="AB97" s="5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ht="15.75" customHeight="1">
      <c r="A98" s="83"/>
      <c r="B98" s="36"/>
      <c r="C98" s="36"/>
      <c r="D98" s="36"/>
      <c r="E98" s="36"/>
      <c r="F98" s="36"/>
      <c r="G98" s="36"/>
      <c r="H98" s="36"/>
      <c r="I98" s="3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36"/>
      <c r="AB98" s="5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ht="15.75" customHeight="1">
      <c r="A99" s="83"/>
      <c r="B99" s="36"/>
      <c r="C99" s="36"/>
      <c r="D99" s="36"/>
      <c r="E99" s="36"/>
      <c r="F99" s="36"/>
      <c r="G99" s="36"/>
      <c r="H99" s="36"/>
      <c r="I99" s="3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36"/>
      <c r="AB99" s="5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ht="15.75" customHeight="1">
      <c r="A100" s="83"/>
      <c r="B100" s="36"/>
      <c r="C100" s="36"/>
      <c r="D100" s="36"/>
      <c r="E100" s="36"/>
      <c r="F100" s="36"/>
      <c r="G100" s="36"/>
      <c r="H100" s="36"/>
      <c r="I100" s="3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36"/>
      <c r="AB100" s="5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ht="15.75" customHeight="1">
      <c r="A101" s="83"/>
      <c r="B101" s="36"/>
      <c r="C101" s="36"/>
      <c r="D101" s="36"/>
      <c r="E101" s="36"/>
      <c r="F101" s="36"/>
      <c r="G101" s="36"/>
      <c r="H101" s="36"/>
      <c r="I101" s="3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36"/>
      <c r="AB101" s="5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ht="15.75" customHeight="1">
      <c r="A102" s="83"/>
      <c r="B102" s="36"/>
      <c r="C102" s="36"/>
      <c r="D102" s="36"/>
      <c r="E102" s="36"/>
      <c r="F102" s="36"/>
      <c r="G102" s="36"/>
      <c r="H102" s="36"/>
      <c r="I102" s="3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36"/>
      <c r="AB102" s="5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ht="15.75" customHeight="1">
      <c r="A103" s="83"/>
      <c r="B103" s="36"/>
      <c r="C103" s="36"/>
      <c r="D103" s="36"/>
      <c r="E103" s="36"/>
      <c r="F103" s="36"/>
      <c r="G103" s="36"/>
      <c r="H103" s="36"/>
      <c r="I103" s="3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36"/>
      <c r="AB103" s="5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ht="15.75" customHeight="1">
      <c r="A104" s="83"/>
      <c r="B104" s="36"/>
      <c r="C104" s="36"/>
      <c r="D104" s="36"/>
      <c r="E104" s="36"/>
      <c r="F104" s="36"/>
      <c r="G104" s="36"/>
      <c r="H104" s="36"/>
      <c r="I104" s="3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36"/>
      <c r="AB104" s="5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ht="15.75" customHeight="1">
      <c r="A105" s="83"/>
      <c r="B105" s="36"/>
      <c r="C105" s="36"/>
      <c r="D105" s="36"/>
      <c r="E105" s="36"/>
      <c r="F105" s="36"/>
      <c r="G105" s="36"/>
      <c r="H105" s="36"/>
      <c r="I105" s="3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36"/>
      <c r="AB105" s="5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ht="15.75" customHeight="1">
      <c r="A106" s="83"/>
      <c r="B106" s="36"/>
      <c r="C106" s="36"/>
      <c r="D106" s="36"/>
      <c r="E106" s="36"/>
      <c r="F106" s="36"/>
      <c r="G106" s="36"/>
      <c r="H106" s="36"/>
      <c r="I106" s="3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36"/>
      <c r="AB106" s="5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ht="15.75" customHeight="1">
      <c r="A107" s="83"/>
      <c r="B107" s="36"/>
      <c r="C107" s="36"/>
      <c r="D107" s="36"/>
      <c r="E107" s="36"/>
      <c r="F107" s="36"/>
      <c r="G107" s="36"/>
      <c r="H107" s="36"/>
      <c r="I107" s="3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36"/>
      <c r="AB107" s="5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ht="15.75" customHeight="1">
      <c r="A108" s="83"/>
      <c r="B108" s="36"/>
      <c r="C108" s="36"/>
      <c r="D108" s="36"/>
      <c r="E108" s="36"/>
      <c r="F108" s="36"/>
      <c r="G108" s="36"/>
      <c r="H108" s="36"/>
      <c r="I108" s="3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36"/>
      <c r="AB108" s="5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ht="15.75" customHeight="1">
      <c r="A109" s="83"/>
      <c r="B109" s="36"/>
      <c r="C109" s="36"/>
      <c r="D109" s="36"/>
      <c r="E109" s="36"/>
      <c r="F109" s="36"/>
      <c r="G109" s="36"/>
      <c r="H109" s="36"/>
      <c r="I109" s="3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36"/>
      <c r="AB109" s="5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ht="15.75" customHeight="1">
      <c r="A110" s="83"/>
      <c r="B110" s="36"/>
      <c r="C110" s="36"/>
      <c r="D110" s="36"/>
      <c r="E110" s="36"/>
      <c r="F110" s="36"/>
      <c r="G110" s="36"/>
      <c r="H110" s="36"/>
      <c r="I110" s="3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36"/>
      <c r="AB110" s="5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ht="15.75" customHeight="1">
      <c r="A111" s="83"/>
      <c r="B111" s="36"/>
      <c r="C111" s="36"/>
      <c r="D111" s="36"/>
      <c r="E111" s="36"/>
      <c r="F111" s="36"/>
      <c r="G111" s="36"/>
      <c r="H111" s="36"/>
      <c r="I111" s="3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36"/>
      <c r="AB111" s="5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ht="15.75" customHeight="1">
      <c r="A112" s="83"/>
      <c r="B112" s="36"/>
      <c r="C112" s="36"/>
      <c r="D112" s="36"/>
      <c r="E112" s="36"/>
      <c r="F112" s="36"/>
      <c r="G112" s="36"/>
      <c r="H112" s="36"/>
      <c r="I112" s="3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36"/>
      <c r="AB112" s="5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ht="15.75" customHeight="1">
      <c r="A113" s="83"/>
      <c r="B113" s="36"/>
      <c r="C113" s="36"/>
      <c r="D113" s="36"/>
      <c r="E113" s="36"/>
      <c r="F113" s="36"/>
      <c r="G113" s="36"/>
      <c r="H113" s="36"/>
      <c r="I113" s="3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36"/>
      <c r="AB113" s="5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ht="15.75" customHeight="1">
      <c r="A114" s="83"/>
      <c r="B114" s="36"/>
      <c r="C114" s="36"/>
      <c r="D114" s="36"/>
      <c r="E114" s="36"/>
      <c r="F114" s="36"/>
      <c r="G114" s="36"/>
      <c r="H114" s="36"/>
      <c r="I114" s="3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36"/>
      <c r="AB114" s="5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ht="15.75" customHeight="1">
      <c r="A115" s="83"/>
      <c r="B115" s="36"/>
      <c r="C115" s="36"/>
      <c r="D115" s="36"/>
      <c r="E115" s="36"/>
      <c r="F115" s="36"/>
      <c r="G115" s="36"/>
      <c r="H115" s="36"/>
      <c r="I115" s="3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36"/>
      <c r="AB115" s="5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ht="15.75" customHeight="1">
      <c r="A116" s="83"/>
      <c r="B116" s="36"/>
      <c r="C116" s="36"/>
      <c r="D116" s="36"/>
      <c r="E116" s="36"/>
      <c r="F116" s="36"/>
      <c r="G116" s="36"/>
      <c r="H116" s="36"/>
      <c r="I116" s="3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36"/>
      <c r="AB116" s="5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ht="15.75" customHeight="1">
      <c r="A117" s="83"/>
      <c r="B117" s="36"/>
      <c r="C117" s="36"/>
      <c r="D117" s="36"/>
      <c r="E117" s="36"/>
      <c r="F117" s="36"/>
      <c r="G117" s="36"/>
      <c r="H117" s="36"/>
      <c r="I117" s="3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36"/>
      <c r="AB117" s="5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ht="15.75" customHeight="1">
      <c r="A118" s="83"/>
      <c r="B118" s="36"/>
      <c r="C118" s="36"/>
      <c r="D118" s="36"/>
      <c r="E118" s="36"/>
      <c r="F118" s="36"/>
      <c r="G118" s="36"/>
      <c r="H118" s="36"/>
      <c r="I118" s="3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36"/>
      <c r="AB118" s="5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ht="15.75" customHeight="1">
      <c r="A119" s="83"/>
      <c r="B119" s="36"/>
      <c r="C119" s="36"/>
      <c r="D119" s="36"/>
      <c r="E119" s="36"/>
      <c r="F119" s="36"/>
      <c r="G119" s="36"/>
      <c r="H119" s="36"/>
      <c r="I119" s="3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36"/>
      <c r="AB119" s="5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ht="15.75" customHeight="1">
      <c r="A120" s="83"/>
      <c r="B120" s="36"/>
      <c r="C120" s="36"/>
      <c r="D120" s="36"/>
      <c r="E120" s="36"/>
      <c r="F120" s="36"/>
      <c r="G120" s="36"/>
      <c r="H120" s="36"/>
      <c r="I120" s="3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36"/>
      <c r="AB120" s="5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ht="15.75" customHeight="1">
      <c r="A121" s="83"/>
      <c r="B121" s="36"/>
      <c r="C121" s="36"/>
      <c r="D121" s="36"/>
      <c r="E121" s="36"/>
      <c r="F121" s="36"/>
      <c r="G121" s="36"/>
      <c r="H121" s="36"/>
      <c r="I121" s="3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36"/>
      <c r="AB121" s="5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ht="15.75" customHeight="1">
      <c r="A122" s="83"/>
      <c r="B122" s="36"/>
      <c r="C122" s="36"/>
      <c r="D122" s="36"/>
      <c r="E122" s="36"/>
      <c r="F122" s="36"/>
      <c r="G122" s="36"/>
      <c r="H122" s="36"/>
      <c r="I122" s="3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36"/>
      <c r="AB122" s="5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ht="15.75" customHeight="1">
      <c r="A123" s="83"/>
      <c r="B123" s="36"/>
      <c r="C123" s="36"/>
      <c r="D123" s="36"/>
      <c r="E123" s="36"/>
      <c r="F123" s="36"/>
      <c r="G123" s="36"/>
      <c r="H123" s="36"/>
      <c r="I123" s="3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36"/>
      <c r="AB123" s="5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ht="15.75" customHeight="1">
      <c r="A124" s="83"/>
      <c r="B124" s="36"/>
      <c r="C124" s="36"/>
      <c r="D124" s="36"/>
      <c r="E124" s="36"/>
      <c r="F124" s="36"/>
      <c r="G124" s="36"/>
      <c r="H124" s="36"/>
      <c r="I124" s="3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36"/>
      <c r="AB124" s="5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ht="15.75" customHeight="1">
      <c r="A125" s="83"/>
      <c r="B125" s="36"/>
      <c r="C125" s="36"/>
      <c r="D125" s="36"/>
      <c r="E125" s="36"/>
      <c r="F125" s="36"/>
      <c r="G125" s="36"/>
      <c r="H125" s="36"/>
      <c r="I125" s="3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36"/>
      <c r="AB125" s="5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ht="15.75" customHeight="1">
      <c r="A126" s="83"/>
      <c r="B126" s="36"/>
      <c r="C126" s="36"/>
      <c r="D126" s="36"/>
      <c r="E126" s="36"/>
      <c r="F126" s="36"/>
      <c r="G126" s="36"/>
      <c r="H126" s="36"/>
      <c r="I126" s="3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36"/>
      <c r="AB126" s="5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ht="15.75" customHeight="1">
      <c r="A127" s="83"/>
      <c r="B127" s="36"/>
      <c r="C127" s="36"/>
      <c r="D127" s="36"/>
      <c r="E127" s="36"/>
      <c r="F127" s="36"/>
      <c r="G127" s="36"/>
      <c r="H127" s="36"/>
      <c r="I127" s="3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36"/>
      <c r="AB127" s="5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ht="15.75" customHeight="1">
      <c r="A128" s="83"/>
      <c r="B128" s="36"/>
      <c r="C128" s="36"/>
      <c r="D128" s="36"/>
      <c r="E128" s="36"/>
      <c r="F128" s="36"/>
      <c r="G128" s="36"/>
      <c r="H128" s="36"/>
      <c r="I128" s="3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36"/>
      <c r="AB128" s="5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ht="15.75" customHeight="1">
      <c r="A129" s="83"/>
      <c r="B129" s="36"/>
      <c r="C129" s="36"/>
      <c r="D129" s="36"/>
      <c r="E129" s="36"/>
      <c r="F129" s="36"/>
      <c r="G129" s="36"/>
      <c r="H129" s="36"/>
      <c r="I129" s="3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36"/>
      <c r="AB129" s="5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ht="15.75" customHeight="1">
      <c r="A130" s="83"/>
      <c r="B130" s="36"/>
      <c r="C130" s="36"/>
      <c r="D130" s="36"/>
      <c r="E130" s="36"/>
      <c r="F130" s="36"/>
      <c r="G130" s="36"/>
      <c r="H130" s="36"/>
      <c r="I130" s="3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36"/>
      <c r="AB130" s="5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ht="15.75" customHeight="1">
      <c r="A131" s="83"/>
      <c r="B131" s="36"/>
      <c r="C131" s="36"/>
      <c r="D131" s="36"/>
      <c r="E131" s="36"/>
      <c r="F131" s="36"/>
      <c r="G131" s="36"/>
      <c r="H131" s="36"/>
      <c r="I131" s="3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36"/>
      <c r="AB131" s="5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ht="15.75" customHeight="1">
      <c r="A132" s="83"/>
      <c r="B132" s="36"/>
      <c r="C132" s="36"/>
      <c r="D132" s="36"/>
      <c r="E132" s="36"/>
      <c r="F132" s="36"/>
      <c r="G132" s="36"/>
      <c r="H132" s="36"/>
      <c r="I132" s="3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36"/>
      <c r="AB132" s="5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ht="15.75" customHeight="1">
      <c r="A133" s="83"/>
      <c r="B133" s="36"/>
      <c r="C133" s="36"/>
      <c r="D133" s="36"/>
      <c r="E133" s="36"/>
      <c r="F133" s="36"/>
      <c r="G133" s="36"/>
      <c r="H133" s="36"/>
      <c r="I133" s="3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36"/>
      <c r="AB133" s="5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ht="15.75" customHeight="1">
      <c r="A134" s="83"/>
      <c r="B134" s="36"/>
      <c r="C134" s="36"/>
      <c r="D134" s="36"/>
      <c r="E134" s="36"/>
      <c r="F134" s="36"/>
      <c r="G134" s="36"/>
      <c r="H134" s="36"/>
      <c r="I134" s="3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36"/>
      <c r="AB134" s="5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ht="15.75" customHeight="1">
      <c r="A135" s="83"/>
      <c r="B135" s="36"/>
      <c r="C135" s="36"/>
      <c r="D135" s="36"/>
      <c r="E135" s="36"/>
      <c r="F135" s="36"/>
      <c r="G135" s="36"/>
      <c r="H135" s="36"/>
      <c r="I135" s="3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36"/>
      <c r="AB135" s="5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ht="15.75" customHeight="1">
      <c r="A136" s="83"/>
      <c r="B136" s="36"/>
      <c r="C136" s="36"/>
      <c r="D136" s="36"/>
      <c r="E136" s="36"/>
      <c r="F136" s="36"/>
      <c r="G136" s="36"/>
      <c r="H136" s="36"/>
      <c r="I136" s="3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36"/>
      <c r="AB136" s="5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ht="15.75" customHeight="1">
      <c r="A137" s="83"/>
      <c r="B137" s="36"/>
      <c r="C137" s="36"/>
      <c r="D137" s="36"/>
      <c r="E137" s="36"/>
      <c r="F137" s="36"/>
      <c r="G137" s="36"/>
      <c r="H137" s="36"/>
      <c r="I137" s="3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36"/>
      <c r="AB137" s="5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ht="15.75" customHeight="1">
      <c r="A138" s="83"/>
      <c r="B138" s="36"/>
      <c r="C138" s="36"/>
      <c r="D138" s="36"/>
      <c r="E138" s="36"/>
      <c r="F138" s="36"/>
      <c r="G138" s="36"/>
      <c r="H138" s="36"/>
      <c r="I138" s="3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36"/>
      <c r="AB138" s="5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ht="15.75" customHeight="1">
      <c r="A139" s="83"/>
      <c r="B139" s="36"/>
      <c r="C139" s="36"/>
      <c r="D139" s="36"/>
      <c r="E139" s="36"/>
      <c r="F139" s="36"/>
      <c r="G139" s="36"/>
      <c r="H139" s="36"/>
      <c r="I139" s="3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36"/>
      <c r="AB139" s="5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ht="15.75" customHeight="1">
      <c r="A140" s="83"/>
      <c r="B140" s="36"/>
      <c r="C140" s="36"/>
      <c r="D140" s="36"/>
      <c r="E140" s="36"/>
      <c r="F140" s="36"/>
      <c r="G140" s="36"/>
      <c r="H140" s="36"/>
      <c r="I140" s="3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36"/>
      <c r="AB140" s="5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ht="15.75" customHeight="1">
      <c r="A141" s="83"/>
      <c r="B141" s="36"/>
      <c r="C141" s="36"/>
      <c r="D141" s="36"/>
      <c r="E141" s="36"/>
      <c r="F141" s="36"/>
      <c r="G141" s="36"/>
      <c r="H141" s="36"/>
      <c r="I141" s="3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36"/>
      <c r="AB141" s="5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ht="15.75" customHeight="1">
      <c r="A142" s="83"/>
      <c r="B142" s="36"/>
      <c r="C142" s="36"/>
      <c r="D142" s="36"/>
      <c r="E142" s="36"/>
      <c r="F142" s="36"/>
      <c r="G142" s="36"/>
      <c r="H142" s="36"/>
      <c r="I142" s="3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36"/>
      <c r="AB142" s="5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ht="15.75" customHeight="1">
      <c r="A143" s="83"/>
      <c r="B143" s="36"/>
      <c r="C143" s="36"/>
      <c r="D143" s="36"/>
      <c r="E143" s="36"/>
      <c r="F143" s="36"/>
      <c r="G143" s="36"/>
      <c r="H143" s="36"/>
      <c r="I143" s="3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36"/>
      <c r="AB143" s="5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ht="15.75" customHeight="1">
      <c r="A144" s="83"/>
      <c r="B144" s="36"/>
      <c r="C144" s="36"/>
      <c r="D144" s="36"/>
      <c r="E144" s="36"/>
      <c r="F144" s="36"/>
      <c r="G144" s="36"/>
      <c r="H144" s="36"/>
      <c r="I144" s="3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36"/>
      <c r="AB144" s="5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ht="15.75" customHeight="1">
      <c r="A145" s="83"/>
      <c r="B145" s="36"/>
      <c r="C145" s="36"/>
      <c r="D145" s="36"/>
      <c r="E145" s="36"/>
      <c r="F145" s="36"/>
      <c r="G145" s="36"/>
      <c r="H145" s="36"/>
      <c r="I145" s="3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36"/>
      <c r="AB145" s="5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ht="15.75" customHeight="1">
      <c r="A146" s="83"/>
      <c r="B146" s="36"/>
      <c r="C146" s="36"/>
      <c r="D146" s="36"/>
      <c r="E146" s="36"/>
      <c r="F146" s="36"/>
      <c r="G146" s="36"/>
      <c r="H146" s="36"/>
      <c r="I146" s="3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36"/>
      <c r="AB146" s="5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ht="15.75" customHeight="1">
      <c r="A147" s="83"/>
      <c r="B147" s="36"/>
      <c r="C147" s="36"/>
      <c r="D147" s="36"/>
      <c r="E147" s="36"/>
      <c r="F147" s="36"/>
      <c r="G147" s="36"/>
      <c r="H147" s="36"/>
      <c r="I147" s="3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36"/>
      <c r="AB147" s="5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ht="15.75" customHeight="1">
      <c r="A148" s="83"/>
      <c r="B148" s="36"/>
      <c r="C148" s="36"/>
      <c r="D148" s="36"/>
      <c r="E148" s="36"/>
      <c r="F148" s="36"/>
      <c r="G148" s="36"/>
      <c r="H148" s="36"/>
      <c r="I148" s="3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36"/>
      <c r="AB148" s="5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ht="15.75" customHeight="1">
      <c r="A149" s="83"/>
      <c r="B149" s="36"/>
      <c r="C149" s="36"/>
      <c r="D149" s="36"/>
      <c r="E149" s="36"/>
      <c r="F149" s="36"/>
      <c r="G149" s="36"/>
      <c r="H149" s="36"/>
      <c r="I149" s="3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36"/>
      <c r="AB149" s="5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ht="15.75" customHeight="1">
      <c r="A150" s="83"/>
      <c r="B150" s="36"/>
      <c r="C150" s="36"/>
      <c r="D150" s="36"/>
      <c r="E150" s="36"/>
      <c r="F150" s="36"/>
      <c r="G150" s="36"/>
      <c r="H150" s="36"/>
      <c r="I150" s="3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36"/>
      <c r="AB150" s="5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ht="15.75" customHeight="1">
      <c r="A151" s="83"/>
      <c r="B151" s="36"/>
      <c r="C151" s="36"/>
      <c r="D151" s="36"/>
      <c r="E151" s="36"/>
      <c r="F151" s="36"/>
      <c r="G151" s="36"/>
      <c r="H151" s="36"/>
      <c r="I151" s="3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36"/>
      <c r="AB151" s="5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ht="15.75" customHeight="1">
      <c r="A152" s="83"/>
      <c r="B152" s="36"/>
      <c r="C152" s="36"/>
      <c r="D152" s="36"/>
      <c r="E152" s="36"/>
      <c r="F152" s="36"/>
      <c r="G152" s="36"/>
      <c r="H152" s="36"/>
      <c r="I152" s="3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36"/>
      <c r="AB152" s="5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ht="15.75" customHeight="1">
      <c r="A153" s="83"/>
      <c r="B153" s="36"/>
      <c r="C153" s="36"/>
      <c r="D153" s="36"/>
      <c r="E153" s="36"/>
      <c r="F153" s="36"/>
      <c r="G153" s="36"/>
      <c r="H153" s="36"/>
      <c r="I153" s="3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36"/>
      <c r="AB153" s="5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ht="15.75" customHeight="1">
      <c r="A154" s="83"/>
      <c r="B154" s="36"/>
      <c r="C154" s="36"/>
      <c r="D154" s="36"/>
      <c r="E154" s="36"/>
      <c r="F154" s="36"/>
      <c r="G154" s="36"/>
      <c r="H154" s="36"/>
      <c r="I154" s="3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36"/>
      <c r="AB154" s="5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ht="15.75" customHeight="1">
      <c r="A155" s="83"/>
      <c r="B155" s="36"/>
      <c r="C155" s="36"/>
      <c r="D155" s="36"/>
      <c r="E155" s="36"/>
      <c r="F155" s="36"/>
      <c r="G155" s="36"/>
      <c r="H155" s="36"/>
      <c r="I155" s="3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36"/>
      <c r="AB155" s="5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ht="15.75" customHeight="1">
      <c r="A156" s="83"/>
      <c r="B156" s="36"/>
      <c r="C156" s="36"/>
      <c r="D156" s="36"/>
      <c r="E156" s="36"/>
      <c r="F156" s="36"/>
      <c r="G156" s="36"/>
      <c r="H156" s="36"/>
      <c r="I156" s="3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36"/>
      <c r="AB156" s="5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ht="15.75" customHeight="1">
      <c r="A157" s="83"/>
      <c r="B157" s="36"/>
      <c r="C157" s="36"/>
      <c r="D157" s="36"/>
      <c r="E157" s="36"/>
      <c r="F157" s="36"/>
      <c r="G157" s="36"/>
      <c r="H157" s="36"/>
      <c r="I157" s="3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36"/>
      <c r="AB157" s="5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ht="15.75" customHeight="1">
      <c r="A158" s="83"/>
      <c r="B158" s="36"/>
      <c r="C158" s="36"/>
      <c r="D158" s="36"/>
      <c r="E158" s="36"/>
      <c r="F158" s="36"/>
      <c r="G158" s="36"/>
      <c r="H158" s="36"/>
      <c r="I158" s="3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36"/>
      <c r="AB158" s="5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ht="15.75" customHeight="1">
      <c r="A159" s="83"/>
      <c r="B159" s="36"/>
      <c r="C159" s="36"/>
      <c r="D159" s="36"/>
      <c r="E159" s="36"/>
      <c r="F159" s="36"/>
      <c r="G159" s="36"/>
      <c r="H159" s="36"/>
      <c r="I159" s="3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36"/>
      <c r="AB159" s="5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ht="15.75" customHeight="1">
      <c r="A160" s="83"/>
      <c r="B160" s="36"/>
      <c r="C160" s="36"/>
      <c r="D160" s="36"/>
      <c r="E160" s="36"/>
      <c r="F160" s="36"/>
      <c r="G160" s="36"/>
      <c r="H160" s="36"/>
      <c r="I160" s="3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36"/>
      <c r="AB160" s="5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ht="15.75" customHeight="1">
      <c r="A161" s="83"/>
      <c r="B161" s="36"/>
      <c r="C161" s="36"/>
      <c r="D161" s="36"/>
      <c r="E161" s="36"/>
      <c r="F161" s="36"/>
      <c r="G161" s="36"/>
      <c r="H161" s="36"/>
      <c r="I161" s="3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36"/>
      <c r="AB161" s="5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ht="15.75" customHeight="1">
      <c r="A162" s="83"/>
      <c r="B162" s="36"/>
      <c r="C162" s="36"/>
      <c r="D162" s="36"/>
      <c r="E162" s="36"/>
      <c r="F162" s="36"/>
      <c r="G162" s="36"/>
      <c r="H162" s="36"/>
      <c r="I162" s="3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36"/>
      <c r="AB162" s="5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ht="15.75" customHeight="1">
      <c r="A163" s="83"/>
      <c r="B163" s="36"/>
      <c r="C163" s="36"/>
      <c r="D163" s="36"/>
      <c r="E163" s="36"/>
      <c r="F163" s="36"/>
      <c r="G163" s="36"/>
      <c r="H163" s="36"/>
      <c r="I163" s="3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36"/>
      <c r="AB163" s="5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ht="15.75" customHeight="1">
      <c r="A164" s="83"/>
      <c r="B164" s="36"/>
      <c r="C164" s="36"/>
      <c r="D164" s="36"/>
      <c r="E164" s="36"/>
      <c r="F164" s="36"/>
      <c r="G164" s="36"/>
      <c r="H164" s="36"/>
      <c r="I164" s="3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36"/>
      <c r="AB164" s="5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ht="15.75" customHeight="1">
      <c r="A165" s="83"/>
      <c r="B165" s="36"/>
      <c r="C165" s="36"/>
      <c r="D165" s="36"/>
      <c r="E165" s="36"/>
      <c r="F165" s="36"/>
      <c r="G165" s="36"/>
      <c r="H165" s="36"/>
      <c r="I165" s="3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36"/>
      <c r="AB165" s="5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ht="15.75" customHeight="1">
      <c r="A166" s="83"/>
      <c r="B166" s="36"/>
      <c r="C166" s="36"/>
      <c r="D166" s="36"/>
      <c r="E166" s="36"/>
      <c r="F166" s="36"/>
      <c r="G166" s="36"/>
      <c r="H166" s="36"/>
      <c r="I166" s="3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36"/>
      <c r="AB166" s="5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ht="15.75" customHeight="1">
      <c r="A167" s="83"/>
      <c r="B167" s="36"/>
      <c r="C167" s="36"/>
      <c r="D167" s="36"/>
      <c r="E167" s="36"/>
      <c r="F167" s="36"/>
      <c r="G167" s="36"/>
      <c r="H167" s="36"/>
      <c r="I167" s="3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36"/>
      <c r="AB167" s="5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ht="15.75" customHeight="1">
      <c r="A168" s="83"/>
      <c r="B168" s="36"/>
      <c r="C168" s="36"/>
      <c r="D168" s="36"/>
      <c r="E168" s="36"/>
      <c r="F168" s="36"/>
      <c r="G168" s="36"/>
      <c r="H168" s="36"/>
      <c r="I168" s="3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36"/>
      <c r="AB168" s="5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ht="15.75" customHeight="1">
      <c r="A169" s="83"/>
      <c r="B169" s="36"/>
      <c r="C169" s="36"/>
      <c r="D169" s="36"/>
      <c r="E169" s="36"/>
      <c r="F169" s="36"/>
      <c r="G169" s="36"/>
      <c r="H169" s="36"/>
      <c r="I169" s="3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36"/>
      <c r="AB169" s="5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ht="15.75" customHeight="1">
      <c r="A170" s="83"/>
      <c r="B170" s="36"/>
      <c r="C170" s="36"/>
      <c r="D170" s="36"/>
      <c r="E170" s="36"/>
      <c r="F170" s="36"/>
      <c r="G170" s="36"/>
      <c r="H170" s="36"/>
      <c r="I170" s="3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36"/>
      <c r="AB170" s="5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ht="15.75" customHeight="1">
      <c r="A171" s="83"/>
      <c r="B171" s="36"/>
      <c r="C171" s="36"/>
      <c r="D171" s="36"/>
      <c r="E171" s="36"/>
      <c r="F171" s="36"/>
      <c r="G171" s="36"/>
      <c r="H171" s="36"/>
      <c r="I171" s="3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36"/>
      <c r="AB171" s="5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ht="15.75" customHeight="1">
      <c r="A172" s="83"/>
      <c r="B172" s="36"/>
      <c r="C172" s="36"/>
      <c r="D172" s="36"/>
      <c r="E172" s="36"/>
      <c r="F172" s="36"/>
      <c r="G172" s="36"/>
      <c r="H172" s="36"/>
      <c r="I172" s="3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36"/>
      <c r="AB172" s="5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ht="15.75" customHeight="1">
      <c r="A173" s="83"/>
      <c r="B173" s="36"/>
      <c r="C173" s="36"/>
      <c r="D173" s="36"/>
      <c r="E173" s="36"/>
      <c r="F173" s="36"/>
      <c r="G173" s="36"/>
      <c r="H173" s="36"/>
      <c r="I173" s="3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36"/>
      <c r="AB173" s="5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ht="15.75" customHeight="1">
      <c r="A174" s="83"/>
      <c r="B174" s="36"/>
      <c r="C174" s="36"/>
      <c r="D174" s="36"/>
      <c r="E174" s="36"/>
      <c r="F174" s="36"/>
      <c r="G174" s="36"/>
      <c r="H174" s="36"/>
      <c r="I174" s="3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36"/>
      <c r="AB174" s="5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ht="15.75" customHeight="1">
      <c r="A175" s="83"/>
      <c r="B175" s="36"/>
      <c r="C175" s="36"/>
      <c r="D175" s="36"/>
      <c r="E175" s="36"/>
      <c r="F175" s="36"/>
      <c r="G175" s="36"/>
      <c r="H175" s="36"/>
      <c r="I175" s="3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36"/>
      <c r="AB175" s="5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ht="15.75" customHeight="1">
      <c r="A176" s="83"/>
      <c r="B176" s="36"/>
      <c r="C176" s="36"/>
      <c r="D176" s="36"/>
      <c r="E176" s="36"/>
      <c r="F176" s="36"/>
      <c r="G176" s="36"/>
      <c r="H176" s="36"/>
      <c r="I176" s="3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36"/>
      <c r="AB176" s="5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ht="15.75" customHeight="1">
      <c r="A177" s="83"/>
      <c r="B177" s="36"/>
      <c r="C177" s="36"/>
      <c r="D177" s="36"/>
      <c r="E177" s="36"/>
      <c r="F177" s="36"/>
      <c r="G177" s="36"/>
      <c r="H177" s="36"/>
      <c r="I177" s="3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36"/>
      <c r="AB177" s="5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ht="15.75" customHeight="1">
      <c r="A178" s="83"/>
      <c r="B178" s="36"/>
      <c r="C178" s="36"/>
      <c r="D178" s="36"/>
      <c r="E178" s="36"/>
      <c r="F178" s="36"/>
      <c r="G178" s="36"/>
      <c r="H178" s="36"/>
      <c r="I178" s="3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36"/>
      <c r="AB178" s="5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ht="15.75" customHeight="1">
      <c r="A179" s="83"/>
      <c r="B179" s="36"/>
      <c r="C179" s="36"/>
      <c r="D179" s="36"/>
      <c r="E179" s="36"/>
      <c r="F179" s="36"/>
      <c r="G179" s="36"/>
      <c r="H179" s="36"/>
      <c r="I179" s="3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36"/>
      <c r="AB179" s="5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ht="15.75" customHeight="1">
      <c r="A180" s="83"/>
      <c r="B180" s="36"/>
      <c r="C180" s="36"/>
      <c r="D180" s="36"/>
      <c r="E180" s="36"/>
      <c r="F180" s="36"/>
      <c r="G180" s="36"/>
      <c r="H180" s="36"/>
      <c r="I180" s="3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36"/>
      <c r="AB180" s="5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ht="15.75" customHeight="1">
      <c r="A181" s="83"/>
      <c r="B181" s="36"/>
      <c r="C181" s="36"/>
      <c r="D181" s="36"/>
      <c r="E181" s="36"/>
      <c r="F181" s="36"/>
      <c r="G181" s="36"/>
      <c r="H181" s="36"/>
      <c r="I181" s="3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36"/>
      <c r="AB181" s="5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ht="15.75" customHeight="1">
      <c r="A182" s="83"/>
      <c r="B182" s="36"/>
      <c r="C182" s="36"/>
      <c r="D182" s="36"/>
      <c r="E182" s="36"/>
      <c r="F182" s="36"/>
      <c r="G182" s="36"/>
      <c r="H182" s="36"/>
      <c r="I182" s="3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36"/>
      <c r="AB182" s="5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ht="15.75" customHeight="1">
      <c r="A183" s="83"/>
      <c r="B183" s="36"/>
      <c r="C183" s="36"/>
      <c r="D183" s="36"/>
      <c r="E183" s="36"/>
      <c r="F183" s="36"/>
      <c r="G183" s="36"/>
      <c r="H183" s="36"/>
      <c r="I183" s="3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36"/>
      <c r="AB183" s="5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ht="15.75" customHeight="1">
      <c r="A184" s="83"/>
      <c r="B184" s="36"/>
      <c r="C184" s="36"/>
      <c r="D184" s="36"/>
      <c r="E184" s="36"/>
      <c r="F184" s="36"/>
      <c r="G184" s="36"/>
      <c r="H184" s="36"/>
      <c r="I184" s="3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36"/>
      <c r="AB184" s="5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ht="15.75" customHeight="1">
      <c r="A185" s="83"/>
      <c r="B185" s="36"/>
      <c r="C185" s="36"/>
      <c r="D185" s="36"/>
      <c r="E185" s="36"/>
      <c r="F185" s="36"/>
      <c r="G185" s="36"/>
      <c r="H185" s="36"/>
      <c r="I185" s="3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36"/>
      <c r="AB185" s="5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ht="15.75" customHeight="1">
      <c r="A186" s="83"/>
      <c r="B186" s="36"/>
      <c r="C186" s="36"/>
      <c r="D186" s="36"/>
      <c r="E186" s="36"/>
      <c r="F186" s="36"/>
      <c r="G186" s="36"/>
      <c r="H186" s="36"/>
      <c r="I186" s="3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36"/>
      <c r="AB186" s="5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ht="15.75" customHeight="1">
      <c r="A187" s="83"/>
      <c r="B187" s="36"/>
      <c r="C187" s="36"/>
      <c r="D187" s="36"/>
      <c r="E187" s="36"/>
      <c r="F187" s="36"/>
      <c r="G187" s="36"/>
      <c r="H187" s="36"/>
      <c r="I187" s="3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36"/>
      <c r="AB187" s="5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ht="15.75" customHeight="1">
      <c r="A188" s="83"/>
      <c r="B188" s="36"/>
      <c r="C188" s="36"/>
      <c r="D188" s="36"/>
      <c r="E188" s="36"/>
      <c r="F188" s="36"/>
      <c r="G188" s="36"/>
      <c r="H188" s="36"/>
      <c r="I188" s="3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36"/>
      <c r="AB188" s="5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ht="15.75" customHeight="1">
      <c r="A189" s="83"/>
      <c r="B189" s="36"/>
      <c r="C189" s="36"/>
      <c r="D189" s="36"/>
      <c r="E189" s="36"/>
      <c r="F189" s="36"/>
      <c r="G189" s="36"/>
      <c r="H189" s="36"/>
      <c r="I189" s="3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36"/>
      <c r="AB189" s="5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ht="15.75" customHeight="1">
      <c r="A190" s="83"/>
      <c r="B190" s="36"/>
      <c r="C190" s="36"/>
      <c r="D190" s="36"/>
      <c r="E190" s="36"/>
      <c r="F190" s="36"/>
      <c r="G190" s="36"/>
      <c r="H190" s="36"/>
      <c r="I190" s="3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36"/>
      <c r="AB190" s="5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ht="15.75" customHeight="1">
      <c r="A191" s="83"/>
      <c r="B191" s="36"/>
      <c r="C191" s="36"/>
      <c r="D191" s="36"/>
      <c r="E191" s="36"/>
      <c r="F191" s="36"/>
      <c r="G191" s="36"/>
      <c r="H191" s="36"/>
      <c r="I191" s="3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36"/>
      <c r="AB191" s="5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ht="15.75" customHeight="1">
      <c r="A192" s="83"/>
      <c r="B192" s="36"/>
      <c r="C192" s="36"/>
      <c r="D192" s="36"/>
      <c r="E192" s="36"/>
      <c r="F192" s="36"/>
      <c r="G192" s="36"/>
      <c r="H192" s="36"/>
      <c r="I192" s="3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36"/>
      <c r="AB192" s="5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ht="15.75" customHeight="1">
      <c r="A193" s="83"/>
      <c r="B193" s="36"/>
      <c r="C193" s="36"/>
      <c r="D193" s="36"/>
      <c r="E193" s="36"/>
      <c r="F193" s="36"/>
      <c r="G193" s="36"/>
      <c r="H193" s="36"/>
      <c r="I193" s="3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36"/>
      <c r="AB193" s="5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ht="15.75" customHeight="1">
      <c r="A194" s="83"/>
      <c r="B194" s="36"/>
      <c r="C194" s="36"/>
      <c r="D194" s="36"/>
      <c r="E194" s="36"/>
      <c r="F194" s="36"/>
      <c r="G194" s="36"/>
      <c r="H194" s="36"/>
      <c r="I194" s="3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36"/>
      <c r="AB194" s="5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ht="15.75" customHeight="1">
      <c r="A195" s="83"/>
      <c r="B195" s="36"/>
      <c r="C195" s="36"/>
      <c r="D195" s="36"/>
      <c r="E195" s="36"/>
      <c r="F195" s="36"/>
      <c r="G195" s="36"/>
      <c r="H195" s="36"/>
      <c r="I195" s="3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36"/>
      <c r="AB195" s="5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ht="15.75" customHeight="1">
      <c r="A196" s="83"/>
      <c r="B196" s="36"/>
      <c r="C196" s="36"/>
      <c r="D196" s="36"/>
      <c r="E196" s="36"/>
      <c r="F196" s="36"/>
      <c r="G196" s="36"/>
      <c r="H196" s="36"/>
      <c r="I196" s="3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36"/>
      <c r="AB196" s="5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ht="15.75" customHeight="1">
      <c r="A197" s="83"/>
      <c r="B197" s="36"/>
      <c r="C197" s="36"/>
      <c r="D197" s="36"/>
      <c r="E197" s="36"/>
      <c r="F197" s="36"/>
      <c r="G197" s="36"/>
      <c r="H197" s="36"/>
      <c r="I197" s="3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36"/>
      <c r="AB197" s="5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ht="15.75" customHeight="1">
      <c r="A198" s="83"/>
      <c r="B198" s="36"/>
      <c r="C198" s="36"/>
      <c r="D198" s="36"/>
      <c r="E198" s="36"/>
      <c r="F198" s="36"/>
      <c r="G198" s="36"/>
      <c r="H198" s="36"/>
      <c r="I198" s="3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36"/>
      <c r="AB198" s="5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ht="15.75" customHeight="1">
      <c r="A199" s="83"/>
      <c r="B199" s="36"/>
      <c r="C199" s="36"/>
      <c r="D199" s="36"/>
      <c r="E199" s="36"/>
      <c r="F199" s="36"/>
      <c r="G199" s="36"/>
      <c r="H199" s="36"/>
      <c r="I199" s="3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36"/>
      <c r="AB199" s="5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ht="15.75" customHeight="1">
      <c r="A200" s="83"/>
      <c r="B200" s="36"/>
      <c r="C200" s="36"/>
      <c r="D200" s="36"/>
      <c r="E200" s="36"/>
      <c r="F200" s="36"/>
      <c r="G200" s="36"/>
      <c r="H200" s="36"/>
      <c r="I200" s="3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36"/>
      <c r="AB200" s="5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ht="15.75" customHeight="1">
      <c r="A201" s="83"/>
      <c r="B201" s="36"/>
      <c r="C201" s="36"/>
      <c r="D201" s="36"/>
      <c r="E201" s="36"/>
      <c r="F201" s="36"/>
      <c r="G201" s="36"/>
      <c r="H201" s="36"/>
      <c r="I201" s="3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36"/>
      <c r="AB201" s="5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ht="15.75" customHeight="1">
      <c r="A202" s="83"/>
      <c r="B202" s="36"/>
      <c r="C202" s="36"/>
      <c r="D202" s="36"/>
      <c r="E202" s="36"/>
      <c r="F202" s="36"/>
      <c r="G202" s="36"/>
      <c r="H202" s="36"/>
      <c r="I202" s="3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36"/>
      <c r="AB202" s="5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ht="15.75" customHeight="1">
      <c r="A203" s="83"/>
      <c r="B203" s="36"/>
      <c r="C203" s="36"/>
      <c r="D203" s="36"/>
      <c r="E203" s="36"/>
      <c r="F203" s="36"/>
      <c r="G203" s="36"/>
      <c r="H203" s="36"/>
      <c r="I203" s="3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36"/>
      <c r="AB203" s="5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ht="15.75" customHeight="1">
      <c r="A204" s="83"/>
      <c r="B204" s="36"/>
      <c r="C204" s="36"/>
      <c r="D204" s="36"/>
      <c r="E204" s="36"/>
      <c r="F204" s="36"/>
      <c r="G204" s="36"/>
      <c r="H204" s="36"/>
      <c r="I204" s="3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36"/>
      <c r="AB204" s="5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ht="15.75" customHeight="1">
      <c r="A205" s="83"/>
      <c r="B205" s="36"/>
      <c r="C205" s="36"/>
      <c r="D205" s="36"/>
      <c r="E205" s="36"/>
      <c r="F205" s="36"/>
      <c r="G205" s="36"/>
      <c r="H205" s="36"/>
      <c r="I205" s="3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36"/>
      <c r="AB205" s="5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ht="15.75" customHeight="1">
      <c r="A206" s="83"/>
      <c r="B206" s="36"/>
      <c r="C206" s="36"/>
      <c r="D206" s="36"/>
      <c r="E206" s="36"/>
      <c r="F206" s="36"/>
      <c r="G206" s="36"/>
      <c r="H206" s="36"/>
      <c r="I206" s="3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36"/>
      <c r="AB206" s="5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ht="15.75" customHeight="1">
      <c r="A207" s="83"/>
      <c r="B207" s="36"/>
      <c r="C207" s="36"/>
      <c r="D207" s="36"/>
      <c r="E207" s="36"/>
      <c r="F207" s="36"/>
      <c r="G207" s="36"/>
      <c r="H207" s="36"/>
      <c r="I207" s="3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36"/>
      <c r="AB207" s="5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ht="15.75" customHeight="1">
      <c r="A208" s="83"/>
      <c r="B208" s="36"/>
      <c r="C208" s="36"/>
      <c r="D208" s="36"/>
      <c r="E208" s="36"/>
      <c r="F208" s="36"/>
      <c r="G208" s="36"/>
      <c r="H208" s="36"/>
      <c r="I208" s="3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36"/>
      <c r="AB208" s="5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ht="15.75" customHeight="1">
      <c r="A209" s="83"/>
      <c r="B209" s="36"/>
      <c r="C209" s="36"/>
      <c r="D209" s="36"/>
      <c r="E209" s="36"/>
      <c r="F209" s="36"/>
      <c r="G209" s="36"/>
      <c r="H209" s="36"/>
      <c r="I209" s="3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36"/>
      <c r="AB209" s="5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ht="15.75" customHeight="1">
      <c r="A210" s="83"/>
      <c r="B210" s="36"/>
      <c r="C210" s="36"/>
      <c r="D210" s="36"/>
      <c r="E210" s="36"/>
      <c r="F210" s="36"/>
      <c r="G210" s="36"/>
      <c r="H210" s="36"/>
      <c r="I210" s="3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36"/>
      <c r="AB210" s="5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ht="15.75" customHeight="1">
      <c r="A211" s="83"/>
      <c r="B211" s="36"/>
      <c r="C211" s="36"/>
      <c r="D211" s="36"/>
      <c r="E211" s="36"/>
      <c r="F211" s="36"/>
      <c r="G211" s="36"/>
      <c r="H211" s="36"/>
      <c r="I211" s="3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36"/>
      <c r="AB211" s="5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ht="15.75" customHeight="1">
      <c r="A212" s="83"/>
      <c r="B212" s="36"/>
      <c r="C212" s="36"/>
      <c r="D212" s="36"/>
      <c r="E212" s="36"/>
      <c r="F212" s="36"/>
      <c r="G212" s="36"/>
      <c r="H212" s="36"/>
      <c r="I212" s="3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36"/>
      <c r="AB212" s="5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ht="15.75" customHeight="1">
      <c r="A213" s="83"/>
      <c r="B213" s="36"/>
      <c r="C213" s="36"/>
      <c r="D213" s="36"/>
      <c r="E213" s="36"/>
      <c r="F213" s="36"/>
      <c r="G213" s="36"/>
      <c r="H213" s="36"/>
      <c r="I213" s="3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36"/>
      <c r="AB213" s="5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ht="15.75" customHeight="1">
      <c r="A214" s="83"/>
      <c r="B214" s="36"/>
      <c r="C214" s="36"/>
      <c r="D214" s="36"/>
      <c r="E214" s="36"/>
      <c r="F214" s="36"/>
      <c r="G214" s="36"/>
      <c r="H214" s="36"/>
      <c r="I214" s="3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36"/>
      <c r="AB214" s="5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ht="15.75" customHeight="1">
      <c r="A215" s="83"/>
      <c r="B215" s="36"/>
      <c r="C215" s="36"/>
      <c r="D215" s="36"/>
      <c r="E215" s="36"/>
      <c r="F215" s="36"/>
      <c r="G215" s="36"/>
      <c r="H215" s="36"/>
      <c r="I215" s="3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36"/>
      <c r="AB215" s="5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ht="15.75" customHeight="1">
      <c r="A216" s="83"/>
      <c r="B216" s="36"/>
      <c r="C216" s="36"/>
      <c r="D216" s="36"/>
      <c r="E216" s="36"/>
      <c r="F216" s="36"/>
      <c r="G216" s="36"/>
      <c r="H216" s="36"/>
      <c r="I216" s="3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36"/>
      <c r="AB216" s="5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ht="15.75" customHeight="1">
      <c r="A217" s="83"/>
      <c r="B217" s="36"/>
      <c r="C217" s="36"/>
      <c r="D217" s="36"/>
      <c r="E217" s="36"/>
      <c r="F217" s="36"/>
      <c r="G217" s="36"/>
      <c r="H217" s="36"/>
      <c r="I217" s="3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36"/>
      <c r="AB217" s="5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ht="15.75" customHeight="1">
      <c r="A218" s="83"/>
      <c r="B218" s="36"/>
      <c r="C218" s="36"/>
      <c r="D218" s="36"/>
      <c r="E218" s="36"/>
      <c r="F218" s="36"/>
      <c r="G218" s="36"/>
      <c r="H218" s="36"/>
      <c r="I218" s="3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36"/>
      <c r="AB218" s="5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ht="15.75" customHeight="1">
      <c r="A219" s="83"/>
      <c r="B219" s="36"/>
      <c r="C219" s="36"/>
      <c r="D219" s="36"/>
      <c r="E219" s="36"/>
      <c r="F219" s="36"/>
      <c r="G219" s="36"/>
      <c r="H219" s="36"/>
      <c r="I219" s="3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36"/>
      <c r="AB219" s="5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ht="15.75" customHeight="1">
      <c r="A220" s="83"/>
      <c r="B220" s="36"/>
      <c r="C220" s="36"/>
      <c r="D220" s="36"/>
      <c r="E220" s="36"/>
      <c r="F220" s="36"/>
      <c r="G220" s="36"/>
      <c r="H220" s="36"/>
      <c r="I220" s="3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36"/>
      <c r="AB220" s="5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ht="15.75" customHeight="1">
      <c r="A221" s="83"/>
      <c r="B221" s="36"/>
      <c r="C221" s="36"/>
      <c r="D221" s="36"/>
      <c r="E221" s="36"/>
      <c r="F221" s="36"/>
      <c r="G221" s="36"/>
      <c r="H221" s="36"/>
      <c r="I221" s="3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36"/>
      <c r="AB221" s="5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ht="15.75" customHeight="1">
      <c r="A222" s="83"/>
      <c r="B222" s="36"/>
      <c r="C222" s="36"/>
      <c r="D222" s="36"/>
      <c r="E222" s="36"/>
      <c r="F222" s="36"/>
      <c r="G222" s="36"/>
      <c r="H222" s="36"/>
      <c r="I222" s="3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36"/>
      <c r="AB222" s="5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ht="15.75" customHeight="1">
      <c r="A223" s="83"/>
      <c r="B223" s="36"/>
      <c r="C223" s="36"/>
      <c r="D223" s="36"/>
      <c r="E223" s="36"/>
      <c r="F223" s="36"/>
      <c r="G223" s="36"/>
      <c r="H223" s="36"/>
      <c r="I223" s="3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36"/>
      <c r="AB223" s="5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ht="15.75" customHeight="1">
      <c r="A224" s="83"/>
      <c r="B224" s="36"/>
      <c r="C224" s="36"/>
      <c r="D224" s="36"/>
      <c r="E224" s="36"/>
      <c r="F224" s="36"/>
      <c r="G224" s="36"/>
      <c r="H224" s="36"/>
      <c r="I224" s="3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36"/>
      <c r="AB224" s="5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ht="15.75" customHeight="1">
      <c r="A225" s="83"/>
      <c r="B225" s="36"/>
      <c r="C225" s="36"/>
      <c r="D225" s="36"/>
      <c r="E225" s="36"/>
      <c r="F225" s="36"/>
      <c r="G225" s="36"/>
      <c r="H225" s="36"/>
      <c r="I225" s="3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36"/>
      <c r="AB225" s="5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ht="15.75" customHeight="1">
      <c r="A226" s="83"/>
      <c r="B226" s="36"/>
      <c r="C226" s="36"/>
      <c r="D226" s="36"/>
      <c r="E226" s="36"/>
      <c r="F226" s="36"/>
      <c r="G226" s="36"/>
      <c r="H226" s="36"/>
      <c r="I226" s="3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36"/>
      <c r="AB226" s="5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ht="15.75" customHeight="1">
      <c r="A227" s="83"/>
      <c r="B227" s="36"/>
      <c r="C227" s="36"/>
      <c r="D227" s="36"/>
      <c r="E227" s="36"/>
      <c r="F227" s="36"/>
      <c r="G227" s="36"/>
      <c r="H227" s="36"/>
      <c r="I227" s="3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36"/>
      <c r="AB227" s="5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ht="15.75" customHeight="1">
      <c r="A228" s="83"/>
      <c r="B228" s="36"/>
      <c r="C228" s="36"/>
      <c r="D228" s="36"/>
      <c r="E228" s="36"/>
      <c r="F228" s="36"/>
      <c r="G228" s="36"/>
      <c r="H228" s="36"/>
      <c r="I228" s="3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36"/>
      <c r="AB228" s="5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ht="15.75" customHeight="1">
      <c r="A229" s="83"/>
      <c r="B229" s="36"/>
      <c r="C229" s="36"/>
      <c r="D229" s="36"/>
      <c r="E229" s="36"/>
      <c r="F229" s="36"/>
      <c r="G229" s="36"/>
      <c r="H229" s="36"/>
      <c r="I229" s="3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36"/>
      <c r="AB229" s="5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ht="15.75" customHeight="1">
      <c r="A230" s="83"/>
      <c r="B230" s="36"/>
      <c r="C230" s="36"/>
      <c r="D230" s="36"/>
      <c r="E230" s="36"/>
      <c r="F230" s="36"/>
      <c r="G230" s="36"/>
      <c r="H230" s="36"/>
      <c r="I230" s="3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36"/>
      <c r="AB230" s="5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ht="15.75" customHeight="1">
      <c r="A231" s="83"/>
      <c r="B231" s="36"/>
      <c r="C231" s="36"/>
      <c r="D231" s="36"/>
      <c r="E231" s="36"/>
      <c r="F231" s="36"/>
      <c r="G231" s="36"/>
      <c r="H231" s="36"/>
      <c r="I231" s="3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36"/>
      <c r="AB231" s="5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ht="15.75" customHeight="1">
      <c r="A232" s="83"/>
      <c r="B232" s="36"/>
      <c r="C232" s="36"/>
      <c r="D232" s="36"/>
      <c r="E232" s="36"/>
      <c r="F232" s="36"/>
      <c r="G232" s="36"/>
      <c r="H232" s="36"/>
      <c r="I232" s="3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36"/>
      <c r="AB232" s="5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ht="15.75" customHeight="1">
      <c r="A233" s="83"/>
      <c r="B233" s="36"/>
      <c r="C233" s="36"/>
      <c r="D233" s="36"/>
      <c r="E233" s="36"/>
      <c r="F233" s="36"/>
      <c r="G233" s="36"/>
      <c r="H233" s="36"/>
      <c r="I233" s="3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36"/>
      <c r="AB233" s="5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ht="15.75" customHeight="1">
      <c r="A234" s="56"/>
      <c r="B234" s="56"/>
      <c r="C234" s="56"/>
      <c r="D234" s="56"/>
      <c r="E234" s="56"/>
      <c r="F234" s="36"/>
      <c r="G234" s="36"/>
      <c r="H234" s="3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</row>
    <row r="235" ht="15.75" customHeight="1">
      <c r="A235" s="56"/>
      <c r="B235" s="56"/>
      <c r="C235" s="56"/>
      <c r="D235" s="56"/>
      <c r="E235" s="56"/>
      <c r="F235" s="36"/>
      <c r="G235" s="36"/>
      <c r="H235" s="3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</row>
    <row r="236" ht="15.75" customHeight="1">
      <c r="A236" s="56"/>
      <c r="B236" s="56"/>
      <c r="C236" s="56"/>
      <c r="D236" s="56"/>
      <c r="E236" s="56"/>
      <c r="F236" s="36"/>
      <c r="G236" s="36"/>
      <c r="H236" s="3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</row>
    <row r="237" ht="15.75" customHeight="1">
      <c r="A237" s="56"/>
      <c r="B237" s="56"/>
      <c r="C237" s="56"/>
      <c r="D237" s="56"/>
      <c r="E237" s="56"/>
      <c r="F237" s="36"/>
      <c r="G237" s="36"/>
      <c r="H237" s="3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</row>
    <row r="238" ht="15.75" customHeight="1">
      <c r="A238" s="56"/>
      <c r="B238" s="56"/>
      <c r="C238" s="56"/>
      <c r="D238" s="56"/>
      <c r="E238" s="56"/>
      <c r="F238" s="36"/>
      <c r="G238" s="36"/>
      <c r="H238" s="3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</row>
    <row r="239" ht="15.75" customHeight="1">
      <c r="A239" s="56"/>
      <c r="B239" s="56"/>
      <c r="C239" s="56"/>
      <c r="D239" s="56"/>
      <c r="E239" s="56"/>
      <c r="F239" s="36"/>
      <c r="G239" s="36"/>
      <c r="H239" s="3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</row>
    <row r="240" ht="15.75" customHeight="1">
      <c r="A240" s="56"/>
      <c r="B240" s="56"/>
      <c r="C240" s="56"/>
      <c r="D240" s="56"/>
      <c r="E240" s="56"/>
      <c r="F240" s="36"/>
      <c r="G240" s="36"/>
      <c r="H240" s="3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</row>
    <row r="241" ht="15.75" customHeight="1">
      <c r="A241" s="56"/>
      <c r="B241" s="56"/>
      <c r="C241" s="56"/>
      <c r="D241" s="56"/>
      <c r="E241" s="56"/>
      <c r="F241" s="36"/>
      <c r="G241" s="36"/>
      <c r="H241" s="3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</row>
    <row r="242" ht="15.75" customHeight="1">
      <c r="A242" s="56"/>
      <c r="B242" s="56"/>
      <c r="C242" s="56"/>
      <c r="D242" s="56"/>
      <c r="E242" s="56"/>
      <c r="F242" s="36"/>
      <c r="G242" s="36"/>
      <c r="H242" s="3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</row>
    <row r="243" ht="15.75" customHeight="1">
      <c r="A243" s="56"/>
      <c r="B243" s="56"/>
      <c r="C243" s="56"/>
      <c r="D243" s="56"/>
      <c r="E243" s="56"/>
      <c r="F243" s="36"/>
      <c r="G243" s="36"/>
      <c r="H243" s="3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</row>
    <row r="244" ht="15.75" customHeight="1">
      <c r="A244" s="56"/>
      <c r="B244" s="56"/>
      <c r="C244" s="56"/>
      <c r="D244" s="56"/>
      <c r="E244" s="56"/>
      <c r="F244" s="36"/>
      <c r="G244" s="36"/>
      <c r="H244" s="3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</row>
    <row r="245" ht="15.75" customHeight="1">
      <c r="A245" s="56"/>
      <c r="B245" s="56"/>
      <c r="C245" s="56"/>
      <c r="D245" s="56"/>
      <c r="E245" s="56"/>
      <c r="F245" s="36"/>
      <c r="G245" s="36"/>
      <c r="H245" s="3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</row>
    <row r="246" ht="15.75" customHeight="1">
      <c r="A246" s="56"/>
      <c r="B246" s="56"/>
      <c r="C246" s="56"/>
      <c r="D246" s="56"/>
      <c r="E246" s="56"/>
      <c r="F246" s="36"/>
      <c r="G246" s="36"/>
      <c r="H246" s="3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</row>
    <row r="247" ht="15.75" customHeight="1">
      <c r="A247" s="56"/>
      <c r="B247" s="56"/>
      <c r="C247" s="56"/>
      <c r="D247" s="56"/>
      <c r="E247" s="56"/>
      <c r="F247" s="36"/>
      <c r="G247" s="36"/>
      <c r="H247" s="3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</row>
    <row r="248" ht="15.75" customHeight="1">
      <c r="A248" s="56"/>
      <c r="B248" s="56"/>
      <c r="C248" s="56"/>
      <c r="D248" s="56"/>
      <c r="E248" s="56"/>
      <c r="F248" s="36"/>
      <c r="G248" s="36"/>
      <c r="H248" s="3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</row>
    <row r="249" ht="15.75" customHeight="1">
      <c r="A249" s="56"/>
      <c r="B249" s="56"/>
      <c r="C249" s="56"/>
      <c r="D249" s="56"/>
      <c r="E249" s="56"/>
      <c r="F249" s="36"/>
      <c r="G249" s="36"/>
      <c r="H249" s="3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</row>
    <row r="250" ht="15.75" customHeight="1">
      <c r="A250" s="56"/>
      <c r="B250" s="56"/>
      <c r="C250" s="56"/>
      <c r="D250" s="56"/>
      <c r="E250" s="56"/>
      <c r="F250" s="36"/>
      <c r="G250" s="36"/>
      <c r="H250" s="3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</row>
    <row r="251" ht="15.75" customHeight="1">
      <c r="A251" s="56"/>
      <c r="B251" s="56"/>
      <c r="C251" s="56"/>
      <c r="D251" s="56"/>
      <c r="E251" s="56"/>
      <c r="F251" s="36"/>
      <c r="G251" s="36"/>
      <c r="H251" s="3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</row>
    <row r="252" ht="15.75" customHeight="1">
      <c r="A252" s="56"/>
      <c r="B252" s="56"/>
      <c r="C252" s="56"/>
      <c r="D252" s="56"/>
      <c r="E252" s="56"/>
      <c r="F252" s="36"/>
      <c r="G252" s="36"/>
      <c r="H252" s="3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</row>
    <row r="253" ht="15.75" customHeight="1">
      <c r="A253" s="56"/>
      <c r="B253" s="56"/>
      <c r="C253" s="56"/>
      <c r="D253" s="56"/>
      <c r="E253" s="56"/>
      <c r="F253" s="36"/>
      <c r="G253" s="36"/>
      <c r="H253" s="3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</row>
    <row r="254" ht="15.75" customHeight="1">
      <c r="A254" s="56"/>
      <c r="B254" s="56"/>
      <c r="C254" s="56"/>
      <c r="D254" s="56"/>
      <c r="E254" s="56"/>
      <c r="F254" s="36"/>
      <c r="G254" s="36"/>
      <c r="H254" s="3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</row>
    <row r="255" ht="15.75" customHeight="1">
      <c r="A255" s="56"/>
      <c r="B255" s="56"/>
      <c r="C255" s="56"/>
      <c r="D255" s="56"/>
      <c r="E255" s="56"/>
      <c r="F255" s="36"/>
      <c r="G255" s="36"/>
      <c r="H255" s="3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</row>
    <row r="256" ht="15.75" customHeight="1">
      <c r="A256" s="56"/>
      <c r="B256" s="56"/>
      <c r="C256" s="56"/>
      <c r="D256" s="56"/>
      <c r="E256" s="56"/>
      <c r="F256" s="36"/>
      <c r="G256" s="36"/>
      <c r="H256" s="3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</row>
    <row r="257" ht="15.75" customHeight="1">
      <c r="A257" s="56"/>
      <c r="B257" s="56"/>
      <c r="C257" s="56"/>
      <c r="D257" s="56"/>
      <c r="E257" s="56"/>
      <c r="F257" s="36"/>
      <c r="G257" s="36"/>
      <c r="H257" s="3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</row>
    <row r="258" ht="15.75" customHeight="1">
      <c r="A258" s="56"/>
      <c r="B258" s="56"/>
      <c r="C258" s="56"/>
      <c r="D258" s="56"/>
      <c r="E258" s="56"/>
      <c r="F258" s="36"/>
      <c r="G258" s="36"/>
      <c r="H258" s="3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</row>
    <row r="259" ht="15.75" customHeight="1">
      <c r="A259" s="56"/>
      <c r="B259" s="56"/>
      <c r="C259" s="56"/>
      <c r="D259" s="56"/>
      <c r="E259" s="56"/>
      <c r="F259" s="36"/>
      <c r="G259" s="36"/>
      <c r="H259" s="3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</row>
    <row r="260" ht="15.75" customHeight="1">
      <c r="A260" s="56"/>
      <c r="B260" s="56"/>
      <c r="C260" s="56"/>
      <c r="D260" s="56"/>
      <c r="E260" s="56"/>
      <c r="F260" s="36"/>
      <c r="G260" s="36"/>
      <c r="H260" s="3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</row>
    <row r="261" ht="15.75" customHeight="1">
      <c r="A261" s="56"/>
      <c r="B261" s="56"/>
      <c r="C261" s="56"/>
      <c r="D261" s="56"/>
      <c r="E261" s="56"/>
      <c r="F261" s="36"/>
      <c r="G261" s="36"/>
      <c r="H261" s="3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</row>
    <row r="262" ht="15.75" customHeight="1">
      <c r="A262" s="56"/>
      <c r="B262" s="56"/>
      <c r="C262" s="56"/>
      <c r="D262" s="56"/>
      <c r="E262" s="56"/>
      <c r="F262" s="36"/>
      <c r="G262" s="36"/>
      <c r="H262" s="3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</row>
    <row r="263" ht="15.75" customHeight="1">
      <c r="A263" s="56"/>
      <c r="B263" s="56"/>
      <c r="C263" s="56"/>
      <c r="D263" s="56"/>
      <c r="E263" s="56"/>
      <c r="F263" s="36"/>
      <c r="G263" s="36"/>
      <c r="H263" s="3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</row>
    <row r="264" ht="15.75" customHeight="1">
      <c r="A264" s="56"/>
      <c r="B264" s="56"/>
      <c r="C264" s="56"/>
      <c r="D264" s="56"/>
      <c r="E264" s="56"/>
      <c r="F264" s="36"/>
      <c r="G264" s="36"/>
      <c r="H264" s="3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</row>
    <row r="265" ht="15.75" customHeight="1">
      <c r="A265" s="56"/>
      <c r="B265" s="56"/>
      <c r="C265" s="56"/>
      <c r="D265" s="56"/>
      <c r="E265" s="56"/>
      <c r="F265" s="36"/>
      <c r="G265" s="36"/>
      <c r="H265" s="3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</row>
    <row r="266" ht="15.75" customHeight="1">
      <c r="A266" s="56"/>
      <c r="B266" s="56"/>
      <c r="C266" s="56"/>
      <c r="D266" s="56"/>
      <c r="E266" s="56"/>
      <c r="F266" s="36"/>
      <c r="G266" s="36"/>
      <c r="H266" s="3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</row>
    <row r="267" ht="15.75" customHeight="1">
      <c r="A267" s="56"/>
      <c r="B267" s="56"/>
      <c r="C267" s="56"/>
      <c r="D267" s="56"/>
      <c r="E267" s="56"/>
      <c r="F267" s="36"/>
      <c r="G267" s="36"/>
      <c r="H267" s="3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</row>
    <row r="268" ht="15.75" customHeight="1">
      <c r="A268" s="56"/>
      <c r="B268" s="56"/>
      <c r="C268" s="56"/>
      <c r="D268" s="56"/>
      <c r="E268" s="56"/>
      <c r="F268" s="36"/>
      <c r="G268" s="36"/>
      <c r="H268" s="3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</row>
    <row r="269" ht="15.75" customHeight="1">
      <c r="A269" s="56"/>
      <c r="B269" s="56"/>
      <c r="C269" s="56"/>
      <c r="D269" s="56"/>
      <c r="E269" s="56"/>
      <c r="F269" s="36"/>
      <c r="G269" s="36"/>
      <c r="H269" s="3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</row>
    <row r="270" ht="15.75" customHeight="1">
      <c r="A270" s="56"/>
      <c r="B270" s="56"/>
      <c r="C270" s="56"/>
      <c r="D270" s="56"/>
      <c r="E270" s="56"/>
      <c r="F270" s="36"/>
      <c r="G270" s="36"/>
      <c r="H270" s="3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</row>
    <row r="271" ht="15.75" customHeight="1">
      <c r="A271" s="56"/>
      <c r="B271" s="56"/>
      <c r="C271" s="56"/>
      <c r="D271" s="56"/>
      <c r="E271" s="56"/>
      <c r="F271" s="36"/>
      <c r="G271" s="36"/>
      <c r="H271" s="3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</row>
    <row r="272" ht="15.75" customHeight="1">
      <c r="A272" s="56"/>
      <c r="B272" s="56"/>
      <c r="C272" s="56"/>
      <c r="D272" s="56"/>
      <c r="E272" s="56"/>
      <c r="F272" s="36"/>
      <c r="G272" s="36"/>
      <c r="H272" s="3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</row>
    <row r="273" ht="15.75" customHeight="1">
      <c r="A273" s="56"/>
      <c r="B273" s="56"/>
      <c r="C273" s="56"/>
      <c r="D273" s="56"/>
      <c r="E273" s="56"/>
      <c r="F273" s="36"/>
      <c r="G273" s="36"/>
      <c r="H273" s="3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</row>
    <row r="274" ht="15.75" customHeight="1">
      <c r="A274" s="56"/>
      <c r="B274" s="56"/>
      <c r="C274" s="56"/>
      <c r="D274" s="56"/>
      <c r="E274" s="56"/>
      <c r="F274" s="36"/>
      <c r="G274" s="36"/>
      <c r="H274" s="3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</row>
    <row r="275" ht="15.75" customHeight="1">
      <c r="A275" s="56"/>
      <c r="B275" s="56"/>
      <c r="C275" s="56"/>
      <c r="D275" s="56"/>
      <c r="E275" s="56"/>
      <c r="F275" s="36"/>
      <c r="G275" s="36"/>
      <c r="H275" s="3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</row>
    <row r="276" ht="15.75" customHeight="1">
      <c r="A276" s="56"/>
      <c r="B276" s="56"/>
      <c r="C276" s="56"/>
      <c r="D276" s="56"/>
      <c r="E276" s="56"/>
      <c r="F276" s="36"/>
      <c r="G276" s="36"/>
      <c r="H276" s="3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</row>
    <row r="277" ht="15.75" customHeight="1">
      <c r="A277" s="56"/>
      <c r="B277" s="56"/>
      <c r="C277" s="56"/>
      <c r="D277" s="56"/>
      <c r="E277" s="56"/>
      <c r="F277" s="36"/>
      <c r="G277" s="36"/>
      <c r="H277" s="3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</row>
    <row r="278" ht="15.75" customHeight="1">
      <c r="A278" s="56"/>
      <c r="B278" s="56"/>
      <c r="C278" s="56"/>
      <c r="D278" s="56"/>
      <c r="E278" s="56"/>
      <c r="F278" s="36"/>
      <c r="G278" s="36"/>
      <c r="H278" s="3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</row>
    <row r="279" ht="15.75" customHeight="1">
      <c r="A279" s="56"/>
      <c r="B279" s="56"/>
      <c r="C279" s="56"/>
      <c r="D279" s="56"/>
      <c r="E279" s="56"/>
      <c r="F279" s="36"/>
      <c r="G279" s="36"/>
      <c r="H279" s="3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</row>
    <row r="280" ht="15.75" customHeight="1">
      <c r="A280" s="56"/>
      <c r="B280" s="56"/>
      <c r="C280" s="56"/>
      <c r="D280" s="56"/>
      <c r="E280" s="56"/>
      <c r="F280" s="36"/>
      <c r="G280" s="36"/>
      <c r="H280" s="3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</row>
    <row r="281" ht="15.75" customHeight="1">
      <c r="A281" s="56"/>
      <c r="B281" s="56"/>
      <c r="C281" s="56"/>
      <c r="D281" s="56"/>
      <c r="E281" s="56"/>
      <c r="F281" s="36"/>
      <c r="G281" s="36"/>
      <c r="H281" s="3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</row>
    <row r="282" ht="15.75" customHeight="1">
      <c r="A282" s="56"/>
      <c r="B282" s="56"/>
      <c r="C282" s="56"/>
      <c r="D282" s="56"/>
      <c r="E282" s="56"/>
      <c r="F282" s="36"/>
      <c r="G282" s="36"/>
      <c r="H282" s="3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</row>
    <row r="283" ht="15.75" customHeight="1">
      <c r="A283" s="56"/>
      <c r="B283" s="56"/>
      <c r="C283" s="56"/>
      <c r="D283" s="56"/>
      <c r="E283" s="56"/>
      <c r="F283" s="36"/>
      <c r="G283" s="36"/>
      <c r="H283" s="3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</row>
    <row r="284" ht="15.75" customHeight="1">
      <c r="A284" s="56"/>
      <c r="B284" s="56"/>
      <c r="C284" s="56"/>
      <c r="D284" s="56"/>
      <c r="E284" s="56"/>
      <c r="F284" s="36"/>
      <c r="G284" s="36"/>
      <c r="H284" s="3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</row>
    <row r="285" ht="15.75" customHeight="1">
      <c r="A285" s="56"/>
      <c r="B285" s="56"/>
      <c r="C285" s="56"/>
      <c r="D285" s="56"/>
      <c r="E285" s="56"/>
      <c r="F285" s="36"/>
      <c r="G285" s="36"/>
      <c r="H285" s="3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</row>
    <row r="286" ht="15.75" customHeight="1">
      <c r="A286" s="56"/>
      <c r="B286" s="56"/>
      <c r="C286" s="56"/>
      <c r="D286" s="56"/>
      <c r="E286" s="56"/>
      <c r="F286" s="36"/>
      <c r="G286" s="36"/>
      <c r="H286" s="3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</row>
    <row r="287" ht="15.75" customHeight="1">
      <c r="A287" s="56"/>
      <c r="B287" s="56"/>
      <c r="C287" s="56"/>
      <c r="D287" s="56"/>
      <c r="E287" s="56"/>
      <c r="F287" s="36"/>
      <c r="G287" s="36"/>
      <c r="H287" s="3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</row>
    <row r="288" ht="15.75" customHeight="1">
      <c r="A288" s="56"/>
      <c r="B288" s="56"/>
      <c r="C288" s="56"/>
      <c r="D288" s="56"/>
      <c r="E288" s="56"/>
      <c r="F288" s="36"/>
      <c r="G288" s="36"/>
      <c r="H288" s="3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</row>
    <row r="289" ht="15.75" customHeight="1">
      <c r="A289" s="56"/>
      <c r="B289" s="56"/>
      <c r="C289" s="56"/>
      <c r="D289" s="56"/>
      <c r="E289" s="56"/>
      <c r="F289" s="36"/>
      <c r="G289" s="36"/>
      <c r="H289" s="3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</row>
    <row r="290" ht="15.75" customHeight="1">
      <c r="A290" s="56"/>
      <c r="B290" s="56"/>
      <c r="C290" s="56"/>
      <c r="D290" s="56"/>
      <c r="E290" s="56"/>
      <c r="F290" s="36"/>
      <c r="G290" s="36"/>
      <c r="H290" s="3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</row>
    <row r="291" ht="15.75" customHeight="1">
      <c r="A291" s="56"/>
      <c r="B291" s="56"/>
      <c r="C291" s="56"/>
      <c r="D291" s="56"/>
      <c r="E291" s="56"/>
      <c r="F291" s="36"/>
      <c r="G291" s="36"/>
      <c r="H291" s="3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</row>
    <row r="292" ht="15.75" customHeight="1">
      <c r="A292" s="56"/>
      <c r="B292" s="56"/>
      <c r="C292" s="56"/>
      <c r="D292" s="56"/>
      <c r="E292" s="56"/>
      <c r="F292" s="36"/>
      <c r="G292" s="36"/>
      <c r="H292" s="3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</row>
    <row r="293" ht="15.75" customHeight="1">
      <c r="A293" s="56"/>
      <c r="B293" s="56"/>
      <c r="C293" s="56"/>
      <c r="D293" s="56"/>
      <c r="E293" s="56"/>
      <c r="F293" s="36"/>
      <c r="G293" s="36"/>
      <c r="H293" s="3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</row>
    <row r="294" ht="15.75" customHeight="1">
      <c r="A294" s="56"/>
      <c r="B294" s="56"/>
      <c r="C294" s="56"/>
      <c r="D294" s="56"/>
      <c r="E294" s="56"/>
      <c r="F294" s="36"/>
      <c r="G294" s="36"/>
      <c r="H294" s="3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</row>
    <row r="295" ht="15.75" customHeight="1">
      <c r="A295" s="56"/>
      <c r="B295" s="56"/>
      <c r="C295" s="56"/>
      <c r="D295" s="56"/>
      <c r="E295" s="56"/>
      <c r="F295" s="36"/>
      <c r="G295" s="36"/>
      <c r="H295" s="3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</row>
    <row r="296" ht="15.75" customHeight="1">
      <c r="A296" s="56"/>
      <c r="B296" s="56"/>
      <c r="C296" s="56"/>
      <c r="D296" s="56"/>
      <c r="E296" s="56"/>
      <c r="F296" s="36"/>
      <c r="G296" s="36"/>
      <c r="H296" s="3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</row>
    <row r="297" ht="15.75" customHeight="1">
      <c r="A297" s="56"/>
      <c r="B297" s="56"/>
      <c r="C297" s="56"/>
      <c r="D297" s="56"/>
      <c r="E297" s="56"/>
      <c r="F297" s="36"/>
      <c r="G297" s="36"/>
      <c r="H297" s="3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</row>
    <row r="298" ht="15.75" customHeight="1">
      <c r="A298" s="56"/>
      <c r="B298" s="56"/>
      <c r="C298" s="56"/>
      <c r="D298" s="56"/>
      <c r="E298" s="56"/>
      <c r="F298" s="36"/>
      <c r="G298" s="36"/>
      <c r="H298" s="3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</row>
    <row r="299" ht="15.75" customHeight="1">
      <c r="A299" s="56"/>
      <c r="B299" s="56"/>
      <c r="C299" s="56"/>
      <c r="D299" s="56"/>
      <c r="E299" s="56"/>
      <c r="F299" s="36"/>
      <c r="G299" s="36"/>
      <c r="H299" s="3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</row>
    <row r="300" ht="15.75" customHeight="1">
      <c r="A300" s="56"/>
      <c r="B300" s="56"/>
      <c r="C300" s="56"/>
      <c r="D300" s="56"/>
      <c r="E300" s="56"/>
      <c r="F300" s="36"/>
      <c r="G300" s="36"/>
      <c r="H300" s="3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</row>
    <row r="301" ht="15.75" customHeight="1">
      <c r="A301" s="56"/>
      <c r="B301" s="56"/>
      <c r="C301" s="56"/>
      <c r="D301" s="56"/>
      <c r="E301" s="56"/>
      <c r="F301" s="36"/>
      <c r="G301" s="36"/>
      <c r="H301" s="3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</row>
    <row r="302" ht="15.75" customHeight="1">
      <c r="A302" s="56"/>
      <c r="B302" s="56"/>
      <c r="C302" s="56"/>
      <c r="D302" s="56"/>
      <c r="E302" s="56"/>
      <c r="F302" s="36"/>
      <c r="G302" s="36"/>
      <c r="H302" s="3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</row>
    <row r="303" ht="15.75" customHeight="1">
      <c r="A303" s="56"/>
      <c r="B303" s="56"/>
      <c r="C303" s="56"/>
      <c r="D303" s="56"/>
      <c r="E303" s="56"/>
      <c r="F303" s="36"/>
      <c r="G303" s="36"/>
      <c r="H303" s="3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</row>
    <row r="304" ht="15.75" customHeight="1">
      <c r="A304" s="56"/>
      <c r="B304" s="56"/>
      <c r="C304" s="56"/>
      <c r="D304" s="56"/>
      <c r="E304" s="56"/>
      <c r="F304" s="36"/>
      <c r="G304" s="36"/>
      <c r="H304" s="3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</row>
    <row r="305" ht="15.75" customHeight="1">
      <c r="A305" s="56"/>
      <c r="B305" s="56"/>
      <c r="C305" s="56"/>
      <c r="D305" s="56"/>
      <c r="E305" s="56"/>
      <c r="F305" s="36"/>
      <c r="G305" s="36"/>
      <c r="H305" s="3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</row>
    <row r="306" ht="15.75" customHeight="1">
      <c r="A306" s="56"/>
      <c r="B306" s="56"/>
      <c r="C306" s="56"/>
      <c r="D306" s="56"/>
      <c r="E306" s="56"/>
      <c r="F306" s="36"/>
      <c r="G306" s="36"/>
      <c r="H306" s="3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</row>
    <row r="307" ht="15.75" customHeight="1">
      <c r="A307" s="56"/>
      <c r="B307" s="56"/>
      <c r="C307" s="56"/>
      <c r="D307" s="56"/>
      <c r="E307" s="56"/>
      <c r="F307" s="36"/>
      <c r="G307" s="36"/>
      <c r="H307" s="3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</row>
    <row r="308" ht="15.75" customHeight="1">
      <c r="A308" s="56"/>
      <c r="B308" s="56"/>
      <c r="C308" s="56"/>
      <c r="D308" s="56"/>
      <c r="E308" s="56"/>
      <c r="F308" s="36"/>
      <c r="G308" s="36"/>
      <c r="H308" s="3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</row>
    <row r="309" ht="15.75" customHeight="1">
      <c r="A309" s="56"/>
      <c r="B309" s="56"/>
      <c r="C309" s="56"/>
      <c r="D309" s="56"/>
      <c r="E309" s="56"/>
      <c r="F309" s="36"/>
      <c r="G309" s="36"/>
      <c r="H309" s="3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</row>
    <row r="310" ht="15.75" customHeight="1">
      <c r="A310" s="56"/>
      <c r="B310" s="56"/>
      <c r="C310" s="56"/>
      <c r="D310" s="56"/>
      <c r="E310" s="56"/>
      <c r="F310" s="36"/>
      <c r="G310" s="36"/>
      <c r="H310" s="3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</row>
    <row r="311" ht="15.75" customHeight="1">
      <c r="A311" s="56"/>
      <c r="B311" s="56"/>
      <c r="C311" s="56"/>
      <c r="D311" s="56"/>
      <c r="E311" s="56"/>
      <c r="F311" s="36"/>
      <c r="G311" s="36"/>
      <c r="H311" s="3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</row>
    <row r="312" ht="15.75" customHeight="1">
      <c r="A312" s="56"/>
      <c r="B312" s="56"/>
      <c r="C312" s="56"/>
      <c r="D312" s="56"/>
      <c r="E312" s="56"/>
      <c r="F312" s="36"/>
      <c r="G312" s="36"/>
      <c r="H312" s="3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</row>
    <row r="313" ht="15.75" customHeight="1">
      <c r="A313" s="56"/>
      <c r="B313" s="56"/>
      <c r="C313" s="56"/>
      <c r="D313" s="56"/>
      <c r="E313" s="56"/>
      <c r="F313" s="36"/>
      <c r="G313" s="36"/>
      <c r="H313" s="3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</row>
    <row r="314" ht="15.75" customHeight="1">
      <c r="A314" s="56"/>
      <c r="B314" s="56"/>
      <c r="C314" s="56"/>
      <c r="D314" s="56"/>
      <c r="E314" s="56"/>
      <c r="F314" s="36"/>
      <c r="G314" s="36"/>
      <c r="H314" s="3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</row>
    <row r="315" ht="15.75" customHeight="1">
      <c r="A315" s="56"/>
      <c r="B315" s="56"/>
      <c r="C315" s="56"/>
      <c r="D315" s="56"/>
      <c r="E315" s="56"/>
      <c r="F315" s="36"/>
      <c r="G315" s="36"/>
      <c r="H315" s="3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</row>
    <row r="316" ht="15.75" customHeight="1">
      <c r="A316" s="56"/>
      <c r="B316" s="56"/>
      <c r="C316" s="56"/>
      <c r="D316" s="56"/>
      <c r="E316" s="56"/>
      <c r="F316" s="36"/>
      <c r="G316" s="36"/>
      <c r="H316" s="3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</row>
    <row r="317" ht="15.75" customHeight="1">
      <c r="A317" s="56"/>
      <c r="B317" s="56"/>
      <c r="C317" s="56"/>
      <c r="D317" s="56"/>
      <c r="E317" s="56"/>
      <c r="F317" s="36"/>
      <c r="G317" s="36"/>
      <c r="H317" s="3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</row>
    <row r="318" ht="15.75" customHeight="1">
      <c r="A318" s="56"/>
      <c r="B318" s="56"/>
      <c r="C318" s="56"/>
      <c r="D318" s="56"/>
      <c r="E318" s="56"/>
      <c r="F318" s="36"/>
      <c r="G318" s="36"/>
      <c r="H318" s="3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</row>
    <row r="319" ht="15.75" customHeight="1">
      <c r="A319" s="56"/>
      <c r="B319" s="56"/>
      <c r="C319" s="56"/>
      <c r="D319" s="56"/>
      <c r="E319" s="56"/>
      <c r="F319" s="36"/>
      <c r="G319" s="36"/>
      <c r="H319" s="3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</row>
    <row r="320" ht="15.75" customHeight="1">
      <c r="A320" s="56"/>
      <c r="B320" s="56"/>
      <c r="C320" s="56"/>
      <c r="D320" s="56"/>
      <c r="E320" s="56"/>
      <c r="F320" s="36"/>
      <c r="G320" s="36"/>
      <c r="H320" s="3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</row>
    <row r="321" ht="15.75" customHeight="1">
      <c r="A321" s="56"/>
      <c r="B321" s="56"/>
      <c r="C321" s="56"/>
      <c r="D321" s="56"/>
      <c r="E321" s="56"/>
      <c r="F321" s="36"/>
      <c r="G321" s="36"/>
      <c r="H321" s="3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</row>
    <row r="322" ht="15.75" customHeight="1">
      <c r="A322" s="56"/>
      <c r="B322" s="56"/>
      <c r="C322" s="56"/>
      <c r="D322" s="56"/>
      <c r="E322" s="56"/>
      <c r="F322" s="36"/>
      <c r="G322" s="36"/>
      <c r="H322" s="3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</row>
    <row r="323" ht="15.75" customHeight="1">
      <c r="A323" s="56"/>
      <c r="B323" s="56"/>
      <c r="C323" s="56"/>
      <c r="D323" s="56"/>
      <c r="E323" s="56"/>
      <c r="F323" s="36"/>
      <c r="G323" s="36"/>
      <c r="H323" s="3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</row>
    <row r="324" ht="15.75" customHeight="1">
      <c r="A324" s="56"/>
      <c r="B324" s="56"/>
      <c r="C324" s="56"/>
      <c r="D324" s="56"/>
      <c r="E324" s="56"/>
      <c r="F324" s="36"/>
      <c r="G324" s="36"/>
      <c r="H324" s="3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</row>
    <row r="325" ht="15.75" customHeight="1">
      <c r="A325" s="56"/>
      <c r="B325" s="56"/>
      <c r="C325" s="56"/>
      <c r="D325" s="56"/>
      <c r="E325" s="56"/>
      <c r="F325" s="36"/>
      <c r="G325" s="36"/>
      <c r="H325" s="3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</row>
    <row r="326" ht="15.75" customHeight="1">
      <c r="A326" s="56"/>
      <c r="B326" s="56"/>
      <c r="C326" s="56"/>
      <c r="D326" s="56"/>
      <c r="E326" s="56"/>
      <c r="F326" s="36"/>
      <c r="G326" s="36"/>
      <c r="H326" s="3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</row>
    <row r="327" ht="15.75" customHeight="1">
      <c r="A327" s="56"/>
      <c r="B327" s="56"/>
      <c r="C327" s="56"/>
      <c r="D327" s="56"/>
      <c r="E327" s="56"/>
      <c r="F327" s="36"/>
      <c r="G327" s="36"/>
      <c r="H327" s="3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</row>
    <row r="328" ht="15.75" customHeight="1">
      <c r="A328" s="56"/>
      <c r="B328" s="56"/>
      <c r="C328" s="56"/>
      <c r="D328" s="56"/>
      <c r="E328" s="56"/>
      <c r="F328" s="36"/>
      <c r="G328" s="36"/>
      <c r="H328" s="3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</row>
    <row r="329" ht="15.75" customHeight="1">
      <c r="A329" s="56"/>
      <c r="B329" s="56"/>
      <c r="C329" s="56"/>
      <c r="D329" s="56"/>
      <c r="E329" s="56"/>
      <c r="F329" s="36"/>
      <c r="G329" s="36"/>
      <c r="H329" s="3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</row>
    <row r="330" ht="15.75" customHeight="1">
      <c r="A330" s="56"/>
      <c r="B330" s="56"/>
      <c r="C330" s="56"/>
      <c r="D330" s="56"/>
      <c r="E330" s="56"/>
      <c r="F330" s="36"/>
      <c r="G330" s="36"/>
      <c r="H330" s="3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</row>
    <row r="331" ht="15.75" customHeight="1">
      <c r="A331" s="56"/>
      <c r="B331" s="56"/>
      <c r="C331" s="56"/>
      <c r="D331" s="56"/>
      <c r="E331" s="56"/>
      <c r="F331" s="36"/>
      <c r="G331" s="36"/>
      <c r="H331" s="3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</row>
    <row r="332" ht="15.75" customHeight="1">
      <c r="A332" s="56"/>
      <c r="B332" s="56"/>
      <c r="C332" s="56"/>
      <c r="D332" s="56"/>
      <c r="E332" s="56"/>
      <c r="F332" s="36"/>
      <c r="G332" s="36"/>
      <c r="H332" s="3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</row>
    <row r="333" ht="15.75" customHeight="1">
      <c r="A333" s="56"/>
      <c r="B333" s="56"/>
      <c r="C333" s="56"/>
      <c r="D333" s="56"/>
      <c r="E333" s="56"/>
      <c r="F333" s="36"/>
      <c r="G333" s="36"/>
      <c r="H333" s="3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</row>
    <row r="334" ht="15.75" customHeight="1">
      <c r="A334" s="56"/>
      <c r="B334" s="56"/>
      <c r="C334" s="56"/>
      <c r="D334" s="56"/>
      <c r="E334" s="56"/>
      <c r="F334" s="36"/>
      <c r="G334" s="36"/>
      <c r="H334" s="3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</row>
    <row r="335" ht="15.75" customHeight="1">
      <c r="A335" s="56"/>
      <c r="B335" s="56"/>
      <c r="C335" s="56"/>
      <c r="D335" s="56"/>
      <c r="E335" s="56"/>
      <c r="F335" s="36"/>
      <c r="G335" s="36"/>
      <c r="H335" s="3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</row>
    <row r="336" ht="15.75" customHeight="1">
      <c r="A336" s="56"/>
      <c r="B336" s="56"/>
      <c r="C336" s="56"/>
      <c r="D336" s="56"/>
      <c r="E336" s="56"/>
      <c r="F336" s="36"/>
      <c r="G336" s="36"/>
      <c r="H336" s="3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</row>
    <row r="337" ht="15.75" customHeight="1">
      <c r="A337" s="56"/>
      <c r="B337" s="56"/>
      <c r="C337" s="56"/>
      <c r="D337" s="56"/>
      <c r="E337" s="56"/>
      <c r="F337" s="36"/>
      <c r="G337" s="36"/>
      <c r="H337" s="3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</row>
    <row r="338" ht="15.75" customHeight="1">
      <c r="A338" s="56"/>
      <c r="B338" s="56"/>
      <c r="C338" s="56"/>
      <c r="D338" s="56"/>
      <c r="E338" s="56"/>
      <c r="F338" s="36"/>
      <c r="G338" s="36"/>
      <c r="H338" s="3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</row>
    <row r="339" ht="15.75" customHeight="1">
      <c r="A339" s="56"/>
      <c r="B339" s="56"/>
      <c r="C339" s="56"/>
      <c r="D339" s="56"/>
      <c r="E339" s="56"/>
      <c r="F339" s="36"/>
      <c r="G339" s="36"/>
      <c r="H339" s="3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</row>
    <row r="340" ht="15.75" customHeight="1">
      <c r="A340" s="56"/>
      <c r="B340" s="56"/>
      <c r="C340" s="56"/>
      <c r="D340" s="56"/>
      <c r="E340" s="56"/>
      <c r="F340" s="36"/>
      <c r="G340" s="36"/>
      <c r="H340" s="3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</row>
    <row r="341" ht="15.75" customHeight="1">
      <c r="A341" s="56"/>
      <c r="B341" s="56"/>
      <c r="C341" s="56"/>
      <c r="D341" s="56"/>
      <c r="E341" s="56"/>
      <c r="F341" s="36"/>
      <c r="G341" s="36"/>
      <c r="H341" s="3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</row>
    <row r="342" ht="15.75" customHeight="1">
      <c r="A342" s="56"/>
      <c r="B342" s="56"/>
      <c r="C342" s="56"/>
      <c r="D342" s="56"/>
      <c r="E342" s="56"/>
      <c r="F342" s="36"/>
      <c r="G342" s="36"/>
      <c r="H342" s="3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</row>
    <row r="343" ht="15.75" customHeight="1">
      <c r="A343" s="56"/>
      <c r="B343" s="56"/>
      <c r="C343" s="56"/>
      <c r="D343" s="56"/>
      <c r="E343" s="56"/>
      <c r="F343" s="36"/>
      <c r="G343" s="36"/>
      <c r="H343" s="3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</row>
    <row r="344" ht="15.75" customHeight="1">
      <c r="A344" s="56"/>
      <c r="B344" s="56"/>
      <c r="C344" s="56"/>
      <c r="D344" s="56"/>
      <c r="E344" s="56"/>
      <c r="F344" s="36"/>
      <c r="G344" s="36"/>
      <c r="H344" s="3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</row>
    <row r="345" ht="15.75" customHeight="1">
      <c r="A345" s="56"/>
      <c r="B345" s="56"/>
      <c r="C345" s="56"/>
      <c r="D345" s="56"/>
      <c r="E345" s="56"/>
      <c r="F345" s="36"/>
      <c r="G345" s="36"/>
      <c r="H345" s="3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</row>
    <row r="346" ht="15.75" customHeight="1">
      <c r="A346" s="56"/>
      <c r="B346" s="56"/>
      <c r="C346" s="56"/>
      <c r="D346" s="56"/>
      <c r="E346" s="56"/>
      <c r="F346" s="36"/>
      <c r="G346" s="36"/>
      <c r="H346" s="3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</row>
    <row r="347" ht="15.75" customHeight="1">
      <c r="A347" s="56"/>
      <c r="B347" s="56"/>
      <c r="C347" s="56"/>
      <c r="D347" s="56"/>
      <c r="E347" s="56"/>
      <c r="F347" s="36"/>
      <c r="G347" s="36"/>
      <c r="H347" s="3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</row>
    <row r="348" ht="15.75" customHeight="1">
      <c r="A348" s="56"/>
      <c r="B348" s="56"/>
      <c r="C348" s="56"/>
      <c r="D348" s="56"/>
      <c r="E348" s="56"/>
      <c r="F348" s="36"/>
      <c r="G348" s="36"/>
      <c r="H348" s="3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</row>
    <row r="349" ht="15.75" customHeight="1">
      <c r="A349" s="56"/>
      <c r="B349" s="56"/>
      <c r="C349" s="56"/>
      <c r="D349" s="56"/>
      <c r="E349" s="56"/>
      <c r="F349" s="36"/>
      <c r="G349" s="36"/>
      <c r="H349" s="3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</row>
    <row r="350" ht="15.75" customHeight="1">
      <c r="A350" s="56"/>
      <c r="B350" s="56"/>
      <c r="C350" s="56"/>
      <c r="D350" s="56"/>
      <c r="E350" s="56"/>
      <c r="F350" s="36"/>
      <c r="G350" s="36"/>
      <c r="H350" s="3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</row>
    <row r="351" ht="15.75" customHeight="1">
      <c r="A351" s="56"/>
      <c r="B351" s="56"/>
      <c r="C351" s="56"/>
      <c r="D351" s="56"/>
      <c r="E351" s="56"/>
      <c r="F351" s="36"/>
      <c r="G351" s="36"/>
      <c r="H351" s="3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</row>
    <row r="352" ht="15.75" customHeight="1">
      <c r="A352" s="56"/>
      <c r="B352" s="56"/>
      <c r="C352" s="56"/>
      <c r="D352" s="56"/>
      <c r="E352" s="56"/>
      <c r="F352" s="36"/>
      <c r="G352" s="36"/>
      <c r="H352" s="3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</row>
    <row r="353" ht="15.75" customHeight="1">
      <c r="A353" s="56"/>
      <c r="B353" s="56"/>
      <c r="C353" s="56"/>
      <c r="D353" s="56"/>
      <c r="E353" s="56"/>
      <c r="F353" s="36"/>
      <c r="G353" s="36"/>
      <c r="H353" s="3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</row>
    <row r="354" ht="15.75" customHeight="1">
      <c r="A354" s="56"/>
      <c r="B354" s="56"/>
      <c r="C354" s="56"/>
      <c r="D354" s="56"/>
      <c r="E354" s="56"/>
      <c r="F354" s="36"/>
      <c r="G354" s="36"/>
      <c r="H354" s="3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</row>
    <row r="355" ht="15.75" customHeight="1">
      <c r="A355" s="56"/>
      <c r="B355" s="56"/>
      <c r="C355" s="56"/>
      <c r="D355" s="56"/>
      <c r="E355" s="56"/>
      <c r="F355" s="36"/>
      <c r="G355" s="36"/>
      <c r="H355" s="3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</row>
    <row r="356" ht="15.75" customHeight="1">
      <c r="A356" s="56"/>
      <c r="B356" s="56"/>
      <c r="C356" s="56"/>
      <c r="D356" s="56"/>
      <c r="E356" s="56"/>
      <c r="F356" s="36"/>
      <c r="G356" s="36"/>
      <c r="H356" s="3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</row>
    <row r="357" ht="15.75" customHeight="1">
      <c r="A357" s="56"/>
      <c r="B357" s="56"/>
      <c r="C357" s="56"/>
      <c r="D357" s="56"/>
      <c r="E357" s="56"/>
      <c r="F357" s="36"/>
      <c r="G357" s="36"/>
      <c r="H357" s="3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</row>
    <row r="358" ht="15.75" customHeight="1">
      <c r="A358" s="56"/>
      <c r="B358" s="56"/>
      <c r="C358" s="56"/>
      <c r="D358" s="56"/>
      <c r="E358" s="56"/>
      <c r="F358" s="36"/>
      <c r="G358" s="36"/>
      <c r="H358" s="3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</row>
    <row r="359" ht="15.75" customHeight="1">
      <c r="A359" s="56"/>
      <c r="B359" s="56"/>
      <c r="C359" s="56"/>
      <c r="D359" s="56"/>
      <c r="E359" s="56"/>
      <c r="F359" s="36"/>
      <c r="G359" s="36"/>
      <c r="H359" s="3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</row>
    <row r="360" ht="15.75" customHeight="1">
      <c r="A360" s="56"/>
      <c r="B360" s="56"/>
      <c r="C360" s="56"/>
      <c r="D360" s="56"/>
      <c r="E360" s="56"/>
      <c r="F360" s="36"/>
      <c r="G360" s="36"/>
      <c r="H360" s="3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</row>
    <row r="361" ht="15.75" customHeight="1">
      <c r="A361" s="56"/>
      <c r="B361" s="56"/>
      <c r="C361" s="56"/>
      <c r="D361" s="56"/>
      <c r="E361" s="56"/>
      <c r="F361" s="36"/>
      <c r="G361" s="36"/>
      <c r="H361" s="3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</row>
    <row r="362" ht="15.75" customHeight="1">
      <c r="A362" s="56"/>
      <c r="B362" s="56"/>
      <c r="C362" s="56"/>
      <c r="D362" s="56"/>
      <c r="E362" s="56"/>
      <c r="F362" s="36"/>
      <c r="G362" s="36"/>
      <c r="H362" s="3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</row>
    <row r="363" ht="15.75" customHeight="1">
      <c r="A363" s="56"/>
      <c r="B363" s="56"/>
      <c r="C363" s="56"/>
      <c r="D363" s="56"/>
      <c r="E363" s="56"/>
      <c r="F363" s="36"/>
      <c r="G363" s="36"/>
      <c r="H363" s="3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</row>
    <row r="364" ht="15.75" customHeight="1">
      <c r="A364" s="56"/>
      <c r="B364" s="56"/>
      <c r="C364" s="56"/>
      <c r="D364" s="56"/>
      <c r="E364" s="56"/>
      <c r="F364" s="36"/>
      <c r="G364" s="36"/>
      <c r="H364" s="3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</row>
    <row r="365" ht="15.75" customHeight="1">
      <c r="A365" s="56"/>
      <c r="B365" s="56"/>
      <c r="C365" s="56"/>
      <c r="D365" s="56"/>
      <c r="E365" s="56"/>
      <c r="F365" s="36"/>
      <c r="G365" s="36"/>
      <c r="H365" s="3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</row>
    <row r="366" ht="15.75" customHeight="1">
      <c r="A366" s="56"/>
      <c r="B366" s="56"/>
      <c r="C366" s="56"/>
      <c r="D366" s="56"/>
      <c r="E366" s="56"/>
      <c r="F366" s="36"/>
      <c r="G366" s="36"/>
      <c r="H366" s="3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</row>
    <row r="367" ht="15.75" customHeight="1">
      <c r="A367" s="56"/>
      <c r="B367" s="56"/>
      <c r="C367" s="56"/>
      <c r="D367" s="56"/>
      <c r="E367" s="56"/>
      <c r="F367" s="36"/>
      <c r="G367" s="36"/>
      <c r="H367" s="3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</row>
    <row r="368" ht="15.75" customHeight="1">
      <c r="A368" s="56"/>
      <c r="B368" s="56"/>
      <c r="C368" s="56"/>
      <c r="D368" s="56"/>
      <c r="E368" s="56"/>
      <c r="F368" s="36"/>
      <c r="G368" s="36"/>
      <c r="H368" s="3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</row>
    <row r="369" ht="15.75" customHeight="1">
      <c r="A369" s="56"/>
      <c r="B369" s="56"/>
      <c r="C369" s="56"/>
      <c r="D369" s="56"/>
      <c r="E369" s="56"/>
      <c r="F369" s="36"/>
      <c r="G369" s="36"/>
      <c r="H369" s="3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</row>
    <row r="370" ht="15.75" customHeight="1">
      <c r="A370" s="56"/>
      <c r="B370" s="56"/>
      <c r="C370" s="56"/>
      <c r="D370" s="56"/>
      <c r="E370" s="56"/>
      <c r="F370" s="36"/>
      <c r="G370" s="36"/>
      <c r="H370" s="3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</row>
    <row r="371" ht="15.75" customHeight="1">
      <c r="A371" s="56"/>
      <c r="B371" s="56"/>
      <c r="C371" s="56"/>
      <c r="D371" s="56"/>
      <c r="E371" s="56"/>
      <c r="F371" s="36"/>
      <c r="G371" s="36"/>
      <c r="H371" s="3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</row>
    <row r="372" ht="15.75" customHeight="1">
      <c r="A372" s="56"/>
      <c r="B372" s="56"/>
      <c r="C372" s="56"/>
      <c r="D372" s="56"/>
      <c r="E372" s="56"/>
      <c r="F372" s="36"/>
      <c r="G372" s="36"/>
      <c r="H372" s="3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</row>
    <row r="373" ht="15.75" customHeight="1">
      <c r="A373" s="56"/>
      <c r="B373" s="56"/>
      <c r="C373" s="56"/>
      <c r="D373" s="56"/>
      <c r="E373" s="56"/>
      <c r="F373" s="36"/>
      <c r="G373" s="36"/>
      <c r="H373" s="3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</row>
    <row r="374" ht="15.75" customHeight="1">
      <c r="A374" s="56"/>
      <c r="B374" s="56"/>
      <c r="C374" s="56"/>
      <c r="D374" s="56"/>
      <c r="E374" s="56"/>
      <c r="F374" s="36"/>
      <c r="G374" s="36"/>
      <c r="H374" s="3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</row>
    <row r="375" ht="15.75" customHeight="1">
      <c r="A375" s="56"/>
      <c r="B375" s="56"/>
      <c r="C375" s="56"/>
      <c r="D375" s="56"/>
      <c r="E375" s="56"/>
      <c r="F375" s="36"/>
      <c r="G375" s="36"/>
      <c r="H375" s="3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</row>
    <row r="376" ht="15.75" customHeight="1">
      <c r="A376" s="56"/>
      <c r="B376" s="56"/>
      <c r="C376" s="56"/>
      <c r="D376" s="56"/>
      <c r="E376" s="56"/>
      <c r="F376" s="36"/>
      <c r="G376" s="36"/>
      <c r="H376" s="3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</row>
    <row r="377" ht="15.75" customHeight="1">
      <c r="A377" s="56"/>
      <c r="B377" s="56"/>
      <c r="C377" s="56"/>
      <c r="D377" s="56"/>
      <c r="E377" s="56"/>
      <c r="F377" s="36"/>
      <c r="G377" s="36"/>
      <c r="H377" s="3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</row>
    <row r="378" ht="15.75" customHeight="1">
      <c r="A378" s="56"/>
      <c r="B378" s="56"/>
      <c r="C378" s="56"/>
      <c r="D378" s="56"/>
      <c r="E378" s="56"/>
      <c r="F378" s="36"/>
      <c r="G378" s="36"/>
      <c r="H378" s="3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</row>
    <row r="379" ht="15.75" customHeight="1">
      <c r="A379" s="56"/>
      <c r="B379" s="56"/>
      <c r="C379" s="56"/>
      <c r="D379" s="56"/>
      <c r="E379" s="56"/>
      <c r="F379" s="36"/>
      <c r="G379" s="36"/>
      <c r="H379" s="3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</row>
    <row r="380" ht="15.75" customHeight="1">
      <c r="A380" s="56"/>
      <c r="B380" s="56"/>
      <c r="C380" s="56"/>
      <c r="D380" s="56"/>
      <c r="E380" s="56"/>
      <c r="F380" s="36"/>
      <c r="G380" s="36"/>
      <c r="H380" s="3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</row>
    <row r="381" ht="15.75" customHeight="1">
      <c r="A381" s="56"/>
      <c r="B381" s="56"/>
      <c r="C381" s="56"/>
      <c r="D381" s="56"/>
      <c r="E381" s="56"/>
      <c r="F381" s="36"/>
      <c r="G381" s="36"/>
      <c r="H381" s="3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</row>
    <row r="382" ht="15.75" customHeight="1">
      <c r="A382" s="56"/>
      <c r="B382" s="56"/>
      <c r="C382" s="56"/>
      <c r="D382" s="56"/>
      <c r="E382" s="56"/>
      <c r="F382" s="36"/>
      <c r="G382" s="36"/>
      <c r="H382" s="3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</row>
    <row r="383" ht="15.75" customHeight="1">
      <c r="A383" s="56"/>
      <c r="B383" s="56"/>
      <c r="C383" s="56"/>
      <c r="D383" s="56"/>
      <c r="E383" s="56"/>
      <c r="F383" s="36"/>
      <c r="G383" s="36"/>
      <c r="H383" s="3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</row>
    <row r="384" ht="15.75" customHeight="1">
      <c r="A384" s="56"/>
      <c r="B384" s="56"/>
      <c r="C384" s="56"/>
      <c r="D384" s="56"/>
      <c r="E384" s="56"/>
      <c r="F384" s="36"/>
      <c r="G384" s="36"/>
      <c r="H384" s="3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</row>
    <row r="385" ht="15.75" customHeight="1">
      <c r="A385" s="56"/>
      <c r="B385" s="56"/>
      <c r="C385" s="56"/>
      <c r="D385" s="56"/>
      <c r="E385" s="56"/>
      <c r="F385" s="36"/>
      <c r="G385" s="36"/>
      <c r="H385" s="3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</row>
    <row r="386" ht="15.75" customHeight="1">
      <c r="A386" s="56"/>
      <c r="B386" s="56"/>
      <c r="C386" s="56"/>
      <c r="D386" s="56"/>
      <c r="E386" s="56"/>
      <c r="F386" s="36"/>
      <c r="G386" s="36"/>
      <c r="H386" s="3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</row>
    <row r="387" ht="15.75" customHeight="1">
      <c r="A387" s="56"/>
      <c r="B387" s="56"/>
      <c r="C387" s="56"/>
      <c r="D387" s="56"/>
      <c r="E387" s="56"/>
      <c r="F387" s="36"/>
      <c r="G387" s="36"/>
      <c r="H387" s="3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</row>
    <row r="388" ht="15.75" customHeight="1">
      <c r="A388" s="56"/>
      <c r="B388" s="56"/>
      <c r="C388" s="56"/>
      <c r="D388" s="56"/>
      <c r="E388" s="56"/>
      <c r="F388" s="36"/>
      <c r="G388" s="36"/>
      <c r="H388" s="3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</row>
    <row r="389" ht="15.75" customHeight="1">
      <c r="A389" s="56"/>
      <c r="B389" s="56"/>
      <c r="C389" s="56"/>
      <c r="D389" s="56"/>
      <c r="E389" s="56"/>
      <c r="F389" s="36"/>
      <c r="G389" s="36"/>
      <c r="H389" s="3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</row>
    <row r="390" ht="15.75" customHeight="1">
      <c r="A390" s="56"/>
      <c r="B390" s="56"/>
      <c r="C390" s="56"/>
      <c r="D390" s="56"/>
      <c r="E390" s="56"/>
      <c r="F390" s="36"/>
      <c r="G390" s="36"/>
      <c r="H390" s="3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</row>
    <row r="391" ht="15.75" customHeight="1">
      <c r="A391" s="56"/>
      <c r="B391" s="56"/>
      <c r="C391" s="56"/>
      <c r="D391" s="56"/>
      <c r="E391" s="56"/>
      <c r="F391" s="36"/>
      <c r="G391" s="36"/>
      <c r="H391" s="3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</row>
    <row r="392" ht="15.75" customHeight="1">
      <c r="A392" s="56"/>
      <c r="B392" s="56"/>
      <c r="C392" s="56"/>
      <c r="D392" s="56"/>
      <c r="E392" s="56"/>
      <c r="F392" s="36"/>
      <c r="G392" s="36"/>
      <c r="H392" s="3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</row>
    <row r="393" ht="15.75" customHeight="1">
      <c r="A393" s="56"/>
      <c r="B393" s="56"/>
      <c r="C393" s="56"/>
      <c r="D393" s="56"/>
      <c r="E393" s="56"/>
      <c r="F393" s="36"/>
      <c r="G393" s="36"/>
      <c r="H393" s="3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</row>
    <row r="394" ht="15.75" customHeight="1">
      <c r="A394" s="56"/>
      <c r="B394" s="56"/>
      <c r="C394" s="56"/>
      <c r="D394" s="56"/>
      <c r="E394" s="56"/>
      <c r="F394" s="36"/>
      <c r="G394" s="36"/>
      <c r="H394" s="3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</row>
    <row r="395" ht="15.75" customHeight="1">
      <c r="A395" s="56"/>
      <c r="B395" s="56"/>
      <c r="C395" s="56"/>
      <c r="D395" s="56"/>
      <c r="E395" s="56"/>
      <c r="F395" s="36"/>
      <c r="G395" s="36"/>
      <c r="H395" s="3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</row>
    <row r="396" ht="15.75" customHeight="1">
      <c r="A396" s="56"/>
      <c r="B396" s="56"/>
      <c r="C396" s="56"/>
      <c r="D396" s="56"/>
      <c r="E396" s="56"/>
      <c r="F396" s="36"/>
      <c r="G396" s="36"/>
      <c r="H396" s="3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</row>
    <row r="397" ht="15.75" customHeight="1">
      <c r="A397" s="56"/>
      <c r="B397" s="56"/>
      <c r="C397" s="56"/>
      <c r="D397" s="56"/>
      <c r="E397" s="56"/>
      <c r="F397" s="36"/>
      <c r="G397" s="36"/>
      <c r="H397" s="3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</row>
    <row r="398" ht="15.75" customHeight="1">
      <c r="A398" s="56"/>
      <c r="B398" s="56"/>
      <c r="C398" s="56"/>
      <c r="D398" s="56"/>
      <c r="E398" s="56"/>
      <c r="F398" s="36"/>
      <c r="G398" s="36"/>
      <c r="H398" s="3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</row>
    <row r="399" ht="15.75" customHeight="1">
      <c r="A399" s="56"/>
      <c r="B399" s="56"/>
      <c r="C399" s="56"/>
      <c r="D399" s="56"/>
      <c r="E399" s="56"/>
      <c r="F399" s="36"/>
      <c r="G399" s="36"/>
      <c r="H399" s="3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</row>
    <row r="400" ht="15.75" customHeight="1">
      <c r="A400" s="56"/>
      <c r="B400" s="56"/>
      <c r="C400" s="56"/>
      <c r="D400" s="56"/>
      <c r="E400" s="56"/>
      <c r="F400" s="36"/>
      <c r="G400" s="36"/>
      <c r="H400" s="3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</row>
    <row r="401" ht="15.75" customHeight="1">
      <c r="A401" s="56"/>
      <c r="B401" s="56"/>
      <c r="C401" s="56"/>
      <c r="D401" s="56"/>
      <c r="E401" s="56"/>
      <c r="F401" s="36"/>
      <c r="G401" s="36"/>
      <c r="H401" s="3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</row>
    <row r="402" ht="15.75" customHeight="1">
      <c r="A402" s="56"/>
      <c r="B402" s="56"/>
      <c r="C402" s="56"/>
      <c r="D402" s="56"/>
      <c r="E402" s="56"/>
      <c r="F402" s="36"/>
      <c r="G402" s="36"/>
      <c r="H402" s="3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</row>
    <row r="403" ht="15.75" customHeight="1">
      <c r="A403" s="56"/>
      <c r="B403" s="56"/>
      <c r="C403" s="56"/>
      <c r="D403" s="56"/>
      <c r="E403" s="56"/>
      <c r="F403" s="36"/>
      <c r="G403" s="36"/>
      <c r="H403" s="3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</row>
    <row r="404" ht="15.75" customHeight="1">
      <c r="A404" s="56"/>
      <c r="B404" s="56"/>
      <c r="C404" s="56"/>
      <c r="D404" s="56"/>
      <c r="E404" s="56"/>
      <c r="F404" s="36"/>
      <c r="G404" s="36"/>
      <c r="H404" s="3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</row>
    <row r="405" ht="15.75" customHeight="1">
      <c r="A405" s="56"/>
      <c r="B405" s="56"/>
      <c r="C405" s="56"/>
      <c r="D405" s="56"/>
      <c r="E405" s="56"/>
      <c r="F405" s="36"/>
      <c r="G405" s="36"/>
      <c r="H405" s="3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</row>
    <row r="406" ht="15.75" customHeight="1">
      <c r="A406" s="56"/>
      <c r="B406" s="56"/>
      <c r="C406" s="56"/>
      <c r="D406" s="56"/>
      <c r="E406" s="56"/>
      <c r="F406" s="36"/>
      <c r="G406" s="36"/>
      <c r="H406" s="3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</row>
    <row r="407" ht="15.75" customHeight="1">
      <c r="A407" s="56"/>
      <c r="B407" s="56"/>
      <c r="C407" s="56"/>
      <c r="D407" s="56"/>
      <c r="E407" s="56"/>
      <c r="F407" s="36"/>
      <c r="G407" s="36"/>
      <c r="H407" s="3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</row>
    <row r="408" ht="15.75" customHeight="1">
      <c r="A408" s="56"/>
      <c r="B408" s="56"/>
      <c r="C408" s="56"/>
      <c r="D408" s="56"/>
      <c r="E408" s="56"/>
      <c r="F408" s="36"/>
      <c r="G408" s="36"/>
      <c r="H408" s="3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</row>
    <row r="409" ht="15.75" customHeight="1">
      <c r="A409" s="56"/>
      <c r="B409" s="56"/>
      <c r="C409" s="56"/>
      <c r="D409" s="56"/>
      <c r="E409" s="56"/>
      <c r="F409" s="36"/>
      <c r="G409" s="36"/>
      <c r="H409" s="3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</row>
    <row r="410" ht="15.75" customHeight="1">
      <c r="A410" s="56"/>
      <c r="B410" s="56"/>
      <c r="C410" s="56"/>
      <c r="D410" s="56"/>
      <c r="E410" s="56"/>
      <c r="F410" s="36"/>
      <c r="G410" s="36"/>
      <c r="H410" s="3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</row>
    <row r="411" ht="15.75" customHeight="1">
      <c r="A411" s="56"/>
      <c r="B411" s="56"/>
      <c r="C411" s="56"/>
      <c r="D411" s="56"/>
      <c r="E411" s="56"/>
      <c r="F411" s="36"/>
      <c r="G411" s="36"/>
      <c r="H411" s="3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</row>
    <row r="412" ht="15.75" customHeight="1">
      <c r="A412" s="56"/>
      <c r="B412" s="56"/>
      <c r="C412" s="56"/>
      <c r="D412" s="56"/>
      <c r="E412" s="56"/>
      <c r="F412" s="36"/>
      <c r="G412" s="36"/>
      <c r="H412" s="3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</row>
    <row r="413" ht="15.75" customHeight="1">
      <c r="A413" s="56"/>
      <c r="B413" s="56"/>
      <c r="C413" s="56"/>
      <c r="D413" s="56"/>
      <c r="E413" s="56"/>
      <c r="F413" s="36"/>
      <c r="G413" s="36"/>
      <c r="H413" s="3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</row>
    <row r="414" ht="15.75" customHeight="1">
      <c r="A414" s="56"/>
      <c r="B414" s="56"/>
      <c r="C414" s="56"/>
      <c r="D414" s="56"/>
      <c r="E414" s="56"/>
      <c r="F414" s="36"/>
      <c r="G414" s="36"/>
      <c r="H414" s="3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</row>
    <row r="415" ht="15.75" customHeight="1">
      <c r="A415" s="56"/>
      <c r="B415" s="56"/>
      <c r="C415" s="56"/>
      <c r="D415" s="56"/>
      <c r="E415" s="56"/>
      <c r="F415" s="36"/>
      <c r="G415" s="36"/>
      <c r="H415" s="3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</row>
    <row r="416" ht="15.75" customHeight="1">
      <c r="A416" s="56"/>
      <c r="B416" s="56"/>
      <c r="C416" s="56"/>
      <c r="D416" s="56"/>
      <c r="E416" s="56"/>
      <c r="F416" s="36"/>
      <c r="G416" s="36"/>
      <c r="H416" s="3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</row>
    <row r="417" ht="15.75" customHeight="1">
      <c r="A417" s="56"/>
      <c r="B417" s="56"/>
      <c r="C417" s="56"/>
      <c r="D417" s="56"/>
      <c r="E417" s="56"/>
      <c r="F417" s="36"/>
      <c r="G417" s="36"/>
      <c r="H417" s="3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</row>
    <row r="418" ht="15.75" customHeight="1">
      <c r="A418" s="56"/>
      <c r="B418" s="56"/>
      <c r="C418" s="56"/>
      <c r="D418" s="56"/>
      <c r="E418" s="56"/>
      <c r="F418" s="36"/>
      <c r="G418" s="36"/>
      <c r="H418" s="3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</row>
    <row r="419" ht="15.75" customHeight="1">
      <c r="A419" s="56"/>
      <c r="B419" s="56"/>
      <c r="C419" s="56"/>
      <c r="D419" s="56"/>
      <c r="E419" s="56"/>
      <c r="F419" s="36"/>
      <c r="G419" s="36"/>
      <c r="H419" s="3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</row>
    <row r="420" ht="15.75" customHeight="1">
      <c r="A420" s="56"/>
      <c r="B420" s="56"/>
      <c r="C420" s="56"/>
      <c r="D420" s="56"/>
      <c r="E420" s="56"/>
      <c r="F420" s="36"/>
      <c r="G420" s="36"/>
      <c r="H420" s="3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</row>
    <row r="421" ht="15.75" customHeight="1">
      <c r="A421" s="56"/>
      <c r="B421" s="56"/>
      <c r="C421" s="56"/>
      <c r="D421" s="56"/>
      <c r="E421" s="56"/>
      <c r="F421" s="36"/>
      <c r="G421" s="36"/>
      <c r="H421" s="3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</row>
    <row r="422" ht="15.75" customHeight="1">
      <c r="A422" s="56"/>
      <c r="B422" s="56"/>
      <c r="C422" s="56"/>
      <c r="D422" s="56"/>
      <c r="E422" s="56"/>
      <c r="F422" s="36"/>
      <c r="G422" s="36"/>
      <c r="H422" s="3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</row>
    <row r="423" ht="15.75" customHeight="1">
      <c r="A423" s="56"/>
      <c r="B423" s="56"/>
      <c r="C423" s="56"/>
      <c r="D423" s="56"/>
      <c r="E423" s="56"/>
      <c r="F423" s="36"/>
      <c r="G423" s="36"/>
      <c r="H423" s="3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</row>
    <row r="424" ht="15.75" customHeight="1">
      <c r="A424" s="56"/>
      <c r="B424" s="56"/>
      <c r="C424" s="56"/>
      <c r="D424" s="56"/>
      <c r="E424" s="56"/>
      <c r="F424" s="36"/>
      <c r="G424" s="36"/>
      <c r="H424" s="3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</row>
    <row r="425" ht="15.75" customHeight="1">
      <c r="A425" s="56"/>
      <c r="B425" s="56"/>
      <c r="C425" s="56"/>
      <c r="D425" s="56"/>
      <c r="E425" s="56"/>
      <c r="F425" s="36"/>
      <c r="G425" s="36"/>
      <c r="H425" s="3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</row>
    <row r="426" ht="15.75" customHeight="1">
      <c r="A426" s="56"/>
      <c r="B426" s="56"/>
      <c r="C426" s="56"/>
      <c r="D426" s="56"/>
      <c r="E426" s="56"/>
      <c r="F426" s="36"/>
      <c r="G426" s="36"/>
      <c r="H426" s="3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</row>
    <row r="427" ht="15.75" customHeight="1">
      <c r="A427" s="56"/>
      <c r="B427" s="56"/>
      <c r="C427" s="56"/>
      <c r="D427" s="56"/>
      <c r="E427" s="56"/>
      <c r="F427" s="36"/>
      <c r="G427" s="36"/>
      <c r="H427" s="3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</row>
    <row r="428" ht="15.75" customHeight="1">
      <c r="A428" s="56"/>
      <c r="B428" s="56"/>
      <c r="C428" s="56"/>
      <c r="D428" s="56"/>
      <c r="E428" s="56"/>
      <c r="F428" s="36"/>
      <c r="G428" s="36"/>
      <c r="H428" s="3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</row>
    <row r="429" ht="15.75" customHeight="1">
      <c r="A429" s="56"/>
      <c r="B429" s="56"/>
      <c r="C429" s="56"/>
      <c r="D429" s="56"/>
      <c r="E429" s="56"/>
      <c r="F429" s="36"/>
      <c r="G429" s="36"/>
      <c r="H429" s="3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</row>
    <row r="430" ht="15.75" customHeight="1">
      <c r="A430" s="56"/>
      <c r="B430" s="56"/>
      <c r="C430" s="56"/>
      <c r="D430" s="56"/>
      <c r="E430" s="56"/>
      <c r="F430" s="36"/>
      <c r="G430" s="36"/>
      <c r="H430" s="3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</row>
    <row r="431" ht="15.75" customHeight="1">
      <c r="A431" s="56"/>
      <c r="B431" s="56"/>
      <c r="C431" s="56"/>
      <c r="D431" s="56"/>
      <c r="E431" s="56"/>
      <c r="F431" s="36"/>
      <c r="G431" s="36"/>
      <c r="H431" s="3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</row>
    <row r="432" ht="15.75" customHeight="1">
      <c r="A432" s="56"/>
      <c r="B432" s="56"/>
      <c r="C432" s="56"/>
      <c r="D432" s="56"/>
      <c r="E432" s="56"/>
      <c r="F432" s="36"/>
      <c r="G432" s="36"/>
      <c r="H432" s="3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</row>
    <row r="433" ht="15.75" customHeight="1">
      <c r="A433" s="56"/>
      <c r="B433" s="56"/>
      <c r="C433" s="56"/>
      <c r="D433" s="56"/>
      <c r="E433" s="56"/>
      <c r="F433" s="36"/>
      <c r="G433" s="36"/>
      <c r="H433" s="3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</row>
    <row r="434" ht="15.75" customHeight="1">
      <c r="A434" s="56"/>
      <c r="B434" s="56"/>
      <c r="C434" s="56"/>
      <c r="D434" s="56"/>
      <c r="E434" s="56"/>
      <c r="F434" s="36"/>
      <c r="G434" s="36"/>
      <c r="H434" s="3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</row>
    <row r="435" ht="15.75" customHeight="1">
      <c r="A435" s="56"/>
      <c r="B435" s="56"/>
      <c r="C435" s="56"/>
      <c r="D435" s="56"/>
      <c r="E435" s="56"/>
      <c r="F435" s="36"/>
      <c r="G435" s="36"/>
      <c r="H435" s="3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</row>
    <row r="436" ht="15.75" customHeight="1">
      <c r="A436" s="56"/>
      <c r="B436" s="56"/>
      <c r="C436" s="56"/>
      <c r="D436" s="56"/>
      <c r="E436" s="56"/>
      <c r="F436" s="36"/>
      <c r="G436" s="36"/>
      <c r="H436" s="3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</row>
    <row r="437" ht="15.75" customHeight="1">
      <c r="A437" s="56"/>
      <c r="B437" s="56"/>
      <c r="C437" s="56"/>
      <c r="D437" s="56"/>
      <c r="E437" s="56"/>
      <c r="F437" s="36"/>
      <c r="G437" s="36"/>
      <c r="H437" s="3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</row>
    <row r="438" ht="15.75" customHeight="1">
      <c r="A438" s="56"/>
      <c r="B438" s="56"/>
      <c r="C438" s="56"/>
      <c r="D438" s="56"/>
      <c r="E438" s="56"/>
      <c r="F438" s="36"/>
      <c r="G438" s="36"/>
      <c r="H438" s="3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</row>
    <row r="439" ht="15.75" customHeight="1">
      <c r="A439" s="56"/>
      <c r="B439" s="56"/>
      <c r="C439" s="56"/>
      <c r="D439" s="56"/>
      <c r="E439" s="56"/>
      <c r="F439" s="36"/>
      <c r="G439" s="36"/>
      <c r="H439" s="3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</row>
    <row r="440" ht="15.75" customHeight="1">
      <c r="A440" s="56"/>
      <c r="B440" s="56"/>
      <c r="C440" s="56"/>
      <c r="D440" s="56"/>
      <c r="E440" s="56"/>
      <c r="F440" s="36"/>
      <c r="G440" s="36"/>
      <c r="H440" s="3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</row>
    <row r="441" ht="15.75" customHeight="1">
      <c r="A441" s="56"/>
      <c r="B441" s="56"/>
      <c r="C441" s="56"/>
      <c r="D441" s="56"/>
      <c r="E441" s="56"/>
      <c r="F441" s="36"/>
      <c r="G441" s="36"/>
      <c r="H441" s="3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</row>
    <row r="442" ht="15.75" customHeight="1">
      <c r="A442" s="56"/>
      <c r="B442" s="56"/>
      <c r="C442" s="56"/>
      <c r="D442" s="56"/>
      <c r="E442" s="56"/>
      <c r="F442" s="36"/>
      <c r="G442" s="36"/>
      <c r="H442" s="3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</row>
    <row r="443" ht="15.75" customHeight="1">
      <c r="A443" s="56"/>
      <c r="B443" s="56"/>
      <c r="C443" s="56"/>
      <c r="D443" s="56"/>
      <c r="E443" s="56"/>
      <c r="F443" s="36"/>
      <c r="G443" s="36"/>
      <c r="H443" s="3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</row>
    <row r="444" ht="15.75" customHeight="1">
      <c r="A444" s="56"/>
      <c r="B444" s="56"/>
      <c r="C444" s="56"/>
      <c r="D444" s="56"/>
      <c r="E444" s="56"/>
      <c r="F444" s="36"/>
      <c r="G444" s="36"/>
      <c r="H444" s="3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</row>
    <row r="445" ht="15.75" customHeight="1">
      <c r="A445" s="56"/>
      <c r="B445" s="56"/>
      <c r="C445" s="56"/>
      <c r="D445" s="56"/>
      <c r="E445" s="56"/>
      <c r="F445" s="36"/>
      <c r="G445" s="36"/>
      <c r="H445" s="3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</row>
    <row r="446" ht="15.75" customHeight="1">
      <c r="A446" s="56"/>
      <c r="B446" s="56"/>
      <c r="C446" s="56"/>
      <c r="D446" s="56"/>
      <c r="E446" s="56"/>
      <c r="F446" s="36"/>
      <c r="G446" s="36"/>
      <c r="H446" s="3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</row>
    <row r="447" ht="15.75" customHeight="1">
      <c r="A447" s="56"/>
      <c r="B447" s="56"/>
      <c r="C447" s="56"/>
      <c r="D447" s="56"/>
      <c r="E447" s="56"/>
      <c r="F447" s="36"/>
      <c r="G447" s="36"/>
      <c r="H447" s="3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</row>
    <row r="448" ht="15.75" customHeight="1">
      <c r="A448" s="56"/>
      <c r="B448" s="56"/>
      <c r="C448" s="56"/>
      <c r="D448" s="56"/>
      <c r="E448" s="56"/>
      <c r="F448" s="36"/>
      <c r="G448" s="36"/>
      <c r="H448" s="3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</row>
    <row r="449" ht="15.75" customHeight="1">
      <c r="A449" s="56"/>
      <c r="B449" s="56"/>
      <c r="C449" s="56"/>
      <c r="D449" s="56"/>
      <c r="E449" s="56"/>
      <c r="F449" s="36"/>
      <c r="G449" s="36"/>
      <c r="H449" s="3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</row>
    <row r="450" ht="15.75" customHeight="1">
      <c r="A450" s="56"/>
      <c r="B450" s="56"/>
      <c r="C450" s="56"/>
      <c r="D450" s="56"/>
      <c r="E450" s="56"/>
      <c r="F450" s="36"/>
      <c r="G450" s="36"/>
      <c r="H450" s="3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</row>
    <row r="451" ht="15.75" customHeight="1">
      <c r="A451" s="56"/>
      <c r="B451" s="56"/>
      <c r="C451" s="56"/>
      <c r="D451" s="56"/>
      <c r="E451" s="56"/>
      <c r="F451" s="36"/>
      <c r="G451" s="36"/>
      <c r="H451" s="3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</row>
    <row r="452" ht="15.75" customHeight="1">
      <c r="A452" s="56"/>
      <c r="B452" s="56"/>
      <c r="C452" s="56"/>
      <c r="D452" s="56"/>
      <c r="E452" s="56"/>
      <c r="F452" s="36"/>
      <c r="G452" s="36"/>
      <c r="H452" s="3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</row>
    <row r="453" ht="15.75" customHeight="1">
      <c r="A453" s="56"/>
      <c r="B453" s="56"/>
      <c r="C453" s="56"/>
      <c r="D453" s="56"/>
      <c r="E453" s="56"/>
      <c r="F453" s="36"/>
      <c r="G453" s="36"/>
      <c r="H453" s="3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</row>
    <row r="454" ht="15.75" customHeight="1">
      <c r="A454" s="56"/>
      <c r="B454" s="56"/>
      <c r="C454" s="56"/>
      <c r="D454" s="56"/>
      <c r="E454" s="56"/>
      <c r="F454" s="36"/>
      <c r="G454" s="36"/>
      <c r="H454" s="3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</row>
    <row r="455" ht="15.75" customHeight="1">
      <c r="A455" s="56"/>
      <c r="B455" s="56"/>
      <c r="C455" s="56"/>
      <c r="D455" s="56"/>
      <c r="E455" s="56"/>
      <c r="F455" s="36"/>
      <c r="G455" s="36"/>
      <c r="H455" s="3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</row>
    <row r="456" ht="15.75" customHeight="1">
      <c r="A456" s="56"/>
      <c r="B456" s="56"/>
      <c r="C456" s="56"/>
      <c r="D456" s="56"/>
      <c r="E456" s="56"/>
      <c r="F456" s="36"/>
      <c r="G456" s="36"/>
      <c r="H456" s="3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</row>
    <row r="457" ht="15.75" customHeight="1">
      <c r="A457" s="56"/>
      <c r="B457" s="56"/>
      <c r="C457" s="56"/>
      <c r="D457" s="56"/>
      <c r="E457" s="56"/>
      <c r="F457" s="36"/>
      <c r="G457" s="36"/>
      <c r="H457" s="3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</row>
    <row r="458" ht="15.75" customHeight="1">
      <c r="A458" s="56"/>
      <c r="B458" s="56"/>
      <c r="C458" s="56"/>
      <c r="D458" s="56"/>
      <c r="E458" s="56"/>
      <c r="F458" s="36"/>
      <c r="G458" s="36"/>
      <c r="H458" s="3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</row>
    <row r="459" ht="15.75" customHeight="1">
      <c r="A459" s="56"/>
      <c r="B459" s="56"/>
      <c r="C459" s="56"/>
      <c r="D459" s="56"/>
      <c r="E459" s="56"/>
      <c r="F459" s="36"/>
      <c r="G459" s="36"/>
      <c r="H459" s="3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</row>
    <row r="460" ht="15.75" customHeight="1">
      <c r="A460" s="56"/>
      <c r="B460" s="56"/>
      <c r="C460" s="56"/>
      <c r="D460" s="56"/>
      <c r="E460" s="56"/>
      <c r="F460" s="36"/>
      <c r="G460" s="36"/>
      <c r="H460" s="3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</row>
    <row r="461" ht="15.75" customHeight="1">
      <c r="A461" s="56"/>
      <c r="B461" s="56"/>
      <c r="C461" s="56"/>
      <c r="D461" s="56"/>
      <c r="E461" s="56"/>
      <c r="F461" s="36"/>
      <c r="G461" s="36"/>
      <c r="H461" s="3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</row>
    <row r="462" ht="15.75" customHeight="1">
      <c r="A462" s="56"/>
      <c r="B462" s="56"/>
      <c r="C462" s="56"/>
      <c r="D462" s="56"/>
      <c r="E462" s="56"/>
      <c r="F462" s="36"/>
      <c r="G462" s="36"/>
      <c r="H462" s="3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</row>
    <row r="463" ht="15.75" customHeight="1">
      <c r="A463" s="56"/>
      <c r="B463" s="56"/>
      <c r="C463" s="56"/>
      <c r="D463" s="56"/>
      <c r="E463" s="56"/>
      <c r="F463" s="36"/>
      <c r="G463" s="36"/>
      <c r="H463" s="3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</row>
    <row r="464" ht="15.75" customHeight="1">
      <c r="A464" s="56"/>
      <c r="B464" s="56"/>
      <c r="C464" s="56"/>
      <c r="D464" s="56"/>
      <c r="E464" s="56"/>
      <c r="F464" s="36"/>
      <c r="G464" s="36"/>
      <c r="H464" s="3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</row>
    <row r="465" ht="15.75" customHeight="1">
      <c r="A465" s="56"/>
      <c r="B465" s="56"/>
      <c r="C465" s="56"/>
      <c r="D465" s="56"/>
      <c r="E465" s="56"/>
      <c r="F465" s="36"/>
      <c r="G465" s="36"/>
      <c r="H465" s="3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</row>
    <row r="466" ht="15.75" customHeight="1">
      <c r="A466" s="56"/>
      <c r="B466" s="56"/>
      <c r="C466" s="56"/>
      <c r="D466" s="56"/>
      <c r="E466" s="56"/>
      <c r="F466" s="36"/>
      <c r="G466" s="36"/>
      <c r="H466" s="3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</row>
    <row r="467" ht="15.75" customHeight="1">
      <c r="A467" s="56"/>
      <c r="B467" s="56"/>
      <c r="C467" s="56"/>
      <c r="D467" s="56"/>
      <c r="E467" s="56"/>
      <c r="F467" s="36"/>
      <c r="G467" s="36"/>
      <c r="H467" s="3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</row>
    <row r="468" ht="15.75" customHeight="1">
      <c r="A468" s="56"/>
      <c r="B468" s="56"/>
      <c r="C468" s="56"/>
      <c r="D468" s="56"/>
      <c r="E468" s="56"/>
      <c r="F468" s="36"/>
      <c r="G468" s="36"/>
      <c r="H468" s="3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</row>
    <row r="469" ht="15.75" customHeight="1">
      <c r="A469" s="56"/>
      <c r="B469" s="56"/>
      <c r="C469" s="56"/>
      <c r="D469" s="56"/>
      <c r="E469" s="56"/>
      <c r="F469" s="36"/>
      <c r="G469" s="36"/>
      <c r="H469" s="3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</row>
    <row r="470" ht="15.75" customHeight="1">
      <c r="A470" s="56"/>
      <c r="B470" s="56"/>
      <c r="C470" s="56"/>
      <c r="D470" s="56"/>
      <c r="E470" s="56"/>
      <c r="F470" s="36"/>
      <c r="G470" s="36"/>
      <c r="H470" s="3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</row>
    <row r="471" ht="15.75" customHeight="1">
      <c r="A471" s="56"/>
      <c r="B471" s="56"/>
      <c r="C471" s="56"/>
      <c r="D471" s="56"/>
      <c r="E471" s="56"/>
      <c r="F471" s="36"/>
      <c r="G471" s="36"/>
      <c r="H471" s="3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</row>
    <row r="472" ht="15.75" customHeight="1">
      <c r="A472" s="56"/>
      <c r="B472" s="56"/>
      <c r="C472" s="56"/>
      <c r="D472" s="56"/>
      <c r="E472" s="56"/>
      <c r="F472" s="36"/>
      <c r="G472" s="36"/>
      <c r="H472" s="3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</row>
    <row r="473" ht="15.75" customHeight="1">
      <c r="A473" s="56"/>
      <c r="B473" s="56"/>
      <c r="C473" s="56"/>
      <c r="D473" s="56"/>
      <c r="E473" s="56"/>
      <c r="F473" s="36"/>
      <c r="G473" s="36"/>
      <c r="H473" s="3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</row>
    <row r="474" ht="15.75" customHeight="1">
      <c r="A474" s="56"/>
      <c r="B474" s="56"/>
      <c r="C474" s="56"/>
      <c r="D474" s="56"/>
      <c r="E474" s="56"/>
      <c r="F474" s="36"/>
      <c r="G474" s="36"/>
      <c r="H474" s="3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</row>
    <row r="475" ht="15.75" customHeight="1">
      <c r="A475" s="56"/>
      <c r="B475" s="56"/>
      <c r="C475" s="56"/>
      <c r="D475" s="56"/>
      <c r="E475" s="56"/>
      <c r="F475" s="36"/>
      <c r="G475" s="36"/>
      <c r="H475" s="3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</row>
    <row r="476" ht="15.75" customHeight="1">
      <c r="A476" s="56"/>
      <c r="B476" s="56"/>
      <c r="C476" s="56"/>
      <c r="D476" s="56"/>
      <c r="E476" s="56"/>
      <c r="F476" s="36"/>
      <c r="G476" s="36"/>
      <c r="H476" s="3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</row>
    <row r="477" ht="15.75" customHeight="1">
      <c r="A477" s="56"/>
      <c r="B477" s="56"/>
      <c r="C477" s="56"/>
      <c r="D477" s="56"/>
      <c r="E477" s="56"/>
      <c r="F477" s="36"/>
      <c r="G477" s="36"/>
      <c r="H477" s="3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</row>
    <row r="478" ht="15.75" customHeight="1">
      <c r="A478" s="56"/>
      <c r="B478" s="56"/>
      <c r="C478" s="56"/>
      <c r="D478" s="56"/>
      <c r="E478" s="56"/>
      <c r="F478" s="36"/>
      <c r="G478" s="36"/>
      <c r="H478" s="3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</row>
    <row r="479" ht="15.75" customHeight="1">
      <c r="A479" s="56"/>
      <c r="B479" s="56"/>
      <c r="C479" s="56"/>
      <c r="D479" s="56"/>
      <c r="E479" s="56"/>
      <c r="F479" s="36"/>
      <c r="G479" s="36"/>
      <c r="H479" s="3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</row>
    <row r="480" ht="15.75" customHeight="1">
      <c r="A480" s="56"/>
      <c r="B480" s="56"/>
      <c r="C480" s="56"/>
      <c r="D480" s="56"/>
      <c r="E480" s="56"/>
      <c r="F480" s="36"/>
      <c r="G480" s="36"/>
      <c r="H480" s="3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</row>
    <row r="481" ht="15.75" customHeight="1">
      <c r="A481" s="56"/>
      <c r="B481" s="56"/>
      <c r="C481" s="56"/>
      <c r="D481" s="56"/>
      <c r="E481" s="56"/>
      <c r="F481" s="36"/>
      <c r="G481" s="36"/>
      <c r="H481" s="3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</row>
    <row r="482" ht="15.75" customHeight="1">
      <c r="A482" s="56"/>
      <c r="B482" s="56"/>
      <c r="C482" s="56"/>
      <c r="D482" s="56"/>
      <c r="E482" s="56"/>
      <c r="F482" s="36"/>
      <c r="G482" s="36"/>
      <c r="H482" s="3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</row>
    <row r="483" ht="15.75" customHeight="1">
      <c r="A483" s="56"/>
      <c r="B483" s="56"/>
      <c r="C483" s="56"/>
      <c r="D483" s="56"/>
      <c r="E483" s="56"/>
      <c r="F483" s="36"/>
      <c r="G483" s="36"/>
      <c r="H483" s="3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</row>
    <row r="484" ht="15.75" customHeight="1">
      <c r="A484" s="56"/>
      <c r="B484" s="56"/>
      <c r="C484" s="56"/>
      <c r="D484" s="56"/>
      <c r="E484" s="56"/>
      <c r="F484" s="36"/>
      <c r="G484" s="36"/>
      <c r="H484" s="3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</row>
    <row r="485" ht="15.75" customHeight="1">
      <c r="A485" s="56"/>
      <c r="B485" s="56"/>
      <c r="C485" s="56"/>
      <c r="D485" s="56"/>
      <c r="E485" s="56"/>
      <c r="F485" s="36"/>
      <c r="G485" s="36"/>
      <c r="H485" s="3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</row>
    <row r="486" ht="15.75" customHeight="1">
      <c r="A486" s="56"/>
      <c r="B486" s="56"/>
      <c r="C486" s="56"/>
      <c r="D486" s="56"/>
      <c r="E486" s="56"/>
      <c r="F486" s="36"/>
      <c r="G486" s="36"/>
      <c r="H486" s="3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</row>
    <row r="487" ht="15.75" customHeight="1">
      <c r="A487" s="56"/>
      <c r="B487" s="56"/>
      <c r="C487" s="56"/>
      <c r="D487" s="56"/>
      <c r="E487" s="56"/>
      <c r="F487" s="36"/>
      <c r="G487" s="36"/>
      <c r="H487" s="3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</row>
    <row r="488" ht="15.75" customHeight="1">
      <c r="A488" s="56"/>
      <c r="B488" s="56"/>
      <c r="C488" s="56"/>
      <c r="D488" s="56"/>
      <c r="E488" s="56"/>
      <c r="F488" s="36"/>
      <c r="G488" s="36"/>
      <c r="H488" s="3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</row>
    <row r="489" ht="15.75" customHeight="1">
      <c r="A489" s="56"/>
      <c r="B489" s="56"/>
      <c r="C489" s="56"/>
      <c r="D489" s="56"/>
      <c r="E489" s="56"/>
      <c r="F489" s="36"/>
      <c r="G489" s="36"/>
      <c r="H489" s="3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</row>
    <row r="490" ht="15.75" customHeight="1">
      <c r="A490" s="56"/>
      <c r="B490" s="56"/>
      <c r="C490" s="56"/>
      <c r="D490" s="56"/>
      <c r="E490" s="56"/>
      <c r="F490" s="36"/>
      <c r="G490" s="36"/>
      <c r="H490" s="3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</row>
    <row r="491" ht="15.75" customHeight="1">
      <c r="A491" s="56"/>
      <c r="B491" s="56"/>
      <c r="C491" s="56"/>
      <c r="D491" s="56"/>
      <c r="E491" s="56"/>
      <c r="F491" s="36"/>
      <c r="G491" s="36"/>
      <c r="H491" s="3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</row>
    <row r="492" ht="15.75" customHeight="1">
      <c r="A492" s="56"/>
      <c r="B492" s="56"/>
      <c r="C492" s="56"/>
      <c r="D492" s="56"/>
      <c r="E492" s="56"/>
      <c r="F492" s="36"/>
      <c r="G492" s="36"/>
      <c r="H492" s="3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</row>
    <row r="493" ht="15.75" customHeight="1">
      <c r="A493" s="56"/>
      <c r="B493" s="56"/>
      <c r="C493" s="56"/>
      <c r="D493" s="56"/>
      <c r="E493" s="56"/>
      <c r="F493" s="36"/>
      <c r="G493" s="36"/>
      <c r="H493" s="3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</row>
    <row r="494" ht="15.75" customHeight="1">
      <c r="A494" s="56"/>
      <c r="B494" s="56"/>
      <c r="C494" s="56"/>
      <c r="D494" s="56"/>
      <c r="E494" s="56"/>
      <c r="F494" s="36"/>
      <c r="G494" s="36"/>
      <c r="H494" s="3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</row>
    <row r="495" ht="15.75" customHeight="1">
      <c r="A495" s="56"/>
      <c r="B495" s="56"/>
      <c r="C495" s="56"/>
      <c r="D495" s="56"/>
      <c r="E495" s="56"/>
      <c r="F495" s="36"/>
      <c r="G495" s="36"/>
      <c r="H495" s="3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</row>
    <row r="496" ht="15.75" customHeight="1">
      <c r="A496" s="56"/>
      <c r="B496" s="56"/>
      <c r="C496" s="56"/>
      <c r="D496" s="56"/>
      <c r="E496" s="56"/>
      <c r="F496" s="36"/>
      <c r="G496" s="36"/>
      <c r="H496" s="3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</row>
    <row r="497" ht="15.75" customHeight="1">
      <c r="A497" s="56"/>
      <c r="B497" s="56"/>
      <c r="C497" s="56"/>
      <c r="D497" s="56"/>
      <c r="E497" s="56"/>
      <c r="F497" s="36"/>
      <c r="G497" s="36"/>
      <c r="H497" s="3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</row>
    <row r="498" ht="15.75" customHeight="1">
      <c r="A498" s="56"/>
      <c r="B498" s="56"/>
      <c r="C498" s="56"/>
      <c r="D498" s="56"/>
      <c r="E498" s="56"/>
      <c r="F498" s="36"/>
      <c r="G498" s="36"/>
      <c r="H498" s="3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</row>
    <row r="499" ht="15.75" customHeight="1">
      <c r="A499" s="56"/>
      <c r="B499" s="56"/>
      <c r="C499" s="56"/>
      <c r="D499" s="56"/>
      <c r="E499" s="56"/>
      <c r="F499" s="36"/>
      <c r="G499" s="36"/>
      <c r="H499" s="3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</row>
    <row r="500" ht="15.75" customHeight="1">
      <c r="A500" s="56"/>
      <c r="B500" s="56"/>
      <c r="C500" s="56"/>
      <c r="D500" s="56"/>
      <c r="E500" s="56"/>
      <c r="F500" s="36"/>
      <c r="G500" s="36"/>
      <c r="H500" s="3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</row>
    <row r="501" ht="15.75" customHeight="1">
      <c r="A501" s="56"/>
      <c r="B501" s="56"/>
      <c r="C501" s="56"/>
      <c r="D501" s="56"/>
      <c r="E501" s="56"/>
      <c r="F501" s="36"/>
      <c r="G501" s="36"/>
      <c r="H501" s="3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</row>
    <row r="502" ht="15.75" customHeight="1">
      <c r="A502" s="56"/>
      <c r="B502" s="56"/>
      <c r="C502" s="56"/>
      <c r="D502" s="56"/>
      <c r="E502" s="56"/>
      <c r="F502" s="36"/>
      <c r="G502" s="36"/>
      <c r="H502" s="3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</row>
    <row r="503" ht="15.75" customHeight="1">
      <c r="A503" s="56"/>
      <c r="B503" s="56"/>
      <c r="C503" s="56"/>
      <c r="D503" s="56"/>
      <c r="E503" s="56"/>
      <c r="F503" s="36"/>
      <c r="G503" s="36"/>
      <c r="H503" s="3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</row>
    <row r="504" ht="15.75" customHeight="1">
      <c r="A504" s="56"/>
      <c r="B504" s="56"/>
      <c r="C504" s="56"/>
      <c r="D504" s="56"/>
      <c r="E504" s="56"/>
      <c r="F504" s="36"/>
      <c r="G504" s="36"/>
      <c r="H504" s="3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</row>
    <row r="505" ht="15.75" customHeight="1">
      <c r="A505" s="56"/>
      <c r="B505" s="56"/>
      <c r="C505" s="56"/>
      <c r="D505" s="56"/>
      <c r="E505" s="56"/>
      <c r="F505" s="36"/>
      <c r="G505" s="36"/>
      <c r="H505" s="3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</row>
    <row r="506" ht="15.75" customHeight="1">
      <c r="A506" s="56"/>
      <c r="B506" s="56"/>
      <c r="C506" s="56"/>
      <c r="D506" s="56"/>
      <c r="E506" s="56"/>
      <c r="F506" s="36"/>
      <c r="G506" s="36"/>
      <c r="H506" s="3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</row>
    <row r="507" ht="15.75" customHeight="1">
      <c r="A507" s="56"/>
      <c r="B507" s="56"/>
      <c r="C507" s="56"/>
      <c r="D507" s="56"/>
      <c r="E507" s="56"/>
      <c r="F507" s="36"/>
      <c r="G507" s="36"/>
      <c r="H507" s="3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</row>
    <row r="508" ht="15.75" customHeight="1">
      <c r="A508" s="56"/>
      <c r="B508" s="56"/>
      <c r="C508" s="56"/>
      <c r="D508" s="56"/>
      <c r="E508" s="56"/>
      <c r="F508" s="36"/>
      <c r="G508" s="36"/>
      <c r="H508" s="3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</row>
    <row r="509" ht="15.75" customHeight="1">
      <c r="A509" s="56"/>
      <c r="B509" s="56"/>
      <c r="C509" s="56"/>
      <c r="D509" s="56"/>
      <c r="E509" s="56"/>
      <c r="F509" s="36"/>
      <c r="G509" s="36"/>
      <c r="H509" s="3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</row>
    <row r="510" ht="15.75" customHeight="1">
      <c r="A510" s="56"/>
      <c r="B510" s="56"/>
      <c r="C510" s="56"/>
      <c r="D510" s="56"/>
      <c r="E510" s="56"/>
      <c r="F510" s="36"/>
      <c r="G510" s="36"/>
      <c r="H510" s="3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</row>
    <row r="511" ht="15.75" customHeight="1">
      <c r="A511" s="56"/>
      <c r="B511" s="56"/>
      <c r="C511" s="56"/>
      <c r="D511" s="56"/>
      <c r="E511" s="56"/>
      <c r="F511" s="36"/>
      <c r="G511" s="36"/>
      <c r="H511" s="3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</row>
    <row r="512" ht="15.75" customHeight="1">
      <c r="A512" s="56"/>
      <c r="B512" s="56"/>
      <c r="C512" s="56"/>
      <c r="D512" s="56"/>
      <c r="E512" s="56"/>
      <c r="F512" s="36"/>
      <c r="G512" s="36"/>
      <c r="H512" s="3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</row>
    <row r="513" ht="15.75" customHeight="1">
      <c r="A513" s="56"/>
      <c r="B513" s="56"/>
      <c r="C513" s="56"/>
      <c r="D513" s="56"/>
      <c r="E513" s="56"/>
      <c r="F513" s="36"/>
      <c r="G513" s="36"/>
      <c r="H513" s="3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</row>
    <row r="514" ht="15.75" customHeight="1">
      <c r="A514" s="56"/>
      <c r="B514" s="56"/>
      <c r="C514" s="56"/>
      <c r="D514" s="56"/>
      <c r="E514" s="56"/>
      <c r="F514" s="36"/>
      <c r="G514" s="36"/>
      <c r="H514" s="3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</row>
    <row r="515" ht="15.75" customHeight="1">
      <c r="A515" s="56"/>
      <c r="B515" s="56"/>
      <c r="C515" s="56"/>
      <c r="D515" s="56"/>
      <c r="E515" s="56"/>
      <c r="F515" s="36"/>
      <c r="G515" s="36"/>
      <c r="H515" s="3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</row>
    <row r="516" ht="15.75" customHeight="1">
      <c r="A516" s="56"/>
      <c r="B516" s="56"/>
      <c r="C516" s="56"/>
      <c r="D516" s="56"/>
      <c r="E516" s="56"/>
      <c r="F516" s="36"/>
      <c r="G516" s="36"/>
      <c r="H516" s="3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</row>
    <row r="517" ht="15.75" customHeight="1">
      <c r="A517" s="56"/>
      <c r="B517" s="56"/>
      <c r="C517" s="56"/>
      <c r="D517" s="56"/>
      <c r="E517" s="56"/>
      <c r="F517" s="36"/>
      <c r="G517" s="36"/>
      <c r="H517" s="3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</row>
    <row r="518" ht="15.75" customHeight="1">
      <c r="A518" s="56"/>
      <c r="B518" s="56"/>
      <c r="C518" s="56"/>
      <c r="D518" s="56"/>
      <c r="E518" s="56"/>
      <c r="F518" s="36"/>
      <c r="G518" s="36"/>
      <c r="H518" s="3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</row>
    <row r="519" ht="15.75" customHeight="1">
      <c r="A519" s="56"/>
      <c r="B519" s="56"/>
      <c r="C519" s="56"/>
      <c r="D519" s="56"/>
      <c r="E519" s="56"/>
      <c r="F519" s="36"/>
      <c r="G519" s="36"/>
      <c r="H519" s="3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</row>
    <row r="520" ht="15.75" customHeight="1">
      <c r="A520" s="56"/>
      <c r="B520" s="56"/>
      <c r="C520" s="56"/>
      <c r="D520" s="56"/>
      <c r="E520" s="56"/>
      <c r="F520" s="36"/>
      <c r="G520" s="36"/>
      <c r="H520" s="3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</row>
    <row r="521" ht="15.75" customHeight="1">
      <c r="A521" s="56"/>
      <c r="B521" s="56"/>
      <c r="C521" s="56"/>
      <c r="D521" s="56"/>
      <c r="E521" s="56"/>
      <c r="F521" s="36"/>
      <c r="G521" s="36"/>
      <c r="H521" s="3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</row>
    <row r="522" ht="15.75" customHeight="1">
      <c r="A522" s="56"/>
      <c r="B522" s="56"/>
      <c r="C522" s="56"/>
      <c r="D522" s="56"/>
      <c r="E522" s="56"/>
      <c r="F522" s="36"/>
      <c r="G522" s="36"/>
      <c r="H522" s="3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</row>
    <row r="523" ht="15.75" customHeight="1">
      <c r="A523" s="56"/>
      <c r="B523" s="56"/>
      <c r="C523" s="56"/>
      <c r="D523" s="56"/>
      <c r="E523" s="56"/>
      <c r="F523" s="36"/>
      <c r="G523" s="36"/>
      <c r="H523" s="3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</row>
    <row r="524" ht="15.75" customHeight="1">
      <c r="A524" s="56"/>
      <c r="B524" s="56"/>
      <c r="C524" s="56"/>
      <c r="D524" s="56"/>
      <c r="E524" s="56"/>
      <c r="F524" s="36"/>
      <c r="G524" s="36"/>
      <c r="H524" s="3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</row>
    <row r="525" ht="15.75" customHeight="1">
      <c r="A525" s="56"/>
      <c r="B525" s="56"/>
      <c r="C525" s="56"/>
      <c r="D525" s="56"/>
      <c r="E525" s="56"/>
      <c r="F525" s="36"/>
      <c r="G525" s="36"/>
      <c r="H525" s="3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</row>
    <row r="526" ht="15.75" customHeight="1">
      <c r="A526" s="56"/>
      <c r="B526" s="56"/>
      <c r="C526" s="56"/>
      <c r="D526" s="56"/>
      <c r="E526" s="56"/>
      <c r="F526" s="36"/>
      <c r="G526" s="36"/>
      <c r="H526" s="3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</row>
    <row r="527" ht="15.75" customHeight="1">
      <c r="A527" s="56"/>
      <c r="B527" s="56"/>
      <c r="C527" s="56"/>
      <c r="D527" s="56"/>
      <c r="E527" s="56"/>
      <c r="F527" s="36"/>
      <c r="G527" s="36"/>
      <c r="H527" s="3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</row>
    <row r="528" ht="15.75" customHeight="1">
      <c r="A528" s="56"/>
      <c r="B528" s="56"/>
      <c r="C528" s="56"/>
      <c r="D528" s="56"/>
      <c r="E528" s="56"/>
      <c r="F528" s="36"/>
      <c r="G528" s="36"/>
      <c r="H528" s="3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</row>
    <row r="529" ht="15.75" customHeight="1">
      <c r="A529" s="56"/>
      <c r="B529" s="56"/>
      <c r="C529" s="56"/>
      <c r="D529" s="56"/>
      <c r="E529" s="56"/>
      <c r="F529" s="36"/>
      <c r="G529" s="36"/>
      <c r="H529" s="3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</row>
    <row r="530" ht="15.75" customHeight="1">
      <c r="A530" s="56"/>
      <c r="B530" s="56"/>
      <c r="C530" s="56"/>
      <c r="D530" s="56"/>
      <c r="E530" s="56"/>
      <c r="F530" s="36"/>
      <c r="G530" s="36"/>
      <c r="H530" s="3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</row>
    <row r="531" ht="15.75" customHeight="1">
      <c r="A531" s="56"/>
      <c r="B531" s="56"/>
      <c r="C531" s="56"/>
      <c r="D531" s="56"/>
      <c r="E531" s="56"/>
      <c r="F531" s="36"/>
      <c r="G531" s="36"/>
      <c r="H531" s="3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</row>
    <row r="532" ht="15.75" customHeight="1">
      <c r="A532" s="56"/>
      <c r="B532" s="56"/>
      <c r="C532" s="56"/>
      <c r="D532" s="56"/>
      <c r="E532" s="56"/>
      <c r="F532" s="36"/>
      <c r="G532" s="36"/>
      <c r="H532" s="3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</row>
    <row r="533" ht="15.75" customHeight="1">
      <c r="A533" s="56"/>
      <c r="B533" s="56"/>
      <c r="C533" s="56"/>
      <c r="D533" s="56"/>
      <c r="E533" s="56"/>
      <c r="F533" s="36"/>
      <c r="G533" s="36"/>
      <c r="H533" s="3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</row>
    <row r="534" ht="15.75" customHeight="1">
      <c r="A534" s="56"/>
      <c r="B534" s="56"/>
      <c r="C534" s="56"/>
      <c r="D534" s="56"/>
      <c r="E534" s="56"/>
      <c r="F534" s="36"/>
      <c r="G534" s="36"/>
      <c r="H534" s="3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</row>
    <row r="535" ht="15.75" customHeight="1">
      <c r="A535" s="56"/>
      <c r="B535" s="56"/>
      <c r="C535" s="56"/>
      <c r="D535" s="56"/>
      <c r="E535" s="56"/>
      <c r="F535" s="36"/>
      <c r="G535" s="36"/>
      <c r="H535" s="3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</row>
    <row r="536" ht="15.75" customHeight="1">
      <c r="A536" s="56"/>
      <c r="B536" s="56"/>
      <c r="C536" s="56"/>
      <c r="D536" s="56"/>
      <c r="E536" s="56"/>
      <c r="F536" s="36"/>
      <c r="G536" s="36"/>
      <c r="H536" s="3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</row>
    <row r="537" ht="15.75" customHeight="1">
      <c r="A537" s="56"/>
      <c r="B537" s="56"/>
      <c r="C537" s="56"/>
      <c r="D537" s="56"/>
      <c r="E537" s="56"/>
      <c r="F537" s="36"/>
      <c r="G537" s="36"/>
      <c r="H537" s="3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</row>
    <row r="538" ht="15.75" customHeight="1">
      <c r="A538" s="56"/>
      <c r="B538" s="56"/>
      <c r="C538" s="56"/>
      <c r="D538" s="56"/>
      <c r="E538" s="56"/>
      <c r="F538" s="36"/>
      <c r="G538" s="36"/>
      <c r="H538" s="3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</row>
    <row r="539" ht="15.75" customHeight="1">
      <c r="A539" s="56"/>
      <c r="B539" s="56"/>
      <c r="C539" s="56"/>
      <c r="D539" s="56"/>
      <c r="E539" s="56"/>
      <c r="F539" s="36"/>
      <c r="G539" s="36"/>
      <c r="H539" s="3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</row>
    <row r="540" ht="15.75" customHeight="1">
      <c r="A540" s="56"/>
      <c r="B540" s="56"/>
      <c r="C540" s="56"/>
      <c r="D540" s="56"/>
      <c r="E540" s="56"/>
      <c r="F540" s="36"/>
      <c r="G540" s="36"/>
      <c r="H540" s="3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</row>
    <row r="541" ht="15.75" customHeight="1">
      <c r="A541" s="56"/>
      <c r="B541" s="56"/>
      <c r="C541" s="56"/>
      <c r="D541" s="56"/>
      <c r="E541" s="56"/>
      <c r="F541" s="36"/>
      <c r="G541" s="36"/>
      <c r="H541" s="3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</row>
    <row r="542" ht="15.75" customHeight="1">
      <c r="A542" s="56"/>
      <c r="B542" s="56"/>
      <c r="C542" s="56"/>
      <c r="D542" s="56"/>
      <c r="E542" s="56"/>
      <c r="F542" s="36"/>
      <c r="G542" s="36"/>
      <c r="H542" s="3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</row>
    <row r="543" ht="15.75" customHeight="1">
      <c r="A543" s="56"/>
      <c r="B543" s="56"/>
      <c r="C543" s="56"/>
      <c r="D543" s="56"/>
      <c r="E543" s="56"/>
      <c r="F543" s="36"/>
      <c r="G543" s="36"/>
      <c r="H543" s="3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</row>
    <row r="544" ht="15.75" customHeight="1">
      <c r="A544" s="56"/>
      <c r="B544" s="56"/>
      <c r="C544" s="56"/>
      <c r="D544" s="56"/>
      <c r="E544" s="56"/>
      <c r="F544" s="36"/>
      <c r="G544" s="36"/>
      <c r="H544" s="3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</row>
    <row r="545" ht="15.75" customHeight="1">
      <c r="A545" s="56"/>
      <c r="B545" s="56"/>
      <c r="C545" s="56"/>
      <c r="D545" s="56"/>
      <c r="E545" s="56"/>
      <c r="F545" s="36"/>
      <c r="G545" s="36"/>
      <c r="H545" s="3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</row>
    <row r="546" ht="15.75" customHeight="1">
      <c r="A546" s="56"/>
      <c r="B546" s="56"/>
      <c r="C546" s="56"/>
      <c r="D546" s="56"/>
      <c r="E546" s="56"/>
      <c r="F546" s="36"/>
      <c r="G546" s="36"/>
      <c r="H546" s="3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</row>
    <row r="547" ht="15.75" customHeight="1">
      <c r="A547" s="56"/>
      <c r="B547" s="56"/>
      <c r="C547" s="56"/>
      <c r="D547" s="56"/>
      <c r="E547" s="56"/>
      <c r="F547" s="36"/>
      <c r="G547" s="36"/>
      <c r="H547" s="3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</row>
    <row r="548" ht="15.75" customHeight="1">
      <c r="A548" s="56"/>
      <c r="B548" s="56"/>
      <c r="C548" s="56"/>
      <c r="D548" s="56"/>
      <c r="E548" s="56"/>
      <c r="F548" s="36"/>
      <c r="G548" s="36"/>
      <c r="H548" s="3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</row>
    <row r="549" ht="15.75" customHeight="1">
      <c r="A549" s="56"/>
      <c r="B549" s="56"/>
      <c r="C549" s="56"/>
      <c r="D549" s="56"/>
      <c r="E549" s="56"/>
      <c r="F549" s="36"/>
      <c r="G549" s="36"/>
      <c r="H549" s="3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</row>
    <row r="550" ht="15.75" customHeight="1">
      <c r="A550" s="56"/>
      <c r="B550" s="56"/>
      <c r="C550" s="56"/>
      <c r="D550" s="56"/>
      <c r="E550" s="56"/>
      <c r="F550" s="36"/>
      <c r="G550" s="36"/>
      <c r="H550" s="3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</row>
    <row r="551" ht="15.75" customHeight="1">
      <c r="A551" s="56"/>
      <c r="B551" s="56"/>
      <c r="C551" s="56"/>
      <c r="D551" s="56"/>
      <c r="E551" s="56"/>
      <c r="F551" s="36"/>
      <c r="G551" s="36"/>
      <c r="H551" s="3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</row>
    <row r="552" ht="15.75" customHeight="1">
      <c r="A552" s="56"/>
      <c r="B552" s="56"/>
      <c r="C552" s="56"/>
      <c r="D552" s="56"/>
      <c r="E552" s="56"/>
      <c r="F552" s="36"/>
      <c r="G552" s="36"/>
      <c r="H552" s="3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</row>
    <row r="553" ht="15.75" customHeight="1">
      <c r="A553" s="56"/>
      <c r="B553" s="56"/>
      <c r="C553" s="56"/>
      <c r="D553" s="56"/>
      <c r="E553" s="56"/>
      <c r="F553" s="36"/>
      <c r="G553" s="36"/>
      <c r="H553" s="3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</row>
    <row r="554" ht="15.75" customHeight="1">
      <c r="A554" s="56"/>
      <c r="B554" s="56"/>
      <c r="C554" s="56"/>
      <c r="D554" s="56"/>
      <c r="E554" s="56"/>
      <c r="F554" s="36"/>
      <c r="G554" s="36"/>
      <c r="H554" s="3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</row>
    <row r="555" ht="15.75" customHeight="1">
      <c r="A555" s="56"/>
      <c r="B555" s="56"/>
      <c r="C555" s="56"/>
      <c r="D555" s="56"/>
      <c r="E555" s="56"/>
      <c r="F555" s="36"/>
      <c r="G555" s="36"/>
      <c r="H555" s="3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</row>
    <row r="556" ht="15.75" customHeight="1">
      <c r="A556" s="56"/>
      <c r="B556" s="56"/>
      <c r="C556" s="56"/>
      <c r="D556" s="56"/>
      <c r="E556" s="56"/>
      <c r="F556" s="36"/>
      <c r="G556" s="36"/>
      <c r="H556" s="3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</row>
    <row r="557" ht="15.75" customHeight="1">
      <c r="A557" s="56"/>
      <c r="B557" s="56"/>
      <c r="C557" s="56"/>
      <c r="D557" s="56"/>
      <c r="E557" s="56"/>
      <c r="F557" s="36"/>
      <c r="G557" s="36"/>
      <c r="H557" s="3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</row>
    <row r="558" ht="15.75" customHeight="1">
      <c r="A558" s="56"/>
      <c r="B558" s="56"/>
      <c r="C558" s="56"/>
      <c r="D558" s="56"/>
      <c r="E558" s="56"/>
      <c r="F558" s="36"/>
      <c r="G558" s="36"/>
      <c r="H558" s="3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</row>
    <row r="559" ht="15.75" customHeight="1">
      <c r="A559" s="56"/>
      <c r="B559" s="56"/>
      <c r="C559" s="56"/>
      <c r="D559" s="56"/>
      <c r="E559" s="56"/>
      <c r="F559" s="36"/>
      <c r="G559" s="36"/>
      <c r="H559" s="3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</row>
    <row r="560" ht="15.75" customHeight="1">
      <c r="A560" s="56"/>
      <c r="B560" s="56"/>
      <c r="C560" s="56"/>
      <c r="D560" s="56"/>
      <c r="E560" s="56"/>
      <c r="F560" s="36"/>
      <c r="G560" s="36"/>
      <c r="H560" s="3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</row>
    <row r="561" ht="15.75" customHeight="1">
      <c r="A561" s="56"/>
      <c r="B561" s="56"/>
      <c r="C561" s="56"/>
      <c r="D561" s="56"/>
      <c r="E561" s="56"/>
      <c r="F561" s="36"/>
      <c r="G561" s="36"/>
      <c r="H561" s="3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</row>
    <row r="562" ht="15.75" customHeight="1">
      <c r="A562" s="56"/>
      <c r="B562" s="56"/>
      <c r="C562" s="56"/>
      <c r="D562" s="56"/>
      <c r="E562" s="56"/>
      <c r="F562" s="36"/>
      <c r="G562" s="36"/>
      <c r="H562" s="3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</row>
    <row r="563" ht="15.75" customHeight="1">
      <c r="A563" s="56"/>
      <c r="B563" s="56"/>
      <c r="C563" s="56"/>
      <c r="D563" s="56"/>
      <c r="E563" s="56"/>
      <c r="F563" s="36"/>
      <c r="G563" s="36"/>
      <c r="H563" s="3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</row>
    <row r="564" ht="15.75" customHeight="1">
      <c r="A564" s="56"/>
      <c r="B564" s="56"/>
      <c r="C564" s="56"/>
      <c r="D564" s="56"/>
      <c r="E564" s="56"/>
      <c r="F564" s="36"/>
      <c r="G564" s="36"/>
      <c r="H564" s="3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</row>
    <row r="565" ht="15.75" customHeight="1">
      <c r="A565" s="56"/>
      <c r="B565" s="56"/>
      <c r="C565" s="56"/>
      <c r="D565" s="56"/>
      <c r="E565" s="56"/>
      <c r="F565" s="36"/>
      <c r="G565" s="36"/>
      <c r="H565" s="3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</row>
    <row r="566" ht="15.75" customHeight="1">
      <c r="A566" s="56"/>
      <c r="B566" s="56"/>
      <c r="C566" s="56"/>
      <c r="D566" s="56"/>
      <c r="E566" s="56"/>
      <c r="F566" s="36"/>
      <c r="G566" s="36"/>
      <c r="H566" s="3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</row>
    <row r="567" ht="15.75" customHeight="1">
      <c r="A567" s="56"/>
      <c r="B567" s="56"/>
      <c r="C567" s="56"/>
      <c r="D567" s="56"/>
      <c r="E567" s="56"/>
      <c r="F567" s="36"/>
      <c r="G567" s="36"/>
      <c r="H567" s="3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</row>
    <row r="568" ht="15.75" customHeight="1">
      <c r="A568" s="56"/>
      <c r="B568" s="56"/>
      <c r="C568" s="56"/>
      <c r="D568" s="56"/>
      <c r="E568" s="56"/>
      <c r="F568" s="36"/>
      <c r="G568" s="36"/>
      <c r="H568" s="3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</row>
    <row r="569" ht="15.75" customHeight="1">
      <c r="A569" s="56"/>
      <c r="B569" s="56"/>
      <c r="C569" s="56"/>
      <c r="D569" s="56"/>
      <c r="E569" s="56"/>
      <c r="F569" s="36"/>
      <c r="G569" s="36"/>
      <c r="H569" s="3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</row>
    <row r="570" ht="15.75" customHeight="1">
      <c r="A570" s="56"/>
      <c r="B570" s="56"/>
      <c r="C570" s="56"/>
      <c r="D570" s="56"/>
      <c r="E570" s="56"/>
      <c r="F570" s="36"/>
      <c r="G570" s="36"/>
      <c r="H570" s="3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</row>
    <row r="571" ht="15.75" customHeight="1">
      <c r="A571" s="56"/>
      <c r="B571" s="56"/>
      <c r="C571" s="56"/>
      <c r="D571" s="56"/>
      <c r="E571" s="56"/>
      <c r="F571" s="36"/>
      <c r="G571" s="36"/>
      <c r="H571" s="3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</row>
    <row r="572" ht="15.75" customHeight="1">
      <c r="A572" s="56"/>
      <c r="B572" s="56"/>
      <c r="C572" s="56"/>
      <c r="D572" s="56"/>
      <c r="E572" s="56"/>
      <c r="F572" s="36"/>
      <c r="G572" s="36"/>
      <c r="H572" s="3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</row>
    <row r="573" ht="15.75" customHeight="1">
      <c r="A573" s="56"/>
      <c r="B573" s="56"/>
      <c r="C573" s="56"/>
      <c r="D573" s="56"/>
      <c r="E573" s="56"/>
      <c r="F573" s="36"/>
      <c r="G573" s="36"/>
      <c r="H573" s="3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</row>
    <row r="574" ht="15.75" customHeight="1">
      <c r="A574" s="56"/>
      <c r="B574" s="56"/>
      <c r="C574" s="56"/>
      <c r="D574" s="56"/>
      <c r="E574" s="56"/>
      <c r="F574" s="36"/>
      <c r="G574" s="36"/>
      <c r="H574" s="3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</row>
    <row r="575" ht="15.75" customHeight="1">
      <c r="A575" s="56"/>
      <c r="B575" s="56"/>
      <c r="C575" s="56"/>
      <c r="D575" s="56"/>
      <c r="E575" s="56"/>
      <c r="F575" s="36"/>
      <c r="G575" s="36"/>
      <c r="H575" s="3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</row>
    <row r="576" ht="15.75" customHeight="1">
      <c r="A576" s="56"/>
      <c r="B576" s="56"/>
      <c r="C576" s="56"/>
      <c r="D576" s="56"/>
      <c r="E576" s="56"/>
      <c r="F576" s="36"/>
      <c r="G576" s="36"/>
      <c r="H576" s="3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</row>
    <row r="577" ht="15.75" customHeight="1">
      <c r="A577" s="56"/>
      <c r="B577" s="56"/>
      <c r="C577" s="56"/>
      <c r="D577" s="56"/>
      <c r="E577" s="56"/>
      <c r="F577" s="36"/>
      <c r="G577" s="36"/>
      <c r="H577" s="3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</row>
    <row r="578" ht="15.75" customHeight="1">
      <c r="A578" s="56"/>
      <c r="B578" s="56"/>
      <c r="C578" s="56"/>
      <c r="D578" s="56"/>
      <c r="E578" s="56"/>
      <c r="F578" s="36"/>
      <c r="G578" s="36"/>
      <c r="H578" s="3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</row>
    <row r="579" ht="15.75" customHeight="1">
      <c r="A579" s="56"/>
      <c r="B579" s="56"/>
      <c r="C579" s="56"/>
      <c r="D579" s="56"/>
      <c r="E579" s="56"/>
      <c r="F579" s="36"/>
      <c r="G579" s="36"/>
      <c r="H579" s="3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</row>
    <row r="580" ht="15.75" customHeight="1">
      <c r="A580" s="56"/>
      <c r="B580" s="56"/>
      <c r="C580" s="56"/>
      <c r="D580" s="56"/>
      <c r="E580" s="56"/>
      <c r="F580" s="36"/>
      <c r="G580" s="36"/>
      <c r="H580" s="3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</row>
    <row r="581" ht="15.75" customHeight="1">
      <c r="A581" s="56"/>
      <c r="B581" s="56"/>
      <c r="C581" s="56"/>
      <c r="D581" s="56"/>
      <c r="E581" s="56"/>
      <c r="F581" s="36"/>
      <c r="G581" s="36"/>
      <c r="H581" s="3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</row>
    <row r="582" ht="15.75" customHeight="1">
      <c r="A582" s="56"/>
      <c r="B582" s="56"/>
      <c r="C582" s="56"/>
      <c r="D582" s="56"/>
      <c r="E582" s="56"/>
      <c r="F582" s="36"/>
      <c r="G582" s="36"/>
      <c r="H582" s="3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</row>
    <row r="583" ht="15.75" customHeight="1">
      <c r="A583" s="56"/>
      <c r="B583" s="56"/>
      <c r="C583" s="56"/>
      <c r="D583" s="56"/>
      <c r="E583" s="56"/>
      <c r="F583" s="36"/>
      <c r="G583" s="36"/>
      <c r="H583" s="3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</row>
    <row r="584" ht="15.75" customHeight="1">
      <c r="A584" s="56"/>
      <c r="B584" s="56"/>
      <c r="C584" s="56"/>
      <c r="D584" s="56"/>
      <c r="E584" s="56"/>
      <c r="F584" s="36"/>
      <c r="G584" s="36"/>
      <c r="H584" s="3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</row>
    <row r="585" ht="15.75" customHeight="1">
      <c r="A585" s="56"/>
      <c r="B585" s="56"/>
      <c r="C585" s="56"/>
      <c r="D585" s="56"/>
      <c r="E585" s="56"/>
      <c r="F585" s="36"/>
      <c r="G585" s="36"/>
      <c r="H585" s="3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</row>
    <row r="586" ht="15.75" customHeight="1">
      <c r="A586" s="56"/>
      <c r="B586" s="56"/>
      <c r="C586" s="56"/>
      <c r="D586" s="56"/>
      <c r="E586" s="56"/>
      <c r="F586" s="36"/>
      <c r="G586" s="36"/>
      <c r="H586" s="3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</row>
    <row r="587" ht="15.75" customHeight="1">
      <c r="A587" s="56"/>
      <c r="B587" s="56"/>
      <c r="C587" s="56"/>
      <c r="D587" s="56"/>
      <c r="E587" s="56"/>
      <c r="F587" s="36"/>
      <c r="G587" s="36"/>
      <c r="H587" s="3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</row>
    <row r="588" ht="15.75" customHeight="1">
      <c r="A588" s="56"/>
      <c r="B588" s="56"/>
      <c r="C588" s="56"/>
      <c r="D588" s="56"/>
      <c r="E588" s="56"/>
      <c r="F588" s="36"/>
      <c r="G588" s="36"/>
      <c r="H588" s="3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</row>
    <row r="589" ht="15.75" customHeight="1">
      <c r="A589" s="56"/>
      <c r="B589" s="56"/>
      <c r="C589" s="56"/>
      <c r="D589" s="56"/>
      <c r="E589" s="56"/>
      <c r="F589" s="36"/>
      <c r="G589" s="36"/>
      <c r="H589" s="3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</row>
    <row r="590" ht="15.75" customHeight="1">
      <c r="A590" s="56"/>
      <c r="B590" s="56"/>
      <c r="C590" s="56"/>
      <c r="D590" s="56"/>
      <c r="E590" s="56"/>
      <c r="F590" s="36"/>
      <c r="G590" s="36"/>
      <c r="H590" s="3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</row>
    <row r="591" ht="15.75" customHeight="1">
      <c r="A591" s="56"/>
      <c r="B591" s="56"/>
      <c r="C591" s="56"/>
      <c r="D591" s="56"/>
      <c r="E591" s="56"/>
      <c r="F591" s="36"/>
      <c r="G591" s="36"/>
      <c r="H591" s="3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</row>
    <row r="592" ht="15.75" customHeight="1">
      <c r="A592" s="56"/>
      <c r="B592" s="56"/>
      <c r="C592" s="56"/>
      <c r="D592" s="56"/>
      <c r="E592" s="56"/>
      <c r="F592" s="36"/>
      <c r="G592" s="36"/>
      <c r="H592" s="3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</row>
    <row r="593" ht="15.75" customHeight="1">
      <c r="A593" s="56"/>
      <c r="B593" s="56"/>
      <c r="C593" s="56"/>
      <c r="D593" s="56"/>
      <c r="E593" s="56"/>
      <c r="F593" s="36"/>
      <c r="G593" s="36"/>
      <c r="H593" s="3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</row>
    <row r="594" ht="15.75" customHeight="1">
      <c r="A594" s="56"/>
      <c r="B594" s="56"/>
      <c r="C594" s="56"/>
      <c r="D594" s="56"/>
      <c r="E594" s="56"/>
      <c r="F594" s="36"/>
      <c r="G594" s="36"/>
      <c r="H594" s="3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</row>
    <row r="595" ht="15.75" customHeight="1">
      <c r="A595" s="56"/>
      <c r="B595" s="56"/>
      <c r="C595" s="56"/>
      <c r="D595" s="56"/>
      <c r="E595" s="56"/>
      <c r="F595" s="36"/>
      <c r="G595" s="36"/>
      <c r="H595" s="3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</row>
    <row r="596" ht="15.75" customHeight="1">
      <c r="A596" s="56"/>
      <c r="B596" s="56"/>
      <c r="C596" s="56"/>
      <c r="D596" s="56"/>
      <c r="E596" s="56"/>
      <c r="F596" s="36"/>
      <c r="G596" s="36"/>
      <c r="H596" s="3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</row>
    <row r="597" ht="15.75" customHeight="1">
      <c r="A597" s="56"/>
      <c r="B597" s="56"/>
      <c r="C597" s="56"/>
      <c r="D597" s="56"/>
      <c r="E597" s="56"/>
      <c r="F597" s="36"/>
      <c r="G597" s="36"/>
      <c r="H597" s="3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</row>
    <row r="598" ht="15.75" customHeight="1">
      <c r="A598" s="56"/>
      <c r="B598" s="56"/>
      <c r="C598" s="56"/>
      <c r="D598" s="56"/>
      <c r="E598" s="56"/>
      <c r="F598" s="36"/>
      <c r="G598" s="36"/>
      <c r="H598" s="3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</row>
    <row r="599" ht="15.75" customHeight="1">
      <c r="A599" s="56"/>
      <c r="B599" s="56"/>
      <c r="C599" s="56"/>
      <c r="D599" s="56"/>
      <c r="E599" s="56"/>
      <c r="F599" s="36"/>
      <c r="G599" s="36"/>
      <c r="H599" s="3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</row>
    <row r="600" ht="15.75" customHeight="1">
      <c r="A600" s="56"/>
      <c r="B600" s="56"/>
      <c r="C600" s="56"/>
      <c r="D600" s="56"/>
      <c r="E600" s="56"/>
      <c r="F600" s="36"/>
      <c r="G600" s="36"/>
      <c r="H600" s="3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</row>
    <row r="601" ht="15.75" customHeight="1">
      <c r="A601" s="56"/>
      <c r="B601" s="56"/>
      <c r="C601" s="56"/>
      <c r="D601" s="56"/>
      <c r="E601" s="56"/>
      <c r="F601" s="36"/>
      <c r="G601" s="36"/>
      <c r="H601" s="3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</row>
    <row r="602" ht="15.75" customHeight="1">
      <c r="A602" s="56"/>
      <c r="B602" s="56"/>
      <c r="C602" s="56"/>
      <c r="D602" s="56"/>
      <c r="E602" s="56"/>
      <c r="F602" s="36"/>
      <c r="G602" s="36"/>
      <c r="H602" s="3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</row>
    <row r="603" ht="15.75" customHeight="1">
      <c r="A603" s="56"/>
      <c r="B603" s="56"/>
      <c r="C603" s="56"/>
      <c r="D603" s="56"/>
      <c r="E603" s="56"/>
      <c r="F603" s="36"/>
      <c r="G603" s="36"/>
      <c r="H603" s="3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</row>
    <row r="604" ht="15.75" customHeight="1">
      <c r="A604" s="56"/>
      <c r="B604" s="56"/>
      <c r="C604" s="56"/>
      <c r="D604" s="56"/>
      <c r="E604" s="56"/>
      <c r="F604" s="36"/>
      <c r="G604" s="36"/>
      <c r="H604" s="3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</row>
    <row r="605" ht="15.75" customHeight="1">
      <c r="A605" s="56"/>
      <c r="B605" s="56"/>
      <c r="C605" s="56"/>
      <c r="D605" s="56"/>
      <c r="E605" s="56"/>
      <c r="F605" s="36"/>
      <c r="G605" s="36"/>
      <c r="H605" s="3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</row>
    <row r="606" ht="15.75" customHeight="1">
      <c r="A606" s="56"/>
      <c r="B606" s="56"/>
      <c r="C606" s="56"/>
      <c r="D606" s="56"/>
      <c r="E606" s="56"/>
      <c r="F606" s="36"/>
      <c r="G606" s="36"/>
      <c r="H606" s="3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</row>
    <row r="607" ht="15.75" customHeight="1">
      <c r="A607" s="56"/>
      <c r="B607" s="56"/>
      <c r="C607" s="56"/>
      <c r="D607" s="56"/>
      <c r="E607" s="56"/>
      <c r="F607" s="36"/>
      <c r="G607" s="36"/>
      <c r="H607" s="3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</row>
    <row r="608" ht="15.75" customHeight="1">
      <c r="A608" s="56"/>
      <c r="B608" s="56"/>
      <c r="C608" s="56"/>
      <c r="D608" s="56"/>
      <c r="E608" s="56"/>
      <c r="F608" s="36"/>
      <c r="G608" s="36"/>
      <c r="H608" s="3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</row>
    <row r="609" ht="15.75" customHeight="1">
      <c r="A609" s="56"/>
      <c r="B609" s="56"/>
      <c r="C609" s="56"/>
      <c r="D609" s="56"/>
      <c r="E609" s="56"/>
      <c r="F609" s="36"/>
      <c r="G609" s="36"/>
      <c r="H609" s="3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</row>
    <row r="610" ht="15.75" customHeight="1">
      <c r="A610" s="56"/>
      <c r="B610" s="56"/>
      <c r="C610" s="56"/>
      <c r="D610" s="56"/>
      <c r="E610" s="56"/>
      <c r="F610" s="36"/>
      <c r="G610" s="36"/>
      <c r="H610" s="3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</row>
    <row r="611" ht="15.75" customHeight="1">
      <c r="A611" s="56"/>
      <c r="B611" s="56"/>
      <c r="C611" s="56"/>
      <c r="D611" s="56"/>
      <c r="E611" s="56"/>
      <c r="F611" s="36"/>
      <c r="G611" s="36"/>
      <c r="H611" s="3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</row>
    <row r="612" ht="15.75" customHeight="1">
      <c r="A612" s="56"/>
      <c r="B612" s="56"/>
      <c r="C612" s="56"/>
      <c r="D612" s="56"/>
      <c r="E612" s="56"/>
      <c r="F612" s="36"/>
      <c r="G612" s="36"/>
      <c r="H612" s="3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</row>
    <row r="613" ht="15.75" customHeight="1">
      <c r="A613" s="56"/>
      <c r="B613" s="56"/>
      <c r="C613" s="56"/>
      <c r="D613" s="56"/>
      <c r="E613" s="56"/>
      <c r="F613" s="36"/>
      <c r="G613" s="36"/>
      <c r="H613" s="3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</row>
    <row r="614" ht="15.75" customHeight="1">
      <c r="A614" s="56"/>
      <c r="B614" s="56"/>
      <c r="C614" s="56"/>
      <c r="D614" s="56"/>
      <c r="E614" s="56"/>
      <c r="F614" s="36"/>
      <c r="G614" s="36"/>
      <c r="H614" s="3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</row>
    <row r="615" ht="15.75" customHeight="1">
      <c r="A615" s="56"/>
      <c r="B615" s="56"/>
      <c r="C615" s="56"/>
      <c r="D615" s="56"/>
      <c r="E615" s="56"/>
      <c r="F615" s="36"/>
      <c r="G615" s="36"/>
      <c r="H615" s="3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</row>
    <row r="616" ht="15.75" customHeight="1">
      <c r="A616" s="56"/>
      <c r="B616" s="56"/>
      <c r="C616" s="56"/>
      <c r="D616" s="56"/>
      <c r="E616" s="56"/>
      <c r="F616" s="36"/>
      <c r="G616" s="36"/>
      <c r="H616" s="3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</row>
    <row r="617" ht="15.75" customHeight="1">
      <c r="A617" s="56"/>
      <c r="B617" s="56"/>
      <c r="C617" s="56"/>
      <c r="D617" s="56"/>
      <c r="E617" s="56"/>
      <c r="F617" s="36"/>
      <c r="G617" s="36"/>
      <c r="H617" s="3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</row>
    <row r="618" ht="15.75" customHeight="1">
      <c r="A618" s="56"/>
      <c r="B618" s="56"/>
      <c r="C618" s="56"/>
      <c r="D618" s="56"/>
      <c r="E618" s="56"/>
      <c r="F618" s="36"/>
      <c r="G618" s="36"/>
      <c r="H618" s="3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</row>
    <row r="619" ht="15.75" customHeight="1">
      <c r="A619" s="56"/>
      <c r="B619" s="56"/>
      <c r="C619" s="56"/>
      <c r="D619" s="56"/>
      <c r="E619" s="56"/>
      <c r="F619" s="36"/>
      <c r="G619" s="36"/>
      <c r="H619" s="3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</row>
    <row r="620" ht="15.75" customHeight="1">
      <c r="A620" s="56"/>
      <c r="B620" s="56"/>
      <c r="C620" s="56"/>
      <c r="D620" s="56"/>
      <c r="E620" s="56"/>
      <c r="F620" s="36"/>
      <c r="G620" s="36"/>
      <c r="H620" s="3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</row>
    <row r="621" ht="15.75" customHeight="1">
      <c r="A621" s="56"/>
      <c r="B621" s="56"/>
      <c r="C621" s="56"/>
      <c r="D621" s="56"/>
      <c r="E621" s="56"/>
      <c r="F621" s="36"/>
      <c r="G621" s="36"/>
      <c r="H621" s="3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</row>
    <row r="622" ht="15.75" customHeight="1">
      <c r="A622" s="56"/>
      <c r="B622" s="56"/>
      <c r="C622" s="56"/>
      <c r="D622" s="56"/>
      <c r="E622" s="56"/>
      <c r="F622" s="36"/>
      <c r="G622" s="36"/>
      <c r="H622" s="3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</row>
    <row r="623" ht="15.75" customHeight="1">
      <c r="A623" s="56"/>
      <c r="B623" s="56"/>
      <c r="C623" s="56"/>
      <c r="D623" s="56"/>
      <c r="E623" s="56"/>
      <c r="F623" s="36"/>
      <c r="G623" s="36"/>
      <c r="H623" s="3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</row>
    <row r="624" ht="15.75" customHeight="1">
      <c r="A624" s="56"/>
      <c r="B624" s="56"/>
      <c r="C624" s="56"/>
      <c r="D624" s="56"/>
      <c r="E624" s="56"/>
      <c r="F624" s="36"/>
      <c r="G624" s="36"/>
      <c r="H624" s="3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</row>
    <row r="625" ht="15.75" customHeight="1">
      <c r="A625" s="56"/>
      <c r="B625" s="56"/>
      <c r="C625" s="56"/>
      <c r="D625" s="56"/>
      <c r="E625" s="56"/>
      <c r="F625" s="36"/>
      <c r="G625" s="36"/>
      <c r="H625" s="3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</row>
    <row r="626" ht="15.75" customHeight="1">
      <c r="A626" s="56"/>
      <c r="B626" s="56"/>
      <c r="C626" s="56"/>
      <c r="D626" s="56"/>
      <c r="E626" s="56"/>
      <c r="F626" s="36"/>
      <c r="G626" s="36"/>
      <c r="H626" s="3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</row>
    <row r="627" ht="15.75" customHeight="1">
      <c r="A627" s="56"/>
      <c r="B627" s="56"/>
      <c r="C627" s="56"/>
      <c r="D627" s="56"/>
      <c r="E627" s="56"/>
      <c r="F627" s="36"/>
      <c r="G627" s="36"/>
      <c r="H627" s="3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</row>
    <row r="628" ht="15.75" customHeight="1">
      <c r="A628" s="56"/>
      <c r="B628" s="56"/>
      <c r="C628" s="56"/>
      <c r="D628" s="56"/>
      <c r="E628" s="56"/>
      <c r="F628" s="36"/>
      <c r="G628" s="36"/>
      <c r="H628" s="3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</row>
    <row r="629" ht="15.75" customHeight="1">
      <c r="A629" s="56"/>
      <c r="B629" s="56"/>
      <c r="C629" s="56"/>
      <c r="D629" s="56"/>
      <c r="E629" s="56"/>
      <c r="F629" s="36"/>
      <c r="G629" s="36"/>
      <c r="H629" s="3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</row>
    <row r="630" ht="15.75" customHeight="1">
      <c r="A630" s="56"/>
      <c r="B630" s="56"/>
      <c r="C630" s="56"/>
      <c r="D630" s="56"/>
      <c r="E630" s="56"/>
      <c r="F630" s="36"/>
      <c r="G630" s="36"/>
      <c r="H630" s="3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</row>
    <row r="631" ht="15.75" customHeight="1">
      <c r="A631" s="56"/>
      <c r="B631" s="56"/>
      <c r="C631" s="56"/>
      <c r="D631" s="56"/>
      <c r="E631" s="56"/>
      <c r="F631" s="36"/>
      <c r="G631" s="36"/>
      <c r="H631" s="3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</row>
    <row r="632" ht="15.75" customHeight="1">
      <c r="A632" s="56"/>
      <c r="B632" s="56"/>
      <c r="C632" s="56"/>
      <c r="D632" s="56"/>
      <c r="E632" s="56"/>
      <c r="F632" s="36"/>
      <c r="G632" s="36"/>
      <c r="H632" s="3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</row>
    <row r="633" ht="15.75" customHeight="1">
      <c r="A633" s="56"/>
      <c r="B633" s="56"/>
      <c r="C633" s="56"/>
      <c r="D633" s="56"/>
      <c r="E633" s="56"/>
      <c r="F633" s="36"/>
      <c r="G633" s="36"/>
      <c r="H633" s="3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</row>
    <row r="634" ht="15.75" customHeight="1">
      <c r="A634" s="56"/>
      <c r="B634" s="56"/>
      <c r="C634" s="56"/>
      <c r="D634" s="56"/>
      <c r="E634" s="56"/>
      <c r="F634" s="36"/>
      <c r="G634" s="36"/>
      <c r="H634" s="3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</row>
    <row r="635" ht="15.75" customHeight="1">
      <c r="A635" s="56"/>
      <c r="B635" s="56"/>
      <c r="C635" s="56"/>
      <c r="D635" s="56"/>
      <c r="E635" s="56"/>
      <c r="F635" s="36"/>
      <c r="G635" s="36"/>
      <c r="H635" s="3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</row>
    <row r="636" ht="15.75" customHeight="1">
      <c r="A636" s="56"/>
      <c r="B636" s="56"/>
      <c r="C636" s="56"/>
      <c r="D636" s="56"/>
      <c r="E636" s="56"/>
      <c r="F636" s="36"/>
      <c r="G636" s="36"/>
      <c r="H636" s="3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</row>
    <row r="637" ht="15.75" customHeight="1">
      <c r="A637" s="56"/>
      <c r="B637" s="56"/>
      <c r="C637" s="56"/>
      <c r="D637" s="56"/>
      <c r="E637" s="56"/>
      <c r="F637" s="36"/>
      <c r="G637" s="36"/>
      <c r="H637" s="3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</row>
    <row r="638" ht="15.75" customHeight="1">
      <c r="A638" s="56"/>
      <c r="B638" s="56"/>
      <c r="C638" s="56"/>
      <c r="D638" s="56"/>
      <c r="E638" s="56"/>
      <c r="F638" s="36"/>
      <c r="G638" s="36"/>
      <c r="H638" s="3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</row>
    <row r="639" ht="15.75" customHeight="1">
      <c r="A639" s="56"/>
      <c r="B639" s="56"/>
      <c r="C639" s="56"/>
      <c r="D639" s="56"/>
      <c r="E639" s="56"/>
      <c r="F639" s="36"/>
      <c r="G639" s="36"/>
      <c r="H639" s="3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</row>
    <row r="640" ht="15.75" customHeight="1">
      <c r="A640" s="56"/>
      <c r="B640" s="56"/>
      <c r="C640" s="56"/>
      <c r="D640" s="56"/>
      <c r="E640" s="56"/>
      <c r="F640" s="36"/>
      <c r="G640" s="36"/>
      <c r="H640" s="3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</row>
    <row r="641" ht="15.75" customHeight="1">
      <c r="A641" s="56"/>
      <c r="B641" s="56"/>
      <c r="C641" s="56"/>
      <c r="D641" s="56"/>
      <c r="E641" s="56"/>
      <c r="F641" s="36"/>
      <c r="G641" s="36"/>
      <c r="H641" s="3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</row>
    <row r="642" ht="15.75" customHeight="1">
      <c r="A642" s="56"/>
      <c r="B642" s="56"/>
      <c r="C642" s="56"/>
      <c r="D642" s="56"/>
      <c r="E642" s="56"/>
      <c r="F642" s="36"/>
      <c r="G642" s="36"/>
      <c r="H642" s="3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</row>
    <row r="643" ht="15.75" customHeight="1">
      <c r="A643" s="56"/>
      <c r="B643" s="56"/>
      <c r="C643" s="56"/>
      <c r="D643" s="56"/>
      <c r="E643" s="56"/>
      <c r="F643" s="36"/>
      <c r="G643" s="36"/>
      <c r="H643" s="3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</row>
    <row r="644" ht="15.75" customHeight="1">
      <c r="A644" s="56"/>
      <c r="B644" s="56"/>
      <c r="C644" s="56"/>
      <c r="D644" s="56"/>
      <c r="E644" s="56"/>
      <c r="F644" s="36"/>
      <c r="G644" s="36"/>
      <c r="H644" s="3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</row>
    <row r="645" ht="15.75" customHeight="1">
      <c r="A645" s="56"/>
      <c r="B645" s="56"/>
      <c r="C645" s="56"/>
      <c r="D645" s="56"/>
      <c r="E645" s="56"/>
      <c r="F645" s="36"/>
      <c r="G645" s="36"/>
      <c r="H645" s="3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</row>
    <row r="646" ht="15.75" customHeight="1">
      <c r="A646" s="56"/>
      <c r="B646" s="56"/>
      <c r="C646" s="56"/>
      <c r="D646" s="56"/>
      <c r="E646" s="56"/>
      <c r="F646" s="36"/>
      <c r="G646" s="36"/>
      <c r="H646" s="3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</row>
    <row r="647" ht="15.75" customHeight="1">
      <c r="A647" s="56"/>
      <c r="B647" s="56"/>
      <c r="C647" s="56"/>
      <c r="D647" s="56"/>
      <c r="E647" s="56"/>
      <c r="F647" s="36"/>
      <c r="G647" s="36"/>
      <c r="H647" s="3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</row>
    <row r="648" ht="15.75" customHeight="1">
      <c r="A648" s="56"/>
      <c r="B648" s="56"/>
      <c r="C648" s="56"/>
      <c r="D648" s="56"/>
      <c r="E648" s="56"/>
      <c r="F648" s="36"/>
      <c r="G648" s="36"/>
      <c r="H648" s="3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</row>
    <row r="649" ht="15.75" customHeight="1">
      <c r="A649" s="56"/>
      <c r="B649" s="56"/>
      <c r="C649" s="56"/>
      <c r="D649" s="56"/>
      <c r="E649" s="56"/>
      <c r="F649" s="36"/>
      <c r="G649" s="36"/>
      <c r="H649" s="3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</row>
    <row r="650" ht="15.75" customHeight="1">
      <c r="A650" s="56"/>
      <c r="B650" s="56"/>
      <c r="C650" s="56"/>
      <c r="D650" s="56"/>
      <c r="E650" s="56"/>
      <c r="F650" s="36"/>
      <c r="G650" s="36"/>
      <c r="H650" s="3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</row>
    <row r="651" ht="15.75" customHeight="1">
      <c r="A651" s="56"/>
      <c r="B651" s="56"/>
      <c r="C651" s="56"/>
      <c r="D651" s="56"/>
      <c r="E651" s="56"/>
      <c r="F651" s="36"/>
      <c r="G651" s="36"/>
      <c r="H651" s="3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</row>
    <row r="652" ht="15.75" customHeight="1">
      <c r="A652" s="56"/>
      <c r="B652" s="56"/>
      <c r="C652" s="56"/>
      <c r="D652" s="56"/>
      <c r="E652" s="56"/>
      <c r="F652" s="36"/>
      <c r="G652" s="36"/>
      <c r="H652" s="3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</row>
    <row r="653" ht="15.75" customHeight="1">
      <c r="A653" s="56"/>
      <c r="B653" s="56"/>
      <c r="C653" s="56"/>
      <c r="D653" s="56"/>
      <c r="E653" s="56"/>
      <c r="F653" s="36"/>
      <c r="G653" s="36"/>
      <c r="H653" s="3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</row>
    <row r="654" ht="15.75" customHeight="1">
      <c r="A654" s="56"/>
      <c r="B654" s="56"/>
      <c r="C654" s="56"/>
      <c r="D654" s="56"/>
      <c r="E654" s="56"/>
      <c r="F654" s="36"/>
      <c r="G654" s="36"/>
      <c r="H654" s="3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</row>
    <row r="655" ht="15.75" customHeight="1">
      <c r="A655" s="56"/>
      <c r="B655" s="56"/>
      <c r="C655" s="56"/>
      <c r="D655" s="56"/>
      <c r="E655" s="56"/>
      <c r="F655" s="36"/>
      <c r="G655" s="36"/>
      <c r="H655" s="3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</row>
    <row r="656" ht="15.75" customHeight="1">
      <c r="A656" s="56"/>
      <c r="B656" s="56"/>
      <c r="C656" s="56"/>
      <c r="D656" s="56"/>
      <c r="E656" s="56"/>
      <c r="F656" s="36"/>
      <c r="G656" s="36"/>
      <c r="H656" s="3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</row>
    <row r="657" ht="15.75" customHeight="1">
      <c r="A657" s="56"/>
      <c r="B657" s="56"/>
      <c r="C657" s="56"/>
      <c r="D657" s="56"/>
      <c r="E657" s="56"/>
      <c r="F657" s="36"/>
      <c r="G657" s="36"/>
      <c r="H657" s="3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</row>
    <row r="658" ht="15.75" customHeight="1">
      <c r="A658" s="56"/>
      <c r="B658" s="56"/>
      <c r="C658" s="56"/>
      <c r="D658" s="56"/>
      <c r="E658" s="56"/>
      <c r="F658" s="36"/>
      <c r="G658" s="36"/>
      <c r="H658" s="3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</row>
    <row r="659" ht="15.75" customHeight="1">
      <c r="A659" s="56"/>
      <c r="B659" s="56"/>
      <c r="C659" s="56"/>
      <c r="D659" s="56"/>
      <c r="E659" s="56"/>
      <c r="F659" s="36"/>
      <c r="G659" s="36"/>
      <c r="H659" s="3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</row>
    <row r="660" ht="15.75" customHeight="1">
      <c r="A660" s="56"/>
      <c r="B660" s="56"/>
      <c r="C660" s="56"/>
      <c r="D660" s="56"/>
      <c r="E660" s="56"/>
      <c r="F660" s="36"/>
      <c r="G660" s="36"/>
      <c r="H660" s="3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</row>
    <row r="661" ht="15.75" customHeight="1">
      <c r="A661" s="56"/>
      <c r="B661" s="56"/>
      <c r="C661" s="56"/>
      <c r="D661" s="56"/>
      <c r="E661" s="56"/>
      <c r="F661" s="36"/>
      <c r="G661" s="36"/>
      <c r="H661" s="3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</row>
    <row r="662" ht="15.75" customHeight="1">
      <c r="A662" s="56"/>
      <c r="B662" s="56"/>
      <c r="C662" s="56"/>
      <c r="D662" s="56"/>
      <c r="E662" s="56"/>
      <c r="F662" s="36"/>
      <c r="G662" s="36"/>
      <c r="H662" s="3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</row>
    <row r="663" ht="15.75" customHeight="1">
      <c r="A663" s="56"/>
      <c r="B663" s="56"/>
      <c r="C663" s="56"/>
      <c r="D663" s="56"/>
      <c r="E663" s="56"/>
      <c r="F663" s="36"/>
      <c r="G663" s="36"/>
      <c r="H663" s="3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</row>
    <row r="664" ht="15.75" customHeight="1">
      <c r="A664" s="56"/>
      <c r="B664" s="56"/>
      <c r="C664" s="56"/>
      <c r="D664" s="56"/>
      <c r="E664" s="56"/>
      <c r="F664" s="36"/>
      <c r="G664" s="36"/>
      <c r="H664" s="3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</row>
    <row r="665" ht="15.75" customHeight="1">
      <c r="A665" s="56"/>
      <c r="B665" s="56"/>
      <c r="C665" s="56"/>
      <c r="D665" s="56"/>
      <c r="E665" s="56"/>
      <c r="F665" s="36"/>
      <c r="G665" s="36"/>
      <c r="H665" s="3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</row>
    <row r="666" ht="15.75" customHeight="1">
      <c r="A666" s="56"/>
      <c r="B666" s="56"/>
      <c r="C666" s="56"/>
      <c r="D666" s="56"/>
      <c r="E666" s="56"/>
      <c r="F666" s="36"/>
      <c r="G666" s="36"/>
      <c r="H666" s="3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</row>
    <row r="667" ht="15.75" customHeight="1">
      <c r="A667" s="56"/>
      <c r="B667" s="56"/>
      <c r="C667" s="56"/>
      <c r="D667" s="56"/>
      <c r="E667" s="56"/>
      <c r="F667" s="36"/>
      <c r="G667" s="36"/>
      <c r="H667" s="3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</row>
    <row r="668" ht="15.75" customHeight="1">
      <c r="A668" s="56"/>
      <c r="B668" s="56"/>
      <c r="C668" s="56"/>
      <c r="D668" s="56"/>
      <c r="E668" s="56"/>
      <c r="F668" s="36"/>
      <c r="G668" s="36"/>
      <c r="H668" s="3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</row>
    <row r="669" ht="15.75" customHeight="1">
      <c r="A669" s="56"/>
      <c r="B669" s="56"/>
      <c r="C669" s="56"/>
      <c r="D669" s="56"/>
      <c r="E669" s="56"/>
      <c r="F669" s="36"/>
      <c r="G669" s="36"/>
      <c r="H669" s="3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</row>
    <row r="670" ht="15.75" customHeight="1">
      <c r="A670" s="56"/>
      <c r="B670" s="56"/>
      <c r="C670" s="56"/>
      <c r="D670" s="56"/>
      <c r="E670" s="56"/>
      <c r="F670" s="36"/>
      <c r="G670" s="36"/>
      <c r="H670" s="3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</row>
    <row r="671" ht="15.75" customHeight="1">
      <c r="A671" s="56"/>
      <c r="B671" s="56"/>
      <c r="C671" s="56"/>
      <c r="D671" s="56"/>
      <c r="E671" s="56"/>
      <c r="F671" s="36"/>
      <c r="G671" s="36"/>
      <c r="H671" s="3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</row>
    <row r="672" ht="15.75" customHeight="1">
      <c r="A672" s="56"/>
      <c r="B672" s="56"/>
      <c r="C672" s="56"/>
      <c r="D672" s="56"/>
      <c r="E672" s="56"/>
      <c r="F672" s="36"/>
      <c r="G672" s="36"/>
      <c r="H672" s="3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</row>
    <row r="673" ht="15.75" customHeight="1">
      <c r="A673" s="56"/>
      <c r="B673" s="56"/>
      <c r="C673" s="56"/>
      <c r="D673" s="56"/>
      <c r="E673" s="56"/>
      <c r="F673" s="36"/>
      <c r="G673" s="36"/>
      <c r="H673" s="3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</row>
    <row r="674" ht="15.75" customHeight="1">
      <c r="A674" s="56"/>
      <c r="B674" s="56"/>
      <c r="C674" s="56"/>
      <c r="D674" s="56"/>
      <c r="E674" s="56"/>
      <c r="F674" s="36"/>
      <c r="G674" s="36"/>
      <c r="H674" s="3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</row>
    <row r="675" ht="15.75" customHeight="1">
      <c r="A675" s="56"/>
      <c r="B675" s="56"/>
      <c r="C675" s="56"/>
      <c r="D675" s="56"/>
      <c r="E675" s="56"/>
      <c r="F675" s="36"/>
      <c r="G675" s="36"/>
      <c r="H675" s="3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</row>
    <row r="676" ht="15.75" customHeight="1">
      <c r="A676" s="56"/>
      <c r="B676" s="56"/>
      <c r="C676" s="56"/>
      <c r="D676" s="56"/>
      <c r="E676" s="56"/>
      <c r="F676" s="36"/>
      <c r="G676" s="36"/>
      <c r="H676" s="3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</row>
    <row r="677" ht="15.75" customHeight="1">
      <c r="A677" s="56"/>
      <c r="B677" s="56"/>
      <c r="C677" s="56"/>
      <c r="D677" s="56"/>
      <c r="E677" s="56"/>
      <c r="F677" s="36"/>
      <c r="G677" s="36"/>
      <c r="H677" s="3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</row>
    <row r="678" ht="15.75" customHeight="1">
      <c r="A678" s="56"/>
      <c r="B678" s="56"/>
      <c r="C678" s="56"/>
      <c r="D678" s="56"/>
      <c r="E678" s="56"/>
      <c r="F678" s="36"/>
      <c r="G678" s="36"/>
      <c r="H678" s="3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</row>
    <row r="679" ht="15.75" customHeight="1">
      <c r="A679" s="56"/>
      <c r="B679" s="56"/>
      <c r="C679" s="56"/>
      <c r="D679" s="56"/>
      <c r="E679" s="56"/>
      <c r="F679" s="36"/>
      <c r="G679" s="36"/>
      <c r="H679" s="3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</row>
    <row r="680" ht="15.75" customHeight="1">
      <c r="A680" s="56"/>
      <c r="B680" s="56"/>
      <c r="C680" s="56"/>
      <c r="D680" s="56"/>
      <c r="E680" s="56"/>
      <c r="F680" s="36"/>
      <c r="G680" s="36"/>
      <c r="H680" s="3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</row>
    <row r="681" ht="15.75" customHeight="1">
      <c r="A681" s="56"/>
      <c r="B681" s="56"/>
      <c r="C681" s="56"/>
      <c r="D681" s="56"/>
      <c r="E681" s="56"/>
      <c r="F681" s="36"/>
      <c r="G681" s="36"/>
      <c r="H681" s="3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</row>
    <row r="682" ht="15.75" customHeight="1">
      <c r="A682" s="56"/>
      <c r="B682" s="56"/>
      <c r="C682" s="56"/>
      <c r="D682" s="56"/>
      <c r="E682" s="56"/>
      <c r="F682" s="36"/>
      <c r="G682" s="36"/>
      <c r="H682" s="3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</row>
    <row r="683" ht="15.75" customHeight="1">
      <c r="A683" s="56"/>
      <c r="B683" s="56"/>
      <c r="C683" s="56"/>
      <c r="D683" s="56"/>
      <c r="E683" s="56"/>
      <c r="F683" s="36"/>
      <c r="G683" s="36"/>
      <c r="H683" s="3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</row>
    <row r="684" ht="15.75" customHeight="1">
      <c r="A684" s="56"/>
      <c r="B684" s="56"/>
      <c r="C684" s="56"/>
      <c r="D684" s="56"/>
      <c r="E684" s="56"/>
      <c r="F684" s="36"/>
      <c r="G684" s="36"/>
      <c r="H684" s="3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</row>
    <row r="685" ht="15.75" customHeight="1">
      <c r="A685" s="56"/>
      <c r="B685" s="56"/>
      <c r="C685" s="56"/>
      <c r="D685" s="56"/>
      <c r="E685" s="56"/>
      <c r="F685" s="36"/>
      <c r="G685" s="36"/>
      <c r="H685" s="3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</row>
    <row r="686" ht="15.75" customHeight="1">
      <c r="A686" s="56"/>
      <c r="B686" s="56"/>
      <c r="C686" s="56"/>
      <c r="D686" s="56"/>
      <c r="E686" s="56"/>
      <c r="F686" s="36"/>
      <c r="G686" s="36"/>
      <c r="H686" s="3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</row>
    <row r="687" ht="15.75" customHeight="1">
      <c r="A687" s="56"/>
      <c r="B687" s="56"/>
      <c r="C687" s="56"/>
      <c r="D687" s="56"/>
      <c r="E687" s="56"/>
      <c r="F687" s="36"/>
      <c r="G687" s="36"/>
      <c r="H687" s="3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</row>
    <row r="688" ht="15.75" customHeight="1">
      <c r="A688" s="56"/>
      <c r="B688" s="56"/>
      <c r="C688" s="56"/>
      <c r="D688" s="56"/>
      <c r="E688" s="56"/>
      <c r="F688" s="36"/>
      <c r="G688" s="36"/>
      <c r="H688" s="3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</row>
    <row r="689" ht="15.75" customHeight="1">
      <c r="A689" s="56"/>
      <c r="B689" s="56"/>
      <c r="C689" s="56"/>
      <c r="D689" s="56"/>
      <c r="E689" s="56"/>
      <c r="F689" s="36"/>
      <c r="G689" s="36"/>
      <c r="H689" s="3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</row>
    <row r="690" ht="15.75" customHeight="1">
      <c r="A690" s="56"/>
      <c r="B690" s="56"/>
      <c r="C690" s="56"/>
      <c r="D690" s="56"/>
      <c r="E690" s="56"/>
      <c r="F690" s="36"/>
      <c r="G690" s="36"/>
      <c r="H690" s="3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</row>
    <row r="691" ht="15.75" customHeight="1">
      <c r="A691" s="56"/>
      <c r="B691" s="56"/>
      <c r="C691" s="56"/>
      <c r="D691" s="56"/>
      <c r="E691" s="56"/>
      <c r="F691" s="36"/>
      <c r="G691" s="36"/>
      <c r="H691" s="3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</row>
    <row r="692" ht="15.75" customHeight="1">
      <c r="A692" s="56"/>
      <c r="B692" s="56"/>
      <c r="C692" s="56"/>
      <c r="D692" s="56"/>
      <c r="E692" s="56"/>
      <c r="F692" s="36"/>
      <c r="G692" s="36"/>
      <c r="H692" s="3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</row>
    <row r="693" ht="15.75" customHeight="1">
      <c r="A693" s="56"/>
      <c r="B693" s="56"/>
      <c r="C693" s="56"/>
      <c r="D693" s="56"/>
      <c r="E693" s="56"/>
      <c r="F693" s="36"/>
      <c r="G693" s="36"/>
      <c r="H693" s="3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</row>
    <row r="694" ht="15.75" customHeight="1">
      <c r="A694" s="56"/>
      <c r="B694" s="56"/>
      <c r="C694" s="56"/>
      <c r="D694" s="56"/>
      <c r="E694" s="56"/>
      <c r="F694" s="36"/>
      <c r="G694" s="36"/>
      <c r="H694" s="3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</row>
    <row r="695" ht="15.75" customHeight="1">
      <c r="A695" s="56"/>
      <c r="B695" s="56"/>
      <c r="C695" s="56"/>
      <c r="D695" s="56"/>
      <c r="E695" s="56"/>
      <c r="F695" s="36"/>
      <c r="G695" s="36"/>
      <c r="H695" s="3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</row>
    <row r="696" ht="15.75" customHeight="1">
      <c r="A696" s="56"/>
      <c r="B696" s="56"/>
      <c r="C696" s="56"/>
      <c r="D696" s="56"/>
      <c r="E696" s="56"/>
      <c r="F696" s="36"/>
      <c r="G696" s="36"/>
      <c r="H696" s="3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</row>
    <row r="697" ht="15.75" customHeight="1">
      <c r="A697" s="56"/>
      <c r="B697" s="56"/>
      <c r="C697" s="56"/>
      <c r="D697" s="56"/>
      <c r="E697" s="56"/>
      <c r="F697" s="36"/>
      <c r="G697" s="36"/>
      <c r="H697" s="3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</row>
    <row r="698" ht="15.75" customHeight="1">
      <c r="A698" s="56"/>
      <c r="B698" s="56"/>
      <c r="C698" s="56"/>
      <c r="D698" s="56"/>
      <c r="E698" s="56"/>
      <c r="F698" s="36"/>
      <c r="G698" s="36"/>
      <c r="H698" s="3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</row>
    <row r="699" ht="15.75" customHeight="1">
      <c r="A699" s="56"/>
      <c r="B699" s="56"/>
      <c r="C699" s="56"/>
      <c r="D699" s="56"/>
      <c r="E699" s="56"/>
      <c r="F699" s="36"/>
      <c r="G699" s="36"/>
      <c r="H699" s="3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</row>
    <row r="700" ht="15.75" customHeight="1">
      <c r="A700" s="56"/>
      <c r="B700" s="56"/>
      <c r="C700" s="56"/>
      <c r="D700" s="56"/>
      <c r="E700" s="56"/>
      <c r="F700" s="36"/>
      <c r="G700" s="36"/>
      <c r="H700" s="3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</row>
    <row r="701" ht="15.75" customHeight="1">
      <c r="A701" s="56"/>
      <c r="B701" s="56"/>
      <c r="C701" s="56"/>
      <c r="D701" s="56"/>
      <c r="E701" s="56"/>
      <c r="F701" s="36"/>
      <c r="G701" s="36"/>
      <c r="H701" s="3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</row>
    <row r="702" ht="15.75" customHeight="1">
      <c r="A702" s="56"/>
      <c r="B702" s="56"/>
      <c r="C702" s="56"/>
      <c r="D702" s="56"/>
      <c r="E702" s="56"/>
      <c r="F702" s="36"/>
      <c r="G702" s="36"/>
      <c r="H702" s="3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</row>
    <row r="703" ht="15.75" customHeight="1">
      <c r="A703" s="56"/>
      <c r="B703" s="56"/>
      <c r="C703" s="56"/>
      <c r="D703" s="56"/>
      <c r="E703" s="56"/>
      <c r="F703" s="36"/>
      <c r="G703" s="36"/>
      <c r="H703" s="3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</row>
    <row r="704" ht="15.75" customHeight="1">
      <c r="A704" s="56"/>
      <c r="B704" s="56"/>
      <c r="C704" s="56"/>
      <c r="D704" s="56"/>
      <c r="E704" s="56"/>
      <c r="F704" s="36"/>
      <c r="G704" s="36"/>
      <c r="H704" s="3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</row>
    <row r="705" ht="15.75" customHeight="1">
      <c r="A705" s="56"/>
      <c r="B705" s="56"/>
      <c r="C705" s="56"/>
      <c r="D705" s="56"/>
      <c r="E705" s="56"/>
      <c r="F705" s="36"/>
      <c r="G705" s="36"/>
      <c r="H705" s="3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</row>
    <row r="706" ht="15.75" customHeight="1">
      <c r="A706" s="56"/>
      <c r="B706" s="56"/>
      <c r="C706" s="56"/>
      <c r="D706" s="56"/>
      <c r="E706" s="56"/>
      <c r="F706" s="36"/>
      <c r="G706" s="36"/>
      <c r="H706" s="3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</row>
    <row r="707" ht="15.75" customHeight="1">
      <c r="A707" s="56"/>
      <c r="B707" s="56"/>
      <c r="C707" s="56"/>
      <c r="D707" s="56"/>
      <c r="E707" s="56"/>
      <c r="F707" s="36"/>
      <c r="G707" s="36"/>
      <c r="H707" s="3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</row>
    <row r="708" ht="15.75" customHeight="1">
      <c r="A708" s="56"/>
      <c r="B708" s="56"/>
      <c r="C708" s="56"/>
      <c r="D708" s="56"/>
      <c r="E708" s="56"/>
      <c r="F708" s="36"/>
      <c r="G708" s="36"/>
      <c r="H708" s="3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</row>
    <row r="709" ht="15.75" customHeight="1">
      <c r="A709" s="56"/>
      <c r="B709" s="56"/>
      <c r="C709" s="56"/>
      <c r="D709" s="56"/>
      <c r="E709" s="56"/>
      <c r="F709" s="36"/>
      <c r="G709" s="36"/>
      <c r="H709" s="3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</row>
    <row r="710" ht="15.75" customHeight="1">
      <c r="A710" s="56"/>
      <c r="B710" s="56"/>
      <c r="C710" s="56"/>
      <c r="D710" s="56"/>
      <c r="E710" s="56"/>
      <c r="F710" s="36"/>
      <c r="G710" s="36"/>
      <c r="H710" s="3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</row>
    <row r="711" ht="15.75" customHeight="1">
      <c r="A711" s="56"/>
      <c r="B711" s="56"/>
      <c r="C711" s="56"/>
      <c r="D711" s="56"/>
      <c r="E711" s="56"/>
      <c r="F711" s="36"/>
      <c r="G711" s="36"/>
      <c r="H711" s="3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</row>
    <row r="712" ht="15.75" customHeight="1">
      <c r="A712" s="56"/>
      <c r="B712" s="56"/>
      <c r="C712" s="56"/>
      <c r="D712" s="56"/>
      <c r="E712" s="56"/>
      <c r="F712" s="36"/>
      <c r="G712" s="36"/>
      <c r="H712" s="3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</row>
    <row r="713" ht="15.75" customHeight="1">
      <c r="A713" s="56"/>
      <c r="B713" s="56"/>
      <c r="C713" s="56"/>
      <c r="D713" s="56"/>
      <c r="E713" s="56"/>
      <c r="F713" s="36"/>
      <c r="G713" s="36"/>
      <c r="H713" s="3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</row>
    <row r="714" ht="15.75" customHeight="1">
      <c r="A714" s="56"/>
      <c r="B714" s="56"/>
      <c r="C714" s="56"/>
      <c r="D714" s="56"/>
      <c r="E714" s="56"/>
      <c r="F714" s="36"/>
      <c r="G714" s="36"/>
      <c r="H714" s="3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</row>
    <row r="715" ht="15.75" customHeight="1">
      <c r="A715" s="56"/>
      <c r="B715" s="56"/>
      <c r="C715" s="56"/>
      <c r="D715" s="56"/>
      <c r="E715" s="56"/>
      <c r="F715" s="36"/>
      <c r="G715" s="36"/>
      <c r="H715" s="3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</row>
    <row r="716" ht="15.75" customHeight="1">
      <c r="A716" s="56"/>
      <c r="B716" s="56"/>
      <c r="C716" s="56"/>
      <c r="D716" s="56"/>
      <c r="E716" s="56"/>
      <c r="F716" s="36"/>
      <c r="G716" s="36"/>
      <c r="H716" s="3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</row>
    <row r="717" ht="15.75" customHeight="1">
      <c r="A717" s="56"/>
      <c r="B717" s="56"/>
      <c r="C717" s="56"/>
      <c r="D717" s="56"/>
      <c r="E717" s="56"/>
      <c r="F717" s="36"/>
      <c r="G717" s="36"/>
      <c r="H717" s="3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</row>
    <row r="718" ht="15.75" customHeight="1">
      <c r="A718" s="56"/>
      <c r="B718" s="56"/>
      <c r="C718" s="56"/>
      <c r="D718" s="56"/>
      <c r="E718" s="56"/>
      <c r="F718" s="36"/>
      <c r="G718" s="36"/>
      <c r="H718" s="3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</row>
    <row r="719" ht="15.75" customHeight="1">
      <c r="A719" s="56"/>
      <c r="B719" s="56"/>
      <c r="C719" s="56"/>
      <c r="D719" s="56"/>
      <c r="E719" s="56"/>
      <c r="F719" s="36"/>
      <c r="G719" s="36"/>
      <c r="H719" s="3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</row>
    <row r="720" ht="15.75" customHeight="1">
      <c r="A720" s="56"/>
      <c r="B720" s="56"/>
      <c r="C720" s="56"/>
      <c r="D720" s="56"/>
      <c r="E720" s="56"/>
      <c r="F720" s="36"/>
      <c r="G720" s="36"/>
      <c r="H720" s="3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</row>
    <row r="721" ht="15.75" customHeight="1">
      <c r="A721" s="56"/>
      <c r="B721" s="56"/>
      <c r="C721" s="56"/>
      <c r="D721" s="56"/>
      <c r="E721" s="56"/>
      <c r="F721" s="36"/>
      <c r="G721" s="36"/>
      <c r="H721" s="3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</row>
    <row r="722" ht="15.75" customHeight="1">
      <c r="A722" s="56"/>
      <c r="B722" s="56"/>
      <c r="C722" s="56"/>
      <c r="D722" s="56"/>
      <c r="E722" s="56"/>
      <c r="F722" s="36"/>
      <c r="G722" s="36"/>
      <c r="H722" s="3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</row>
    <row r="723" ht="15.75" customHeight="1">
      <c r="A723" s="56"/>
      <c r="B723" s="56"/>
      <c r="C723" s="56"/>
      <c r="D723" s="56"/>
      <c r="E723" s="56"/>
      <c r="F723" s="36"/>
      <c r="G723" s="36"/>
      <c r="H723" s="3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</row>
    <row r="724" ht="15.75" customHeight="1">
      <c r="A724" s="56"/>
      <c r="B724" s="56"/>
      <c r="C724" s="56"/>
      <c r="D724" s="56"/>
      <c r="E724" s="56"/>
      <c r="F724" s="36"/>
      <c r="G724" s="36"/>
      <c r="H724" s="3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</row>
    <row r="725" ht="15.75" customHeight="1">
      <c r="A725" s="56"/>
      <c r="B725" s="56"/>
      <c r="C725" s="56"/>
      <c r="D725" s="56"/>
      <c r="E725" s="56"/>
      <c r="F725" s="36"/>
      <c r="G725" s="36"/>
      <c r="H725" s="3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</row>
    <row r="726" ht="15.75" customHeight="1">
      <c r="A726" s="56"/>
      <c r="B726" s="56"/>
      <c r="C726" s="56"/>
      <c r="D726" s="56"/>
      <c r="E726" s="56"/>
      <c r="F726" s="36"/>
      <c r="G726" s="36"/>
      <c r="H726" s="3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</row>
    <row r="727" ht="15.75" customHeight="1">
      <c r="A727" s="56"/>
      <c r="B727" s="56"/>
      <c r="C727" s="56"/>
      <c r="D727" s="56"/>
      <c r="E727" s="56"/>
      <c r="F727" s="36"/>
      <c r="G727" s="36"/>
      <c r="H727" s="3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</row>
    <row r="728" ht="15.75" customHeight="1">
      <c r="A728" s="56"/>
      <c r="B728" s="56"/>
      <c r="C728" s="56"/>
      <c r="D728" s="56"/>
      <c r="E728" s="56"/>
      <c r="F728" s="36"/>
      <c r="G728" s="36"/>
      <c r="H728" s="3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</row>
    <row r="729" ht="15.75" customHeight="1">
      <c r="A729" s="56"/>
      <c r="B729" s="56"/>
      <c r="C729" s="56"/>
      <c r="D729" s="56"/>
      <c r="E729" s="56"/>
      <c r="F729" s="36"/>
      <c r="G729" s="36"/>
      <c r="H729" s="3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</row>
    <row r="730" ht="15.75" customHeight="1">
      <c r="A730" s="56"/>
      <c r="B730" s="56"/>
      <c r="C730" s="56"/>
      <c r="D730" s="56"/>
      <c r="E730" s="56"/>
      <c r="F730" s="36"/>
      <c r="G730" s="36"/>
      <c r="H730" s="3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</row>
    <row r="731" ht="15.75" customHeight="1">
      <c r="A731" s="56"/>
      <c r="B731" s="56"/>
      <c r="C731" s="56"/>
      <c r="D731" s="56"/>
      <c r="E731" s="56"/>
      <c r="F731" s="36"/>
      <c r="G731" s="36"/>
      <c r="H731" s="3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</row>
    <row r="732" ht="15.75" customHeight="1">
      <c r="A732" s="56"/>
      <c r="B732" s="56"/>
      <c r="C732" s="56"/>
      <c r="D732" s="56"/>
      <c r="E732" s="56"/>
      <c r="F732" s="36"/>
      <c r="G732" s="36"/>
      <c r="H732" s="3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</row>
    <row r="733" ht="15.75" customHeight="1">
      <c r="A733" s="56"/>
      <c r="B733" s="56"/>
      <c r="C733" s="56"/>
      <c r="D733" s="56"/>
      <c r="E733" s="56"/>
      <c r="F733" s="36"/>
      <c r="G733" s="36"/>
      <c r="H733" s="3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</row>
    <row r="734" ht="15.75" customHeight="1">
      <c r="A734" s="56"/>
      <c r="B734" s="56"/>
      <c r="C734" s="56"/>
      <c r="D734" s="56"/>
      <c r="E734" s="56"/>
      <c r="F734" s="36"/>
      <c r="G734" s="36"/>
      <c r="H734" s="3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</row>
    <row r="735" ht="15.75" customHeight="1">
      <c r="A735" s="56"/>
      <c r="B735" s="56"/>
      <c r="C735" s="56"/>
      <c r="D735" s="56"/>
      <c r="E735" s="56"/>
      <c r="F735" s="36"/>
      <c r="G735" s="36"/>
      <c r="H735" s="3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</row>
    <row r="736" ht="15.75" customHeight="1">
      <c r="A736" s="56"/>
      <c r="B736" s="56"/>
      <c r="C736" s="56"/>
      <c r="D736" s="56"/>
      <c r="E736" s="56"/>
      <c r="F736" s="36"/>
      <c r="G736" s="36"/>
      <c r="H736" s="3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</row>
    <row r="737" ht="15.75" customHeight="1">
      <c r="A737" s="56"/>
      <c r="B737" s="56"/>
      <c r="C737" s="56"/>
      <c r="D737" s="56"/>
      <c r="E737" s="56"/>
      <c r="F737" s="36"/>
      <c r="G737" s="36"/>
      <c r="H737" s="3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</row>
    <row r="738" ht="15.75" customHeight="1">
      <c r="A738" s="56"/>
      <c r="B738" s="56"/>
      <c r="C738" s="56"/>
      <c r="D738" s="56"/>
      <c r="E738" s="56"/>
      <c r="F738" s="36"/>
      <c r="G738" s="36"/>
      <c r="H738" s="3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</row>
    <row r="739" ht="15.75" customHeight="1">
      <c r="A739" s="56"/>
      <c r="B739" s="56"/>
      <c r="C739" s="56"/>
      <c r="D739" s="56"/>
      <c r="E739" s="56"/>
      <c r="F739" s="36"/>
      <c r="G739" s="36"/>
      <c r="H739" s="3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</row>
    <row r="740" ht="15.75" customHeight="1">
      <c r="A740" s="56"/>
      <c r="B740" s="56"/>
      <c r="C740" s="56"/>
      <c r="D740" s="56"/>
      <c r="E740" s="56"/>
      <c r="F740" s="36"/>
      <c r="G740" s="36"/>
      <c r="H740" s="3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</row>
    <row r="741" ht="15.75" customHeight="1">
      <c r="A741" s="56"/>
      <c r="B741" s="56"/>
      <c r="C741" s="56"/>
      <c r="D741" s="56"/>
      <c r="E741" s="56"/>
      <c r="F741" s="36"/>
      <c r="G741" s="36"/>
      <c r="H741" s="3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</row>
    <row r="742" ht="15.75" customHeight="1">
      <c r="A742" s="56"/>
      <c r="B742" s="56"/>
      <c r="C742" s="56"/>
      <c r="D742" s="56"/>
      <c r="E742" s="56"/>
      <c r="F742" s="36"/>
      <c r="G742" s="36"/>
      <c r="H742" s="3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</row>
    <row r="743" ht="15.75" customHeight="1">
      <c r="A743" s="56"/>
      <c r="B743" s="56"/>
      <c r="C743" s="56"/>
      <c r="D743" s="56"/>
      <c r="E743" s="56"/>
      <c r="F743" s="36"/>
      <c r="G743" s="36"/>
      <c r="H743" s="3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</row>
    <row r="744" ht="15.75" customHeight="1">
      <c r="A744" s="56"/>
      <c r="B744" s="56"/>
      <c r="C744" s="56"/>
      <c r="D744" s="56"/>
      <c r="E744" s="56"/>
      <c r="F744" s="36"/>
      <c r="G744" s="36"/>
      <c r="H744" s="3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</row>
    <row r="745" ht="15.75" customHeight="1">
      <c r="A745" s="56"/>
      <c r="B745" s="56"/>
      <c r="C745" s="56"/>
      <c r="D745" s="56"/>
      <c r="E745" s="56"/>
      <c r="F745" s="36"/>
      <c r="G745" s="36"/>
      <c r="H745" s="3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</row>
    <row r="746" ht="15.75" customHeight="1">
      <c r="A746" s="56"/>
      <c r="B746" s="56"/>
      <c r="C746" s="56"/>
      <c r="D746" s="56"/>
      <c r="E746" s="56"/>
      <c r="F746" s="36"/>
      <c r="G746" s="36"/>
      <c r="H746" s="3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</row>
    <row r="747" ht="15.75" customHeight="1">
      <c r="A747" s="56"/>
      <c r="B747" s="56"/>
      <c r="C747" s="56"/>
      <c r="D747" s="56"/>
      <c r="E747" s="56"/>
      <c r="F747" s="36"/>
      <c r="G747" s="36"/>
      <c r="H747" s="3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</row>
    <row r="748" ht="15.75" customHeight="1">
      <c r="A748" s="56"/>
      <c r="B748" s="56"/>
      <c r="C748" s="56"/>
      <c r="D748" s="56"/>
      <c r="E748" s="56"/>
      <c r="F748" s="36"/>
      <c r="G748" s="36"/>
      <c r="H748" s="3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</row>
    <row r="749" ht="15.75" customHeight="1">
      <c r="A749" s="56"/>
      <c r="B749" s="56"/>
      <c r="C749" s="56"/>
      <c r="D749" s="56"/>
      <c r="E749" s="56"/>
      <c r="F749" s="36"/>
      <c r="G749" s="36"/>
      <c r="H749" s="3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</row>
    <row r="750" ht="15.75" customHeight="1">
      <c r="A750" s="56"/>
      <c r="B750" s="56"/>
      <c r="C750" s="56"/>
      <c r="D750" s="56"/>
      <c r="E750" s="56"/>
      <c r="F750" s="36"/>
      <c r="G750" s="36"/>
      <c r="H750" s="3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</row>
    <row r="751" ht="15.75" customHeight="1">
      <c r="A751" s="56"/>
      <c r="B751" s="56"/>
      <c r="C751" s="56"/>
      <c r="D751" s="56"/>
      <c r="E751" s="56"/>
      <c r="F751" s="36"/>
      <c r="G751" s="36"/>
      <c r="H751" s="3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</row>
    <row r="752" ht="15.75" customHeight="1">
      <c r="A752" s="56"/>
      <c r="B752" s="56"/>
      <c r="C752" s="56"/>
      <c r="D752" s="56"/>
      <c r="E752" s="56"/>
      <c r="F752" s="36"/>
      <c r="G752" s="36"/>
      <c r="H752" s="3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</row>
    <row r="753" ht="15.75" customHeight="1">
      <c r="A753" s="56"/>
      <c r="B753" s="56"/>
      <c r="C753" s="56"/>
      <c r="D753" s="56"/>
      <c r="E753" s="56"/>
      <c r="F753" s="36"/>
      <c r="G753" s="36"/>
      <c r="H753" s="3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</row>
    <row r="754" ht="15.75" customHeight="1">
      <c r="A754" s="56"/>
      <c r="B754" s="56"/>
      <c r="C754" s="56"/>
      <c r="D754" s="56"/>
      <c r="E754" s="56"/>
      <c r="F754" s="36"/>
      <c r="G754" s="36"/>
      <c r="H754" s="3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</row>
    <row r="755" ht="15.75" customHeight="1">
      <c r="A755" s="56"/>
      <c r="B755" s="56"/>
      <c r="C755" s="56"/>
      <c r="D755" s="56"/>
      <c r="E755" s="56"/>
      <c r="F755" s="36"/>
      <c r="G755" s="36"/>
      <c r="H755" s="3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</row>
    <row r="756" ht="15.75" customHeight="1">
      <c r="A756" s="56"/>
      <c r="B756" s="56"/>
      <c r="C756" s="56"/>
      <c r="D756" s="56"/>
      <c r="E756" s="56"/>
      <c r="F756" s="36"/>
      <c r="G756" s="36"/>
      <c r="H756" s="3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</row>
    <row r="757" ht="15.75" customHeight="1">
      <c r="A757" s="56"/>
      <c r="B757" s="56"/>
      <c r="C757" s="56"/>
      <c r="D757" s="56"/>
      <c r="E757" s="56"/>
      <c r="F757" s="36"/>
      <c r="G757" s="36"/>
      <c r="H757" s="3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</row>
    <row r="758" ht="15.75" customHeight="1">
      <c r="A758" s="56"/>
      <c r="B758" s="56"/>
      <c r="C758" s="56"/>
      <c r="D758" s="56"/>
      <c r="E758" s="56"/>
      <c r="F758" s="36"/>
      <c r="G758" s="36"/>
      <c r="H758" s="3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</row>
    <row r="759" ht="15.75" customHeight="1">
      <c r="A759" s="56"/>
      <c r="B759" s="56"/>
      <c r="C759" s="56"/>
      <c r="D759" s="56"/>
      <c r="E759" s="56"/>
      <c r="F759" s="36"/>
      <c r="G759" s="36"/>
      <c r="H759" s="3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</row>
    <row r="760" ht="15.75" customHeight="1">
      <c r="A760" s="56"/>
      <c r="B760" s="56"/>
      <c r="C760" s="56"/>
      <c r="D760" s="56"/>
      <c r="E760" s="56"/>
      <c r="F760" s="36"/>
      <c r="G760" s="36"/>
      <c r="H760" s="3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</row>
    <row r="761" ht="15.75" customHeight="1">
      <c r="A761" s="56"/>
      <c r="B761" s="56"/>
      <c r="C761" s="56"/>
      <c r="D761" s="56"/>
      <c r="E761" s="56"/>
      <c r="F761" s="36"/>
      <c r="G761" s="36"/>
      <c r="H761" s="3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</row>
    <row r="762" ht="15.75" customHeight="1">
      <c r="A762" s="56"/>
      <c r="B762" s="56"/>
      <c r="C762" s="56"/>
      <c r="D762" s="56"/>
      <c r="E762" s="56"/>
      <c r="F762" s="36"/>
      <c r="G762" s="36"/>
      <c r="H762" s="3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</row>
    <row r="763" ht="15.75" customHeight="1">
      <c r="A763" s="56"/>
      <c r="B763" s="56"/>
      <c r="C763" s="56"/>
      <c r="D763" s="56"/>
      <c r="E763" s="56"/>
      <c r="F763" s="36"/>
      <c r="G763" s="36"/>
      <c r="H763" s="3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</row>
    <row r="764" ht="15.75" customHeight="1">
      <c r="A764" s="56"/>
      <c r="B764" s="56"/>
      <c r="C764" s="56"/>
      <c r="D764" s="56"/>
      <c r="E764" s="56"/>
      <c r="F764" s="36"/>
      <c r="G764" s="36"/>
      <c r="H764" s="3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</row>
    <row r="765" ht="15.75" customHeight="1">
      <c r="A765" s="56"/>
      <c r="B765" s="56"/>
      <c r="C765" s="56"/>
      <c r="D765" s="56"/>
      <c r="E765" s="56"/>
      <c r="F765" s="36"/>
      <c r="G765" s="36"/>
      <c r="H765" s="3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</row>
    <row r="766" ht="15.75" customHeight="1">
      <c r="A766" s="56"/>
      <c r="B766" s="56"/>
      <c r="C766" s="56"/>
      <c r="D766" s="56"/>
      <c r="E766" s="56"/>
      <c r="F766" s="36"/>
      <c r="G766" s="36"/>
      <c r="H766" s="3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</row>
    <row r="767" ht="15.75" customHeight="1">
      <c r="A767" s="56"/>
      <c r="B767" s="56"/>
      <c r="C767" s="56"/>
      <c r="D767" s="56"/>
      <c r="E767" s="56"/>
      <c r="F767" s="36"/>
      <c r="G767" s="36"/>
      <c r="H767" s="3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</row>
    <row r="768" ht="15.75" customHeight="1">
      <c r="A768" s="56"/>
      <c r="B768" s="56"/>
      <c r="C768" s="56"/>
      <c r="D768" s="56"/>
      <c r="E768" s="56"/>
      <c r="F768" s="36"/>
      <c r="G768" s="36"/>
      <c r="H768" s="3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</row>
    <row r="769" ht="15.75" customHeight="1">
      <c r="A769" s="56"/>
      <c r="B769" s="56"/>
      <c r="C769" s="56"/>
      <c r="D769" s="56"/>
      <c r="E769" s="56"/>
      <c r="F769" s="36"/>
      <c r="G769" s="36"/>
      <c r="H769" s="3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</row>
    <row r="770" ht="15.75" customHeight="1">
      <c r="A770" s="56"/>
      <c r="B770" s="56"/>
      <c r="C770" s="56"/>
      <c r="D770" s="56"/>
      <c r="E770" s="56"/>
      <c r="F770" s="36"/>
      <c r="G770" s="36"/>
      <c r="H770" s="3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</row>
    <row r="771" ht="15.75" customHeight="1">
      <c r="A771" s="56"/>
      <c r="B771" s="56"/>
      <c r="C771" s="56"/>
      <c r="D771" s="56"/>
      <c r="E771" s="56"/>
      <c r="F771" s="36"/>
      <c r="G771" s="36"/>
      <c r="H771" s="3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</row>
    <row r="772" ht="15.75" customHeight="1">
      <c r="A772" s="56"/>
      <c r="B772" s="56"/>
      <c r="C772" s="56"/>
      <c r="D772" s="56"/>
      <c r="E772" s="56"/>
      <c r="F772" s="36"/>
      <c r="G772" s="36"/>
      <c r="H772" s="3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</row>
    <row r="773" ht="15.75" customHeight="1">
      <c r="A773" s="56"/>
      <c r="B773" s="56"/>
      <c r="C773" s="56"/>
      <c r="D773" s="56"/>
      <c r="E773" s="56"/>
      <c r="F773" s="36"/>
      <c r="G773" s="36"/>
      <c r="H773" s="3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</row>
    <row r="774" ht="15.75" customHeight="1">
      <c r="A774" s="56"/>
      <c r="B774" s="56"/>
      <c r="C774" s="56"/>
      <c r="D774" s="56"/>
      <c r="E774" s="56"/>
      <c r="F774" s="36"/>
      <c r="G774" s="36"/>
      <c r="H774" s="3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</row>
    <row r="775" ht="15.75" customHeight="1">
      <c r="A775" s="56"/>
      <c r="B775" s="56"/>
      <c r="C775" s="56"/>
      <c r="D775" s="56"/>
      <c r="E775" s="56"/>
      <c r="F775" s="36"/>
      <c r="G775" s="36"/>
      <c r="H775" s="3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</row>
    <row r="776" ht="15.75" customHeight="1">
      <c r="A776" s="56"/>
      <c r="B776" s="56"/>
      <c r="C776" s="56"/>
      <c r="D776" s="56"/>
      <c r="E776" s="56"/>
      <c r="F776" s="36"/>
      <c r="G776" s="36"/>
      <c r="H776" s="3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</row>
    <row r="777" ht="15.75" customHeight="1">
      <c r="A777" s="56"/>
      <c r="B777" s="56"/>
      <c r="C777" s="56"/>
      <c r="D777" s="56"/>
      <c r="E777" s="56"/>
      <c r="F777" s="36"/>
      <c r="G777" s="36"/>
      <c r="H777" s="3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</row>
    <row r="778" ht="15.75" customHeight="1">
      <c r="A778" s="56"/>
      <c r="B778" s="56"/>
      <c r="C778" s="56"/>
      <c r="D778" s="56"/>
      <c r="E778" s="56"/>
      <c r="F778" s="36"/>
      <c r="G778" s="36"/>
      <c r="H778" s="3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</row>
    <row r="779" ht="15.75" customHeight="1">
      <c r="A779" s="56"/>
      <c r="B779" s="56"/>
      <c r="C779" s="56"/>
      <c r="D779" s="56"/>
      <c r="E779" s="56"/>
      <c r="F779" s="36"/>
      <c r="G779" s="36"/>
      <c r="H779" s="3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</row>
    <row r="780" ht="15.75" customHeight="1">
      <c r="A780" s="56"/>
      <c r="B780" s="56"/>
      <c r="C780" s="56"/>
      <c r="D780" s="56"/>
      <c r="E780" s="56"/>
      <c r="F780" s="36"/>
      <c r="G780" s="36"/>
      <c r="H780" s="3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</row>
    <row r="781" ht="15.75" customHeight="1">
      <c r="A781" s="56"/>
      <c r="B781" s="56"/>
      <c r="C781" s="56"/>
      <c r="D781" s="56"/>
      <c r="E781" s="56"/>
      <c r="F781" s="36"/>
      <c r="G781" s="36"/>
      <c r="H781" s="3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</row>
    <row r="782" ht="15.75" customHeight="1">
      <c r="A782" s="56"/>
      <c r="B782" s="56"/>
      <c r="C782" s="56"/>
      <c r="D782" s="56"/>
      <c r="E782" s="56"/>
      <c r="F782" s="36"/>
      <c r="G782" s="36"/>
      <c r="H782" s="3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</row>
    <row r="783" ht="15.75" customHeight="1">
      <c r="A783" s="56"/>
      <c r="B783" s="56"/>
      <c r="C783" s="56"/>
      <c r="D783" s="56"/>
      <c r="E783" s="56"/>
      <c r="F783" s="36"/>
      <c r="G783" s="36"/>
      <c r="H783" s="3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</row>
    <row r="784" ht="15.75" customHeight="1">
      <c r="A784" s="56"/>
      <c r="B784" s="56"/>
      <c r="C784" s="56"/>
      <c r="D784" s="56"/>
      <c r="E784" s="56"/>
      <c r="F784" s="36"/>
      <c r="G784" s="36"/>
      <c r="H784" s="3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</row>
    <row r="785" ht="15.75" customHeight="1">
      <c r="A785" s="56"/>
      <c r="B785" s="56"/>
      <c r="C785" s="56"/>
      <c r="D785" s="56"/>
      <c r="E785" s="56"/>
      <c r="F785" s="36"/>
      <c r="G785" s="36"/>
      <c r="H785" s="3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</row>
    <row r="786" ht="15.75" customHeight="1">
      <c r="A786" s="56"/>
      <c r="B786" s="56"/>
      <c r="C786" s="56"/>
      <c r="D786" s="56"/>
      <c r="E786" s="56"/>
      <c r="F786" s="36"/>
      <c r="G786" s="36"/>
      <c r="H786" s="3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</row>
    <row r="787" ht="15.75" customHeight="1">
      <c r="A787" s="56"/>
      <c r="B787" s="56"/>
      <c r="C787" s="56"/>
      <c r="D787" s="56"/>
      <c r="E787" s="56"/>
      <c r="F787" s="36"/>
      <c r="G787" s="36"/>
      <c r="H787" s="3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</row>
    <row r="788" ht="15.75" customHeight="1">
      <c r="A788" s="56"/>
      <c r="B788" s="56"/>
      <c r="C788" s="56"/>
      <c r="D788" s="56"/>
      <c r="E788" s="56"/>
      <c r="F788" s="36"/>
      <c r="G788" s="36"/>
      <c r="H788" s="3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</row>
    <row r="789" ht="15.75" customHeight="1">
      <c r="A789" s="56"/>
      <c r="B789" s="56"/>
      <c r="C789" s="56"/>
      <c r="D789" s="56"/>
      <c r="E789" s="56"/>
      <c r="F789" s="36"/>
      <c r="G789" s="36"/>
      <c r="H789" s="3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</row>
    <row r="790" ht="15.75" customHeight="1">
      <c r="A790" s="56"/>
      <c r="B790" s="56"/>
      <c r="C790" s="56"/>
      <c r="D790" s="56"/>
      <c r="E790" s="56"/>
      <c r="F790" s="36"/>
      <c r="G790" s="36"/>
      <c r="H790" s="3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</row>
    <row r="791" ht="15.75" customHeight="1">
      <c r="A791" s="56"/>
      <c r="B791" s="56"/>
      <c r="C791" s="56"/>
      <c r="D791" s="56"/>
      <c r="E791" s="56"/>
      <c r="F791" s="36"/>
      <c r="G791" s="36"/>
      <c r="H791" s="3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</row>
    <row r="792" ht="15.75" customHeight="1">
      <c r="A792" s="56"/>
      <c r="B792" s="56"/>
      <c r="C792" s="56"/>
      <c r="D792" s="56"/>
      <c r="E792" s="56"/>
      <c r="F792" s="36"/>
      <c r="G792" s="36"/>
      <c r="H792" s="3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</row>
    <row r="793" ht="15.75" customHeight="1">
      <c r="A793" s="56"/>
      <c r="B793" s="56"/>
      <c r="C793" s="56"/>
      <c r="D793" s="56"/>
      <c r="E793" s="56"/>
      <c r="F793" s="36"/>
      <c r="G793" s="36"/>
      <c r="H793" s="3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</row>
    <row r="794" ht="15.75" customHeight="1">
      <c r="A794" s="56"/>
      <c r="B794" s="56"/>
      <c r="C794" s="56"/>
      <c r="D794" s="56"/>
      <c r="E794" s="56"/>
      <c r="F794" s="36"/>
      <c r="G794" s="36"/>
      <c r="H794" s="3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</row>
    <row r="795" ht="15.75" customHeight="1">
      <c r="A795" s="56"/>
      <c r="B795" s="56"/>
      <c r="C795" s="56"/>
      <c r="D795" s="56"/>
      <c r="E795" s="56"/>
      <c r="F795" s="36"/>
      <c r="G795" s="36"/>
      <c r="H795" s="3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</row>
    <row r="796" ht="15.75" customHeight="1">
      <c r="A796" s="56"/>
      <c r="B796" s="56"/>
      <c r="C796" s="56"/>
      <c r="D796" s="56"/>
      <c r="E796" s="56"/>
      <c r="F796" s="36"/>
      <c r="G796" s="36"/>
      <c r="H796" s="3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</row>
    <row r="797" ht="15.75" customHeight="1">
      <c r="A797" s="56"/>
      <c r="B797" s="56"/>
      <c r="C797" s="56"/>
      <c r="D797" s="56"/>
      <c r="E797" s="56"/>
      <c r="F797" s="36"/>
      <c r="G797" s="36"/>
      <c r="H797" s="3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</row>
    <row r="798" ht="15.75" customHeight="1">
      <c r="A798" s="56"/>
      <c r="B798" s="56"/>
      <c r="C798" s="56"/>
      <c r="D798" s="56"/>
      <c r="E798" s="56"/>
      <c r="F798" s="36"/>
      <c r="G798" s="36"/>
      <c r="H798" s="3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</row>
    <row r="799" ht="15.75" customHeight="1">
      <c r="A799" s="56"/>
      <c r="B799" s="56"/>
      <c r="C799" s="56"/>
      <c r="D799" s="56"/>
      <c r="E799" s="56"/>
      <c r="F799" s="36"/>
      <c r="G799" s="36"/>
      <c r="H799" s="3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</row>
    <row r="800" ht="15.75" customHeight="1">
      <c r="A800" s="56"/>
      <c r="B800" s="56"/>
      <c r="C800" s="56"/>
      <c r="D800" s="56"/>
      <c r="E800" s="56"/>
      <c r="F800" s="36"/>
      <c r="G800" s="36"/>
      <c r="H800" s="3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</row>
    <row r="801" ht="15.75" customHeight="1">
      <c r="A801" s="56"/>
      <c r="B801" s="56"/>
      <c r="C801" s="56"/>
      <c r="D801" s="56"/>
      <c r="E801" s="56"/>
      <c r="F801" s="36"/>
      <c r="G801" s="36"/>
      <c r="H801" s="3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</row>
    <row r="802" ht="15.75" customHeight="1">
      <c r="A802" s="56"/>
      <c r="B802" s="56"/>
      <c r="C802" s="56"/>
      <c r="D802" s="56"/>
      <c r="E802" s="56"/>
      <c r="F802" s="36"/>
      <c r="G802" s="36"/>
      <c r="H802" s="3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</row>
    <row r="803" ht="15.75" customHeight="1">
      <c r="A803" s="56"/>
      <c r="B803" s="56"/>
      <c r="C803" s="56"/>
      <c r="D803" s="56"/>
      <c r="E803" s="56"/>
      <c r="F803" s="36"/>
      <c r="G803" s="36"/>
      <c r="H803" s="3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</row>
    <row r="804" ht="15.75" customHeight="1">
      <c r="A804" s="56"/>
      <c r="B804" s="56"/>
      <c r="C804" s="56"/>
      <c r="D804" s="56"/>
      <c r="E804" s="56"/>
      <c r="F804" s="36"/>
      <c r="G804" s="36"/>
      <c r="H804" s="3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</row>
    <row r="805" ht="15.75" customHeight="1">
      <c r="A805" s="56"/>
      <c r="B805" s="56"/>
      <c r="C805" s="56"/>
      <c r="D805" s="56"/>
      <c r="E805" s="56"/>
      <c r="F805" s="36"/>
      <c r="G805" s="36"/>
      <c r="H805" s="3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</row>
    <row r="806" ht="15.75" customHeight="1">
      <c r="A806" s="56"/>
      <c r="B806" s="56"/>
      <c r="C806" s="56"/>
      <c r="D806" s="56"/>
      <c r="E806" s="56"/>
      <c r="F806" s="36"/>
      <c r="G806" s="36"/>
      <c r="H806" s="3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</row>
    <row r="807" ht="15.75" customHeight="1">
      <c r="A807" s="56"/>
      <c r="B807" s="56"/>
      <c r="C807" s="56"/>
      <c r="D807" s="56"/>
      <c r="E807" s="56"/>
      <c r="F807" s="36"/>
      <c r="G807" s="36"/>
      <c r="H807" s="3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</row>
    <row r="808" ht="15.75" customHeight="1">
      <c r="A808" s="56"/>
      <c r="B808" s="56"/>
      <c r="C808" s="56"/>
      <c r="D808" s="56"/>
      <c r="E808" s="56"/>
      <c r="F808" s="36"/>
      <c r="G808" s="36"/>
      <c r="H808" s="3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</row>
    <row r="809" ht="15.75" customHeight="1">
      <c r="A809" s="56"/>
      <c r="B809" s="56"/>
      <c r="C809" s="56"/>
      <c r="D809" s="56"/>
      <c r="E809" s="56"/>
      <c r="F809" s="36"/>
      <c r="G809" s="36"/>
      <c r="H809" s="3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</row>
    <row r="810" ht="15.75" customHeight="1">
      <c r="A810" s="56"/>
      <c r="B810" s="56"/>
      <c r="C810" s="56"/>
      <c r="D810" s="56"/>
      <c r="E810" s="56"/>
      <c r="F810" s="36"/>
      <c r="G810" s="36"/>
      <c r="H810" s="3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</row>
    <row r="811" ht="15.75" customHeight="1">
      <c r="A811" s="56"/>
      <c r="B811" s="56"/>
      <c r="C811" s="56"/>
      <c r="D811" s="56"/>
      <c r="E811" s="56"/>
      <c r="F811" s="36"/>
      <c r="G811" s="36"/>
      <c r="H811" s="3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</row>
    <row r="812" ht="15.75" customHeight="1">
      <c r="A812" s="56"/>
      <c r="B812" s="56"/>
      <c r="C812" s="56"/>
      <c r="D812" s="56"/>
      <c r="E812" s="56"/>
      <c r="F812" s="36"/>
      <c r="G812" s="36"/>
      <c r="H812" s="3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</row>
    <row r="813" ht="15.75" customHeight="1">
      <c r="A813" s="56"/>
      <c r="B813" s="56"/>
      <c r="C813" s="56"/>
      <c r="D813" s="56"/>
      <c r="E813" s="56"/>
      <c r="F813" s="36"/>
      <c r="G813" s="36"/>
      <c r="H813" s="3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</row>
    <row r="814" ht="15.75" customHeight="1">
      <c r="A814" s="56"/>
      <c r="B814" s="56"/>
      <c r="C814" s="56"/>
      <c r="D814" s="56"/>
      <c r="E814" s="56"/>
      <c r="F814" s="36"/>
      <c r="G814" s="36"/>
      <c r="H814" s="3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</row>
    <row r="815" ht="15.75" customHeight="1">
      <c r="A815" s="56"/>
      <c r="B815" s="56"/>
      <c r="C815" s="56"/>
      <c r="D815" s="56"/>
      <c r="E815" s="56"/>
      <c r="F815" s="36"/>
      <c r="G815" s="36"/>
      <c r="H815" s="3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</row>
    <row r="816" ht="15.75" customHeight="1">
      <c r="A816" s="56"/>
      <c r="B816" s="56"/>
      <c r="C816" s="56"/>
      <c r="D816" s="56"/>
      <c r="E816" s="56"/>
      <c r="F816" s="36"/>
      <c r="G816" s="36"/>
      <c r="H816" s="3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</row>
    <row r="817" ht="15.75" customHeight="1">
      <c r="A817" s="56"/>
      <c r="B817" s="56"/>
      <c r="C817" s="56"/>
      <c r="D817" s="56"/>
      <c r="E817" s="56"/>
      <c r="F817" s="36"/>
      <c r="G817" s="36"/>
      <c r="H817" s="3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</row>
    <row r="818" ht="15.75" customHeight="1">
      <c r="A818" s="56"/>
      <c r="B818" s="56"/>
      <c r="C818" s="56"/>
      <c r="D818" s="56"/>
      <c r="E818" s="56"/>
      <c r="F818" s="36"/>
      <c r="G818" s="36"/>
      <c r="H818" s="3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</row>
    <row r="819" ht="15.75" customHeight="1">
      <c r="A819" s="56"/>
      <c r="B819" s="56"/>
      <c r="C819" s="56"/>
      <c r="D819" s="56"/>
      <c r="E819" s="56"/>
      <c r="F819" s="36"/>
      <c r="G819" s="36"/>
      <c r="H819" s="3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</row>
    <row r="820" ht="15.75" customHeight="1">
      <c r="A820" s="56"/>
      <c r="B820" s="56"/>
      <c r="C820" s="56"/>
      <c r="D820" s="56"/>
      <c r="E820" s="56"/>
      <c r="F820" s="36"/>
      <c r="G820" s="36"/>
      <c r="H820" s="3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</row>
    <row r="821" ht="15.75" customHeight="1">
      <c r="A821" s="56"/>
      <c r="B821" s="56"/>
      <c r="C821" s="56"/>
      <c r="D821" s="56"/>
      <c r="E821" s="56"/>
      <c r="F821" s="36"/>
      <c r="G821" s="36"/>
      <c r="H821" s="3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</row>
    <row r="822" ht="15.75" customHeight="1">
      <c r="A822" s="56"/>
      <c r="B822" s="56"/>
      <c r="C822" s="56"/>
      <c r="D822" s="56"/>
      <c r="E822" s="56"/>
      <c r="F822" s="36"/>
      <c r="G822" s="36"/>
      <c r="H822" s="3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</row>
    <row r="823" ht="15.75" customHeight="1">
      <c r="A823" s="56"/>
      <c r="B823" s="56"/>
      <c r="C823" s="56"/>
      <c r="D823" s="56"/>
      <c r="E823" s="56"/>
      <c r="F823" s="36"/>
      <c r="G823" s="36"/>
      <c r="H823" s="3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</row>
    <row r="824" ht="15.75" customHeight="1">
      <c r="A824" s="56"/>
      <c r="B824" s="56"/>
      <c r="C824" s="56"/>
      <c r="D824" s="56"/>
      <c r="E824" s="56"/>
      <c r="F824" s="36"/>
      <c r="G824" s="36"/>
      <c r="H824" s="3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</row>
    <row r="825" ht="15.75" customHeight="1">
      <c r="A825" s="56"/>
      <c r="B825" s="56"/>
      <c r="C825" s="56"/>
      <c r="D825" s="56"/>
      <c r="E825" s="56"/>
      <c r="F825" s="36"/>
      <c r="G825" s="36"/>
      <c r="H825" s="3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</row>
    <row r="826" ht="15.75" customHeight="1">
      <c r="A826" s="56"/>
      <c r="B826" s="56"/>
      <c r="C826" s="56"/>
      <c r="D826" s="56"/>
      <c r="E826" s="56"/>
      <c r="F826" s="36"/>
      <c r="G826" s="36"/>
      <c r="H826" s="3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</row>
    <row r="827" ht="15.75" customHeight="1">
      <c r="A827" s="56"/>
      <c r="B827" s="56"/>
      <c r="C827" s="56"/>
      <c r="D827" s="56"/>
      <c r="E827" s="56"/>
      <c r="F827" s="36"/>
      <c r="G827" s="36"/>
      <c r="H827" s="3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</row>
    <row r="828" ht="15.75" customHeight="1">
      <c r="A828" s="56"/>
      <c r="B828" s="56"/>
      <c r="C828" s="56"/>
      <c r="D828" s="56"/>
      <c r="E828" s="56"/>
      <c r="F828" s="36"/>
      <c r="G828" s="36"/>
      <c r="H828" s="3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</row>
    <row r="829" ht="15.75" customHeight="1">
      <c r="A829" s="56"/>
      <c r="B829" s="56"/>
      <c r="C829" s="56"/>
      <c r="D829" s="56"/>
      <c r="E829" s="56"/>
      <c r="F829" s="36"/>
      <c r="G829" s="36"/>
      <c r="H829" s="3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</row>
    <row r="830" ht="15.75" customHeight="1">
      <c r="A830" s="56"/>
      <c r="B830" s="56"/>
      <c r="C830" s="56"/>
      <c r="D830" s="56"/>
      <c r="E830" s="56"/>
      <c r="F830" s="36"/>
      <c r="G830" s="36"/>
      <c r="H830" s="3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</row>
    <row r="831" ht="15.75" customHeight="1">
      <c r="A831" s="56"/>
      <c r="B831" s="56"/>
      <c r="C831" s="56"/>
      <c r="D831" s="56"/>
      <c r="E831" s="56"/>
      <c r="F831" s="36"/>
      <c r="G831" s="36"/>
      <c r="H831" s="3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</row>
    <row r="832" ht="15.75" customHeight="1">
      <c r="A832" s="56"/>
      <c r="B832" s="56"/>
      <c r="C832" s="56"/>
      <c r="D832" s="56"/>
      <c r="E832" s="56"/>
      <c r="F832" s="36"/>
      <c r="G832" s="36"/>
      <c r="H832" s="3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</row>
    <row r="833" ht="15.75" customHeight="1">
      <c r="A833" s="56"/>
      <c r="B833" s="56"/>
      <c r="C833" s="56"/>
      <c r="D833" s="56"/>
      <c r="E833" s="56"/>
      <c r="F833" s="36"/>
      <c r="G833" s="36"/>
      <c r="H833" s="3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</row>
    <row r="834" ht="15.75" customHeight="1">
      <c r="A834" s="56"/>
      <c r="B834" s="56"/>
      <c r="C834" s="56"/>
      <c r="D834" s="56"/>
      <c r="E834" s="56"/>
      <c r="F834" s="36"/>
      <c r="G834" s="36"/>
      <c r="H834" s="3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</row>
    <row r="835" ht="15.75" customHeight="1">
      <c r="A835" s="56"/>
      <c r="B835" s="56"/>
      <c r="C835" s="56"/>
      <c r="D835" s="56"/>
      <c r="E835" s="56"/>
      <c r="F835" s="36"/>
      <c r="G835" s="36"/>
      <c r="H835" s="3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</row>
    <row r="836" ht="15.75" customHeight="1">
      <c r="A836" s="56"/>
      <c r="B836" s="56"/>
      <c r="C836" s="56"/>
      <c r="D836" s="56"/>
      <c r="E836" s="56"/>
      <c r="F836" s="36"/>
      <c r="G836" s="36"/>
      <c r="H836" s="3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</row>
    <row r="837" ht="15.75" customHeight="1">
      <c r="A837" s="56"/>
      <c r="B837" s="56"/>
      <c r="C837" s="56"/>
      <c r="D837" s="56"/>
      <c r="E837" s="56"/>
      <c r="F837" s="36"/>
      <c r="G837" s="36"/>
      <c r="H837" s="3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</row>
    <row r="838" ht="15.75" customHeight="1">
      <c r="A838" s="56"/>
      <c r="B838" s="56"/>
      <c r="C838" s="56"/>
      <c r="D838" s="56"/>
      <c r="E838" s="56"/>
      <c r="F838" s="36"/>
      <c r="G838" s="36"/>
      <c r="H838" s="3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</row>
    <row r="839" ht="15.75" customHeight="1">
      <c r="A839" s="56"/>
      <c r="B839" s="56"/>
      <c r="C839" s="56"/>
      <c r="D839" s="56"/>
      <c r="E839" s="56"/>
      <c r="F839" s="36"/>
      <c r="G839" s="36"/>
      <c r="H839" s="3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</row>
    <row r="840" ht="15.75" customHeight="1">
      <c r="A840" s="56"/>
      <c r="B840" s="56"/>
      <c r="C840" s="56"/>
      <c r="D840" s="56"/>
      <c r="E840" s="56"/>
      <c r="F840" s="36"/>
      <c r="G840" s="36"/>
      <c r="H840" s="3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</row>
    <row r="841" ht="15.75" customHeight="1">
      <c r="A841" s="56"/>
      <c r="B841" s="56"/>
      <c r="C841" s="56"/>
      <c r="D841" s="56"/>
      <c r="E841" s="56"/>
      <c r="F841" s="36"/>
      <c r="G841" s="36"/>
      <c r="H841" s="3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</row>
    <row r="842" ht="15.75" customHeight="1">
      <c r="A842" s="56"/>
      <c r="B842" s="56"/>
      <c r="C842" s="56"/>
      <c r="D842" s="56"/>
      <c r="E842" s="56"/>
      <c r="F842" s="36"/>
      <c r="G842" s="36"/>
      <c r="H842" s="3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</row>
    <row r="843" ht="15.75" customHeight="1">
      <c r="A843" s="56"/>
      <c r="B843" s="56"/>
      <c r="C843" s="56"/>
      <c r="D843" s="56"/>
      <c r="E843" s="56"/>
      <c r="F843" s="36"/>
      <c r="G843" s="36"/>
      <c r="H843" s="3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</row>
    <row r="844" ht="15.75" customHeight="1">
      <c r="A844" s="56"/>
      <c r="B844" s="56"/>
      <c r="C844" s="56"/>
      <c r="D844" s="56"/>
      <c r="E844" s="56"/>
      <c r="F844" s="36"/>
      <c r="G844" s="36"/>
      <c r="H844" s="3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</row>
    <row r="845" ht="15.75" customHeight="1">
      <c r="A845" s="56"/>
      <c r="B845" s="56"/>
      <c r="C845" s="56"/>
      <c r="D845" s="56"/>
      <c r="E845" s="56"/>
      <c r="F845" s="36"/>
      <c r="G845" s="36"/>
      <c r="H845" s="3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</row>
    <row r="846" ht="15.75" customHeight="1">
      <c r="A846" s="56"/>
      <c r="B846" s="56"/>
      <c r="C846" s="56"/>
      <c r="D846" s="56"/>
      <c r="E846" s="56"/>
      <c r="F846" s="36"/>
      <c r="G846" s="36"/>
      <c r="H846" s="3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</row>
    <row r="847" ht="15.75" customHeight="1">
      <c r="A847" s="56"/>
      <c r="B847" s="56"/>
      <c r="C847" s="56"/>
      <c r="D847" s="56"/>
      <c r="E847" s="56"/>
      <c r="F847" s="36"/>
      <c r="G847" s="36"/>
      <c r="H847" s="3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</row>
    <row r="848" ht="15.75" customHeight="1">
      <c r="A848" s="56"/>
      <c r="B848" s="56"/>
      <c r="C848" s="56"/>
      <c r="D848" s="56"/>
      <c r="E848" s="56"/>
      <c r="F848" s="36"/>
      <c r="G848" s="36"/>
      <c r="H848" s="3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</row>
    <row r="849" ht="15.75" customHeight="1">
      <c r="A849" s="56"/>
      <c r="B849" s="56"/>
      <c r="C849" s="56"/>
      <c r="D849" s="56"/>
      <c r="E849" s="56"/>
      <c r="F849" s="36"/>
      <c r="G849" s="36"/>
      <c r="H849" s="3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</row>
    <row r="850" ht="15.75" customHeight="1">
      <c r="A850" s="56"/>
      <c r="B850" s="56"/>
      <c r="C850" s="56"/>
      <c r="D850" s="56"/>
      <c r="E850" s="56"/>
      <c r="F850" s="36"/>
      <c r="G850" s="36"/>
      <c r="H850" s="3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</row>
    <row r="851" ht="15.75" customHeight="1">
      <c r="A851" s="56"/>
      <c r="B851" s="56"/>
      <c r="C851" s="56"/>
      <c r="D851" s="56"/>
      <c r="E851" s="56"/>
      <c r="F851" s="36"/>
      <c r="G851" s="36"/>
      <c r="H851" s="3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</row>
    <row r="852" ht="15.75" customHeight="1">
      <c r="A852" s="56"/>
      <c r="B852" s="56"/>
      <c r="C852" s="56"/>
      <c r="D852" s="56"/>
      <c r="E852" s="56"/>
      <c r="F852" s="36"/>
      <c r="G852" s="36"/>
      <c r="H852" s="3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</row>
    <row r="853" ht="15.75" customHeight="1">
      <c r="A853" s="56"/>
      <c r="B853" s="56"/>
      <c r="C853" s="56"/>
      <c r="D853" s="56"/>
      <c r="E853" s="56"/>
      <c r="F853" s="36"/>
      <c r="G853" s="36"/>
      <c r="H853" s="3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</row>
    <row r="854" ht="15.75" customHeight="1">
      <c r="A854" s="56"/>
      <c r="B854" s="56"/>
      <c r="C854" s="56"/>
      <c r="D854" s="56"/>
      <c r="E854" s="56"/>
      <c r="F854" s="36"/>
      <c r="G854" s="36"/>
      <c r="H854" s="3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</row>
    <row r="855" ht="15.75" customHeight="1">
      <c r="A855" s="56"/>
      <c r="B855" s="56"/>
      <c r="C855" s="56"/>
      <c r="D855" s="56"/>
      <c r="E855" s="56"/>
      <c r="F855" s="36"/>
      <c r="G855" s="36"/>
      <c r="H855" s="3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</row>
    <row r="856" ht="15.75" customHeight="1">
      <c r="A856" s="56"/>
      <c r="B856" s="56"/>
      <c r="C856" s="56"/>
      <c r="D856" s="56"/>
      <c r="E856" s="56"/>
      <c r="F856" s="36"/>
      <c r="G856" s="36"/>
      <c r="H856" s="3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</row>
    <row r="857" ht="15.75" customHeight="1">
      <c r="A857" s="56"/>
      <c r="B857" s="56"/>
      <c r="C857" s="56"/>
      <c r="D857" s="56"/>
      <c r="E857" s="56"/>
      <c r="F857" s="36"/>
      <c r="G857" s="36"/>
      <c r="H857" s="3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</row>
    <row r="858" ht="15.75" customHeight="1">
      <c r="A858" s="56"/>
      <c r="B858" s="56"/>
      <c r="C858" s="56"/>
      <c r="D858" s="56"/>
      <c r="E858" s="56"/>
      <c r="F858" s="36"/>
      <c r="G858" s="36"/>
      <c r="H858" s="3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</row>
    <row r="859" ht="15.75" customHeight="1">
      <c r="A859" s="56"/>
      <c r="B859" s="56"/>
      <c r="C859" s="56"/>
      <c r="D859" s="56"/>
      <c r="E859" s="56"/>
      <c r="F859" s="36"/>
      <c r="G859" s="36"/>
      <c r="H859" s="3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</row>
    <row r="860" ht="15.75" customHeight="1">
      <c r="A860" s="56"/>
      <c r="B860" s="56"/>
      <c r="C860" s="56"/>
      <c r="D860" s="56"/>
      <c r="E860" s="56"/>
      <c r="F860" s="36"/>
      <c r="G860" s="36"/>
      <c r="H860" s="3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</row>
    <row r="861" ht="15.75" customHeight="1">
      <c r="A861" s="56"/>
      <c r="B861" s="56"/>
      <c r="C861" s="56"/>
      <c r="D861" s="56"/>
      <c r="E861" s="56"/>
      <c r="F861" s="36"/>
      <c r="G861" s="36"/>
      <c r="H861" s="3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</row>
    <row r="862" ht="15.75" customHeight="1">
      <c r="A862" s="56"/>
      <c r="B862" s="56"/>
      <c r="C862" s="56"/>
      <c r="D862" s="56"/>
      <c r="E862" s="56"/>
      <c r="F862" s="36"/>
      <c r="G862" s="36"/>
      <c r="H862" s="3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</row>
    <row r="863" ht="15.75" customHeight="1">
      <c r="A863" s="56"/>
      <c r="B863" s="56"/>
      <c r="C863" s="56"/>
      <c r="D863" s="56"/>
      <c r="E863" s="56"/>
      <c r="F863" s="36"/>
      <c r="G863" s="36"/>
      <c r="H863" s="3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</row>
    <row r="864" ht="15.75" customHeight="1">
      <c r="A864" s="56"/>
      <c r="B864" s="56"/>
      <c r="C864" s="56"/>
      <c r="D864" s="56"/>
      <c r="E864" s="56"/>
      <c r="F864" s="36"/>
      <c r="G864" s="36"/>
      <c r="H864" s="3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</row>
    <row r="865" ht="15.75" customHeight="1">
      <c r="A865" s="56"/>
      <c r="B865" s="56"/>
      <c r="C865" s="56"/>
      <c r="D865" s="56"/>
      <c r="E865" s="56"/>
      <c r="F865" s="36"/>
      <c r="G865" s="36"/>
      <c r="H865" s="3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</row>
    <row r="866" ht="15.75" customHeight="1">
      <c r="A866" s="56"/>
      <c r="B866" s="56"/>
      <c r="C866" s="56"/>
      <c r="D866" s="56"/>
      <c r="E866" s="56"/>
      <c r="F866" s="36"/>
      <c r="G866" s="36"/>
      <c r="H866" s="3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</row>
    <row r="867" ht="15.75" customHeight="1">
      <c r="A867" s="56"/>
      <c r="B867" s="56"/>
      <c r="C867" s="56"/>
      <c r="D867" s="56"/>
      <c r="E867" s="56"/>
      <c r="F867" s="36"/>
      <c r="G867" s="36"/>
      <c r="H867" s="3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</row>
    <row r="868" ht="15.75" customHeight="1">
      <c r="A868" s="56"/>
      <c r="B868" s="56"/>
      <c r="C868" s="56"/>
      <c r="D868" s="56"/>
      <c r="E868" s="56"/>
      <c r="F868" s="36"/>
      <c r="G868" s="36"/>
      <c r="H868" s="3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</row>
    <row r="869" ht="15.75" customHeight="1">
      <c r="A869" s="56"/>
      <c r="B869" s="56"/>
      <c r="C869" s="56"/>
      <c r="D869" s="56"/>
      <c r="E869" s="56"/>
      <c r="F869" s="36"/>
      <c r="G869" s="36"/>
      <c r="H869" s="3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</row>
    <row r="870" ht="15.75" customHeight="1">
      <c r="A870" s="56"/>
      <c r="B870" s="56"/>
      <c r="C870" s="56"/>
      <c r="D870" s="56"/>
      <c r="E870" s="56"/>
      <c r="F870" s="36"/>
      <c r="G870" s="36"/>
      <c r="H870" s="3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</row>
    <row r="871" ht="15.75" customHeight="1">
      <c r="A871" s="56"/>
      <c r="B871" s="56"/>
      <c r="C871" s="56"/>
      <c r="D871" s="56"/>
      <c r="E871" s="56"/>
      <c r="F871" s="36"/>
      <c r="G871" s="36"/>
      <c r="H871" s="3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</row>
    <row r="872" ht="15.75" customHeight="1">
      <c r="A872" s="56"/>
      <c r="B872" s="56"/>
      <c r="C872" s="56"/>
      <c r="D872" s="56"/>
      <c r="E872" s="56"/>
      <c r="F872" s="36"/>
      <c r="G872" s="36"/>
      <c r="H872" s="3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</row>
    <row r="873" ht="15.75" customHeight="1">
      <c r="A873" s="56"/>
      <c r="B873" s="56"/>
      <c r="C873" s="56"/>
      <c r="D873" s="56"/>
      <c r="E873" s="56"/>
      <c r="F873" s="36"/>
      <c r="G873" s="36"/>
      <c r="H873" s="3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</row>
    <row r="874" ht="15.75" customHeight="1">
      <c r="A874" s="56"/>
      <c r="B874" s="56"/>
      <c r="C874" s="56"/>
      <c r="D874" s="56"/>
      <c r="E874" s="56"/>
      <c r="F874" s="36"/>
      <c r="G874" s="36"/>
      <c r="H874" s="3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</row>
    <row r="875" ht="15.75" customHeight="1">
      <c r="A875" s="56"/>
      <c r="B875" s="56"/>
      <c r="C875" s="56"/>
      <c r="D875" s="56"/>
      <c r="E875" s="56"/>
      <c r="F875" s="36"/>
      <c r="G875" s="36"/>
      <c r="H875" s="3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</row>
    <row r="876" ht="15.75" customHeight="1">
      <c r="A876" s="56"/>
      <c r="B876" s="56"/>
      <c r="C876" s="56"/>
      <c r="D876" s="56"/>
      <c r="E876" s="56"/>
      <c r="F876" s="36"/>
      <c r="G876" s="36"/>
      <c r="H876" s="3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</row>
    <row r="877" ht="15.75" customHeight="1">
      <c r="A877" s="56"/>
      <c r="B877" s="56"/>
      <c r="C877" s="56"/>
      <c r="D877" s="56"/>
      <c r="E877" s="56"/>
      <c r="F877" s="36"/>
      <c r="G877" s="36"/>
      <c r="H877" s="3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</row>
    <row r="878" ht="15.75" customHeight="1">
      <c r="A878" s="56"/>
      <c r="B878" s="56"/>
      <c r="C878" s="56"/>
      <c r="D878" s="56"/>
      <c r="E878" s="56"/>
      <c r="F878" s="36"/>
      <c r="G878" s="36"/>
      <c r="H878" s="3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</row>
    <row r="879" ht="15.75" customHeight="1">
      <c r="A879" s="56"/>
      <c r="B879" s="56"/>
      <c r="C879" s="56"/>
      <c r="D879" s="56"/>
      <c r="E879" s="56"/>
      <c r="F879" s="36"/>
      <c r="G879" s="36"/>
      <c r="H879" s="3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</row>
    <row r="880" ht="15.75" customHeight="1">
      <c r="A880" s="56"/>
      <c r="B880" s="56"/>
      <c r="C880" s="56"/>
      <c r="D880" s="56"/>
      <c r="E880" s="56"/>
      <c r="F880" s="36"/>
      <c r="G880" s="36"/>
      <c r="H880" s="3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</row>
    <row r="881" ht="15.75" customHeight="1">
      <c r="A881" s="56"/>
      <c r="B881" s="56"/>
      <c r="C881" s="56"/>
      <c r="D881" s="56"/>
      <c r="E881" s="56"/>
      <c r="F881" s="36"/>
      <c r="G881" s="36"/>
      <c r="H881" s="3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</row>
    <row r="882" ht="15.75" customHeight="1">
      <c r="A882" s="56"/>
      <c r="B882" s="56"/>
      <c r="C882" s="56"/>
      <c r="D882" s="56"/>
      <c r="E882" s="56"/>
      <c r="F882" s="36"/>
      <c r="G882" s="36"/>
      <c r="H882" s="3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</row>
    <row r="883" ht="15.75" customHeight="1">
      <c r="A883" s="56"/>
      <c r="B883" s="56"/>
      <c r="C883" s="56"/>
      <c r="D883" s="56"/>
      <c r="E883" s="56"/>
      <c r="F883" s="36"/>
      <c r="G883" s="36"/>
      <c r="H883" s="3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</row>
    <row r="884" ht="15.75" customHeight="1">
      <c r="A884" s="56"/>
      <c r="B884" s="56"/>
      <c r="C884" s="56"/>
      <c r="D884" s="56"/>
      <c r="E884" s="56"/>
      <c r="F884" s="36"/>
      <c r="G884" s="36"/>
      <c r="H884" s="3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</row>
    <row r="885" ht="15.75" customHeight="1">
      <c r="A885" s="56"/>
      <c r="B885" s="56"/>
      <c r="C885" s="56"/>
      <c r="D885" s="56"/>
      <c r="E885" s="56"/>
      <c r="F885" s="36"/>
      <c r="G885" s="36"/>
      <c r="H885" s="3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</row>
    <row r="886" ht="15.75" customHeight="1">
      <c r="A886" s="56"/>
      <c r="B886" s="56"/>
      <c r="C886" s="56"/>
      <c r="D886" s="56"/>
      <c r="E886" s="56"/>
      <c r="F886" s="36"/>
      <c r="G886" s="36"/>
      <c r="H886" s="3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</row>
    <row r="887" ht="15.75" customHeight="1">
      <c r="A887" s="56"/>
      <c r="B887" s="56"/>
      <c r="C887" s="56"/>
      <c r="D887" s="56"/>
      <c r="E887" s="56"/>
      <c r="F887" s="36"/>
      <c r="G887" s="36"/>
      <c r="H887" s="3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</row>
    <row r="888" ht="15.75" customHeight="1">
      <c r="A888" s="56"/>
      <c r="B888" s="56"/>
      <c r="C888" s="56"/>
      <c r="D888" s="56"/>
      <c r="E888" s="56"/>
      <c r="F888" s="36"/>
      <c r="G888" s="36"/>
      <c r="H888" s="3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</row>
    <row r="889" ht="15.75" customHeight="1">
      <c r="A889" s="56"/>
      <c r="B889" s="56"/>
      <c r="C889" s="56"/>
      <c r="D889" s="56"/>
      <c r="E889" s="56"/>
      <c r="F889" s="36"/>
      <c r="G889" s="36"/>
      <c r="H889" s="3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</row>
    <row r="890" ht="15.75" customHeight="1">
      <c r="A890" s="56"/>
      <c r="B890" s="56"/>
      <c r="C890" s="56"/>
      <c r="D890" s="56"/>
      <c r="E890" s="56"/>
      <c r="F890" s="36"/>
      <c r="G890" s="36"/>
      <c r="H890" s="3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</row>
    <row r="891" ht="15.75" customHeight="1">
      <c r="A891" s="56"/>
      <c r="B891" s="56"/>
      <c r="C891" s="56"/>
      <c r="D891" s="56"/>
      <c r="E891" s="56"/>
      <c r="F891" s="36"/>
      <c r="G891" s="36"/>
      <c r="H891" s="3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</row>
    <row r="892" ht="15.75" customHeight="1">
      <c r="A892" s="56"/>
      <c r="B892" s="56"/>
      <c r="C892" s="56"/>
      <c r="D892" s="56"/>
      <c r="E892" s="56"/>
      <c r="F892" s="36"/>
      <c r="G892" s="36"/>
      <c r="H892" s="3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</row>
    <row r="893" ht="15.75" customHeight="1">
      <c r="A893" s="56"/>
      <c r="B893" s="56"/>
      <c r="C893" s="56"/>
      <c r="D893" s="56"/>
      <c r="E893" s="56"/>
      <c r="F893" s="36"/>
      <c r="G893" s="36"/>
      <c r="H893" s="3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</row>
    <row r="894" ht="15.75" customHeight="1">
      <c r="A894" s="56"/>
      <c r="B894" s="56"/>
      <c r="C894" s="56"/>
      <c r="D894" s="56"/>
      <c r="E894" s="56"/>
      <c r="F894" s="36"/>
      <c r="G894" s="36"/>
      <c r="H894" s="3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</row>
    <row r="895" ht="15.75" customHeight="1">
      <c r="A895" s="56"/>
      <c r="B895" s="56"/>
      <c r="C895" s="56"/>
      <c r="D895" s="56"/>
      <c r="E895" s="56"/>
      <c r="F895" s="36"/>
      <c r="G895" s="36"/>
      <c r="H895" s="3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</row>
    <row r="896" ht="15.75" customHeight="1">
      <c r="A896" s="56"/>
      <c r="B896" s="56"/>
      <c r="C896" s="56"/>
      <c r="D896" s="56"/>
      <c r="E896" s="56"/>
      <c r="F896" s="36"/>
      <c r="G896" s="36"/>
      <c r="H896" s="3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</row>
    <row r="897" ht="15.75" customHeight="1">
      <c r="A897" s="56"/>
      <c r="B897" s="56"/>
      <c r="C897" s="56"/>
      <c r="D897" s="56"/>
      <c r="E897" s="56"/>
      <c r="F897" s="36"/>
      <c r="G897" s="36"/>
      <c r="H897" s="3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</row>
    <row r="898" ht="15.75" customHeight="1">
      <c r="A898" s="56"/>
      <c r="B898" s="56"/>
      <c r="C898" s="56"/>
      <c r="D898" s="56"/>
      <c r="E898" s="56"/>
      <c r="F898" s="36"/>
      <c r="G898" s="36"/>
      <c r="H898" s="3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</row>
    <row r="899" ht="15.75" customHeight="1">
      <c r="A899" s="56"/>
      <c r="B899" s="56"/>
      <c r="C899" s="56"/>
      <c r="D899" s="56"/>
      <c r="E899" s="56"/>
      <c r="F899" s="36"/>
      <c r="G899" s="36"/>
      <c r="H899" s="3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</row>
    <row r="900" ht="15.75" customHeight="1">
      <c r="A900" s="56"/>
      <c r="B900" s="56"/>
      <c r="C900" s="56"/>
      <c r="D900" s="56"/>
      <c r="E900" s="56"/>
      <c r="F900" s="36"/>
      <c r="G900" s="36"/>
      <c r="H900" s="3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</row>
    <row r="901" ht="15.75" customHeight="1">
      <c r="A901" s="56"/>
      <c r="B901" s="56"/>
      <c r="C901" s="56"/>
      <c r="D901" s="56"/>
      <c r="E901" s="56"/>
      <c r="F901" s="36"/>
      <c r="G901" s="36"/>
      <c r="H901" s="3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</row>
    <row r="902" ht="15.75" customHeight="1">
      <c r="A902" s="56"/>
      <c r="B902" s="56"/>
      <c r="C902" s="56"/>
      <c r="D902" s="56"/>
      <c r="E902" s="56"/>
      <c r="F902" s="36"/>
      <c r="G902" s="36"/>
      <c r="H902" s="3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</row>
    <row r="903" ht="15.75" customHeight="1">
      <c r="A903" s="56"/>
      <c r="B903" s="56"/>
      <c r="C903" s="56"/>
      <c r="D903" s="56"/>
      <c r="E903" s="56"/>
      <c r="F903" s="36"/>
      <c r="G903" s="36"/>
      <c r="H903" s="3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</row>
    <row r="904" ht="15.75" customHeight="1">
      <c r="A904" s="56"/>
      <c r="B904" s="56"/>
      <c r="C904" s="56"/>
      <c r="D904" s="56"/>
      <c r="E904" s="56"/>
      <c r="F904" s="36"/>
      <c r="G904" s="36"/>
      <c r="H904" s="3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</row>
    <row r="905" ht="15.75" customHeight="1">
      <c r="A905" s="56"/>
      <c r="B905" s="56"/>
      <c r="C905" s="56"/>
      <c r="D905" s="56"/>
      <c r="E905" s="56"/>
      <c r="F905" s="36"/>
      <c r="G905" s="36"/>
      <c r="H905" s="3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</row>
    <row r="906" ht="15.75" customHeight="1">
      <c r="A906" s="56"/>
      <c r="B906" s="56"/>
      <c r="C906" s="56"/>
      <c r="D906" s="56"/>
      <c r="E906" s="56"/>
      <c r="F906" s="36"/>
      <c r="G906" s="36"/>
      <c r="H906" s="3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</row>
    <row r="907" ht="15.75" customHeight="1">
      <c r="A907" s="56"/>
      <c r="B907" s="56"/>
      <c r="C907" s="56"/>
      <c r="D907" s="56"/>
      <c r="E907" s="56"/>
      <c r="F907" s="36"/>
      <c r="G907" s="36"/>
      <c r="H907" s="3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</row>
    <row r="908" ht="15.75" customHeight="1">
      <c r="A908" s="56"/>
      <c r="B908" s="56"/>
      <c r="C908" s="56"/>
      <c r="D908" s="56"/>
      <c r="E908" s="56"/>
      <c r="F908" s="36"/>
      <c r="G908" s="36"/>
      <c r="H908" s="3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</row>
    <row r="909" ht="15.75" customHeight="1">
      <c r="A909" s="56"/>
      <c r="B909" s="56"/>
      <c r="C909" s="56"/>
      <c r="D909" s="56"/>
      <c r="E909" s="56"/>
      <c r="F909" s="36"/>
      <c r="G909" s="36"/>
      <c r="H909" s="3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</row>
    <row r="910" ht="15.75" customHeight="1">
      <c r="A910" s="56"/>
      <c r="B910" s="56"/>
      <c r="C910" s="56"/>
      <c r="D910" s="56"/>
      <c r="E910" s="56"/>
      <c r="F910" s="36"/>
      <c r="G910" s="36"/>
      <c r="H910" s="3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</row>
    <row r="911" ht="15.75" customHeight="1">
      <c r="A911" s="56"/>
      <c r="B911" s="56"/>
      <c r="C911" s="56"/>
      <c r="D911" s="56"/>
      <c r="E911" s="56"/>
      <c r="F911" s="36"/>
      <c r="G911" s="36"/>
      <c r="H911" s="3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</row>
    <row r="912" ht="15.75" customHeight="1">
      <c r="A912" s="56"/>
      <c r="B912" s="56"/>
      <c r="C912" s="56"/>
      <c r="D912" s="56"/>
      <c r="E912" s="56"/>
      <c r="F912" s="36"/>
      <c r="G912" s="36"/>
      <c r="H912" s="3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</row>
    <row r="913" ht="15.75" customHeight="1">
      <c r="A913" s="56"/>
      <c r="B913" s="56"/>
      <c r="C913" s="56"/>
      <c r="D913" s="56"/>
      <c r="E913" s="56"/>
      <c r="F913" s="36"/>
      <c r="G913" s="36"/>
      <c r="H913" s="3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</row>
    <row r="914" ht="15.75" customHeight="1">
      <c r="A914" s="56"/>
      <c r="B914" s="56"/>
      <c r="C914" s="56"/>
      <c r="D914" s="56"/>
      <c r="E914" s="56"/>
      <c r="F914" s="36"/>
      <c r="G914" s="36"/>
      <c r="H914" s="3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</row>
    <row r="915" ht="15.75" customHeight="1">
      <c r="A915" s="56"/>
      <c r="B915" s="56"/>
      <c r="C915" s="56"/>
      <c r="D915" s="56"/>
      <c r="E915" s="56"/>
      <c r="F915" s="36"/>
      <c r="G915" s="36"/>
      <c r="H915" s="3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</row>
    <row r="916" ht="15.75" customHeight="1">
      <c r="A916" s="56"/>
      <c r="B916" s="56"/>
      <c r="C916" s="56"/>
      <c r="D916" s="56"/>
      <c r="E916" s="56"/>
      <c r="F916" s="36"/>
      <c r="G916" s="36"/>
      <c r="H916" s="3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</row>
    <row r="917" ht="15.75" customHeight="1">
      <c r="A917" s="56"/>
      <c r="B917" s="56"/>
      <c r="C917" s="56"/>
      <c r="D917" s="56"/>
      <c r="E917" s="56"/>
      <c r="F917" s="36"/>
      <c r="G917" s="36"/>
      <c r="H917" s="3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</row>
    <row r="918" ht="15.75" customHeight="1">
      <c r="A918" s="56"/>
      <c r="B918" s="56"/>
      <c r="C918" s="56"/>
      <c r="D918" s="56"/>
      <c r="E918" s="56"/>
      <c r="F918" s="36"/>
      <c r="G918" s="36"/>
      <c r="H918" s="3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</row>
    <row r="919" ht="15.75" customHeight="1">
      <c r="A919" s="56"/>
      <c r="B919" s="56"/>
      <c r="C919" s="56"/>
      <c r="D919" s="56"/>
      <c r="E919" s="56"/>
      <c r="F919" s="36"/>
      <c r="G919" s="36"/>
      <c r="H919" s="3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</row>
    <row r="920" ht="15.75" customHeight="1">
      <c r="A920" s="56"/>
      <c r="B920" s="56"/>
      <c r="C920" s="56"/>
      <c r="D920" s="56"/>
      <c r="E920" s="56"/>
      <c r="F920" s="36"/>
      <c r="G920" s="36"/>
      <c r="H920" s="3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</row>
    <row r="921" ht="15.75" customHeight="1">
      <c r="A921" s="56"/>
      <c r="B921" s="56"/>
      <c r="C921" s="56"/>
      <c r="D921" s="56"/>
      <c r="E921" s="56"/>
      <c r="F921" s="36"/>
      <c r="G921" s="36"/>
      <c r="H921" s="3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</row>
    <row r="922" ht="15.75" customHeight="1">
      <c r="A922" s="56"/>
      <c r="B922" s="56"/>
      <c r="C922" s="56"/>
      <c r="D922" s="56"/>
      <c r="E922" s="56"/>
      <c r="F922" s="36"/>
      <c r="G922" s="36"/>
      <c r="H922" s="3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</row>
    <row r="923" ht="15.75" customHeight="1">
      <c r="A923" s="56"/>
      <c r="B923" s="56"/>
      <c r="C923" s="56"/>
      <c r="D923" s="56"/>
      <c r="E923" s="56"/>
      <c r="F923" s="36"/>
      <c r="G923" s="36"/>
      <c r="H923" s="3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</row>
    <row r="924" ht="15.75" customHeight="1">
      <c r="A924" s="56"/>
      <c r="B924" s="56"/>
      <c r="C924" s="56"/>
      <c r="D924" s="56"/>
      <c r="E924" s="56"/>
      <c r="F924" s="36"/>
      <c r="G924" s="36"/>
      <c r="H924" s="3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</row>
    <row r="925" ht="15.75" customHeight="1">
      <c r="A925" s="56"/>
      <c r="B925" s="56"/>
      <c r="C925" s="56"/>
      <c r="D925" s="56"/>
      <c r="E925" s="56"/>
      <c r="F925" s="36"/>
      <c r="G925" s="36"/>
      <c r="H925" s="3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</row>
    <row r="926" ht="15.75" customHeight="1">
      <c r="A926" s="56"/>
      <c r="B926" s="56"/>
      <c r="C926" s="56"/>
      <c r="D926" s="56"/>
      <c r="E926" s="56"/>
      <c r="F926" s="36"/>
      <c r="G926" s="36"/>
      <c r="H926" s="3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</row>
    <row r="927" ht="15.75" customHeight="1">
      <c r="A927" s="56"/>
      <c r="B927" s="56"/>
      <c r="C927" s="56"/>
      <c r="D927" s="56"/>
      <c r="E927" s="56"/>
      <c r="F927" s="36"/>
      <c r="G927" s="36"/>
      <c r="H927" s="3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</row>
    <row r="928" ht="15.75" customHeight="1">
      <c r="A928" s="56"/>
      <c r="B928" s="56"/>
      <c r="C928" s="56"/>
      <c r="D928" s="56"/>
      <c r="E928" s="56"/>
      <c r="F928" s="36"/>
      <c r="G928" s="36"/>
      <c r="H928" s="3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</row>
    <row r="929" ht="15.75" customHeight="1">
      <c r="A929" s="56"/>
      <c r="B929" s="56"/>
      <c r="C929" s="56"/>
      <c r="D929" s="56"/>
      <c r="E929" s="56"/>
      <c r="F929" s="36"/>
      <c r="G929" s="36"/>
      <c r="H929" s="3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</row>
    <row r="930" ht="15.75" customHeight="1">
      <c r="A930" s="56"/>
      <c r="B930" s="56"/>
      <c r="C930" s="56"/>
      <c r="D930" s="56"/>
      <c r="E930" s="56"/>
      <c r="F930" s="36"/>
      <c r="G930" s="36"/>
      <c r="H930" s="3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</row>
    <row r="931" ht="15.75" customHeight="1">
      <c r="A931" s="56"/>
      <c r="B931" s="56"/>
      <c r="C931" s="56"/>
      <c r="D931" s="56"/>
      <c r="E931" s="56"/>
      <c r="F931" s="36"/>
      <c r="G931" s="36"/>
      <c r="H931" s="3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</row>
    <row r="932" ht="15.75" customHeight="1">
      <c r="A932" s="56"/>
      <c r="B932" s="56"/>
      <c r="C932" s="56"/>
      <c r="D932" s="56"/>
      <c r="E932" s="56"/>
      <c r="F932" s="36"/>
      <c r="G932" s="36"/>
      <c r="H932" s="3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</row>
    <row r="933" ht="15.75" customHeight="1">
      <c r="A933" s="56"/>
      <c r="B933" s="56"/>
      <c r="C933" s="56"/>
      <c r="D933" s="56"/>
      <c r="E933" s="56"/>
      <c r="F933" s="36"/>
      <c r="G933" s="36"/>
      <c r="H933" s="3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</row>
    <row r="934" ht="15.75" customHeight="1">
      <c r="A934" s="56"/>
      <c r="B934" s="56"/>
      <c r="C934" s="56"/>
      <c r="D934" s="56"/>
      <c r="E934" s="56"/>
      <c r="F934" s="36"/>
      <c r="G934" s="36"/>
      <c r="H934" s="3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</row>
    <row r="935" ht="15.75" customHeight="1">
      <c r="A935" s="56"/>
      <c r="B935" s="56"/>
      <c r="C935" s="56"/>
      <c r="D935" s="56"/>
      <c r="E935" s="56"/>
      <c r="F935" s="36"/>
      <c r="G935" s="36"/>
      <c r="H935" s="3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</row>
    <row r="936" ht="15.75" customHeight="1">
      <c r="A936" s="56"/>
      <c r="B936" s="56"/>
      <c r="C936" s="56"/>
      <c r="D936" s="56"/>
      <c r="E936" s="56"/>
      <c r="F936" s="36"/>
      <c r="G936" s="36"/>
      <c r="H936" s="3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</row>
    <row r="937" ht="15.75" customHeight="1">
      <c r="A937" s="56"/>
      <c r="B937" s="56"/>
      <c r="C937" s="56"/>
      <c r="D937" s="56"/>
      <c r="E937" s="56"/>
      <c r="F937" s="36"/>
      <c r="G937" s="36"/>
      <c r="H937" s="3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</row>
    <row r="938" ht="15.75" customHeight="1">
      <c r="A938" s="56"/>
      <c r="B938" s="56"/>
      <c r="C938" s="56"/>
      <c r="D938" s="56"/>
      <c r="E938" s="56"/>
      <c r="F938" s="36"/>
      <c r="G938" s="36"/>
      <c r="H938" s="3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</row>
    <row r="939" ht="15.75" customHeight="1">
      <c r="A939" s="56"/>
      <c r="B939" s="56"/>
      <c r="C939" s="56"/>
      <c r="D939" s="56"/>
      <c r="E939" s="56"/>
      <c r="F939" s="36"/>
      <c r="G939" s="36"/>
      <c r="H939" s="3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</row>
    <row r="940" ht="15.75" customHeight="1">
      <c r="A940" s="56"/>
      <c r="B940" s="56"/>
      <c r="C940" s="56"/>
      <c r="D940" s="56"/>
      <c r="E940" s="56"/>
      <c r="F940" s="36"/>
      <c r="G940" s="36"/>
      <c r="H940" s="3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</row>
    <row r="941" ht="15.75" customHeight="1">
      <c r="A941" s="56"/>
      <c r="B941" s="56"/>
      <c r="C941" s="56"/>
      <c r="D941" s="56"/>
      <c r="E941" s="56"/>
      <c r="F941" s="36"/>
      <c r="G941" s="36"/>
      <c r="H941" s="3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</row>
    <row r="942" ht="15.75" customHeight="1">
      <c r="A942" s="56"/>
      <c r="B942" s="56"/>
      <c r="C942" s="56"/>
      <c r="D942" s="56"/>
      <c r="E942" s="56"/>
      <c r="F942" s="36"/>
      <c r="G942" s="36"/>
      <c r="H942" s="3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</row>
    <row r="943" ht="15.75" customHeight="1">
      <c r="A943" s="56"/>
      <c r="B943" s="56"/>
      <c r="C943" s="56"/>
      <c r="D943" s="56"/>
      <c r="E943" s="56"/>
      <c r="F943" s="36"/>
      <c r="G943" s="36"/>
      <c r="H943" s="3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</row>
    <row r="944" ht="15.75" customHeight="1">
      <c r="A944" s="56"/>
      <c r="B944" s="56"/>
      <c r="C944" s="56"/>
      <c r="D944" s="56"/>
      <c r="E944" s="56"/>
      <c r="F944" s="36"/>
      <c r="G944" s="36"/>
      <c r="H944" s="3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</row>
    <row r="945" ht="15.75" customHeight="1">
      <c r="A945" s="56"/>
      <c r="B945" s="56"/>
      <c r="C945" s="56"/>
      <c r="D945" s="56"/>
      <c r="E945" s="56"/>
      <c r="F945" s="36"/>
      <c r="G945" s="36"/>
      <c r="H945" s="3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</row>
    <row r="946" ht="15.75" customHeight="1">
      <c r="A946" s="56"/>
      <c r="B946" s="56"/>
      <c r="C946" s="56"/>
      <c r="D946" s="56"/>
      <c r="E946" s="56"/>
      <c r="F946" s="36"/>
      <c r="G946" s="36"/>
      <c r="H946" s="3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</row>
    <row r="947" ht="15.75" customHeight="1">
      <c r="A947" s="56"/>
      <c r="B947" s="56"/>
      <c r="C947" s="56"/>
      <c r="D947" s="56"/>
      <c r="E947" s="56"/>
      <c r="F947" s="36"/>
      <c r="G947" s="36"/>
      <c r="H947" s="3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</row>
    <row r="948" ht="15.75" customHeight="1">
      <c r="A948" s="56"/>
      <c r="B948" s="56"/>
      <c r="C948" s="56"/>
      <c r="D948" s="56"/>
      <c r="E948" s="56"/>
      <c r="F948" s="36"/>
      <c r="G948" s="36"/>
      <c r="H948" s="3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</row>
    <row r="949" ht="15.75" customHeight="1">
      <c r="A949" s="56"/>
      <c r="B949" s="56"/>
      <c r="C949" s="56"/>
      <c r="D949" s="56"/>
      <c r="E949" s="56"/>
      <c r="F949" s="36"/>
      <c r="G949" s="36"/>
      <c r="H949" s="3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</row>
    <row r="950" ht="15.75" customHeight="1">
      <c r="A950" s="56"/>
      <c r="B950" s="56"/>
      <c r="C950" s="56"/>
      <c r="D950" s="56"/>
      <c r="E950" s="56"/>
      <c r="F950" s="36"/>
      <c r="G950" s="36"/>
      <c r="H950" s="3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</row>
    <row r="951" ht="15.75" customHeight="1">
      <c r="A951" s="56"/>
      <c r="B951" s="56"/>
      <c r="C951" s="56"/>
      <c r="D951" s="56"/>
      <c r="E951" s="56"/>
      <c r="F951" s="36"/>
      <c r="G951" s="36"/>
      <c r="H951" s="3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</row>
    <row r="952" ht="15.75" customHeight="1">
      <c r="A952" s="56"/>
      <c r="B952" s="56"/>
      <c r="C952" s="56"/>
      <c r="D952" s="56"/>
      <c r="E952" s="56"/>
      <c r="F952" s="36"/>
      <c r="G952" s="36"/>
      <c r="H952" s="3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</row>
    <row r="953" ht="15.75" customHeight="1">
      <c r="A953" s="56"/>
      <c r="B953" s="56"/>
      <c r="C953" s="56"/>
      <c r="D953" s="56"/>
      <c r="E953" s="56"/>
      <c r="F953" s="36"/>
      <c r="G953" s="36"/>
      <c r="H953" s="3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</row>
    <row r="954" ht="15.75" customHeight="1">
      <c r="A954" s="56"/>
      <c r="B954" s="56"/>
      <c r="C954" s="56"/>
      <c r="D954" s="56"/>
      <c r="E954" s="56"/>
      <c r="F954" s="36"/>
      <c r="G954" s="36"/>
      <c r="H954" s="3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</row>
    <row r="955" ht="15.75" customHeight="1">
      <c r="A955" s="56"/>
      <c r="B955" s="56"/>
      <c r="C955" s="56"/>
      <c r="D955" s="56"/>
      <c r="E955" s="56"/>
      <c r="F955" s="36"/>
      <c r="G955" s="36"/>
      <c r="H955" s="3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</row>
    <row r="956" ht="15.75" customHeight="1">
      <c r="A956" s="56"/>
      <c r="B956" s="56"/>
      <c r="C956" s="56"/>
      <c r="D956" s="56"/>
      <c r="E956" s="56"/>
      <c r="F956" s="36"/>
      <c r="G956" s="36"/>
      <c r="H956" s="3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</row>
    <row r="957" ht="15.75" customHeight="1">
      <c r="A957" s="56"/>
      <c r="B957" s="56"/>
      <c r="C957" s="56"/>
      <c r="D957" s="56"/>
      <c r="E957" s="56"/>
      <c r="F957" s="36"/>
      <c r="G957" s="36"/>
      <c r="H957" s="3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</row>
    <row r="958" ht="15.75" customHeight="1">
      <c r="A958" s="56"/>
      <c r="B958" s="56"/>
      <c r="C958" s="56"/>
      <c r="D958" s="56"/>
      <c r="E958" s="56"/>
      <c r="F958" s="36"/>
      <c r="G958" s="36"/>
      <c r="H958" s="3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</row>
    <row r="959" ht="15.75" customHeight="1">
      <c r="A959" s="56"/>
      <c r="B959" s="56"/>
      <c r="C959" s="56"/>
      <c r="D959" s="56"/>
      <c r="E959" s="56"/>
      <c r="F959" s="36"/>
      <c r="G959" s="36"/>
      <c r="H959" s="3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</row>
    <row r="960" ht="15.75" customHeight="1">
      <c r="A960" s="56"/>
      <c r="B960" s="56"/>
      <c r="C960" s="56"/>
      <c r="D960" s="56"/>
      <c r="E960" s="56"/>
      <c r="F960" s="36"/>
      <c r="G960" s="36"/>
      <c r="H960" s="3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</row>
    <row r="961" ht="15.75" customHeight="1">
      <c r="A961" s="56"/>
      <c r="B961" s="56"/>
      <c r="C961" s="56"/>
      <c r="D961" s="56"/>
      <c r="E961" s="56"/>
      <c r="F961" s="36"/>
      <c r="G961" s="36"/>
      <c r="H961" s="3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</row>
    <row r="962" ht="15.75" customHeight="1">
      <c r="A962" s="56"/>
      <c r="B962" s="56"/>
      <c r="C962" s="56"/>
      <c r="D962" s="56"/>
      <c r="E962" s="56"/>
      <c r="F962" s="36"/>
      <c r="G962" s="36"/>
      <c r="H962" s="3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</row>
    <row r="963" ht="15.75" customHeight="1">
      <c r="A963" s="56"/>
      <c r="B963" s="56"/>
      <c r="C963" s="56"/>
      <c r="D963" s="56"/>
      <c r="E963" s="56"/>
      <c r="F963" s="36"/>
      <c r="G963" s="36"/>
      <c r="H963" s="3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</row>
    <row r="964" ht="15.75" customHeight="1">
      <c r="A964" s="56"/>
      <c r="B964" s="56"/>
      <c r="C964" s="56"/>
      <c r="D964" s="56"/>
      <c r="E964" s="56"/>
      <c r="F964" s="36"/>
      <c r="G964" s="36"/>
      <c r="H964" s="3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</row>
    <row r="965" ht="15.75" customHeight="1">
      <c r="A965" s="56"/>
      <c r="B965" s="56"/>
      <c r="C965" s="56"/>
      <c r="D965" s="56"/>
      <c r="E965" s="56"/>
      <c r="F965" s="36"/>
      <c r="G965" s="36"/>
      <c r="H965" s="3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</row>
    <row r="966" ht="15.75" customHeight="1">
      <c r="A966" s="56"/>
      <c r="B966" s="56"/>
      <c r="C966" s="56"/>
      <c r="D966" s="56"/>
      <c r="E966" s="56"/>
      <c r="F966" s="36"/>
      <c r="G966" s="36"/>
      <c r="H966" s="3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</row>
    <row r="967" ht="15.75" customHeight="1">
      <c r="A967" s="56"/>
      <c r="B967" s="56"/>
      <c r="C967" s="56"/>
      <c r="D967" s="56"/>
      <c r="E967" s="56"/>
      <c r="F967" s="36"/>
      <c r="G967" s="36"/>
      <c r="H967" s="3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</row>
    <row r="968" ht="15.75" customHeight="1">
      <c r="A968" s="56"/>
      <c r="B968" s="56"/>
      <c r="C968" s="56"/>
      <c r="D968" s="56"/>
      <c r="E968" s="56"/>
      <c r="F968" s="36"/>
      <c r="G968" s="36"/>
      <c r="H968" s="3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</row>
    <row r="969" ht="15.75" customHeight="1">
      <c r="A969" s="56"/>
      <c r="B969" s="56"/>
      <c r="C969" s="56"/>
      <c r="D969" s="56"/>
      <c r="E969" s="56"/>
      <c r="F969" s="36"/>
      <c r="G969" s="36"/>
      <c r="H969" s="3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</row>
    <row r="970" ht="15.75" customHeight="1">
      <c r="A970" s="56"/>
      <c r="B970" s="56"/>
      <c r="C970" s="56"/>
      <c r="D970" s="56"/>
      <c r="E970" s="56"/>
      <c r="F970" s="36"/>
      <c r="G970" s="36"/>
      <c r="H970" s="3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</row>
    <row r="971" ht="15.75" customHeight="1">
      <c r="A971" s="56"/>
      <c r="B971" s="56"/>
      <c r="C971" s="56"/>
      <c r="D971" s="56"/>
      <c r="E971" s="56"/>
      <c r="F971" s="36"/>
      <c r="G971" s="36"/>
      <c r="H971" s="3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</row>
  </sheetData>
  <mergeCells count="16">
    <mergeCell ref="A1:G1"/>
    <mergeCell ref="F2:H2"/>
    <mergeCell ref="A3:A9"/>
    <mergeCell ref="A10:A16"/>
    <mergeCell ref="AA17:AC17"/>
    <mergeCell ref="AA18:AC25"/>
    <mergeCell ref="AD18:AE25"/>
    <mergeCell ref="A58:A61"/>
    <mergeCell ref="A62:A63"/>
    <mergeCell ref="A17:A23"/>
    <mergeCell ref="A24:A30"/>
    <mergeCell ref="A31:A37"/>
    <mergeCell ref="A38:A44"/>
    <mergeCell ref="A45:A51"/>
    <mergeCell ref="A56:G56"/>
    <mergeCell ref="F57:H5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63"/>
    <col customWidth="1" min="3" max="3" width="6.0"/>
    <col customWidth="1" min="4" max="4" width="7.75"/>
    <col customWidth="1" min="5" max="5" width="19.13"/>
    <col customWidth="1" min="7" max="7" width="2.38"/>
    <col customWidth="1" min="9" max="9" width="19.13"/>
    <col hidden="1" min="10" max="29" width="12.63"/>
    <col customWidth="1" min="31" max="31" width="14.5"/>
    <col customWidth="1" min="32" max="32" width="21.63"/>
    <col hidden="1" min="40" max="40" width="12.63"/>
  </cols>
  <sheetData>
    <row r="1" ht="15.75" customHeight="1">
      <c r="A1" s="90" t="s">
        <v>140</v>
      </c>
      <c r="H1" s="56"/>
      <c r="I1" s="3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36"/>
      <c r="AF1" s="36"/>
      <c r="AG1" s="36"/>
      <c r="AH1" s="36"/>
      <c r="AI1" s="36"/>
      <c r="AJ1" s="36"/>
      <c r="AK1" s="36"/>
      <c r="AL1" s="36"/>
      <c r="AM1" s="36"/>
      <c r="AN1" s="36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36" t="s">
        <v>20</v>
      </c>
      <c r="X2" s="56"/>
      <c r="Y2" s="6" t="s">
        <v>20</v>
      </c>
      <c r="Z2" s="8"/>
      <c r="AA2" s="31"/>
      <c r="AB2" s="31"/>
      <c r="AC2" s="31"/>
      <c r="AD2" s="56"/>
      <c r="AE2" s="5" t="s">
        <v>11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16</v>
      </c>
      <c r="AK2" s="5" t="s">
        <v>17</v>
      </c>
      <c r="AL2" s="5" t="s">
        <v>18</v>
      </c>
      <c r="AM2" s="5" t="s">
        <v>19</v>
      </c>
      <c r="AN2" s="9"/>
    </row>
    <row r="3" ht="15.75" customHeight="1">
      <c r="A3" s="10">
        <v>1.0</v>
      </c>
      <c r="B3" s="11">
        <v>45945.0</v>
      </c>
      <c r="C3" s="12" t="s">
        <v>141</v>
      </c>
      <c r="D3" s="12" t="s">
        <v>22</v>
      </c>
      <c r="E3" s="14" t="s">
        <v>36</v>
      </c>
      <c r="F3" s="14">
        <v>3.0</v>
      </c>
      <c r="G3" s="75" t="s">
        <v>24</v>
      </c>
      <c r="H3" s="14">
        <v>5.0</v>
      </c>
      <c r="I3" s="14" t="s">
        <v>33</v>
      </c>
      <c r="J3" s="4"/>
      <c r="K3" s="4">
        <f t="shared" ref="K3:K68" si="1">IF(F3="","",IFS(F3&gt;H3,3,F3=H3,1,H3&gt;F3,0,F3="",0))</f>
        <v>0</v>
      </c>
      <c r="L3" s="17">
        <f t="shared" ref="L3:L68" si="2">IF(H3="","",IFS(F3&lt;H3,3,F3=H3,1,H3&lt;F3,0))</f>
        <v>3</v>
      </c>
      <c r="M3" s="4"/>
      <c r="N3" s="17">
        <v>1.0</v>
      </c>
      <c r="O3" s="91" t="s">
        <v>36</v>
      </c>
      <c r="P3" s="17">
        <f t="shared" ref="P3:P14" si="3">SUMIF(E$3:E$68,O3,K$3:K$68)+SUMIF(I$3:I$68,O3,L$3:L$68)</f>
        <v>0</v>
      </c>
      <c r="Q3" s="17">
        <f t="shared" ref="Q3:Q14" si="4">COUNTIFS(E$3:E$68,O3,K$3:K$68,3)+COUNTIFS(I$3:I$68,O3,L$3:L$68,3)</f>
        <v>0</v>
      </c>
      <c r="R3" s="17">
        <f t="shared" ref="R3:R14" si="5">COUNTIFS(E$3:E$68,O3,K$3:K$68,1)+COUNTIFS(I$3:I$68,O3,L$3:L$68,1)</f>
        <v>0</v>
      </c>
      <c r="S3" s="19">
        <f t="shared" ref="S3:S14" si="6">COUNTIFS(E$3:E$68,O3,K$3:K$68,0)+COUNTIFS(I$3:I$68,O3,L$3:L$68,0)</f>
        <v>3</v>
      </c>
      <c r="T3" s="17">
        <f t="shared" ref="T3:T14" si="7">SUMIF(E$3:E$68,O3,F$3:F$68)+SUMIF(I$3:I$68,O3,H$3:H$68)</f>
        <v>4</v>
      </c>
      <c r="U3" s="19">
        <f t="shared" ref="U3:U14" si="8">SUMIF(E$3:E$68,O3,H$3:H$68)+SUMIF(I$3:I$68,O3,F$3:F$68)</f>
        <v>15</v>
      </c>
      <c r="V3" s="17">
        <f t="shared" ref="V3:V14" si="9">T3-U3</f>
        <v>-11</v>
      </c>
      <c r="W3" s="56"/>
      <c r="X3" s="56"/>
      <c r="Y3" s="62" t="s">
        <v>26</v>
      </c>
      <c r="Z3" s="62" t="s">
        <v>13</v>
      </c>
      <c r="AA3" s="92"/>
      <c r="AB3" s="92"/>
      <c r="AC3" s="92"/>
      <c r="AD3" s="56"/>
      <c r="AE3" s="21" t="s">
        <v>29</v>
      </c>
      <c r="AF3" s="22" t="str">
        <f t="array" ref="AF3:AN14">SORT(O3:W14,2,FALSE,9,FALSE,8,FALSE())</f>
        <v>Finanças</v>
      </c>
      <c r="AG3" s="22">
        <v>9.0</v>
      </c>
      <c r="AH3" s="22">
        <v>3.0</v>
      </c>
      <c r="AI3" s="22">
        <v>0.0</v>
      </c>
      <c r="AJ3" s="22">
        <v>0.0</v>
      </c>
      <c r="AK3" s="22">
        <v>9.0</v>
      </c>
      <c r="AL3" s="22">
        <v>2.0</v>
      </c>
      <c r="AM3" s="22">
        <v>7.0</v>
      </c>
      <c r="AN3" s="17"/>
    </row>
    <row r="4" ht="15.75" customHeight="1">
      <c r="A4" s="24"/>
      <c r="B4" s="11">
        <v>45945.0</v>
      </c>
      <c r="C4" s="12" t="s">
        <v>142</v>
      </c>
      <c r="D4" s="12" t="s">
        <v>22</v>
      </c>
      <c r="E4" s="14" t="s">
        <v>23</v>
      </c>
      <c r="F4" s="14">
        <v>4.0</v>
      </c>
      <c r="G4" s="75" t="s">
        <v>24</v>
      </c>
      <c r="H4" s="14">
        <v>2.0</v>
      </c>
      <c r="I4" s="14" t="s">
        <v>111</v>
      </c>
      <c r="J4" s="4"/>
      <c r="K4" s="4">
        <f t="shared" si="1"/>
        <v>3</v>
      </c>
      <c r="L4" s="17">
        <f t="shared" si="2"/>
        <v>0</v>
      </c>
      <c r="M4" s="4"/>
      <c r="N4" s="17">
        <v>2.0</v>
      </c>
      <c r="O4" s="91" t="s">
        <v>143</v>
      </c>
      <c r="P4" s="17">
        <f t="shared" si="3"/>
        <v>9</v>
      </c>
      <c r="Q4" s="17">
        <f t="shared" si="4"/>
        <v>3</v>
      </c>
      <c r="R4" s="17">
        <f t="shared" si="5"/>
        <v>0</v>
      </c>
      <c r="S4" s="19">
        <f t="shared" si="6"/>
        <v>0</v>
      </c>
      <c r="T4" s="17">
        <f t="shared" si="7"/>
        <v>9</v>
      </c>
      <c r="U4" s="19">
        <f t="shared" si="8"/>
        <v>2</v>
      </c>
      <c r="V4" s="17">
        <f t="shared" si="9"/>
        <v>7</v>
      </c>
      <c r="W4" s="56"/>
      <c r="X4" s="56"/>
      <c r="Y4" s="27" t="s">
        <v>59</v>
      </c>
      <c r="Z4" s="27">
        <v>3.0</v>
      </c>
      <c r="AA4" s="82"/>
      <c r="AB4" s="82"/>
      <c r="AC4" s="82"/>
      <c r="AD4" s="56"/>
      <c r="AE4" s="21" t="s">
        <v>34</v>
      </c>
      <c r="AF4" s="22" t="s">
        <v>144</v>
      </c>
      <c r="AG4" s="22">
        <v>7.0</v>
      </c>
      <c r="AH4" s="22">
        <v>2.0</v>
      </c>
      <c r="AI4" s="22">
        <v>1.0</v>
      </c>
      <c r="AJ4" s="22">
        <v>0.0</v>
      </c>
      <c r="AK4" s="22">
        <v>11.0</v>
      </c>
      <c r="AL4" s="22">
        <v>1.0</v>
      </c>
      <c r="AM4" s="22">
        <v>10.0</v>
      </c>
      <c r="AN4" s="17"/>
    </row>
    <row r="5" ht="15.75" customHeight="1">
      <c r="A5" s="24"/>
      <c r="B5" s="11">
        <v>45945.0</v>
      </c>
      <c r="C5" s="12" t="s">
        <v>117</v>
      </c>
      <c r="D5" s="12" t="s">
        <v>22</v>
      </c>
      <c r="E5" s="14" t="s">
        <v>145</v>
      </c>
      <c r="F5" s="14">
        <v>1.0</v>
      </c>
      <c r="G5" s="75" t="s">
        <v>24</v>
      </c>
      <c r="H5" s="14">
        <v>1.0</v>
      </c>
      <c r="I5" s="14" t="s">
        <v>144</v>
      </c>
      <c r="J5" s="4"/>
      <c r="K5" s="4">
        <f t="shared" si="1"/>
        <v>1</v>
      </c>
      <c r="L5" s="17">
        <f t="shared" si="2"/>
        <v>1</v>
      </c>
      <c r="M5" s="4"/>
      <c r="N5" s="17">
        <v>3.0</v>
      </c>
      <c r="O5" s="91" t="s">
        <v>33</v>
      </c>
      <c r="P5" s="17">
        <f t="shared" si="3"/>
        <v>6</v>
      </c>
      <c r="Q5" s="17">
        <f t="shared" si="4"/>
        <v>2</v>
      </c>
      <c r="R5" s="17">
        <f t="shared" si="5"/>
        <v>0</v>
      </c>
      <c r="S5" s="19">
        <f t="shared" si="6"/>
        <v>0</v>
      </c>
      <c r="T5" s="17">
        <f t="shared" si="7"/>
        <v>11</v>
      </c>
      <c r="U5" s="19">
        <f t="shared" si="8"/>
        <v>3</v>
      </c>
      <c r="V5" s="17">
        <f t="shared" si="9"/>
        <v>8</v>
      </c>
      <c r="W5" s="56"/>
      <c r="X5" s="56"/>
      <c r="Y5" s="27" t="s">
        <v>36</v>
      </c>
      <c r="Z5" s="27">
        <v>0.0</v>
      </c>
      <c r="AA5" s="82"/>
      <c r="AB5" s="82"/>
      <c r="AC5" s="82"/>
      <c r="AD5" s="56"/>
      <c r="AE5" s="21" t="s">
        <v>38</v>
      </c>
      <c r="AF5" s="22" t="s">
        <v>108</v>
      </c>
      <c r="AG5" s="22">
        <v>7.0</v>
      </c>
      <c r="AH5" s="22">
        <v>2.0</v>
      </c>
      <c r="AI5" s="22">
        <v>1.0</v>
      </c>
      <c r="AJ5" s="22">
        <v>0.0</v>
      </c>
      <c r="AK5" s="22">
        <v>9.0</v>
      </c>
      <c r="AL5" s="22">
        <v>5.0</v>
      </c>
      <c r="AM5" s="22">
        <v>4.0</v>
      </c>
      <c r="AN5" s="17"/>
    </row>
    <row r="6" ht="15.75" customHeight="1">
      <c r="A6" s="24"/>
      <c r="B6" s="11">
        <v>45945.0</v>
      </c>
      <c r="C6" s="12" t="s">
        <v>95</v>
      </c>
      <c r="D6" s="12" t="s">
        <v>22</v>
      </c>
      <c r="E6" s="14" t="s">
        <v>25</v>
      </c>
      <c r="F6" s="14">
        <v>2.0</v>
      </c>
      <c r="G6" s="75" t="s">
        <v>24</v>
      </c>
      <c r="H6" s="14">
        <v>1.0</v>
      </c>
      <c r="I6" s="14" t="s">
        <v>59</v>
      </c>
      <c r="J6" s="4"/>
      <c r="K6" s="4">
        <f t="shared" si="1"/>
        <v>3</v>
      </c>
      <c r="L6" s="17">
        <f t="shared" si="2"/>
        <v>0</v>
      </c>
      <c r="M6" s="4"/>
      <c r="N6" s="17">
        <v>4.0</v>
      </c>
      <c r="O6" s="91" t="s">
        <v>45</v>
      </c>
      <c r="P6" s="17">
        <f t="shared" si="3"/>
        <v>0</v>
      </c>
      <c r="Q6" s="17">
        <f t="shared" si="4"/>
        <v>0</v>
      </c>
      <c r="R6" s="17">
        <f t="shared" si="5"/>
        <v>0</v>
      </c>
      <c r="S6" s="19">
        <f t="shared" si="6"/>
        <v>3</v>
      </c>
      <c r="T6" s="17">
        <f t="shared" si="7"/>
        <v>2</v>
      </c>
      <c r="U6" s="19">
        <f t="shared" si="8"/>
        <v>17</v>
      </c>
      <c r="V6" s="17">
        <f t="shared" si="9"/>
        <v>-15</v>
      </c>
      <c r="W6" s="56"/>
      <c r="X6" s="56"/>
      <c r="Y6" s="56"/>
      <c r="Z6" s="56"/>
      <c r="AA6" s="56"/>
      <c r="AB6" s="56"/>
      <c r="AC6" s="56"/>
      <c r="AD6" s="56"/>
      <c r="AE6" s="21" t="s">
        <v>41</v>
      </c>
      <c r="AF6" s="22" t="s">
        <v>33</v>
      </c>
      <c r="AG6" s="22">
        <v>6.0</v>
      </c>
      <c r="AH6" s="22">
        <v>2.0</v>
      </c>
      <c r="AI6" s="22">
        <v>0.0</v>
      </c>
      <c r="AJ6" s="22">
        <v>0.0</v>
      </c>
      <c r="AK6" s="22">
        <v>11.0</v>
      </c>
      <c r="AL6" s="22">
        <v>3.0</v>
      </c>
      <c r="AM6" s="22">
        <v>8.0</v>
      </c>
      <c r="AN6" s="17"/>
    </row>
    <row r="7" ht="15.75" customHeight="1">
      <c r="A7" s="24"/>
      <c r="B7" s="11">
        <v>45945.0</v>
      </c>
      <c r="C7" s="12" t="s">
        <v>98</v>
      </c>
      <c r="D7" s="12" t="s">
        <v>22</v>
      </c>
      <c r="E7" s="14" t="s">
        <v>45</v>
      </c>
      <c r="F7" s="14">
        <v>1.0</v>
      </c>
      <c r="G7" s="75" t="s">
        <v>24</v>
      </c>
      <c r="H7" s="14">
        <v>4.0</v>
      </c>
      <c r="I7" s="14" t="s">
        <v>108</v>
      </c>
      <c r="J7" s="4"/>
      <c r="K7" s="4">
        <f t="shared" si="1"/>
        <v>0</v>
      </c>
      <c r="L7" s="17">
        <f t="shared" si="2"/>
        <v>3</v>
      </c>
      <c r="M7" s="4"/>
      <c r="N7" s="17">
        <v>5.0</v>
      </c>
      <c r="O7" s="91" t="s">
        <v>111</v>
      </c>
      <c r="P7" s="17">
        <f t="shared" si="3"/>
        <v>3</v>
      </c>
      <c r="Q7" s="17">
        <f t="shared" si="4"/>
        <v>1</v>
      </c>
      <c r="R7" s="17">
        <f t="shared" si="5"/>
        <v>0</v>
      </c>
      <c r="S7" s="19">
        <f t="shared" si="6"/>
        <v>1</v>
      </c>
      <c r="T7" s="17">
        <f t="shared" si="7"/>
        <v>4</v>
      </c>
      <c r="U7" s="19">
        <f t="shared" si="8"/>
        <v>5</v>
      </c>
      <c r="V7" s="17">
        <f t="shared" si="9"/>
        <v>-1</v>
      </c>
      <c r="W7" s="56"/>
      <c r="X7" s="56"/>
      <c r="Y7" s="56"/>
      <c r="Z7" s="56"/>
      <c r="AA7" s="56"/>
      <c r="AB7" s="56"/>
      <c r="AC7" s="56"/>
      <c r="AD7" s="56"/>
      <c r="AE7" s="21" t="s">
        <v>44</v>
      </c>
      <c r="AF7" s="22" t="s">
        <v>146</v>
      </c>
      <c r="AG7" s="22">
        <v>3.0</v>
      </c>
      <c r="AH7" s="22">
        <v>1.0</v>
      </c>
      <c r="AI7" s="22">
        <v>0.0</v>
      </c>
      <c r="AJ7" s="22">
        <v>2.0</v>
      </c>
      <c r="AK7" s="22">
        <v>12.0</v>
      </c>
      <c r="AL7" s="22">
        <v>10.0</v>
      </c>
      <c r="AM7" s="22">
        <v>2.0</v>
      </c>
      <c r="AN7" s="17"/>
    </row>
    <row r="8" ht="15.75" customHeight="1">
      <c r="A8" s="28"/>
      <c r="B8" s="11">
        <v>45945.0</v>
      </c>
      <c r="C8" s="12" t="s">
        <v>102</v>
      </c>
      <c r="D8" s="12" t="s">
        <v>22</v>
      </c>
      <c r="E8" s="40" t="s">
        <v>146</v>
      </c>
      <c r="F8" s="14">
        <v>2.0</v>
      </c>
      <c r="G8" s="75" t="s">
        <v>24</v>
      </c>
      <c r="H8" s="14">
        <v>3.0</v>
      </c>
      <c r="I8" s="40" t="s">
        <v>143</v>
      </c>
      <c r="J8" s="4"/>
      <c r="K8" s="4">
        <f t="shared" si="1"/>
        <v>0</v>
      </c>
      <c r="L8" s="17">
        <f t="shared" si="2"/>
        <v>3</v>
      </c>
      <c r="M8" s="4"/>
      <c r="N8" s="17">
        <v>6.0</v>
      </c>
      <c r="O8" s="91" t="s">
        <v>25</v>
      </c>
      <c r="P8" s="17">
        <f t="shared" si="3"/>
        <v>3</v>
      </c>
      <c r="Q8" s="17">
        <f t="shared" si="4"/>
        <v>1</v>
      </c>
      <c r="R8" s="17">
        <f t="shared" si="5"/>
        <v>0</v>
      </c>
      <c r="S8" s="19">
        <f t="shared" si="6"/>
        <v>2</v>
      </c>
      <c r="T8" s="17">
        <f t="shared" si="7"/>
        <v>4</v>
      </c>
      <c r="U8" s="19">
        <f t="shared" si="8"/>
        <v>7</v>
      </c>
      <c r="V8" s="17">
        <f t="shared" si="9"/>
        <v>-3</v>
      </c>
      <c r="W8" s="56"/>
      <c r="X8" s="56"/>
      <c r="Y8" s="56"/>
      <c r="Z8" s="56"/>
      <c r="AA8" s="56"/>
      <c r="AB8" s="56"/>
      <c r="AC8" s="56"/>
      <c r="AD8" s="56"/>
      <c r="AE8" s="47">
        <v>6.0</v>
      </c>
      <c r="AF8" s="22" t="s">
        <v>145</v>
      </c>
      <c r="AG8" s="22">
        <v>3.0</v>
      </c>
      <c r="AH8" s="22">
        <v>0.0</v>
      </c>
      <c r="AI8" s="22">
        <v>3.0</v>
      </c>
      <c r="AJ8" s="22">
        <v>0.0</v>
      </c>
      <c r="AK8" s="22">
        <v>6.0</v>
      </c>
      <c r="AL8" s="22">
        <v>6.0</v>
      </c>
      <c r="AM8" s="22">
        <v>0.0</v>
      </c>
      <c r="AN8" s="17"/>
    </row>
    <row r="9" ht="15.75" customHeight="1">
      <c r="A9" s="10">
        <v>2.0</v>
      </c>
      <c r="B9" s="11">
        <v>45959.0</v>
      </c>
      <c r="C9" s="12" t="s">
        <v>147</v>
      </c>
      <c r="D9" s="12" t="s">
        <v>133</v>
      </c>
      <c r="E9" s="14" t="s">
        <v>33</v>
      </c>
      <c r="F9" s="14">
        <v>6.0</v>
      </c>
      <c r="G9" s="75" t="s">
        <v>24</v>
      </c>
      <c r="H9" s="14">
        <v>0.0</v>
      </c>
      <c r="I9" s="14" t="s">
        <v>146</v>
      </c>
      <c r="J9" s="4"/>
      <c r="K9" s="4">
        <f t="shared" si="1"/>
        <v>3</v>
      </c>
      <c r="L9" s="17">
        <f t="shared" si="2"/>
        <v>0</v>
      </c>
      <c r="M9" s="4"/>
      <c r="N9" s="17">
        <v>7.0</v>
      </c>
      <c r="O9" s="91" t="s">
        <v>144</v>
      </c>
      <c r="P9" s="17">
        <f t="shared" si="3"/>
        <v>7</v>
      </c>
      <c r="Q9" s="17">
        <f t="shared" si="4"/>
        <v>2</v>
      </c>
      <c r="R9" s="17">
        <f t="shared" si="5"/>
        <v>1</v>
      </c>
      <c r="S9" s="19">
        <f t="shared" si="6"/>
        <v>0</v>
      </c>
      <c r="T9" s="17">
        <f t="shared" si="7"/>
        <v>11</v>
      </c>
      <c r="U9" s="19">
        <f t="shared" si="8"/>
        <v>1</v>
      </c>
      <c r="V9" s="17">
        <f t="shared" si="9"/>
        <v>10</v>
      </c>
      <c r="W9" s="56"/>
      <c r="X9" s="56"/>
      <c r="Y9" s="6" t="s">
        <v>20</v>
      </c>
      <c r="Z9" s="7"/>
      <c r="AA9" s="7"/>
      <c r="AB9" s="7"/>
      <c r="AC9" s="8"/>
      <c r="AD9" s="56"/>
      <c r="AE9" s="21">
        <v>7.0</v>
      </c>
      <c r="AF9" s="22" t="s">
        <v>23</v>
      </c>
      <c r="AG9" s="22">
        <v>3.0</v>
      </c>
      <c r="AH9" s="22">
        <v>1.0</v>
      </c>
      <c r="AI9" s="22">
        <v>0.0</v>
      </c>
      <c r="AJ9" s="22">
        <v>1.0</v>
      </c>
      <c r="AK9" s="22">
        <v>4.0</v>
      </c>
      <c r="AL9" s="22">
        <v>4.0</v>
      </c>
      <c r="AM9" s="22">
        <v>0.0</v>
      </c>
      <c r="AN9" s="17"/>
    </row>
    <row r="10" ht="15.75" customHeight="1">
      <c r="A10" s="24"/>
      <c r="B10" s="11">
        <v>45959.0</v>
      </c>
      <c r="C10" s="12" t="s">
        <v>148</v>
      </c>
      <c r="D10" s="12" t="s">
        <v>133</v>
      </c>
      <c r="E10" s="14" t="s">
        <v>111</v>
      </c>
      <c r="F10" s="14">
        <v>2.0</v>
      </c>
      <c r="G10" s="75" t="s">
        <v>24</v>
      </c>
      <c r="H10" s="14">
        <v>1.0</v>
      </c>
      <c r="I10" s="14" t="s">
        <v>36</v>
      </c>
      <c r="J10" s="4"/>
      <c r="K10" s="4">
        <f t="shared" si="1"/>
        <v>3</v>
      </c>
      <c r="L10" s="17">
        <f t="shared" si="2"/>
        <v>0</v>
      </c>
      <c r="M10" s="4"/>
      <c r="N10" s="17">
        <v>8.0</v>
      </c>
      <c r="O10" s="91" t="s">
        <v>145</v>
      </c>
      <c r="P10" s="17">
        <f t="shared" si="3"/>
        <v>3</v>
      </c>
      <c r="Q10" s="17">
        <f t="shared" si="4"/>
        <v>0</v>
      </c>
      <c r="R10" s="17">
        <f t="shared" si="5"/>
        <v>3</v>
      </c>
      <c r="S10" s="19">
        <f t="shared" si="6"/>
        <v>0</v>
      </c>
      <c r="T10" s="17">
        <f t="shared" si="7"/>
        <v>6</v>
      </c>
      <c r="U10" s="19">
        <f t="shared" si="8"/>
        <v>6</v>
      </c>
      <c r="V10" s="17">
        <f t="shared" si="9"/>
        <v>0</v>
      </c>
      <c r="W10" s="56"/>
      <c r="X10" s="56"/>
      <c r="Y10" s="62" t="s">
        <v>26</v>
      </c>
      <c r="Z10" s="62" t="s">
        <v>13</v>
      </c>
      <c r="AA10" s="62" t="s">
        <v>27</v>
      </c>
      <c r="AB10" s="62" t="s">
        <v>28</v>
      </c>
      <c r="AC10" s="62" t="s">
        <v>19</v>
      </c>
      <c r="AD10" s="56"/>
      <c r="AE10" s="21">
        <v>8.0</v>
      </c>
      <c r="AF10" s="22" t="s">
        <v>111</v>
      </c>
      <c r="AG10" s="22">
        <v>3.0</v>
      </c>
      <c r="AH10" s="22">
        <v>1.0</v>
      </c>
      <c r="AI10" s="22">
        <v>0.0</v>
      </c>
      <c r="AJ10" s="22">
        <v>1.0</v>
      </c>
      <c r="AK10" s="22">
        <v>4.0</v>
      </c>
      <c r="AL10" s="22">
        <v>5.0</v>
      </c>
      <c r="AM10" s="22">
        <v>-1.0</v>
      </c>
      <c r="AN10" s="17"/>
    </row>
    <row r="11" ht="15.75" customHeight="1">
      <c r="A11" s="24"/>
      <c r="B11" s="11">
        <v>45959.0</v>
      </c>
      <c r="C11" s="12" t="s">
        <v>149</v>
      </c>
      <c r="D11" s="12" t="s">
        <v>133</v>
      </c>
      <c r="E11" s="14" t="s">
        <v>144</v>
      </c>
      <c r="F11" s="14">
        <v>2.0</v>
      </c>
      <c r="G11" s="75" t="s">
        <v>24</v>
      </c>
      <c r="H11" s="14">
        <v>0.0</v>
      </c>
      <c r="I11" s="14" t="s">
        <v>23</v>
      </c>
      <c r="J11" s="4"/>
      <c r="K11" s="4">
        <f t="shared" si="1"/>
        <v>3</v>
      </c>
      <c r="L11" s="17">
        <f t="shared" si="2"/>
        <v>0</v>
      </c>
      <c r="M11" s="4"/>
      <c r="N11" s="17">
        <v>9.0</v>
      </c>
      <c r="O11" s="91" t="s">
        <v>59</v>
      </c>
      <c r="P11" s="17">
        <f t="shared" si="3"/>
        <v>1</v>
      </c>
      <c r="Q11" s="17">
        <f t="shared" si="4"/>
        <v>0</v>
      </c>
      <c r="R11" s="17">
        <f t="shared" si="5"/>
        <v>1</v>
      </c>
      <c r="S11" s="19">
        <f t="shared" si="6"/>
        <v>1</v>
      </c>
      <c r="T11" s="17">
        <f t="shared" si="7"/>
        <v>4</v>
      </c>
      <c r="U11" s="19">
        <f t="shared" si="8"/>
        <v>5</v>
      </c>
      <c r="V11" s="17">
        <f t="shared" si="9"/>
        <v>-1</v>
      </c>
      <c r="W11" s="56"/>
      <c r="X11" s="56"/>
      <c r="Y11" s="65" t="s">
        <v>23</v>
      </c>
      <c r="Z11" s="65">
        <v>1.0</v>
      </c>
      <c r="AA11" s="27">
        <v>37.0</v>
      </c>
      <c r="AB11" s="27">
        <v>28.0</v>
      </c>
      <c r="AC11" s="27">
        <f t="shared" ref="AC11:AC12" si="10">AA11-AB11</f>
        <v>9</v>
      </c>
      <c r="AD11" s="56"/>
      <c r="AE11" s="66" t="s">
        <v>101</v>
      </c>
      <c r="AF11" s="22" t="s">
        <v>25</v>
      </c>
      <c r="AG11" s="22">
        <v>3.0</v>
      </c>
      <c r="AH11" s="22">
        <v>1.0</v>
      </c>
      <c r="AI11" s="22">
        <v>0.0</v>
      </c>
      <c r="AJ11" s="22">
        <v>2.0</v>
      </c>
      <c r="AK11" s="22">
        <v>4.0</v>
      </c>
      <c r="AL11" s="22">
        <v>7.0</v>
      </c>
      <c r="AM11" s="22">
        <v>-3.0</v>
      </c>
      <c r="AN11" s="17"/>
    </row>
    <row r="12" ht="15.75" customHeight="1">
      <c r="A12" s="24"/>
      <c r="B12" s="11">
        <v>45960.0</v>
      </c>
      <c r="C12" s="12" t="s">
        <v>53</v>
      </c>
      <c r="D12" s="12" t="s">
        <v>22</v>
      </c>
      <c r="E12" s="14" t="s">
        <v>59</v>
      </c>
      <c r="F12" s="14">
        <v>3.0</v>
      </c>
      <c r="G12" s="75" t="s">
        <v>24</v>
      </c>
      <c r="H12" s="14">
        <v>3.0</v>
      </c>
      <c r="I12" s="14" t="s">
        <v>145</v>
      </c>
      <c r="J12" s="4"/>
      <c r="K12" s="4">
        <f t="shared" si="1"/>
        <v>1</v>
      </c>
      <c r="L12" s="17">
        <f t="shared" si="2"/>
        <v>1</v>
      </c>
      <c r="M12" s="4"/>
      <c r="N12" s="17">
        <v>10.0</v>
      </c>
      <c r="O12" s="91" t="s">
        <v>23</v>
      </c>
      <c r="P12" s="17">
        <f t="shared" si="3"/>
        <v>3</v>
      </c>
      <c r="Q12" s="17">
        <f t="shared" si="4"/>
        <v>1</v>
      </c>
      <c r="R12" s="17">
        <f t="shared" si="5"/>
        <v>0</v>
      </c>
      <c r="S12" s="19">
        <f t="shared" si="6"/>
        <v>1</v>
      </c>
      <c r="T12" s="17">
        <f t="shared" si="7"/>
        <v>4</v>
      </c>
      <c r="U12" s="19">
        <f t="shared" si="8"/>
        <v>4</v>
      </c>
      <c r="V12" s="17">
        <f t="shared" si="9"/>
        <v>0</v>
      </c>
      <c r="W12" s="56"/>
      <c r="X12" s="56"/>
      <c r="Y12" s="27" t="s">
        <v>150</v>
      </c>
      <c r="Z12" s="27">
        <v>1.0</v>
      </c>
      <c r="AA12" s="27">
        <v>38.0</v>
      </c>
      <c r="AB12" s="27">
        <v>32.0</v>
      </c>
      <c r="AC12" s="27">
        <f t="shared" si="10"/>
        <v>6</v>
      </c>
      <c r="AD12" s="56"/>
      <c r="AE12" s="69">
        <v>10.0</v>
      </c>
      <c r="AF12" s="22" t="s">
        <v>59</v>
      </c>
      <c r="AG12" s="22">
        <v>1.0</v>
      </c>
      <c r="AH12" s="22">
        <v>0.0</v>
      </c>
      <c r="AI12" s="22">
        <v>1.0</v>
      </c>
      <c r="AJ12" s="22">
        <v>1.0</v>
      </c>
      <c r="AK12" s="22">
        <v>4.0</v>
      </c>
      <c r="AL12" s="22">
        <v>5.0</v>
      </c>
      <c r="AM12" s="22">
        <v>-1.0</v>
      </c>
      <c r="AN12" s="17"/>
    </row>
    <row r="13" ht="15.75" customHeight="1">
      <c r="A13" s="24"/>
      <c r="B13" s="11">
        <v>45960.0</v>
      </c>
      <c r="C13" s="12" t="s">
        <v>21</v>
      </c>
      <c r="D13" s="12" t="s">
        <v>22</v>
      </c>
      <c r="E13" s="14" t="s">
        <v>108</v>
      </c>
      <c r="F13" s="14">
        <v>3.0</v>
      </c>
      <c r="G13" s="75" t="s">
        <v>24</v>
      </c>
      <c r="H13" s="14">
        <v>2.0</v>
      </c>
      <c r="I13" s="14" t="s">
        <v>25</v>
      </c>
      <c r="J13" s="4"/>
      <c r="K13" s="4">
        <f t="shared" si="1"/>
        <v>3</v>
      </c>
      <c r="L13" s="17">
        <f t="shared" si="2"/>
        <v>0</v>
      </c>
      <c r="M13" s="4"/>
      <c r="N13" s="17">
        <v>11.0</v>
      </c>
      <c r="O13" s="91" t="s">
        <v>108</v>
      </c>
      <c r="P13" s="17">
        <f t="shared" si="3"/>
        <v>7</v>
      </c>
      <c r="Q13" s="17">
        <f t="shared" si="4"/>
        <v>2</v>
      </c>
      <c r="R13" s="17">
        <f t="shared" si="5"/>
        <v>1</v>
      </c>
      <c r="S13" s="19">
        <f t="shared" si="6"/>
        <v>0</v>
      </c>
      <c r="T13" s="17">
        <f t="shared" si="7"/>
        <v>9</v>
      </c>
      <c r="U13" s="19">
        <f t="shared" si="8"/>
        <v>5</v>
      </c>
      <c r="V13" s="17">
        <f t="shared" si="9"/>
        <v>4</v>
      </c>
      <c r="W13" s="56"/>
      <c r="X13" s="56"/>
      <c r="Y13" s="56"/>
      <c r="Z13" s="56"/>
      <c r="AA13" s="56"/>
      <c r="AB13" s="56"/>
      <c r="AC13" s="56"/>
      <c r="AD13" s="56"/>
      <c r="AE13" s="93">
        <v>11.0</v>
      </c>
      <c r="AF13" s="44" t="s">
        <v>36</v>
      </c>
      <c r="AG13" s="22">
        <v>0.0</v>
      </c>
      <c r="AH13" s="22">
        <v>0.0</v>
      </c>
      <c r="AI13" s="22">
        <v>0.0</v>
      </c>
      <c r="AJ13" s="22">
        <v>3.0</v>
      </c>
      <c r="AK13" s="22">
        <v>4.0</v>
      </c>
      <c r="AL13" s="22">
        <v>15.0</v>
      </c>
      <c r="AM13" s="22">
        <v>-11.0</v>
      </c>
      <c r="AN13" s="17"/>
    </row>
    <row r="14" ht="15.75" customHeight="1">
      <c r="A14" s="28"/>
      <c r="B14" s="11">
        <v>45960.0</v>
      </c>
      <c r="C14" s="12" t="s">
        <v>30</v>
      </c>
      <c r="D14" s="12" t="s">
        <v>22</v>
      </c>
      <c r="E14" s="40" t="s">
        <v>143</v>
      </c>
      <c r="F14" s="14">
        <v>3.0</v>
      </c>
      <c r="G14" s="75" t="s">
        <v>24</v>
      </c>
      <c r="H14" s="14">
        <v>0.0</v>
      </c>
      <c r="I14" s="40" t="s">
        <v>45</v>
      </c>
      <c r="J14" s="4"/>
      <c r="K14" s="4">
        <f t="shared" si="1"/>
        <v>3</v>
      </c>
      <c r="L14" s="17">
        <f t="shared" si="2"/>
        <v>0</v>
      </c>
      <c r="M14" s="4"/>
      <c r="N14" s="17">
        <v>12.0</v>
      </c>
      <c r="O14" s="91" t="s">
        <v>146</v>
      </c>
      <c r="P14" s="17">
        <f t="shared" si="3"/>
        <v>3</v>
      </c>
      <c r="Q14" s="17">
        <f t="shared" si="4"/>
        <v>1</v>
      </c>
      <c r="R14" s="17">
        <f t="shared" si="5"/>
        <v>0</v>
      </c>
      <c r="S14" s="19">
        <f t="shared" si="6"/>
        <v>2</v>
      </c>
      <c r="T14" s="17">
        <f t="shared" si="7"/>
        <v>12</v>
      </c>
      <c r="U14" s="19">
        <f t="shared" si="8"/>
        <v>10</v>
      </c>
      <c r="V14" s="17">
        <f t="shared" si="9"/>
        <v>2</v>
      </c>
      <c r="W14" s="56"/>
      <c r="X14" s="56"/>
      <c r="Y14" s="56"/>
      <c r="Z14" s="56"/>
      <c r="AA14" s="56"/>
      <c r="AB14" s="56"/>
      <c r="AC14" s="56"/>
      <c r="AD14" s="56"/>
      <c r="AE14" s="93">
        <v>12.0</v>
      </c>
      <c r="AF14" s="75" t="s">
        <v>45</v>
      </c>
      <c r="AG14" s="22">
        <v>0.0</v>
      </c>
      <c r="AH14" s="22">
        <v>0.0</v>
      </c>
      <c r="AI14" s="22">
        <v>0.0</v>
      </c>
      <c r="AJ14" s="22">
        <v>3.0</v>
      </c>
      <c r="AK14" s="22">
        <v>2.0</v>
      </c>
      <c r="AL14" s="22">
        <v>17.0</v>
      </c>
      <c r="AM14" s="22">
        <v>-15.0</v>
      </c>
      <c r="AN14" s="17"/>
    </row>
    <row r="15" ht="15.75" customHeight="1">
      <c r="A15" s="10">
        <v>3.0</v>
      </c>
      <c r="B15" s="11">
        <v>45974.0</v>
      </c>
      <c r="C15" s="12" t="s">
        <v>35</v>
      </c>
      <c r="D15" s="12" t="s">
        <v>22</v>
      </c>
      <c r="E15" s="14" t="s">
        <v>33</v>
      </c>
      <c r="F15" s="75"/>
      <c r="G15" s="75" t="s">
        <v>24</v>
      </c>
      <c r="H15" s="75"/>
      <c r="I15" s="14" t="s">
        <v>111</v>
      </c>
      <c r="J15" s="4"/>
      <c r="K15" s="4" t="str">
        <f t="shared" si="1"/>
        <v/>
      </c>
      <c r="L15" s="17" t="str">
        <f t="shared" si="2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56"/>
      <c r="X15" s="56"/>
      <c r="Y15" s="56"/>
      <c r="Z15" s="56"/>
      <c r="AA15" s="56"/>
      <c r="AB15" s="56"/>
      <c r="AC15" s="56"/>
      <c r="AD15" s="56"/>
      <c r="AE15" s="34" t="s">
        <v>151</v>
      </c>
      <c r="AH15" s="4"/>
      <c r="AI15" s="4"/>
      <c r="AJ15" s="4"/>
      <c r="AK15" s="4"/>
      <c r="AL15" s="4"/>
      <c r="AM15" s="4"/>
      <c r="AN15" s="4"/>
    </row>
    <row r="16" ht="15.75" customHeight="1">
      <c r="A16" s="24"/>
      <c r="B16" s="11">
        <v>45966.0</v>
      </c>
      <c r="C16" s="12" t="s">
        <v>30</v>
      </c>
      <c r="D16" s="12" t="s">
        <v>22</v>
      </c>
      <c r="E16" s="14" t="s">
        <v>36</v>
      </c>
      <c r="F16" s="14">
        <v>0.0</v>
      </c>
      <c r="G16" s="75" t="s">
        <v>24</v>
      </c>
      <c r="H16" s="14">
        <v>8.0</v>
      </c>
      <c r="I16" s="14" t="s">
        <v>144</v>
      </c>
      <c r="J16" s="4"/>
      <c r="K16" s="4">
        <f t="shared" si="1"/>
        <v>0</v>
      </c>
      <c r="L16" s="17">
        <f t="shared" si="2"/>
        <v>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56"/>
      <c r="X16" s="56"/>
      <c r="Y16" s="56"/>
      <c r="Z16" s="56"/>
      <c r="AA16" s="56"/>
      <c r="AB16" s="56"/>
      <c r="AC16" s="56"/>
      <c r="AD16" s="56"/>
      <c r="AE16" s="73" t="s">
        <v>152</v>
      </c>
      <c r="AH16" s="36"/>
      <c r="AJ16" s="4"/>
      <c r="AK16" s="4"/>
      <c r="AL16" s="4"/>
      <c r="AM16" s="4"/>
      <c r="AN16" s="4"/>
    </row>
    <row r="17" ht="15.75" customHeight="1">
      <c r="A17" s="24"/>
      <c r="B17" s="11">
        <v>45974.0</v>
      </c>
      <c r="C17" s="12" t="s">
        <v>30</v>
      </c>
      <c r="D17" s="12" t="s">
        <v>22</v>
      </c>
      <c r="E17" s="14" t="s">
        <v>23</v>
      </c>
      <c r="F17" s="75"/>
      <c r="G17" s="75" t="s">
        <v>24</v>
      </c>
      <c r="H17" s="75"/>
      <c r="I17" s="14" t="s">
        <v>59</v>
      </c>
      <c r="J17" s="4"/>
      <c r="K17" s="4" t="str">
        <f t="shared" si="1"/>
        <v/>
      </c>
      <c r="L17" s="17" t="str">
        <f t="shared" si="2"/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56"/>
      <c r="X17" s="56"/>
      <c r="Y17" s="56"/>
      <c r="Z17" s="56"/>
      <c r="AA17" s="56"/>
      <c r="AB17" s="56"/>
      <c r="AC17" s="56"/>
      <c r="AD17" s="56"/>
      <c r="AE17" s="4"/>
      <c r="AJ17" s="4"/>
      <c r="AK17" s="4"/>
      <c r="AL17" s="4"/>
      <c r="AM17" s="4"/>
      <c r="AN17" s="4"/>
    </row>
    <row r="18" ht="15.75" customHeight="1">
      <c r="A18" s="24"/>
      <c r="B18" s="11">
        <v>45967.0</v>
      </c>
      <c r="C18" s="12" t="s">
        <v>95</v>
      </c>
      <c r="D18" s="12" t="s">
        <v>133</v>
      </c>
      <c r="E18" s="14" t="s">
        <v>145</v>
      </c>
      <c r="F18" s="14">
        <v>2.0</v>
      </c>
      <c r="G18" s="75" t="s">
        <v>24</v>
      </c>
      <c r="H18" s="14">
        <v>2.0</v>
      </c>
      <c r="I18" s="14" t="s">
        <v>108</v>
      </c>
      <c r="J18" s="37"/>
      <c r="K18" s="4">
        <f t="shared" si="1"/>
        <v>1</v>
      </c>
      <c r="L18" s="17">
        <f t="shared" si="2"/>
        <v>1</v>
      </c>
      <c r="M18" s="4"/>
      <c r="N18" s="4"/>
      <c r="O18" s="4"/>
      <c r="P18" s="4"/>
      <c r="Q18" s="56"/>
      <c r="R18" s="4"/>
      <c r="S18" s="4"/>
      <c r="T18" s="4"/>
      <c r="U18" s="4"/>
      <c r="V18" s="4"/>
      <c r="W18" s="56"/>
      <c r="X18" s="56"/>
      <c r="Y18" s="56"/>
      <c r="Z18" s="56"/>
      <c r="AA18" s="56"/>
      <c r="AB18" s="56"/>
      <c r="AC18" s="56"/>
      <c r="AD18" s="56"/>
      <c r="AJ18" s="36"/>
      <c r="AK18" s="36"/>
      <c r="AL18" s="36"/>
      <c r="AM18" s="36"/>
      <c r="AN18" s="36"/>
    </row>
    <row r="19" ht="15.75" customHeight="1">
      <c r="A19" s="24"/>
      <c r="B19" s="11">
        <v>45966.0</v>
      </c>
      <c r="C19" s="12" t="s">
        <v>35</v>
      </c>
      <c r="D19" s="12" t="s">
        <v>22</v>
      </c>
      <c r="E19" s="40" t="s">
        <v>25</v>
      </c>
      <c r="F19" s="14">
        <v>0.0</v>
      </c>
      <c r="G19" s="75" t="s">
        <v>24</v>
      </c>
      <c r="H19" s="14">
        <v>3.0</v>
      </c>
      <c r="I19" s="40" t="s">
        <v>143</v>
      </c>
      <c r="J19" s="4"/>
      <c r="K19" s="4">
        <f t="shared" si="1"/>
        <v>0</v>
      </c>
      <c r="L19" s="17">
        <f t="shared" si="2"/>
        <v>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56"/>
      <c r="X19" s="56"/>
      <c r="Y19" s="56"/>
      <c r="Z19" s="56"/>
      <c r="AA19" s="56"/>
      <c r="AB19" s="56"/>
      <c r="AC19" s="56"/>
      <c r="AD19" s="56"/>
      <c r="AJ19" s="4"/>
      <c r="AK19" s="4"/>
      <c r="AL19" s="4"/>
      <c r="AM19" s="4"/>
      <c r="AN19" s="4"/>
    </row>
    <row r="20" ht="15.75" customHeight="1">
      <c r="A20" s="28"/>
      <c r="B20" s="11">
        <v>45967.0</v>
      </c>
      <c r="C20" s="12" t="s">
        <v>98</v>
      </c>
      <c r="D20" s="12" t="s">
        <v>133</v>
      </c>
      <c r="E20" s="14" t="s">
        <v>146</v>
      </c>
      <c r="F20" s="14">
        <v>10.0</v>
      </c>
      <c r="G20" s="75" t="s">
        <v>24</v>
      </c>
      <c r="H20" s="14">
        <v>1.0</v>
      </c>
      <c r="I20" s="14" t="s">
        <v>45</v>
      </c>
      <c r="J20" s="4"/>
      <c r="K20" s="4">
        <f t="shared" si="1"/>
        <v>3</v>
      </c>
      <c r="L20" s="17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56"/>
      <c r="X20" s="56"/>
      <c r="Y20" s="56"/>
      <c r="Z20" s="56"/>
      <c r="AA20" s="56"/>
      <c r="AB20" s="56"/>
      <c r="AC20" s="56"/>
      <c r="AD20" s="56"/>
      <c r="AJ20" s="4"/>
      <c r="AK20" s="4"/>
      <c r="AL20" s="4"/>
      <c r="AM20" s="4"/>
      <c r="AN20" s="4"/>
    </row>
    <row r="21" ht="15.75" customHeight="1">
      <c r="A21" s="10">
        <v>4.0</v>
      </c>
      <c r="B21" s="94"/>
      <c r="C21" s="75"/>
      <c r="D21" s="75"/>
      <c r="E21" s="14" t="s">
        <v>111</v>
      </c>
      <c r="F21" s="75"/>
      <c r="G21" s="75" t="s">
        <v>24</v>
      </c>
      <c r="H21" s="75"/>
      <c r="I21" s="14" t="s">
        <v>146</v>
      </c>
      <c r="J21" s="4"/>
      <c r="K21" s="4" t="str">
        <f t="shared" si="1"/>
        <v/>
      </c>
      <c r="L21" s="17" t="str">
        <f t="shared" si="2"/>
        <v/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56"/>
      <c r="X21" s="56"/>
      <c r="Y21" s="56"/>
      <c r="Z21" s="56"/>
      <c r="AA21" s="56"/>
      <c r="AB21" s="56"/>
      <c r="AC21" s="56"/>
      <c r="AD21" s="56"/>
      <c r="AJ21" s="4"/>
      <c r="AK21" s="4"/>
      <c r="AL21" s="4"/>
      <c r="AM21" s="4"/>
      <c r="AN21" s="4"/>
    </row>
    <row r="22" ht="15.75" customHeight="1">
      <c r="A22" s="24"/>
      <c r="B22" s="94"/>
      <c r="C22" s="75"/>
      <c r="D22" s="75"/>
      <c r="E22" s="14" t="s">
        <v>144</v>
      </c>
      <c r="F22" s="75"/>
      <c r="G22" s="75" t="s">
        <v>24</v>
      </c>
      <c r="H22" s="75"/>
      <c r="I22" s="14" t="s">
        <v>33</v>
      </c>
      <c r="J22" s="4"/>
      <c r="K22" s="4" t="str">
        <f t="shared" si="1"/>
        <v/>
      </c>
      <c r="L22" s="17" t="str">
        <f t="shared" si="2"/>
        <v/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56"/>
      <c r="X22" s="56"/>
      <c r="Y22" s="56"/>
      <c r="Z22" s="56"/>
      <c r="AA22" s="56"/>
      <c r="AB22" s="56"/>
      <c r="AC22" s="56"/>
      <c r="AD22" s="56"/>
      <c r="AJ22" s="4"/>
      <c r="AK22" s="4"/>
      <c r="AL22" s="4"/>
      <c r="AM22" s="4"/>
      <c r="AN22" s="4"/>
    </row>
    <row r="23" ht="15.75" customHeight="1">
      <c r="A23" s="24"/>
      <c r="B23" s="94"/>
      <c r="C23" s="75"/>
      <c r="D23" s="75"/>
      <c r="E23" s="14" t="s">
        <v>59</v>
      </c>
      <c r="F23" s="75"/>
      <c r="G23" s="75" t="s">
        <v>24</v>
      </c>
      <c r="H23" s="75"/>
      <c r="I23" s="14" t="s">
        <v>36</v>
      </c>
      <c r="J23" s="4"/>
      <c r="K23" s="4" t="str">
        <f t="shared" si="1"/>
        <v/>
      </c>
      <c r="L23" s="17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56"/>
      <c r="X23" s="56"/>
      <c r="Y23" s="56"/>
      <c r="Z23" s="56"/>
      <c r="AA23" s="56"/>
      <c r="AB23" s="56"/>
      <c r="AC23" s="56"/>
      <c r="AD23" s="56"/>
      <c r="AJ23" s="4"/>
      <c r="AK23" s="4"/>
      <c r="AL23" s="4"/>
      <c r="AM23" s="4"/>
      <c r="AN23" s="4"/>
    </row>
    <row r="24" ht="15.75" customHeight="1">
      <c r="A24" s="24"/>
      <c r="B24" s="94"/>
      <c r="C24" s="60"/>
      <c r="D24" s="75"/>
      <c r="E24" s="14" t="s">
        <v>108</v>
      </c>
      <c r="F24" s="75"/>
      <c r="G24" s="75" t="s">
        <v>24</v>
      </c>
      <c r="H24" s="75"/>
      <c r="I24" s="14" t="s">
        <v>23</v>
      </c>
      <c r="J24" s="4"/>
      <c r="K24" s="4" t="str">
        <f t="shared" si="1"/>
        <v/>
      </c>
      <c r="L24" s="17" t="str">
        <f t="shared" si="2"/>
        <v/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56"/>
      <c r="X24" s="56"/>
      <c r="Y24" s="56"/>
      <c r="Z24" s="56"/>
      <c r="AA24" s="56"/>
      <c r="AB24" s="56"/>
      <c r="AC24" s="56"/>
      <c r="AD24" s="56"/>
      <c r="AH24" s="4"/>
      <c r="AI24" s="4"/>
      <c r="AJ24" s="4"/>
      <c r="AK24" s="4"/>
      <c r="AL24" s="4"/>
      <c r="AM24" s="4"/>
      <c r="AN24" s="4"/>
    </row>
    <row r="25" ht="15.75" customHeight="1">
      <c r="A25" s="24"/>
      <c r="B25" s="94"/>
      <c r="C25" s="75"/>
      <c r="D25" s="75"/>
      <c r="E25" s="40" t="s">
        <v>143</v>
      </c>
      <c r="F25" s="75"/>
      <c r="G25" s="75" t="s">
        <v>24</v>
      </c>
      <c r="H25" s="75"/>
      <c r="I25" s="40" t="s">
        <v>145</v>
      </c>
      <c r="J25" s="4"/>
      <c r="K25" s="4" t="str">
        <f t="shared" si="1"/>
        <v/>
      </c>
      <c r="L25" s="17" t="str">
        <f t="shared" si="2"/>
        <v/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56"/>
      <c r="X25" s="56"/>
      <c r="Y25" s="56"/>
      <c r="Z25" s="56"/>
      <c r="AA25" s="56"/>
      <c r="AB25" s="56"/>
      <c r="AC25" s="56"/>
      <c r="AD25" s="56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ht="15.75" customHeight="1">
      <c r="A26" s="28"/>
      <c r="B26" s="94"/>
      <c r="C26" s="75"/>
      <c r="D26" s="75"/>
      <c r="E26" s="14" t="s">
        <v>45</v>
      </c>
      <c r="F26" s="75"/>
      <c r="G26" s="75" t="s">
        <v>24</v>
      </c>
      <c r="H26" s="75"/>
      <c r="I26" s="14" t="s">
        <v>25</v>
      </c>
      <c r="J26" s="4"/>
      <c r="K26" s="4" t="str">
        <f t="shared" si="1"/>
        <v/>
      </c>
      <c r="L26" s="17" t="str">
        <f t="shared" si="2"/>
        <v/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56"/>
      <c r="X26" s="56"/>
      <c r="Y26" s="56"/>
      <c r="Z26" s="56"/>
      <c r="AA26" s="56"/>
      <c r="AB26" s="56"/>
      <c r="AC26" s="56"/>
      <c r="AD26" s="56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ht="15.75" customHeight="1">
      <c r="A27" s="10">
        <v>5.0</v>
      </c>
      <c r="B27" s="94"/>
      <c r="C27" s="75"/>
      <c r="D27" s="75"/>
      <c r="E27" s="14" t="s">
        <v>111</v>
      </c>
      <c r="F27" s="75"/>
      <c r="G27" s="75" t="s">
        <v>24</v>
      </c>
      <c r="H27" s="75"/>
      <c r="I27" s="14" t="s">
        <v>144</v>
      </c>
      <c r="J27" s="4"/>
      <c r="K27" s="4" t="str">
        <f t="shared" si="1"/>
        <v/>
      </c>
      <c r="L27" s="17" t="str">
        <f t="shared" si="2"/>
        <v/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56"/>
      <c r="X27" s="56"/>
      <c r="Y27" s="56"/>
      <c r="Z27" s="56"/>
      <c r="AA27" s="56"/>
      <c r="AB27" s="56"/>
      <c r="AC27" s="56"/>
      <c r="AD27" s="56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ht="15.75" customHeight="1">
      <c r="A28" s="24"/>
      <c r="B28" s="94"/>
      <c r="C28" s="75"/>
      <c r="D28" s="75"/>
      <c r="E28" s="14" t="s">
        <v>33</v>
      </c>
      <c r="F28" s="75"/>
      <c r="G28" s="75" t="s">
        <v>24</v>
      </c>
      <c r="H28" s="75"/>
      <c r="I28" s="14" t="s">
        <v>59</v>
      </c>
      <c r="J28" s="4"/>
      <c r="K28" s="4" t="str">
        <f t="shared" si="1"/>
        <v/>
      </c>
      <c r="L28" s="17" t="str">
        <f t="shared" si="2"/>
        <v/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56"/>
      <c r="X28" s="56"/>
      <c r="Y28" s="56"/>
      <c r="Z28" s="56"/>
      <c r="AA28" s="56"/>
      <c r="AB28" s="56"/>
      <c r="AC28" s="56"/>
      <c r="AD28" s="56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ht="15.75" customHeight="1">
      <c r="A29" s="24"/>
      <c r="B29" s="94"/>
      <c r="C29" s="75"/>
      <c r="D29" s="75"/>
      <c r="E29" s="14" t="s">
        <v>36</v>
      </c>
      <c r="F29" s="75"/>
      <c r="G29" s="75" t="s">
        <v>24</v>
      </c>
      <c r="H29" s="75"/>
      <c r="I29" s="14" t="s">
        <v>108</v>
      </c>
      <c r="J29" s="4"/>
      <c r="K29" s="4" t="str">
        <f t="shared" si="1"/>
        <v/>
      </c>
      <c r="L29" s="17" t="str">
        <f t="shared" si="2"/>
        <v/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56"/>
      <c r="X29" s="56"/>
      <c r="Y29" s="56"/>
      <c r="Z29" s="56"/>
      <c r="AA29" s="56"/>
      <c r="AB29" s="56"/>
      <c r="AC29" s="56"/>
      <c r="AD29" s="56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ht="15.75" customHeight="1">
      <c r="A30" s="24"/>
      <c r="B30" s="94"/>
      <c r="C30" s="60"/>
      <c r="D30" s="75"/>
      <c r="E30" s="40" t="s">
        <v>23</v>
      </c>
      <c r="F30" s="75"/>
      <c r="G30" s="75" t="s">
        <v>24</v>
      </c>
      <c r="H30" s="75"/>
      <c r="I30" s="40" t="s">
        <v>143</v>
      </c>
      <c r="J30" s="4"/>
      <c r="K30" s="4" t="str">
        <f t="shared" si="1"/>
        <v/>
      </c>
      <c r="L30" s="17" t="str">
        <f t="shared" si="2"/>
        <v/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56"/>
      <c r="X30" s="56"/>
      <c r="Y30" s="56"/>
      <c r="Z30" s="56"/>
      <c r="AA30" s="56"/>
      <c r="AB30" s="56"/>
      <c r="AC30" s="56"/>
      <c r="AD30" s="56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ht="15.75" customHeight="1">
      <c r="A31" s="24"/>
      <c r="B31" s="94"/>
      <c r="C31" s="75"/>
      <c r="D31" s="75"/>
      <c r="E31" s="14" t="s">
        <v>145</v>
      </c>
      <c r="F31" s="75"/>
      <c r="G31" s="75" t="s">
        <v>24</v>
      </c>
      <c r="H31" s="75"/>
      <c r="I31" s="14" t="s">
        <v>45</v>
      </c>
      <c r="J31" s="4"/>
      <c r="K31" s="4" t="str">
        <f t="shared" si="1"/>
        <v/>
      </c>
      <c r="L31" s="17" t="str">
        <f t="shared" si="2"/>
        <v/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56"/>
      <c r="X31" s="56"/>
      <c r="Y31" s="56"/>
      <c r="Z31" s="56"/>
      <c r="AA31" s="56"/>
      <c r="AB31" s="56"/>
      <c r="AC31" s="56"/>
      <c r="AD31" s="56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ht="15.75" customHeight="1">
      <c r="A32" s="28"/>
      <c r="B32" s="94"/>
      <c r="C32" s="75"/>
      <c r="D32" s="75"/>
      <c r="E32" s="14" t="s">
        <v>146</v>
      </c>
      <c r="F32" s="75"/>
      <c r="G32" s="75" t="s">
        <v>24</v>
      </c>
      <c r="H32" s="75"/>
      <c r="I32" s="14" t="s">
        <v>25</v>
      </c>
      <c r="J32" s="4"/>
      <c r="K32" s="4" t="str">
        <f t="shared" si="1"/>
        <v/>
      </c>
      <c r="L32" s="17" t="str">
        <f t="shared" si="2"/>
        <v/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56"/>
      <c r="X32" s="56"/>
      <c r="Y32" s="56"/>
      <c r="Z32" s="56"/>
      <c r="AA32" s="56"/>
      <c r="AB32" s="56"/>
      <c r="AC32" s="56"/>
      <c r="AD32" s="56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ht="15.75" customHeight="1">
      <c r="A33" s="10">
        <v>6.0</v>
      </c>
      <c r="B33" s="94"/>
      <c r="C33" s="75"/>
      <c r="D33" s="75"/>
      <c r="E33" s="14" t="s">
        <v>144</v>
      </c>
      <c r="F33" s="75"/>
      <c r="G33" s="75" t="s">
        <v>24</v>
      </c>
      <c r="H33" s="75"/>
      <c r="I33" s="14" t="s">
        <v>146</v>
      </c>
      <c r="J33" s="4"/>
      <c r="K33" s="4" t="str">
        <f t="shared" si="1"/>
        <v/>
      </c>
      <c r="L33" s="17" t="str">
        <f t="shared" si="2"/>
        <v/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56"/>
      <c r="X33" s="56"/>
      <c r="Y33" s="56"/>
      <c r="Z33" s="56"/>
      <c r="AA33" s="56"/>
      <c r="AB33" s="56"/>
      <c r="AC33" s="56"/>
      <c r="AD33" s="56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ht="15.75" customHeight="1">
      <c r="A34" s="24"/>
      <c r="B34" s="94"/>
      <c r="C34" s="75"/>
      <c r="D34" s="75"/>
      <c r="E34" s="14" t="s">
        <v>59</v>
      </c>
      <c r="F34" s="75"/>
      <c r="G34" s="75" t="s">
        <v>24</v>
      </c>
      <c r="H34" s="75"/>
      <c r="I34" s="14" t="s">
        <v>111</v>
      </c>
      <c r="J34" s="4"/>
      <c r="K34" s="4" t="str">
        <f t="shared" si="1"/>
        <v/>
      </c>
      <c r="L34" s="17" t="str">
        <f t="shared" si="2"/>
        <v/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56"/>
      <c r="X34" s="56"/>
      <c r="Y34" s="56"/>
      <c r="Z34" s="56"/>
      <c r="AA34" s="56"/>
      <c r="AB34" s="56"/>
      <c r="AC34" s="56"/>
      <c r="AD34" s="56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ht="15.75" customHeight="1">
      <c r="A35" s="24"/>
      <c r="B35" s="94"/>
      <c r="C35" s="75"/>
      <c r="D35" s="75"/>
      <c r="E35" s="14" t="s">
        <v>108</v>
      </c>
      <c r="F35" s="75"/>
      <c r="G35" s="75" t="s">
        <v>24</v>
      </c>
      <c r="H35" s="75"/>
      <c r="I35" s="14" t="s">
        <v>33</v>
      </c>
      <c r="J35" s="4"/>
      <c r="K35" s="4" t="str">
        <f t="shared" si="1"/>
        <v/>
      </c>
      <c r="L35" s="17" t="str">
        <f t="shared" si="2"/>
        <v/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56"/>
      <c r="X35" s="56"/>
      <c r="Y35" s="56"/>
      <c r="Z35" s="56"/>
      <c r="AA35" s="56"/>
      <c r="AB35" s="56"/>
      <c r="AC35" s="56"/>
      <c r="AD35" s="56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ht="15.75" customHeight="1">
      <c r="A36" s="24"/>
      <c r="B36" s="94"/>
      <c r="C36" s="60"/>
      <c r="D36" s="75"/>
      <c r="E36" s="40" t="s">
        <v>143</v>
      </c>
      <c r="F36" s="75"/>
      <c r="G36" s="75" t="s">
        <v>24</v>
      </c>
      <c r="H36" s="75"/>
      <c r="I36" s="40" t="s">
        <v>36</v>
      </c>
      <c r="J36" s="4"/>
      <c r="K36" s="4" t="str">
        <f t="shared" si="1"/>
        <v/>
      </c>
      <c r="L36" s="17" t="str">
        <f t="shared" si="2"/>
        <v/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56"/>
      <c r="X36" s="56"/>
      <c r="Y36" s="56"/>
      <c r="Z36" s="56"/>
      <c r="AA36" s="56"/>
      <c r="AB36" s="56"/>
      <c r="AC36" s="56"/>
      <c r="AD36" s="56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ht="15.75" customHeight="1">
      <c r="A37" s="24"/>
      <c r="B37" s="94"/>
      <c r="C37" s="75"/>
      <c r="D37" s="75"/>
      <c r="E37" s="14" t="s">
        <v>45</v>
      </c>
      <c r="F37" s="75"/>
      <c r="G37" s="75" t="s">
        <v>24</v>
      </c>
      <c r="H37" s="75"/>
      <c r="I37" s="14" t="s">
        <v>23</v>
      </c>
      <c r="J37" s="4"/>
      <c r="K37" s="4" t="str">
        <f t="shared" si="1"/>
        <v/>
      </c>
      <c r="L37" s="17" t="str">
        <f t="shared" si="2"/>
        <v/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56"/>
      <c r="X37" s="56"/>
      <c r="Y37" s="56"/>
      <c r="Z37" s="56"/>
      <c r="AA37" s="56"/>
      <c r="AB37" s="56"/>
      <c r="AC37" s="56"/>
      <c r="AD37" s="56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ht="15.75" customHeight="1">
      <c r="A38" s="28"/>
      <c r="B38" s="94"/>
      <c r="C38" s="60"/>
      <c r="D38" s="75"/>
      <c r="E38" s="14" t="s">
        <v>25</v>
      </c>
      <c r="F38" s="75"/>
      <c r="G38" s="75" t="s">
        <v>24</v>
      </c>
      <c r="H38" s="75"/>
      <c r="I38" s="14" t="s">
        <v>145</v>
      </c>
      <c r="J38" s="4"/>
      <c r="K38" s="4" t="str">
        <f t="shared" si="1"/>
        <v/>
      </c>
      <c r="L38" s="17" t="str">
        <f t="shared" si="2"/>
        <v/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56"/>
      <c r="X38" s="56"/>
      <c r="Y38" s="56"/>
      <c r="Z38" s="56"/>
      <c r="AA38" s="56"/>
      <c r="AB38" s="56"/>
      <c r="AC38" s="56"/>
      <c r="AD38" s="56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ht="15.75" customHeight="1">
      <c r="A39" s="10">
        <v>7.0</v>
      </c>
      <c r="B39" s="94"/>
      <c r="C39" s="75"/>
      <c r="D39" s="75"/>
      <c r="E39" s="14" t="s">
        <v>144</v>
      </c>
      <c r="F39" s="75"/>
      <c r="G39" s="75" t="s">
        <v>24</v>
      </c>
      <c r="H39" s="75"/>
      <c r="I39" s="14" t="s">
        <v>59</v>
      </c>
      <c r="J39" s="4"/>
      <c r="K39" s="4" t="str">
        <f t="shared" si="1"/>
        <v/>
      </c>
      <c r="L39" s="17" t="str">
        <f t="shared" si="2"/>
        <v/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56"/>
      <c r="X39" s="56"/>
      <c r="Y39" s="56"/>
      <c r="Z39" s="56"/>
      <c r="AA39" s="56"/>
      <c r="AB39" s="56"/>
      <c r="AC39" s="56"/>
      <c r="AD39" s="56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ht="15.75" customHeight="1">
      <c r="A40" s="24"/>
      <c r="B40" s="94"/>
      <c r="C40" s="75"/>
      <c r="D40" s="75"/>
      <c r="E40" s="14" t="s">
        <v>111</v>
      </c>
      <c r="F40" s="75"/>
      <c r="G40" s="75" t="s">
        <v>24</v>
      </c>
      <c r="H40" s="75"/>
      <c r="I40" s="14" t="s">
        <v>108</v>
      </c>
      <c r="J40" s="4"/>
      <c r="K40" s="4" t="str">
        <f t="shared" si="1"/>
        <v/>
      </c>
      <c r="L40" s="17" t="str">
        <f t="shared" si="2"/>
        <v/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56"/>
      <c r="X40" s="56"/>
      <c r="Y40" s="56"/>
      <c r="Z40" s="56"/>
      <c r="AA40" s="56"/>
      <c r="AB40" s="56"/>
      <c r="AC40" s="56"/>
      <c r="AD40" s="56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ht="15.75" customHeight="1">
      <c r="A41" s="24"/>
      <c r="B41" s="94"/>
      <c r="C41" s="75"/>
      <c r="D41" s="75"/>
      <c r="E41" s="40" t="s">
        <v>33</v>
      </c>
      <c r="F41" s="75"/>
      <c r="G41" s="75" t="s">
        <v>24</v>
      </c>
      <c r="H41" s="75"/>
      <c r="I41" s="40" t="s">
        <v>143</v>
      </c>
      <c r="J41" s="4"/>
      <c r="K41" s="4" t="str">
        <f t="shared" si="1"/>
        <v/>
      </c>
      <c r="L41" s="17" t="str">
        <f t="shared" si="2"/>
        <v/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56"/>
      <c r="X41" s="56"/>
      <c r="Y41" s="56"/>
      <c r="Z41" s="56"/>
      <c r="AA41" s="56"/>
      <c r="AB41" s="56"/>
      <c r="AC41" s="56"/>
      <c r="AD41" s="56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ht="15.75" customHeight="1">
      <c r="A42" s="24"/>
      <c r="B42" s="94"/>
      <c r="C42" s="75"/>
      <c r="D42" s="75"/>
      <c r="E42" s="14" t="s">
        <v>36</v>
      </c>
      <c r="F42" s="75"/>
      <c r="G42" s="75" t="s">
        <v>24</v>
      </c>
      <c r="H42" s="75"/>
      <c r="I42" s="14" t="s">
        <v>45</v>
      </c>
      <c r="J42" s="4"/>
      <c r="K42" s="4" t="str">
        <f t="shared" si="1"/>
        <v/>
      </c>
      <c r="L42" s="17" t="str">
        <f t="shared" si="2"/>
        <v/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56"/>
      <c r="X42" s="56"/>
      <c r="Y42" s="56"/>
      <c r="Z42" s="56"/>
      <c r="AA42" s="56"/>
      <c r="AB42" s="56"/>
      <c r="AC42" s="56"/>
      <c r="AD42" s="56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ht="15.75" customHeight="1">
      <c r="A43" s="24"/>
      <c r="B43" s="94"/>
      <c r="C43" s="75"/>
      <c r="D43" s="75"/>
      <c r="E43" s="14" t="s">
        <v>23</v>
      </c>
      <c r="F43" s="75"/>
      <c r="G43" s="75" t="s">
        <v>24</v>
      </c>
      <c r="H43" s="75"/>
      <c r="I43" s="14" t="s">
        <v>25</v>
      </c>
      <c r="J43" s="4"/>
      <c r="K43" s="4" t="str">
        <f t="shared" si="1"/>
        <v/>
      </c>
      <c r="L43" s="17" t="str">
        <f t="shared" si="2"/>
        <v/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56"/>
      <c r="X43" s="56"/>
      <c r="Y43" s="56"/>
      <c r="Z43" s="56"/>
      <c r="AA43" s="56"/>
      <c r="AB43" s="56"/>
      <c r="AC43" s="56"/>
      <c r="AD43" s="56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ht="15.75" customHeight="1">
      <c r="A44" s="28"/>
      <c r="B44" s="94"/>
      <c r="C44" s="75"/>
      <c r="D44" s="75"/>
      <c r="E44" s="14" t="s">
        <v>146</v>
      </c>
      <c r="F44" s="75"/>
      <c r="G44" s="75" t="s">
        <v>24</v>
      </c>
      <c r="H44" s="75"/>
      <c r="I44" s="14" t="s">
        <v>145</v>
      </c>
      <c r="J44" s="4"/>
      <c r="K44" s="4" t="str">
        <f t="shared" si="1"/>
        <v/>
      </c>
      <c r="L44" s="17" t="str">
        <f t="shared" si="2"/>
        <v/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56"/>
      <c r="X44" s="56"/>
      <c r="Y44" s="56"/>
      <c r="Z44" s="56"/>
      <c r="AA44" s="56"/>
      <c r="AB44" s="56"/>
      <c r="AC44" s="56"/>
      <c r="AD44" s="56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ht="15.75" customHeight="1">
      <c r="A45" s="10">
        <v>8.0</v>
      </c>
      <c r="B45" s="94"/>
      <c r="C45" s="75"/>
      <c r="D45" s="75"/>
      <c r="E45" s="14" t="s">
        <v>59</v>
      </c>
      <c r="F45" s="75"/>
      <c r="G45" s="75" t="s">
        <v>24</v>
      </c>
      <c r="H45" s="75"/>
      <c r="I45" s="14" t="s">
        <v>146</v>
      </c>
      <c r="J45" s="4"/>
      <c r="K45" s="4" t="str">
        <f t="shared" si="1"/>
        <v/>
      </c>
      <c r="L45" s="17" t="str">
        <f t="shared" si="2"/>
        <v/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56"/>
      <c r="X45" s="56"/>
      <c r="Y45" s="56"/>
      <c r="Z45" s="56"/>
      <c r="AA45" s="56"/>
      <c r="AB45" s="56"/>
      <c r="AC45" s="56"/>
      <c r="AD45" s="56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ht="15.75" customHeight="1">
      <c r="A46" s="24"/>
      <c r="B46" s="94"/>
      <c r="C46" s="75"/>
      <c r="D46" s="75"/>
      <c r="E46" s="14" t="s">
        <v>108</v>
      </c>
      <c r="F46" s="75"/>
      <c r="G46" s="75" t="s">
        <v>24</v>
      </c>
      <c r="H46" s="75"/>
      <c r="I46" s="14" t="s">
        <v>144</v>
      </c>
      <c r="J46" s="4"/>
      <c r="K46" s="4" t="str">
        <f t="shared" si="1"/>
        <v/>
      </c>
      <c r="L46" s="17" t="str">
        <f t="shared" si="2"/>
        <v/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56"/>
      <c r="X46" s="56"/>
      <c r="Y46" s="56"/>
      <c r="Z46" s="56"/>
      <c r="AA46" s="56"/>
      <c r="AB46" s="56"/>
      <c r="AC46" s="56"/>
      <c r="AD46" s="56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ht="15.75" customHeight="1">
      <c r="A47" s="24"/>
      <c r="B47" s="94"/>
      <c r="C47" s="75"/>
      <c r="D47" s="75"/>
      <c r="E47" s="40" t="s">
        <v>143</v>
      </c>
      <c r="F47" s="75"/>
      <c r="G47" s="75" t="s">
        <v>24</v>
      </c>
      <c r="H47" s="75"/>
      <c r="I47" s="14" t="s">
        <v>111</v>
      </c>
      <c r="J47" s="4"/>
      <c r="K47" s="4" t="str">
        <f t="shared" si="1"/>
        <v/>
      </c>
      <c r="L47" s="17" t="str">
        <f t="shared" si="2"/>
        <v/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56"/>
      <c r="X47" s="56"/>
      <c r="Y47" s="56"/>
      <c r="Z47" s="56"/>
      <c r="AA47" s="56"/>
      <c r="AB47" s="56"/>
      <c r="AC47" s="56"/>
      <c r="AD47" s="56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ht="15.75" customHeight="1">
      <c r="A48" s="24"/>
      <c r="B48" s="94"/>
      <c r="C48" s="75"/>
      <c r="D48" s="75"/>
      <c r="E48" s="40" t="s">
        <v>45</v>
      </c>
      <c r="F48" s="75"/>
      <c r="G48" s="75" t="s">
        <v>24</v>
      </c>
      <c r="H48" s="75"/>
      <c r="I48" s="40" t="s">
        <v>33</v>
      </c>
      <c r="J48" s="56"/>
      <c r="K48" s="4" t="str">
        <f t="shared" si="1"/>
        <v/>
      </c>
      <c r="L48" s="17" t="str">
        <f t="shared" si="2"/>
        <v/>
      </c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ht="15.75" customHeight="1">
      <c r="A49" s="24"/>
      <c r="B49" s="94"/>
      <c r="C49" s="75"/>
      <c r="D49" s="75"/>
      <c r="E49" s="14" t="s">
        <v>25</v>
      </c>
      <c r="F49" s="75"/>
      <c r="G49" s="75" t="s">
        <v>24</v>
      </c>
      <c r="H49" s="75"/>
      <c r="I49" s="14" t="s">
        <v>36</v>
      </c>
      <c r="J49" s="56"/>
      <c r="K49" s="4" t="str">
        <f t="shared" si="1"/>
        <v/>
      </c>
      <c r="L49" s="17" t="str">
        <f t="shared" si="2"/>
        <v/>
      </c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ht="15.75" customHeight="1">
      <c r="A50" s="28"/>
      <c r="B50" s="94"/>
      <c r="C50" s="75"/>
      <c r="D50" s="75"/>
      <c r="E50" s="14" t="s">
        <v>145</v>
      </c>
      <c r="F50" s="75"/>
      <c r="G50" s="75" t="s">
        <v>24</v>
      </c>
      <c r="H50" s="75"/>
      <c r="I50" s="14" t="s">
        <v>23</v>
      </c>
      <c r="J50" s="56"/>
      <c r="K50" s="4" t="str">
        <f t="shared" si="1"/>
        <v/>
      </c>
      <c r="L50" s="17" t="str">
        <f t="shared" si="2"/>
        <v/>
      </c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ht="15.75" customHeight="1">
      <c r="A51" s="10">
        <v>9.0</v>
      </c>
      <c r="B51" s="94"/>
      <c r="C51" s="60"/>
      <c r="D51" s="75"/>
      <c r="E51" s="14" t="s">
        <v>59</v>
      </c>
      <c r="F51" s="75"/>
      <c r="G51" s="75" t="s">
        <v>24</v>
      </c>
      <c r="H51" s="75"/>
      <c r="I51" s="14" t="s">
        <v>108</v>
      </c>
      <c r="J51" s="56"/>
      <c r="K51" s="4" t="str">
        <f t="shared" si="1"/>
        <v/>
      </c>
      <c r="L51" s="17" t="str">
        <f t="shared" si="2"/>
        <v/>
      </c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ht="15.75" customHeight="1">
      <c r="A52" s="24"/>
      <c r="B52" s="94"/>
      <c r="C52" s="60"/>
      <c r="D52" s="75"/>
      <c r="E52" s="40" t="s">
        <v>144</v>
      </c>
      <c r="F52" s="75"/>
      <c r="G52" s="75" t="s">
        <v>24</v>
      </c>
      <c r="H52" s="75"/>
      <c r="I52" s="40" t="s">
        <v>143</v>
      </c>
      <c r="J52" s="56"/>
      <c r="K52" s="4" t="str">
        <f t="shared" si="1"/>
        <v/>
      </c>
      <c r="L52" s="17" t="str">
        <f t="shared" si="2"/>
        <v/>
      </c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ht="15.75" customHeight="1">
      <c r="A53" s="24"/>
      <c r="B53" s="94"/>
      <c r="C53" s="75"/>
      <c r="D53" s="75"/>
      <c r="E53" s="14" t="s">
        <v>111</v>
      </c>
      <c r="F53" s="75"/>
      <c r="G53" s="75" t="s">
        <v>24</v>
      </c>
      <c r="H53" s="75"/>
      <c r="I53" s="14" t="s">
        <v>45</v>
      </c>
      <c r="J53" s="56"/>
      <c r="K53" s="4" t="str">
        <f t="shared" si="1"/>
        <v/>
      </c>
      <c r="L53" s="17" t="str">
        <f t="shared" si="2"/>
        <v/>
      </c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36"/>
      <c r="AF53" s="36"/>
      <c r="AG53" s="36"/>
      <c r="AH53" s="36"/>
      <c r="AI53" s="36"/>
      <c r="AJ53" s="36"/>
      <c r="AK53" s="36"/>
      <c r="AL53" s="36"/>
      <c r="AM53" s="36"/>
      <c r="AN53" s="36"/>
    </row>
    <row r="54" ht="15.75" customHeight="1">
      <c r="A54" s="24"/>
      <c r="B54" s="94"/>
      <c r="C54" s="75"/>
      <c r="D54" s="75"/>
      <c r="E54" s="14" t="s">
        <v>33</v>
      </c>
      <c r="F54" s="75"/>
      <c r="G54" s="75" t="s">
        <v>24</v>
      </c>
      <c r="H54" s="75"/>
      <c r="I54" s="14" t="s">
        <v>25</v>
      </c>
      <c r="J54" s="56"/>
      <c r="K54" s="4" t="str">
        <f t="shared" si="1"/>
        <v/>
      </c>
      <c r="L54" s="17" t="str">
        <f t="shared" si="2"/>
        <v/>
      </c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ht="15.75" customHeight="1">
      <c r="A55" s="24"/>
      <c r="B55" s="94"/>
      <c r="C55" s="75"/>
      <c r="D55" s="75"/>
      <c r="E55" s="14" t="s">
        <v>36</v>
      </c>
      <c r="F55" s="14"/>
      <c r="G55" s="75" t="s">
        <v>24</v>
      </c>
      <c r="H55" s="14"/>
      <c r="I55" s="14" t="s">
        <v>145</v>
      </c>
      <c r="J55" s="56"/>
      <c r="K55" s="4" t="str">
        <f t="shared" si="1"/>
        <v/>
      </c>
      <c r="L55" s="17" t="str">
        <f t="shared" si="2"/>
        <v/>
      </c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ht="15.75" customHeight="1">
      <c r="A56" s="28"/>
      <c r="B56" s="94"/>
      <c r="C56" s="75"/>
      <c r="D56" s="75"/>
      <c r="E56" s="14" t="s">
        <v>146</v>
      </c>
      <c r="F56" s="75"/>
      <c r="G56" s="75" t="s">
        <v>24</v>
      </c>
      <c r="H56" s="75"/>
      <c r="I56" s="14" t="s">
        <v>23</v>
      </c>
      <c r="J56" s="56"/>
      <c r="K56" s="4" t="str">
        <f t="shared" si="1"/>
        <v/>
      </c>
      <c r="L56" s="17" t="str">
        <f t="shared" si="2"/>
        <v/>
      </c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ht="15.75" customHeight="1">
      <c r="A57" s="10">
        <v>10.0</v>
      </c>
      <c r="B57" s="94"/>
      <c r="C57" s="75"/>
      <c r="D57" s="75"/>
      <c r="E57" s="14" t="s">
        <v>146</v>
      </c>
      <c r="F57" s="75"/>
      <c r="G57" s="75" t="s">
        <v>24</v>
      </c>
      <c r="H57" s="75"/>
      <c r="I57" s="14" t="s">
        <v>108</v>
      </c>
      <c r="J57" s="56"/>
      <c r="K57" s="4" t="str">
        <f t="shared" si="1"/>
        <v/>
      </c>
      <c r="L57" s="17" t="str">
        <f t="shared" si="2"/>
        <v/>
      </c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ht="15.75" customHeight="1">
      <c r="A58" s="24"/>
      <c r="B58" s="94"/>
      <c r="C58" s="75"/>
      <c r="D58" s="75"/>
      <c r="E58" s="40" t="s">
        <v>143</v>
      </c>
      <c r="F58" s="75"/>
      <c r="G58" s="75" t="s">
        <v>24</v>
      </c>
      <c r="H58" s="75"/>
      <c r="I58" s="40" t="s">
        <v>59</v>
      </c>
      <c r="J58" s="56"/>
      <c r="K58" s="4" t="str">
        <f t="shared" si="1"/>
        <v/>
      </c>
      <c r="L58" s="17" t="str">
        <f t="shared" si="2"/>
        <v/>
      </c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ht="15.75" customHeight="1">
      <c r="A59" s="24"/>
      <c r="B59" s="94"/>
      <c r="C59" s="75"/>
      <c r="D59" s="75"/>
      <c r="E59" s="14" t="s">
        <v>45</v>
      </c>
      <c r="F59" s="75"/>
      <c r="G59" s="75" t="s">
        <v>24</v>
      </c>
      <c r="H59" s="75"/>
      <c r="I59" s="14" t="s">
        <v>144</v>
      </c>
      <c r="J59" s="56"/>
      <c r="K59" s="4" t="str">
        <f t="shared" si="1"/>
        <v/>
      </c>
      <c r="L59" s="17" t="str">
        <f t="shared" si="2"/>
        <v/>
      </c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ht="15.75" customHeight="1">
      <c r="A60" s="24"/>
      <c r="B60" s="94"/>
      <c r="C60" s="75"/>
      <c r="D60" s="75"/>
      <c r="E60" s="14" t="s">
        <v>25</v>
      </c>
      <c r="F60" s="75"/>
      <c r="G60" s="75" t="s">
        <v>24</v>
      </c>
      <c r="H60" s="75"/>
      <c r="I60" s="14" t="s">
        <v>111</v>
      </c>
      <c r="J60" s="56"/>
      <c r="K60" s="4" t="str">
        <f t="shared" si="1"/>
        <v/>
      </c>
      <c r="L60" s="17" t="str">
        <f t="shared" si="2"/>
        <v/>
      </c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ht="15.75" customHeight="1">
      <c r="A61" s="24"/>
      <c r="B61" s="94"/>
      <c r="C61" s="75"/>
      <c r="D61" s="75"/>
      <c r="E61" s="14" t="s">
        <v>145</v>
      </c>
      <c r="F61" s="75"/>
      <c r="G61" s="75" t="s">
        <v>24</v>
      </c>
      <c r="H61" s="75"/>
      <c r="I61" s="14" t="s">
        <v>33</v>
      </c>
      <c r="J61" s="56"/>
      <c r="K61" s="4" t="str">
        <f t="shared" si="1"/>
        <v/>
      </c>
      <c r="L61" s="17" t="str">
        <f t="shared" si="2"/>
        <v/>
      </c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ht="15.75" customHeight="1">
      <c r="A62" s="28"/>
      <c r="B62" s="94"/>
      <c r="C62" s="75"/>
      <c r="D62" s="75"/>
      <c r="E62" s="14" t="s">
        <v>23</v>
      </c>
      <c r="F62" s="75"/>
      <c r="G62" s="75" t="s">
        <v>24</v>
      </c>
      <c r="H62" s="75"/>
      <c r="I62" s="14" t="s">
        <v>36</v>
      </c>
      <c r="J62" s="56"/>
      <c r="K62" s="4" t="str">
        <f t="shared" si="1"/>
        <v/>
      </c>
      <c r="L62" s="17" t="str">
        <f t="shared" si="2"/>
        <v/>
      </c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ht="15.75" customHeight="1">
      <c r="A63" s="10">
        <v>11.0</v>
      </c>
      <c r="B63" s="94"/>
      <c r="C63" s="75"/>
      <c r="D63" s="75"/>
      <c r="E63" s="40" t="s">
        <v>108</v>
      </c>
      <c r="F63" s="75"/>
      <c r="G63" s="75" t="s">
        <v>24</v>
      </c>
      <c r="H63" s="75"/>
      <c r="I63" s="40" t="s">
        <v>143</v>
      </c>
      <c r="J63" s="56"/>
      <c r="K63" s="4" t="str">
        <f t="shared" si="1"/>
        <v/>
      </c>
      <c r="L63" s="17" t="str">
        <f t="shared" si="2"/>
        <v/>
      </c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ht="15.75" customHeight="1">
      <c r="A64" s="24"/>
      <c r="B64" s="94"/>
      <c r="C64" s="75"/>
      <c r="D64" s="75"/>
      <c r="E64" s="40" t="s">
        <v>59</v>
      </c>
      <c r="F64" s="75"/>
      <c r="G64" s="75" t="s">
        <v>24</v>
      </c>
      <c r="H64" s="75"/>
      <c r="I64" s="40" t="s">
        <v>45</v>
      </c>
      <c r="J64" s="56"/>
      <c r="K64" s="4" t="str">
        <f t="shared" si="1"/>
        <v/>
      </c>
      <c r="L64" s="17" t="str">
        <f t="shared" si="2"/>
        <v/>
      </c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ht="15.75" customHeight="1">
      <c r="A65" s="24"/>
      <c r="B65" s="94"/>
      <c r="C65" s="75"/>
      <c r="D65" s="75"/>
      <c r="E65" s="40" t="s">
        <v>144</v>
      </c>
      <c r="F65" s="75"/>
      <c r="G65" s="75" t="s">
        <v>24</v>
      </c>
      <c r="H65" s="75"/>
      <c r="I65" s="40" t="s">
        <v>25</v>
      </c>
      <c r="J65" s="56"/>
      <c r="K65" s="4" t="str">
        <f t="shared" si="1"/>
        <v/>
      </c>
      <c r="L65" s="17" t="str">
        <f t="shared" si="2"/>
        <v/>
      </c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ht="15.75" customHeight="1">
      <c r="A66" s="24"/>
      <c r="B66" s="94"/>
      <c r="C66" s="75"/>
      <c r="D66" s="75"/>
      <c r="E66" s="14" t="s">
        <v>111</v>
      </c>
      <c r="F66" s="75"/>
      <c r="G66" s="75" t="s">
        <v>24</v>
      </c>
      <c r="H66" s="75"/>
      <c r="I66" s="40" t="s">
        <v>145</v>
      </c>
      <c r="J66" s="56"/>
      <c r="K66" s="4" t="str">
        <f t="shared" si="1"/>
        <v/>
      </c>
      <c r="L66" s="17" t="str">
        <f t="shared" si="2"/>
        <v/>
      </c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ht="15.75" customHeight="1">
      <c r="A67" s="24"/>
      <c r="B67" s="94"/>
      <c r="C67" s="75"/>
      <c r="D67" s="75"/>
      <c r="E67" s="40" t="s">
        <v>33</v>
      </c>
      <c r="F67" s="75"/>
      <c r="G67" s="75" t="s">
        <v>24</v>
      </c>
      <c r="H67" s="75"/>
      <c r="I67" s="40" t="s">
        <v>23</v>
      </c>
      <c r="J67" s="56"/>
      <c r="K67" s="4" t="str">
        <f t="shared" si="1"/>
        <v/>
      </c>
      <c r="L67" s="17" t="str">
        <f t="shared" si="2"/>
        <v/>
      </c>
      <c r="M67" s="56"/>
      <c r="N67" s="56"/>
      <c r="O67" s="56"/>
      <c r="P67" s="56"/>
      <c r="Q67" s="56"/>
      <c r="R67" s="4"/>
      <c r="S67" s="4"/>
      <c r="T67" s="4"/>
      <c r="U67" s="4"/>
      <c r="V67" s="4"/>
      <c r="W67" s="56"/>
      <c r="X67" s="56"/>
      <c r="Y67" s="56"/>
      <c r="Z67" s="56"/>
      <c r="AA67" s="56"/>
      <c r="AB67" s="56"/>
      <c r="AC67" s="56"/>
      <c r="AD67" s="5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ht="15.75" customHeight="1">
      <c r="A68" s="28"/>
      <c r="B68" s="94"/>
      <c r="C68" s="75"/>
      <c r="D68" s="75"/>
      <c r="E68" s="40" t="s">
        <v>36</v>
      </c>
      <c r="F68" s="75"/>
      <c r="G68" s="75" t="s">
        <v>24</v>
      </c>
      <c r="H68" s="75"/>
      <c r="I68" s="40" t="s">
        <v>146</v>
      </c>
      <c r="J68" s="56"/>
      <c r="K68" s="4" t="str">
        <f t="shared" si="1"/>
        <v/>
      </c>
      <c r="L68" s="17" t="str">
        <f t="shared" si="2"/>
        <v/>
      </c>
      <c r="M68" s="56"/>
      <c r="N68" s="56"/>
      <c r="O68" s="56"/>
      <c r="P68" s="56"/>
      <c r="Q68" s="56"/>
      <c r="R68" s="4"/>
      <c r="S68" s="4"/>
      <c r="T68" s="4"/>
      <c r="U68" s="4"/>
      <c r="V68" s="4"/>
      <c r="W68" s="56"/>
      <c r="X68" s="56"/>
      <c r="Y68" s="56"/>
      <c r="Z68" s="56"/>
      <c r="AA68" s="56"/>
      <c r="AB68" s="56"/>
      <c r="AC68" s="56"/>
      <c r="AD68" s="5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ht="15.75" customHeight="1">
      <c r="A69" s="56"/>
      <c r="B69" s="56"/>
      <c r="C69" s="56"/>
      <c r="D69" s="56"/>
      <c r="E69" s="36"/>
      <c r="F69" s="56"/>
      <c r="G69" s="56"/>
      <c r="H69" s="56"/>
      <c r="I69" s="36"/>
      <c r="J69" s="56"/>
      <c r="K69" s="56"/>
      <c r="L69" s="56"/>
      <c r="M69" s="56"/>
      <c r="N69" s="56"/>
      <c r="O69" s="56"/>
      <c r="P69" s="56"/>
      <c r="Q69" s="56"/>
      <c r="R69" s="4"/>
      <c r="S69" s="4"/>
      <c r="T69" s="4"/>
      <c r="U69" s="4"/>
      <c r="V69" s="4"/>
      <c r="W69" s="56"/>
      <c r="X69" s="56"/>
      <c r="Y69" s="56"/>
      <c r="Z69" s="56"/>
      <c r="AA69" s="56"/>
      <c r="AB69" s="56"/>
      <c r="AC69" s="56"/>
      <c r="AD69" s="5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ht="15.75" customHeight="1">
      <c r="A70" s="56"/>
      <c r="B70" s="56"/>
      <c r="C70" s="56"/>
      <c r="D70" s="56"/>
      <c r="E70" s="36"/>
      <c r="F70" s="56"/>
      <c r="G70" s="56"/>
      <c r="H70" s="56"/>
      <c r="I70" s="36"/>
      <c r="J70" s="56"/>
      <c r="K70" s="56"/>
      <c r="L70" s="56"/>
      <c r="M70" s="56"/>
      <c r="N70" s="56"/>
      <c r="O70" s="56"/>
      <c r="P70" s="56"/>
      <c r="Q70" s="56"/>
      <c r="R70" s="4"/>
      <c r="S70" s="4"/>
      <c r="T70" s="4"/>
      <c r="U70" s="4"/>
      <c r="V70" s="4"/>
      <c r="W70" s="56"/>
      <c r="X70" s="56"/>
      <c r="Y70" s="56"/>
      <c r="Z70" s="56"/>
      <c r="AA70" s="56"/>
      <c r="AB70" s="56"/>
      <c r="AC70" s="56"/>
      <c r="AD70" s="5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ht="15.75" customHeight="1">
      <c r="A71" s="56"/>
      <c r="B71" s="56"/>
      <c r="C71" s="56"/>
      <c r="D71" s="56"/>
      <c r="E71" s="36"/>
      <c r="F71" s="56"/>
      <c r="G71" s="56"/>
      <c r="H71" s="56"/>
      <c r="I71" s="36"/>
      <c r="J71" s="56"/>
      <c r="K71" s="56"/>
      <c r="L71" s="56"/>
      <c r="M71" s="56"/>
      <c r="N71" s="56"/>
      <c r="O71" s="56"/>
      <c r="P71" s="56"/>
      <c r="Q71" s="56"/>
      <c r="R71" s="4"/>
      <c r="S71" s="4"/>
      <c r="T71" s="4"/>
      <c r="U71" s="4"/>
      <c r="V71" s="4"/>
      <c r="W71" s="56"/>
      <c r="X71" s="56"/>
      <c r="Y71" s="56"/>
      <c r="Z71" s="56"/>
      <c r="AA71" s="56"/>
      <c r="AB71" s="56"/>
      <c r="AC71" s="56"/>
      <c r="AD71" s="5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ht="15.75" customHeight="1">
      <c r="A72" s="56"/>
      <c r="B72" s="56"/>
      <c r="C72" s="56"/>
      <c r="D72" s="56"/>
      <c r="E72" s="36"/>
      <c r="F72" s="56"/>
      <c r="G72" s="56"/>
      <c r="H72" s="56"/>
      <c r="I72" s="36"/>
      <c r="J72" s="56"/>
      <c r="K72" s="56"/>
      <c r="L72" s="56"/>
      <c r="M72" s="56"/>
      <c r="N72" s="56"/>
      <c r="O72" s="56"/>
      <c r="P72" s="56"/>
      <c r="Q72" s="56"/>
      <c r="R72" s="4"/>
      <c r="S72" s="4"/>
      <c r="T72" s="4"/>
      <c r="U72" s="4"/>
      <c r="V72" s="4"/>
      <c r="W72" s="56"/>
      <c r="X72" s="56"/>
      <c r="Y72" s="56"/>
      <c r="Z72" s="56"/>
      <c r="AA72" s="56"/>
      <c r="AB72" s="56"/>
      <c r="AC72" s="56"/>
      <c r="AD72" s="5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ht="15.75" customHeight="1">
      <c r="A73" s="90" t="s">
        <v>153</v>
      </c>
      <c r="H73" s="56"/>
      <c r="I73" s="36"/>
      <c r="J73" s="56"/>
      <c r="K73" s="56"/>
      <c r="L73" s="56"/>
      <c r="M73" s="56"/>
      <c r="N73" s="56"/>
      <c r="O73" s="56"/>
      <c r="P73" s="56"/>
      <c r="Q73" s="56"/>
      <c r="R73" s="4"/>
      <c r="S73" s="4"/>
      <c r="T73" s="4"/>
      <c r="U73" s="4"/>
      <c r="V73" s="4"/>
      <c r="W73" s="56"/>
      <c r="X73" s="56"/>
      <c r="Y73" s="56"/>
      <c r="Z73" s="56"/>
      <c r="AA73" s="56"/>
      <c r="AB73" s="56"/>
      <c r="AC73" s="56"/>
      <c r="AD73" s="5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ht="15.75" customHeight="1">
      <c r="A74" s="5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9" t="s">
        <v>8</v>
      </c>
      <c r="K74" s="9" t="s">
        <v>9</v>
      </c>
      <c r="L74" s="9" t="s">
        <v>10</v>
      </c>
      <c r="M74" s="9"/>
      <c r="N74" s="9" t="s">
        <v>11</v>
      </c>
      <c r="O74" s="9" t="s">
        <v>12</v>
      </c>
      <c r="P74" s="9" t="s">
        <v>13</v>
      </c>
      <c r="Q74" s="9" t="s">
        <v>14</v>
      </c>
      <c r="R74" s="9" t="s">
        <v>15</v>
      </c>
      <c r="S74" s="9" t="s">
        <v>16</v>
      </c>
      <c r="T74" s="9" t="s">
        <v>17</v>
      </c>
      <c r="U74" s="9" t="s">
        <v>18</v>
      </c>
      <c r="V74" s="9" t="s">
        <v>19</v>
      </c>
      <c r="W74" s="56"/>
      <c r="X74" s="56"/>
      <c r="Y74" s="56"/>
      <c r="Z74" s="56"/>
      <c r="AA74" s="56"/>
      <c r="AB74" s="56"/>
      <c r="AC74" s="56"/>
      <c r="AD74" s="56"/>
      <c r="AE74" s="5" t="s">
        <v>11</v>
      </c>
      <c r="AF74" s="5" t="s">
        <v>12</v>
      </c>
      <c r="AG74" s="5" t="s">
        <v>13</v>
      </c>
      <c r="AH74" s="5" t="s">
        <v>14</v>
      </c>
      <c r="AI74" s="5" t="s">
        <v>15</v>
      </c>
      <c r="AJ74" s="5" t="s">
        <v>16</v>
      </c>
      <c r="AK74" s="5" t="s">
        <v>17</v>
      </c>
      <c r="AL74" s="5" t="s">
        <v>18</v>
      </c>
      <c r="AM74" s="5" t="s">
        <v>19</v>
      </c>
      <c r="AN74" s="9"/>
    </row>
    <row r="75" ht="15.75" customHeight="1">
      <c r="A75" s="10">
        <v>1.0</v>
      </c>
      <c r="B75" s="11">
        <v>45943.0</v>
      </c>
      <c r="C75" s="12" t="s">
        <v>98</v>
      </c>
      <c r="D75" s="59" t="s">
        <v>133</v>
      </c>
      <c r="E75" s="40" t="s">
        <v>110</v>
      </c>
      <c r="F75" s="40">
        <v>3.0</v>
      </c>
      <c r="G75" s="75" t="s">
        <v>24</v>
      </c>
      <c r="H75" s="40">
        <v>1.0</v>
      </c>
      <c r="I75" s="40" t="s">
        <v>113</v>
      </c>
      <c r="J75" s="4"/>
      <c r="K75" s="4">
        <f t="shared" ref="K75:K119" si="11">IF(F75="","",IFS(F75&gt;H75,3,F75=H75,1,H75&gt;F75,0,F75="",0))</f>
        <v>3</v>
      </c>
      <c r="L75" s="17">
        <f t="shared" ref="L75:L119" si="12">IF(H75="","",IFS(F75&lt;H75,3,F75=H75,1,H75&lt;F75,0))</f>
        <v>0</v>
      </c>
      <c r="M75" s="4"/>
      <c r="N75" s="17">
        <v>1.0</v>
      </c>
      <c r="O75" s="89" t="s">
        <v>113</v>
      </c>
      <c r="P75" s="17">
        <f t="shared" ref="P75:P83" si="13">SUMIF(E$75:E$119,O75,K$75:K$119)+SUMIF(I$75:I$119,O75,L$75:L$119)</f>
        <v>1</v>
      </c>
      <c r="Q75" s="17">
        <f t="shared" ref="Q75:Q83" si="14">COUNTIFS(E$75:E$119,O75,K$75:K$119,3)+COUNTIFS(I$75:I$119,O75,L$75:L$119,3)</f>
        <v>0</v>
      </c>
      <c r="R75" s="19">
        <f t="shared" ref="R75:R83" si="15">COUNTIFS(E$75:E$119,O75,K$75:K$119,1)+COUNTIFS(I$75:I$119,O75,L$75:L$119,1)</f>
        <v>1</v>
      </c>
      <c r="S75" s="19">
        <f t="shared" ref="S75:S83" si="16">COUNTIFS(E$75:E$119,O75,K$75:K$119,0)+COUNTIFS(I$75:I$119,O75,L$75:L$119,0)</f>
        <v>1</v>
      </c>
      <c r="T75" s="17">
        <f t="shared" ref="T75:T83" si="17">SUMIF(E$75:E$119,O75,F$75:F$119)+SUMIF(I$75:I$119,O75,H$75:H$119)</f>
        <v>4</v>
      </c>
      <c r="U75" s="19">
        <f t="shared" ref="U75:U83" si="18">SUMIF(E$75:E$119,O75,H$75:H$119)+SUMIF(I$75:I$119,O75,F$75:F$119)</f>
        <v>6</v>
      </c>
      <c r="V75" s="17">
        <f t="shared" ref="V75:V83" si="19">T75-U75</f>
        <v>-2</v>
      </c>
      <c r="W75" s="56"/>
      <c r="X75" s="56"/>
      <c r="Y75" s="56"/>
      <c r="Z75" s="56"/>
      <c r="AA75" s="56"/>
      <c r="AB75" s="56"/>
      <c r="AC75" s="56"/>
      <c r="AD75" s="56"/>
      <c r="AE75" s="41" t="s">
        <v>29</v>
      </c>
      <c r="AF75" s="22" t="str">
        <f t="array" ref="AF75:AN83">SORT(O75:W83,2,FALSE,9,FALSE,8,FALSE())</f>
        <v>Economia</v>
      </c>
      <c r="AG75" s="22">
        <v>6.0</v>
      </c>
      <c r="AH75" s="22">
        <v>2.0</v>
      </c>
      <c r="AI75" s="22">
        <v>0.0</v>
      </c>
      <c r="AJ75" s="22">
        <v>0.0</v>
      </c>
      <c r="AK75" s="22">
        <v>21.0</v>
      </c>
      <c r="AL75" s="22">
        <v>7.0</v>
      </c>
      <c r="AM75" s="22">
        <v>14.0</v>
      </c>
      <c r="AN75" s="17"/>
    </row>
    <row r="76" ht="15.75" customHeight="1">
      <c r="A76" s="24"/>
      <c r="B76" s="11">
        <v>45943.0</v>
      </c>
      <c r="C76" s="12" t="s">
        <v>102</v>
      </c>
      <c r="D76" s="59" t="s">
        <v>133</v>
      </c>
      <c r="E76" s="40" t="s">
        <v>63</v>
      </c>
      <c r="F76" s="40">
        <v>0.0</v>
      </c>
      <c r="G76" s="75" t="s">
        <v>24</v>
      </c>
      <c r="H76" s="40">
        <v>4.0</v>
      </c>
      <c r="I76" s="40" t="s">
        <v>43</v>
      </c>
      <c r="J76" s="4"/>
      <c r="K76" s="4">
        <f t="shared" si="11"/>
        <v>0</v>
      </c>
      <c r="L76" s="17">
        <f t="shared" si="12"/>
        <v>3</v>
      </c>
      <c r="M76" s="4"/>
      <c r="N76" s="17">
        <v>2.0</v>
      </c>
      <c r="O76" s="89" t="s">
        <v>110</v>
      </c>
      <c r="P76" s="17">
        <f t="shared" si="13"/>
        <v>3</v>
      </c>
      <c r="Q76" s="17">
        <f t="shared" si="14"/>
        <v>1</v>
      </c>
      <c r="R76" s="19">
        <f t="shared" si="15"/>
        <v>0</v>
      </c>
      <c r="S76" s="19">
        <f t="shared" si="16"/>
        <v>0</v>
      </c>
      <c r="T76" s="17">
        <f t="shared" si="17"/>
        <v>3</v>
      </c>
      <c r="U76" s="19">
        <f t="shared" si="18"/>
        <v>1</v>
      </c>
      <c r="V76" s="17">
        <f t="shared" si="19"/>
        <v>2</v>
      </c>
      <c r="W76" s="56"/>
      <c r="X76" s="56"/>
      <c r="Y76" s="56"/>
      <c r="Z76" s="56"/>
      <c r="AA76" s="56"/>
      <c r="AB76" s="56"/>
      <c r="AC76" s="56"/>
      <c r="AD76" s="56"/>
      <c r="AE76" s="95" t="s">
        <v>112</v>
      </c>
      <c r="AF76" s="22" t="s">
        <v>32</v>
      </c>
      <c r="AG76" s="22">
        <v>6.0</v>
      </c>
      <c r="AH76" s="22">
        <v>2.0</v>
      </c>
      <c r="AI76" s="22">
        <v>0.0</v>
      </c>
      <c r="AJ76" s="22">
        <v>0.0</v>
      </c>
      <c r="AK76" s="22">
        <v>16.0</v>
      </c>
      <c r="AL76" s="22">
        <v>3.0</v>
      </c>
      <c r="AM76" s="22">
        <v>13.0</v>
      </c>
      <c r="AN76" s="17"/>
    </row>
    <row r="77" ht="15.75" customHeight="1">
      <c r="A77" s="24"/>
      <c r="B77" s="11">
        <v>45943.0</v>
      </c>
      <c r="C77" s="12" t="s">
        <v>117</v>
      </c>
      <c r="D77" s="59" t="s">
        <v>133</v>
      </c>
      <c r="E77" s="40" t="s">
        <v>32</v>
      </c>
      <c r="F77" s="40">
        <v>12.0</v>
      </c>
      <c r="G77" s="75" t="s">
        <v>24</v>
      </c>
      <c r="H77" s="40">
        <v>1.0</v>
      </c>
      <c r="I77" s="40" t="s">
        <v>64</v>
      </c>
      <c r="J77" s="4"/>
      <c r="K77" s="4">
        <f t="shared" si="11"/>
        <v>3</v>
      </c>
      <c r="L77" s="17">
        <f t="shared" si="12"/>
        <v>0</v>
      </c>
      <c r="M77" s="4"/>
      <c r="N77" s="17">
        <v>3.0</v>
      </c>
      <c r="O77" s="89" t="s">
        <v>63</v>
      </c>
      <c r="P77" s="17">
        <f t="shared" si="13"/>
        <v>1</v>
      </c>
      <c r="Q77" s="17">
        <f t="shared" si="14"/>
        <v>0</v>
      </c>
      <c r="R77" s="19">
        <f t="shared" si="15"/>
        <v>1</v>
      </c>
      <c r="S77" s="19">
        <f t="shared" si="16"/>
        <v>1</v>
      </c>
      <c r="T77" s="17">
        <f t="shared" si="17"/>
        <v>3</v>
      </c>
      <c r="U77" s="19">
        <f t="shared" si="18"/>
        <v>7</v>
      </c>
      <c r="V77" s="17">
        <f t="shared" si="19"/>
        <v>-4</v>
      </c>
      <c r="W77" s="56"/>
      <c r="X77" s="56"/>
      <c r="Y77" s="56"/>
      <c r="Z77" s="56"/>
      <c r="AA77" s="56"/>
      <c r="AB77" s="56"/>
      <c r="AC77" s="56"/>
      <c r="AD77" s="56"/>
      <c r="AE77" s="21">
        <v>3.0</v>
      </c>
      <c r="AF77" s="22" t="s">
        <v>110</v>
      </c>
      <c r="AG77" s="22">
        <v>3.0</v>
      </c>
      <c r="AH77" s="22">
        <v>1.0</v>
      </c>
      <c r="AI77" s="22">
        <v>0.0</v>
      </c>
      <c r="AJ77" s="22">
        <v>0.0</v>
      </c>
      <c r="AK77" s="22">
        <v>3.0</v>
      </c>
      <c r="AL77" s="22">
        <v>1.0</v>
      </c>
      <c r="AM77" s="22">
        <v>2.0</v>
      </c>
      <c r="AN77" s="17"/>
    </row>
    <row r="78" ht="15.75" customHeight="1">
      <c r="A78" s="24"/>
      <c r="B78" s="11">
        <v>45943.0</v>
      </c>
      <c r="C78" s="12" t="s">
        <v>95</v>
      </c>
      <c r="D78" s="59" t="s">
        <v>133</v>
      </c>
      <c r="E78" s="40" t="s">
        <v>60</v>
      </c>
      <c r="F78" s="40">
        <v>12.0</v>
      </c>
      <c r="G78" s="75" t="s">
        <v>24</v>
      </c>
      <c r="H78" s="40">
        <v>3.0</v>
      </c>
      <c r="I78" s="40" t="s">
        <v>154</v>
      </c>
      <c r="J78" s="4"/>
      <c r="K78" s="4">
        <f t="shared" si="11"/>
        <v>3</v>
      </c>
      <c r="L78" s="17">
        <f t="shared" si="12"/>
        <v>0</v>
      </c>
      <c r="M78" s="4"/>
      <c r="N78" s="17">
        <v>4.0</v>
      </c>
      <c r="O78" s="89" t="s">
        <v>32</v>
      </c>
      <c r="P78" s="17">
        <f t="shared" si="13"/>
        <v>6</v>
      </c>
      <c r="Q78" s="17">
        <f t="shared" si="14"/>
        <v>2</v>
      </c>
      <c r="R78" s="19">
        <f t="shared" si="15"/>
        <v>0</v>
      </c>
      <c r="S78" s="19">
        <f t="shared" si="16"/>
        <v>0</v>
      </c>
      <c r="T78" s="17">
        <f t="shared" si="17"/>
        <v>16</v>
      </c>
      <c r="U78" s="19">
        <f t="shared" si="18"/>
        <v>3</v>
      </c>
      <c r="V78" s="17">
        <f t="shared" si="19"/>
        <v>13</v>
      </c>
      <c r="W78" s="56"/>
      <c r="X78" s="56"/>
      <c r="Y78" s="56"/>
      <c r="Z78" s="56"/>
      <c r="AA78" s="56"/>
      <c r="AB78" s="56"/>
      <c r="AC78" s="56"/>
      <c r="AD78" s="56"/>
      <c r="AE78" s="21">
        <v>4.0</v>
      </c>
      <c r="AF78" s="22" t="s">
        <v>43</v>
      </c>
      <c r="AG78" s="22">
        <v>3.0</v>
      </c>
      <c r="AH78" s="22">
        <v>1.0</v>
      </c>
      <c r="AI78" s="22">
        <v>0.0</v>
      </c>
      <c r="AJ78" s="22">
        <v>1.0</v>
      </c>
      <c r="AK78" s="22">
        <v>6.0</v>
      </c>
      <c r="AL78" s="22">
        <v>4.0</v>
      </c>
      <c r="AM78" s="22">
        <v>2.0</v>
      </c>
      <c r="AN78" s="17"/>
    </row>
    <row r="79" ht="15.75" customHeight="1">
      <c r="A79" s="24"/>
      <c r="B79" s="96"/>
      <c r="C79" s="75"/>
      <c r="D79" s="60"/>
      <c r="E79" s="40" t="s">
        <v>55</v>
      </c>
      <c r="F79" s="60"/>
      <c r="G79" s="75" t="s">
        <v>24</v>
      </c>
      <c r="H79" s="60"/>
      <c r="I79" s="40">
        <v>0.0</v>
      </c>
      <c r="J79" s="4"/>
      <c r="K79" s="4" t="str">
        <f t="shared" si="11"/>
        <v/>
      </c>
      <c r="L79" s="17" t="str">
        <f t="shared" si="12"/>
        <v/>
      </c>
      <c r="M79" s="4"/>
      <c r="N79" s="17">
        <v>5.0</v>
      </c>
      <c r="O79" s="89" t="s">
        <v>60</v>
      </c>
      <c r="P79" s="17">
        <f t="shared" si="13"/>
        <v>6</v>
      </c>
      <c r="Q79" s="17">
        <f t="shared" si="14"/>
        <v>2</v>
      </c>
      <c r="R79" s="19">
        <f t="shared" si="15"/>
        <v>0</v>
      </c>
      <c r="S79" s="19">
        <f t="shared" si="16"/>
        <v>0</v>
      </c>
      <c r="T79" s="17">
        <f t="shared" si="17"/>
        <v>21</v>
      </c>
      <c r="U79" s="19">
        <f t="shared" si="18"/>
        <v>7</v>
      </c>
      <c r="V79" s="17">
        <f t="shared" si="19"/>
        <v>14</v>
      </c>
      <c r="W79" s="56"/>
      <c r="X79" s="56"/>
      <c r="Y79" s="56"/>
      <c r="Z79" s="56"/>
      <c r="AA79" s="56"/>
      <c r="AB79" s="56"/>
      <c r="AC79" s="56"/>
      <c r="AD79" s="56"/>
      <c r="AE79" s="21">
        <v>5.0</v>
      </c>
      <c r="AF79" s="22" t="s">
        <v>55</v>
      </c>
      <c r="AG79" s="22">
        <v>1.0</v>
      </c>
      <c r="AH79" s="22">
        <v>0.0</v>
      </c>
      <c r="AI79" s="22">
        <v>1.0</v>
      </c>
      <c r="AJ79" s="22">
        <v>0.0</v>
      </c>
      <c r="AK79" s="22">
        <v>2.0</v>
      </c>
      <c r="AL79" s="22">
        <v>2.0</v>
      </c>
      <c r="AM79" s="22">
        <v>0.0</v>
      </c>
      <c r="AN79" s="17"/>
    </row>
    <row r="80" ht="15.75" customHeight="1">
      <c r="A80" s="10">
        <v>2.0</v>
      </c>
      <c r="B80" s="97">
        <v>45957.0</v>
      </c>
      <c r="C80" s="59" t="s">
        <v>117</v>
      </c>
      <c r="D80" s="59" t="s">
        <v>133</v>
      </c>
      <c r="E80" s="40" t="s">
        <v>113</v>
      </c>
      <c r="F80" s="40">
        <v>3.0</v>
      </c>
      <c r="G80" s="75" t="s">
        <v>24</v>
      </c>
      <c r="H80" s="40">
        <v>3.0</v>
      </c>
      <c r="I80" s="40" t="s">
        <v>63</v>
      </c>
      <c r="J80" s="4"/>
      <c r="K80" s="4">
        <f t="shared" si="11"/>
        <v>1</v>
      </c>
      <c r="L80" s="17">
        <f t="shared" si="12"/>
        <v>1</v>
      </c>
      <c r="M80" s="4"/>
      <c r="N80" s="17">
        <v>6.0</v>
      </c>
      <c r="O80" s="89" t="s">
        <v>55</v>
      </c>
      <c r="P80" s="17">
        <f t="shared" si="13"/>
        <v>1</v>
      </c>
      <c r="Q80" s="17">
        <f t="shared" si="14"/>
        <v>0</v>
      </c>
      <c r="R80" s="19">
        <f t="shared" si="15"/>
        <v>1</v>
      </c>
      <c r="S80" s="19">
        <f t="shared" si="16"/>
        <v>0</v>
      </c>
      <c r="T80" s="17">
        <f t="shared" si="17"/>
        <v>2</v>
      </c>
      <c r="U80" s="19">
        <f t="shared" si="18"/>
        <v>2</v>
      </c>
      <c r="V80" s="17">
        <f t="shared" si="19"/>
        <v>0</v>
      </c>
      <c r="W80" s="56"/>
      <c r="X80" s="56"/>
      <c r="Y80" s="56"/>
      <c r="Z80" s="56"/>
      <c r="AA80" s="56"/>
      <c r="AB80" s="56"/>
      <c r="AC80" s="56"/>
      <c r="AD80" s="56"/>
      <c r="AE80" s="21">
        <v>6.0</v>
      </c>
      <c r="AF80" s="22" t="s">
        <v>113</v>
      </c>
      <c r="AG80" s="22">
        <v>1.0</v>
      </c>
      <c r="AH80" s="22">
        <v>0.0</v>
      </c>
      <c r="AI80" s="22">
        <v>1.0</v>
      </c>
      <c r="AJ80" s="22">
        <v>1.0</v>
      </c>
      <c r="AK80" s="22">
        <v>4.0</v>
      </c>
      <c r="AL80" s="22">
        <v>6.0</v>
      </c>
      <c r="AM80" s="22">
        <v>-2.0</v>
      </c>
      <c r="AN80" s="17"/>
    </row>
    <row r="81" ht="15.75" customHeight="1">
      <c r="A81" s="24"/>
      <c r="B81" s="98"/>
      <c r="C81" s="99"/>
      <c r="D81" s="81"/>
      <c r="E81" s="40">
        <v>0.0</v>
      </c>
      <c r="F81" s="60"/>
      <c r="G81" s="75" t="s">
        <v>24</v>
      </c>
      <c r="H81" s="60"/>
      <c r="I81" s="40" t="s">
        <v>110</v>
      </c>
      <c r="J81" s="4"/>
      <c r="K81" s="4" t="str">
        <f t="shared" si="11"/>
        <v/>
      </c>
      <c r="L81" s="17" t="str">
        <f t="shared" si="12"/>
        <v/>
      </c>
      <c r="M81" s="4"/>
      <c r="N81" s="17">
        <v>7.0</v>
      </c>
      <c r="O81" s="89" t="s">
        <v>154</v>
      </c>
      <c r="P81" s="17">
        <f t="shared" si="13"/>
        <v>1</v>
      </c>
      <c r="Q81" s="17">
        <f t="shared" si="14"/>
        <v>0</v>
      </c>
      <c r="R81" s="19">
        <f t="shared" si="15"/>
        <v>1</v>
      </c>
      <c r="S81" s="19">
        <f t="shared" si="16"/>
        <v>1</v>
      </c>
      <c r="T81" s="17">
        <f t="shared" si="17"/>
        <v>5</v>
      </c>
      <c r="U81" s="19">
        <f t="shared" si="18"/>
        <v>14</v>
      </c>
      <c r="V81" s="17">
        <f t="shared" si="19"/>
        <v>-9</v>
      </c>
      <c r="W81" s="56"/>
      <c r="X81" s="56"/>
      <c r="Y81" s="56"/>
      <c r="Z81" s="56"/>
      <c r="AA81" s="56"/>
      <c r="AB81" s="56"/>
      <c r="AC81" s="56"/>
      <c r="AD81" s="56"/>
      <c r="AE81" s="21">
        <v>7.0</v>
      </c>
      <c r="AF81" s="22" t="s">
        <v>63</v>
      </c>
      <c r="AG81" s="22">
        <v>1.0</v>
      </c>
      <c r="AH81" s="22">
        <v>0.0</v>
      </c>
      <c r="AI81" s="22">
        <v>1.0</v>
      </c>
      <c r="AJ81" s="22">
        <v>1.0</v>
      </c>
      <c r="AK81" s="22">
        <v>3.0</v>
      </c>
      <c r="AL81" s="22">
        <v>7.0</v>
      </c>
      <c r="AM81" s="22">
        <v>-4.0</v>
      </c>
      <c r="AN81" s="17"/>
    </row>
    <row r="82" ht="15.75" customHeight="1">
      <c r="A82" s="24"/>
      <c r="B82" s="97">
        <v>45957.0</v>
      </c>
      <c r="C82" s="12" t="s">
        <v>95</v>
      </c>
      <c r="D82" s="59" t="s">
        <v>133</v>
      </c>
      <c r="E82" s="40" t="s">
        <v>43</v>
      </c>
      <c r="F82" s="40">
        <v>2.0</v>
      </c>
      <c r="G82" s="75" t="s">
        <v>24</v>
      </c>
      <c r="H82" s="40">
        <v>4.0</v>
      </c>
      <c r="I82" s="40" t="s">
        <v>32</v>
      </c>
      <c r="J82" s="4"/>
      <c r="K82" s="4">
        <f t="shared" si="11"/>
        <v>0</v>
      </c>
      <c r="L82" s="17">
        <f t="shared" si="12"/>
        <v>3</v>
      </c>
      <c r="M82" s="4"/>
      <c r="N82" s="17">
        <v>8.0</v>
      </c>
      <c r="O82" s="89" t="s">
        <v>64</v>
      </c>
      <c r="P82" s="17">
        <f t="shared" si="13"/>
        <v>0</v>
      </c>
      <c r="Q82" s="17">
        <f t="shared" si="14"/>
        <v>0</v>
      </c>
      <c r="R82" s="19">
        <f t="shared" si="15"/>
        <v>0</v>
      </c>
      <c r="S82" s="19">
        <f t="shared" si="16"/>
        <v>2</v>
      </c>
      <c r="T82" s="17">
        <f t="shared" si="17"/>
        <v>5</v>
      </c>
      <c r="U82" s="19">
        <f t="shared" si="18"/>
        <v>21</v>
      </c>
      <c r="V82" s="17">
        <f t="shared" si="19"/>
        <v>-16</v>
      </c>
      <c r="W82" s="56"/>
      <c r="X82" s="56"/>
      <c r="Y82" s="56"/>
      <c r="Z82" s="56"/>
      <c r="AA82" s="56"/>
      <c r="AB82" s="56"/>
      <c r="AC82" s="56"/>
      <c r="AD82" s="56"/>
      <c r="AE82" s="21">
        <v>8.0</v>
      </c>
      <c r="AF82" s="22" t="s">
        <v>154</v>
      </c>
      <c r="AG82" s="22">
        <v>1.0</v>
      </c>
      <c r="AH82" s="22">
        <v>0.0</v>
      </c>
      <c r="AI82" s="22">
        <v>1.0</v>
      </c>
      <c r="AJ82" s="22">
        <v>1.0</v>
      </c>
      <c r="AK82" s="22">
        <v>5.0</v>
      </c>
      <c r="AL82" s="22">
        <v>14.0</v>
      </c>
      <c r="AM82" s="22">
        <v>-9.0</v>
      </c>
      <c r="AN82" s="17"/>
    </row>
    <row r="83" ht="15.75" customHeight="1">
      <c r="A83" s="24"/>
      <c r="B83" s="97">
        <v>45957.0</v>
      </c>
      <c r="C83" s="12" t="s">
        <v>98</v>
      </c>
      <c r="D83" s="59" t="s">
        <v>133</v>
      </c>
      <c r="E83" s="40" t="s">
        <v>64</v>
      </c>
      <c r="F83" s="40">
        <v>4.0</v>
      </c>
      <c r="G83" s="75" t="s">
        <v>24</v>
      </c>
      <c r="H83" s="40">
        <v>9.0</v>
      </c>
      <c r="I83" s="40" t="s">
        <v>60</v>
      </c>
      <c r="J83" s="4"/>
      <c r="K83" s="4">
        <f t="shared" si="11"/>
        <v>0</v>
      </c>
      <c r="L83" s="17">
        <f t="shared" si="12"/>
        <v>3</v>
      </c>
      <c r="M83" s="4"/>
      <c r="N83" s="17">
        <v>9.0</v>
      </c>
      <c r="O83" s="89" t="s">
        <v>43</v>
      </c>
      <c r="P83" s="17">
        <f t="shared" si="13"/>
        <v>3</v>
      </c>
      <c r="Q83" s="17">
        <f t="shared" si="14"/>
        <v>1</v>
      </c>
      <c r="R83" s="19">
        <f t="shared" si="15"/>
        <v>0</v>
      </c>
      <c r="S83" s="19">
        <f t="shared" si="16"/>
        <v>1</v>
      </c>
      <c r="T83" s="17">
        <f t="shared" si="17"/>
        <v>6</v>
      </c>
      <c r="U83" s="19">
        <f t="shared" si="18"/>
        <v>4</v>
      </c>
      <c r="V83" s="17">
        <f t="shared" si="19"/>
        <v>2</v>
      </c>
      <c r="W83" s="56"/>
      <c r="X83" s="56"/>
      <c r="Y83" s="56"/>
      <c r="Z83" s="56"/>
      <c r="AA83" s="56"/>
      <c r="AB83" s="56"/>
      <c r="AC83" s="56"/>
      <c r="AD83" s="56"/>
      <c r="AE83" s="21">
        <v>9.0</v>
      </c>
      <c r="AF83" s="22" t="s">
        <v>64</v>
      </c>
      <c r="AG83" s="22">
        <v>0.0</v>
      </c>
      <c r="AH83" s="22">
        <v>0.0</v>
      </c>
      <c r="AI83" s="22">
        <v>0.0</v>
      </c>
      <c r="AJ83" s="22">
        <v>2.0</v>
      </c>
      <c r="AK83" s="22">
        <v>5.0</v>
      </c>
      <c r="AL83" s="44">
        <v>21.0</v>
      </c>
      <c r="AM83" s="44">
        <v>-16.0</v>
      </c>
      <c r="AN83" s="17"/>
    </row>
    <row r="84" ht="15.75" customHeight="1">
      <c r="A84" s="24"/>
      <c r="B84" s="97">
        <v>45957.0</v>
      </c>
      <c r="C84" s="12" t="s">
        <v>102</v>
      </c>
      <c r="D84" s="59" t="s">
        <v>133</v>
      </c>
      <c r="E84" s="40" t="s">
        <v>154</v>
      </c>
      <c r="F84" s="40">
        <v>2.0</v>
      </c>
      <c r="G84" s="75" t="s">
        <v>24</v>
      </c>
      <c r="H84" s="40">
        <v>2.0</v>
      </c>
      <c r="I84" s="40" t="s">
        <v>55</v>
      </c>
      <c r="J84" s="4"/>
      <c r="K84" s="4">
        <f t="shared" si="11"/>
        <v>1</v>
      </c>
      <c r="L84" s="17">
        <f t="shared" si="12"/>
        <v>1</v>
      </c>
      <c r="M84" s="4"/>
      <c r="N84" s="17"/>
      <c r="O84" s="4"/>
      <c r="P84" s="17"/>
      <c r="Q84" s="17"/>
      <c r="R84" s="19"/>
      <c r="S84" s="19"/>
      <c r="T84" s="17"/>
      <c r="U84" s="19"/>
      <c r="V84" s="17"/>
      <c r="W84" s="56"/>
      <c r="X84" s="56"/>
      <c r="Y84" s="56"/>
      <c r="Z84" s="56"/>
      <c r="AA84" s="56"/>
      <c r="AB84" s="56"/>
      <c r="AC84" s="56"/>
      <c r="AD84" s="56"/>
      <c r="AE84" s="34" t="s">
        <v>155</v>
      </c>
      <c r="AH84" s="31"/>
      <c r="AI84" s="31"/>
      <c r="AJ84" s="31"/>
      <c r="AK84" s="31"/>
      <c r="AL84" s="100"/>
      <c r="AM84" s="100"/>
      <c r="AN84" s="17"/>
    </row>
    <row r="85" ht="15.75" customHeight="1">
      <c r="A85" s="10">
        <v>3.0</v>
      </c>
      <c r="B85" s="11">
        <v>45974.0</v>
      </c>
      <c r="C85" s="59" t="s">
        <v>21</v>
      </c>
      <c r="D85" s="59" t="s">
        <v>22</v>
      </c>
      <c r="E85" s="40" t="s">
        <v>32</v>
      </c>
      <c r="F85" s="60"/>
      <c r="G85" s="75" t="s">
        <v>24</v>
      </c>
      <c r="H85" s="60"/>
      <c r="I85" s="40" t="s">
        <v>113</v>
      </c>
      <c r="J85" s="4"/>
      <c r="K85" s="4" t="str">
        <f t="shared" si="11"/>
        <v/>
      </c>
      <c r="L85" s="17" t="str">
        <f t="shared" si="12"/>
        <v/>
      </c>
      <c r="M85" s="4"/>
      <c r="N85" s="4"/>
      <c r="O85" s="4"/>
      <c r="P85" s="17"/>
      <c r="Q85" s="17"/>
      <c r="R85" s="19"/>
      <c r="S85" s="19"/>
      <c r="T85" s="17"/>
      <c r="U85" s="19"/>
      <c r="V85" s="17"/>
      <c r="W85" s="56"/>
      <c r="X85" s="56"/>
      <c r="Y85" s="56"/>
      <c r="Z85" s="56"/>
      <c r="AA85" s="56"/>
      <c r="AB85" s="56"/>
      <c r="AC85" s="56"/>
      <c r="AD85" s="56"/>
      <c r="AE85" s="73" t="s">
        <v>152</v>
      </c>
      <c r="AH85" s="17"/>
      <c r="AI85" s="17"/>
      <c r="AJ85" s="17"/>
      <c r="AK85" s="17"/>
      <c r="AL85" s="17"/>
      <c r="AM85" s="17"/>
      <c r="AN85" s="4"/>
    </row>
    <row r="86" ht="15.75" customHeight="1">
      <c r="A86" s="24"/>
      <c r="B86" s="97">
        <v>45973.0</v>
      </c>
      <c r="C86" s="12" t="s">
        <v>142</v>
      </c>
      <c r="D86" s="59" t="s">
        <v>22</v>
      </c>
      <c r="E86" s="40" t="s">
        <v>63</v>
      </c>
      <c r="F86" s="60"/>
      <c r="G86" s="75" t="s">
        <v>24</v>
      </c>
      <c r="H86" s="60"/>
      <c r="I86" s="40" t="s">
        <v>110</v>
      </c>
      <c r="J86" s="4"/>
      <c r="K86" s="4" t="str">
        <f t="shared" si="11"/>
        <v/>
      </c>
      <c r="L86" s="17" t="str">
        <f t="shared" si="12"/>
        <v/>
      </c>
      <c r="M86" s="4"/>
      <c r="N86" s="4"/>
      <c r="O86" s="4"/>
      <c r="P86" s="17"/>
      <c r="Q86" s="17"/>
      <c r="R86" s="19"/>
      <c r="S86" s="19"/>
      <c r="T86" s="17"/>
      <c r="U86" s="19"/>
      <c r="V86" s="17"/>
      <c r="W86" s="56"/>
      <c r="X86" s="56"/>
      <c r="Y86" s="56"/>
      <c r="Z86" s="56"/>
      <c r="AA86" s="56"/>
      <c r="AB86" s="56"/>
      <c r="AC86" s="56"/>
      <c r="AD86" s="56"/>
      <c r="AE86" s="4"/>
      <c r="AG86" s="56"/>
      <c r="AH86" s="36"/>
      <c r="AJ86" s="17"/>
      <c r="AK86" s="17"/>
      <c r="AL86" s="17"/>
      <c r="AM86" s="17"/>
      <c r="AN86" s="4"/>
    </row>
    <row r="87" ht="15.75" customHeight="1">
      <c r="A87" s="24"/>
      <c r="B87" s="97">
        <v>45974.0</v>
      </c>
      <c r="C87" s="59" t="s">
        <v>53</v>
      </c>
      <c r="D87" s="59" t="s">
        <v>22</v>
      </c>
      <c r="E87" s="40" t="s">
        <v>60</v>
      </c>
      <c r="F87" s="60"/>
      <c r="G87" s="75" t="s">
        <v>24</v>
      </c>
      <c r="H87" s="60"/>
      <c r="I87" s="40" t="s">
        <v>43</v>
      </c>
      <c r="J87" s="4"/>
      <c r="K87" s="4" t="str">
        <f t="shared" si="11"/>
        <v/>
      </c>
      <c r="L87" s="17" t="str">
        <f t="shared" si="12"/>
        <v/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56"/>
      <c r="X87" s="56"/>
      <c r="Y87" s="56"/>
      <c r="Z87" s="56"/>
      <c r="AA87" s="56"/>
      <c r="AB87" s="56"/>
      <c r="AC87" s="56"/>
      <c r="AD87" s="56"/>
      <c r="AG87" s="56"/>
      <c r="AJ87" s="4"/>
      <c r="AK87" s="4"/>
      <c r="AL87" s="4"/>
      <c r="AM87" s="4"/>
      <c r="AN87" s="4"/>
    </row>
    <row r="88" ht="15.75" customHeight="1">
      <c r="A88" s="24"/>
      <c r="B88" s="97">
        <v>45973.0</v>
      </c>
      <c r="C88" s="59" t="s">
        <v>141</v>
      </c>
      <c r="D88" s="59" t="s">
        <v>22</v>
      </c>
      <c r="E88" s="40" t="s">
        <v>55</v>
      </c>
      <c r="F88" s="60"/>
      <c r="G88" s="75" t="s">
        <v>24</v>
      </c>
      <c r="H88" s="60"/>
      <c r="I88" s="40" t="s">
        <v>64</v>
      </c>
      <c r="J88" s="4"/>
      <c r="K88" s="4" t="str">
        <f t="shared" si="11"/>
        <v/>
      </c>
      <c r="L88" s="17" t="str">
        <f t="shared" si="12"/>
        <v/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56"/>
      <c r="X88" s="56"/>
      <c r="Y88" s="56"/>
      <c r="Z88" s="56"/>
      <c r="AA88" s="56"/>
      <c r="AB88" s="56"/>
      <c r="AC88" s="56"/>
      <c r="AD88" s="56"/>
      <c r="AG88" s="56"/>
      <c r="AJ88" s="4"/>
      <c r="AK88" s="4"/>
      <c r="AL88" s="4"/>
      <c r="AM88" s="4"/>
      <c r="AN88" s="4"/>
    </row>
    <row r="89" ht="15.75" customHeight="1">
      <c r="A89" s="24"/>
      <c r="B89" s="96"/>
      <c r="C89" s="75"/>
      <c r="D89" s="75"/>
      <c r="E89" s="40">
        <v>0.0</v>
      </c>
      <c r="F89" s="60"/>
      <c r="G89" s="75" t="s">
        <v>24</v>
      </c>
      <c r="H89" s="60"/>
      <c r="I89" s="40" t="s">
        <v>154</v>
      </c>
      <c r="J89" s="4"/>
      <c r="K89" s="4" t="str">
        <f t="shared" si="11"/>
        <v/>
      </c>
      <c r="L89" s="17" t="str">
        <f t="shared" si="12"/>
        <v/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56"/>
      <c r="X89" s="56"/>
      <c r="Y89" s="56"/>
      <c r="Z89" s="56"/>
      <c r="AA89" s="56"/>
      <c r="AB89" s="56"/>
      <c r="AC89" s="56"/>
      <c r="AD89" s="56"/>
      <c r="AG89" s="4"/>
      <c r="AJ89" s="4"/>
      <c r="AK89" s="4"/>
      <c r="AL89" s="4"/>
      <c r="AM89" s="4"/>
      <c r="AN89" s="4"/>
    </row>
    <row r="90" ht="15.75" customHeight="1">
      <c r="A90" s="10">
        <v>4.0</v>
      </c>
      <c r="B90" s="96"/>
      <c r="C90" s="60"/>
      <c r="D90" s="75"/>
      <c r="E90" s="40" t="s">
        <v>113</v>
      </c>
      <c r="F90" s="60"/>
      <c r="G90" s="75" t="s">
        <v>24</v>
      </c>
      <c r="H90" s="60"/>
      <c r="I90" s="40" t="s">
        <v>60</v>
      </c>
      <c r="J90" s="37"/>
      <c r="K90" s="4" t="str">
        <f t="shared" si="11"/>
        <v/>
      </c>
      <c r="L90" s="17" t="str">
        <f t="shared" si="12"/>
        <v/>
      </c>
      <c r="M90" s="4"/>
      <c r="N90" s="4"/>
      <c r="O90" s="4"/>
      <c r="P90" s="4"/>
      <c r="Q90" s="56"/>
      <c r="R90" s="4"/>
      <c r="S90" s="4"/>
      <c r="T90" s="4"/>
      <c r="U90" s="4"/>
      <c r="V90" s="4"/>
      <c r="W90" s="56"/>
      <c r="X90" s="56"/>
      <c r="Y90" s="56"/>
      <c r="Z90" s="56"/>
      <c r="AA90" s="56"/>
      <c r="AB90" s="56"/>
      <c r="AC90" s="56"/>
      <c r="AD90" s="56"/>
      <c r="AG90" s="4"/>
      <c r="AJ90" s="36"/>
      <c r="AK90" s="36"/>
      <c r="AL90" s="36"/>
      <c r="AM90" s="36"/>
      <c r="AN90" s="36"/>
    </row>
    <row r="91" ht="15.75" customHeight="1">
      <c r="A91" s="24"/>
      <c r="B91" s="96"/>
      <c r="C91" s="75"/>
      <c r="D91" s="75"/>
      <c r="E91" s="40" t="s">
        <v>110</v>
      </c>
      <c r="F91" s="60"/>
      <c r="G91" s="75" t="s">
        <v>24</v>
      </c>
      <c r="H91" s="60"/>
      <c r="I91" s="40" t="s">
        <v>32</v>
      </c>
      <c r="J91" s="4"/>
      <c r="K91" s="4" t="str">
        <f t="shared" si="11"/>
        <v/>
      </c>
      <c r="L91" s="17" t="str">
        <f t="shared" si="12"/>
        <v/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4"/>
      <c r="AJ91" s="4"/>
      <c r="AK91" s="4"/>
      <c r="AL91" s="4"/>
      <c r="AM91" s="4"/>
      <c r="AN91" s="4"/>
    </row>
    <row r="92" ht="15.75" customHeight="1">
      <c r="A92" s="24"/>
      <c r="B92" s="96"/>
      <c r="C92" s="75"/>
      <c r="D92" s="75"/>
      <c r="E92" s="40" t="s">
        <v>63</v>
      </c>
      <c r="F92" s="60"/>
      <c r="G92" s="75" t="s">
        <v>24</v>
      </c>
      <c r="H92" s="60"/>
      <c r="I92" s="40">
        <v>0.0</v>
      </c>
      <c r="J92" s="4"/>
      <c r="K92" s="4" t="str">
        <f t="shared" si="11"/>
        <v/>
      </c>
      <c r="L92" s="17" t="str">
        <f t="shared" si="12"/>
        <v/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56"/>
      <c r="X92" s="56"/>
      <c r="Y92" s="56"/>
      <c r="Z92" s="56"/>
      <c r="AA92" s="56"/>
      <c r="AB92" s="56"/>
      <c r="AC92" s="56"/>
      <c r="AD92" s="56"/>
      <c r="AE92" s="4"/>
      <c r="AF92" s="4"/>
      <c r="AG92" s="4"/>
      <c r="AJ92" s="4"/>
      <c r="AK92" s="4"/>
      <c r="AL92" s="4"/>
      <c r="AM92" s="4"/>
      <c r="AN92" s="4"/>
    </row>
    <row r="93" ht="15.75" customHeight="1">
      <c r="A93" s="24"/>
      <c r="B93" s="96"/>
      <c r="C93" s="60"/>
      <c r="D93" s="75"/>
      <c r="E93" s="40" t="s">
        <v>43</v>
      </c>
      <c r="F93" s="60"/>
      <c r="G93" s="75" t="s">
        <v>24</v>
      </c>
      <c r="H93" s="60"/>
      <c r="I93" s="40" t="s">
        <v>55</v>
      </c>
      <c r="J93" s="4"/>
      <c r="K93" s="4" t="str">
        <f t="shared" si="11"/>
        <v/>
      </c>
      <c r="L93" s="17" t="str">
        <f t="shared" si="12"/>
        <v/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56"/>
      <c r="X93" s="56"/>
      <c r="Y93" s="56"/>
      <c r="Z93" s="56"/>
      <c r="AA93" s="56"/>
      <c r="AB93" s="56"/>
      <c r="AC93" s="56"/>
      <c r="AD93" s="56"/>
      <c r="AE93" s="4"/>
      <c r="AF93" s="4"/>
      <c r="AG93" s="4"/>
      <c r="AH93" s="56"/>
      <c r="AI93" s="56"/>
      <c r="AJ93" s="4"/>
      <c r="AK93" s="4"/>
      <c r="AL93" s="4"/>
      <c r="AM93" s="4"/>
      <c r="AN93" s="4"/>
    </row>
    <row r="94" ht="15.75" customHeight="1">
      <c r="A94" s="24"/>
      <c r="B94" s="96"/>
      <c r="C94" s="75"/>
      <c r="D94" s="75"/>
      <c r="E94" s="40" t="s">
        <v>64</v>
      </c>
      <c r="F94" s="60"/>
      <c r="G94" s="75" t="s">
        <v>24</v>
      </c>
      <c r="H94" s="60"/>
      <c r="I94" s="40" t="s">
        <v>154</v>
      </c>
      <c r="J94" s="4"/>
      <c r="K94" s="4" t="str">
        <f t="shared" si="11"/>
        <v/>
      </c>
      <c r="L94" s="17" t="str">
        <f t="shared" si="12"/>
        <v/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56"/>
      <c r="X94" s="56"/>
      <c r="Y94" s="56"/>
      <c r="Z94" s="56"/>
      <c r="AA94" s="56"/>
      <c r="AB94" s="56"/>
      <c r="AC94" s="56"/>
      <c r="AD94" s="56"/>
      <c r="AE94" s="4"/>
      <c r="AF94" s="4"/>
      <c r="AG94" s="4"/>
      <c r="AH94" s="56"/>
      <c r="AI94" s="56"/>
      <c r="AJ94" s="4"/>
      <c r="AK94" s="4"/>
      <c r="AL94" s="4"/>
      <c r="AM94" s="4"/>
      <c r="AN94" s="4"/>
    </row>
    <row r="95" ht="15.75" customHeight="1">
      <c r="A95" s="10">
        <v>5.0</v>
      </c>
      <c r="B95" s="96"/>
      <c r="C95" s="75"/>
      <c r="D95" s="75"/>
      <c r="E95" s="40" t="s">
        <v>55</v>
      </c>
      <c r="F95" s="60"/>
      <c r="G95" s="75" t="s">
        <v>24</v>
      </c>
      <c r="H95" s="60"/>
      <c r="I95" s="40" t="s">
        <v>113</v>
      </c>
      <c r="J95" s="4"/>
      <c r="K95" s="4" t="str">
        <f t="shared" si="11"/>
        <v/>
      </c>
      <c r="L95" s="17" t="str">
        <f t="shared" si="12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56"/>
      <c r="X95" s="56"/>
      <c r="Y95" s="56"/>
      <c r="Z95" s="56"/>
      <c r="AA95" s="56"/>
      <c r="AB95" s="56"/>
      <c r="AC95" s="56"/>
      <c r="AD95" s="56"/>
      <c r="AE95" s="4"/>
      <c r="AF95" s="4"/>
      <c r="AG95" s="4"/>
      <c r="AH95" s="56"/>
      <c r="AI95" s="56"/>
      <c r="AJ95" s="4"/>
      <c r="AK95" s="4"/>
      <c r="AL95" s="4"/>
      <c r="AM95" s="4"/>
      <c r="AN95" s="4"/>
    </row>
    <row r="96" ht="15.75" customHeight="1">
      <c r="A96" s="24"/>
      <c r="B96" s="96"/>
      <c r="C96" s="75"/>
      <c r="D96" s="75"/>
      <c r="E96" s="40" t="s">
        <v>60</v>
      </c>
      <c r="F96" s="60"/>
      <c r="G96" s="75" t="s">
        <v>24</v>
      </c>
      <c r="H96" s="60"/>
      <c r="I96" s="40" t="s">
        <v>110</v>
      </c>
      <c r="J96" s="4"/>
      <c r="K96" s="4" t="str">
        <f t="shared" si="11"/>
        <v/>
      </c>
      <c r="L96" s="17" t="str">
        <f t="shared" si="12"/>
        <v/>
      </c>
      <c r="M96" s="4"/>
      <c r="N96" s="4"/>
      <c r="O96" s="4"/>
      <c r="P96" s="4"/>
      <c r="Q96" s="4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 ht="15.75" customHeight="1">
      <c r="A97" s="24"/>
      <c r="B97" s="96"/>
      <c r="C97" s="75"/>
      <c r="D97" s="75"/>
      <c r="E97" s="40" t="s">
        <v>32</v>
      </c>
      <c r="F97" s="60"/>
      <c r="G97" s="75" t="s">
        <v>24</v>
      </c>
      <c r="H97" s="60"/>
      <c r="I97" s="40" t="s">
        <v>63</v>
      </c>
      <c r="J97" s="4"/>
      <c r="K97" s="4" t="str">
        <f t="shared" si="11"/>
        <v/>
      </c>
      <c r="L97" s="17" t="str">
        <f t="shared" si="12"/>
        <v/>
      </c>
      <c r="M97" s="4"/>
      <c r="N97" s="4"/>
      <c r="O97" s="4"/>
      <c r="P97" s="4"/>
      <c r="Q97" s="4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 ht="15.75" customHeight="1">
      <c r="A98" s="24"/>
      <c r="B98" s="96"/>
      <c r="C98" s="75"/>
      <c r="D98" s="75"/>
      <c r="E98" s="40" t="s">
        <v>154</v>
      </c>
      <c r="F98" s="60"/>
      <c r="G98" s="75" t="s">
        <v>24</v>
      </c>
      <c r="H98" s="60"/>
      <c r="I98" s="40" t="s">
        <v>43</v>
      </c>
      <c r="J98" s="4"/>
      <c r="K98" s="4" t="str">
        <f t="shared" si="11"/>
        <v/>
      </c>
      <c r="L98" s="17" t="str">
        <f t="shared" si="12"/>
        <v/>
      </c>
      <c r="M98" s="4"/>
      <c r="N98" s="4"/>
      <c r="O98" s="4"/>
      <c r="P98" s="4"/>
      <c r="Q98" s="4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 ht="15.75" customHeight="1">
      <c r="A99" s="24"/>
      <c r="B99" s="96"/>
      <c r="C99" s="75"/>
      <c r="D99" s="75"/>
      <c r="E99" s="40">
        <v>0.0</v>
      </c>
      <c r="F99" s="60"/>
      <c r="G99" s="75" t="s">
        <v>24</v>
      </c>
      <c r="H99" s="60"/>
      <c r="I99" s="40" t="s">
        <v>64</v>
      </c>
      <c r="J99" s="4"/>
      <c r="K99" s="4" t="str">
        <f t="shared" si="11"/>
        <v/>
      </c>
      <c r="L99" s="17" t="str">
        <f t="shared" si="12"/>
        <v/>
      </c>
      <c r="M99" s="4"/>
      <c r="N99" s="4"/>
      <c r="O99" s="4"/>
      <c r="P99" s="4"/>
      <c r="Q99" s="4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 ht="15.75" customHeight="1">
      <c r="A100" s="10">
        <v>6.0</v>
      </c>
      <c r="B100" s="96"/>
      <c r="C100" s="75"/>
      <c r="D100" s="75"/>
      <c r="E100" s="40" t="s">
        <v>113</v>
      </c>
      <c r="F100" s="60"/>
      <c r="G100" s="75" t="s">
        <v>24</v>
      </c>
      <c r="H100" s="60"/>
      <c r="I100" s="40" t="s">
        <v>154</v>
      </c>
      <c r="J100" s="4"/>
      <c r="K100" s="4" t="str">
        <f t="shared" si="11"/>
        <v/>
      </c>
      <c r="L100" s="17" t="str">
        <f t="shared" si="12"/>
        <v/>
      </c>
      <c r="M100" s="4"/>
      <c r="N100" s="4"/>
      <c r="O100" s="4"/>
      <c r="P100" s="4"/>
      <c r="Q100" s="4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 ht="15.75" customHeight="1">
      <c r="A101" s="24"/>
      <c r="B101" s="96"/>
      <c r="C101" s="75"/>
      <c r="D101" s="75"/>
      <c r="E101" s="40" t="s">
        <v>110</v>
      </c>
      <c r="F101" s="60"/>
      <c r="G101" s="75" t="s">
        <v>24</v>
      </c>
      <c r="H101" s="60"/>
      <c r="I101" s="40" t="s">
        <v>55</v>
      </c>
      <c r="J101" s="4"/>
      <c r="K101" s="4" t="str">
        <f t="shared" si="11"/>
        <v/>
      </c>
      <c r="L101" s="17" t="str">
        <f t="shared" si="12"/>
        <v/>
      </c>
      <c r="M101" s="4"/>
      <c r="N101" s="4"/>
      <c r="O101" s="4"/>
      <c r="P101" s="4"/>
      <c r="Q101" s="4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 ht="15.75" customHeight="1">
      <c r="A102" s="24"/>
      <c r="B102" s="96"/>
      <c r="C102" s="75"/>
      <c r="D102" s="75"/>
      <c r="E102" s="40" t="s">
        <v>63</v>
      </c>
      <c r="F102" s="60"/>
      <c r="G102" s="75" t="s">
        <v>24</v>
      </c>
      <c r="H102" s="60"/>
      <c r="I102" s="40" t="s">
        <v>60</v>
      </c>
      <c r="J102" s="4"/>
      <c r="K102" s="4" t="str">
        <f t="shared" si="11"/>
        <v/>
      </c>
      <c r="L102" s="17" t="str">
        <f t="shared" si="12"/>
        <v/>
      </c>
      <c r="M102" s="4"/>
      <c r="N102" s="4"/>
      <c r="O102" s="4"/>
      <c r="P102" s="4"/>
      <c r="Q102" s="4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ht="15.75" customHeight="1">
      <c r="A103" s="24"/>
      <c r="B103" s="96"/>
      <c r="C103" s="75"/>
      <c r="D103" s="75"/>
      <c r="E103" s="40" t="s">
        <v>32</v>
      </c>
      <c r="F103" s="60"/>
      <c r="G103" s="75" t="s">
        <v>24</v>
      </c>
      <c r="H103" s="60"/>
      <c r="I103" s="40">
        <v>0.0</v>
      </c>
      <c r="J103" s="4"/>
      <c r="K103" s="4" t="str">
        <f t="shared" si="11"/>
        <v/>
      </c>
      <c r="L103" s="17" t="str">
        <f t="shared" si="12"/>
        <v/>
      </c>
      <c r="M103" s="4"/>
      <c r="N103" s="4"/>
      <c r="O103" s="4"/>
      <c r="P103" s="4"/>
      <c r="Q103" s="4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ht="15.75" customHeight="1">
      <c r="A104" s="24"/>
      <c r="B104" s="96"/>
      <c r="C104" s="75"/>
      <c r="D104" s="75"/>
      <c r="E104" s="40" t="s">
        <v>43</v>
      </c>
      <c r="F104" s="60"/>
      <c r="G104" s="75" t="s">
        <v>24</v>
      </c>
      <c r="H104" s="60"/>
      <c r="I104" s="40" t="s">
        <v>64</v>
      </c>
      <c r="J104" s="4"/>
      <c r="K104" s="4" t="str">
        <f t="shared" si="11"/>
        <v/>
      </c>
      <c r="L104" s="17" t="str">
        <f t="shared" si="12"/>
        <v/>
      </c>
      <c r="M104" s="4"/>
      <c r="N104" s="4"/>
      <c r="O104" s="4"/>
      <c r="P104" s="4"/>
      <c r="Q104" s="4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ht="15.75" customHeight="1">
      <c r="A105" s="10">
        <v>7.0</v>
      </c>
      <c r="B105" s="96"/>
      <c r="C105" s="75"/>
      <c r="D105" s="75"/>
      <c r="E105" s="40" t="s">
        <v>64</v>
      </c>
      <c r="F105" s="60"/>
      <c r="G105" s="75" t="s">
        <v>24</v>
      </c>
      <c r="H105" s="60"/>
      <c r="I105" s="40" t="s">
        <v>113</v>
      </c>
      <c r="J105" s="4"/>
      <c r="K105" s="4" t="str">
        <f t="shared" si="11"/>
        <v/>
      </c>
      <c r="L105" s="17" t="str">
        <f t="shared" si="12"/>
        <v/>
      </c>
      <c r="M105" s="4"/>
      <c r="N105" s="4"/>
      <c r="O105" s="4"/>
      <c r="P105" s="4"/>
      <c r="Q105" s="4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ht="15.75" customHeight="1">
      <c r="A106" s="24"/>
      <c r="B106" s="96"/>
      <c r="C106" s="75"/>
      <c r="D106" s="75"/>
      <c r="E106" s="40" t="s">
        <v>154</v>
      </c>
      <c r="F106" s="60"/>
      <c r="G106" s="75" t="s">
        <v>24</v>
      </c>
      <c r="H106" s="60"/>
      <c r="I106" s="40" t="s">
        <v>110</v>
      </c>
      <c r="J106" s="4"/>
      <c r="K106" s="4" t="str">
        <f t="shared" si="11"/>
        <v/>
      </c>
      <c r="L106" s="17" t="str">
        <f t="shared" si="12"/>
        <v/>
      </c>
      <c r="M106" s="4"/>
      <c r="N106" s="4"/>
      <c r="O106" s="4"/>
      <c r="P106" s="4"/>
      <c r="Q106" s="4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 ht="15.75" customHeight="1">
      <c r="A107" s="24"/>
      <c r="B107" s="96"/>
      <c r="C107" s="75"/>
      <c r="D107" s="75"/>
      <c r="E107" s="40" t="s">
        <v>55</v>
      </c>
      <c r="F107" s="60"/>
      <c r="G107" s="75" t="s">
        <v>24</v>
      </c>
      <c r="H107" s="60"/>
      <c r="I107" s="40" t="s">
        <v>63</v>
      </c>
      <c r="J107" s="4"/>
      <c r="K107" s="4" t="str">
        <f t="shared" si="11"/>
        <v/>
      </c>
      <c r="L107" s="17" t="str">
        <f t="shared" si="12"/>
        <v/>
      </c>
      <c r="M107" s="4"/>
      <c r="N107" s="4"/>
      <c r="O107" s="4"/>
      <c r="P107" s="4"/>
      <c r="Q107" s="4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 ht="15.75" customHeight="1">
      <c r="A108" s="24"/>
      <c r="B108" s="96"/>
      <c r="C108" s="75"/>
      <c r="D108" s="75"/>
      <c r="E108" s="40" t="s">
        <v>60</v>
      </c>
      <c r="F108" s="60"/>
      <c r="G108" s="75" t="s">
        <v>24</v>
      </c>
      <c r="H108" s="60"/>
      <c r="I108" s="40" t="s">
        <v>32</v>
      </c>
      <c r="J108" s="4"/>
      <c r="K108" s="4" t="str">
        <f t="shared" si="11"/>
        <v/>
      </c>
      <c r="L108" s="17" t="str">
        <f t="shared" si="12"/>
        <v/>
      </c>
      <c r="M108" s="4"/>
      <c r="N108" s="4"/>
      <c r="O108" s="4"/>
      <c r="P108" s="4"/>
      <c r="Q108" s="4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 ht="15.75" customHeight="1">
      <c r="A109" s="24"/>
      <c r="B109" s="96"/>
      <c r="C109" s="75"/>
      <c r="D109" s="75"/>
      <c r="E109" s="40">
        <v>0.0</v>
      </c>
      <c r="F109" s="60"/>
      <c r="G109" s="75" t="s">
        <v>24</v>
      </c>
      <c r="H109" s="60"/>
      <c r="I109" s="40" t="s">
        <v>43</v>
      </c>
      <c r="J109" s="4"/>
      <c r="K109" s="4" t="str">
        <f t="shared" si="11"/>
        <v/>
      </c>
      <c r="L109" s="17" t="str">
        <f t="shared" si="12"/>
        <v/>
      </c>
      <c r="M109" s="4"/>
      <c r="N109" s="4"/>
      <c r="O109" s="4"/>
      <c r="P109" s="4"/>
      <c r="Q109" s="4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 ht="15.75" customHeight="1">
      <c r="A110" s="10">
        <v>8.0</v>
      </c>
      <c r="B110" s="96"/>
      <c r="C110" s="75"/>
      <c r="D110" s="75"/>
      <c r="E110" s="40" t="s">
        <v>113</v>
      </c>
      <c r="F110" s="60"/>
      <c r="G110" s="75" t="s">
        <v>24</v>
      </c>
      <c r="H110" s="60"/>
      <c r="I110" s="40" t="s">
        <v>43</v>
      </c>
      <c r="J110" s="4"/>
      <c r="K110" s="4" t="str">
        <f t="shared" si="11"/>
        <v/>
      </c>
      <c r="L110" s="17" t="str">
        <f t="shared" si="12"/>
        <v/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6"/>
      <c r="X110" s="56"/>
      <c r="Y110" s="56"/>
      <c r="Z110" s="56"/>
      <c r="AA110" s="56"/>
      <c r="AB110" s="56"/>
      <c r="AC110" s="56"/>
      <c r="AD110" s="56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 ht="15.75" customHeight="1">
      <c r="A111" s="24"/>
      <c r="B111" s="96"/>
      <c r="C111" s="75"/>
      <c r="D111" s="75"/>
      <c r="E111" s="40" t="s">
        <v>110</v>
      </c>
      <c r="F111" s="60"/>
      <c r="G111" s="75" t="s">
        <v>24</v>
      </c>
      <c r="H111" s="60"/>
      <c r="I111" s="40" t="s">
        <v>64</v>
      </c>
      <c r="J111" s="4"/>
      <c r="K111" s="4" t="str">
        <f t="shared" si="11"/>
        <v/>
      </c>
      <c r="L111" s="17" t="str">
        <f t="shared" si="12"/>
        <v/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6"/>
      <c r="X111" s="56"/>
      <c r="Y111" s="56"/>
      <c r="Z111" s="56"/>
      <c r="AA111" s="56"/>
      <c r="AB111" s="56"/>
      <c r="AC111" s="56"/>
      <c r="AD111" s="56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 ht="15.75" customHeight="1">
      <c r="A112" s="24"/>
      <c r="B112" s="96"/>
      <c r="C112" s="75"/>
      <c r="D112" s="75"/>
      <c r="E112" s="40" t="s">
        <v>63</v>
      </c>
      <c r="F112" s="60"/>
      <c r="G112" s="75" t="s">
        <v>24</v>
      </c>
      <c r="H112" s="60"/>
      <c r="I112" s="40" t="s">
        <v>154</v>
      </c>
      <c r="J112" s="4"/>
      <c r="K112" s="4" t="str">
        <f t="shared" si="11"/>
        <v/>
      </c>
      <c r="L112" s="17" t="str">
        <f t="shared" si="12"/>
        <v/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6"/>
      <c r="X112" s="56"/>
      <c r="Y112" s="56"/>
      <c r="Z112" s="56"/>
      <c r="AA112" s="56"/>
      <c r="AB112" s="56"/>
      <c r="AC112" s="56"/>
      <c r="AD112" s="56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 ht="15.75" customHeight="1">
      <c r="A113" s="24"/>
      <c r="B113" s="96"/>
      <c r="C113" s="75"/>
      <c r="D113" s="75"/>
      <c r="E113" s="40" t="s">
        <v>32</v>
      </c>
      <c r="F113" s="60"/>
      <c r="G113" s="75" t="s">
        <v>24</v>
      </c>
      <c r="H113" s="60"/>
      <c r="I113" s="40" t="s">
        <v>55</v>
      </c>
      <c r="J113" s="4"/>
      <c r="K113" s="4" t="str">
        <f t="shared" si="11"/>
        <v/>
      </c>
      <c r="L113" s="17" t="str">
        <f t="shared" si="12"/>
        <v/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6"/>
      <c r="X113" s="56"/>
      <c r="Y113" s="56"/>
      <c r="Z113" s="56"/>
      <c r="AA113" s="56"/>
      <c r="AB113" s="56"/>
      <c r="AC113" s="56"/>
      <c r="AD113" s="56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ht="15.75" customHeight="1">
      <c r="A114" s="24"/>
      <c r="B114" s="96"/>
      <c r="C114" s="75"/>
      <c r="D114" s="75"/>
      <c r="E114" s="40" t="s">
        <v>60</v>
      </c>
      <c r="F114" s="60"/>
      <c r="G114" s="75" t="s">
        <v>24</v>
      </c>
      <c r="H114" s="60"/>
      <c r="I114" s="40">
        <v>0.0</v>
      </c>
      <c r="J114" s="4"/>
      <c r="K114" s="4" t="str">
        <f t="shared" si="11"/>
        <v/>
      </c>
      <c r="L114" s="17" t="str">
        <f t="shared" si="12"/>
        <v/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6"/>
      <c r="X114" s="56"/>
      <c r="Y114" s="56"/>
      <c r="Z114" s="56"/>
      <c r="AA114" s="56"/>
      <c r="AB114" s="56"/>
      <c r="AC114" s="56"/>
      <c r="AD114" s="56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ht="15.75" customHeight="1">
      <c r="A115" s="10">
        <v>9.0</v>
      </c>
      <c r="B115" s="96"/>
      <c r="C115" s="75"/>
      <c r="D115" s="75"/>
      <c r="E115" s="40">
        <v>0.0</v>
      </c>
      <c r="F115" s="60"/>
      <c r="G115" s="75" t="s">
        <v>24</v>
      </c>
      <c r="H115" s="60"/>
      <c r="I115" s="40" t="s">
        <v>113</v>
      </c>
      <c r="J115" s="56"/>
      <c r="K115" s="4" t="str">
        <f t="shared" si="11"/>
        <v/>
      </c>
      <c r="L115" s="17" t="str">
        <f t="shared" si="12"/>
        <v/>
      </c>
      <c r="M115" s="56"/>
      <c r="N115" s="56"/>
      <c r="O115" s="56"/>
      <c r="P115" s="56"/>
      <c r="Q115" s="56"/>
      <c r="R115" s="4"/>
      <c r="S115" s="4"/>
      <c r="T115" s="4"/>
      <c r="U115" s="4"/>
      <c r="V115" s="4"/>
      <c r="W115" s="56"/>
      <c r="X115" s="56"/>
      <c r="Y115" s="56"/>
      <c r="Z115" s="56"/>
      <c r="AA115" s="56"/>
      <c r="AB115" s="56"/>
      <c r="AC115" s="56"/>
      <c r="AD115" s="5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</row>
    <row r="116" ht="15.75" customHeight="1">
      <c r="A116" s="24"/>
      <c r="B116" s="96"/>
      <c r="C116" s="75"/>
      <c r="D116" s="75"/>
      <c r="E116" s="40" t="s">
        <v>43</v>
      </c>
      <c r="F116" s="60"/>
      <c r="G116" s="75" t="s">
        <v>24</v>
      </c>
      <c r="H116" s="60"/>
      <c r="I116" s="40" t="s">
        <v>110</v>
      </c>
      <c r="J116" s="56"/>
      <c r="K116" s="4" t="str">
        <f t="shared" si="11"/>
        <v/>
      </c>
      <c r="L116" s="17" t="str">
        <f t="shared" si="12"/>
        <v/>
      </c>
      <c r="M116" s="56"/>
      <c r="N116" s="56"/>
      <c r="O116" s="56"/>
      <c r="P116" s="56"/>
      <c r="Q116" s="56"/>
      <c r="R116" s="4"/>
      <c r="S116" s="4"/>
      <c r="T116" s="4"/>
      <c r="U116" s="4"/>
      <c r="V116" s="4"/>
      <c r="W116" s="56"/>
      <c r="X116" s="56"/>
      <c r="Y116" s="56"/>
      <c r="Z116" s="56"/>
      <c r="AA116" s="56"/>
      <c r="AB116" s="56"/>
      <c r="AC116" s="56"/>
      <c r="AD116" s="5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</row>
    <row r="117" ht="15.75" customHeight="1">
      <c r="A117" s="24"/>
      <c r="B117" s="96"/>
      <c r="C117" s="60"/>
      <c r="D117" s="75"/>
      <c r="E117" s="40" t="s">
        <v>64</v>
      </c>
      <c r="F117" s="60"/>
      <c r="G117" s="75" t="s">
        <v>24</v>
      </c>
      <c r="H117" s="60"/>
      <c r="I117" s="40" t="s">
        <v>63</v>
      </c>
      <c r="J117" s="56"/>
      <c r="K117" s="4" t="str">
        <f t="shared" si="11"/>
        <v/>
      </c>
      <c r="L117" s="17" t="str">
        <f t="shared" si="12"/>
        <v/>
      </c>
      <c r="M117" s="56"/>
      <c r="N117" s="56"/>
      <c r="O117" s="56"/>
      <c r="P117" s="56"/>
      <c r="Q117" s="56"/>
      <c r="R117" s="4"/>
      <c r="S117" s="4"/>
      <c r="T117" s="4"/>
      <c r="U117" s="4"/>
      <c r="V117" s="4"/>
      <c r="W117" s="56"/>
      <c r="X117" s="56"/>
      <c r="Y117" s="56"/>
      <c r="Z117" s="56"/>
      <c r="AA117" s="56"/>
      <c r="AB117" s="56"/>
      <c r="AC117" s="56"/>
      <c r="AD117" s="5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</row>
    <row r="118" ht="15.75" customHeight="1">
      <c r="A118" s="24"/>
      <c r="B118" s="96"/>
      <c r="C118" s="60"/>
      <c r="D118" s="75"/>
      <c r="E118" s="40" t="s">
        <v>154</v>
      </c>
      <c r="F118" s="60"/>
      <c r="G118" s="75" t="s">
        <v>24</v>
      </c>
      <c r="H118" s="60"/>
      <c r="I118" s="14" t="s">
        <v>32</v>
      </c>
      <c r="J118" s="56"/>
      <c r="K118" s="4" t="str">
        <f t="shared" si="11"/>
        <v/>
      </c>
      <c r="L118" s="17" t="str">
        <f t="shared" si="12"/>
        <v/>
      </c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36"/>
    </row>
    <row r="119" ht="15.75" customHeight="1">
      <c r="A119" s="28"/>
      <c r="B119" s="96"/>
      <c r="C119" s="75"/>
      <c r="D119" s="75"/>
      <c r="E119" s="40" t="s">
        <v>55</v>
      </c>
      <c r="F119" s="60"/>
      <c r="G119" s="75" t="s">
        <v>24</v>
      </c>
      <c r="H119" s="60"/>
      <c r="I119" s="40" t="s">
        <v>60</v>
      </c>
      <c r="J119" s="56"/>
      <c r="K119" s="4" t="str">
        <f t="shared" si="11"/>
        <v/>
      </c>
      <c r="L119" s="17" t="str">
        <f t="shared" si="12"/>
        <v/>
      </c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36"/>
    </row>
    <row r="120" ht="15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4"/>
    </row>
    <row r="121" ht="15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4"/>
    </row>
    <row r="122" ht="15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4"/>
    </row>
    <row r="123" ht="15.75" customHeight="1">
      <c r="A123" s="56"/>
      <c r="B123" s="56"/>
      <c r="C123" s="56"/>
      <c r="D123" s="56"/>
      <c r="E123" s="36"/>
      <c r="F123" s="56"/>
      <c r="G123" s="56"/>
      <c r="H123" s="56"/>
      <c r="I123" s="36"/>
      <c r="J123" s="56"/>
      <c r="K123" s="56"/>
      <c r="L123" s="56"/>
      <c r="M123" s="56"/>
      <c r="N123" s="56"/>
      <c r="O123" s="56"/>
      <c r="P123" s="56"/>
      <c r="Q123" s="56"/>
      <c r="R123" s="4"/>
      <c r="S123" s="4"/>
      <c r="T123" s="4"/>
      <c r="U123" s="4"/>
      <c r="V123" s="4"/>
      <c r="W123" s="56"/>
      <c r="X123" s="56"/>
      <c r="Y123" s="56"/>
      <c r="Z123" s="56"/>
      <c r="AA123" s="56"/>
      <c r="AB123" s="56"/>
      <c r="AC123" s="56"/>
      <c r="AD123" s="56"/>
      <c r="AE123" s="36"/>
      <c r="AF123" s="36"/>
      <c r="AG123" s="36"/>
      <c r="AH123" s="36"/>
      <c r="AI123" s="36"/>
      <c r="AJ123" s="36"/>
      <c r="AK123" s="36"/>
      <c r="AL123" s="36"/>
      <c r="AM123" s="36"/>
      <c r="AN123" s="4"/>
    </row>
    <row r="124" ht="15.75" customHeight="1">
      <c r="A124" s="90" t="s">
        <v>156</v>
      </c>
      <c r="H124" s="56"/>
      <c r="I124" s="36"/>
      <c r="J124" s="56"/>
      <c r="K124" s="56"/>
      <c r="L124" s="56"/>
      <c r="M124" s="56"/>
      <c r="N124" s="56"/>
      <c r="O124" s="56"/>
      <c r="P124" s="56"/>
      <c r="Q124" s="56"/>
      <c r="R124" s="4"/>
      <c r="S124" s="4"/>
      <c r="T124" s="4"/>
      <c r="U124" s="4"/>
      <c r="V124" s="4"/>
      <c r="W124" s="56"/>
      <c r="X124" s="56"/>
      <c r="Y124" s="56"/>
      <c r="Z124" s="56"/>
      <c r="AA124" s="56"/>
      <c r="AB124" s="56"/>
      <c r="AC124" s="56"/>
      <c r="AD124" s="56"/>
      <c r="AE124" s="36"/>
      <c r="AF124" s="36"/>
      <c r="AG124" s="36"/>
      <c r="AH124" s="36"/>
      <c r="AI124" s="36"/>
      <c r="AJ124" s="36"/>
      <c r="AK124" s="36"/>
      <c r="AL124" s="36"/>
      <c r="AM124" s="36"/>
      <c r="AN124" s="4"/>
    </row>
    <row r="125" ht="15.75" customHeight="1">
      <c r="A125" s="5" t="s">
        <v>1</v>
      </c>
      <c r="B125" s="5" t="s">
        <v>2</v>
      </c>
      <c r="C125" s="5" t="s">
        <v>3</v>
      </c>
      <c r="D125" s="5" t="s">
        <v>4</v>
      </c>
      <c r="E125" s="5" t="s">
        <v>5</v>
      </c>
      <c r="F125" s="6" t="s">
        <v>6</v>
      </c>
      <c r="G125" s="7"/>
      <c r="H125" s="8"/>
      <c r="I125" s="5" t="s">
        <v>7</v>
      </c>
      <c r="J125" s="9" t="s">
        <v>8</v>
      </c>
      <c r="K125" s="9" t="s">
        <v>9</v>
      </c>
      <c r="L125" s="9" t="s">
        <v>10</v>
      </c>
      <c r="M125" s="9"/>
      <c r="N125" s="9" t="s">
        <v>11</v>
      </c>
      <c r="O125" s="9" t="s">
        <v>12</v>
      </c>
      <c r="P125" s="9" t="s">
        <v>13</v>
      </c>
      <c r="Q125" s="9" t="s">
        <v>14</v>
      </c>
      <c r="R125" s="9" t="s">
        <v>15</v>
      </c>
      <c r="S125" s="9" t="s">
        <v>16</v>
      </c>
      <c r="T125" s="9" t="s">
        <v>17</v>
      </c>
      <c r="U125" s="9" t="s">
        <v>18</v>
      </c>
      <c r="V125" s="9" t="s">
        <v>19</v>
      </c>
      <c r="W125" s="56"/>
      <c r="X125" s="56"/>
      <c r="Y125" s="56"/>
      <c r="Z125" s="56"/>
      <c r="AA125" s="56"/>
      <c r="AB125" s="56"/>
      <c r="AC125" s="56"/>
      <c r="AD125" s="56"/>
      <c r="AE125" s="5" t="s">
        <v>11</v>
      </c>
      <c r="AF125" s="5" t="s">
        <v>12</v>
      </c>
      <c r="AG125" s="5" t="s">
        <v>13</v>
      </c>
      <c r="AH125" s="5" t="s">
        <v>14</v>
      </c>
      <c r="AI125" s="5" t="s">
        <v>15</v>
      </c>
      <c r="AJ125" s="5" t="s">
        <v>16</v>
      </c>
      <c r="AK125" s="5" t="s">
        <v>17</v>
      </c>
      <c r="AL125" s="5" t="s">
        <v>18</v>
      </c>
      <c r="AM125" s="5" t="s">
        <v>19</v>
      </c>
      <c r="AN125" s="9"/>
    </row>
    <row r="126" ht="15.75" customHeight="1">
      <c r="A126" s="10">
        <v>1.0</v>
      </c>
      <c r="B126" s="97">
        <v>45945.0</v>
      </c>
      <c r="C126" s="12" t="s">
        <v>95</v>
      </c>
      <c r="D126" s="12" t="s">
        <v>133</v>
      </c>
      <c r="E126" s="40" t="s">
        <v>62</v>
      </c>
      <c r="F126" s="40">
        <v>5.0</v>
      </c>
      <c r="G126" s="75" t="s">
        <v>24</v>
      </c>
      <c r="H126" s="40">
        <v>0.0</v>
      </c>
      <c r="I126" s="40" t="s">
        <v>157</v>
      </c>
      <c r="J126" s="4"/>
      <c r="K126" s="4">
        <f t="shared" ref="K126:K170" si="20">IF(F126="","",IFS(F126&gt;H126,3,F126=H126,1,H126&gt;F126,0,F126="",0))</f>
        <v>3</v>
      </c>
      <c r="L126" s="17">
        <f t="shared" ref="L126:L170" si="21">IF(H126="","",IFS(F126&lt;H126,3,F126=H126,1,H126&lt;F126,0))</f>
        <v>0</v>
      </c>
      <c r="M126" s="4"/>
      <c r="N126" s="17">
        <v>1.0</v>
      </c>
      <c r="O126" s="89" t="s">
        <v>157</v>
      </c>
      <c r="P126" s="17">
        <f t="shared" ref="P126:P134" si="22">SUMIF(E$126:E$170,O126,K$126:K$170)+SUMIF(I$126:I$170,O126,L$126:L$170)</f>
        <v>1</v>
      </c>
      <c r="Q126" s="17">
        <f t="shared" ref="Q126:Q134" si="23">COUNTIFS(E$126:E$170,O126,K$126:K$170,3)+COUNTIFS(I$126:I$170,O126,L$126:L$170,3)</f>
        <v>0</v>
      </c>
      <c r="R126" s="19">
        <f t="shared" ref="R126:R134" si="24">COUNTIFS(E$126:E$170,O126,K$126:K$170,1)+COUNTIFS(I$126:I$170,O126,L$126:L$170,1)</f>
        <v>1</v>
      </c>
      <c r="S126" s="19">
        <f t="shared" ref="S126:S134" si="25">COUNTIFS(E$126:E$170,O126,K$126:K$170,0)+COUNTIFS(I$126:I$170,O126,L$126:L$170,0)</f>
        <v>2</v>
      </c>
      <c r="T126" s="17">
        <f t="shared" ref="T126:T134" si="26">SUMIF(E$126:E$170,O126,F$126:F$170)+SUMIF(I$126:I$170,O126,H$126:H$170)</f>
        <v>2</v>
      </c>
      <c r="U126" s="19">
        <f t="shared" ref="U126:U134" si="27">SUMIF(E$126:E$170,O126,H$126:H$170)+SUMIF(I$126:I$170,O126,F$126:F$170)</f>
        <v>10</v>
      </c>
      <c r="V126" s="17">
        <f t="shared" ref="V126:V134" si="28">T126-U126</f>
        <v>-8</v>
      </c>
      <c r="W126" s="56"/>
      <c r="X126" s="56"/>
      <c r="Y126" s="56"/>
      <c r="Z126" s="56"/>
      <c r="AA126" s="56"/>
      <c r="AB126" s="56"/>
      <c r="AC126" s="56"/>
      <c r="AD126" s="56"/>
      <c r="AE126" s="41" t="s">
        <v>29</v>
      </c>
      <c r="AF126" s="22" t="str">
        <f t="array" ref="AF126:AN134">SORT(O126:W135,2,FALSE,9,FALSE,8,FALSE())</f>
        <v>Eng. Computacional</v>
      </c>
      <c r="AG126" s="22">
        <v>6.0</v>
      </c>
      <c r="AH126" s="22">
        <v>2.0</v>
      </c>
      <c r="AI126" s="22">
        <v>0.0</v>
      </c>
      <c r="AJ126" s="22">
        <v>0.0</v>
      </c>
      <c r="AK126" s="22">
        <v>12.0</v>
      </c>
      <c r="AL126" s="22">
        <v>4.0</v>
      </c>
      <c r="AM126" s="22">
        <v>8.0</v>
      </c>
      <c r="AN126" s="17"/>
    </row>
    <row r="127" ht="15.75" customHeight="1">
      <c r="A127" s="24"/>
      <c r="B127" s="97">
        <v>45952.0</v>
      </c>
      <c r="C127" s="12" t="s">
        <v>148</v>
      </c>
      <c r="D127" s="12" t="s">
        <v>133</v>
      </c>
      <c r="E127" s="40" t="s">
        <v>116</v>
      </c>
      <c r="F127" s="40">
        <v>3.0</v>
      </c>
      <c r="G127" s="75" t="s">
        <v>24</v>
      </c>
      <c r="H127" s="40">
        <v>6.0</v>
      </c>
      <c r="I127" s="40" t="s">
        <v>123</v>
      </c>
      <c r="J127" s="4"/>
      <c r="K127" s="4">
        <f t="shared" si="20"/>
        <v>0</v>
      </c>
      <c r="L127" s="17">
        <f t="shared" si="21"/>
        <v>3</v>
      </c>
      <c r="M127" s="4"/>
      <c r="N127" s="17">
        <v>2.0</v>
      </c>
      <c r="O127" s="89" t="s">
        <v>62</v>
      </c>
      <c r="P127" s="17">
        <f t="shared" si="22"/>
        <v>6</v>
      </c>
      <c r="Q127" s="17">
        <f t="shared" si="23"/>
        <v>2</v>
      </c>
      <c r="R127" s="19">
        <f t="shared" si="24"/>
        <v>0</v>
      </c>
      <c r="S127" s="19">
        <f t="shared" si="25"/>
        <v>0</v>
      </c>
      <c r="T127" s="17">
        <f t="shared" si="26"/>
        <v>9</v>
      </c>
      <c r="U127" s="19">
        <f t="shared" si="27"/>
        <v>3</v>
      </c>
      <c r="V127" s="17">
        <f t="shared" si="28"/>
        <v>6</v>
      </c>
      <c r="W127" s="56"/>
      <c r="X127" s="56"/>
      <c r="Y127" s="56"/>
      <c r="Z127" s="56"/>
      <c r="AA127" s="56"/>
      <c r="AB127" s="56"/>
      <c r="AC127" s="56"/>
      <c r="AD127" s="56"/>
      <c r="AE127" s="95" t="s">
        <v>112</v>
      </c>
      <c r="AF127" s="22" t="s">
        <v>62</v>
      </c>
      <c r="AG127" s="22">
        <v>6.0</v>
      </c>
      <c r="AH127" s="22">
        <v>2.0</v>
      </c>
      <c r="AI127" s="22">
        <v>0.0</v>
      </c>
      <c r="AJ127" s="22">
        <v>0.0</v>
      </c>
      <c r="AK127" s="22">
        <v>9.0</v>
      </c>
      <c r="AL127" s="22">
        <v>3.0</v>
      </c>
      <c r="AM127" s="22">
        <v>6.0</v>
      </c>
      <c r="AN127" s="17"/>
    </row>
    <row r="128" ht="15.75" customHeight="1">
      <c r="A128" s="24"/>
      <c r="B128" s="97">
        <v>45945.0</v>
      </c>
      <c r="C128" s="59" t="s">
        <v>98</v>
      </c>
      <c r="D128" s="12" t="s">
        <v>133</v>
      </c>
      <c r="E128" s="40" t="s">
        <v>134</v>
      </c>
      <c r="F128" s="40">
        <v>1.0</v>
      </c>
      <c r="G128" s="75" t="s">
        <v>24</v>
      </c>
      <c r="H128" s="40">
        <v>2.0</v>
      </c>
      <c r="I128" s="40" t="s">
        <v>57</v>
      </c>
      <c r="J128" s="4"/>
      <c r="K128" s="4">
        <f t="shared" si="20"/>
        <v>0</v>
      </c>
      <c r="L128" s="17">
        <f t="shared" si="21"/>
        <v>3</v>
      </c>
      <c r="M128" s="4"/>
      <c r="N128" s="17">
        <v>3.0</v>
      </c>
      <c r="O128" s="89" t="s">
        <v>116</v>
      </c>
      <c r="P128" s="17">
        <f t="shared" si="22"/>
        <v>3</v>
      </c>
      <c r="Q128" s="17">
        <f t="shared" si="23"/>
        <v>1</v>
      </c>
      <c r="R128" s="19">
        <f t="shared" si="24"/>
        <v>0</v>
      </c>
      <c r="S128" s="19">
        <f t="shared" si="25"/>
        <v>2</v>
      </c>
      <c r="T128" s="17">
        <f t="shared" si="26"/>
        <v>9</v>
      </c>
      <c r="U128" s="19">
        <f t="shared" si="27"/>
        <v>10</v>
      </c>
      <c r="V128" s="17">
        <f t="shared" si="28"/>
        <v>-1</v>
      </c>
      <c r="W128" s="56"/>
      <c r="X128" s="56"/>
      <c r="Y128" s="56"/>
      <c r="Z128" s="56"/>
      <c r="AA128" s="56"/>
      <c r="AB128" s="56"/>
      <c r="AC128" s="56"/>
      <c r="AD128" s="56"/>
      <c r="AE128" s="21">
        <v>3.0</v>
      </c>
      <c r="AF128" s="22" t="s">
        <v>158</v>
      </c>
      <c r="AG128" s="22">
        <v>6.0</v>
      </c>
      <c r="AH128" s="22">
        <v>2.0</v>
      </c>
      <c r="AI128" s="22">
        <v>0.0</v>
      </c>
      <c r="AJ128" s="22">
        <v>0.0</v>
      </c>
      <c r="AK128" s="22">
        <v>10.0</v>
      </c>
      <c r="AL128" s="22">
        <v>5.0</v>
      </c>
      <c r="AM128" s="22">
        <v>5.0</v>
      </c>
      <c r="AN128" s="17"/>
    </row>
    <row r="129" ht="15.75" customHeight="1">
      <c r="A129" s="24"/>
      <c r="B129" s="97">
        <v>45945.0</v>
      </c>
      <c r="C129" s="12" t="s">
        <v>102</v>
      </c>
      <c r="D129" s="12" t="s">
        <v>133</v>
      </c>
      <c r="E129" s="40" t="s">
        <v>56</v>
      </c>
      <c r="F129" s="40">
        <v>3.0</v>
      </c>
      <c r="G129" s="75" t="s">
        <v>24</v>
      </c>
      <c r="H129" s="40">
        <v>5.0</v>
      </c>
      <c r="I129" s="40" t="s">
        <v>158</v>
      </c>
      <c r="J129" s="4"/>
      <c r="K129" s="4">
        <f t="shared" si="20"/>
        <v>0</v>
      </c>
      <c r="L129" s="17">
        <f t="shared" si="21"/>
        <v>3</v>
      </c>
      <c r="M129" s="4"/>
      <c r="N129" s="17">
        <v>4.0</v>
      </c>
      <c r="O129" s="89" t="s">
        <v>134</v>
      </c>
      <c r="P129" s="17">
        <f t="shared" si="22"/>
        <v>1</v>
      </c>
      <c r="Q129" s="17">
        <f t="shared" si="23"/>
        <v>0</v>
      </c>
      <c r="R129" s="19">
        <f t="shared" si="24"/>
        <v>1</v>
      </c>
      <c r="S129" s="19">
        <f t="shared" si="25"/>
        <v>2</v>
      </c>
      <c r="T129" s="17">
        <f t="shared" si="26"/>
        <v>4</v>
      </c>
      <c r="U129" s="19">
        <f t="shared" si="27"/>
        <v>10</v>
      </c>
      <c r="V129" s="17">
        <f t="shared" si="28"/>
        <v>-6</v>
      </c>
      <c r="W129" s="56"/>
      <c r="X129" s="56"/>
      <c r="Y129" s="56"/>
      <c r="Z129" s="56"/>
      <c r="AA129" s="56"/>
      <c r="AB129" s="56"/>
      <c r="AC129" s="56"/>
      <c r="AD129" s="56"/>
      <c r="AE129" s="21">
        <v>4.0</v>
      </c>
      <c r="AF129" s="22" t="s">
        <v>57</v>
      </c>
      <c r="AG129" s="22">
        <v>3.0</v>
      </c>
      <c r="AH129" s="22">
        <v>1.0</v>
      </c>
      <c r="AI129" s="22">
        <v>0.0</v>
      </c>
      <c r="AJ129" s="22">
        <v>1.0</v>
      </c>
      <c r="AK129" s="22">
        <v>4.0</v>
      </c>
      <c r="AL129" s="22">
        <v>4.0</v>
      </c>
      <c r="AM129" s="22">
        <v>0.0</v>
      </c>
      <c r="AN129" s="17"/>
    </row>
    <row r="130" ht="15.75" customHeight="1">
      <c r="A130" s="24"/>
      <c r="B130" s="96"/>
      <c r="C130" s="75"/>
      <c r="D130" s="60"/>
      <c r="E130" s="40" t="s">
        <v>159</v>
      </c>
      <c r="F130" s="60"/>
      <c r="G130" s="75" t="s">
        <v>24</v>
      </c>
      <c r="H130" s="60"/>
      <c r="I130" s="40">
        <v>0.0</v>
      </c>
      <c r="J130" s="4"/>
      <c r="K130" s="4" t="str">
        <f t="shared" si="20"/>
        <v/>
      </c>
      <c r="L130" s="17" t="str">
        <f t="shared" si="21"/>
        <v/>
      </c>
      <c r="M130" s="4"/>
      <c r="N130" s="17">
        <v>5.0</v>
      </c>
      <c r="O130" s="89" t="s">
        <v>56</v>
      </c>
      <c r="P130" s="17">
        <f t="shared" si="22"/>
        <v>3</v>
      </c>
      <c r="Q130" s="17">
        <f t="shared" si="23"/>
        <v>1</v>
      </c>
      <c r="R130" s="19">
        <f t="shared" si="24"/>
        <v>0</v>
      </c>
      <c r="S130" s="19">
        <f t="shared" si="25"/>
        <v>1</v>
      </c>
      <c r="T130" s="17">
        <f t="shared" si="26"/>
        <v>6</v>
      </c>
      <c r="U130" s="19">
        <f t="shared" si="27"/>
        <v>7</v>
      </c>
      <c r="V130" s="17">
        <f t="shared" si="28"/>
        <v>-1</v>
      </c>
      <c r="W130" s="56"/>
      <c r="X130" s="56"/>
      <c r="Y130" s="56"/>
      <c r="Z130" s="56"/>
      <c r="AA130" s="56"/>
      <c r="AB130" s="56"/>
      <c r="AC130" s="56"/>
      <c r="AD130" s="56"/>
      <c r="AE130" s="21">
        <v>5.0</v>
      </c>
      <c r="AF130" s="22" t="s">
        <v>116</v>
      </c>
      <c r="AG130" s="22">
        <v>3.0</v>
      </c>
      <c r="AH130" s="22">
        <v>1.0</v>
      </c>
      <c r="AI130" s="22">
        <v>0.0</v>
      </c>
      <c r="AJ130" s="22">
        <v>2.0</v>
      </c>
      <c r="AK130" s="22">
        <v>9.0</v>
      </c>
      <c r="AL130" s="22">
        <v>10.0</v>
      </c>
      <c r="AM130" s="22">
        <v>-1.0</v>
      </c>
      <c r="AN130" s="17"/>
    </row>
    <row r="131" ht="15.75" customHeight="1">
      <c r="A131" s="10">
        <v>2.0</v>
      </c>
      <c r="B131" s="11">
        <v>45953.0</v>
      </c>
      <c r="C131" s="12" t="s">
        <v>53</v>
      </c>
      <c r="D131" s="12" t="s">
        <v>22</v>
      </c>
      <c r="E131" s="40" t="s">
        <v>157</v>
      </c>
      <c r="F131" s="40">
        <v>0.0</v>
      </c>
      <c r="G131" s="75" t="s">
        <v>24</v>
      </c>
      <c r="H131" s="40">
        <v>3.0</v>
      </c>
      <c r="I131" s="40" t="s">
        <v>116</v>
      </c>
      <c r="J131" s="4"/>
      <c r="K131" s="4">
        <f t="shared" si="20"/>
        <v>0</v>
      </c>
      <c r="L131" s="17">
        <f t="shared" si="21"/>
        <v>3</v>
      </c>
      <c r="M131" s="4"/>
      <c r="N131" s="17">
        <v>6.0</v>
      </c>
      <c r="O131" s="89" t="s">
        <v>159</v>
      </c>
      <c r="P131" s="17">
        <f t="shared" si="22"/>
        <v>0</v>
      </c>
      <c r="Q131" s="17">
        <f t="shared" si="23"/>
        <v>0</v>
      </c>
      <c r="R131" s="19">
        <f t="shared" si="24"/>
        <v>0</v>
      </c>
      <c r="S131" s="19">
        <f t="shared" si="25"/>
        <v>1</v>
      </c>
      <c r="T131" s="17">
        <f t="shared" si="26"/>
        <v>2</v>
      </c>
      <c r="U131" s="19">
        <f t="shared" si="27"/>
        <v>5</v>
      </c>
      <c r="V131" s="17">
        <f t="shared" si="28"/>
        <v>-3</v>
      </c>
      <c r="W131" s="56"/>
      <c r="X131" s="56"/>
      <c r="Y131" s="56"/>
      <c r="Z131" s="56"/>
      <c r="AA131" s="56"/>
      <c r="AB131" s="56"/>
      <c r="AC131" s="56"/>
      <c r="AD131" s="56"/>
      <c r="AE131" s="21">
        <v>6.0</v>
      </c>
      <c r="AF131" s="22" t="s">
        <v>56</v>
      </c>
      <c r="AG131" s="22">
        <v>3.0</v>
      </c>
      <c r="AH131" s="22">
        <v>1.0</v>
      </c>
      <c r="AI131" s="22">
        <v>0.0</v>
      </c>
      <c r="AJ131" s="22">
        <v>1.0</v>
      </c>
      <c r="AK131" s="22">
        <v>6.0</v>
      </c>
      <c r="AL131" s="22">
        <v>7.0</v>
      </c>
      <c r="AM131" s="22">
        <v>-1.0</v>
      </c>
      <c r="AN131" s="17"/>
    </row>
    <row r="132" ht="15.75" customHeight="1">
      <c r="A132" s="24"/>
      <c r="B132" s="101"/>
      <c r="C132" s="99"/>
      <c r="D132" s="99"/>
      <c r="E132" s="40">
        <v>0.0</v>
      </c>
      <c r="F132" s="60"/>
      <c r="G132" s="75" t="s">
        <v>24</v>
      </c>
      <c r="H132" s="60"/>
      <c r="I132" s="40" t="s">
        <v>62</v>
      </c>
      <c r="J132" s="4"/>
      <c r="K132" s="4" t="str">
        <f t="shared" si="20"/>
        <v/>
      </c>
      <c r="L132" s="17" t="str">
        <f t="shared" si="21"/>
        <v/>
      </c>
      <c r="M132" s="4"/>
      <c r="N132" s="17">
        <v>7.0</v>
      </c>
      <c r="O132" s="89" t="s">
        <v>158</v>
      </c>
      <c r="P132" s="17">
        <f t="shared" si="22"/>
        <v>6</v>
      </c>
      <c r="Q132" s="17">
        <f t="shared" si="23"/>
        <v>2</v>
      </c>
      <c r="R132" s="19">
        <f t="shared" si="24"/>
        <v>0</v>
      </c>
      <c r="S132" s="19">
        <f t="shared" si="25"/>
        <v>0</v>
      </c>
      <c r="T132" s="17">
        <f t="shared" si="26"/>
        <v>10</v>
      </c>
      <c r="U132" s="19">
        <f t="shared" si="27"/>
        <v>5</v>
      </c>
      <c r="V132" s="17">
        <f t="shared" si="28"/>
        <v>5</v>
      </c>
      <c r="W132" s="56"/>
      <c r="X132" s="56"/>
      <c r="Y132" s="56"/>
      <c r="Z132" s="56"/>
      <c r="AA132" s="56"/>
      <c r="AB132" s="56"/>
      <c r="AC132" s="56"/>
      <c r="AD132" s="56"/>
      <c r="AE132" s="21">
        <v>7.0</v>
      </c>
      <c r="AF132" s="22" t="s">
        <v>134</v>
      </c>
      <c r="AG132" s="22">
        <v>1.0</v>
      </c>
      <c r="AH132" s="22">
        <v>0.0</v>
      </c>
      <c r="AI132" s="22">
        <v>1.0</v>
      </c>
      <c r="AJ132" s="22">
        <v>2.0</v>
      </c>
      <c r="AK132" s="22">
        <v>4.0</v>
      </c>
      <c r="AL132" s="22">
        <v>10.0</v>
      </c>
      <c r="AM132" s="22">
        <v>-6.0</v>
      </c>
      <c r="AN132" s="17"/>
    </row>
    <row r="133" ht="15.75" customHeight="1">
      <c r="A133" s="24"/>
      <c r="B133" s="11">
        <v>45953.0</v>
      </c>
      <c r="C133" s="59" t="s">
        <v>21</v>
      </c>
      <c r="D133" s="12" t="s">
        <v>22</v>
      </c>
      <c r="E133" s="40" t="s">
        <v>123</v>
      </c>
      <c r="F133" s="40">
        <v>6.0</v>
      </c>
      <c r="G133" s="75" t="s">
        <v>24</v>
      </c>
      <c r="H133" s="40">
        <v>1.0</v>
      </c>
      <c r="I133" s="40" t="s">
        <v>134</v>
      </c>
      <c r="J133" s="4"/>
      <c r="K133" s="4">
        <f t="shared" si="20"/>
        <v>3</v>
      </c>
      <c r="L133" s="17">
        <f t="shared" si="21"/>
        <v>0</v>
      </c>
      <c r="M133" s="4"/>
      <c r="N133" s="17">
        <v>8.0</v>
      </c>
      <c r="O133" s="89" t="s">
        <v>57</v>
      </c>
      <c r="P133" s="17">
        <f t="shared" si="22"/>
        <v>3</v>
      </c>
      <c r="Q133" s="17">
        <f t="shared" si="23"/>
        <v>1</v>
      </c>
      <c r="R133" s="19">
        <f t="shared" si="24"/>
        <v>0</v>
      </c>
      <c r="S133" s="19">
        <f t="shared" si="25"/>
        <v>1</v>
      </c>
      <c r="T133" s="17">
        <f t="shared" si="26"/>
        <v>4</v>
      </c>
      <c r="U133" s="19">
        <f t="shared" si="27"/>
        <v>4</v>
      </c>
      <c r="V133" s="17">
        <f t="shared" si="28"/>
        <v>0</v>
      </c>
      <c r="W133" s="56"/>
      <c r="X133" s="56"/>
      <c r="Y133" s="56"/>
      <c r="Z133" s="56"/>
      <c r="AA133" s="56"/>
      <c r="AB133" s="56"/>
      <c r="AC133" s="56"/>
      <c r="AD133" s="56"/>
      <c r="AE133" s="21">
        <v>8.0</v>
      </c>
      <c r="AF133" s="22" t="s">
        <v>157</v>
      </c>
      <c r="AG133" s="22">
        <v>1.0</v>
      </c>
      <c r="AH133" s="22">
        <v>0.0</v>
      </c>
      <c r="AI133" s="22">
        <v>1.0</v>
      </c>
      <c r="AJ133" s="22">
        <v>2.0</v>
      </c>
      <c r="AK133" s="22">
        <v>2.0</v>
      </c>
      <c r="AL133" s="22">
        <v>10.0</v>
      </c>
      <c r="AM133" s="22">
        <v>-8.0</v>
      </c>
      <c r="AN133" s="17"/>
    </row>
    <row r="134" ht="15.75" customHeight="1">
      <c r="A134" s="24"/>
      <c r="B134" s="11">
        <v>45958.0</v>
      </c>
      <c r="C134" s="12" t="s">
        <v>95</v>
      </c>
      <c r="D134" s="12" t="s">
        <v>133</v>
      </c>
      <c r="E134" s="40" t="s">
        <v>57</v>
      </c>
      <c r="F134" s="40">
        <v>2.0</v>
      </c>
      <c r="G134" s="75" t="s">
        <v>24</v>
      </c>
      <c r="H134" s="40">
        <v>3.0</v>
      </c>
      <c r="I134" s="40" t="s">
        <v>56</v>
      </c>
      <c r="J134" s="4"/>
      <c r="K134" s="4">
        <f t="shared" si="20"/>
        <v>0</v>
      </c>
      <c r="L134" s="17">
        <f t="shared" si="21"/>
        <v>3</v>
      </c>
      <c r="M134" s="4"/>
      <c r="N134" s="17">
        <v>9.0</v>
      </c>
      <c r="O134" s="89" t="s">
        <v>123</v>
      </c>
      <c r="P134" s="17">
        <f t="shared" si="22"/>
        <v>6</v>
      </c>
      <c r="Q134" s="17">
        <f t="shared" si="23"/>
        <v>2</v>
      </c>
      <c r="R134" s="19">
        <f t="shared" si="24"/>
        <v>0</v>
      </c>
      <c r="S134" s="19">
        <f t="shared" si="25"/>
        <v>0</v>
      </c>
      <c r="T134" s="17">
        <f t="shared" si="26"/>
        <v>12</v>
      </c>
      <c r="U134" s="19">
        <f t="shared" si="27"/>
        <v>4</v>
      </c>
      <c r="V134" s="17">
        <f t="shared" si="28"/>
        <v>8</v>
      </c>
      <c r="W134" s="56"/>
      <c r="X134" s="56"/>
      <c r="Y134" s="56"/>
      <c r="Z134" s="56"/>
      <c r="AA134" s="56"/>
      <c r="AB134" s="56"/>
      <c r="AC134" s="56"/>
      <c r="AD134" s="56"/>
      <c r="AE134" s="21">
        <v>9.0</v>
      </c>
      <c r="AF134" s="22" t="s">
        <v>159</v>
      </c>
      <c r="AG134" s="22">
        <v>0.0</v>
      </c>
      <c r="AH134" s="22">
        <v>0.0</v>
      </c>
      <c r="AI134" s="22">
        <v>0.0</v>
      </c>
      <c r="AJ134" s="22">
        <v>1.0</v>
      </c>
      <c r="AK134" s="22">
        <v>2.0</v>
      </c>
      <c r="AL134" s="22">
        <v>5.0</v>
      </c>
      <c r="AM134" s="22">
        <v>-3.0</v>
      </c>
      <c r="AN134" s="17"/>
    </row>
    <row r="135" ht="15.75" customHeight="1">
      <c r="A135" s="24"/>
      <c r="B135" s="11">
        <v>45958.0</v>
      </c>
      <c r="C135" s="59" t="s">
        <v>98</v>
      </c>
      <c r="D135" s="12" t="s">
        <v>133</v>
      </c>
      <c r="E135" s="40" t="s">
        <v>158</v>
      </c>
      <c r="F135" s="40">
        <v>5.0</v>
      </c>
      <c r="G135" s="75" t="s">
        <v>24</v>
      </c>
      <c r="H135" s="40">
        <v>2.0</v>
      </c>
      <c r="I135" s="40" t="s">
        <v>159</v>
      </c>
      <c r="J135" s="4"/>
      <c r="K135" s="4">
        <f t="shared" si="20"/>
        <v>3</v>
      </c>
      <c r="L135" s="17">
        <f t="shared" si="21"/>
        <v>0</v>
      </c>
      <c r="M135" s="4"/>
      <c r="N135" s="17"/>
      <c r="O135" s="4"/>
      <c r="P135" s="17"/>
      <c r="Q135" s="17"/>
      <c r="R135" s="19"/>
      <c r="S135" s="19"/>
      <c r="T135" s="17"/>
      <c r="U135" s="19"/>
      <c r="V135" s="17"/>
      <c r="W135" s="56"/>
      <c r="X135" s="56"/>
      <c r="Y135" s="56"/>
      <c r="Z135" s="56"/>
      <c r="AA135" s="56"/>
      <c r="AB135" s="56"/>
      <c r="AC135" s="56"/>
      <c r="AD135" s="56"/>
      <c r="AE135" s="34" t="s">
        <v>160</v>
      </c>
      <c r="AH135" s="31"/>
      <c r="AI135" s="31"/>
      <c r="AJ135" s="31"/>
      <c r="AK135" s="31"/>
      <c r="AL135" s="31"/>
      <c r="AM135" s="31"/>
      <c r="AN135" s="17"/>
    </row>
    <row r="136" ht="15.75" customHeight="1">
      <c r="A136" s="10">
        <v>3.0</v>
      </c>
      <c r="B136" s="11">
        <v>45966.0</v>
      </c>
      <c r="C136" s="12" t="s">
        <v>53</v>
      </c>
      <c r="D136" s="12" t="s">
        <v>22</v>
      </c>
      <c r="E136" s="40" t="s">
        <v>134</v>
      </c>
      <c r="F136" s="40">
        <v>2.0</v>
      </c>
      <c r="G136" s="75" t="s">
        <v>24</v>
      </c>
      <c r="H136" s="40">
        <v>2.0</v>
      </c>
      <c r="I136" s="40" t="s">
        <v>157</v>
      </c>
      <c r="J136" s="4"/>
      <c r="K136" s="4">
        <f t="shared" si="20"/>
        <v>1</v>
      </c>
      <c r="L136" s="17">
        <f t="shared" si="21"/>
        <v>1</v>
      </c>
      <c r="M136" s="4"/>
      <c r="N136" s="4"/>
      <c r="O136" s="4"/>
      <c r="P136" s="17"/>
      <c r="Q136" s="17"/>
      <c r="R136" s="19"/>
      <c r="S136" s="19"/>
      <c r="T136" s="17"/>
      <c r="U136" s="19"/>
      <c r="V136" s="17"/>
      <c r="W136" s="56"/>
      <c r="X136" s="56"/>
      <c r="Y136" s="56"/>
      <c r="Z136" s="56"/>
      <c r="AA136" s="56"/>
      <c r="AB136" s="56"/>
      <c r="AC136" s="56"/>
      <c r="AD136" s="56"/>
      <c r="AE136" s="73" t="s">
        <v>152</v>
      </c>
      <c r="AH136" s="17"/>
      <c r="AI136" s="17"/>
      <c r="AJ136" s="17"/>
      <c r="AK136" s="17"/>
      <c r="AL136" s="17"/>
      <c r="AM136" s="17"/>
      <c r="AN136" s="4"/>
    </row>
    <row r="137" ht="15.75" customHeight="1">
      <c r="A137" s="24"/>
      <c r="B137" s="11">
        <v>45966.0</v>
      </c>
      <c r="C137" s="59" t="s">
        <v>21</v>
      </c>
      <c r="D137" s="12" t="s">
        <v>22</v>
      </c>
      <c r="E137" s="40" t="s">
        <v>116</v>
      </c>
      <c r="F137" s="40">
        <v>3.0</v>
      </c>
      <c r="G137" s="75" t="s">
        <v>24</v>
      </c>
      <c r="H137" s="40">
        <v>4.0</v>
      </c>
      <c r="I137" s="40" t="s">
        <v>62</v>
      </c>
      <c r="J137" s="4"/>
      <c r="K137" s="4">
        <f t="shared" si="20"/>
        <v>0</v>
      </c>
      <c r="L137" s="17">
        <f t="shared" si="21"/>
        <v>3</v>
      </c>
      <c r="M137" s="4"/>
      <c r="N137" s="4"/>
      <c r="O137" s="4"/>
      <c r="P137" s="17"/>
      <c r="Q137" s="17"/>
      <c r="R137" s="19"/>
      <c r="S137" s="19"/>
      <c r="T137" s="17"/>
      <c r="U137" s="19"/>
      <c r="V137" s="17"/>
      <c r="W137" s="56"/>
      <c r="X137" s="56"/>
      <c r="Y137" s="56"/>
      <c r="Z137" s="56"/>
      <c r="AA137" s="56"/>
      <c r="AB137" s="56"/>
      <c r="AC137" s="56"/>
      <c r="AD137" s="56"/>
      <c r="AE137" s="4"/>
      <c r="AG137" s="56"/>
      <c r="AH137" s="36"/>
      <c r="AJ137" s="17"/>
      <c r="AK137" s="17"/>
      <c r="AL137" s="17"/>
      <c r="AM137" s="17"/>
      <c r="AN137" s="4"/>
    </row>
    <row r="138" ht="15.75" customHeight="1">
      <c r="A138" s="24"/>
      <c r="B138" s="11">
        <v>45972.0</v>
      </c>
      <c r="C138" s="12" t="s">
        <v>53</v>
      </c>
      <c r="D138" s="12" t="s">
        <v>22</v>
      </c>
      <c r="E138" s="40" t="s">
        <v>56</v>
      </c>
      <c r="F138" s="60"/>
      <c r="G138" s="75" t="s">
        <v>24</v>
      </c>
      <c r="H138" s="60"/>
      <c r="I138" s="40" t="s">
        <v>123</v>
      </c>
      <c r="J138" s="4"/>
      <c r="K138" s="4" t="str">
        <f t="shared" si="20"/>
        <v/>
      </c>
      <c r="L138" s="17" t="str">
        <f t="shared" si="21"/>
        <v/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6"/>
      <c r="X138" s="56"/>
      <c r="Y138" s="56"/>
      <c r="Z138" s="56"/>
      <c r="AA138" s="56"/>
      <c r="AB138" s="56"/>
      <c r="AC138" s="56"/>
      <c r="AD138" s="56"/>
      <c r="AG138" s="56"/>
      <c r="AJ138" s="4"/>
      <c r="AK138" s="4"/>
      <c r="AL138" s="4"/>
      <c r="AM138" s="4"/>
      <c r="AN138" s="4"/>
    </row>
    <row r="139" ht="15.75" customHeight="1">
      <c r="A139" s="24"/>
      <c r="B139" s="11">
        <v>45972.0</v>
      </c>
      <c r="C139" s="59" t="s">
        <v>21</v>
      </c>
      <c r="D139" s="12" t="s">
        <v>22</v>
      </c>
      <c r="E139" s="40" t="s">
        <v>159</v>
      </c>
      <c r="F139" s="60"/>
      <c r="G139" s="75" t="s">
        <v>24</v>
      </c>
      <c r="H139" s="60"/>
      <c r="I139" s="40" t="s">
        <v>57</v>
      </c>
      <c r="J139" s="4"/>
      <c r="K139" s="4" t="str">
        <f t="shared" si="20"/>
        <v/>
      </c>
      <c r="L139" s="17" t="str">
        <f t="shared" si="21"/>
        <v/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6"/>
      <c r="X139" s="56"/>
      <c r="Y139" s="56"/>
      <c r="Z139" s="56"/>
      <c r="AA139" s="56"/>
      <c r="AB139" s="56"/>
      <c r="AC139" s="56"/>
      <c r="AD139" s="56"/>
      <c r="AG139" s="56"/>
      <c r="AJ139" s="4"/>
      <c r="AK139" s="4"/>
      <c r="AL139" s="4"/>
      <c r="AM139" s="4"/>
      <c r="AN139" s="4"/>
    </row>
    <row r="140" ht="15.75" customHeight="1">
      <c r="A140" s="24"/>
      <c r="B140" s="96"/>
      <c r="C140" s="75"/>
      <c r="D140" s="75"/>
      <c r="E140" s="40">
        <v>0.0</v>
      </c>
      <c r="F140" s="60"/>
      <c r="G140" s="75" t="s">
        <v>24</v>
      </c>
      <c r="H140" s="60"/>
      <c r="I140" s="40" t="s">
        <v>158</v>
      </c>
      <c r="J140" s="4"/>
      <c r="K140" s="4" t="str">
        <f t="shared" si="20"/>
        <v/>
      </c>
      <c r="L140" s="17" t="str">
        <f t="shared" si="21"/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6"/>
      <c r="X140" s="56"/>
      <c r="Y140" s="56"/>
      <c r="Z140" s="56"/>
      <c r="AA140" s="56"/>
      <c r="AB140" s="56"/>
      <c r="AC140" s="56"/>
      <c r="AD140" s="56"/>
      <c r="AG140" s="4"/>
      <c r="AJ140" s="4"/>
      <c r="AK140" s="4"/>
      <c r="AL140" s="4"/>
      <c r="AM140" s="4"/>
      <c r="AN140" s="4"/>
    </row>
    <row r="141" ht="15.75" customHeight="1">
      <c r="A141" s="10">
        <v>4.0</v>
      </c>
      <c r="B141" s="96"/>
      <c r="C141" s="60"/>
      <c r="D141" s="75"/>
      <c r="E141" s="40" t="s">
        <v>157</v>
      </c>
      <c r="F141" s="60"/>
      <c r="G141" s="75" t="s">
        <v>24</v>
      </c>
      <c r="H141" s="60"/>
      <c r="I141" s="40" t="s">
        <v>56</v>
      </c>
      <c r="J141" s="37"/>
      <c r="K141" s="4" t="str">
        <f t="shared" si="20"/>
        <v/>
      </c>
      <c r="L141" s="17" t="str">
        <f t="shared" si="21"/>
        <v/>
      </c>
      <c r="M141" s="4"/>
      <c r="N141" s="4"/>
      <c r="O141" s="4"/>
      <c r="P141" s="4"/>
      <c r="Q141" s="56"/>
      <c r="R141" s="4"/>
      <c r="S141" s="4"/>
      <c r="T141" s="4"/>
      <c r="U141" s="4"/>
      <c r="V141" s="4"/>
      <c r="W141" s="56"/>
      <c r="X141" s="56"/>
      <c r="Y141" s="56"/>
      <c r="Z141" s="56"/>
      <c r="AA141" s="56"/>
      <c r="AB141" s="56"/>
      <c r="AC141" s="56"/>
      <c r="AD141" s="56"/>
      <c r="AG141" s="4"/>
      <c r="AJ141" s="36"/>
      <c r="AK141" s="36"/>
      <c r="AL141" s="36"/>
      <c r="AM141" s="36"/>
      <c r="AN141" s="36"/>
    </row>
    <row r="142" ht="15.75" customHeight="1">
      <c r="A142" s="24"/>
      <c r="B142" s="96"/>
      <c r="C142" s="75"/>
      <c r="D142" s="75"/>
      <c r="E142" s="40" t="s">
        <v>62</v>
      </c>
      <c r="F142" s="60"/>
      <c r="G142" s="75" t="s">
        <v>24</v>
      </c>
      <c r="H142" s="60"/>
      <c r="I142" s="40" t="s">
        <v>134</v>
      </c>
      <c r="J142" s="4"/>
      <c r="K142" s="4" t="str">
        <f t="shared" si="20"/>
        <v/>
      </c>
      <c r="L142" s="17" t="str">
        <f t="shared" si="21"/>
        <v/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4"/>
      <c r="AJ142" s="4"/>
      <c r="AK142" s="4"/>
      <c r="AL142" s="4"/>
      <c r="AM142" s="4"/>
      <c r="AN142" s="4"/>
    </row>
    <row r="143" ht="15.75" customHeight="1">
      <c r="A143" s="24"/>
      <c r="B143" s="96"/>
      <c r="C143" s="75"/>
      <c r="D143" s="75"/>
      <c r="E143" s="40" t="s">
        <v>116</v>
      </c>
      <c r="F143" s="60"/>
      <c r="G143" s="75" t="s">
        <v>24</v>
      </c>
      <c r="H143" s="60"/>
      <c r="I143" s="40">
        <v>0.0</v>
      </c>
      <c r="J143" s="4"/>
      <c r="K143" s="4" t="str">
        <f t="shared" si="20"/>
        <v/>
      </c>
      <c r="L143" s="17" t="str">
        <f t="shared" si="21"/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6"/>
      <c r="X143" s="56"/>
      <c r="Y143" s="56"/>
      <c r="Z143" s="56"/>
      <c r="AA143" s="56"/>
      <c r="AB143" s="56"/>
      <c r="AC143" s="56"/>
      <c r="AD143" s="56"/>
      <c r="AE143" s="4"/>
      <c r="AF143" s="4"/>
      <c r="AG143" s="4"/>
      <c r="AJ143" s="4"/>
      <c r="AK143" s="4"/>
      <c r="AL143" s="4"/>
      <c r="AM143" s="4"/>
      <c r="AN143" s="4"/>
    </row>
    <row r="144" ht="15.75" customHeight="1">
      <c r="A144" s="24"/>
      <c r="B144" s="96"/>
      <c r="C144" s="60"/>
      <c r="D144" s="75"/>
      <c r="E144" s="40" t="s">
        <v>123</v>
      </c>
      <c r="F144" s="60"/>
      <c r="G144" s="75" t="s">
        <v>24</v>
      </c>
      <c r="H144" s="60"/>
      <c r="I144" s="40" t="s">
        <v>159</v>
      </c>
      <c r="J144" s="4"/>
      <c r="K144" s="4" t="str">
        <f t="shared" si="20"/>
        <v/>
      </c>
      <c r="L144" s="17" t="str">
        <f t="shared" si="21"/>
        <v/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6"/>
      <c r="X144" s="56"/>
      <c r="Y144" s="56"/>
      <c r="Z144" s="56"/>
      <c r="AA144" s="56"/>
      <c r="AB144" s="56"/>
      <c r="AC144" s="56"/>
      <c r="AD144" s="56"/>
      <c r="AE144" s="4"/>
      <c r="AF144" s="4"/>
      <c r="AG144" s="4"/>
      <c r="AH144" s="56"/>
      <c r="AI144" s="56"/>
      <c r="AJ144" s="4"/>
      <c r="AK144" s="4"/>
      <c r="AL144" s="4"/>
      <c r="AM144" s="4"/>
      <c r="AN144" s="4"/>
    </row>
    <row r="145" ht="15.75" customHeight="1">
      <c r="A145" s="24"/>
      <c r="B145" s="96"/>
      <c r="C145" s="75"/>
      <c r="D145" s="75"/>
      <c r="E145" s="40" t="s">
        <v>57</v>
      </c>
      <c r="F145" s="60"/>
      <c r="G145" s="75" t="s">
        <v>24</v>
      </c>
      <c r="H145" s="60"/>
      <c r="I145" s="40" t="s">
        <v>158</v>
      </c>
      <c r="J145" s="4"/>
      <c r="K145" s="4" t="str">
        <f t="shared" si="20"/>
        <v/>
      </c>
      <c r="L145" s="17" t="str">
        <f t="shared" si="21"/>
        <v/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6"/>
      <c r="X145" s="56"/>
      <c r="Y145" s="56"/>
      <c r="Z145" s="56"/>
      <c r="AA145" s="56"/>
      <c r="AB145" s="56"/>
      <c r="AC145" s="56"/>
      <c r="AD145" s="56"/>
      <c r="AE145" s="4"/>
      <c r="AF145" s="4"/>
      <c r="AG145" s="4"/>
      <c r="AH145" s="56"/>
      <c r="AI145" s="56"/>
      <c r="AJ145" s="4"/>
      <c r="AK145" s="4"/>
      <c r="AL145" s="4"/>
      <c r="AM145" s="4"/>
      <c r="AN145" s="4"/>
    </row>
    <row r="146" ht="15.75" customHeight="1">
      <c r="A146" s="10">
        <v>5.0</v>
      </c>
      <c r="B146" s="96"/>
      <c r="C146" s="75"/>
      <c r="D146" s="75"/>
      <c r="E146" s="40" t="s">
        <v>159</v>
      </c>
      <c r="F146" s="60"/>
      <c r="G146" s="75" t="s">
        <v>24</v>
      </c>
      <c r="H146" s="60"/>
      <c r="I146" s="40" t="s">
        <v>157</v>
      </c>
      <c r="J146" s="4"/>
      <c r="K146" s="4" t="str">
        <f t="shared" si="20"/>
        <v/>
      </c>
      <c r="L146" s="17" t="str">
        <f t="shared" si="21"/>
        <v/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6"/>
      <c r="X146" s="56"/>
      <c r="Y146" s="56"/>
      <c r="Z146" s="56"/>
      <c r="AA146" s="56"/>
      <c r="AB146" s="56"/>
      <c r="AC146" s="56"/>
      <c r="AD146" s="56"/>
      <c r="AE146" s="4"/>
      <c r="AF146" s="4"/>
      <c r="AG146" s="4"/>
      <c r="AH146" s="56"/>
      <c r="AI146" s="56"/>
      <c r="AJ146" s="4"/>
      <c r="AK146" s="4"/>
      <c r="AL146" s="4"/>
      <c r="AM146" s="4"/>
      <c r="AN146" s="4"/>
    </row>
    <row r="147" ht="15.75" customHeight="1">
      <c r="A147" s="24"/>
      <c r="B147" s="96"/>
      <c r="C147" s="75"/>
      <c r="D147" s="75"/>
      <c r="E147" s="40" t="s">
        <v>56</v>
      </c>
      <c r="F147" s="60"/>
      <c r="G147" s="75" t="s">
        <v>24</v>
      </c>
      <c r="H147" s="60"/>
      <c r="I147" s="40" t="s">
        <v>62</v>
      </c>
      <c r="J147" s="4"/>
      <c r="K147" s="4" t="str">
        <f t="shared" si="20"/>
        <v/>
      </c>
      <c r="L147" s="17" t="str">
        <f t="shared" si="21"/>
        <v/>
      </c>
      <c r="M147" s="4"/>
      <c r="N147" s="4"/>
      <c r="O147" s="4"/>
      <c r="P147" s="4"/>
      <c r="Q147" s="4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 ht="15.75" customHeight="1">
      <c r="A148" s="24"/>
      <c r="B148" s="96"/>
      <c r="C148" s="75"/>
      <c r="D148" s="75"/>
      <c r="E148" s="40" t="s">
        <v>134</v>
      </c>
      <c r="F148" s="60"/>
      <c r="G148" s="75" t="s">
        <v>24</v>
      </c>
      <c r="H148" s="60"/>
      <c r="I148" s="40" t="s">
        <v>116</v>
      </c>
      <c r="J148" s="4"/>
      <c r="K148" s="4" t="str">
        <f t="shared" si="20"/>
        <v/>
      </c>
      <c r="L148" s="17" t="str">
        <f t="shared" si="21"/>
        <v/>
      </c>
      <c r="M148" s="4"/>
      <c r="N148" s="4"/>
      <c r="O148" s="4"/>
      <c r="P148" s="4"/>
      <c r="Q148" s="4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 ht="15.75" customHeight="1">
      <c r="A149" s="24"/>
      <c r="B149" s="96"/>
      <c r="C149" s="75"/>
      <c r="D149" s="75"/>
      <c r="E149" s="40" t="s">
        <v>158</v>
      </c>
      <c r="F149" s="60"/>
      <c r="G149" s="75" t="s">
        <v>24</v>
      </c>
      <c r="H149" s="60"/>
      <c r="I149" s="40" t="s">
        <v>123</v>
      </c>
      <c r="J149" s="4"/>
      <c r="K149" s="4" t="str">
        <f t="shared" si="20"/>
        <v/>
      </c>
      <c r="L149" s="17" t="str">
        <f t="shared" si="21"/>
        <v/>
      </c>
      <c r="M149" s="4"/>
      <c r="N149" s="4"/>
      <c r="O149" s="4"/>
      <c r="P149" s="4"/>
      <c r="Q149" s="4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 ht="15.75" customHeight="1">
      <c r="A150" s="24"/>
      <c r="B150" s="96"/>
      <c r="C150" s="75"/>
      <c r="D150" s="75"/>
      <c r="E150" s="40">
        <v>0.0</v>
      </c>
      <c r="F150" s="60"/>
      <c r="G150" s="75" t="s">
        <v>24</v>
      </c>
      <c r="H150" s="60"/>
      <c r="I150" s="40" t="s">
        <v>57</v>
      </c>
      <c r="J150" s="4"/>
      <c r="K150" s="4" t="str">
        <f t="shared" si="20"/>
        <v/>
      </c>
      <c r="L150" s="17" t="str">
        <f t="shared" si="21"/>
        <v/>
      </c>
      <c r="M150" s="4"/>
      <c r="N150" s="4"/>
      <c r="O150" s="4"/>
      <c r="P150" s="4"/>
      <c r="Q150" s="4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 ht="15.75" customHeight="1">
      <c r="A151" s="10">
        <v>6.0</v>
      </c>
      <c r="B151" s="96"/>
      <c r="C151" s="75"/>
      <c r="D151" s="75"/>
      <c r="E151" s="40" t="s">
        <v>157</v>
      </c>
      <c r="F151" s="60"/>
      <c r="G151" s="75" t="s">
        <v>24</v>
      </c>
      <c r="H151" s="60"/>
      <c r="I151" s="40" t="s">
        <v>158</v>
      </c>
      <c r="J151" s="4"/>
      <c r="K151" s="4" t="str">
        <f t="shared" si="20"/>
        <v/>
      </c>
      <c r="L151" s="17" t="str">
        <f t="shared" si="21"/>
        <v/>
      </c>
      <c r="M151" s="4"/>
      <c r="N151" s="4"/>
      <c r="O151" s="4"/>
      <c r="P151" s="4"/>
      <c r="Q151" s="4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 ht="15.75" customHeight="1">
      <c r="A152" s="24"/>
      <c r="B152" s="96"/>
      <c r="C152" s="75"/>
      <c r="D152" s="75"/>
      <c r="E152" s="40" t="s">
        <v>62</v>
      </c>
      <c r="F152" s="60"/>
      <c r="G152" s="75" t="s">
        <v>24</v>
      </c>
      <c r="H152" s="60"/>
      <c r="I152" s="40" t="s">
        <v>159</v>
      </c>
      <c r="J152" s="4"/>
      <c r="K152" s="4" t="str">
        <f t="shared" si="20"/>
        <v/>
      </c>
      <c r="L152" s="17" t="str">
        <f t="shared" si="21"/>
        <v/>
      </c>
      <c r="M152" s="4"/>
      <c r="N152" s="4"/>
      <c r="O152" s="4"/>
      <c r="P152" s="4"/>
      <c r="Q152" s="4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 ht="15.75" customHeight="1">
      <c r="A153" s="24"/>
      <c r="B153" s="96"/>
      <c r="C153" s="75"/>
      <c r="D153" s="75"/>
      <c r="E153" s="40" t="s">
        <v>116</v>
      </c>
      <c r="F153" s="60"/>
      <c r="G153" s="75" t="s">
        <v>24</v>
      </c>
      <c r="H153" s="60"/>
      <c r="I153" s="40" t="s">
        <v>56</v>
      </c>
      <c r="J153" s="4"/>
      <c r="K153" s="4" t="str">
        <f t="shared" si="20"/>
        <v/>
      </c>
      <c r="L153" s="17" t="str">
        <f t="shared" si="21"/>
        <v/>
      </c>
      <c r="M153" s="4"/>
      <c r="N153" s="4"/>
      <c r="O153" s="4"/>
      <c r="P153" s="4"/>
      <c r="Q153" s="4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 ht="15.75" customHeight="1">
      <c r="A154" s="24"/>
      <c r="B154" s="96"/>
      <c r="C154" s="75"/>
      <c r="D154" s="75"/>
      <c r="E154" s="40" t="s">
        <v>134</v>
      </c>
      <c r="F154" s="60"/>
      <c r="G154" s="75" t="s">
        <v>24</v>
      </c>
      <c r="H154" s="60"/>
      <c r="I154" s="40">
        <v>0.0</v>
      </c>
      <c r="J154" s="4"/>
      <c r="K154" s="4" t="str">
        <f t="shared" si="20"/>
        <v/>
      </c>
      <c r="L154" s="17" t="str">
        <f t="shared" si="21"/>
        <v/>
      </c>
      <c r="M154" s="4"/>
      <c r="N154" s="4"/>
      <c r="O154" s="4"/>
      <c r="P154" s="4"/>
      <c r="Q154" s="4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 ht="15.75" customHeight="1">
      <c r="A155" s="24"/>
      <c r="B155" s="96"/>
      <c r="C155" s="75"/>
      <c r="D155" s="75"/>
      <c r="E155" s="40" t="s">
        <v>123</v>
      </c>
      <c r="F155" s="60"/>
      <c r="G155" s="75" t="s">
        <v>24</v>
      </c>
      <c r="H155" s="60"/>
      <c r="I155" s="40" t="s">
        <v>57</v>
      </c>
      <c r="J155" s="4"/>
      <c r="K155" s="4" t="str">
        <f t="shared" si="20"/>
        <v/>
      </c>
      <c r="L155" s="17" t="str">
        <f t="shared" si="21"/>
        <v/>
      </c>
      <c r="M155" s="4"/>
      <c r="N155" s="4"/>
      <c r="O155" s="4"/>
      <c r="P155" s="4"/>
      <c r="Q155" s="4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 ht="15.75" customHeight="1">
      <c r="A156" s="10">
        <v>7.0</v>
      </c>
      <c r="B156" s="96"/>
      <c r="C156" s="75"/>
      <c r="D156" s="75"/>
      <c r="E156" s="40" t="s">
        <v>57</v>
      </c>
      <c r="F156" s="60"/>
      <c r="G156" s="75" t="s">
        <v>24</v>
      </c>
      <c r="H156" s="60"/>
      <c r="I156" s="40" t="s">
        <v>157</v>
      </c>
      <c r="J156" s="4"/>
      <c r="K156" s="4" t="str">
        <f t="shared" si="20"/>
        <v/>
      </c>
      <c r="L156" s="17" t="str">
        <f t="shared" si="21"/>
        <v/>
      </c>
      <c r="M156" s="4"/>
      <c r="N156" s="4"/>
      <c r="O156" s="4"/>
      <c r="P156" s="4"/>
      <c r="Q156" s="4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 ht="15.75" customHeight="1">
      <c r="A157" s="24"/>
      <c r="B157" s="96"/>
      <c r="C157" s="75"/>
      <c r="D157" s="75"/>
      <c r="E157" s="40" t="s">
        <v>158</v>
      </c>
      <c r="F157" s="60"/>
      <c r="G157" s="75" t="s">
        <v>24</v>
      </c>
      <c r="H157" s="60"/>
      <c r="I157" s="40" t="s">
        <v>62</v>
      </c>
      <c r="J157" s="4"/>
      <c r="K157" s="4" t="str">
        <f t="shared" si="20"/>
        <v/>
      </c>
      <c r="L157" s="17" t="str">
        <f t="shared" si="21"/>
        <v/>
      </c>
      <c r="M157" s="4"/>
      <c r="N157" s="4"/>
      <c r="O157" s="4"/>
      <c r="P157" s="4"/>
      <c r="Q157" s="4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 ht="15.75" customHeight="1">
      <c r="A158" s="24"/>
      <c r="B158" s="96"/>
      <c r="C158" s="75"/>
      <c r="D158" s="75"/>
      <c r="E158" s="40" t="s">
        <v>159</v>
      </c>
      <c r="F158" s="60"/>
      <c r="G158" s="75" t="s">
        <v>24</v>
      </c>
      <c r="H158" s="60"/>
      <c r="I158" s="40" t="s">
        <v>116</v>
      </c>
      <c r="J158" s="4"/>
      <c r="K158" s="4" t="str">
        <f t="shared" si="20"/>
        <v/>
      </c>
      <c r="L158" s="17" t="str">
        <f t="shared" si="21"/>
        <v/>
      </c>
      <c r="M158" s="4"/>
      <c r="N158" s="4"/>
      <c r="O158" s="4"/>
      <c r="P158" s="4"/>
      <c r="Q158" s="4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 ht="15.75" customHeight="1">
      <c r="A159" s="24"/>
      <c r="B159" s="96"/>
      <c r="C159" s="75"/>
      <c r="D159" s="75"/>
      <c r="E159" s="40" t="s">
        <v>56</v>
      </c>
      <c r="F159" s="60"/>
      <c r="G159" s="75" t="s">
        <v>24</v>
      </c>
      <c r="H159" s="60"/>
      <c r="I159" s="40" t="s">
        <v>134</v>
      </c>
      <c r="J159" s="4"/>
      <c r="K159" s="4" t="str">
        <f t="shared" si="20"/>
        <v/>
      </c>
      <c r="L159" s="17" t="str">
        <f t="shared" si="21"/>
        <v/>
      </c>
      <c r="M159" s="4"/>
      <c r="N159" s="4"/>
      <c r="O159" s="4"/>
      <c r="P159" s="4"/>
      <c r="Q159" s="4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ht="15.75" customHeight="1">
      <c r="A160" s="24"/>
      <c r="B160" s="96"/>
      <c r="C160" s="75"/>
      <c r="D160" s="75"/>
      <c r="E160" s="40">
        <v>0.0</v>
      </c>
      <c r="F160" s="60"/>
      <c r="G160" s="75" t="s">
        <v>24</v>
      </c>
      <c r="H160" s="60"/>
      <c r="I160" s="40" t="s">
        <v>123</v>
      </c>
      <c r="J160" s="4"/>
      <c r="K160" s="4" t="str">
        <f t="shared" si="20"/>
        <v/>
      </c>
      <c r="L160" s="17" t="str">
        <f t="shared" si="21"/>
        <v/>
      </c>
      <c r="M160" s="4"/>
      <c r="N160" s="4"/>
      <c r="O160" s="4"/>
      <c r="P160" s="4"/>
      <c r="Q160" s="4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ht="15.75" customHeight="1">
      <c r="A161" s="10">
        <v>8.0</v>
      </c>
      <c r="B161" s="96"/>
      <c r="C161" s="75"/>
      <c r="D161" s="75"/>
      <c r="E161" s="40" t="s">
        <v>157</v>
      </c>
      <c r="F161" s="60"/>
      <c r="G161" s="75" t="s">
        <v>24</v>
      </c>
      <c r="H161" s="60"/>
      <c r="I161" s="40" t="s">
        <v>123</v>
      </c>
      <c r="J161" s="4"/>
      <c r="K161" s="4" t="str">
        <f t="shared" si="20"/>
        <v/>
      </c>
      <c r="L161" s="17" t="str">
        <f t="shared" si="21"/>
        <v/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6"/>
      <c r="X161" s="56"/>
      <c r="Y161" s="56"/>
      <c r="Z161" s="56"/>
      <c r="AA161" s="56"/>
      <c r="AB161" s="56"/>
      <c r="AC161" s="56"/>
      <c r="AD161" s="56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ht="15.75" customHeight="1">
      <c r="A162" s="24"/>
      <c r="B162" s="96"/>
      <c r="C162" s="75"/>
      <c r="D162" s="75"/>
      <c r="E162" s="40" t="s">
        <v>62</v>
      </c>
      <c r="F162" s="60"/>
      <c r="G162" s="75" t="s">
        <v>24</v>
      </c>
      <c r="H162" s="60"/>
      <c r="I162" s="40" t="s">
        <v>57</v>
      </c>
      <c r="J162" s="4"/>
      <c r="K162" s="4" t="str">
        <f t="shared" si="20"/>
        <v/>
      </c>
      <c r="L162" s="17" t="str">
        <f t="shared" si="21"/>
        <v/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56"/>
      <c r="X162" s="56"/>
      <c r="Y162" s="56"/>
      <c r="Z162" s="56"/>
      <c r="AA162" s="56"/>
      <c r="AB162" s="56"/>
      <c r="AC162" s="56"/>
      <c r="AD162" s="56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ht="15.75" customHeight="1">
      <c r="A163" s="24"/>
      <c r="B163" s="96"/>
      <c r="C163" s="75"/>
      <c r="D163" s="75"/>
      <c r="E163" s="40" t="s">
        <v>116</v>
      </c>
      <c r="F163" s="60"/>
      <c r="G163" s="75" t="s">
        <v>24</v>
      </c>
      <c r="H163" s="60"/>
      <c r="I163" s="40" t="s">
        <v>158</v>
      </c>
      <c r="J163" s="4"/>
      <c r="K163" s="4" t="str">
        <f t="shared" si="20"/>
        <v/>
      </c>
      <c r="L163" s="17" t="str">
        <f t="shared" si="21"/>
        <v/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6"/>
      <c r="X163" s="56"/>
      <c r="Y163" s="56"/>
      <c r="Z163" s="56"/>
      <c r="AA163" s="56"/>
      <c r="AB163" s="56"/>
      <c r="AC163" s="56"/>
      <c r="AD163" s="56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ht="15.75" customHeight="1">
      <c r="A164" s="24"/>
      <c r="B164" s="96"/>
      <c r="C164" s="75"/>
      <c r="D164" s="75"/>
      <c r="E164" s="40" t="s">
        <v>134</v>
      </c>
      <c r="F164" s="60"/>
      <c r="G164" s="75" t="s">
        <v>24</v>
      </c>
      <c r="H164" s="60"/>
      <c r="I164" s="40" t="s">
        <v>159</v>
      </c>
      <c r="J164" s="4"/>
      <c r="K164" s="4" t="str">
        <f t="shared" si="20"/>
        <v/>
      </c>
      <c r="L164" s="17" t="str">
        <f t="shared" si="21"/>
        <v/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6"/>
      <c r="X164" s="56"/>
      <c r="Y164" s="56"/>
      <c r="Z164" s="56"/>
      <c r="AA164" s="56"/>
      <c r="AB164" s="56"/>
      <c r="AC164" s="56"/>
      <c r="AD164" s="56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ht="15.75" customHeight="1">
      <c r="A165" s="24"/>
      <c r="B165" s="96"/>
      <c r="C165" s="75"/>
      <c r="D165" s="75"/>
      <c r="E165" s="40" t="s">
        <v>56</v>
      </c>
      <c r="F165" s="60"/>
      <c r="G165" s="75" t="s">
        <v>24</v>
      </c>
      <c r="H165" s="60"/>
      <c r="I165" s="40">
        <v>0.0</v>
      </c>
      <c r="J165" s="4"/>
      <c r="K165" s="4" t="str">
        <f t="shared" si="20"/>
        <v/>
      </c>
      <c r="L165" s="17" t="str">
        <f t="shared" si="21"/>
        <v/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6"/>
      <c r="X165" s="56"/>
      <c r="Y165" s="56"/>
      <c r="Z165" s="56"/>
      <c r="AA165" s="56"/>
      <c r="AB165" s="56"/>
      <c r="AC165" s="56"/>
      <c r="AD165" s="56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ht="15.75" customHeight="1">
      <c r="A166" s="10">
        <v>9.0</v>
      </c>
      <c r="B166" s="96"/>
      <c r="C166" s="75"/>
      <c r="D166" s="75"/>
      <c r="E166" s="40">
        <v>0.0</v>
      </c>
      <c r="F166" s="60"/>
      <c r="G166" s="75" t="s">
        <v>24</v>
      </c>
      <c r="H166" s="60"/>
      <c r="I166" s="40" t="s">
        <v>157</v>
      </c>
      <c r="J166" s="56"/>
      <c r="K166" s="4" t="str">
        <f t="shared" si="20"/>
        <v/>
      </c>
      <c r="L166" s="17" t="str">
        <f t="shared" si="21"/>
        <v/>
      </c>
      <c r="M166" s="56"/>
      <c r="N166" s="56"/>
      <c r="O166" s="56"/>
      <c r="P166" s="56"/>
      <c r="Q166" s="56"/>
      <c r="R166" s="4"/>
      <c r="S166" s="4"/>
      <c r="T166" s="4"/>
      <c r="U166" s="4"/>
      <c r="V166" s="4"/>
      <c r="W166" s="56"/>
      <c r="X166" s="56"/>
      <c r="Y166" s="56"/>
      <c r="Z166" s="56"/>
      <c r="AA166" s="56"/>
      <c r="AB166" s="56"/>
      <c r="AC166" s="56"/>
      <c r="AD166" s="5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</row>
    <row r="167" ht="15.75" customHeight="1">
      <c r="A167" s="24"/>
      <c r="B167" s="96"/>
      <c r="C167" s="75"/>
      <c r="D167" s="75"/>
      <c r="E167" s="40" t="s">
        <v>123</v>
      </c>
      <c r="F167" s="60"/>
      <c r="G167" s="75" t="s">
        <v>24</v>
      </c>
      <c r="H167" s="60"/>
      <c r="I167" s="40" t="s">
        <v>62</v>
      </c>
      <c r="J167" s="56"/>
      <c r="K167" s="4" t="str">
        <f t="shared" si="20"/>
        <v/>
      </c>
      <c r="L167" s="17" t="str">
        <f t="shared" si="21"/>
        <v/>
      </c>
      <c r="M167" s="56"/>
      <c r="N167" s="56"/>
      <c r="O167" s="56"/>
      <c r="P167" s="56"/>
      <c r="Q167" s="56"/>
      <c r="R167" s="4"/>
      <c r="S167" s="4"/>
      <c r="T167" s="4"/>
      <c r="U167" s="4"/>
      <c r="V167" s="4"/>
      <c r="W167" s="56"/>
      <c r="X167" s="56"/>
      <c r="Y167" s="56"/>
      <c r="Z167" s="56"/>
      <c r="AA167" s="56"/>
      <c r="AB167" s="56"/>
      <c r="AC167" s="56"/>
      <c r="AD167" s="5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</row>
    <row r="168" ht="15.75" customHeight="1">
      <c r="A168" s="24"/>
      <c r="B168" s="96"/>
      <c r="C168" s="60"/>
      <c r="D168" s="75"/>
      <c r="E168" s="40" t="s">
        <v>57</v>
      </c>
      <c r="F168" s="60"/>
      <c r="G168" s="75" t="s">
        <v>24</v>
      </c>
      <c r="H168" s="60"/>
      <c r="I168" s="40" t="s">
        <v>116</v>
      </c>
      <c r="J168" s="56"/>
      <c r="K168" s="4" t="str">
        <f t="shared" si="20"/>
        <v/>
      </c>
      <c r="L168" s="17" t="str">
        <f t="shared" si="21"/>
        <v/>
      </c>
      <c r="M168" s="56"/>
      <c r="N168" s="56"/>
      <c r="O168" s="56"/>
      <c r="P168" s="56"/>
      <c r="Q168" s="56"/>
      <c r="R168" s="4"/>
      <c r="S168" s="4"/>
      <c r="T168" s="4"/>
      <c r="U168" s="4"/>
      <c r="V168" s="4"/>
      <c r="W168" s="56"/>
      <c r="X168" s="56"/>
      <c r="Y168" s="56"/>
      <c r="Z168" s="56"/>
      <c r="AA168" s="56"/>
      <c r="AB168" s="56"/>
      <c r="AC168" s="56"/>
      <c r="AD168" s="5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</row>
    <row r="169" ht="15.75" customHeight="1">
      <c r="A169" s="24"/>
      <c r="B169" s="96"/>
      <c r="C169" s="60"/>
      <c r="D169" s="75"/>
      <c r="E169" s="40" t="s">
        <v>158</v>
      </c>
      <c r="F169" s="60"/>
      <c r="G169" s="75" t="s">
        <v>24</v>
      </c>
      <c r="H169" s="60"/>
      <c r="I169" s="14" t="s">
        <v>134</v>
      </c>
      <c r="J169" s="56"/>
      <c r="K169" s="4" t="str">
        <f t="shared" si="20"/>
        <v/>
      </c>
      <c r="L169" s="17" t="str">
        <f t="shared" si="21"/>
        <v/>
      </c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36"/>
    </row>
    <row r="170" ht="15.75" customHeight="1">
      <c r="A170" s="28"/>
      <c r="B170" s="96"/>
      <c r="C170" s="75"/>
      <c r="D170" s="75"/>
      <c r="E170" s="40" t="s">
        <v>159</v>
      </c>
      <c r="F170" s="60"/>
      <c r="G170" s="75" t="s">
        <v>24</v>
      </c>
      <c r="H170" s="60"/>
      <c r="I170" s="40" t="s">
        <v>56</v>
      </c>
      <c r="J170" s="56"/>
      <c r="K170" s="4" t="str">
        <f t="shared" si="20"/>
        <v/>
      </c>
      <c r="L170" s="17" t="str">
        <f t="shared" si="21"/>
        <v/>
      </c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36"/>
    </row>
    <row r="171" ht="15.75" customHeight="1">
      <c r="A171" s="56"/>
      <c r="B171" s="56"/>
      <c r="C171" s="56"/>
      <c r="D171" s="56"/>
      <c r="E171" s="36"/>
      <c r="F171" s="56"/>
      <c r="G171" s="56"/>
      <c r="H171" s="56"/>
      <c r="I171" s="3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</row>
    <row r="172" ht="15.75" customHeight="1">
      <c r="A172" s="56"/>
      <c r="B172" s="56"/>
      <c r="C172" s="56"/>
      <c r="D172" s="56"/>
      <c r="E172" s="36"/>
      <c r="F172" s="56"/>
      <c r="G172" s="56"/>
      <c r="H172" s="56"/>
      <c r="I172" s="3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</row>
    <row r="173" ht="15.75" customHeight="1">
      <c r="A173" s="56"/>
      <c r="B173" s="56"/>
      <c r="C173" s="56"/>
      <c r="D173" s="56"/>
      <c r="E173" s="36"/>
      <c r="F173" s="56"/>
      <c r="G173" s="56"/>
      <c r="H173" s="56"/>
      <c r="I173" s="3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</row>
    <row r="174" ht="15.75" customHeight="1">
      <c r="A174" s="56"/>
      <c r="B174" s="56"/>
      <c r="C174" s="56"/>
      <c r="D174" s="56"/>
      <c r="E174" s="36"/>
      <c r="F174" s="56"/>
      <c r="G174" s="56"/>
      <c r="H174" s="56"/>
      <c r="I174" s="3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</row>
    <row r="175" ht="15.75" customHeight="1">
      <c r="A175" s="102" t="s">
        <v>161</v>
      </c>
      <c r="H175" s="56"/>
      <c r="I175" s="36"/>
      <c r="J175" s="56"/>
      <c r="K175" s="56"/>
      <c r="L175" s="56"/>
      <c r="M175" s="56"/>
      <c r="N175" s="56"/>
      <c r="O175" s="56"/>
      <c r="P175" s="56"/>
      <c r="Q175" s="56"/>
      <c r="R175" s="4"/>
      <c r="S175" s="4"/>
      <c r="T175" s="4"/>
      <c r="U175" s="4"/>
      <c r="V175" s="4"/>
      <c r="W175" s="56"/>
      <c r="X175" s="56"/>
      <c r="Y175" s="56"/>
      <c r="Z175" s="56"/>
      <c r="AA175" s="56"/>
      <c r="AB175" s="56"/>
      <c r="AC175" s="56"/>
      <c r="AD175" s="56"/>
      <c r="AE175" s="36"/>
      <c r="AF175" s="36"/>
      <c r="AG175" s="36"/>
      <c r="AH175" s="36"/>
      <c r="AI175" s="36"/>
      <c r="AJ175" s="36"/>
      <c r="AK175" s="36"/>
      <c r="AL175" s="36"/>
      <c r="AM175" s="36"/>
      <c r="AN175" s="4"/>
    </row>
    <row r="176" ht="15.75" customHeight="1">
      <c r="A176" s="5" t="s">
        <v>1</v>
      </c>
      <c r="B176" s="5" t="s">
        <v>2</v>
      </c>
      <c r="C176" s="5" t="s">
        <v>3</v>
      </c>
      <c r="D176" s="5" t="s">
        <v>4</v>
      </c>
      <c r="E176" s="5" t="s">
        <v>5</v>
      </c>
      <c r="F176" s="6" t="s">
        <v>6</v>
      </c>
      <c r="G176" s="7"/>
      <c r="H176" s="8"/>
      <c r="I176" s="5" t="s">
        <v>7</v>
      </c>
      <c r="J176" s="9" t="s">
        <v>8</v>
      </c>
      <c r="K176" s="9" t="s">
        <v>9</v>
      </c>
      <c r="L176" s="9" t="s">
        <v>10</v>
      </c>
      <c r="M176" s="9"/>
      <c r="N176" s="9" t="s">
        <v>11</v>
      </c>
      <c r="O176" s="9" t="s">
        <v>12</v>
      </c>
      <c r="P176" s="9" t="s">
        <v>13</v>
      </c>
      <c r="Q176" s="9" t="s">
        <v>14</v>
      </c>
      <c r="R176" s="9" t="s">
        <v>15</v>
      </c>
      <c r="S176" s="9" t="s">
        <v>16</v>
      </c>
      <c r="T176" s="9" t="s">
        <v>17</v>
      </c>
      <c r="U176" s="9" t="s">
        <v>18</v>
      </c>
      <c r="V176" s="9" t="s">
        <v>19</v>
      </c>
      <c r="W176" s="56"/>
      <c r="X176" s="56"/>
      <c r="Y176" s="56"/>
      <c r="Z176" s="56"/>
      <c r="AA176" s="56"/>
      <c r="AB176" s="56"/>
      <c r="AC176" s="56"/>
      <c r="AD176" s="56"/>
      <c r="AE176" s="5" t="s">
        <v>11</v>
      </c>
      <c r="AF176" s="5" t="s">
        <v>12</v>
      </c>
      <c r="AG176" s="5" t="s">
        <v>13</v>
      </c>
      <c r="AH176" s="5" t="s">
        <v>14</v>
      </c>
      <c r="AI176" s="5" t="s">
        <v>15</v>
      </c>
      <c r="AJ176" s="5" t="s">
        <v>16</v>
      </c>
      <c r="AK176" s="5" t="s">
        <v>17</v>
      </c>
      <c r="AL176" s="5" t="s">
        <v>18</v>
      </c>
      <c r="AM176" s="5" t="s">
        <v>19</v>
      </c>
      <c r="AN176" s="9"/>
    </row>
    <row r="177" ht="15.75" customHeight="1">
      <c r="A177" s="10">
        <v>1.0</v>
      </c>
      <c r="B177" s="11">
        <v>45944.0</v>
      </c>
      <c r="C177" s="12" t="s">
        <v>95</v>
      </c>
      <c r="D177" s="12" t="s">
        <v>133</v>
      </c>
      <c r="E177" s="40" t="s">
        <v>31</v>
      </c>
      <c r="F177" s="40">
        <v>2.0</v>
      </c>
      <c r="G177" s="75" t="s">
        <v>24</v>
      </c>
      <c r="H177" s="40">
        <v>4.0</v>
      </c>
      <c r="I177" s="40" t="s">
        <v>40</v>
      </c>
      <c r="J177" s="4"/>
      <c r="K177" s="4">
        <f t="shared" ref="K177:K221" si="29">IF(F177="","",IFS(F177&gt;H177,3,F177=H177,1,H177&gt;F177,0,F177="",0))</f>
        <v>0</v>
      </c>
      <c r="L177" s="17">
        <f t="shared" ref="L177:L221" si="30">IF(H177="","",IFS(F177&lt;H177,3,F177=H177,1,H177&lt;F177,0))</f>
        <v>3</v>
      </c>
      <c r="M177" s="4"/>
      <c r="N177" s="17">
        <v>1.0</v>
      </c>
      <c r="O177" s="89" t="s">
        <v>40</v>
      </c>
      <c r="P177" s="17">
        <f t="shared" ref="P177:P186" si="31">SUMIF(E$177:E$221,O177,K$177:K$221)+SUMIF(I$177:I$221,O177,L$177:L$221)</f>
        <v>9</v>
      </c>
      <c r="Q177" s="17">
        <f t="shared" ref="Q177:Q186" si="32">COUNTIFS(E$177:E$221,O177,K$177:K$221,3)+COUNTIFS(I$177:I$221,O177,L$177:L$221,3)</f>
        <v>3</v>
      </c>
      <c r="R177" s="19">
        <f t="shared" ref="R177:R186" si="33">COUNTIFS(E$177:E$221,O177,K$177:K$221,1)+COUNTIFS(I$177:I$221,O177,L$177:L$221,1)</f>
        <v>0</v>
      </c>
      <c r="S177" s="19">
        <f t="shared" ref="S177:S186" si="34">COUNTIFS(E$177:E$221,O177,K$177:K$221,0)+COUNTIFS(I$177:I$221,O177,L$177:L$221,0)</f>
        <v>0</v>
      </c>
      <c r="T177" s="17">
        <f t="shared" ref="T177:T186" si="35">SUMIF(E$177:E$221,O177,F$177:F$221)+SUMIF(I$177:I$221,O177,H$177:H$221)</f>
        <v>12</v>
      </c>
      <c r="U177" s="19">
        <f t="shared" ref="U177:U186" si="36">SUMIF(E$177:E$221,O177,H$177:H$221)+SUMIF(I$177:I$221,O177,F$177:F$221)</f>
        <v>3</v>
      </c>
      <c r="V177" s="17">
        <f t="shared" ref="V177:V186" si="37">T177-U177</f>
        <v>9</v>
      </c>
      <c r="W177" s="56"/>
      <c r="X177" s="56"/>
      <c r="Y177" s="56"/>
      <c r="Z177" s="56"/>
      <c r="AA177" s="56"/>
      <c r="AB177" s="56"/>
      <c r="AC177" s="56"/>
      <c r="AD177" s="56"/>
      <c r="AE177" s="41" t="s">
        <v>29</v>
      </c>
      <c r="AF177" s="22" t="str">
        <f t="array" ref="AF177:AN186">SORT(O177:W186,2,FALSE,9,FALSE,8,FALSE())</f>
        <v>Gestão Pública</v>
      </c>
      <c r="AG177" s="22">
        <v>9.0</v>
      </c>
      <c r="AH177" s="22">
        <v>3.0</v>
      </c>
      <c r="AI177" s="22">
        <v>0.0</v>
      </c>
      <c r="AJ177" s="22">
        <v>0.0</v>
      </c>
      <c r="AK177" s="22">
        <v>18.0</v>
      </c>
      <c r="AL177" s="22">
        <v>1.0</v>
      </c>
      <c r="AM177" s="22">
        <v>17.0</v>
      </c>
      <c r="AN177" s="17"/>
    </row>
    <row r="178" ht="15.75" customHeight="1">
      <c r="A178" s="24"/>
      <c r="B178" s="11">
        <v>45944.0</v>
      </c>
      <c r="C178" s="59" t="s">
        <v>98</v>
      </c>
      <c r="D178" s="12" t="s">
        <v>133</v>
      </c>
      <c r="E178" s="40" t="s">
        <v>54</v>
      </c>
      <c r="F178" s="40">
        <v>2.0</v>
      </c>
      <c r="G178" s="75" t="s">
        <v>24</v>
      </c>
      <c r="H178" s="40">
        <v>2.0</v>
      </c>
      <c r="I178" s="40" t="s">
        <v>42</v>
      </c>
      <c r="J178" s="4"/>
      <c r="K178" s="4">
        <f t="shared" si="29"/>
        <v>1</v>
      </c>
      <c r="L178" s="17">
        <f t="shared" si="30"/>
        <v>1</v>
      </c>
      <c r="M178" s="4"/>
      <c r="N178" s="17">
        <v>2.0</v>
      </c>
      <c r="O178" s="89" t="s">
        <v>31</v>
      </c>
      <c r="P178" s="17">
        <f t="shared" si="31"/>
        <v>1</v>
      </c>
      <c r="Q178" s="17">
        <f t="shared" si="32"/>
        <v>0</v>
      </c>
      <c r="R178" s="19">
        <f t="shared" si="33"/>
        <v>1</v>
      </c>
      <c r="S178" s="19">
        <f t="shared" si="34"/>
        <v>2</v>
      </c>
      <c r="T178" s="17">
        <f t="shared" si="35"/>
        <v>6</v>
      </c>
      <c r="U178" s="19">
        <f t="shared" si="36"/>
        <v>9</v>
      </c>
      <c r="V178" s="17">
        <f t="shared" si="37"/>
        <v>-3</v>
      </c>
      <c r="W178" s="56"/>
      <c r="X178" s="56"/>
      <c r="Y178" s="56"/>
      <c r="Z178" s="56"/>
      <c r="AA178" s="56"/>
      <c r="AB178" s="56"/>
      <c r="AC178" s="56"/>
      <c r="AD178" s="56"/>
      <c r="AE178" s="95" t="s">
        <v>112</v>
      </c>
      <c r="AF178" s="22" t="s">
        <v>162</v>
      </c>
      <c r="AG178" s="22">
        <v>9.0</v>
      </c>
      <c r="AH178" s="22">
        <v>3.0</v>
      </c>
      <c r="AI178" s="22">
        <v>0.0</v>
      </c>
      <c r="AJ178" s="22">
        <v>0.0</v>
      </c>
      <c r="AK178" s="22">
        <v>14.0</v>
      </c>
      <c r="AL178" s="22">
        <v>1.0</v>
      </c>
      <c r="AM178" s="22">
        <v>13.0</v>
      </c>
      <c r="AN178" s="17"/>
    </row>
    <row r="179" ht="15.75" customHeight="1">
      <c r="A179" s="24"/>
      <c r="B179" s="11">
        <v>45944.0</v>
      </c>
      <c r="C179" s="12" t="s">
        <v>102</v>
      </c>
      <c r="D179" s="12" t="s">
        <v>133</v>
      </c>
      <c r="E179" s="40" t="s">
        <v>121</v>
      </c>
      <c r="F179" s="40">
        <v>0.0</v>
      </c>
      <c r="G179" s="75" t="s">
        <v>24</v>
      </c>
      <c r="H179" s="40">
        <v>1.0</v>
      </c>
      <c r="I179" s="40" t="s">
        <v>162</v>
      </c>
      <c r="J179" s="4"/>
      <c r="K179" s="4">
        <f t="shared" si="29"/>
        <v>0</v>
      </c>
      <c r="L179" s="17">
        <f t="shared" si="30"/>
        <v>3</v>
      </c>
      <c r="M179" s="4"/>
      <c r="N179" s="17">
        <v>3.0</v>
      </c>
      <c r="O179" s="89" t="s">
        <v>54</v>
      </c>
      <c r="P179" s="17">
        <f t="shared" si="31"/>
        <v>2</v>
      </c>
      <c r="Q179" s="17">
        <f t="shared" si="32"/>
        <v>0</v>
      </c>
      <c r="R179" s="19">
        <f t="shared" si="33"/>
        <v>2</v>
      </c>
      <c r="S179" s="19">
        <f t="shared" si="34"/>
        <v>1</v>
      </c>
      <c r="T179" s="17">
        <f t="shared" si="35"/>
        <v>5</v>
      </c>
      <c r="U179" s="19">
        <f t="shared" si="36"/>
        <v>10</v>
      </c>
      <c r="V179" s="17">
        <f t="shared" si="37"/>
        <v>-5</v>
      </c>
      <c r="W179" s="56"/>
      <c r="X179" s="56"/>
      <c r="Y179" s="56"/>
      <c r="Z179" s="56"/>
      <c r="AA179" s="56"/>
      <c r="AB179" s="56"/>
      <c r="AC179" s="56"/>
      <c r="AD179" s="56"/>
      <c r="AE179" s="21">
        <v>3.0</v>
      </c>
      <c r="AF179" s="22" t="s">
        <v>40</v>
      </c>
      <c r="AG179" s="22">
        <v>9.0</v>
      </c>
      <c r="AH179" s="22">
        <v>3.0</v>
      </c>
      <c r="AI179" s="22">
        <v>0.0</v>
      </c>
      <c r="AJ179" s="22">
        <v>0.0</v>
      </c>
      <c r="AK179" s="22">
        <v>12.0</v>
      </c>
      <c r="AL179" s="22">
        <v>3.0</v>
      </c>
      <c r="AM179" s="22">
        <v>9.0</v>
      </c>
      <c r="AN179" s="17"/>
    </row>
    <row r="180" ht="15.75" customHeight="1">
      <c r="A180" s="24"/>
      <c r="B180" s="11">
        <v>45952.0</v>
      </c>
      <c r="C180" s="12" t="s">
        <v>147</v>
      </c>
      <c r="D180" s="12" t="s">
        <v>133</v>
      </c>
      <c r="E180" s="40" t="s">
        <v>37</v>
      </c>
      <c r="F180" s="40">
        <v>0.0</v>
      </c>
      <c r="G180" s="75" t="s">
        <v>24</v>
      </c>
      <c r="H180" s="40">
        <v>3.0</v>
      </c>
      <c r="I180" s="40" t="s">
        <v>163</v>
      </c>
      <c r="J180" s="4"/>
      <c r="K180" s="4">
        <f t="shared" si="29"/>
        <v>0</v>
      </c>
      <c r="L180" s="17">
        <f t="shared" si="30"/>
        <v>3</v>
      </c>
      <c r="M180" s="4"/>
      <c r="N180" s="17">
        <v>4.0</v>
      </c>
      <c r="O180" s="89" t="s">
        <v>121</v>
      </c>
      <c r="P180" s="17">
        <f t="shared" si="31"/>
        <v>0</v>
      </c>
      <c r="Q180" s="17">
        <f t="shared" si="32"/>
        <v>0</v>
      </c>
      <c r="R180" s="19">
        <f t="shared" si="33"/>
        <v>0</v>
      </c>
      <c r="S180" s="19">
        <f t="shared" si="34"/>
        <v>3</v>
      </c>
      <c r="T180" s="17">
        <f t="shared" si="35"/>
        <v>2</v>
      </c>
      <c r="U180" s="19">
        <f t="shared" si="36"/>
        <v>6</v>
      </c>
      <c r="V180" s="17">
        <f t="shared" si="37"/>
        <v>-4</v>
      </c>
      <c r="W180" s="56"/>
      <c r="X180" s="56"/>
      <c r="Y180" s="56"/>
      <c r="Z180" s="56"/>
      <c r="AA180" s="56"/>
      <c r="AB180" s="56"/>
      <c r="AC180" s="56"/>
      <c r="AD180" s="56"/>
      <c r="AE180" s="21">
        <v>4.0</v>
      </c>
      <c r="AF180" s="22" t="s">
        <v>42</v>
      </c>
      <c r="AG180" s="22">
        <v>7.0</v>
      </c>
      <c r="AH180" s="22">
        <v>2.0</v>
      </c>
      <c r="AI180" s="22">
        <v>1.0</v>
      </c>
      <c r="AJ180" s="22">
        <v>0.0</v>
      </c>
      <c r="AK180" s="22">
        <v>14.0</v>
      </c>
      <c r="AL180" s="22">
        <v>5.0</v>
      </c>
      <c r="AM180" s="22">
        <v>9.0</v>
      </c>
      <c r="AN180" s="17"/>
    </row>
    <row r="181" ht="15.75" customHeight="1">
      <c r="A181" s="24"/>
      <c r="B181" s="11">
        <v>45945.0</v>
      </c>
      <c r="C181" s="59" t="s">
        <v>117</v>
      </c>
      <c r="D181" s="12" t="s">
        <v>133</v>
      </c>
      <c r="E181" s="40" t="s">
        <v>61</v>
      </c>
      <c r="F181" s="40">
        <v>2.0</v>
      </c>
      <c r="G181" s="75" t="s">
        <v>24</v>
      </c>
      <c r="H181" s="40">
        <v>1.0</v>
      </c>
      <c r="I181" s="40" t="s">
        <v>92</v>
      </c>
      <c r="J181" s="4"/>
      <c r="K181" s="4">
        <f t="shared" si="29"/>
        <v>3</v>
      </c>
      <c r="L181" s="17">
        <f t="shared" si="30"/>
        <v>0</v>
      </c>
      <c r="M181" s="4"/>
      <c r="N181" s="17">
        <v>5.0</v>
      </c>
      <c r="O181" s="89" t="s">
        <v>37</v>
      </c>
      <c r="P181" s="17">
        <f t="shared" si="31"/>
        <v>0</v>
      </c>
      <c r="Q181" s="17">
        <f t="shared" si="32"/>
        <v>0</v>
      </c>
      <c r="R181" s="19">
        <f t="shared" si="33"/>
        <v>0</v>
      </c>
      <c r="S181" s="19">
        <f t="shared" si="34"/>
        <v>3</v>
      </c>
      <c r="T181" s="17">
        <f t="shared" si="35"/>
        <v>1</v>
      </c>
      <c r="U181" s="19">
        <f t="shared" si="36"/>
        <v>19</v>
      </c>
      <c r="V181" s="17">
        <f t="shared" si="37"/>
        <v>-18</v>
      </c>
      <c r="W181" s="56"/>
      <c r="X181" s="56"/>
      <c r="Y181" s="56"/>
      <c r="Z181" s="56"/>
      <c r="AA181" s="56"/>
      <c r="AB181" s="56"/>
      <c r="AC181" s="56"/>
      <c r="AD181" s="56"/>
      <c r="AE181" s="21">
        <v>5.0</v>
      </c>
      <c r="AF181" s="22" t="s">
        <v>92</v>
      </c>
      <c r="AG181" s="22">
        <v>3.0</v>
      </c>
      <c r="AH181" s="22">
        <v>1.0</v>
      </c>
      <c r="AI181" s="22">
        <v>0.0</v>
      </c>
      <c r="AJ181" s="22">
        <v>2.0</v>
      </c>
      <c r="AK181" s="22">
        <v>5.0</v>
      </c>
      <c r="AL181" s="22">
        <v>6.0</v>
      </c>
      <c r="AM181" s="22">
        <v>-1.0</v>
      </c>
      <c r="AN181" s="17"/>
    </row>
    <row r="182" ht="15.75" customHeight="1">
      <c r="A182" s="10">
        <v>2.0</v>
      </c>
      <c r="B182" s="11">
        <v>45956.0</v>
      </c>
      <c r="C182" s="12" t="s">
        <v>142</v>
      </c>
      <c r="D182" s="59" t="s">
        <v>22</v>
      </c>
      <c r="E182" s="40" t="s">
        <v>40</v>
      </c>
      <c r="F182" s="40">
        <v>6.0</v>
      </c>
      <c r="G182" s="75" t="s">
        <v>24</v>
      </c>
      <c r="H182" s="40">
        <v>1.0</v>
      </c>
      <c r="I182" s="40" t="s">
        <v>54</v>
      </c>
      <c r="J182" s="4"/>
      <c r="K182" s="4">
        <f t="shared" si="29"/>
        <v>3</v>
      </c>
      <c r="L182" s="17">
        <f t="shared" si="30"/>
        <v>0</v>
      </c>
      <c r="M182" s="4"/>
      <c r="N182" s="17">
        <v>6.0</v>
      </c>
      <c r="O182" s="89" t="s">
        <v>61</v>
      </c>
      <c r="P182" s="17">
        <f t="shared" si="31"/>
        <v>3</v>
      </c>
      <c r="Q182" s="17">
        <f t="shared" si="32"/>
        <v>1</v>
      </c>
      <c r="R182" s="19">
        <f t="shared" si="33"/>
        <v>0</v>
      </c>
      <c r="S182" s="19">
        <f t="shared" si="34"/>
        <v>2</v>
      </c>
      <c r="T182" s="17">
        <f t="shared" si="35"/>
        <v>3</v>
      </c>
      <c r="U182" s="19">
        <f t="shared" si="36"/>
        <v>20</v>
      </c>
      <c r="V182" s="17">
        <f t="shared" si="37"/>
        <v>-17</v>
      </c>
      <c r="W182" s="56"/>
      <c r="X182" s="56"/>
      <c r="Y182" s="56"/>
      <c r="Z182" s="56"/>
      <c r="AA182" s="56"/>
      <c r="AB182" s="56"/>
      <c r="AC182" s="56"/>
      <c r="AD182" s="56"/>
      <c r="AE182" s="21">
        <v>6.0</v>
      </c>
      <c r="AF182" s="22" t="s">
        <v>61</v>
      </c>
      <c r="AG182" s="22">
        <v>3.0</v>
      </c>
      <c r="AH182" s="22">
        <v>1.0</v>
      </c>
      <c r="AI182" s="22">
        <v>0.0</v>
      </c>
      <c r="AJ182" s="22">
        <v>2.0</v>
      </c>
      <c r="AK182" s="22">
        <v>3.0</v>
      </c>
      <c r="AL182" s="22">
        <v>20.0</v>
      </c>
      <c r="AM182" s="22">
        <v>-17.0</v>
      </c>
      <c r="AN182" s="17"/>
    </row>
    <row r="183" ht="15.75" customHeight="1">
      <c r="A183" s="24"/>
      <c r="B183" s="11">
        <v>45956.0</v>
      </c>
      <c r="C183" s="12" t="s">
        <v>117</v>
      </c>
      <c r="D183" s="59" t="s">
        <v>22</v>
      </c>
      <c r="E183" s="40" t="s">
        <v>92</v>
      </c>
      <c r="F183" s="40">
        <v>3.0</v>
      </c>
      <c r="G183" s="75" t="s">
        <v>24</v>
      </c>
      <c r="H183" s="40">
        <v>2.0</v>
      </c>
      <c r="I183" s="40" t="s">
        <v>31</v>
      </c>
      <c r="J183" s="4"/>
      <c r="K183" s="4">
        <f t="shared" si="29"/>
        <v>3</v>
      </c>
      <c r="L183" s="17">
        <f t="shared" si="30"/>
        <v>0</v>
      </c>
      <c r="M183" s="4"/>
      <c r="N183" s="17">
        <v>7.0</v>
      </c>
      <c r="O183" s="89" t="s">
        <v>163</v>
      </c>
      <c r="P183" s="17">
        <f t="shared" si="31"/>
        <v>9</v>
      </c>
      <c r="Q183" s="17">
        <f t="shared" si="32"/>
        <v>3</v>
      </c>
      <c r="R183" s="19">
        <f t="shared" si="33"/>
        <v>0</v>
      </c>
      <c r="S183" s="19">
        <f t="shared" si="34"/>
        <v>0</v>
      </c>
      <c r="T183" s="17">
        <f t="shared" si="35"/>
        <v>18</v>
      </c>
      <c r="U183" s="19">
        <f t="shared" si="36"/>
        <v>1</v>
      </c>
      <c r="V183" s="17">
        <f t="shared" si="37"/>
        <v>17</v>
      </c>
      <c r="W183" s="56"/>
      <c r="X183" s="56"/>
      <c r="Y183" s="56"/>
      <c r="Z183" s="56"/>
      <c r="AA183" s="56"/>
      <c r="AB183" s="56"/>
      <c r="AC183" s="56"/>
      <c r="AD183" s="56"/>
      <c r="AE183" s="21">
        <v>7.0</v>
      </c>
      <c r="AF183" s="22" t="s">
        <v>54</v>
      </c>
      <c r="AG183" s="22">
        <v>2.0</v>
      </c>
      <c r="AH183" s="22">
        <v>0.0</v>
      </c>
      <c r="AI183" s="22">
        <v>2.0</v>
      </c>
      <c r="AJ183" s="22">
        <v>1.0</v>
      </c>
      <c r="AK183" s="22">
        <v>5.0</v>
      </c>
      <c r="AL183" s="22">
        <v>10.0</v>
      </c>
      <c r="AM183" s="22">
        <v>-5.0</v>
      </c>
      <c r="AN183" s="17"/>
    </row>
    <row r="184" ht="15.75" customHeight="1">
      <c r="A184" s="24"/>
      <c r="B184" s="11">
        <v>45956.0</v>
      </c>
      <c r="C184" s="59" t="s">
        <v>95</v>
      </c>
      <c r="D184" s="59" t="s">
        <v>22</v>
      </c>
      <c r="E184" s="40" t="s">
        <v>42</v>
      </c>
      <c r="F184" s="40">
        <v>3.0</v>
      </c>
      <c r="G184" s="75" t="s">
        <v>24</v>
      </c>
      <c r="H184" s="40">
        <v>2.0</v>
      </c>
      <c r="I184" s="40" t="s">
        <v>121</v>
      </c>
      <c r="J184" s="4"/>
      <c r="K184" s="4">
        <f t="shared" si="29"/>
        <v>3</v>
      </c>
      <c r="L184" s="17">
        <f t="shared" si="30"/>
        <v>0</v>
      </c>
      <c r="M184" s="4"/>
      <c r="N184" s="17">
        <v>8.0</v>
      </c>
      <c r="O184" s="89" t="s">
        <v>162</v>
      </c>
      <c r="P184" s="17">
        <f t="shared" si="31"/>
        <v>9</v>
      </c>
      <c r="Q184" s="17">
        <f t="shared" si="32"/>
        <v>3</v>
      </c>
      <c r="R184" s="19">
        <f t="shared" si="33"/>
        <v>0</v>
      </c>
      <c r="S184" s="19">
        <f t="shared" si="34"/>
        <v>0</v>
      </c>
      <c r="T184" s="17">
        <f t="shared" si="35"/>
        <v>14</v>
      </c>
      <c r="U184" s="19">
        <f t="shared" si="36"/>
        <v>1</v>
      </c>
      <c r="V184" s="17">
        <f t="shared" si="37"/>
        <v>13</v>
      </c>
      <c r="W184" s="56"/>
      <c r="X184" s="56"/>
      <c r="Y184" s="56"/>
      <c r="Z184" s="56"/>
      <c r="AA184" s="56"/>
      <c r="AB184" s="56"/>
      <c r="AC184" s="56"/>
      <c r="AD184" s="56"/>
      <c r="AE184" s="21">
        <v>8.0</v>
      </c>
      <c r="AF184" s="22" t="s">
        <v>31</v>
      </c>
      <c r="AG184" s="22">
        <v>1.0</v>
      </c>
      <c r="AH184" s="22">
        <v>0.0</v>
      </c>
      <c r="AI184" s="22">
        <v>1.0</v>
      </c>
      <c r="AJ184" s="22">
        <v>2.0</v>
      </c>
      <c r="AK184" s="22">
        <v>6.0</v>
      </c>
      <c r="AL184" s="22">
        <v>9.0</v>
      </c>
      <c r="AM184" s="22">
        <v>-3.0</v>
      </c>
      <c r="AN184" s="17"/>
    </row>
    <row r="185" ht="15.75" customHeight="1">
      <c r="A185" s="24"/>
      <c r="B185" s="11">
        <v>45956.0</v>
      </c>
      <c r="C185" s="12" t="s">
        <v>98</v>
      </c>
      <c r="D185" s="59" t="s">
        <v>22</v>
      </c>
      <c r="E185" s="40" t="s">
        <v>162</v>
      </c>
      <c r="F185" s="40">
        <v>7.0</v>
      </c>
      <c r="G185" s="75" t="s">
        <v>24</v>
      </c>
      <c r="H185" s="40">
        <v>0.0</v>
      </c>
      <c r="I185" s="40" t="s">
        <v>37</v>
      </c>
      <c r="J185" s="4"/>
      <c r="K185" s="4">
        <f t="shared" si="29"/>
        <v>3</v>
      </c>
      <c r="L185" s="17">
        <f t="shared" si="30"/>
        <v>0</v>
      </c>
      <c r="M185" s="4"/>
      <c r="N185" s="17">
        <v>9.0</v>
      </c>
      <c r="O185" s="89" t="s">
        <v>42</v>
      </c>
      <c r="P185" s="17">
        <f t="shared" si="31"/>
        <v>7</v>
      </c>
      <c r="Q185" s="17">
        <f t="shared" si="32"/>
        <v>2</v>
      </c>
      <c r="R185" s="19">
        <f t="shared" si="33"/>
        <v>1</v>
      </c>
      <c r="S185" s="19">
        <f t="shared" si="34"/>
        <v>0</v>
      </c>
      <c r="T185" s="17">
        <f t="shared" si="35"/>
        <v>14</v>
      </c>
      <c r="U185" s="19">
        <f t="shared" si="36"/>
        <v>5</v>
      </c>
      <c r="V185" s="17">
        <f t="shared" si="37"/>
        <v>9</v>
      </c>
      <c r="W185" s="56"/>
      <c r="X185" s="56"/>
      <c r="Y185" s="56"/>
      <c r="Z185" s="56"/>
      <c r="AA185" s="56"/>
      <c r="AB185" s="56"/>
      <c r="AC185" s="56"/>
      <c r="AD185" s="56"/>
      <c r="AE185" s="21">
        <v>9.0</v>
      </c>
      <c r="AF185" s="22" t="s">
        <v>121</v>
      </c>
      <c r="AG185" s="22">
        <v>0.0</v>
      </c>
      <c r="AH185" s="22">
        <v>0.0</v>
      </c>
      <c r="AI185" s="22">
        <v>0.0</v>
      </c>
      <c r="AJ185" s="22">
        <v>3.0</v>
      </c>
      <c r="AK185" s="22">
        <v>2.0</v>
      </c>
      <c r="AL185" s="22">
        <v>6.0</v>
      </c>
      <c r="AM185" s="22">
        <v>-4.0</v>
      </c>
      <c r="AN185" s="17"/>
    </row>
    <row r="186" ht="15.75" customHeight="1">
      <c r="A186" s="24"/>
      <c r="B186" s="11">
        <v>45956.0</v>
      </c>
      <c r="C186" s="59" t="s">
        <v>102</v>
      </c>
      <c r="D186" s="59" t="s">
        <v>22</v>
      </c>
      <c r="E186" s="40" t="s">
        <v>163</v>
      </c>
      <c r="F186" s="40">
        <v>13.0</v>
      </c>
      <c r="G186" s="75" t="s">
        <v>24</v>
      </c>
      <c r="H186" s="40">
        <v>0.0</v>
      </c>
      <c r="I186" s="40" t="s">
        <v>61</v>
      </c>
      <c r="J186" s="4"/>
      <c r="K186" s="4">
        <f t="shared" si="29"/>
        <v>3</v>
      </c>
      <c r="L186" s="17">
        <f t="shared" si="30"/>
        <v>0</v>
      </c>
      <c r="M186" s="4"/>
      <c r="N186" s="17">
        <v>10.0</v>
      </c>
      <c r="O186" s="89" t="s">
        <v>92</v>
      </c>
      <c r="P186" s="17">
        <f t="shared" si="31"/>
        <v>3</v>
      </c>
      <c r="Q186" s="17">
        <f t="shared" si="32"/>
        <v>1</v>
      </c>
      <c r="R186" s="19">
        <f t="shared" si="33"/>
        <v>0</v>
      </c>
      <c r="S186" s="19">
        <f t="shared" si="34"/>
        <v>2</v>
      </c>
      <c r="T186" s="17">
        <f t="shared" si="35"/>
        <v>5</v>
      </c>
      <c r="U186" s="19">
        <f t="shared" si="36"/>
        <v>6</v>
      </c>
      <c r="V186" s="17">
        <f t="shared" si="37"/>
        <v>-1</v>
      </c>
      <c r="W186" s="56"/>
      <c r="X186" s="56"/>
      <c r="Y186" s="56"/>
      <c r="Z186" s="56"/>
      <c r="AA186" s="56"/>
      <c r="AB186" s="56"/>
      <c r="AC186" s="56"/>
      <c r="AD186" s="56"/>
      <c r="AE186" s="21">
        <v>10.0</v>
      </c>
      <c r="AF186" s="22" t="s">
        <v>37</v>
      </c>
      <c r="AG186" s="22">
        <v>0.0</v>
      </c>
      <c r="AH186" s="22">
        <v>0.0</v>
      </c>
      <c r="AI186" s="22">
        <v>0.0</v>
      </c>
      <c r="AJ186" s="22">
        <v>3.0</v>
      </c>
      <c r="AK186" s="22">
        <v>1.0</v>
      </c>
      <c r="AL186" s="22">
        <v>19.0</v>
      </c>
      <c r="AM186" s="22">
        <v>-18.0</v>
      </c>
      <c r="AN186" s="17"/>
    </row>
    <row r="187" ht="15.75" customHeight="1">
      <c r="A187" s="10">
        <v>3.0</v>
      </c>
      <c r="B187" s="97">
        <v>45965.0</v>
      </c>
      <c r="C187" s="59" t="s">
        <v>53</v>
      </c>
      <c r="D187" s="59" t="s">
        <v>22</v>
      </c>
      <c r="E187" s="40" t="s">
        <v>121</v>
      </c>
      <c r="F187" s="40">
        <v>0.0</v>
      </c>
      <c r="G187" s="75" t="s">
        <v>24</v>
      </c>
      <c r="H187" s="40">
        <v>2.0</v>
      </c>
      <c r="I187" s="40" t="s">
        <v>40</v>
      </c>
      <c r="J187" s="4"/>
      <c r="K187" s="4">
        <f t="shared" si="29"/>
        <v>0</v>
      </c>
      <c r="L187" s="17">
        <f t="shared" si="30"/>
        <v>3</v>
      </c>
      <c r="M187" s="4"/>
      <c r="N187" s="4"/>
      <c r="O187" s="4"/>
      <c r="P187" s="17"/>
      <c r="Q187" s="17"/>
      <c r="R187" s="19"/>
      <c r="S187" s="19"/>
      <c r="T187" s="17"/>
      <c r="U187" s="19"/>
      <c r="V187" s="17"/>
      <c r="W187" s="56"/>
      <c r="X187" s="56"/>
      <c r="Y187" s="56"/>
      <c r="Z187" s="56"/>
      <c r="AA187" s="56"/>
      <c r="AB187" s="56"/>
      <c r="AC187" s="56"/>
      <c r="AD187" s="56"/>
      <c r="AE187" s="34" t="s">
        <v>164</v>
      </c>
      <c r="AH187" s="17"/>
      <c r="AI187" s="17"/>
      <c r="AJ187" s="17"/>
      <c r="AK187" s="17"/>
      <c r="AL187" s="17"/>
      <c r="AM187" s="17"/>
      <c r="AN187" s="4"/>
    </row>
    <row r="188" ht="15.75" customHeight="1">
      <c r="A188" s="24"/>
      <c r="B188" s="97">
        <v>45965.0</v>
      </c>
      <c r="C188" s="59" t="s">
        <v>21</v>
      </c>
      <c r="D188" s="59" t="s">
        <v>22</v>
      </c>
      <c r="E188" s="40" t="s">
        <v>54</v>
      </c>
      <c r="F188" s="40">
        <v>2.0</v>
      </c>
      <c r="G188" s="75" t="s">
        <v>24</v>
      </c>
      <c r="H188" s="40">
        <v>2.0</v>
      </c>
      <c r="I188" s="40" t="s">
        <v>31</v>
      </c>
      <c r="J188" s="4"/>
      <c r="K188" s="4">
        <f t="shared" si="29"/>
        <v>1</v>
      </c>
      <c r="L188" s="17">
        <f t="shared" si="30"/>
        <v>1</v>
      </c>
      <c r="M188" s="4"/>
      <c r="N188" s="4"/>
      <c r="O188" s="4"/>
      <c r="P188" s="17"/>
      <c r="Q188" s="17"/>
      <c r="R188" s="19"/>
      <c r="S188" s="19"/>
      <c r="T188" s="17"/>
      <c r="U188" s="19"/>
      <c r="V188" s="17"/>
      <c r="W188" s="56"/>
      <c r="X188" s="56"/>
      <c r="Y188" s="56"/>
      <c r="Z188" s="56"/>
      <c r="AA188" s="56"/>
      <c r="AB188" s="56"/>
      <c r="AC188" s="56"/>
      <c r="AD188" s="56"/>
      <c r="AE188" s="73" t="s">
        <v>152</v>
      </c>
      <c r="AH188" s="17"/>
      <c r="AI188" s="17"/>
      <c r="AJ188" s="17"/>
      <c r="AK188" s="17"/>
      <c r="AL188" s="17"/>
      <c r="AM188" s="17"/>
      <c r="AN188" s="4"/>
    </row>
    <row r="189" ht="15.75" customHeight="1">
      <c r="A189" s="24"/>
      <c r="B189" s="97">
        <v>45966.0</v>
      </c>
      <c r="C189" s="59" t="s">
        <v>165</v>
      </c>
      <c r="D189" s="12" t="s">
        <v>133</v>
      </c>
      <c r="E189" s="40" t="s">
        <v>37</v>
      </c>
      <c r="F189" s="40">
        <v>1.0</v>
      </c>
      <c r="G189" s="75" t="s">
        <v>24</v>
      </c>
      <c r="H189" s="40">
        <v>9.0</v>
      </c>
      <c r="I189" s="40" t="s">
        <v>42</v>
      </c>
      <c r="J189" s="4"/>
      <c r="K189" s="4">
        <f t="shared" si="29"/>
        <v>0</v>
      </c>
      <c r="L189" s="17">
        <f t="shared" si="30"/>
        <v>3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6"/>
      <c r="X189" s="56"/>
      <c r="Y189" s="56"/>
      <c r="Z189" s="56"/>
      <c r="AA189" s="56"/>
      <c r="AB189" s="56"/>
      <c r="AC189" s="56"/>
      <c r="AD189" s="56"/>
      <c r="AE189" s="4"/>
      <c r="AG189" s="56"/>
      <c r="AH189" s="36"/>
      <c r="AJ189" s="4"/>
      <c r="AK189" s="4"/>
      <c r="AL189" s="4"/>
      <c r="AM189" s="4"/>
      <c r="AN189" s="4"/>
    </row>
    <row r="190" ht="15.75" customHeight="1">
      <c r="A190" s="24"/>
      <c r="B190" s="97">
        <v>45964.0</v>
      </c>
      <c r="C190" s="59" t="s">
        <v>35</v>
      </c>
      <c r="D190" s="12" t="s">
        <v>133</v>
      </c>
      <c r="E190" s="40" t="s">
        <v>61</v>
      </c>
      <c r="F190" s="40">
        <v>1.0</v>
      </c>
      <c r="G190" s="75" t="s">
        <v>24</v>
      </c>
      <c r="H190" s="40">
        <v>6.0</v>
      </c>
      <c r="I190" s="40" t="s">
        <v>162</v>
      </c>
      <c r="J190" s="4"/>
      <c r="K190" s="4">
        <f t="shared" si="29"/>
        <v>0</v>
      </c>
      <c r="L190" s="17">
        <f t="shared" si="30"/>
        <v>3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56"/>
      <c r="X190" s="56"/>
      <c r="Y190" s="56"/>
      <c r="Z190" s="56"/>
      <c r="AA190" s="56"/>
      <c r="AB190" s="56"/>
      <c r="AC190" s="56"/>
      <c r="AD190" s="56"/>
      <c r="AG190" s="56"/>
      <c r="AJ190" s="4"/>
      <c r="AK190" s="4"/>
      <c r="AL190" s="4"/>
      <c r="AM190" s="4"/>
      <c r="AN190" s="4"/>
    </row>
    <row r="191" ht="15.75" customHeight="1">
      <c r="A191" s="24"/>
      <c r="B191" s="97">
        <v>45966.0</v>
      </c>
      <c r="C191" s="59" t="s">
        <v>147</v>
      </c>
      <c r="D191" s="12" t="s">
        <v>133</v>
      </c>
      <c r="E191" s="40" t="s">
        <v>92</v>
      </c>
      <c r="F191" s="40">
        <v>1.0</v>
      </c>
      <c r="G191" s="75" t="s">
        <v>24</v>
      </c>
      <c r="H191" s="40">
        <v>2.0</v>
      </c>
      <c r="I191" s="40" t="s">
        <v>163</v>
      </c>
      <c r="J191" s="4"/>
      <c r="K191" s="4">
        <f t="shared" si="29"/>
        <v>0</v>
      </c>
      <c r="L191" s="17">
        <f t="shared" si="30"/>
        <v>3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56"/>
      <c r="X191" s="56"/>
      <c r="Y191" s="56"/>
      <c r="Z191" s="56"/>
      <c r="AA191" s="56"/>
      <c r="AB191" s="56"/>
      <c r="AC191" s="56"/>
      <c r="AD191" s="56"/>
      <c r="AG191" s="4"/>
      <c r="AJ191" s="4"/>
      <c r="AK191" s="4"/>
      <c r="AL191" s="4"/>
      <c r="AM191" s="4"/>
      <c r="AN191" s="4"/>
    </row>
    <row r="192" ht="15.75" customHeight="1">
      <c r="A192" s="10">
        <v>4.0</v>
      </c>
      <c r="B192" s="96"/>
      <c r="C192" s="60"/>
      <c r="D192" s="75"/>
      <c r="E192" s="40" t="s">
        <v>40</v>
      </c>
      <c r="F192" s="60"/>
      <c r="G192" s="75" t="s">
        <v>24</v>
      </c>
      <c r="H192" s="60"/>
      <c r="I192" s="40" t="s">
        <v>37</v>
      </c>
      <c r="J192" s="37"/>
      <c r="K192" s="4" t="str">
        <f t="shared" si="29"/>
        <v/>
      </c>
      <c r="L192" s="17" t="str">
        <f t="shared" si="30"/>
        <v/>
      </c>
      <c r="M192" s="4"/>
      <c r="N192" s="4"/>
      <c r="O192" s="4"/>
      <c r="P192" s="4"/>
      <c r="Q192" s="56"/>
      <c r="R192" s="4"/>
      <c r="S192" s="4"/>
      <c r="T192" s="4"/>
      <c r="U192" s="4"/>
      <c r="V192" s="4"/>
      <c r="W192" s="56"/>
      <c r="X192" s="56"/>
      <c r="Y192" s="56"/>
      <c r="Z192" s="56"/>
      <c r="AA192" s="56"/>
      <c r="AB192" s="56"/>
      <c r="AC192" s="56"/>
      <c r="AD192" s="56"/>
      <c r="AG192" s="4"/>
      <c r="AJ192" s="36"/>
      <c r="AK192" s="36"/>
      <c r="AL192" s="36"/>
      <c r="AM192" s="36"/>
      <c r="AN192" s="36"/>
    </row>
    <row r="193" ht="15.75" customHeight="1">
      <c r="A193" s="24"/>
      <c r="B193" s="96"/>
      <c r="C193" s="75"/>
      <c r="D193" s="75"/>
      <c r="E193" s="40" t="s">
        <v>31</v>
      </c>
      <c r="F193" s="60"/>
      <c r="G193" s="75" t="s">
        <v>24</v>
      </c>
      <c r="H193" s="60"/>
      <c r="I193" s="40" t="s">
        <v>121</v>
      </c>
      <c r="J193" s="4"/>
      <c r="K193" s="4" t="str">
        <f t="shared" si="29"/>
        <v/>
      </c>
      <c r="L193" s="17" t="str">
        <f t="shared" si="30"/>
        <v/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6"/>
      <c r="X193" s="56"/>
      <c r="Y193" s="56"/>
      <c r="Z193" s="56"/>
      <c r="AA193" s="56"/>
      <c r="AB193" s="56"/>
      <c r="AC193" s="56"/>
      <c r="AD193" s="56"/>
      <c r="AG193" s="4"/>
      <c r="AJ193" s="4"/>
      <c r="AK193" s="4"/>
      <c r="AL193" s="4"/>
      <c r="AM193" s="4"/>
      <c r="AN193" s="4"/>
    </row>
    <row r="194" ht="15.75" customHeight="1">
      <c r="A194" s="24"/>
      <c r="B194" s="96"/>
      <c r="C194" s="75"/>
      <c r="D194" s="75"/>
      <c r="E194" s="40" t="s">
        <v>54</v>
      </c>
      <c r="F194" s="40"/>
      <c r="G194" s="75" t="s">
        <v>24</v>
      </c>
      <c r="H194" s="40"/>
      <c r="I194" s="40" t="s">
        <v>92</v>
      </c>
      <c r="J194" s="4"/>
      <c r="K194" s="4" t="str">
        <f t="shared" si="29"/>
        <v/>
      </c>
      <c r="L194" s="17" t="str">
        <f t="shared" si="30"/>
        <v/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6"/>
      <c r="X194" s="56"/>
      <c r="Y194" s="56"/>
      <c r="Z194" s="56"/>
      <c r="AA194" s="56"/>
      <c r="AB194" s="56"/>
      <c r="AC194" s="56"/>
      <c r="AD194" s="56"/>
      <c r="AE194" s="4"/>
      <c r="AF194" s="4"/>
      <c r="AG194" s="4"/>
      <c r="AJ194" s="4"/>
      <c r="AK194" s="4"/>
      <c r="AL194" s="4"/>
      <c r="AM194" s="4"/>
      <c r="AN194" s="4"/>
    </row>
    <row r="195" ht="15.75" customHeight="1">
      <c r="A195" s="24"/>
      <c r="B195" s="96"/>
      <c r="C195" s="60"/>
      <c r="D195" s="75"/>
      <c r="E195" s="40" t="s">
        <v>42</v>
      </c>
      <c r="F195" s="60"/>
      <c r="G195" s="75" t="s">
        <v>24</v>
      </c>
      <c r="H195" s="60"/>
      <c r="I195" s="40" t="s">
        <v>61</v>
      </c>
      <c r="J195" s="4"/>
      <c r="K195" s="4" t="str">
        <f t="shared" si="29"/>
        <v/>
      </c>
      <c r="L195" s="17" t="str">
        <f t="shared" si="30"/>
        <v/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6"/>
      <c r="X195" s="56"/>
      <c r="Y195" s="56"/>
      <c r="Z195" s="56"/>
      <c r="AA195" s="56"/>
      <c r="AB195" s="56"/>
      <c r="AC195" s="56"/>
      <c r="AD195" s="56"/>
      <c r="AE195" s="4"/>
      <c r="AF195" s="4"/>
      <c r="AG195" s="4"/>
      <c r="AJ195" s="4"/>
      <c r="AK195" s="4"/>
      <c r="AL195" s="4"/>
      <c r="AM195" s="4"/>
      <c r="AN195" s="4"/>
    </row>
    <row r="196" ht="15.75" customHeight="1">
      <c r="A196" s="24"/>
      <c r="B196" s="96"/>
      <c r="C196" s="75"/>
      <c r="D196" s="75"/>
      <c r="E196" s="40" t="s">
        <v>162</v>
      </c>
      <c r="F196" s="60"/>
      <c r="G196" s="75" t="s">
        <v>24</v>
      </c>
      <c r="H196" s="60"/>
      <c r="I196" s="40" t="s">
        <v>163</v>
      </c>
      <c r="J196" s="4"/>
      <c r="K196" s="4" t="str">
        <f t="shared" si="29"/>
        <v/>
      </c>
      <c r="L196" s="17" t="str">
        <f t="shared" si="30"/>
        <v/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6"/>
      <c r="X196" s="56"/>
      <c r="Y196" s="56"/>
      <c r="Z196" s="56"/>
      <c r="AA196" s="56"/>
      <c r="AB196" s="56"/>
      <c r="AC196" s="56"/>
      <c r="AD196" s="56"/>
      <c r="AE196" s="4"/>
      <c r="AF196" s="4"/>
      <c r="AG196" s="4"/>
      <c r="AH196" s="56"/>
      <c r="AI196" s="56"/>
      <c r="AJ196" s="4"/>
      <c r="AK196" s="4"/>
      <c r="AL196" s="4"/>
      <c r="AM196" s="4"/>
      <c r="AN196" s="4"/>
    </row>
    <row r="197" ht="15.75" customHeight="1">
      <c r="A197" s="10">
        <v>5.0</v>
      </c>
      <c r="B197" s="96"/>
      <c r="C197" s="75"/>
      <c r="D197" s="75"/>
      <c r="E197" s="40" t="s">
        <v>61</v>
      </c>
      <c r="F197" s="60"/>
      <c r="G197" s="75" t="s">
        <v>24</v>
      </c>
      <c r="H197" s="60"/>
      <c r="I197" s="40" t="s">
        <v>40</v>
      </c>
      <c r="J197" s="4"/>
      <c r="K197" s="4" t="str">
        <f t="shared" si="29"/>
        <v/>
      </c>
      <c r="L197" s="17" t="str">
        <f t="shared" si="30"/>
        <v/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6"/>
      <c r="X197" s="56"/>
      <c r="Y197" s="56"/>
      <c r="Z197" s="56"/>
      <c r="AA197" s="56"/>
      <c r="AB197" s="56"/>
      <c r="AC197" s="56"/>
      <c r="AD197" s="56"/>
      <c r="AE197" s="4"/>
      <c r="AF197" s="4"/>
      <c r="AG197" s="4"/>
      <c r="AH197" s="56"/>
      <c r="AI197" s="56"/>
      <c r="AJ197" s="4"/>
      <c r="AK197" s="4"/>
      <c r="AL197" s="4"/>
      <c r="AM197" s="4"/>
      <c r="AN197" s="4"/>
    </row>
    <row r="198" ht="15.75" customHeight="1">
      <c r="A198" s="24"/>
      <c r="B198" s="96"/>
      <c r="C198" s="75"/>
      <c r="D198" s="75"/>
      <c r="E198" s="40" t="s">
        <v>37</v>
      </c>
      <c r="F198" s="60"/>
      <c r="G198" s="75" t="s">
        <v>24</v>
      </c>
      <c r="H198" s="60"/>
      <c r="I198" s="40" t="s">
        <v>31</v>
      </c>
      <c r="J198" s="4"/>
      <c r="K198" s="4" t="str">
        <f t="shared" si="29"/>
        <v/>
      </c>
      <c r="L198" s="17" t="str">
        <f t="shared" si="30"/>
        <v/>
      </c>
      <c r="M198" s="4"/>
      <c r="N198" s="4"/>
      <c r="O198" s="4"/>
      <c r="P198" s="4"/>
      <c r="Q198" s="4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 ht="15.75" customHeight="1">
      <c r="A199" s="24"/>
      <c r="B199" s="96"/>
      <c r="C199" s="75"/>
      <c r="D199" s="75"/>
      <c r="E199" s="40" t="s">
        <v>121</v>
      </c>
      <c r="F199" s="60"/>
      <c r="G199" s="75" t="s">
        <v>24</v>
      </c>
      <c r="H199" s="60"/>
      <c r="I199" s="40" t="s">
        <v>54</v>
      </c>
      <c r="J199" s="4"/>
      <c r="K199" s="4" t="str">
        <f t="shared" si="29"/>
        <v/>
      </c>
      <c r="L199" s="17" t="str">
        <f t="shared" si="30"/>
        <v/>
      </c>
      <c r="M199" s="4"/>
      <c r="N199" s="4"/>
      <c r="O199" s="4"/>
      <c r="P199" s="4"/>
      <c r="Q199" s="4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 ht="15.75" customHeight="1">
      <c r="A200" s="24"/>
      <c r="B200" s="96"/>
      <c r="C200" s="75"/>
      <c r="D200" s="75"/>
      <c r="E200" s="40" t="s">
        <v>163</v>
      </c>
      <c r="F200" s="60"/>
      <c r="G200" s="75" t="s">
        <v>24</v>
      </c>
      <c r="H200" s="60"/>
      <c r="I200" s="40" t="s">
        <v>42</v>
      </c>
      <c r="J200" s="4"/>
      <c r="K200" s="4" t="str">
        <f t="shared" si="29"/>
        <v/>
      </c>
      <c r="L200" s="17" t="str">
        <f t="shared" si="30"/>
        <v/>
      </c>
      <c r="M200" s="4"/>
      <c r="N200" s="4"/>
      <c r="O200" s="4"/>
      <c r="P200" s="4"/>
      <c r="Q200" s="4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 ht="15.75" customHeight="1">
      <c r="A201" s="24"/>
      <c r="B201" s="96"/>
      <c r="C201" s="75"/>
      <c r="D201" s="75"/>
      <c r="E201" s="40" t="s">
        <v>92</v>
      </c>
      <c r="F201" s="60"/>
      <c r="G201" s="75" t="s">
        <v>24</v>
      </c>
      <c r="H201" s="60"/>
      <c r="I201" s="40" t="s">
        <v>162</v>
      </c>
      <c r="J201" s="4"/>
      <c r="K201" s="4" t="str">
        <f t="shared" si="29"/>
        <v/>
      </c>
      <c r="L201" s="17" t="str">
        <f t="shared" si="30"/>
        <v/>
      </c>
      <c r="M201" s="4"/>
      <c r="N201" s="4"/>
      <c r="O201" s="4"/>
      <c r="P201" s="4"/>
      <c r="Q201" s="4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 ht="15.75" customHeight="1">
      <c r="A202" s="10">
        <v>6.0</v>
      </c>
      <c r="B202" s="96"/>
      <c r="C202" s="75"/>
      <c r="D202" s="75"/>
      <c r="E202" s="40" t="s">
        <v>40</v>
      </c>
      <c r="F202" s="60"/>
      <c r="G202" s="75" t="s">
        <v>24</v>
      </c>
      <c r="H202" s="60"/>
      <c r="I202" s="40" t="s">
        <v>163</v>
      </c>
      <c r="J202" s="4"/>
      <c r="K202" s="4" t="str">
        <f t="shared" si="29"/>
        <v/>
      </c>
      <c r="L202" s="17" t="str">
        <f t="shared" si="30"/>
        <v/>
      </c>
      <c r="M202" s="4"/>
      <c r="N202" s="4"/>
      <c r="O202" s="4"/>
      <c r="P202" s="4"/>
      <c r="Q202" s="4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 ht="15.75" customHeight="1">
      <c r="A203" s="24"/>
      <c r="B203" s="96"/>
      <c r="C203" s="75"/>
      <c r="D203" s="75"/>
      <c r="E203" s="40" t="s">
        <v>31</v>
      </c>
      <c r="F203" s="60"/>
      <c r="G203" s="75" t="s">
        <v>24</v>
      </c>
      <c r="H203" s="60"/>
      <c r="I203" s="40" t="s">
        <v>61</v>
      </c>
      <c r="J203" s="4"/>
      <c r="K203" s="4" t="str">
        <f t="shared" si="29"/>
        <v/>
      </c>
      <c r="L203" s="17" t="str">
        <f t="shared" si="30"/>
        <v/>
      </c>
      <c r="M203" s="4"/>
      <c r="N203" s="4"/>
      <c r="O203" s="4"/>
      <c r="P203" s="4"/>
      <c r="Q203" s="4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 ht="15.75" customHeight="1">
      <c r="A204" s="24"/>
      <c r="B204" s="96"/>
      <c r="C204" s="75"/>
      <c r="D204" s="75"/>
      <c r="E204" s="40" t="s">
        <v>54</v>
      </c>
      <c r="F204" s="60"/>
      <c r="G204" s="75" t="s">
        <v>24</v>
      </c>
      <c r="H204" s="60"/>
      <c r="I204" s="40" t="s">
        <v>37</v>
      </c>
      <c r="J204" s="4"/>
      <c r="K204" s="4" t="str">
        <f t="shared" si="29"/>
        <v/>
      </c>
      <c r="L204" s="17" t="str">
        <f t="shared" si="30"/>
        <v/>
      </c>
      <c r="M204" s="4"/>
      <c r="N204" s="4"/>
      <c r="O204" s="4"/>
      <c r="P204" s="4"/>
      <c r="Q204" s="4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 ht="15.75" customHeight="1">
      <c r="A205" s="24"/>
      <c r="B205" s="96"/>
      <c r="C205" s="75"/>
      <c r="D205" s="75"/>
      <c r="E205" s="40" t="s">
        <v>121</v>
      </c>
      <c r="F205" s="60"/>
      <c r="G205" s="75" t="s">
        <v>24</v>
      </c>
      <c r="H205" s="60"/>
      <c r="I205" s="40" t="s">
        <v>92</v>
      </c>
      <c r="J205" s="4"/>
      <c r="K205" s="4" t="str">
        <f t="shared" si="29"/>
        <v/>
      </c>
      <c r="L205" s="17" t="str">
        <f t="shared" si="30"/>
        <v/>
      </c>
      <c r="M205" s="4"/>
      <c r="N205" s="4"/>
      <c r="O205" s="4"/>
      <c r="P205" s="4"/>
      <c r="Q205" s="4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 ht="15.75" customHeight="1">
      <c r="A206" s="24"/>
      <c r="B206" s="96"/>
      <c r="C206" s="75"/>
      <c r="D206" s="75"/>
      <c r="E206" s="40" t="s">
        <v>42</v>
      </c>
      <c r="F206" s="60"/>
      <c r="G206" s="75" t="s">
        <v>24</v>
      </c>
      <c r="H206" s="60"/>
      <c r="I206" s="40" t="s">
        <v>162</v>
      </c>
      <c r="J206" s="4"/>
      <c r="K206" s="4" t="str">
        <f t="shared" si="29"/>
        <v/>
      </c>
      <c r="L206" s="17" t="str">
        <f t="shared" si="30"/>
        <v/>
      </c>
      <c r="M206" s="4"/>
      <c r="N206" s="4"/>
      <c r="O206" s="4"/>
      <c r="P206" s="4"/>
      <c r="Q206" s="4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 ht="15.75" customHeight="1">
      <c r="A207" s="10">
        <v>7.0</v>
      </c>
      <c r="B207" s="96"/>
      <c r="C207" s="75"/>
      <c r="D207" s="75"/>
      <c r="E207" s="40" t="s">
        <v>162</v>
      </c>
      <c r="F207" s="60"/>
      <c r="G207" s="75" t="s">
        <v>24</v>
      </c>
      <c r="H207" s="60"/>
      <c r="I207" s="40" t="s">
        <v>40</v>
      </c>
      <c r="J207" s="4"/>
      <c r="K207" s="4" t="str">
        <f t="shared" si="29"/>
        <v/>
      </c>
      <c r="L207" s="17" t="str">
        <f t="shared" si="30"/>
        <v/>
      </c>
      <c r="M207" s="4"/>
      <c r="N207" s="4"/>
      <c r="O207" s="4"/>
      <c r="P207" s="4"/>
      <c r="Q207" s="4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 ht="15.75" customHeight="1">
      <c r="A208" s="24"/>
      <c r="B208" s="96"/>
      <c r="C208" s="75"/>
      <c r="D208" s="75"/>
      <c r="E208" s="40" t="s">
        <v>163</v>
      </c>
      <c r="F208" s="60"/>
      <c r="G208" s="75" t="s">
        <v>24</v>
      </c>
      <c r="H208" s="60"/>
      <c r="I208" s="40" t="s">
        <v>31</v>
      </c>
      <c r="J208" s="4"/>
      <c r="K208" s="4" t="str">
        <f t="shared" si="29"/>
        <v/>
      </c>
      <c r="L208" s="17" t="str">
        <f t="shared" si="30"/>
        <v/>
      </c>
      <c r="M208" s="4"/>
      <c r="N208" s="4"/>
      <c r="O208" s="4"/>
      <c r="P208" s="4"/>
      <c r="Q208" s="4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 ht="15.75" customHeight="1">
      <c r="A209" s="24"/>
      <c r="B209" s="96"/>
      <c r="C209" s="75"/>
      <c r="D209" s="75"/>
      <c r="E209" s="40" t="s">
        <v>61</v>
      </c>
      <c r="F209" s="60"/>
      <c r="G209" s="75" t="s">
        <v>24</v>
      </c>
      <c r="H209" s="60"/>
      <c r="I209" s="40" t="s">
        <v>54</v>
      </c>
      <c r="J209" s="4"/>
      <c r="K209" s="4" t="str">
        <f t="shared" si="29"/>
        <v/>
      </c>
      <c r="L209" s="17" t="str">
        <f t="shared" si="30"/>
        <v/>
      </c>
      <c r="M209" s="4"/>
      <c r="N209" s="4"/>
      <c r="O209" s="4"/>
      <c r="P209" s="4"/>
      <c r="Q209" s="4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 ht="15.75" customHeight="1">
      <c r="A210" s="24"/>
      <c r="B210" s="96"/>
      <c r="C210" s="75"/>
      <c r="D210" s="75"/>
      <c r="E210" s="40" t="s">
        <v>37</v>
      </c>
      <c r="F210" s="60"/>
      <c r="G210" s="75" t="s">
        <v>24</v>
      </c>
      <c r="H210" s="60"/>
      <c r="I210" s="40" t="s">
        <v>121</v>
      </c>
      <c r="J210" s="4"/>
      <c r="K210" s="4" t="str">
        <f t="shared" si="29"/>
        <v/>
      </c>
      <c r="L210" s="17" t="str">
        <f t="shared" si="30"/>
        <v/>
      </c>
      <c r="M210" s="4"/>
      <c r="N210" s="4"/>
      <c r="O210" s="4"/>
      <c r="P210" s="4"/>
      <c r="Q210" s="4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 ht="15.75" customHeight="1">
      <c r="A211" s="24"/>
      <c r="B211" s="96"/>
      <c r="C211" s="75"/>
      <c r="D211" s="75"/>
      <c r="E211" s="40" t="s">
        <v>92</v>
      </c>
      <c r="F211" s="60"/>
      <c r="G211" s="75" t="s">
        <v>24</v>
      </c>
      <c r="H211" s="60"/>
      <c r="I211" s="40" t="s">
        <v>42</v>
      </c>
      <c r="J211" s="4"/>
      <c r="K211" s="4" t="str">
        <f t="shared" si="29"/>
        <v/>
      </c>
      <c r="L211" s="17" t="str">
        <f t="shared" si="30"/>
        <v/>
      </c>
      <c r="M211" s="4"/>
      <c r="N211" s="4"/>
      <c r="O211" s="4"/>
      <c r="P211" s="4"/>
      <c r="Q211" s="4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 ht="15.75" customHeight="1">
      <c r="A212" s="10">
        <v>8.0</v>
      </c>
      <c r="B212" s="96"/>
      <c r="C212" s="75"/>
      <c r="D212" s="75"/>
      <c r="E212" s="40" t="s">
        <v>40</v>
      </c>
      <c r="F212" s="60"/>
      <c r="G212" s="75" t="s">
        <v>24</v>
      </c>
      <c r="H212" s="60"/>
      <c r="I212" s="40" t="s">
        <v>42</v>
      </c>
      <c r="J212" s="4"/>
      <c r="K212" s="4" t="str">
        <f t="shared" si="29"/>
        <v/>
      </c>
      <c r="L212" s="17" t="str">
        <f t="shared" si="30"/>
        <v/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56"/>
      <c r="X212" s="56"/>
      <c r="Y212" s="56"/>
      <c r="Z212" s="56"/>
      <c r="AA212" s="56"/>
      <c r="AB212" s="56"/>
      <c r="AC212" s="56"/>
      <c r="AD212" s="56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 ht="15.75" customHeight="1">
      <c r="A213" s="24"/>
      <c r="B213" s="96"/>
      <c r="C213" s="75"/>
      <c r="D213" s="75"/>
      <c r="E213" s="40" t="s">
        <v>31</v>
      </c>
      <c r="F213" s="40"/>
      <c r="G213" s="75" t="s">
        <v>24</v>
      </c>
      <c r="H213" s="40"/>
      <c r="I213" s="40" t="s">
        <v>162</v>
      </c>
      <c r="J213" s="4"/>
      <c r="K213" s="4" t="str">
        <f t="shared" si="29"/>
        <v/>
      </c>
      <c r="L213" s="17" t="str">
        <f t="shared" si="30"/>
        <v/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56"/>
      <c r="X213" s="56"/>
      <c r="Y213" s="56"/>
      <c r="Z213" s="56"/>
      <c r="AA213" s="56"/>
      <c r="AB213" s="56"/>
      <c r="AC213" s="56"/>
      <c r="AD213" s="56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 ht="15.75" customHeight="1">
      <c r="A214" s="24"/>
      <c r="B214" s="96"/>
      <c r="C214" s="75"/>
      <c r="D214" s="75"/>
      <c r="E214" s="40" t="s">
        <v>54</v>
      </c>
      <c r="F214" s="60"/>
      <c r="G214" s="75" t="s">
        <v>24</v>
      </c>
      <c r="H214" s="60"/>
      <c r="I214" s="40" t="s">
        <v>163</v>
      </c>
      <c r="J214" s="4"/>
      <c r="K214" s="4" t="str">
        <f t="shared" si="29"/>
        <v/>
      </c>
      <c r="L214" s="17" t="str">
        <f t="shared" si="30"/>
        <v/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56"/>
      <c r="X214" s="56"/>
      <c r="Y214" s="56"/>
      <c r="Z214" s="56"/>
      <c r="AA214" s="56"/>
      <c r="AB214" s="56"/>
      <c r="AC214" s="56"/>
      <c r="AD214" s="56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 ht="15.75" customHeight="1">
      <c r="A215" s="24"/>
      <c r="B215" s="96"/>
      <c r="C215" s="75"/>
      <c r="D215" s="75"/>
      <c r="E215" s="40" t="s">
        <v>121</v>
      </c>
      <c r="F215" s="60"/>
      <c r="G215" s="75" t="s">
        <v>24</v>
      </c>
      <c r="H215" s="60"/>
      <c r="I215" s="40" t="s">
        <v>61</v>
      </c>
      <c r="J215" s="4"/>
      <c r="K215" s="4" t="str">
        <f t="shared" si="29"/>
        <v/>
      </c>
      <c r="L215" s="17" t="str">
        <f t="shared" si="30"/>
        <v/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56"/>
      <c r="X215" s="56"/>
      <c r="Y215" s="56"/>
      <c r="Z215" s="56"/>
      <c r="AA215" s="56"/>
      <c r="AB215" s="56"/>
      <c r="AC215" s="56"/>
      <c r="AD215" s="56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 ht="15.75" customHeight="1">
      <c r="A216" s="24"/>
      <c r="B216" s="96"/>
      <c r="C216" s="75"/>
      <c r="D216" s="75"/>
      <c r="E216" s="40" t="s">
        <v>37</v>
      </c>
      <c r="F216" s="60"/>
      <c r="G216" s="75" t="s">
        <v>24</v>
      </c>
      <c r="H216" s="60"/>
      <c r="I216" s="40" t="s">
        <v>92</v>
      </c>
      <c r="J216" s="4"/>
      <c r="K216" s="4" t="str">
        <f t="shared" si="29"/>
        <v/>
      </c>
      <c r="L216" s="17" t="str">
        <f t="shared" si="30"/>
        <v/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56"/>
      <c r="X216" s="56"/>
      <c r="Y216" s="56"/>
      <c r="Z216" s="56"/>
      <c r="AA216" s="56"/>
      <c r="AB216" s="56"/>
      <c r="AC216" s="56"/>
      <c r="AD216" s="56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 ht="15.75" customHeight="1">
      <c r="A217" s="10">
        <v>9.0</v>
      </c>
      <c r="B217" s="96"/>
      <c r="C217" s="75"/>
      <c r="D217" s="75"/>
      <c r="E217" s="40" t="s">
        <v>92</v>
      </c>
      <c r="F217" s="60"/>
      <c r="G217" s="75" t="s">
        <v>24</v>
      </c>
      <c r="H217" s="60"/>
      <c r="I217" s="40" t="s">
        <v>40</v>
      </c>
      <c r="J217" s="56"/>
      <c r="K217" s="4" t="str">
        <f t="shared" si="29"/>
        <v/>
      </c>
      <c r="L217" s="17" t="str">
        <f t="shared" si="30"/>
        <v/>
      </c>
      <c r="M217" s="56"/>
      <c r="N217" s="56"/>
      <c r="O217" s="56"/>
      <c r="P217" s="56"/>
      <c r="Q217" s="56"/>
      <c r="R217" s="4"/>
      <c r="S217" s="4"/>
      <c r="T217" s="4"/>
      <c r="U217" s="4"/>
      <c r="V217" s="4"/>
      <c r="W217" s="56"/>
      <c r="X217" s="56"/>
      <c r="Y217" s="56"/>
      <c r="Z217" s="56"/>
      <c r="AA217" s="56"/>
      <c r="AB217" s="56"/>
      <c r="AC217" s="56"/>
      <c r="AD217" s="5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</row>
    <row r="218" ht="15.75" customHeight="1">
      <c r="A218" s="24"/>
      <c r="B218" s="96"/>
      <c r="C218" s="75"/>
      <c r="D218" s="75"/>
      <c r="E218" s="40" t="s">
        <v>42</v>
      </c>
      <c r="F218" s="60"/>
      <c r="G218" s="75" t="s">
        <v>24</v>
      </c>
      <c r="H218" s="60"/>
      <c r="I218" s="40" t="s">
        <v>31</v>
      </c>
      <c r="J218" s="56"/>
      <c r="K218" s="4" t="str">
        <f t="shared" si="29"/>
        <v/>
      </c>
      <c r="L218" s="17" t="str">
        <f t="shared" si="30"/>
        <v/>
      </c>
      <c r="M218" s="56"/>
      <c r="N218" s="56"/>
      <c r="O218" s="56"/>
      <c r="P218" s="56"/>
      <c r="Q218" s="56"/>
      <c r="R218" s="4"/>
      <c r="S218" s="4"/>
      <c r="T218" s="4"/>
      <c r="U218" s="4"/>
      <c r="V218" s="4"/>
      <c r="W218" s="56"/>
      <c r="X218" s="56"/>
      <c r="Y218" s="56"/>
      <c r="Z218" s="56"/>
      <c r="AA218" s="56"/>
      <c r="AB218" s="56"/>
      <c r="AC218" s="56"/>
      <c r="AD218" s="5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</row>
    <row r="219" ht="15.75" customHeight="1">
      <c r="A219" s="24"/>
      <c r="B219" s="96"/>
      <c r="C219" s="60"/>
      <c r="D219" s="75"/>
      <c r="E219" s="40" t="s">
        <v>162</v>
      </c>
      <c r="F219" s="60"/>
      <c r="G219" s="75" t="s">
        <v>24</v>
      </c>
      <c r="H219" s="60"/>
      <c r="I219" s="40" t="s">
        <v>54</v>
      </c>
      <c r="J219" s="56"/>
      <c r="K219" s="4" t="str">
        <f t="shared" si="29"/>
        <v/>
      </c>
      <c r="L219" s="17" t="str">
        <f t="shared" si="30"/>
        <v/>
      </c>
      <c r="M219" s="56"/>
      <c r="N219" s="56"/>
      <c r="O219" s="56"/>
      <c r="P219" s="56"/>
      <c r="Q219" s="56"/>
      <c r="R219" s="4"/>
      <c r="S219" s="4"/>
      <c r="T219" s="4"/>
      <c r="U219" s="4"/>
      <c r="V219" s="4"/>
      <c r="W219" s="56"/>
      <c r="X219" s="56"/>
      <c r="Y219" s="56"/>
      <c r="Z219" s="56"/>
      <c r="AA219" s="56"/>
      <c r="AB219" s="56"/>
      <c r="AC219" s="56"/>
      <c r="AD219" s="5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</row>
    <row r="220" ht="15.75" customHeight="1">
      <c r="A220" s="24"/>
      <c r="B220" s="96"/>
      <c r="C220" s="60"/>
      <c r="D220" s="75"/>
      <c r="E220" s="40" t="s">
        <v>163</v>
      </c>
      <c r="F220" s="60"/>
      <c r="G220" s="75" t="s">
        <v>24</v>
      </c>
      <c r="H220" s="60"/>
      <c r="I220" s="14" t="s">
        <v>121</v>
      </c>
      <c r="J220" s="56"/>
      <c r="K220" s="4" t="str">
        <f t="shared" si="29"/>
        <v/>
      </c>
      <c r="L220" s="17" t="str">
        <f t="shared" si="30"/>
        <v/>
      </c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36"/>
    </row>
    <row r="221" ht="15.75" customHeight="1">
      <c r="A221" s="28"/>
      <c r="B221" s="96"/>
      <c r="C221" s="75"/>
      <c r="D221" s="75"/>
      <c r="E221" s="40" t="s">
        <v>61</v>
      </c>
      <c r="F221" s="60"/>
      <c r="G221" s="75" t="s">
        <v>24</v>
      </c>
      <c r="H221" s="60"/>
      <c r="I221" s="40" t="s">
        <v>37</v>
      </c>
      <c r="J221" s="56"/>
      <c r="K221" s="4" t="str">
        <f t="shared" si="29"/>
        <v/>
      </c>
      <c r="L221" s="17" t="str">
        <f t="shared" si="30"/>
        <v/>
      </c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36"/>
    </row>
    <row r="222" ht="15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</row>
    <row r="223" ht="15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</row>
    <row r="224" ht="15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</row>
    <row r="225" ht="15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</row>
    <row r="226" ht="15.75" customHeight="1">
      <c r="A226" s="51" t="s">
        <v>166</v>
      </c>
      <c r="H226" s="2"/>
      <c r="I226" s="3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</row>
    <row r="227" ht="15.75" customHeight="1">
      <c r="A227" s="5" t="s">
        <v>1</v>
      </c>
      <c r="B227" s="5" t="s">
        <v>2</v>
      </c>
      <c r="C227" s="5" t="s">
        <v>3</v>
      </c>
      <c r="D227" s="5" t="s">
        <v>4</v>
      </c>
      <c r="E227" s="5" t="s">
        <v>5</v>
      </c>
      <c r="F227" s="6" t="s">
        <v>6</v>
      </c>
      <c r="G227" s="7"/>
      <c r="H227" s="8"/>
      <c r="I227" s="5" t="s">
        <v>7</v>
      </c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</row>
    <row r="228" ht="15.75" customHeight="1">
      <c r="A228" s="52" t="s">
        <v>77</v>
      </c>
      <c r="B228" s="39"/>
      <c r="C228" s="12"/>
      <c r="D228" s="12"/>
      <c r="E228" s="40" t="s">
        <v>126</v>
      </c>
      <c r="F228" s="13"/>
      <c r="G228" s="16" t="s">
        <v>24</v>
      </c>
      <c r="H228" s="13"/>
      <c r="I228" s="40" t="s">
        <v>167</v>
      </c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</row>
    <row r="229" ht="15.75" customHeight="1">
      <c r="A229" s="28"/>
      <c r="B229" s="39"/>
      <c r="C229" s="12"/>
      <c r="D229" s="12"/>
      <c r="E229" s="40" t="s">
        <v>168</v>
      </c>
      <c r="F229" s="13"/>
      <c r="G229" s="16" t="s">
        <v>24</v>
      </c>
      <c r="H229" s="13"/>
      <c r="I229" s="40" t="s">
        <v>169</v>
      </c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</row>
    <row r="230" ht="15.75" customHeight="1">
      <c r="A230" s="84" t="s">
        <v>85</v>
      </c>
      <c r="B230" s="39"/>
      <c r="C230" s="12"/>
      <c r="D230" s="12"/>
      <c r="E230" s="40" t="s">
        <v>86</v>
      </c>
      <c r="F230" s="13"/>
      <c r="G230" s="16" t="s">
        <v>24</v>
      </c>
      <c r="H230" s="13"/>
      <c r="I230" s="40" t="s">
        <v>87</v>
      </c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</row>
    <row r="231" ht="15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</row>
    <row r="232" ht="15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</row>
    <row r="233" ht="15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</row>
    <row r="234" ht="15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</row>
    <row r="235" ht="15.75" customHeight="1">
      <c r="A235" s="51" t="s">
        <v>170</v>
      </c>
      <c r="H235" s="2"/>
      <c r="I235" s="3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</row>
    <row r="236" ht="15.75" customHeight="1">
      <c r="A236" s="5" t="s">
        <v>1</v>
      </c>
      <c r="B236" s="5" t="s">
        <v>2</v>
      </c>
      <c r="C236" s="5" t="s">
        <v>3</v>
      </c>
      <c r="D236" s="5" t="s">
        <v>4</v>
      </c>
      <c r="E236" s="5" t="s">
        <v>5</v>
      </c>
      <c r="F236" s="6" t="s">
        <v>6</v>
      </c>
      <c r="G236" s="7"/>
      <c r="H236" s="8"/>
      <c r="I236" s="5" t="s">
        <v>7</v>
      </c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</row>
    <row r="237" ht="15.75" customHeight="1">
      <c r="A237" s="52" t="s">
        <v>68</v>
      </c>
      <c r="B237" s="39"/>
      <c r="C237" s="12"/>
      <c r="D237" s="12"/>
      <c r="E237" s="40" t="s">
        <v>69</v>
      </c>
      <c r="F237" s="30"/>
      <c r="G237" s="16" t="s">
        <v>24</v>
      </c>
      <c r="H237" s="30"/>
      <c r="I237" s="40" t="s">
        <v>171</v>
      </c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</row>
    <row r="238" ht="15.75" customHeight="1">
      <c r="A238" s="24"/>
      <c r="B238" s="39"/>
      <c r="C238" s="12"/>
      <c r="D238" s="12"/>
      <c r="E238" s="40" t="s">
        <v>71</v>
      </c>
      <c r="F238" s="30"/>
      <c r="G238" s="16" t="s">
        <v>24</v>
      </c>
      <c r="H238" s="30"/>
      <c r="I238" s="40" t="s">
        <v>130</v>
      </c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</row>
    <row r="239" ht="15.75" customHeight="1">
      <c r="A239" s="24"/>
      <c r="B239" s="39"/>
      <c r="C239" s="12"/>
      <c r="D239" s="12"/>
      <c r="E239" s="40" t="s">
        <v>73</v>
      </c>
      <c r="F239" s="30"/>
      <c r="G239" s="16" t="s">
        <v>24</v>
      </c>
      <c r="H239" s="30"/>
      <c r="I239" s="40" t="s">
        <v>131</v>
      </c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</row>
    <row r="240" ht="15.75" customHeight="1">
      <c r="A240" s="28"/>
      <c r="B240" s="39"/>
      <c r="C240" s="12"/>
      <c r="D240" s="12"/>
      <c r="E240" s="40" t="s">
        <v>75</v>
      </c>
      <c r="F240" s="30"/>
      <c r="G240" s="16" t="s">
        <v>24</v>
      </c>
      <c r="H240" s="30"/>
      <c r="I240" s="40" t="s">
        <v>76</v>
      </c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</row>
    <row r="241" ht="15.75" customHeight="1">
      <c r="A241" s="53" t="s">
        <v>77</v>
      </c>
      <c r="B241" s="39"/>
      <c r="C241" s="12"/>
      <c r="D241" s="12"/>
      <c r="E241" s="40" t="s">
        <v>78</v>
      </c>
      <c r="F241" s="30"/>
      <c r="G241" s="16" t="s">
        <v>24</v>
      </c>
      <c r="H241" s="30"/>
      <c r="I241" s="40" t="s">
        <v>79</v>
      </c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</row>
    <row r="242" ht="15.75" customHeight="1">
      <c r="A242" s="24"/>
      <c r="B242" s="49"/>
      <c r="C242" s="30"/>
      <c r="D242" s="12"/>
      <c r="E242" s="42" t="s">
        <v>80</v>
      </c>
      <c r="F242" s="13"/>
      <c r="G242" s="16" t="s">
        <v>24</v>
      </c>
      <c r="H242" s="13"/>
      <c r="I242" s="40" t="s">
        <v>81</v>
      </c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</row>
    <row r="243" ht="15.75" customHeight="1">
      <c r="A243" s="54" t="s">
        <v>82</v>
      </c>
      <c r="B243" s="29"/>
      <c r="C243" s="30"/>
      <c r="D243" s="12"/>
      <c r="E243" s="40" t="s">
        <v>83</v>
      </c>
      <c r="F243" s="30"/>
      <c r="G243" s="16" t="s">
        <v>24</v>
      </c>
      <c r="H243" s="30"/>
      <c r="I243" s="43" t="s">
        <v>84</v>
      </c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</row>
    <row r="244" ht="15.75" customHeight="1">
      <c r="A244" s="54" t="s">
        <v>85</v>
      </c>
      <c r="B244" s="29"/>
      <c r="C244" s="30"/>
      <c r="D244" s="12"/>
      <c r="E244" s="40" t="s">
        <v>86</v>
      </c>
      <c r="F244" s="30"/>
      <c r="G244" s="16" t="s">
        <v>24</v>
      </c>
      <c r="H244" s="30"/>
      <c r="I244" s="40" t="s">
        <v>87</v>
      </c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</row>
    <row r="245" ht="15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</row>
    <row r="246" ht="15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</row>
    <row r="247" ht="15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</row>
    <row r="248" ht="15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</row>
    <row r="249" ht="15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</row>
    <row r="250" ht="15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</row>
    <row r="251" ht="15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</row>
    <row r="252" ht="15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</row>
    <row r="253" ht="15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</row>
    <row r="254" ht="15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</row>
    <row r="255" ht="15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</row>
    <row r="256" ht="15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</row>
    <row r="257" ht="15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</row>
    <row r="258" ht="15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</row>
    <row r="259" ht="15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</row>
    <row r="260" ht="15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</row>
    <row r="261" ht="15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</row>
    <row r="262" ht="15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</row>
    <row r="263" ht="15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</row>
    <row r="264" ht="15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</row>
    <row r="265" ht="15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</row>
  </sheetData>
  <mergeCells count="71">
    <mergeCell ref="A161:A165"/>
    <mergeCell ref="A166:A170"/>
    <mergeCell ref="A175:G175"/>
    <mergeCell ref="F176:H176"/>
    <mergeCell ref="A126:A130"/>
    <mergeCell ref="A131:A135"/>
    <mergeCell ref="A136:A140"/>
    <mergeCell ref="A141:A145"/>
    <mergeCell ref="A146:A150"/>
    <mergeCell ref="A151:A155"/>
    <mergeCell ref="A156:A160"/>
    <mergeCell ref="A217:A221"/>
    <mergeCell ref="A226:G226"/>
    <mergeCell ref="F227:H227"/>
    <mergeCell ref="A235:G235"/>
    <mergeCell ref="F236:H236"/>
    <mergeCell ref="A228:A229"/>
    <mergeCell ref="A237:A240"/>
    <mergeCell ref="A241:A242"/>
    <mergeCell ref="A177:A181"/>
    <mergeCell ref="A182:A186"/>
    <mergeCell ref="A187:A191"/>
    <mergeCell ref="A197:A201"/>
    <mergeCell ref="A202:A206"/>
    <mergeCell ref="A207:A211"/>
    <mergeCell ref="A212:A216"/>
    <mergeCell ref="A1:G1"/>
    <mergeCell ref="F2:H2"/>
    <mergeCell ref="Y2:Z2"/>
    <mergeCell ref="A3:A8"/>
    <mergeCell ref="A9:A14"/>
    <mergeCell ref="Y9:AC9"/>
    <mergeCell ref="A15:A20"/>
    <mergeCell ref="A63:A68"/>
    <mergeCell ref="A73:G73"/>
    <mergeCell ref="F74:H74"/>
    <mergeCell ref="A21:A26"/>
    <mergeCell ref="A27:A32"/>
    <mergeCell ref="A33:A38"/>
    <mergeCell ref="A39:A44"/>
    <mergeCell ref="A45:A50"/>
    <mergeCell ref="A51:A56"/>
    <mergeCell ref="A57:A62"/>
    <mergeCell ref="A110:A114"/>
    <mergeCell ref="A115:A119"/>
    <mergeCell ref="A124:G124"/>
    <mergeCell ref="F125:H125"/>
    <mergeCell ref="A75:A79"/>
    <mergeCell ref="A80:A84"/>
    <mergeCell ref="A85:A89"/>
    <mergeCell ref="A90:A94"/>
    <mergeCell ref="A95:A99"/>
    <mergeCell ref="A100:A104"/>
    <mergeCell ref="A105:A109"/>
    <mergeCell ref="A192:A196"/>
    <mergeCell ref="AE15:AG15"/>
    <mergeCell ref="AE16:AG16"/>
    <mergeCell ref="AH16:AI23"/>
    <mergeCell ref="AE17:AG24"/>
    <mergeCell ref="AE84:AG84"/>
    <mergeCell ref="AE85:AG85"/>
    <mergeCell ref="AH86:AI92"/>
    <mergeCell ref="AE189:AF193"/>
    <mergeCell ref="AH189:AI195"/>
    <mergeCell ref="AE86:AF90"/>
    <mergeCell ref="AE135:AG135"/>
    <mergeCell ref="AE136:AG136"/>
    <mergeCell ref="AE137:AF141"/>
    <mergeCell ref="AH137:AI143"/>
    <mergeCell ref="AE187:AG187"/>
    <mergeCell ref="AE188:AG18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88"/>
    <col customWidth="1" min="5" max="5" width="15.13"/>
    <col customWidth="1" min="7" max="7" width="2.38"/>
    <col customWidth="1" min="9" max="9" width="16.13"/>
    <col customWidth="1" hidden="1" min="10" max="10" width="14.88"/>
    <col hidden="1" min="11" max="14" width="12.63"/>
    <col customWidth="1" hidden="1" min="15" max="15" width="22.75"/>
    <col hidden="1" min="16" max="23" width="12.63"/>
    <col customWidth="1" min="25" max="25" width="15.63"/>
    <col customWidth="1" min="26" max="26" width="22.75"/>
    <col hidden="1" min="34" max="44" width="12.63"/>
  </cols>
  <sheetData>
    <row r="1" ht="15.75" customHeight="1">
      <c r="A1" s="86" t="s">
        <v>132</v>
      </c>
      <c r="H1" s="36"/>
      <c r="I1" s="3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36"/>
      <c r="Z1" s="5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</row>
    <row r="2" ht="15.75" customHeight="1">
      <c r="A2" s="57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89</v>
      </c>
      <c r="U2" s="9" t="s">
        <v>90</v>
      </c>
      <c r="V2" s="9" t="s">
        <v>91</v>
      </c>
      <c r="W2" s="36"/>
      <c r="X2" s="36"/>
      <c r="Y2" s="5" t="s">
        <v>11</v>
      </c>
      <c r="Z2" s="5" t="s">
        <v>12</v>
      </c>
      <c r="AA2" s="5" t="s">
        <v>13</v>
      </c>
      <c r="AB2" s="5" t="s">
        <v>14</v>
      </c>
      <c r="AC2" s="5" t="s">
        <v>15</v>
      </c>
      <c r="AD2" s="5" t="s">
        <v>16</v>
      </c>
      <c r="AE2" s="5" t="s">
        <v>89</v>
      </c>
      <c r="AF2" s="5" t="s">
        <v>90</v>
      </c>
      <c r="AG2" s="5" t="s">
        <v>91</v>
      </c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ht="15.75" customHeight="1">
      <c r="A3" s="58">
        <v>1.0</v>
      </c>
      <c r="B3" s="39">
        <v>45965.0</v>
      </c>
      <c r="C3" s="64" t="s">
        <v>172</v>
      </c>
      <c r="D3" s="12" t="s">
        <v>133</v>
      </c>
      <c r="E3" s="40" t="s">
        <v>32</v>
      </c>
      <c r="F3" s="14">
        <v>2.0</v>
      </c>
      <c r="G3" s="75" t="s">
        <v>24</v>
      </c>
      <c r="H3" s="14">
        <v>4.0</v>
      </c>
      <c r="I3" s="40" t="s">
        <v>23</v>
      </c>
      <c r="J3" s="4"/>
      <c r="K3" s="4">
        <f t="shared" ref="K3:K62" si="1">IF(F3="","",IFS(F3&gt;H3,2,F3=H3,1,H3&gt;F3,0,F3="",0))</f>
        <v>0</v>
      </c>
      <c r="L3" s="17">
        <f t="shared" ref="L3:L62" si="2">IF(H3="","",IFS(F3&lt;H3,2,F3=H3,1,H3&lt;F3,0))</f>
        <v>2</v>
      </c>
      <c r="M3" s="4"/>
      <c r="N3" s="17">
        <v>1.0</v>
      </c>
      <c r="O3" s="61" t="s">
        <v>32</v>
      </c>
      <c r="P3" s="17">
        <f t="shared" ref="P3:P17" si="3">SUMIF(E$3:E$62,O3,K$3:K$62)+SUMIF(I$3:I$62,O3,L$3:L$62)</f>
        <v>0</v>
      </c>
      <c r="Q3" s="17">
        <f t="shared" ref="Q3:Q17" si="4">COUNTIFS(E$3:E$62,O3,K$3:K$62,2)+COUNTIFS(I$3:I$62,O3,L$3:L$62,2)</f>
        <v>0</v>
      </c>
      <c r="R3" s="17">
        <f t="shared" ref="R3:R17" si="5">COUNTIFS(E$3:E$62,O3,K$3:K$62,1)+COUNTIFS(I$3:I$62,O3,L$3:L$62,1)</f>
        <v>0</v>
      </c>
      <c r="S3" s="19">
        <f t="shared" ref="S3:S17" si="6">COUNTIFS(E$3:E$62,O3,K$3:K$62,0)+COUNTIFS(I$3:I$62,O3,L$3:L$62,0)</f>
        <v>1</v>
      </c>
      <c r="T3" s="17">
        <f t="shared" ref="T3:T17" si="7">SUMIF(E$3:E$62,O3,F$3:F$62)+SUMIF(I$3:I$62,O3,H$3:H$62)</f>
        <v>2</v>
      </c>
      <c r="U3" s="19">
        <f t="shared" ref="U3:U17" si="8">SUMIF(E$3:E$62,O3,H$3:H$62)+SUMIF(I$3:I$62,O3,F$3:F$62)</f>
        <v>4</v>
      </c>
      <c r="V3" s="17">
        <f t="shared" ref="V3:V17" si="9">T3-U3</f>
        <v>-2</v>
      </c>
      <c r="W3" s="56"/>
      <c r="X3" s="56"/>
      <c r="Y3" s="21" t="s">
        <v>29</v>
      </c>
      <c r="Z3" s="63" t="str">
        <f t="array" ref="Z3:AG17">SORT(O3:V17,2,FALSE,8,FALSE,8,FALSE())</f>
        <v>EET</v>
      </c>
      <c r="AA3" s="22">
        <v>2.0</v>
      </c>
      <c r="AB3" s="22">
        <v>1.0</v>
      </c>
      <c r="AC3" s="22">
        <v>0.0</v>
      </c>
      <c r="AD3" s="23">
        <v>0.0</v>
      </c>
      <c r="AE3" s="22">
        <v>7.0</v>
      </c>
      <c r="AF3" s="23">
        <v>3.0</v>
      </c>
      <c r="AG3" s="22">
        <v>4.0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</row>
    <row r="4" ht="15.75" customHeight="1">
      <c r="A4" s="24"/>
      <c r="B4" s="39">
        <v>45965.0</v>
      </c>
      <c r="C4" s="12" t="s">
        <v>21</v>
      </c>
      <c r="D4" s="12" t="s">
        <v>133</v>
      </c>
      <c r="E4" s="40" t="s">
        <v>31</v>
      </c>
      <c r="F4" s="14">
        <v>3.0</v>
      </c>
      <c r="G4" s="75" t="s">
        <v>24</v>
      </c>
      <c r="H4" s="14">
        <v>0.0</v>
      </c>
      <c r="I4" s="40" t="s">
        <v>25</v>
      </c>
      <c r="J4" s="4"/>
      <c r="K4" s="4">
        <f t="shared" si="1"/>
        <v>2</v>
      </c>
      <c r="L4" s="17">
        <f t="shared" si="2"/>
        <v>0</v>
      </c>
      <c r="M4" s="4"/>
      <c r="N4" s="17">
        <v>2.0</v>
      </c>
      <c r="O4" s="61" t="s">
        <v>31</v>
      </c>
      <c r="P4" s="17">
        <f t="shared" si="3"/>
        <v>2</v>
      </c>
      <c r="Q4" s="17">
        <f t="shared" si="4"/>
        <v>1</v>
      </c>
      <c r="R4" s="17">
        <f t="shared" si="5"/>
        <v>0</v>
      </c>
      <c r="S4" s="19">
        <f t="shared" si="6"/>
        <v>0</v>
      </c>
      <c r="T4" s="17">
        <f t="shared" si="7"/>
        <v>3</v>
      </c>
      <c r="U4" s="19">
        <f t="shared" si="8"/>
        <v>0</v>
      </c>
      <c r="V4" s="17">
        <f t="shared" si="9"/>
        <v>3</v>
      </c>
      <c r="W4" s="56"/>
      <c r="X4" s="56"/>
      <c r="Y4" s="21" t="s">
        <v>34</v>
      </c>
      <c r="Z4" s="63" t="s">
        <v>31</v>
      </c>
      <c r="AA4" s="22">
        <v>2.0</v>
      </c>
      <c r="AB4" s="22">
        <v>1.0</v>
      </c>
      <c r="AC4" s="22">
        <v>0.0</v>
      </c>
      <c r="AD4" s="23">
        <v>0.0</v>
      </c>
      <c r="AE4" s="22">
        <v>3.0</v>
      </c>
      <c r="AF4" s="23">
        <v>0.0</v>
      </c>
      <c r="AG4" s="22">
        <v>3.0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ht="15.75" customHeight="1">
      <c r="A5" s="24"/>
      <c r="B5" s="39">
        <v>45964.0</v>
      </c>
      <c r="C5" s="64" t="s">
        <v>53</v>
      </c>
      <c r="D5" s="12" t="s">
        <v>133</v>
      </c>
      <c r="E5" s="40" t="s">
        <v>59</v>
      </c>
      <c r="F5" s="14">
        <v>3.0</v>
      </c>
      <c r="G5" s="75" t="s">
        <v>24</v>
      </c>
      <c r="H5" s="14">
        <v>1.0</v>
      </c>
      <c r="I5" s="40" t="s">
        <v>43</v>
      </c>
      <c r="J5" s="4"/>
      <c r="K5" s="4">
        <f t="shared" si="1"/>
        <v>2</v>
      </c>
      <c r="L5" s="17">
        <f t="shared" si="2"/>
        <v>0</v>
      </c>
      <c r="M5" s="4"/>
      <c r="N5" s="17">
        <v>3.0</v>
      </c>
      <c r="O5" s="61" t="s">
        <v>59</v>
      </c>
      <c r="P5" s="17">
        <f t="shared" si="3"/>
        <v>2</v>
      </c>
      <c r="Q5" s="17">
        <f t="shared" si="4"/>
        <v>1</v>
      </c>
      <c r="R5" s="17">
        <f t="shared" si="5"/>
        <v>0</v>
      </c>
      <c r="S5" s="19">
        <f t="shared" si="6"/>
        <v>0</v>
      </c>
      <c r="T5" s="17">
        <f t="shared" si="7"/>
        <v>3</v>
      </c>
      <c r="U5" s="19">
        <f t="shared" si="8"/>
        <v>1</v>
      </c>
      <c r="V5" s="17">
        <f t="shared" si="9"/>
        <v>2</v>
      </c>
      <c r="W5" s="56"/>
      <c r="X5" s="56"/>
      <c r="Y5" s="21" t="s">
        <v>38</v>
      </c>
      <c r="Z5" s="63" t="s">
        <v>57</v>
      </c>
      <c r="AA5" s="22">
        <v>2.0</v>
      </c>
      <c r="AB5" s="22">
        <v>1.0</v>
      </c>
      <c r="AC5" s="22">
        <v>0.0</v>
      </c>
      <c r="AD5" s="23">
        <v>0.0</v>
      </c>
      <c r="AE5" s="22">
        <v>3.0</v>
      </c>
      <c r="AF5" s="23">
        <v>0.0</v>
      </c>
      <c r="AG5" s="22">
        <v>3.0</v>
      </c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</row>
    <row r="6" ht="15.75" customHeight="1">
      <c r="A6" s="24"/>
      <c r="B6" s="39">
        <v>45964.0</v>
      </c>
      <c r="C6" s="64" t="s">
        <v>95</v>
      </c>
      <c r="D6" s="12" t="s">
        <v>133</v>
      </c>
      <c r="E6" s="40" t="s">
        <v>62</v>
      </c>
      <c r="F6" s="14">
        <v>4.0</v>
      </c>
      <c r="G6" s="75" t="s">
        <v>24</v>
      </c>
      <c r="H6" s="14">
        <v>1.0</v>
      </c>
      <c r="I6" s="40" t="s">
        <v>33</v>
      </c>
      <c r="J6" s="4"/>
      <c r="K6" s="4">
        <f t="shared" si="1"/>
        <v>2</v>
      </c>
      <c r="L6" s="17">
        <f t="shared" si="2"/>
        <v>0</v>
      </c>
      <c r="M6" s="4"/>
      <c r="N6" s="17">
        <v>4.0</v>
      </c>
      <c r="O6" s="61" t="s">
        <v>173</v>
      </c>
      <c r="P6" s="17">
        <f t="shared" si="3"/>
        <v>0</v>
      </c>
      <c r="Q6" s="17">
        <f t="shared" si="4"/>
        <v>0</v>
      </c>
      <c r="R6" s="17">
        <f t="shared" si="5"/>
        <v>0</v>
      </c>
      <c r="S6" s="19">
        <f t="shared" si="6"/>
        <v>0</v>
      </c>
      <c r="T6" s="17">
        <f t="shared" si="7"/>
        <v>0</v>
      </c>
      <c r="U6" s="19">
        <f t="shared" si="8"/>
        <v>0</v>
      </c>
      <c r="V6" s="17">
        <f t="shared" si="9"/>
        <v>0</v>
      </c>
      <c r="W6" s="56"/>
      <c r="X6" s="56"/>
      <c r="Y6" s="47" t="s">
        <v>41</v>
      </c>
      <c r="Z6" s="63" t="s">
        <v>59</v>
      </c>
      <c r="AA6" s="22">
        <v>2.0</v>
      </c>
      <c r="AB6" s="22">
        <v>1.0</v>
      </c>
      <c r="AC6" s="22">
        <v>0.0</v>
      </c>
      <c r="AD6" s="23">
        <v>0.0</v>
      </c>
      <c r="AE6" s="22">
        <v>3.0</v>
      </c>
      <c r="AF6" s="23">
        <v>1.0</v>
      </c>
      <c r="AG6" s="22">
        <v>2.0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</row>
    <row r="7" ht="15.75" customHeight="1">
      <c r="A7" s="24"/>
      <c r="B7" s="39">
        <v>45964.0</v>
      </c>
      <c r="C7" s="64" t="s">
        <v>174</v>
      </c>
      <c r="D7" s="12" t="s">
        <v>133</v>
      </c>
      <c r="E7" s="40" t="s">
        <v>110</v>
      </c>
      <c r="F7" s="88">
        <v>4.0</v>
      </c>
      <c r="G7" s="75" t="s">
        <v>24</v>
      </c>
      <c r="H7" s="88">
        <v>2.0</v>
      </c>
      <c r="I7" s="40" t="s">
        <v>175</v>
      </c>
      <c r="J7" s="4"/>
      <c r="K7" s="4">
        <f t="shared" si="1"/>
        <v>2</v>
      </c>
      <c r="L7" s="17">
        <f t="shared" si="2"/>
        <v>0</v>
      </c>
      <c r="M7" s="4"/>
      <c r="N7" s="17">
        <v>5.0</v>
      </c>
      <c r="O7" s="61" t="s">
        <v>23</v>
      </c>
      <c r="P7" s="17">
        <f t="shared" si="3"/>
        <v>2</v>
      </c>
      <c r="Q7" s="17">
        <f t="shared" si="4"/>
        <v>1</v>
      </c>
      <c r="R7" s="17">
        <f t="shared" si="5"/>
        <v>0</v>
      </c>
      <c r="S7" s="19">
        <f t="shared" si="6"/>
        <v>0</v>
      </c>
      <c r="T7" s="17">
        <f t="shared" si="7"/>
        <v>4</v>
      </c>
      <c r="U7" s="19">
        <f t="shared" si="8"/>
        <v>2</v>
      </c>
      <c r="V7" s="17">
        <f t="shared" si="9"/>
        <v>2</v>
      </c>
      <c r="W7" s="56"/>
      <c r="X7" s="56"/>
      <c r="Y7" s="47" t="s">
        <v>44</v>
      </c>
      <c r="Z7" s="63" t="s">
        <v>23</v>
      </c>
      <c r="AA7" s="22">
        <v>2.0</v>
      </c>
      <c r="AB7" s="22">
        <v>1.0</v>
      </c>
      <c r="AC7" s="22">
        <v>0.0</v>
      </c>
      <c r="AD7" s="23">
        <v>0.0</v>
      </c>
      <c r="AE7" s="22">
        <v>4.0</v>
      </c>
      <c r="AF7" s="23">
        <v>2.0</v>
      </c>
      <c r="AG7" s="22">
        <v>2.0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</row>
    <row r="8" ht="15.75" customHeight="1">
      <c r="A8" s="24"/>
      <c r="B8" s="39">
        <v>45965.0</v>
      </c>
      <c r="C8" s="64" t="s">
        <v>176</v>
      </c>
      <c r="D8" s="12" t="s">
        <v>133</v>
      </c>
      <c r="E8" s="40" t="s">
        <v>57</v>
      </c>
      <c r="F8" s="14">
        <v>3.0</v>
      </c>
      <c r="G8" s="75" t="s">
        <v>24</v>
      </c>
      <c r="H8" s="14">
        <v>0.0</v>
      </c>
      <c r="I8" s="40" t="s">
        <v>60</v>
      </c>
      <c r="J8" s="4"/>
      <c r="K8" s="4">
        <f t="shared" si="1"/>
        <v>2</v>
      </c>
      <c r="L8" s="17">
        <f t="shared" si="2"/>
        <v>0</v>
      </c>
      <c r="M8" s="4"/>
      <c r="N8" s="17">
        <v>6.0</v>
      </c>
      <c r="O8" s="61" t="s">
        <v>25</v>
      </c>
      <c r="P8" s="17">
        <f t="shared" si="3"/>
        <v>0</v>
      </c>
      <c r="Q8" s="17">
        <f t="shared" si="4"/>
        <v>0</v>
      </c>
      <c r="R8" s="17">
        <f t="shared" si="5"/>
        <v>0</v>
      </c>
      <c r="S8" s="19">
        <f t="shared" si="6"/>
        <v>1</v>
      </c>
      <c r="T8" s="17">
        <f t="shared" si="7"/>
        <v>0</v>
      </c>
      <c r="U8" s="19">
        <f t="shared" si="8"/>
        <v>3</v>
      </c>
      <c r="V8" s="17">
        <f t="shared" si="9"/>
        <v>-3</v>
      </c>
      <c r="W8" s="56"/>
      <c r="X8" s="56"/>
      <c r="Y8" s="47" t="s">
        <v>47</v>
      </c>
      <c r="Z8" s="63" t="s">
        <v>110</v>
      </c>
      <c r="AA8" s="22">
        <v>2.0</v>
      </c>
      <c r="AB8" s="22">
        <v>1.0</v>
      </c>
      <c r="AC8" s="22">
        <v>0.0</v>
      </c>
      <c r="AD8" s="23">
        <v>0.0</v>
      </c>
      <c r="AE8" s="22">
        <v>4.0</v>
      </c>
      <c r="AF8" s="23">
        <v>2.0</v>
      </c>
      <c r="AG8" s="22">
        <v>2.0</v>
      </c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</row>
    <row r="9" ht="15.75" customHeight="1">
      <c r="A9" s="28"/>
      <c r="B9" s="39">
        <v>45965.0</v>
      </c>
      <c r="C9" s="12" t="s">
        <v>98</v>
      </c>
      <c r="D9" s="12" t="s">
        <v>133</v>
      </c>
      <c r="E9" s="40" t="s">
        <v>108</v>
      </c>
      <c r="F9" s="14">
        <v>3.0</v>
      </c>
      <c r="G9" s="75" t="s">
        <v>24</v>
      </c>
      <c r="H9" s="14">
        <v>7.0</v>
      </c>
      <c r="I9" s="40" t="s">
        <v>36</v>
      </c>
      <c r="J9" s="4"/>
      <c r="K9" s="4">
        <f t="shared" si="1"/>
        <v>0</v>
      </c>
      <c r="L9" s="17">
        <f t="shared" si="2"/>
        <v>2</v>
      </c>
      <c r="M9" s="4"/>
      <c r="N9" s="17">
        <v>7.0</v>
      </c>
      <c r="O9" s="61" t="s">
        <v>43</v>
      </c>
      <c r="P9" s="17">
        <f t="shared" si="3"/>
        <v>0</v>
      </c>
      <c r="Q9" s="17">
        <f t="shared" si="4"/>
        <v>0</v>
      </c>
      <c r="R9" s="17">
        <f t="shared" si="5"/>
        <v>0</v>
      </c>
      <c r="S9" s="19">
        <f t="shared" si="6"/>
        <v>1</v>
      </c>
      <c r="T9" s="17">
        <f t="shared" si="7"/>
        <v>1</v>
      </c>
      <c r="U9" s="19">
        <f t="shared" si="8"/>
        <v>3</v>
      </c>
      <c r="V9" s="17">
        <f t="shared" si="9"/>
        <v>-2</v>
      </c>
      <c r="W9" s="56"/>
      <c r="X9" s="56"/>
      <c r="Y9" s="47" t="s">
        <v>48</v>
      </c>
      <c r="Z9" s="63" t="s">
        <v>173</v>
      </c>
      <c r="AA9" s="22">
        <v>0.0</v>
      </c>
      <c r="AB9" s="22">
        <v>0.0</v>
      </c>
      <c r="AC9" s="22">
        <v>0.0</v>
      </c>
      <c r="AD9" s="23">
        <v>0.0</v>
      </c>
      <c r="AE9" s="22">
        <v>0.0</v>
      </c>
      <c r="AF9" s="23">
        <v>0.0</v>
      </c>
      <c r="AG9" s="22">
        <v>0.0</v>
      </c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</row>
    <row r="10" ht="15.75" customHeight="1">
      <c r="A10" s="58">
        <v>2.0</v>
      </c>
      <c r="B10" s="39">
        <v>45988.0</v>
      </c>
      <c r="C10" s="12" t="s">
        <v>53</v>
      </c>
      <c r="D10" s="12" t="s">
        <v>22</v>
      </c>
      <c r="E10" s="40" t="s">
        <v>32</v>
      </c>
      <c r="F10" s="75"/>
      <c r="G10" s="75" t="s">
        <v>24</v>
      </c>
      <c r="H10" s="75"/>
      <c r="I10" s="40" t="s">
        <v>162</v>
      </c>
      <c r="J10" s="4"/>
      <c r="K10" s="4" t="str">
        <f t="shared" si="1"/>
        <v/>
      </c>
      <c r="L10" s="17" t="str">
        <f t="shared" si="2"/>
        <v/>
      </c>
      <c r="M10" s="4"/>
      <c r="N10" s="42">
        <v>8.0</v>
      </c>
      <c r="O10" s="61" t="s">
        <v>33</v>
      </c>
      <c r="P10" s="17">
        <f t="shared" si="3"/>
        <v>0</v>
      </c>
      <c r="Q10" s="17">
        <f t="shared" si="4"/>
        <v>0</v>
      </c>
      <c r="R10" s="17">
        <f t="shared" si="5"/>
        <v>0</v>
      </c>
      <c r="S10" s="19">
        <f t="shared" si="6"/>
        <v>1</v>
      </c>
      <c r="T10" s="17">
        <f t="shared" si="7"/>
        <v>1</v>
      </c>
      <c r="U10" s="19">
        <f t="shared" si="8"/>
        <v>4</v>
      </c>
      <c r="V10" s="17">
        <f t="shared" si="9"/>
        <v>-3</v>
      </c>
      <c r="W10" s="56"/>
      <c r="X10" s="56"/>
      <c r="Y10" s="47" t="s">
        <v>135</v>
      </c>
      <c r="Z10" s="63" t="s">
        <v>177</v>
      </c>
      <c r="AA10" s="22">
        <v>0.0</v>
      </c>
      <c r="AB10" s="22">
        <v>0.0</v>
      </c>
      <c r="AC10" s="22">
        <v>0.0</v>
      </c>
      <c r="AD10" s="23">
        <v>0.0</v>
      </c>
      <c r="AE10" s="22">
        <v>0.0</v>
      </c>
      <c r="AF10" s="23">
        <v>0.0</v>
      </c>
      <c r="AG10" s="22">
        <v>0.0</v>
      </c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</row>
    <row r="11" ht="15.75" customHeight="1">
      <c r="A11" s="24"/>
      <c r="B11" s="39">
        <v>45988.0</v>
      </c>
      <c r="C11" s="12" t="s">
        <v>95</v>
      </c>
      <c r="D11" s="12" t="s">
        <v>22</v>
      </c>
      <c r="E11" s="40" t="s">
        <v>31</v>
      </c>
      <c r="F11" s="75"/>
      <c r="G11" s="75" t="s">
        <v>24</v>
      </c>
      <c r="H11" s="75"/>
      <c r="I11" s="40" t="s">
        <v>108</v>
      </c>
      <c r="J11" s="4"/>
      <c r="K11" s="4" t="str">
        <f t="shared" si="1"/>
        <v/>
      </c>
      <c r="L11" s="17" t="str">
        <f t="shared" si="2"/>
        <v/>
      </c>
      <c r="M11" s="4"/>
      <c r="N11" s="70">
        <v>9.0</v>
      </c>
      <c r="O11" s="70" t="s">
        <v>110</v>
      </c>
      <c r="P11" s="17">
        <f t="shared" si="3"/>
        <v>2</v>
      </c>
      <c r="Q11" s="17">
        <f t="shared" si="4"/>
        <v>1</v>
      </c>
      <c r="R11" s="17">
        <f t="shared" si="5"/>
        <v>0</v>
      </c>
      <c r="S11" s="19">
        <f t="shared" si="6"/>
        <v>0</v>
      </c>
      <c r="T11" s="17">
        <f t="shared" si="7"/>
        <v>4</v>
      </c>
      <c r="U11" s="19">
        <f t="shared" si="8"/>
        <v>2</v>
      </c>
      <c r="V11" s="17">
        <f t="shared" si="9"/>
        <v>2</v>
      </c>
      <c r="W11" s="56"/>
      <c r="X11" s="56"/>
      <c r="Y11" s="21">
        <v>9.0</v>
      </c>
      <c r="Z11" s="63" t="s">
        <v>162</v>
      </c>
      <c r="AA11" s="22">
        <v>0.0</v>
      </c>
      <c r="AB11" s="22">
        <v>0.0</v>
      </c>
      <c r="AC11" s="22">
        <v>0.0</v>
      </c>
      <c r="AD11" s="23">
        <v>0.0</v>
      </c>
      <c r="AE11" s="22">
        <v>0.0</v>
      </c>
      <c r="AF11" s="23">
        <v>0.0</v>
      </c>
      <c r="AG11" s="22">
        <v>0.0</v>
      </c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</row>
    <row r="12" ht="15.75" customHeight="1">
      <c r="A12" s="24"/>
      <c r="B12" s="39">
        <v>45988.0</v>
      </c>
      <c r="C12" s="12" t="s">
        <v>174</v>
      </c>
      <c r="D12" s="12" t="s">
        <v>22</v>
      </c>
      <c r="E12" s="40" t="s">
        <v>59</v>
      </c>
      <c r="F12" s="14"/>
      <c r="G12" s="75" t="s">
        <v>24</v>
      </c>
      <c r="H12" s="14"/>
      <c r="I12" s="40" t="s">
        <v>110</v>
      </c>
      <c r="J12" s="4"/>
      <c r="K12" s="4" t="str">
        <f t="shared" si="1"/>
        <v/>
      </c>
      <c r="L12" s="17" t="str">
        <f t="shared" si="2"/>
        <v/>
      </c>
      <c r="M12" s="4"/>
      <c r="N12" s="70">
        <v>10.0</v>
      </c>
      <c r="O12" s="70" t="s">
        <v>177</v>
      </c>
      <c r="P12" s="17">
        <f t="shared" si="3"/>
        <v>0</v>
      </c>
      <c r="Q12" s="17">
        <f t="shared" si="4"/>
        <v>0</v>
      </c>
      <c r="R12" s="17">
        <f t="shared" si="5"/>
        <v>0</v>
      </c>
      <c r="S12" s="19">
        <f t="shared" si="6"/>
        <v>0</v>
      </c>
      <c r="T12" s="17">
        <f t="shared" si="7"/>
        <v>0</v>
      </c>
      <c r="U12" s="19">
        <f t="shared" si="8"/>
        <v>0</v>
      </c>
      <c r="V12" s="17">
        <f t="shared" si="9"/>
        <v>0</v>
      </c>
      <c r="W12" s="56"/>
      <c r="X12" s="56"/>
      <c r="Y12" s="21">
        <v>10.0</v>
      </c>
      <c r="Z12" s="63" t="s">
        <v>32</v>
      </c>
      <c r="AA12" s="22">
        <v>0.0</v>
      </c>
      <c r="AB12" s="22">
        <v>0.0</v>
      </c>
      <c r="AC12" s="22">
        <v>0.0</v>
      </c>
      <c r="AD12" s="23">
        <v>1.0</v>
      </c>
      <c r="AE12" s="22">
        <v>2.0</v>
      </c>
      <c r="AF12" s="23">
        <v>4.0</v>
      </c>
      <c r="AG12" s="22">
        <v>-2.0</v>
      </c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</row>
    <row r="13" ht="15.75" customHeight="1">
      <c r="A13" s="24"/>
      <c r="B13" s="39">
        <v>45988.0</v>
      </c>
      <c r="C13" s="12" t="s">
        <v>149</v>
      </c>
      <c r="D13" s="12" t="s">
        <v>22</v>
      </c>
      <c r="E13" s="40" t="s">
        <v>62</v>
      </c>
      <c r="F13" s="75"/>
      <c r="G13" s="75" t="s">
        <v>24</v>
      </c>
      <c r="H13" s="75"/>
      <c r="I13" s="40" t="s">
        <v>36</v>
      </c>
      <c r="J13" s="4"/>
      <c r="K13" s="4" t="str">
        <f t="shared" si="1"/>
        <v/>
      </c>
      <c r="L13" s="17" t="str">
        <f t="shared" si="2"/>
        <v/>
      </c>
      <c r="M13" s="4"/>
      <c r="N13" s="70">
        <v>11.0</v>
      </c>
      <c r="O13" s="70" t="s">
        <v>57</v>
      </c>
      <c r="P13" s="17">
        <f t="shared" si="3"/>
        <v>2</v>
      </c>
      <c r="Q13" s="17">
        <f t="shared" si="4"/>
        <v>1</v>
      </c>
      <c r="R13" s="17">
        <f t="shared" si="5"/>
        <v>0</v>
      </c>
      <c r="S13" s="19">
        <f t="shared" si="6"/>
        <v>0</v>
      </c>
      <c r="T13" s="17">
        <f t="shared" si="7"/>
        <v>3</v>
      </c>
      <c r="U13" s="19">
        <f t="shared" si="8"/>
        <v>0</v>
      </c>
      <c r="V13" s="17">
        <f t="shared" si="9"/>
        <v>3</v>
      </c>
      <c r="W13" s="56"/>
      <c r="X13" s="56"/>
      <c r="Y13" s="21">
        <v>11.0</v>
      </c>
      <c r="Z13" s="63" t="s">
        <v>43</v>
      </c>
      <c r="AA13" s="22">
        <v>0.0</v>
      </c>
      <c r="AB13" s="22">
        <v>0.0</v>
      </c>
      <c r="AC13" s="22">
        <v>0.0</v>
      </c>
      <c r="AD13" s="23">
        <v>1.0</v>
      </c>
      <c r="AE13" s="22">
        <v>1.0</v>
      </c>
      <c r="AF13" s="23">
        <v>3.0</v>
      </c>
      <c r="AG13" s="22">
        <v>-2.0</v>
      </c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</row>
    <row r="14" ht="15.75" customHeight="1">
      <c r="A14" s="24"/>
      <c r="B14" s="39">
        <v>45987.0</v>
      </c>
      <c r="C14" s="12" t="s">
        <v>178</v>
      </c>
      <c r="D14" s="12" t="s">
        <v>22</v>
      </c>
      <c r="E14" s="40" t="s">
        <v>23</v>
      </c>
      <c r="F14" s="27"/>
      <c r="G14" s="75" t="s">
        <v>24</v>
      </c>
      <c r="H14" s="27"/>
      <c r="I14" s="40" t="s">
        <v>175</v>
      </c>
      <c r="J14" s="4"/>
      <c r="K14" s="4" t="str">
        <f t="shared" si="1"/>
        <v/>
      </c>
      <c r="L14" s="17" t="str">
        <f t="shared" si="2"/>
        <v/>
      </c>
      <c r="M14" s="4"/>
      <c r="N14" s="70">
        <v>12.0</v>
      </c>
      <c r="O14" s="70" t="s">
        <v>60</v>
      </c>
      <c r="P14" s="17">
        <f t="shared" si="3"/>
        <v>0</v>
      </c>
      <c r="Q14" s="17">
        <f t="shared" si="4"/>
        <v>0</v>
      </c>
      <c r="R14" s="17">
        <f t="shared" si="5"/>
        <v>0</v>
      </c>
      <c r="S14" s="19">
        <f t="shared" si="6"/>
        <v>1</v>
      </c>
      <c r="T14" s="17">
        <f t="shared" si="7"/>
        <v>0</v>
      </c>
      <c r="U14" s="19">
        <f t="shared" si="8"/>
        <v>3</v>
      </c>
      <c r="V14" s="17">
        <f t="shared" si="9"/>
        <v>-3</v>
      </c>
      <c r="W14" s="56"/>
      <c r="X14" s="56"/>
      <c r="Y14" s="21">
        <v>12.0</v>
      </c>
      <c r="Z14" s="63" t="s">
        <v>25</v>
      </c>
      <c r="AA14" s="22">
        <v>0.0</v>
      </c>
      <c r="AB14" s="22">
        <v>0.0</v>
      </c>
      <c r="AC14" s="22">
        <v>0.0</v>
      </c>
      <c r="AD14" s="23">
        <v>1.0</v>
      </c>
      <c r="AE14" s="22">
        <v>0.0</v>
      </c>
      <c r="AF14" s="23">
        <v>3.0</v>
      </c>
      <c r="AG14" s="22">
        <v>-3.0</v>
      </c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</row>
    <row r="15" ht="15.75" customHeight="1">
      <c r="A15" s="24"/>
      <c r="B15" s="39">
        <v>45987.0</v>
      </c>
      <c r="C15" s="12" t="s">
        <v>165</v>
      </c>
      <c r="D15" s="12" t="s">
        <v>22</v>
      </c>
      <c r="E15" s="40" t="s">
        <v>25</v>
      </c>
      <c r="F15" s="75"/>
      <c r="G15" s="75" t="s">
        <v>24</v>
      </c>
      <c r="H15" s="75"/>
      <c r="I15" s="40" t="s">
        <v>60</v>
      </c>
      <c r="J15" s="4"/>
      <c r="K15" s="4" t="str">
        <f t="shared" si="1"/>
        <v/>
      </c>
      <c r="L15" s="17" t="str">
        <f t="shared" si="2"/>
        <v/>
      </c>
      <c r="M15" s="4"/>
      <c r="N15" s="89">
        <v>13.0</v>
      </c>
      <c r="O15" s="89" t="s">
        <v>108</v>
      </c>
      <c r="P15" s="17">
        <f t="shared" si="3"/>
        <v>0</v>
      </c>
      <c r="Q15" s="17">
        <f t="shared" si="4"/>
        <v>0</v>
      </c>
      <c r="R15" s="17">
        <f t="shared" si="5"/>
        <v>0</v>
      </c>
      <c r="S15" s="19">
        <f t="shared" si="6"/>
        <v>1</v>
      </c>
      <c r="T15" s="17">
        <f t="shared" si="7"/>
        <v>3</v>
      </c>
      <c r="U15" s="19">
        <f t="shared" si="8"/>
        <v>7</v>
      </c>
      <c r="V15" s="17">
        <f t="shared" si="9"/>
        <v>-4</v>
      </c>
      <c r="W15" s="56"/>
      <c r="X15" s="56"/>
      <c r="Y15" s="21">
        <v>13.0</v>
      </c>
      <c r="Z15" s="63" t="s">
        <v>33</v>
      </c>
      <c r="AA15" s="22">
        <v>0.0</v>
      </c>
      <c r="AB15" s="22">
        <v>0.0</v>
      </c>
      <c r="AC15" s="22">
        <v>0.0</v>
      </c>
      <c r="AD15" s="23">
        <v>1.0</v>
      </c>
      <c r="AE15" s="22">
        <v>1.0</v>
      </c>
      <c r="AF15" s="23">
        <v>4.0</v>
      </c>
      <c r="AG15" s="22">
        <v>-3.0</v>
      </c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</row>
    <row r="16" ht="15.75" customHeight="1">
      <c r="A16" s="28"/>
      <c r="B16" s="39">
        <v>45987.0</v>
      </c>
      <c r="C16" s="12" t="s">
        <v>53</v>
      </c>
      <c r="D16" s="12" t="s">
        <v>22</v>
      </c>
      <c r="E16" s="40" t="s">
        <v>43</v>
      </c>
      <c r="F16" s="75"/>
      <c r="G16" s="75" t="s">
        <v>24</v>
      </c>
      <c r="H16" s="75"/>
      <c r="I16" s="40" t="s">
        <v>33</v>
      </c>
      <c r="J16" s="4"/>
      <c r="K16" s="4" t="str">
        <f t="shared" si="1"/>
        <v/>
      </c>
      <c r="L16" s="17" t="str">
        <f t="shared" si="2"/>
        <v/>
      </c>
      <c r="M16" s="4"/>
      <c r="N16" s="89">
        <v>14.0</v>
      </c>
      <c r="O16" s="89" t="s">
        <v>162</v>
      </c>
      <c r="P16" s="17">
        <f t="shared" si="3"/>
        <v>0</v>
      </c>
      <c r="Q16" s="17">
        <f t="shared" si="4"/>
        <v>0</v>
      </c>
      <c r="R16" s="17">
        <f t="shared" si="5"/>
        <v>0</v>
      </c>
      <c r="S16" s="19">
        <f t="shared" si="6"/>
        <v>0</v>
      </c>
      <c r="T16" s="17">
        <f t="shared" si="7"/>
        <v>0</v>
      </c>
      <c r="U16" s="19">
        <f t="shared" si="8"/>
        <v>0</v>
      </c>
      <c r="V16" s="17">
        <f t="shared" si="9"/>
        <v>0</v>
      </c>
      <c r="W16" s="56"/>
      <c r="X16" s="56"/>
      <c r="Y16" s="21">
        <v>14.0</v>
      </c>
      <c r="Z16" s="63" t="s">
        <v>60</v>
      </c>
      <c r="AA16" s="22">
        <v>0.0</v>
      </c>
      <c r="AB16" s="22">
        <v>0.0</v>
      </c>
      <c r="AC16" s="22">
        <v>0.0</v>
      </c>
      <c r="AD16" s="23">
        <v>1.0</v>
      </c>
      <c r="AE16" s="22">
        <v>0.0</v>
      </c>
      <c r="AF16" s="23">
        <v>3.0</v>
      </c>
      <c r="AG16" s="22">
        <v>-3.0</v>
      </c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</row>
    <row r="17" ht="15.75" customHeight="1">
      <c r="A17" s="58">
        <v>3.0</v>
      </c>
      <c r="B17" s="79"/>
      <c r="C17" s="75"/>
      <c r="D17" s="75"/>
      <c r="E17" s="40" t="s">
        <v>60</v>
      </c>
      <c r="F17" s="75"/>
      <c r="G17" s="75" t="s">
        <v>24</v>
      </c>
      <c r="H17" s="75"/>
      <c r="I17" s="40" t="s">
        <v>32</v>
      </c>
      <c r="J17" s="4"/>
      <c r="K17" s="4" t="str">
        <f t="shared" si="1"/>
        <v/>
      </c>
      <c r="L17" s="17" t="str">
        <f t="shared" si="2"/>
        <v/>
      </c>
      <c r="M17" s="4"/>
      <c r="N17" s="89">
        <v>15.0</v>
      </c>
      <c r="O17" s="89" t="s">
        <v>36</v>
      </c>
      <c r="P17" s="17">
        <f t="shared" si="3"/>
        <v>2</v>
      </c>
      <c r="Q17" s="17">
        <f t="shared" si="4"/>
        <v>1</v>
      </c>
      <c r="R17" s="17">
        <f t="shared" si="5"/>
        <v>0</v>
      </c>
      <c r="S17" s="19">
        <f t="shared" si="6"/>
        <v>0</v>
      </c>
      <c r="T17" s="17">
        <f t="shared" si="7"/>
        <v>7</v>
      </c>
      <c r="U17" s="19">
        <f t="shared" si="8"/>
        <v>3</v>
      </c>
      <c r="V17" s="17">
        <f t="shared" si="9"/>
        <v>4</v>
      </c>
      <c r="W17" s="56"/>
      <c r="X17" s="56"/>
      <c r="Y17" s="47">
        <v>15.0</v>
      </c>
      <c r="Z17" s="63" t="s">
        <v>108</v>
      </c>
      <c r="AA17" s="22">
        <v>0.0</v>
      </c>
      <c r="AB17" s="22">
        <v>0.0</v>
      </c>
      <c r="AC17" s="22">
        <v>0.0</v>
      </c>
      <c r="AD17" s="23">
        <v>1.0</v>
      </c>
      <c r="AE17" s="22">
        <v>3.0</v>
      </c>
      <c r="AF17" s="23">
        <v>7.0</v>
      </c>
      <c r="AG17" s="22">
        <v>-4.0</v>
      </c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</row>
    <row r="18" ht="15.75" customHeight="1">
      <c r="A18" s="24"/>
      <c r="B18" s="79"/>
      <c r="C18" s="75"/>
      <c r="D18" s="75"/>
      <c r="E18" s="40" t="s">
        <v>162</v>
      </c>
      <c r="F18" s="75"/>
      <c r="G18" s="75" t="s">
        <v>24</v>
      </c>
      <c r="H18" s="75"/>
      <c r="I18" s="40" t="s">
        <v>31</v>
      </c>
      <c r="J18" s="37"/>
      <c r="K18" s="4" t="str">
        <f t="shared" si="1"/>
        <v/>
      </c>
      <c r="L18" s="17" t="str">
        <f t="shared" si="2"/>
        <v/>
      </c>
      <c r="M18" s="4"/>
      <c r="N18" s="4"/>
      <c r="O18" s="4"/>
      <c r="P18" s="4"/>
      <c r="Q18" s="56"/>
      <c r="R18" s="4"/>
      <c r="S18" s="4"/>
      <c r="T18" s="4"/>
      <c r="U18" s="4"/>
      <c r="V18" s="4"/>
      <c r="W18" s="56"/>
      <c r="X18" s="56"/>
      <c r="Y18" s="34" t="s">
        <v>179</v>
      </c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</row>
    <row r="19" ht="15.75" customHeight="1">
      <c r="A19" s="24"/>
      <c r="B19" s="79"/>
      <c r="C19" s="75"/>
      <c r="D19" s="75"/>
      <c r="E19" s="40" t="s">
        <v>65</v>
      </c>
      <c r="F19" s="14"/>
      <c r="G19" s="75" t="s">
        <v>24</v>
      </c>
      <c r="H19" s="14"/>
      <c r="I19" s="40" t="s">
        <v>59</v>
      </c>
      <c r="J19" s="4"/>
      <c r="K19" s="4" t="str">
        <f t="shared" si="1"/>
        <v/>
      </c>
      <c r="L19" s="17" t="str">
        <f t="shared" si="2"/>
        <v/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56"/>
      <c r="X19" s="56"/>
      <c r="Y19" s="4"/>
      <c r="AB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</row>
    <row r="20" ht="15.75" customHeight="1">
      <c r="A20" s="24"/>
      <c r="B20" s="79"/>
      <c r="C20" s="75"/>
      <c r="D20" s="75"/>
      <c r="E20" s="40" t="s">
        <v>110</v>
      </c>
      <c r="F20" s="75"/>
      <c r="G20" s="75" t="s">
        <v>24</v>
      </c>
      <c r="H20" s="75"/>
      <c r="I20" s="40" t="s">
        <v>62</v>
      </c>
      <c r="J20" s="4"/>
      <c r="K20" s="4" t="str">
        <f t="shared" si="1"/>
        <v/>
      </c>
      <c r="L20" s="17" t="str">
        <f t="shared" si="2"/>
        <v/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56"/>
      <c r="X20" s="5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</row>
    <row r="21" ht="15.75" customHeight="1">
      <c r="A21" s="24"/>
      <c r="B21" s="79"/>
      <c r="C21" s="75"/>
      <c r="D21" s="75"/>
      <c r="E21" s="40" t="s">
        <v>33</v>
      </c>
      <c r="F21" s="27"/>
      <c r="G21" s="75" t="s">
        <v>24</v>
      </c>
      <c r="H21" s="27"/>
      <c r="I21" s="40" t="s">
        <v>23</v>
      </c>
      <c r="J21" s="4"/>
      <c r="K21" s="4" t="str">
        <f t="shared" si="1"/>
        <v/>
      </c>
      <c r="L21" s="17" t="str">
        <f t="shared" si="2"/>
        <v/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56"/>
      <c r="X21" s="5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</row>
    <row r="22" ht="15.75" customHeight="1">
      <c r="A22" s="24"/>
      <c r="B22" s="79"/>
      <c r="C22" s="75"/>
      <c r="D22" s="75"/>
      <c r="E22" s="40" t="s">
        <v>57</v>
      </c>
      <c r="F22" s="75"/>
      <c r="G22" s="75" t="s">
        <v>24</v>
      </c>
      <c r="H22" s="75"/>
      <c r="I22" s="40" t="s">
        <v>25</v>
      </c>
      <c r="J22" s="4"/>
      <c r="K22" s="4" t="str">
        <f t="shared" si="1"/>
        <v/>
      </c>
      <c r="L22" s="17" t="str">
        <f t="shared" si="2"/>
        <v/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56"/>
      <c r="X22" s="5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</row>
    <row r="23" ht="15.75" customHeight="1">
      <c r="A23" s="28"/>
      <c r="B23" s="79"/>
      <c r="C23" s="75"/>
      <c r="D23" s="75"/>
      <c r="E23" s="40" t="s">
        <v>108</v>
      </c>
      <c r="F23" s="75"/>
      <c r="G23" s="75" t="s">
        <v>24</v>
      </c>
      <c r="H23" s="75"/>
      <c r="I23" s="40" t="s">
        <v>43</v>
      </c>
      <c r="J23" s="4"/>
      <c r="K23" s="4" t="str">
        <f t="shared" si="1"/>
        <v/>
      </c>
      <c r="L23" s="17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56"/>
      <c r="X23" s="5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</row>
    <row r="24" ht="15.75" customHeight="1">
      <c r="A24" s="58">
        <v>4.0</v>
      </c>
      <c r="B24" s="79"/>
      <c r="C24" s="75"/>
      <c r="D24" s="75"/>
      <c r="E24" s="40" t="s">
        <v>36</v>
      </c>
      <c r="F24" s="75"/>
      <c r="G24" s="75" t="s">
        <v>24</v>
      </c>
      <c r="H24" s="75"/>
      <c r="I24" s="40" t="s">
        <v>32</v>
      </c>
      <c r="J24" s="4"/>
      <c r="K24" s="4" t="str">
        <f t="shared" si="1"/>
        <v/>
      </c>
      <c r="L24" s="17" t="str">
        <f t="shared" si="2"/>
        <v/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56"/>
      <c r="X24" s="5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</row>
    <row r="25" ht="15.75" customHeight="1">
      <c r="A25" s="24"/>
      <c r="B25" s="79"/>
      <c r="C25" s="75"/>
      <c r="D25" s="75"/>
      <c r="E25" s="40" t="s">
        <v>60</v>
      </c>
      <c r="F25" s="75"/>
      <c r="G25" s="75" t="s">
        <v>24</v>
      </c>
      <c r="H25" s="75"/>
      <c r="I25" s="40" t="s">
        <v>162</v>
      </c>
      <c r="J25" s="4"/>
      <c r="K25" s="4" t="str">
        <f t="shared" si="1"/>
        <v/>
      </c>
      <c r="L25" s="17" t="str">
        <f t="shared" si="2"/>
        <v/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56"/>
      <c r="X25" s="5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</row>
    <row r="26" ht="15.75" customHeight="1">
      <c r="A26" s="24"/>
      <c r="B26" s="79"/>
      <c r="C26" s="75"/>
      <c r="D26" s="75"/>
      <c r="E26" s="40" t="s">
        <v>62</v>
      </c>
      <c r="F26" s="14"/>
      <c r="G26" s="75" t="s">
        <v>24</v>
      </c>
      <c r="H26" s="14"/>
      <c r="I26" s="40" t="s">
        <v>108</v>
      </c>
      <c r="J26" s="4"/>
      <c r="K26" s="4" t="str">
        <f t="shared" si="1"/>
        <v/>
      </c>
      <c r="L26" s="17" t="str">
        <f t="shared" si="2"/>
        <v/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56"/>
      <c r="X26" s="5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</row>
    <row r="27" ht="15.75" customHeight="1">
      <c r="A27" s="24"/>
      <c r="B27" s="79"/>
      <c r="C27" s="75"/>
      <c r="D27" s="75"/>
      <c r="E27" s="40" t="s">
        <v>57</v>
      </c>
      <c r="F27" s="75"/>
      <c r="G27" s="75" t="s">
        <v>24</v>
      </c>
      <c r="H27" s="75"/>
      <c r="I27" s="40" t="s">
        <v>175</v>
      </c>
      <c r="J27" s="4"/>
      <c r="K27" s="4" t="str">
        <f t="shared" si="1"/>
        <v/>
      </c>
      <c r="L27" s="17" t="str">
        <f t="shared" si="2"/>
        <v/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56"/>
      <c r="X27" s="5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</row>
    <row r="28" ht="15.75" customHeight="1">
      <c r="A28" s="28"/>
      <c r="B28" s="79"/>
      <c r="C28" s="75"/>
      <c r="D28" s="75"/>
      <c r="E28" s="40" t="s">
        <v>110</v>
      </c>
      <c r="F28" s="27"/>
      <c r="G28" s="75" t="s">
        <v>24</v>
      </c>
      <c r="H28" s="27"/>
      <c r="I28" s="40" t="s">
        <v>25</v>
      </c>
      <c r="J28" s="4"/>
      <c r="K28" s="4" t="str">
        <f t="shared" si="1"/>
        <v/>
      </c>
      <c r="L28" s="17" t="str">
        <f t="shared" si="2"/>
        <v/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56"/>
      <c r="X28" s="56"/>
      <c r="Y28" s="4"/>
      <c r="Z28" s="4"/>
      <c r="AA28" s="4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</row>
    <row r="29" ht="15.75" customHeight="1">
      <c r="A29" s="58">
        <v>5.0</v>
      </c>
      <c r="B29" s="79"/>
      <c r="C29" s="75"/>
      <c r="D29" s="75"/>
      <c r="E29" s="40" t="s">
        <v>32</v>
      </c>
      <c r="F29" s="75"/>
      <c r="G29" s="75" t="s">
        <v>24</v>
      </c>
      <c r="H29" s="75"/>
      <c r="I29" s="40" t="s">
        <v>62</v>
      </c>
      <c r="J29" s="4"/>
      <c r="K29" s="4" t="str">
        <f t="shared" si="1"/>
        <v/>
      </c>
      <c r="L29" s="17" t="str">
        <f t="shared" si="2"/>
        <v/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56"/>
      <c r="X29" s="56"/>
      <c r="Y29" s="4"/>
      <c r="Z29" s="4"/>
      <c r="AA29" s="4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</row>
    <row r="30" ht="15.75" customHeight="1">
      <c r="A30" s="24"/>
      <c r="B30" s="79"/>
      <c r="C30" s="75"/>
      <c r="D30" s="75"/>
      <c r="E30" s="40" t="s">
        <v>31</v>
      </c>
      <c r="F30" s="75"/>
      <c r="G30" s="75" t="s">
        <v>24</v>
      </c>
      <c r="H30" s="75"/>
      <c r="I30" s="40" t="s">
        <v>59</v>
      </c>
      <c r="J30" s="4"/>
      <c r="K30" s="4" t="str">
        <f t="shared" si="1"/>
        <v/>
      </c>
      <c r="L30" s="17" t="str">
        <f t="shared" si="2"/>
        <v/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56"/>
      <c r="X30" s="56"/>
      <c r="Y30" s="4"/>
      <c r="Z30" s="4"/>
      <c r="AA30" s="4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</row>
    <row r="31" ht="15.75" customHeight="1">
      <c r="A31" s="24"/>
      <c r="B31" s="79"/>
      <c r="C31" s="75"/>
      <c r="D31" s="75"/>
      <c r="E31" s="40" t="s">
        <v>23</v>
      </c>
      <c r="F31" s="75"/>
      <c r="G31" s="75" t="s">
        <v>24</v>
      </c>
      <c r="H31" s="75"/>
      <c r="I31" s="40" t="s">
        <v>110</v>
      </c>
      <c r="J31" s="56"/>
      <c r="K31" s="4" t="str">
        <f t="shared" si="1"/>
        <v/>
      </c>
      <c r="L31" s="17" t="str">
        <f t="shared" si="2"/>
        <v/>
      </c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4"/>
      <c r="Z31" s="4"/>
      <c r="AA31" s="4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</row>
    <row r="32" ht="15.75" customHeight="1">
      <c r="A32" s="24"/>
      <c r="B32" s="79"/>
      <c r="C32" s="75"/>
      <c r="D32" s="75"/>
      <c r="E32" s="40" t="s">
        <v>25</v>
      </c>
      <c r="F32" s="75"/>
      <c r="G32" s="75" t="s">
        <v>24</v>
      </c>
      <c r="H32" s="75"/>
      <c r="I32" s="40" t="s">
        <v>43</v>
      </c>
      <c r="J32" s="56"/>
      <c r="K32" s="4" t="str">
        <f t="shared" si="1"/>
        <v/>
      </c>
      <c r="L32" s="17" t="str">
        <f t="shared" si="2"/>
        <v/>
      </c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4"/>
      <c r="Z32" s="4"/>
      <c r="AA32" s="4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</row>
    <row r="33" ht="15.75" customHeight="1">
      <c r="A33" s="24"/>
      <c r="B33" s="79"/>
      <c r="C33" s="75"/>
      <c r="D33" s="75"/>
      <c r="E33" s="40" t="s">
        <v>65</v>
      </c>
      <c r="F33" s="14"/>
      <c r="G33" s="75" t="s">
        <v>24</v>
      </c>
      <c r="H33" s="14"/>
      <c r="I33" s="40" t="s">
        <v>108</v>
      </c>
      <c r="J33" s="56"/>
      <c r="K33" s="4" t="str">
        <f t="shared" si="1"/>
        <v/>
      </c>
      <c r="L33" s="17" t="str">
        <f t="shared" si="2"/>
        <v/>
      </c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4"/>
      <c r="Z33" s="4"/>
      <c r="AA33" s="4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</row>
    <row r="34" ht="15.75" customHeight="1">
      <c r="A34" s="24"/>
      <c r="B34" s="79"/>
      <c r="C34" s="75"/>
      <c r="D34" s="75"/>
      <c r="E34" s="40" t="s">
        <v>33</v>
      </c>
      <c r="F34" s="75"/>
      <c r="G34" s="75" t="s">
        <v>24</v>
      </c>
      <c r="H34" s="75"/>
      <c r="I34" s="40" t="s">
        <v>57</v>
      </c>
      <c r="J34" s="56"/>
      <c r="K34" s="4" t="str">
        <f t="shared" si="1"/>
        <v/>
      </c>
      <c r="L34" s="17" t="str">
        <f t="shared" si="2"/>
        <v/>
      </c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4"/>
      <c r="Z34" s="4"/>
      <c r="AA34" s="4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</row>
    <row r="35" ht="15.75" customHeight="1">
      <c r="A35" s="28"/>
      <c r="B35" s="79"/>
      <c r="C35" s="75"/>
      <c r="D35" s="75"/>
      <c r="E35" s="40" t="s">
        <v>36</v>
      </c>
      <c r="F35" s="27"/>
      <c r="G35" s="75" t="s">
        <v>24</v>
      </c>
      <c r="H35" s="27"/>
      <c r="I35" s="40" t="s">
        <v>162</v>
      </c>
      <c r="J35" s="56"/>
      <c r="K35" s="4" t="str">
        <f t="shared" si="1"/>
        <v/>
      </c>
      <c r="L35" s="17" t="str">
        <f t="shared" si="2"/>
        <v/>
      </c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4"/>
      <c r="Z35" s="4"/>
      <c r="AA35" s="4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</row>
    <row r="36" ht="15.75" customHeight="1">
      <c r="A36" s="58">
        <v>6.0</v>
      </c>
      <c r="B36" s="79"/>
      <c r="C36" s="75"/>
      <c r="D36" s="75"/>
      <c r="E36" s="40" t="s">
        <v>108</v>
      </c>
      <c r="F36" s="75"/>
      <c r="G36" s="75" t="s">
        <v>24</v>
      </c>
      <c r="H36" s="75"/>
      <c r="I36" s="40" t="s">
        <v>32</v>
      </c>
      <c r="J36" s="56"/>
      <c r="K36" s="4" t="str">
        <f t="shared" si="1"/>
        <v/>
      </c>
      <c r="L36" s="17" t="str">
        <f t="shared" si="2"/>
        <v/>
      </c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36"/>
      <c r="Z36" s="5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</row>
    <row r="37" ht="15.75" customHeight="1">
      <c r="A37" s="24"/>
      <c r="B37" s="79"/>
      <c r="C37" s="75"/>
      <c r="D37" s="75"/>
      <c r="E37" s="40" t="s">
        <v>60</v>
      </c>
      <c r="F37" s="75"/>
      <c r="G37" s="75" t="s">
        <v>24</v>
      </c>
      <c r="H37" s="75"/>
      <c r="I37" s="40" t="s">
        <v>31</v>
      </c>
      <c r="J37" s="56"/>
      <c r="K37" s="4" t="str">
        <f t="shared" si="1"/>
        <v/>
      </c>
      <c r="L37" s="17" t="str">
        <f t="shared" si="2"/>
        <v/>
      </c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36"/>
      <c r="Z37" s="5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</row>
    <row r="38" ht="15.75" customHeight="1">
      <c r="A38" s="24"/>
      <c r="B38" s="79"/>
      <c r="C38" s="75"/>
      <c r="D38" s="75"/>
      <c r="E38" s="40" t="s">
        <v>57</v>
      </c>
      <c r="F38" s="75"/>
      <c r="G38" s="75" t="s">
        <v>24</v>
      </c>
      <c r="H38" s="75"/>
      <c r="I38" s="40" t="s">
        <v>59</v>
      </c>
      <c r="J38" s="56"/>
      <c r="K38" s="4" t="str">
        <f t="shared" si="1"/>
        <v/>
      </c>
      <c r="L38" s="17" t="str">
        <f t="shared" si="2"/>
        <v/>
      </c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36"/>
      <c r="Z38" s="5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</row>
    <row r="39" ht="15.75" customHeight="1">
      <c r="A39" s="24"/>
      <c r="B39" s="79"/>
      <c r="C39" s="75"/>
      <c r="D39" s="75"/>
      <c r="E39" s="40" t="s">
        <v>65</v>
      </c>
      <c r="F39" s="75"/>
      <c r="G39" s="75" t="s">
        <v>24</v>
      </c>
      <c r="H39" s="75"/>
      <c r="I39" s="40" t="s">
        <v>62</v>
      </c>
      <c r="J39" s="56"/>
      <c r="K39" s="4" t="str">
        <f t="shared" si="1"/>
        <v/>
      </c>
      <c r="L39" s="17" t="str">
        <f t="shared" si="2"/>
        <v/>
      </c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36"/>
      <c r="Z39" s="5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</row>
    <row r="40" ht="15.75" customHeight="1">
      <c r="A40" s="24"/>
      <c r="B40" s="79"/>
      <c r="C40" s="75"/>
      <c r="D40" s="75"/>
      <c r="E40" s="40" t="s">
        <v>180</v>
      </c>
      <c r="F40" s="14"/>
      <c r="G40" s="75" t="s">
        <v>24</v>
      </c>
      <c r="H40" s="14"/>
      <c r="I40" s="40" t="s">
        <v>23</v>
      </c>
      <c r="J40" s="56"/>
      <c r="K40" s="4" t="str">
        <f t="shared" si="1"/>
        <v/>
      </c>
      <c r="L40" s="17" t="str">
        <f t="shared" si="2"/>
        <v/>
      </c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36"/>
      <c r="Z40" s="5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</row>
    <row r="41" ht="15.75" customHeight="1">
      <c r="A41" s="24"/>
      <c r="B41" s="79"/>
      <c r="C41" s="75"/>
      <c r="D41" s="75"/>
      <c r="E41" s="40" t="s">
        <v>33</v>
      </c>
      <c r="F41" s="75"/>
      <c r="G41" s="75" t="s">
        <v>24</v>
      </c>
      <c r="H41" s="75"/>
      <c r="I41" s="40" t="s">
        <v>36</v>
      </c>
      <c r="J41" s="56"/>
      <c r="K41" s="4" t="str">
        <f t="shared" si="1"/>
        <v/>
      </c>
      <c r="L41" s="17" t="str">
        <f t="shared" si="2"/>
        <v/>
      </c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36"/>
      <c r="Z41" s="5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</row>
    <row r="42" ht="15.75" customHeight="1">
      <c r="A42" s="28"/>
      <c r="B42" s="79"/>
      <c r="C42" s="75"/>
      <c r="D42" s="75"/>
      <c r="E42" s="40" t="s">
        <v>162</v>
      </c>
      <c r="F42" s="27"/>
      <c r="G42" s="75" t="s">
        <v>24</v>
      </c>
      <c r="H42" s="27"/>
      <c r="I42" s="40" t="s">
        <v>43</v>
      </c>
      <c r="J42" s="56"/>
      <c r="K42" s="4" t="str">
        <f t="shared" si="1"/>
        <v/>
      </c>
      <c r="L42" s="17" t="str">
        <f t="shared" si="2"/>
        <v/>
      </c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36"/>
      <c r="Z42" s="5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</row>
    <row r="43" ht="15.75" customHeight="1">
      <c r="A43" s="58">
        <v>7.0</v>
      </c>
      <c r="B43" s="79"/>
      <c r="C43" s="75"/>
      <c r="D43" s="75"/>
      <c r="E43" s="40" t="s">
        <v>32</v>
      </c>
      <c r="F43" s="75"/>
      <c r="G43" s="75" t="s">
        <v>24</v>
      </c>
      <c r="H43" s="75"/>
      <c r="I43" s="40" t="s">
        <v>33</v>
      </c>
      <c r="J43" s="56"/>
      <c r="K43" s="4" t="str">
        <f t="shared" si="1"/>
        <v/>
      </c>
      <c r="L43" s="17" t="str">
        <f t="shared" si="2"/>
        <v/>
      </c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36"/>
      <c r="Z43" s="5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</row>
    <row r="44" ht="15.75" customHeight="1">
      <c r="A44" s="24"/>
      <c r="B44" s="79"/>
      <c r="C44" s="75"/>
      <c r="D44" s="75"/>
      <c r="E44" s="40" t="s">
        <v>31</v>
      </c>
      <c r="F44" s="75"/>
      <c r="G44" s="75" t="s">
        <v>24</v>
      </c>
      <c r="H44" s="75"/>
      <c r="I44" s="40" t="s">
        <v>43</v>
      </c>
      <c r="J44" s="56"/>
      <c r="K44" s="4" t="str">
        <f t="shared" si="1"/>
        <v/>
      </c>
      <c r="L44" s="17" t="str">
        <f t="shared" si="2"/>
        <v/>
      </c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36"/>
      <c r="Z44" s="5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</row>
    <row r="45" ht="15.75" customHeight="1">
      <c r="A45" s="24"/>
      <c r="B45" s="79"/>
      <c r="C45" s="75"/>
      <c r="D45" s="75"/>
      <c r="E45" s="40" t="s">
        <v>59</v>
      </c>
      <c r="F45" s="75"/>
      <c r="G45" s="75" t="s">
        <v>24</v>
      </c>
      <c r="H45" s="75"/>
      <c r="I45" s="40" t="s">
        <v>25</v>
      </c>
      <c r="J45" s="56"/>
      <c r="K45" s="4" t="str">
        <f t="shared" si="1"/>
        <v/>
      </c>
      <c r="L45" s="17" t="str">
        <f t="shared" si="2"/>
        <v/>
      </c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36"/>
      <c r="Z45" s="5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</row>
    <row r="46" ht="15.75" customHeight="1">
      <c r="A46" s="24"/>
      <c r="B46" s="79"/>
      <c r="C46" s="75"/>
      <c r="D46" s="75"/>
      <c r="E46" s="40" t="s">
        <v>62</v>
      </c>
      <c r="F46" s="75"/>
      <c r="G46" s="75" t="s">
        <v>24</v>
      </c>
      <c r="H46" s="75"/>
      <c r="I46" s="40" t="s">
        <v>23</v>
      </c>
      <c r="J46" s="56"/>
      <c r="K46" s="4" t="str">
        <f t="shared" si="1"/>
        <v/>
      </c>
      <c r="L46" s="17" t="str">
        <f t="shared" si="2"/>
        <v/>
      </c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36"/>
      <c r="Z46" s="5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</row>
    <row r="47" ht="15.75" customHeight="1">
      <c r="A47" s="24"/>
      <c r="B47" s="79"/>
      <c r="C47" s="75"/>
      <c r="D47" s="75"/>
      <c r="E47" s="40" t="s">
        <v>110</v>
      </c>
      <c r="F47" s="14"/>
      <c r="G47" s="75" t="s">
        <v>24</v>
      </c>
      <c r="H47" s="14"/>
      <c r="I47" s="40" t="s">
        <v>162</v>
      </c>
      <c r="J47" s="56"/>
      <c r="K47" s="4" t="str">
        <f t="shared" si="1"/>
        <v/>
      </c>
      <c r="L47" s="17" t="str">
        <f t="shared" si="2"/>
        <v/>
      </c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36"/>
      <c r="Z47" s="5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</row>
    <row r="48" ht="15.75" customHeight="1">
      <c r="A48" s="24"/>
      <c r="B48" s="79"/>
      <c r="C48" s="75"/>
      <c r="D48" s="75"/>
      <c r="E48" s="40" t="s">
        <v>57</v>
      </c>
      <c r="F48" s="75"/>
      <c r="G48" s="75" t="s">
        <v>24</v>
      </c>
      <c r="H48" s="75"/>
      <c r="I48" s="40" t="s">
        <v>36</v>
      </c>
      <c r="J48" s="56"/>
      <c r="K48" s="4" t="str">
        <f t="shared" si="1"/>
        <v/>
      </c>
      <c r="L48" s="17" t="str">
        <f t="shared" si="2"/>
        <v/>
      </c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36"/>
      <c r="Z48" s="5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</row>
    <row r="49" ht="15.75" customHeight="1">
      <c r="A49" s="28"/>
      <c r="B49" s="79"/>
      <c r="C49" s="75"/>
      <c r="D49" s="75"/>
      <c r="E49" s="40" t="s">
        <v>65</v>
      </c>
      <c r="F49" s="27"/>
      <c r="G49" s="75" t="s">
        <v>24</v>
      </c>
      <c r="H49" s="27"/>
      <c r="I49" s="40" t="s">
        <v>60</v>
      </c>
      <c r="J49" s="56"/>
      <c r="K49" s="4" t="str">
        <f t="shared" si="1"/>
        <v/>
      </c>
      <c r="L49" s="17" t="str">
        <f t="shared" si="2"/>
        <v/>
      </c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36"/>
      <c r="Z49" s="5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</row>
    <row r="50" ht="15.75" customHeight="1">
      <c r="A50" s="58">
        <v>8.0</v>
      </c>
      <c r="B50" s="79"/>
      <c r="C50" s="75"/>
      <c r="D50" s="75"/>
      <c r="E50" s="40" t="s">
        <v>59</v>
      </c>
      <c r="F50" s="75"/>
      <c r="G50" s="75" t="s">
        <v>24</v>
      </c>
      <c r="H50" s="75"/>
      <c r="I50" s="40" t="s">
        <v>32</v>
      </c>
      <c r="J50" s="56"/>
      <c r="K50" s="4" t="str">
        <f t="shared" si="1"/>
        <v/>
      </c>
      <c r="L50" s="17" t="str">
        <f t="shared" si="2"/>
        <v/>
      </c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36"/>
      <c r="Z50" s="5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</row>
    <row r="51" ht="15.75" customHeight="1">
      <c r="A51" s="24"/>
      <c r="B51" s="79"/>
      <c r="C51" s="75"/>
      <c r="D51" s="75"/>
      <c r="E51" s="40" t="s">
        <v>62</v>
      </c>
      <c r="F51" s="75"/>
      <c r="G51" s="75" t="s">
        <v>24</v>
      </c>
      <c r="H51" s="75"/>
      <c r="I51" s="40" t="s">
        <v>31</v>
      </c>
      <c r="J51" s="56"/>
      <c r="K51" s="4" t="str">
        <f t="shared" si="1"/>
        <v/>
      </c>
      <c r="L51" s="17" t="str">
        <f t="shared" si="2"/>
        <v/>
      </c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36"/>
      <c r="Z51" s="5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</row>
    <row r="52" ht="15.75" customHeight="1">
      <c r="A52" s="24"/>
      <c r="B52" s="79"/>
      <c r="C52" s="75"/>
      <c r="D52" s="75"/>
      <c r="E52" s="40" t="s">
        <v>162</v>
      </c>
      <c r="F52" s="75"/>
      <c r="G52" s="75" t="s">
        <v>24</v>
      </c>
      <c r="H52" s="75"/>
      <c r="I52" s="40" t="s">
        <v>23</v>
      </c>
      <c r="J52" s="56"/>
      <c r="K52" s="4" t="str">
        <f t="shared" si="1"/>
        <v/>
      </c>
      <c r="L52" s="17" t="str">
        <f t="shared" si="2"/>
        <v/>
      </c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36"/>
      <c r="Z52" s="5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</row>
    <row r="53" ht="15.75" customHeight="1">
      <c r="A53" s="24"/>
      <c r="B53" s="79"/>
      <c r="C53" s="75"/>
      <c r="D53" s="75"/>
      <c r="E53" s="40" t="s">
        <v>108</v>
      </c>
      <c r="F53" s="75"/>
      <c r="G53" s="75" t="s">
        <v>24</v>
      </c>
      <c r="H53" s="75"/>
      <c r="I53" s="40" t="s">
        <v>25</v>
      </c>
      <c r="J53" s="56"/>
      <c r="K53" s="4" t="str">
        <f t="shared" si="1"/>
        <v/>
      </c>
      <c r="L53" s="17" t="str">
        <f t="shared" si="2"/>
        <v/>
      </c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36"/>
      <c r="Z53" s="5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</row>
    <row r="54" ht="15.75" customHeight="1">
      <c r="A54" s="24"/>
      <c r="B54" s="79"/>
      <c r="C54" s="75"/>
      <c r="D54" s="75"/>
      <c r="E54" s="40" t="s">
        <v>36</v>
      </c>
      <c r="F54" s="14"/>
      <c r="G54" s="75" t="s">
        <v>24</v>
      </c>
      <c r="H54" s="14"/>
      <c r="I54" s="40" t="s">
        <v>43</v>
      </c>
      <c r="J54" s="56"/>
      <c r="K54" s="4" t="str">
        <f t="shared" si="1"/>
        <v/>
      </c>
      <c r="L54" s="17" t="str">
        <f t="shared" si="2"/>
        <v/>
      </c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36"/>
      <c r="Z54" s="5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</row>
    <row r="55" ht="15.75" customHeight="1">
      <c r="A55" s="24"/>
      <c r="B55" s="79"/>
      <c r="C55" s="75"/>
      <c r="D55" s="75"/>
      <c r="E55" s="40" t="s">
        <v>60</v>
      </c>
      <c r="F55" s="75"/>
      <c r="G55" s="75" t="s">
        <v>24</v>
      </c>
      <c r="H55" s="75"/>
      <c r="I55" s="40" t="s">
        <v>33</v>
      </c>
      <c r="J55" s="56"/>
      <c r="K55" s="4" t="str">
        <f t="shared" si="1"/>
        <v/>
      </c>
      <c r="L55" s="17" t="str">
        <f t="shared" si="2"/>
        <v/>
      </c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36"/>
      <c r="Z55" s="5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</row>
    <row r="56" ht="15.75" customHeight="1">
      <c r="A56" s="28"/>
      <c r="B56" s="79"/>
      <c r="C56" s="75"/>
      <c r="D56" s="75"/>
      <c r="E56" s="40" t="s">
        <v>57</v>
      </c>
      <c r="F56" s="27"/>
      <c r="G56" s="75" t="s">
        <v>24</v>
      </c>
      <c r="H56" s="27"/>
      <c r="I56" s="40" t="s">
        <v>110</v>
      </c>
      <c r="J56" s="56"/>
      <c r="K56" s="4" t="str">
        <f t="shared" si="1"/>
        <v/>
      </c>
      <c r="L56" s="17" t="str">
        <f t="shared" si="2"/>
        <v/>
      </c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36"/>
      <c r="Z56" s="5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</row>
    <row r="57" ht="15.75" customHeight="1">
      <c r="A57" s="58">
        <v>9.0</v>
      </c>
      <c r="B57" s="79"/>
      <c r="C57" s="75"/>
      <c r="D57" s="75"/>
      <c r="E57" s="40" t="s">
        <v>59</v>
      </c>
      <c r="F57" s="14"/>
      <c r="G57" s="75" t="s">
        <v>24</v>
      </c>
      <c r="H57" s="14"/>
      <c r="I57" s="40" t="s">
        <v>36</v>
      </c>
      <c r="J57" s="56"/>
      <c r="K57" s="4" t="str">
        <f t="shared" si="1"/>
        <v/>
      </c>
      <c r="L57" s="17" t="str">
        <f t="shared" si="2"/>
        <v/>
      </c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36"/>
      <c r="Z57" s="5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</row>
    <row r="58" ht="15.75" customHeight="1">
      <c r="A58" s="24"/>
      <c r="B58" s="79"/>
      <c r="C58" s="75"/>
      <c r="D58" s="75"/>
      <c r="E58" s="40" t="s">
        <v>31</v>
      </c>
      <c r="F58" s="75"/>
      <c r="G58" s="75" t="s">
        <v>24</v>
      </c>
      <c r="H58" s="75"/>
      <c r="I58" s="40" t="s">
        <v>57</v>
      </c>
      <c r="J58" s="56"/>
      <c r="K58" s="4" t="str">
        <f t="shared" si="1"/>
        <v/>
      </c>
      <c r="L58" s="17" t="str">
        <f t="shared" si="2"/>
        <v/>
      </c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36"/>
      <c r="Z58" s="5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</row>
    <row r="59" ht="15.75" customHeight="1">
      <c r="A59" s="24"/>
      <c r="B59" s="79"/>
      <c r="C59" s="75"/>
      <c r="D59" s="75"/>
      <c r="E59" s="40" t="s">
        <v>162</v>
      </c>
      <c r="F59" s="75"/>
      <c r="G59" s="75" t="s">
        <v>24</v>
      </c>
      <c r="H59" s="75"/>
      <c r="I59" s="40" t="s">
        <v>108</v>
      </c>
      <c r="J59" s="56"/>
      <c r="K59" s="4" t="str">
        <f t="shared" si="1"/>
        <v/>
      </c>
      <c r="L59" s="17" t="str">
        <f t="shared" si="2"/>
        <v/>
      </c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36"/>
      <c r="Z59" s="5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</row>
    <row r="60" ht="15.75" customHeight="1">
      <c r="A60" s="24"/>
      <c r="B60" s="79"/>
      <c r="C60" s="75"/>
      <c r="D60" s="75"/>
      <c r="E60" s="40" t="s">
        <v>43</v>
      </c>
      <c r="F60" s="75"/>
      <c r="G60" s="75" t="s">
        <v>24</v>
      </c>
      <c r="H60" s="75"/>
      <c r="I60" s="40" t="s">
        <v>175</v>
      </c>
      <c r="J60" s="56"/>
      <c r="K60" s="4" t="str">
        <f t="shared" si="1"/>
        <v/>
      </c>
      <c r="L60" s="17" t="str">
        <f t="shared" si="2"/>
        <v/>
      </c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36"/>
      <c r="Z60" s="5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</row>
    <row r="61" ht="15.75" customHeight="1">
      <c r="A61" s="24"/>
      <c r="B61" s="79"/>
      <c r="C61" s="75"/>
      <c r="D61" s="75"/>
      <c r="E61" s="40" t="s">
        <v>110</v>
      </c>
      <c r="F61" s="75"/>
      <c r="G61" s="75" t="s">
        <v>24</v>
      </c>
      <c r="H61" s="75"/>
      <c r="I61" s="40" t="s">
        <v>33</v>
      </c>
      <c r="J61" s="56"/>
      <c r="K61" s="4" t="str">
        <f t="shared" si="1"/>
        <v/>
      </c>
      <c r="L61" s="17" t="str">
        <f t="shared" si="2"/>
        <v/>
      </c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36"/>
      <c r="Z61" s="5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</row>
    <row r="62" ht="15.75" customHeight="1">
      <c r="A62" s="28"/>
      <c r="B62" s="79"/>
      <c r="C62" s="75"/>
      <c r="D62" s="75"/>
      <c r="E62" s="40" t="s">
        <v>23</v>
      </c>
      <c r="F62" s="75"/>
      <c r="G62" s="75" t="s">
        <v>24</v>
      </c>
      <c r="H62" s="75"/>
      <c r="I62" s="40" t="s">
        <v>60</v>
      </c>
      <c r="J62" s="56"/>
      <c r="K62" s="4" t="str">
        <f t="shared" si="1"/>
        <v/>
      </c>
      <c r="L62" s="17" t="str">
        <f t="shared" si="2"/>
        <v/>
      </c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36"/>
      <c r="Z62" s="5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</row>
    <row r="63" ht="15.75" customHeight="1">
      <c r="A63" s="83"/>
      <c r="B63" s="36"/>
      <c r="C63" s="36"/>
      <c r="D63" s="36"/>
      <c r="E63" s="36"/>
      <c r="F63" s="36"/>
      <c r="G63" s="36"/>
      <c r="H63" s="36"/>
      <c r="I63" s="3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36"/>
      <c r="Z63" s="5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</row>
    <row r="64" ht="15.75" customHeight="1">
      <c r="A64" s="83"/>
      <c r="B64" s="36"/>
      <c r="C64" s="36"/>
      <c r="D64" s="36"/>
      <c r="E64" s="36"/>
      <c r="F64" s="36"/>
      <c r="G64" s="36"/>
      <c r="H64" s="36"/>
      <c r="I64" s="3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36"/>
      <c r="Z64" s="5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</row>
    <row r="65" ht="15.75" customHeight="1">
      <c r="A65" s="83"/>
      <c r="B65" s="36"/>
      <c r="C65" s="36"/>
      <c r="D65" s="36"/>
      <c r="E65" s="36"/>
      <c r="F65" s="36"/>
      <c r="G65" s="36"/>
      <c r="H65" s="36"/>
      <c r="I65" s="3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36"/>
      <c r="Z65" s="5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</row>
    <row r="66" ht="15.75" customHeight="1">
      <c r="A66" s="83"/>
      <c r="B66" s="36"/>
      <c r="C66" s="36"/>
      <c r="D66" s="36"/>
      <c r="E66" s="36"/>
      <c r="F66" s="36"/>
      <c r="G66" s="36"/>
      <c r="H66" s="36"/>
      <c r="I66" s="3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36"/>
      <c r="Z66" s="5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</row>
    <row r="67" ht="15.75" customHeight="1">
      <c r="A67" s="51" t="s">
        <v>181</v>
      </c>
      <c r="H67" s="2"/>
      <c r="I67" s="3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36"/>
      <c r="Z67" s="5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</row>
    <row r="68" ht="15.75" customHeight="1">
      <c r="A68" s="5" t="s">
        <v>1</v>
      </c>
      <c r="B68" s="5" t="s">
        <v>2</v>
      </c>
      <c r="C68" s="5" t="s">
        <v>3</v>
      </c>
      <c r="D68" s="5" t="s">
        <v>4</v>
      </c>
      <c r="E68" s="5" t="s">
        <v>5</v>
      </c>
      <c r="F68" s="6" t="s">
        <v>6</v>
      </c>
      <c r="G68" s="7"/>
      <c r="H68" s="8"/>
      <c r="I68" s="5" t="s">
        <v>7</v>
      </c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36"/>
      <c r="Z68" s="5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</row>
    <row r="69" ht="15.75" customHeight="1">
      <c r="A69" s="52" t="s">
        <v>68</v>
      </c>
      <c r="B69" s="39"/>
      <c r="C69" s="12"/>
      <c r="D69" s="12"/>
      <c r="E69" s="40" t="s">
        <v>69</v>
      </c>
      <c r="F69" s="30"/>
      <c r="G69" s="16" t="s">
        <v>24</v>
      </c>
      <c r="H69" s="30"/>
      <c r="I69" s="40" t="s">
        <v>139</v>
      </c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36"/>
      <c r="Z69" s="5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</row>
    <row r="70" ht="15.75" customHeight="1">
      <c r="A70" s="24"/>
      <c r="B70" s="39"/>
      <c r="C70" s="12"/>
      <c r="D70" s="12"/>
      <c r="E70" s="40" t="s">
        <v>71</v>
      </c>
      <c r="F70" s="30"/>
      <c r="G70" s="16" t="s">
        <v>24</v>
      </c>
      <c r="H70" s="30"/>
      <c r="I70" s="40" t="s">
        <v>72</v>
      </c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36"/>
      <c r="Z70" s="5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</row>
    <row r="71" ht="15.75" customHeight="1">
      <c r="A71" s="24"/>
      <c r="B71" s="39"/>
      <c r="C71" s="12"/>
      <c r="D71" s="12"/>
      <c r="E71" s="40" t="s">
        <v>73</v>
      </c>
      <c r="F71" s="30"/>
      <c r="G71" s="16" t="s">
        <v>24</v>
      </c>
      <c r="H71" s="30"/>
      <c r="I71" s="40" t="s">
        <v>74</v>
      </c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36"/>
      <c r="Z71" s="5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</row>
    <row r="72" ht="15.75" customHeight="1">
      <c r="A72" s="28"/>
      <c r="B72" s="39"/>
      <c r="C72" s="12"/>
      <c r="D72" s="12"/>
      <c r="E72" s="40" t="s">
        <v>75</v>
      </c>
      <c r="F72" s="30"/>
      <c r="G72" s="16" t="s">
        <v>24</v>
      </c>
      <c r="H72" s="30"/>
      <c r="I72" s="40" t="s">
        <v>76</v>
      </c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36"/>
      <c r="Z72" s="5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</row>
    <row r="73" ht="15.75" customHeight="1">
      <c r="A73" s="53" t="s">
        <v>77</v>
      </c>
      <c r="B73" s="39"/>
      <c r="C73" s="12"/>
      <c r="D73" s="12"/>
      <c r="E73" s="40" t="s">
        <v>78</v>
      </c>
      <c r="F73" s="30"/>
      <c r="G73" s="16" t="s">
        <v>24</v>
      </c>
      <c r="H73" s="30"/>
      <c r="I73" s="40" t="s">
        <v>79</v>
      </c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36"/>
      <c r="Z73" s="5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</row>
    <row r="74" ht="15.75" customHeight="1">
      <c r="A74" s="24"/>
      <c r="B74" s="49"/>
      <c r="C74" s="30"/>
      <c r="D74" s="12"/>
      <c r="E74" s="42" t="s">
        <v>80</v>
      </c>
      <c r="F74" s="13"/>
      <c r="G74" s="16" t="s">
        <v>24</v>
      </c>
      <c r="H74" s="13"/>
      <c r="I74" s="40" t="s">
        <v>81</v>
      </c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36"/>
      <c r="Z74" s="5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</row>
    <row r="75" ht="15.75" customHeight="1">
      <c r="A75" s="54" t="s">
        <v>82</v>
      </c>
      <c r="B75" s="29"/>
      <c r="C75" s="30"/>
      <c r="D75" s="12"/>
      <c r="E75" s="40" t="s">
        <v>83</v>
      </c>
      <c r="F75" s="30"/>
      <c r="G75" s="16" t="s">
        <v>24</v>
      </c>
      <c r="H75" s="30"/>
      <c r="I75" s="43" t="s">
        <v>84</v>
      </c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36"/>
      <c r="Z75" s="5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</row>
    <row r="76" ht="15.75" customHeight="1">
      <c r="A76" s="54" t="s">
        <v>85</v>
      </c>
      <c r="B76" s="29"/>
      <c r="C76" s="30"/>
      <c r="D76" s="12"/>
      <c r="E76" s="40" t="s">
        <v>86</v>
      </c>
      <c r="F76" s="30"/>
      <c r="G76" s="16" t="s">
        <v>24</v>
      </c>
      <c r="H76" s="30"/>
      <c r="I76" s="40" t="s">
        <v>87</v>
      </c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36"/>
      <c r="Z76" s="5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</row>
    <row r="77" ht="15.75" customHeight="1">
      <c r="A77" s="83"/>
      <c r="B77" s="36"/>
      <c r="C77" s="36"/>
      <c r="D77" s="36"/>
      <c r="E77" s="36"/>
      <c r="F77" s="36"/>
      <c r="G77" s="36"/>
      <c r="H77" s="36"/>
      <c r="I77" s="3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36"/>
      <c r="Z77" s="5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</row>
    <row r="78" ht="15.75" customHeight="1">
      <c r="A78" s="83"/>
      <c r="B78" s="36"/>
      <c r="C78" s="36"/>
      <c r="D78" s="36"/>
      <c r="E78" s="36"/>
      <c r="F78" s="36"/>
      <c r="G78" s="36"/>
      <c r="H78" s="36"/>
      <c r="I78" s="3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36"/>
      <c r="Z78" s="5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</row>
    <row r="79" ht="15.75" customHeight="1">
      <c r="A79" s="83"/>
      <c r="B79" s="36"/>
      <c r="C79" s="36"/>
      <c r="D79" s="36"/>
      <c r="E79" s="36"/>
      <c r="F79" s="36"/>
      <c r="G79" s="36"/>
      <c r="H79" s="36"/>
      <c r="I79" s="3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36"/>
      <c r="Z79" s="5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</row>
    <row r="80" ht="15.75" customHeight="1">
      <c r="A80" s="83"/>
      <c r="B80" s="36"/>
      <c r="C80" s="36"/>
      <c r="D80" s="36"/>
      <c r="E80" s="36"/>
      <c r="F80" s="36"/>
      <c r="G80" s="36"/>
      <c r="H80" s="36"/>
      <c r="I80" s="3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36"/>
      <c r="Z80" s="5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</row>
    <row r="81" ht="15.75" customHeight="1">
      <c r="A81" s="83"/>
      <c r="B81" s="36"/>
      <c r="C81" s="36"/>
      <c r="D81" s="36"/>
      <c r="E81" s="36"/>
      <c r="F81" s="36"/>
      <c r="G81" s="36"/>
      <c r="H81" s="36"/>
      <c r="I81" s="3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36"/>
      <c r="Z81" s="5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</row>
    <row r="82" ht="15.75" customHeight="1">
      <c r="A82" s="83"/>
      <c r="B82" s="36"/>
      <c r="C82" s="36"/>
      <c r="D82" s="36"/>
      <c r="E82" s="36"/>
      <c r="F82" s="36"/>
      <c r="G82" s="36"/>
      <c r="H82" s="36"/>
      <c r="I82" s="3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36"/>
      <c r="Z82" s="5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</row>
    <row r="83" ht="15.75" customHeight="1">
      <c r="A83" s="83"/>
      <c r="B83" s="36"/>
      <c r="C83" s="36"/>
      <c r="D83" s="36"/>
      <c r="E83" s="36"/>
      <c r="F83" s="36"/>
      <c r="G83" s="36"/>
      <c r="H83" s="36"/>
      <c r="I83" s="3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36"/>
      <c r="Z83" s="5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</row>
    <row r="84" ht="15.75" customHeight="1">
      <c r="A84" s="83"/>
      <c r="B84" s="36"/>
      <c r="C84" s="36"/>
      <c r="D84" s="36"/>
      <c r="E84" s="36"/>
      <c r="F84" s="36"/>
      <c r="G84" s="36"/>
      <c r="H84" s="36"/>
      <c r="I84" s="3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36"/>
      <c r="Z84" s="5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</row>
    <row r="85" ht="15.75" customHeight="1">
      <c r="A85" s="83"/>
      <c r="B85" s="36"/>
      <c r="C85" s="36"/>
      <c r="D85" s="36"/>
      <c r="E85" s="36"/>
      <c r="F85" s="36"/>
      <c r="G85" s="36"/>
      <c r="H85" s="36"/>
      <c r="I85" s="3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36"/>
      <c r="Z85" s="5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</row>
    <row r="86" ht="15.75" customHeight="1">
      <c r="A86" s="83"/>
      <c r="B86" s="36"/>
      <c r="C86" s="36"/>
      <c r="D86" s="36"/>
      <c r="E86" s="36"/>
      <c r="F86" s="36"/>
      <c r="G86" s="36"/>
      <c r="H86" s="36"/>
      <c r="I86" s="3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36"/>
      <c r="Z86" s="5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</row>
    <row r="87" ht="15.75" customHeight="1">
      <c r="A87" s="83"/>
      <c r="B87" s="36"/>
      <c r="C87" s="36"/>
      <c r="D87" s="36"/>
      <c r="E87" s="36"/>
      <c r="F87" s="36"/>
      <c r="G87" s="36"/>
      <c r="H87" s="36"/>
      <c r="I87" s="3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36"/>
      <c r="Z87" s="5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</row>
    <row r="88" ht="15.75" customHeight="1">
      <c r="A88" s="83"/>
      <c r="B88" s="36"/>
      <c r="C88" s="36"/>
      <c r="D88" s="36"/>
      <c r="E88" s="36"/>
      <c r="F88" s="36"/>
      <c r="G88" s="36"/>
      <c r="H88" s="36"/>
      <c r="I88" s="3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36"/>
      <c r="Z88" s="5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</row>
    <row r="89" ht="15.75" customHeight="1">
      <c r="A89" s="83"/>
      <c r="B89" s="36"/>
      <c r="C89" s="36"/>
      <c r="D89" s="36"/>
      <c r="E89" s="36"/>
      <c r="F89" s="36"/>
      <c r="G89" s="36"/>
      <c r="H89" s="36"/>
      <c r="I89" s="3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36"/>
      <c r="Z89" s="5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</row>
    <row r="90" ht="15.75" customHeight="1">
      <c r="A90" s="83"/>
      <c r="B90" s="36"/>
      <c r="C90" s="36"/>
      <c r="D90" s="36"/>
      <c r="E90" s="36"/>
      <c r="F90" s="36"/>
      <c r="G90" s="36"/>
      <c r="H90" s="36"/>
      <c r="I90" s="3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36"/>
      <c r="Z90" s="5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</row>
    <row r="91" ht="15.75" customHeight="1">
      <c r="A91" s="83"/>
      <c r="B91" s="36"/>
      <c r="C91" s="36"/>
      <c r="D91" s="36"/>
      <c r="E91" s="36"/>
      <c r="F91" s="36"/>
      <c r="G91" s="36"/>
      <c r="H91" s="36"/>
      <c r="I91" s="3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36"/>
      <c r="Z91" s="5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</row>
    <row r="92" ht="15.75" customHeight="1">
      <c r="A92" s="83"/>
      <c r="B92" s="36"/>
      <c r="C92" s="36"/>
      <c r="D92" s="36"/>
      <c r="E92" s="36"/>
      <c r="F92" s="36"/>
      <c r="G92" s="36"/>
      <c r="H92" s="36"/>
      <c r="I92" s="3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36"/>
      <c r="Z92" s="5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</row>
    <row r="93" ht="15.75" customHeight="1">
      <c r="A93" s="83"/>
      <c r="B93" s="36"/>
      <c r="C93" s="36"/>
      <c r="D93" s="36"/>
      <c r="E93" s="36"/>
      <c r="F93" s="36"/>
      <c r="G93" s="36"/>
      <c r="H93" s="36"/>
      <c r="I93" s="3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36"/>
      <c r="Z93" s="5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</row>
    <row r="94" ht="15.75" customHeight="1">
      <c r="A94" s="83"/>
      <c r="B94" s="36"/>
      <c r="C94" s="36"/>
      <c r="D94" s="36"/>
      <c r="E94" s="36"/>
      <c r="F94" s="36"/>
      <c r="G94" s="36"/>
      <c r="H94" s="36"/>
      <c r="I94" s="3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36"/>
      <c r="Z94" s="5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</row>
    <row r="95" ht="15.75" customHeight="1">
      <c r="A95" s="83"/>
      <c r="B95" s="36"/>
      <c r="C95" s="36"/>
      <c r="D95" s="36"/>
      <c r="E95" s="36"/>
      <c r="F95" s="36"/>
      <c r="G95" s="36"/>
      <c r="H95" s="36"/>
      <c r="I95" s="3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36"/>
      <c r="Z95" s="5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</row>
    <row r="96" ht="15.75" customHeight="1">
      <c r="A96" s="83"/>
      <c r="B96" s="36"/>
      <c r="C96" s="36"/>
      <c r="D96" s="36"/>
      <c r="E96" s="36"/>
      <c r="F96" s="36"/>
      <c r="G96" s="36"/>
      <c r="H96" s="36"/>
      <c r="I96" s="3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36"/>
      <c r="Z96" s="5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</row>
    <row r="97" ht="15.75" customHeight="1">
      <c r="A97" s="83"/>
      <c r="B97" s="36"/>
      <c r="C97" s="36"/>
      <c r="D97" s="36"/>
      <c r="E97" s="36"/>
      <c r="F97" s="36"/>
      <c r="G97" s="36"/>
      <c r="H97" s="36"/>
      <c r="I97" s="3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36"/>
      <c r="Z97" s="5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</row>
    <row r="98" ht="15.75" customHeight="1">
      <c r="A98" s="83"/>
      <c r="B98" s="36"/>
      <c r="C98" s="36"/>
      <c r="D98" s="36"/>
      <c r="E98" s="36"/>
      <c r="F98" s="36"/>
      <c r="G98" s="36"/>
      <c r="H98" s="36"/>
      <c r="I98" s="3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36"/>
      <c r="Z98" s="5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</row>
    <row r="99" ht="15.75" customHeight="1">
      <c r="A99" s="83"/>
      <c r="B99" s="36"/>
      <c r="C99" s="36"/>
      <c r="D99" s="36"/>
      <c r="E99" s="36"/>
      <c r="F99" s="36"/>
      <c r="G99" s="36"/>
      <c r="H99" s="36"/>
      <c r="I99" s="3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36"/>
      <c r="Z99" s="5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</row>
    <row r="100" ht="15.75" customHeight="1">
      <c r="A100" s="83"/>
      <c r="B100" s="36"/>
      <c r="C100" s="36"/>
      <c r="D100" s="36"/>
      <c r="E100" s="36"/>
      <c r="F100" s="36"/>
      <c r="G100" s="36"/>
      <c r="H100" s="36"/>
      <c r="I100" s="3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36"/>
      <c r="Z100" s="5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</row>
    <row r="101" ht="15.75" customHeight="1">
      <c r="A101" s="83"/>
      <c r="B101" s="36"/>
      <c r="C101" s="36"/>
      <c r="D101" s="36"/>
      <c r="E101" s="36"/>
      <c r="F101" s="36"/>
      <c r="G101" s="36"/>
      <c r="H101" s="36"/>
      <c r="I101" s="3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36"/>
      <c r="Z101" s="5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</row>
    <row r="102" ht="15.75" customHeight="1">
      <c r="A102" s="83"/>
      <c r="B102" s="36"/>
      <c r="C102" s="36"/>
      <c r="D102" s="36"/>
      <c r="E102" s="36"/>
      <c r="F102" s="36"/>
      <c r="G102" s="36"/>
      <c r="H102" s="36"/>
      <c r="I102" s="3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36"/>
      <c r="Z102" s="5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</row>
    <row r="103" ht="15.75" customHeight="1">
      <c r="A103" s="83"/>
      <c r="B103" s="36"/>
      <c r="C103" s="36"/>
      <c r="D103" s="36"/>
      <c r="E103" s="36"/>
      <c r="F103" s="36"/>
      <c r="G103" s="36"/>
      <c r="H103" s="36"/>
      <c r="I103" s="3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36"/>
      <c r="Z103" s="5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</row>
    <row r="104" ht="15.75" customHeight="1">
      <c r="A104" s="83"/>
      <c r="B104" s="36"/>
      <c r="C104" s="36"/>
      <c r="D104" s="36"/>
      <c r="E104" s="36"/>
      <c r="F104" s="36"/>
      <c r="G104" s="36"/>
      <c r="H104" s="36"/>
      <c r="I104" s="3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36"/>
      <c r="Z104" s="5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</row>
    <row r="105" ht="15.75" customHeight="1">
      <c r="A105" s="83"/>
      <c r="B105" s="36"/>
      <c r="C105" s="36"/>
      <c r="D105" s="36"/>
      <c r="E105" s="36"/>
      <c r="F105" s="36"/>
      <c r="G105" s="36"/>
      <c r="H105" s="36"/>
      <c r="I105" s="3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36"/>
      <c r="Z105" s="5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</row>
    <row r="106" ht="15.75" customHeight="1">
      <c r="A106" s="83"/>
      <c r="B106" s="36"/>
      <c r="C106" s="36"/>
      <c r="D106" s="36"/>
      <c r="E106" s="36"/>
      <c r="F106" s="36"/>
      <c r="G106" s="36"/>
      <c r="H106" s="36"/>
      <c r="I106" s="3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36"/>
      <c r="Z106" s="5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</row>
    <row r="107" ht="15.75" customHeight="1">
      <c r="A107" s="83"/>
      <c r="B107" s="36"/>
      <c r="C107" s="36"/>
      <c r="D107" s="36"/>
      <c r="E107" s="36"/>
      <c r="F107" s="36"/>
      <c r="G107" s="36"/>
      <c r="H107" s="36"/>
      <c r="I107" s="3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36"/>
      <c r="Z107" s="5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</row>
    <row r="108" ht="15.75" customHeight="1">
      <c r="A108" s="83"/>
      <c r="B108" s="36"/>
      <c r="C108" s="36"/>
      <c r="D108" s="36"/>
      <c r="E108" s="36"/>
      <c r="F108" s="36"/>
      <c r="G108" s="36"/>
      <c r="H108" s="36"/>
      <c r="I108" s="3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36"/>
      <c r="Z108" s="5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</row>
    <row r="109" ht="15.75" customHeight="1">
      <c r="A109" s="83"/>
      <c r="B109" s="36"/>
      <c r="C109" s="36"/>
      <c r="D109" s="36"/>
      <c r="E109" s="36"/>
      <c r="F109" s="36"/>
      <c r="G109" s="36"/>
      <c r="H109" s="36"/>
      <c r="I109" s="3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36"/>
      <c r="Z109" s="5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</row>
    <row r="110" ht="15.75" customHeight="1">
      <c r="A110" s="83"/>
      <c r="B110" s="36"/>
      <c r="C110" s="36"/>
      <c r="D110" s="36"/>
      <c r="E110" s="36"/>
      <c r="F110" s="36"/>
      <c r="G110" s="36"/>
      <c r="H110" s="36"/>
      <c r="I110" s="3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36"/>
      <c r="Z110" s="5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</row>
    <row r="111" ht="15.75" customHeight="1">
      <c r="A111" s="83"/>
      <c r="B111" s="36"/>
      <c r="C111" s="36"/>
      <c r="D111" s="36"/>
      <c r="E111" s="36"/>
      <c r="F111" s="36"/>
      <c r="G111" s="36"/>
      <c r="H111" s="36"/>
      <c r="I111" s="3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36"/>
      <c r="Z111" s="5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</row>
    <row r="112" ht="15.75" customHeight="1">
      <c r="A112" s="83"/>
      <c r="B112" s="36"/>
      <c r="C112" s="36"/>
      <c r="D112" s="36"/>
      <c r="E112" s="36"/>
      <c r="F112" s="36"/>
      <c r="G112" s="36"/>
      <c r="H112" s="36"/>
      <c r="I112" s="3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36"/>
      <c r="Z112" s="5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</row>
    <row r="113" ht="15.75" customHeight="1">
      <c r="A113" s="83"/>
      <c r="B113" s="36"/>
      <c r="C113" s="36"/>
      <c r="D113" s="36"/>
      <c r="E113" s="36"/>
      <c r="F113" s="36"/>
      <c r="G113" s="36"/>
      <c r="H113" s="36"/>
      <c r="I113" s="3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36"/>
      <c r="Z113" s="5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</row>
    <row r="114" ht="15.75" customHeight="1">
      <c r="A114" s="83"/>
      <c r="B114" s="36"/>
      <c r="C114" s="36"/>
      <c r="D114" s="36"/>
      <c r="E114" s="36"/>
      <c r="F114" s="36"/>
      <c r="G114" s="36"/>
      <c r="H114" s="36"/>
      <c r="I114" s="3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36"/>
      <c r="Z114" s="5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</row>
    <row r="115" ht="15.75" customHeight="1">
      <c r="A115" s="83"/>
      <c r="B115" s="36"/>
      <c r="C115" s="36"/>
      <c r="D115" s="36"/>
      <c r="E115" s="36"/>
      <c r="F115" s="36"/>
      <c r="G115" s="36"/>
      <c r="H115" s="36"/>
      <c r="I115" s="3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36"/>
      <c r="Z115" s="5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</row>
    <row r="116" ht="15.75" customHeight="1">
      <c r="A116" s="83"/>
      <c r="B116" s="36"/>
      <c r="C116" s="36"/>
      <c r="D116" s="36"/>
      <c r="E116" s="36"/>
      <c r="F116" s="36"/>
      <c r="G116" s="36"/>
      <c r="H116" s="36"/>
      <c r="I116" s="3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36"/>
      <c r="Z116" s="5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</row>
    <row r="117" ht="15.75" customHeight="1">
      <c r="A117" s="83"/>
      <c r="B117" s="36"/>
      <c r="C117" s="36"/>
      <c r="D117" s="36"/>
      <c r="E117" s="36"/>
      <c r="F117" s="36"/>
      <c r="G117" s="36"/>
      <c r="H117" s="36"/>
      <c r="I117" s="3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36"/>
      <c r="Z117" s="5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</row>
    <row r="118" ht="15.75" customHeight="1">
      <c r="A118" s="83"/>
      <c r="B118" s="36"/>
      <c r="C118" s="36"/>
      <c r="D118" s="36"/>
      <c r="E118" s="36"/>
      <c r="F118" s="36"/>
      <c r="G118" s="36"/>
      <c r="H118" s="36"/>
      <c r="I118" s="3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36"/>
      <c r="Z118" s="5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</row>
    <row r="119" ht="15.75" customHeight="1">
      <c r="A119" s="83"/>
      <c r="B119" s="36"/>
      <c r="C119" s="36"/>
      <c r="D119" s="36"/>
      <c r="E119" s="36"/>
      <c r="F119" s="36"/>
      <c r="G119" s="36"/>
      <c r="H119" s="36"/>
      <c r="I119" s="3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36"/>
      <c r="Z119" s="5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</row>
    <row r="120" ht="15.75" customHeight="1">
      <c r="A120" s="83"/>
      <c r="B120" s="36"/>
      <c r="C120" s="36"/>
      <c r="D120" s="36"/>
      <c r="E120" s="36"/>
      <c r="F120" s="36"/>
      <c r="G120" s="36"/>
      <c r="H120" s="36"/>
      <c r="I120" s="3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36"/>
      <c r="Z120" s="5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</row>
    <row r="121" ht="15.75" customHeight="1">
      <c r="A121" s="83"/>
      <c r="B121" s="36"/>
      <c r="C121" s="36"/>
      <c r="D121" s="36"/>
      <c r="E121" s="36"/>
      <c r="F121" s="36"/>
      <c r="G121" s="36"/>
      <c r="H121" s="36"/>
      <c r="I121" s="3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36"/>
      <c r="Z121" s="5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</row>
    <row r="122" ht="15.75" customHeight="1">
      <c r="A122" s="83"/>
      <c r="B122" s="36"/>
      <c r="C122" s="36"/>
      <c r="D122" s="36"/>
      <c r="E122" s="36"/>
      <c r="F122" s="36"/>
      <c r="G122" s="36"/>
      <c r="H122" s="36"/>
      <c r="I122" s="3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36"/>
      <c r="Z122" s="5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</row>
    <row r="123" ht="15.75" customHeight="1">
      <c r="A123" s="83"/>
      <c r="B123" s="36"/>
      <c r="C123" s="36"/>
      <c r="D123" s="36"/>
      <c r="E123" s="36"/>
      <c r="F123" s="36"/>
      <c r="G123" s="36"/>
      <c r="H123" s="36"/>
      <c r="I123" s="3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36"/>
      <c r="Z123" s="5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</row>
    <row r="124" ht="15.75" customHeight="1">
      <c r="A124" s="83"/>
      <c r="B124" s="36"/>
      <c r="C124" s="36"/>
      <c r="D124" s="36"/>
      <c r="E124" s="36"/>
      <c r="F124" s="36"/>
      <c r="G124" s="36"/>
      <c r="H124" s="36"/>
      <c r="I124" s="3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36"/>
      <c r="Z124" s="5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</row>
    <row r="125" ht="15.75" customHeight="1">
      <c r="A125" s="83"/>
      <c r="B125" s="36"/>
      <c r="C125" s="36"/>
      <c r="D125" s="36"/>
      <c r="E125" s="36"/>
      <c r="F125" s="36"/>
      <c r="G125" s="36"/>
      <c r="H125" s="36"/>
      <c r="I125" s="3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36"/>
      <c r="Z125" s="5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</row>
    <row r="126" ht="15.75" customHeight="1">
      <c r="A126" s="83"/>
      <c r="B126" s="36"/>
      <c r="C126" s="36"/>
      <c r="D126" s="36"/>
      <c r="E126" s="36"/>
      <c r="F126" s="36"/>
      <c r="G126" s="36"/>
      <c r="H126" s="36"/>
      <c r="I126" s="3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36"/>
      <c r="Z126" s="5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</row>
    <row r="127" ht="15.75" customHeight="1">
      <c r="A127" s="83"/>
      <c r="B127" s="36"/>
      <c r="C127" s="36"/>
      <c r="D127" s="36"/>
      <c r="E127" s="36"/>
      <c r="F127" s="36"/>
      <c r="G127" s="36"/>
      <c r="H127" s="36"/>
      <c r="I127" s="3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36"/>
      <c r="Z127" s="5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</row>
    <row r="128" ht="15.75" customHeight="1">
      <c r="A128" s="83"/>
      <c r="B128" s="36"/>
      <c r="C128" s="36"/>
      <c r="D128" s="36"/>
      <c r="E128" s="36"/>
      <c r="F128" s="36"/>
      <c r="G128" s="36"/>
      <c r="H128" s="36"/>
      <c r="I128" s="3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36"/>
      <c r="Z128" s="5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</row>
    <row r="129" ht="15.75" customHeight="1">
      <c r="A129" s="83"/>
      <c r="B129" s="36"/>
      <c r="C129" s="36"/>
      <c r="D129" s="36"/>
      <c r="E129" s="36"/>
      <c r="F129" s="36"/>
      <c r="G129" s="36"/>
      <c r="H129" s="36"/>
      <c r="I129" s="3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36"/>
      <c r="Z129" s="5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</row>
    <row r="130" ht="15.75" customHeight="1">
      <c r="A130" s="83"/>
      <c r="B130" s="36"/>
      <c r="C130" s="36"/>
      <c r="D130" s="36"/>
      <c r="E130" s="36"/>
      <c r="F130" s="36"/>
      <c r="G130" s="36"/>
      <c r="H130" s="36"/>
      <c r="I130" s="3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36"/>
      <c r="Z130" s="5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</row>
    <row r="131" ht="15.75" customHeight="1">
      <c r="A131" s="83"/>
      <c r="B131" s="36"/>
      <c r="C131" s="36"/>
      <c r="D131" s="36"/>
      <c r="E131" s="36"/>
      <c r="F131" s="36"/>
      <c r="G131" s="36"/>
      <c r="H131" s="36"/>
      <c r="I131" s="3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36"/>
      <c r="Z131" s="5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</row>
    <row r="132" ht="15.75" customHeight="1">
      <c r="A132" s="83"/>
      <c r="B132" s="36"/>
      <c r="C132" s="36"/>
      <c r="D132" s="36"/>
      <c r="E132" s="36"/>
      <c r="F132" s="36"/>
      <c r="G132" s="36"/>
      <c r="H132" s="36"/>
      <c r="I132" s="3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36"/>
      <c r="Z132" s="5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</row>
    <row r="133" ht="15.75" customHeight="1">
      <c r="A133" s="83"/>
      <c r="B133" s="36"/>
      <c r="C133" s="36"/>
      <c r="D133" s="36"/>
      <c r="E133" s="36"/>
      <c r="F133" s="36"/>
      <c r="G133" s="36"/>
      <c r="H133" s="36"/>
      <c r="I133" s="3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36"/>
      <c r="Z133" s="5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</row>
    <row r="134" ht="15.75" customHeight="1">
      <c r="A134" s="83"/>
      <c r="B134" s="36"/>
      <c r="C134" s="36"/>
      <c r="D134" s="36"/>
      <c r="E134" s="36"/>
      <c r="F134" s="36"/>
      <c r="G134" s="36"/>
      <c r="H134" s="36"/>
      <c r="I134" s="3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36"/>
      <c r="Z134" s="5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</row>
    <row r="135" ht="15.75" customHeight="1">
      <c r="A135" s="83"/>
      <c r="B135" s="36"/>
      <c r="C135" s="36"/>
      <c r="D135" s="36"/>
      <c r="E135" s="36"/>
      <c r="F135" s="36"/>
      <c r="G135" s="36"/>
      <c r="H135" s="36"/>
      <c r="I135" s="3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36"/>
      <c r="Z135" s="5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</row>
    <row r="136" ht="15.75" customHeight="1">
      <c r="A136" s="83"/>
      <c r="B136" s="36"/>
      <c r="C136" s="36"/>
      <c r="D136" s="36"/>
      <c r="E136" s="36"/>
      <c r="F136" s="36"/>
      <c r="G136" s="36"/>
      <c r="H136" s="36"/>
      <c r="I136" s="3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36"/>
      <c r="Z136" s="5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</row>
    <row r="137" ht="15.75" customHeight="1">
      <c r="A137" s="83"/>
      <c r="B137" s="36"/>
      <c r="C137" s="36"/>
      <c r="D137" s="36"/>
      <c r="E137" s="36"/>
      <c r="F137" s="36"/>
      <c r="G137" s="36"/>
      <c r="H137" s="36"/>
      <c r="I137" s="3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36"/>
      <c r="Z137" s="5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</row>
    <row r="138" ht="15.75" customHeight="1">
      <c r="A138" s="83"/>
      <c r="B138" s="36"/>
      <c r="C138" s="36"/>
      <c r="D138" s="36"/>
      <c r="E138" s="36"/>
      <c r="F138" s="36"/>
      <c r="G138" s="36"/>
      <c r="H138" s="36"/>
      <c r="I138" s="3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36"/>
      <c r="Z138" s="5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</row>
    <row r="139" ht="15.75" customHeight="1">
      <c r="A139" s="83"/>
      <c r="B139" s="36"/>
      <c r="C139" s="36"/>
      <c r="D139" s="36"/>
      <c r="E139" s="36"/>
      <c r="F139" s="36"/>
      <c r="G139" s="36"/>
      <c r="H139" s="36"/>
      <c r="I139" s="3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36"/>
      <c r="Z139" s="5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</row>
    <row r="140" ht="15.75" customHeight="1">
      <c r="A140" s="83"/>
      <c r="B140" s="36"/>
      <c r="C140" s="36"/>
      <c r="D140" s="36"/>
      <c r="E140" s="36"/>
      <c r="F140" s="36"/>
      <c r="G140" s="36"/>
      <c r="H140" s="36"/>
      <c r="I140" s="3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36"/>
      <c r="Z140" s="5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</row>
    <row r="141" ht="15.75" customHeight="1">
      <c r="A141" s="83"/>
      <c r="B141" s="36"/>
      <c r="C141" s="36"/>
      <c r="D141" s="36"/>
      <c r="E141" s="36"/>
      <c r="F141" s="36"/>
      <c r="G141" s="36"/>
      <c r="H141" s="36"/>
      <c r="I141" s="3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36"/>
      <c r="Z141" s="5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</row>
    <row r="142" ht="15.75" customHeight="1">
      <c r="A142" s="83"/>
      <c r="B142" s="36"/>
      <c r="C142" s="36"/>
      <c r="D142" s="36"/>
      <c r="E142" s="36"/>
      <c r="F142" s="36"/>
      <c r="G142" s="36"/>
      <c r="H142" s="36"/>
      <c r="I142" s="3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36"/>
      <c r="Z142" s="5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</row>
    <row r="143" ht="15.75" customHeight="1">
      <c r="A143" s="83"/>
      <c r="B143" s="36"/>
      <c r="C143" s="36"/>
      <c r="D143" s="36"/>
      <c r="E143" s="36"/>
      <c r="F143" s="36"/>
      <c r="G143" s="36"/>
      <c r="H143" s="36"/>
      <c r="I143" s="3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36"/>
      <c r="Z143" s="5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</row>
    <row r="144" ht="15.75" customHeight="1">
      <c r="A144" s="83"/>
      <c r="B144" s="36"/>
      <c r="C144" s="36"/>
      <c r="D144" s="36"/>
      <c r="E144" s="36"/>
      <c r="F144" s="36"/>
      <c r="G144" s="36"/>
      <c r="H144" s="36"/>
      <c r="I144" s="3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36"/>
      <c r="Z144" s="5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</row>
    <row r="145" ht="15.75" customHeight="1">
      <c r="A145" s="83"/>
      <c r="B145" s="36"/>
      <c r="C145" s="36"/>
      <c r="D145" s="36"/>
      <c r="E145" s="36"/>
      <c r="F145" s="36"/>
      <c r="G145" s="36"/>
      <c r="H145" s="36"/>
      <c r="I145" s="3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36"/>
      <c r="Z145" s="5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</row>
    <row r="146" ht="15.75" customHeight="1">
      <c r="A146" s="83"/>
      <c r="B146" s="36"/>
      <c r="C146" s="36"/>
      <c r="D146" s="36"/>
      <c r="E146" s="36"/>
      <c r="F146" s="36"/>
      <c r="G146" s="36"/>
      <c r="H146" s="36"/>
      <c r="I146" s="3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36"/>
      <c r="Z146" s="5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</row>
    <row r="147" ht="15.75" customHeight="1">
      <c r="A147" s="83"/>
      <c r="B147" s="36"/>
      <c r="C147" s="36"/>
      <c r="D147" s="36"/>
      <c r="E147" s="36"/>
      <c r="F147" s="36"/>
      <c r="G147" s="36"/>
      <c r="H147" s="36"/>
      <c r="I147" s="3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36"/>
      <c r="Z147" s="5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</row>
    <row r="148" ht="15.75" customHeight="1">
      <c r="A148" s="83"/>
      <c r="B148" s="36"/>
      <c r="C148" s="36"/>
      <c r="D148" s="36"/>
      <c r="E148" s="36"/>
      <c r="F148" s="36"/>
      <c r="G148" s="36"/>
      <c r="H148" s="36"/>
      <c r="I148" s="3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36"/>
      <c r="Z148" s="5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</row>
    <row r="149" ht="15.75" customHeight="1">
      <c r="A149" s="83"/>
      <c r="B149" s="36"/>
      <c r="C149" s="36"/>
      <c r="D149" s="36"/>
      <c r="E149" s="36"/>
      <c r="F149" s="36"/>
      <c r="G149" s="36"/>
      <c r="H149" s="36"/>
      <c r="I149" s="3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36"/>
      <c r="Z149" s="5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</row>
    <row r="150" ht="15.75" customHeight="1">
      <c r="A150" s="83"/>
      <c r="B150" s="36"/>
      <c r="C150" s="36"/>
      <c r="D150" s="36"/>
      <c r="E150" s="36"/>
      <c r="F150" s="36"/>
      <c r="G150" s="36"/>
      <c r="H150" s="36"/>
      <c r="I150" s="3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36"/>
      <c r="Z150" s="5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</row>
    <row r="151" ht="15.75" customHeight="1">
      <c r="A151" s="83"/>
      <c r="B151" s="36"/>
      <c r="C151" s="36"/>
      <c r="D151" s="36"/>
      <c r="E151" s="36"/>
      <c r="F151" s="36"/>
      <c r="G151" s="36"/>
      <c r="H151" s="36"/>
      <c r="I151" s="3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36"/>
      <c r="Z151" s="5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</row>
    <row r="152" ht="15.75" customHeight="1">
      <c r="A152" s="83"/>
      <c r="B152" s="36"/>
      <c r="C152" s="36"/>
      <c r="D152" s="36"/>
      <c r="E152" s="36"/>
      <c r="F152" s="36"/>
      <c r="G152" s="36"/>
      <c r="H152" s="36"/>
      <c r="I152" s="3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36"/>
      <c r="Z152" s="5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</row>
    <row r="153" ht="15.75" customHeight="1">
      <c r="A153" s="83"/>
      <c r="B153" s="36"/>
      <c r="C153" s="36"/>
      <c r="D153" s="36"/>
      <c r="E153" s="36"/>
      <c r="F153" s="36"/>
      <c r="G153" s="36"/>
      <c r="H153" s="36"/>
      <c r="I153" s="3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36"/>
      <c r="Z153" s="5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</row>
    <row r="154" ht="15.75" customHeight="1">
      <c r="A154" s="83"/>
      <c r="B154" s="36"/>
      <c r="C154" s="36"/>
      <c r="D154" s="36"/>
      <c r="E154" s="36"/>
      <c r="F154" s="36"/>
      <c r="G154" s="36"/>
      <c r="H154" s="36"/>
      <c r="I154" s="3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36"/>
      <c r="Z154" s="5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</row>
    <row r="155" ht="15.75" customHeight="1">
      <c r="A155" s="83"/>
      <c r="B155" s="36"/>
      <c r="C155" s="36"/>
      <c r="D155" s="36"/>
      <c r="E155" s="36"/>
      <c r="F155" s="36"/>
      <c r="G155" s="36"/>
      <c r="H155" s="36"/>
      <c r="I155" s="3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36"/>
      <c r="Z155" s="5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</row>
    <row r="156" ht="15.75" customHeight="1">
      <c r="A156" s="83"/>
      <c r="B156" s="36"/>
      <c r="C156" s="36"/>
      <c r="D156" s="36"/>
      <c r="E156" s="36"/>
      <c r="F156" s="36"/>
      <c r="G156" s="36"/>
      <c r="H156" s="36"/>
      <c r="I156" s="3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36"/>
      <c r="Z156" s="5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</row>
    <row r="157" ht="15.75" customHeight="1">
      <c r="A157" s="83"/>
      <c r="B157" s="36"/>
      <c r="C157" s="36"/>
      <c r="D157" s="36"/>
      <c r="E157" s="36"/>
      <c r="F157" s="36"/>
      <c r="G157" s="36"/>
      <c r="H157" s="36"/>
      <c r="I157" s="3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36"/>
      <c r="Z157" s="5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</row>
    <row r="158" ht="15.75" customHeight="1">
      <c r="A158" s="83"/>
      <c r="B158" s="36"/>
      <c r="C158" s="36"/>
      <c r="D158" s="36"/>
      <c r="E158" s="36"/>
      <c r="F158" s="36"/>
      <c r="G158" s="36"/>
      <c r="H158" s="36"/>
      <c r="I158" s="3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36"/>
      <c r="Z158" s="5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</row>
    <row r="159" ht="15.75" customHeight="1">
      <c r="A159" s="83"/>
      <c r="B159" s="36"/>
      <c r="C159" s="36"/>
      <c r="D159" s="36"/>
      <c r="E159" s="36"/>
      <c r="F159" s="36"/>
      <c r="G159" s="36"/>
      <c r="H159" s="36"/>
      <c r="I159" s="3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36"/>
      <c r="Z159" s="5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</row>
    <row r="160" ht="15.75" customHeight="1">
      <c r="A160" s="83"/>
      <c r="B160" s="36"/>
      <c r="C160" s="36"/>
      <c r="D160" s="36"/>
      <c r="E160" s="36"/>
      <c r="F160" s="36"/>
      <c r="G160" s="36"/>
      <c r="H160" s="36"/>
      <c r="I160" s="3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36"/>
      <c r="Z160" s="5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</row>
    <row r="161" ht="15.75" customHeight="1">
      <c r="A161" s="83"/>
      <c r="B161" s="36"/>
      <c r="C161" s="36"/>
      <c r="D161" s="36"/>
      <c r="E161" s="36"/>
      <c r="F161" s="36"/>
      <c r="G161" s="36"/>
      <c r="H161" s="36"/>
      <c r="I161" s="3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36"/>
      <c r="Z161" s="5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</row>
    <row r="162" ht="15.75" customHeight="1">
      <c r="A162" s="83"/>
      <c r="B162" s="36"/>
      <c r="C162" s="36"/>
      <c r="D162" s="36"/>
      <c r="E162" s="36"/>
      <c r="F162" s="36"/>
      <c r="G162" s="36"/>
      <c r="H162" s="36"/>
      <c r="I162" s="3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36"/>
      <c r="Z162" s="5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</row>
    <row r="163" ht="15.75" customHeight="1">
      <c r="A163" s="83"/>
      <c r="B163" s="36"/>
      <c r="C163" s="36"/>
      <c r="D163" s="36"/>
      <c r="E163" s="36"/>
      <c r="F163" s="36"/>
      <c r="G163" s="36"/>
      <c r="H163" s="36"/>
      <c r="I163" s="3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36"/>
      <c r="Z163" s="5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</row>
    <row r="164" ht="15.75" customHeight="1">
      <c r="A164" s="83"/>
      <c r="B164" s="36"/>
      <c r="C164" s="36"/>
      <c r="D164" s="36"/>
      <c r="E164" s="36"/>
      <c r="F164" s="36"/>
      <c r="G164" s="36"/>
      <c r="H164" s="36"/>
      <c r="I164" s="3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36"/>
      <c r="Z164" s="5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</row>
    <row r="165" ht="15.75" customHeight="1">
      <c r="A165" s="83"/>
      <c r="B165" s="36"/>
      <c r="C165" s="36"/>
      <c r="D165" s="36"/>
      <c r="E165" s="36"/>
      <c r="F165" s="36"/>
      <c r="G165" s="36"/>
      <c r="H165" s="36"/>
      <c r="I165" s="3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36"/>
      <c r="Z165" s="5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</row>
    <row r="166" ht="15.75" customHeight="1">
      <c r="A166" s="83"/>
      <c r="B166" s="36"/>
      <c r="C166" s="36"/>
      <c r="D166" s="36"/>
      <c r="E166" s="36"/>
      <c r="F166" s="36"/>
      <c r="G166" s="36"/>
      <c r="H166" s="36"/>
      <c r="I166" s="3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36"/>
      <c r="Z166" s="5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</row>
    <row r="167" ht="15.75" customHeight="1">
      <c r="A167" s="83"/>
      <c r="B167" s="36"/>
      <c r="C167" s="36"/>
      <c r="D167" s="36"/>
      <c r="E167" s="36"/>
      <c r="F167" s="36"/>
      <c r="G167" s="36"/>
      <c r="H167" s="36"/>
      <c r="I167" s="3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36"/>
      <c r="Z167" s="5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</row>
    <row r="168" ht="15.75" customHeight="1">
      <c r="A168" s="83"/>
      <c r="B168" s="36"/>
      <c r="C168" s="36"/>
      <c r="D168" s="36"/>
      <c r="E168" s="36"/>
      <c r="F168" s="36"/>
      <c r="G168" s="36"/>
      <c r="H168" s="36"/>
      <c r="I168" s="3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36"/>
      <c r="Z168" s="5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</row>
    <row r="169" ht="15.75" customHeight="1">
      <c r="A169" s="83"/>
      <c r="B169" s="36"/>
      <c r="C169" s="36"/>
      <c r="D169" s="36"/>
      <c r="E169" s="36"/>
      <c r="F169" s="36"/>
      <c r="G169" s="36"/>
      <c r="H169" s="36"/>
      <c r="I169" s="3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36"/>
      <c r="Z169" s="5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</row>
    <row r="170" ht="15.75" customHeight="1">
      <c r="A170" s="83"/>
      <c r="B170" s="36"/>
      <c r="C170" s="36"/>
      <c r="D170" s="36"/>
      <c r="E170" s="36"/>
      <c r="F170" s="36"/>
      <c r="G170" s="36"/>
      <c r="H170" s="36"/>
      <c r="I170" s="3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36"/>
      <c r="Z170" s="5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</row>
    <row r="171" ht="15.75" customHeight="1">
      <c r="A171" s="83"/>
      <c r="B171" s="36"/>
      <c r="C171" s="36"/>
      <c r="D171" s="36"/>
      <c r="E171" s="36"/>
      <c r="F171" s="36"/>
      <c r="G171" s="36"/>
      <c r="H171" s="36"/>
      <c r="I171" s="3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36"/>
      <c r="Z171" s="5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</row>
    <row r="172" ht="15.75" customHeight="1">
      <c r="A172" s="83"/>
      <c r="B172" s="36"/>
      <c r="C172" s="36"/>
      <c r="D172" s="36"/>
      <c r="E172" s="36"/>
      <c r="F172" s="36"/>
      <c r="G172" s="36"/>
      <c r="H172" s="36"/>
      <c r="I172" s="3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36"/>
      <c r="Z172" s="5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</row>
    <row r="173" ht="15.75" customHeight="1">
      <c r="A173" s="83"/>
      <c r="B173" s="36"/>
      <c r="C173" s="36"/>
      <c r="D173" s="36"/>
      <c r="E173" s="36"/>
      <c r="F173" s="36"/>
      <c r="G173" s="36"/>
      <c r="H173" s="36"/>
      <c r="I173" s="3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36"/>
      <c r="Z173" s="5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</row>
    <row r="174" ht="15.75" customHeight="1">
      <c r="A174" s="83"/>
      <c r="B174" s="36"/>
      <c r="C174" s="36"/>
      <c r="D174" s="36"/>
      <c r="E174" s="36"/>
      <c r="F174" s="36"/>
      <c r="G174" s="36"/>
      <c r="H174" s="36"/>
      <c r="I174" s="3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36"/>
      <c r="Z174" s="5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</row>
    <row r="175" ht="15.75" customHeight="1">
      <c r="A175" s="83"/>
      <c r="B175" s="36"/>
      <c r="C175" s="36"/>
      <c r="D175" s="36"/>
      <c r="E175" s="36"/>
      <c r="F175" s="36"/>
      <c r="G175" s="36"/>
      <c r="H175" s="36"/>
      <c r="I175" s="3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36"/>
      <c r="Z175" s="5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</row>
    <row r="176" ht="15.75" customHeight="1">
      <c r="A176" s="83"/>
      <c r="B176" s="36"/>
      <c r="C176" s="36"/>
      <c r="D176" s="36"/>
      <c r="E176" s="36"/>
      <c r="F176" s="36"/>
      <c r="G176" s="36"/>
      <c r="H176" s="36"/>
      <c r="I176" s="3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36"/>
      <c r="Z176" s="5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</row>
    <row r="177" ht="15.75" customHeight="1">
      <c r="A177" s="83"/>
      <c r="B177" s="36"/>
      <c r="C177" s="36"/>
      <c r="D177" s="36"/>
      <c r="E177" s="36"/>
      <c r="F177" s="36"/>
      <c r="G177" s="36"/>
      <c r="H177" s="36"/>
      <c r="I177" s="3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36"/>
      <c r="Z177" s="5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</row>
    <row r="178" ht="15.75" customHeight="1">
      <c r="A178" s="83"/>
      <c r="B178" s="36"/>
      <c r="C178" s="36"/>
      <c r="D178" s="36"/>
      <c r="E178" s="36"/>
      <c r="F178" s="36"/>
      <c r="G178" s="36"/>
      <c r="H178" s="36"/>
      <c r="I178" s="3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36"/>
      <c r="Z178" s="5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</row>
    <row r="179" ht="15.75" customHeight="1">
      <c r="A179" s="83"/>
      <c r="B179" s="36"/>
      <c r="C179" s="36"/>
      <c r="D179" s="36"/>
      <c r="E179" s="36"/>
      <c r="F179" s="36"/>
      <c r="G179" s="36"/>
      <c r="H179" s="36"/>
      <c r="I179" s="3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36"/>
      <c r="Z179" s="5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</row>
    <row r="180" ht="15.75" customHeight="1">
      <c r="A180" s="83"/>
      <c r="B180" s="36"/>
      <c r="C180" s="36"/>
      <c r="D180" s="36"/>
      <c r="E180" s="36"/>
      <c r="F180" s="36"/>
      <c r="G180" s="36"/>
      <c r="H180" s="36"/>
      <c r="I180" s="3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36"/>
      <c r="Z180" s="5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</row>
    <row r="181" ht="15.75" customHeight="1">
      <c r="A181" s="83"/>
      <c r="B181" s="36"/>
      <c r="C181" s="36"/>
      <c r="D181" s="36"/>
      <c r="E181" s="36"/>
      <c r="F181" s="36"/>
      <c r="G181" s="36"/>
      <c r="H181" s="36"/>
      <c r="I181" s="3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36"/>
      <c r="Z181" s="5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</row>
    <row r="182" ht="15.75" customHeight="1">
      <c r="A182" s="83"/>
      <c r="B182" s="36"/>
      <c r="C182" s="36"/>
      <c r="D182" s="36"/>
      <c r="E182" s="36"/>
      <c r="F182" s="36"/>
      <c r="G182" s="36"/>
      <c r="H182" s="36"/>
      <c r="I182" s="3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36"/>
      <c r="Z182" s="5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</row>
    <row r="183" ht="15.75" customHeight="1">
      <c r="A183" s="83"/>
      <c r="B183" s="36"/>
      <c r="C183" s="36"/>
      <c r="D183" s="36"/>
      <c r="E183" s="36"/>
      <c r="F183" s="36"/>
      <c r="G183" s="36"/>
      <c r="H183" s="36"/>
      <c r="I183" s="3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36"/>
      <c r="Z183" s="5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</row>
    <row r="184" ht="15.75" customHeight="1">
      <c r="A184" s="83"/>
      <c r="B184" s="36"/>
      <c r="C184" s="36"/>
      <c r="D184" s="36"/>
      <c r="E184" s="36"/>
      <c r="F184" s="36"/>
      <c r="G184" s="36"/>
      <c r="H184" s="36"/>
      <c r="I184" s="3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36"/>
      <c r="Z184" s="5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</row>
    <row r="185" ht="15.75" customHeight="1">
      <c r="A185" s="83"/>
      <c r="B185" s="36"/>
      <c r="C185" s="36"/>
      <c r="D185" s="36"/>
      <c r="E185" s="36"/>
      <c r="F185" s="36"/>
      <c r="G185" s="36"/>
      <c r="H185" s="36"/>
      <c r="I185" s="3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36"/>
      <c r="Z185" s="5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</row>
    <row r="186" ht="15.75" customHeight="1">
      <c r="A186" s="83"/>
      <c r="B186" s="36"/>
      <c r="C186" s="36"/>
      <c r="D186" s="36"/>
      <c r="E186" s="36"/>
      <c r="F186" s="36"/>
      <c r="G186" s="36"/>
      <c r="H186" s="36"/>
      <c r="I186" s="3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36"/>
      <c r="Z186" s="5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</row>
    <row r="187" ht="15.75" customHeight="1">
      <c r="A187" s="83"/>
      <c r="B187" s="36"/>
      <c r="C187" s="36"/>
      <c r="D187" s="36"/>
      <c r="E187" s="36"/>
      <c r="F187" s="36"/>
      <c r="G187" s="36"/>
      <c r="H187" s="36"/>
      <c r="I187" s="3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36"/>
      <c r="Z187" s="5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</row>
    <row r="188" ht="15.75" customHeight="1">
      <c r="A188" s="83"/>
      <c r="B188" s="36"/>
      <c r="C188" s="36"/>
      <c r="D188" s="36"/>
      <c r="E188" s="36"/>
      <c r="F188" s="36"/>
      <c r="G188" s="36"/>
      <c r="H188" s="36"/>
      <c r="I188" s="3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36"/>
      <c r="Z188" s="5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</row>
    <row r="189" ht="15.75" customHeight="1">
      <c r="A189" s="83"/>
      <c r="B189" s="36"/>
      <c r="C189" s="36"/>
      <c r="D189" s="36"/>
      <c r="E189" s="36"/>
      <c r="F189" s="36"/>
      <c r="G189" s="36"/>
      <c r="H189" s="36"/>
      <c r="I189" s="3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36"/>
      <c r="Z189" s="5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</row>
    <row r="190" ht="15.75" customHeight="1">
      <c r="A190" s="83"/>
      <c r="B190" s="36"/>
      <c r="C190" s="36"/>
      <c r="D190" s="36"/>
      <c r="E190" s="36"/>
      <c r="F190" s="36"/>
      <c r="G190" s="36"/>
      <c r="H190" s="36"/>
      <c r="I190" s="3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36"/>
      <c r="Z190" s="5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</row>
    <row r="191" ht="15.75" customHeight="1">
      <c r="A191" s="83"/>
      <c r="B191" s="36"/>
      <c r="C191" s="36"/>
      <c r="D191" s="36"/>
      <c r="E191" s="36"/>
      <c r="F191" s="36"/>
      <c r="G191" s="36"/>
      <c r="H191" s="36"/>
      <c r="I191" s="3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36"/>
      <c r="Z191" s="5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</row>
    <row r="192" ht="15.75" customHeight="1">
      <c r="A192" s="83"/>
      <c r="B192" s="36"/>
      <c r="C192" s="36"/>
      <c r="D192" s="36"/>
      <c r="E192" s="36"/>
      <c r="F192" s="36"/>
      <c r="G192" s="36"/>
      <c r="H192" s="36"/>
      <c r="I192" s="3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36"/>
      <c r="Z192" s="5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</row>
    <row r="193" ht="15.75" customHeight="1">
      <c r="A193" s="83"/>
      <c r="B193" s="36"/>
      <c r="C193" s="36"/>
      <c r="D193" s="36"/>
      <c r="E193" s="36"/>
      <c r="F193" s="36"/>
      <c r="G193" s="36"/>
      <c r="H193" s="36"/>
      <c r="I193" s="3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36"/>
      <c r="Z193" s="5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</row>
    <row r="194" ht="15.75" customHeight="1">
      <c r="A194" s="83"/>
      <c r="B194" s="36"/>
      <c r="C194" s="36"/>
      <c r="D194" s="36"/>
      <c r="E194" s="36"/>
      <c r="F194" s="36"/>
      <c r="G194" s="36"/>
      <c r="H194" s="36"/>
      <c r="I194" s="3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36"/>
      <c r="Z194" s="5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</row>
    <row r="195" ht="15.75" customHeight="1">
      <c r="A195" s="83"/>
      <c r="B195" s="36"/>
      <c r="C195" s="36"/>
      <c r="D195" s="36"/>
      <c r="E195" s="36"/>
      <c r="F195" s="36"/>
      <c r="G195" s="36"/>
      <c r="H195" s="36"/>
      <c r="I195" s="3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36"/>
      <c r="Z195" s="5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</row>
    <row r="196" ht="15.75" customHeight="1">
      <c r="A196" s="83"/>
      <c r="B196" s="36"/>
      <c r="C196" s="36"/>
      <c r="D196" s="36"/>
      <c r="E196" s="36"/>
      <c r="F196" s="36"/>
      <c r="G196" s="36"/>
      <c r="H196" s="36"/>
      <c r="I196" s="3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36"/>
      <c r="Z196" s="5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</row>
    <row r="197" ht="15.75" customHeight="1">
      <c r="A197" s="83"/>
      <c r="B197" s="36"/>
      <c r="C197" s="36"/>
      <c r="D197" s="36"/>
      <c r="E197" s="36"/>
      <c r="F197" s="36"/>
      <c r="G197" s="36"/>
      <c r="H197" s="36"/>
      <c r="I197" s="3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36"/>
      <c r="Z197" s="5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</row>
    <row r="198" ht="15.75" customHeight="1">
      <c r="A198" s="83"/>
      <c r="B198" s="36"/>
      <c r="C198" s="36"/>
      <c r="D198" s="36"/>
      <c r="E198" s="36"/>
      <c r="F198" s="36"/>
      <c r="G198" s="36"/>
      <c r="H198" s="36"/>
      <c r="I198" s="3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36"/>
      <c r="Z198" s="5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</row>
    <row r="199" ht="15.75" customHeight="1">
      <c r="A199" s="83"/>
      <c r="B199" s="36"/>
      <c r="C199" s="36"/>
      <c r="D199" s="36"/>
      <c r="E199" s="36"/>
      <c r="F199" s="36"/>
      <c r="G199" s="36"/>
      <c r="H199" s="36"/>
      <c r="I199" s="3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36"/>
      <c r="Z199" s="5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</row>
    <row r="200" ht="15.75" customHeight="1">
      <c r="A200" s="83"/>
      <c r="B200" s="36"/>
      <c r="C200" s="36"/>
      <c r="D200" s="36"/>
      <c r="E200" s="36"/>
      <c r="F200" s="36"/>
      <c r="G200" s="36"/>
      <c r="H200" s="36"/>
      <c r="I200" s="3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36"/>
      <c r="Z200" s="5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</row>
    <row r="201" ht="15.75" customHeight="1">
      <c r="A201" s="83"/>
      <c r="B201" s="36"/>
      <c r="C201" s="36"/>
      <c r="D201" s="36"/>
      <c r="E201" s="36"/>
      <c r="F201" s="36"/>
      <c r="G201" s="36"/>
      <c r="H201" s="36"/>
      <c r="I201" s="3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36"/>
      <c r="Z201" s="5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</row>
    <row r="202" ht="15.75" customHeight="1">
      <c r="A202" s="83"/>
      <c r="B202" s="36"/>
      <c r="C202" s="36"/>
      <c r="D202" s="36"/>
      <c r="E202" s="36"/>
      <c r="F202" s="36"/>
      <c r="G202" s="36"/>
      <c r="H202" s="36"/>
      <c r="I202" s="3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36"/>
      <c r="Z202" s="5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</row>
    <row r="203" ht="15.75" customHeight="1">
      <c r="A203" s="83"/>
      <c r="B203" s="36"/>
      <c r="C203" s="36"/>
      <c r="D203" s="36"/>
      <c r="E203" s="36"/>
      <c r="F203" s="36"/>
      <c r="G203" s="36"/>
      <c r="H203" s="36"/>
      <c r="I203" s="3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36"/>
      <c r="Z203" s="5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</row>
    <row r="204" ht="15.75" customHeight="1">
      <c r="A204" s="83"/>
      <c r="B204" s="36"/>
      <c r="C204" s="36"/>
      <c r="D204" s="36"/>
      <c r="E204" s="36"/>
      <c r="F204" s="36"/>
      <c r="G204" s="36"/>
      <c r="H204" s="36"/>
      <c r="I204" s="3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36"/>
      <c r="Z204" s="5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</row>
    <row r="205" ht="15.75" customHeight="1">
      <c r="A205" s="83"/>
      <c r="B205" s="36"/>
      <c r="C205" s="36"/>
      <c r="D205" s="36"/>
      <c r="E205" s="36"/>
      <c r="F205" s="36"/>
      <c r="G205" s="36"/>
      <c r="H205" s="36"/>
      <c r="I205" s="3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36"/>
      <c r="Z205" s="5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</row>
    <row r="206" ht="15.75" customHeight="1">
      <c r="A206" s="83"/>
      <c r="B206" s="36"/>
      <c r="C206" s="36"/>
      <c r="D206" s="36"/>
      <c r="E206" s="36"/>
      <c r="F206" s="36"/>
      <c r="G206" s="36"/>
      <c r="H206" s="36"/>
      <c r="I206" s="3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36"/>
      <c r="Z206" s="5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</row>
    <row r="207" ht="15.75" customHeight="1">
      <c r="A207" s="83"/>
      <c r="B207" s="36"/>
      <c r="C207" s="36"/>
      <c r="D207" s="36"/>
      <c r="E207" s="36"/>
      <c r="F207" s="36"/>
      <c r="G207" s="36"/>
      <c r="H207" s="36"/>
      <c r="I207" s="3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36"/>
      <c r="Z207" s="5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</row>
    <row r="208" ht="15.75" customHeight="1">
      <c r="A208" s="83"/>
      <c r="B208" s="36"/>
      <c r="C208" s="36"/>
      <c r="D208" s="36"/>
      <c r="E208" s="36"/>
      <c r="F208" s="36"/>
      <c r="G208" s="36"/>
      <c r="H208" s="36"/>
      <c r="I208" s="3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36"/>
      <c r="Z208" s="5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</row>
    <row r="209" ht="15.75" customHeight="1">
      <c r="A209" s="83"/>
      <c r="B209" s="36"/>
      <c r="C209" s="36"/>
      <c r="D209" s="36"/>
      <c r="E209" s="36"/>
      <c r="F209" s="36"/>
      <c r="G209" s="36"/>
      <c r="H209" s="36"/>
      <c r="I209" s="3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36"/>
      <c r="Z209" s="5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</row>
    <row r="210" ht="15.75" customHeight="1">
      <c r="A210" s="83"/>
      <c r="B210" s="36"/>
      <c r="C210" s="36"/>
      <c r="D210" s="36"/>
      <c r="E210" s="36"/>
      <c r="F210" s="36"/>
      <c r="G210" s="36"/>
      <c r="H210" s="36"/>
      <c r="I210" s="3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36"/>
      <c r="Z210" s="5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</row>
    <row r="211" ht="15.75" customHeight="1">
      <c r="A211" s="83"/>
      <c r="B211" s="36"/>
      <c r="C211" s="36"/>
      <c r="D211" s="36"/>
      <c r="E211" s="36"/>
      <c r="F211" s="36"/>
      <c r="G211" s="36"/>
      <c r="H211" s="36"/>
      <c r="I211" s="3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36"/>
      <c r="Z211" s="5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</row>
    <row r="212" ht="15.75" customHeight="1">
      <c r="A212" s="83"/>
      <c r="B212" s="36"/>
      <c r="C212" s="36"/>
      <c r="D212" s="36"/>
      <c r="E212" s="36"/>
      <c r="F212" s="36"/>
      <c r="G212" s="36"/>
      <c r="H212" s="36"/>
      <c r="I212" s="3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36"/>
      <c r="Z212" s="5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</row>
    <row r="213" ht="15.75" customHeight="1">
      <c r="A213" s="83"/>
      <c r="B213" s="36"/>
      <c r="C213" s="36"/>
      <c r="D213" s="36"/>
      <c r="E213" s="36"/>
      <c r="F213" s="36"/>
      <c r="G213" s="36"/>
      <c r="H213" s="36"/>
      <c r="I213" s="3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36"/>
      <c r="Z213" s="5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</row>
    <row r="214" ht="15.75" customHeight="1">
      <c r="A214" s="83"/>
      <c r="B214" s="36"/>
      <c r="C214" s="36"/>
      <c r="D214" s="36"/>
      <c r="E214" s="36"/>
      <c r="F214" s="36"/>
      <c r="G214" s="36"/>
      <c r="H214" s="36"/>
      <c r="I214" s="3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36"/>
      <c r="Z214" s="5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</row>
    <row r="215" ht="15.75" customHeight="1">
      <c r="A215" s="83"/>
      <c r="B215" s="36"/>
      <c r="C215" s="36"/>
      <c r="D215" s="36"/>
      <c r="E215" s="36"/>
      <c r="F215" s="36"/>
      <c r="G215" s="36"/>
      <c r="H215" s="36"/>
      <c r="I215" s="3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36"/>
      <c r="Z215" s="5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</row>
    <row r="216" ht="15.75" customHeight="1">
      <c r="A216" s="83"/>
      <c r="B216" s="36"/>
      <c r="C216" s="36"/>
      <c r="D216" s="36"/>
      <c r="E216" s="36"/>
      <c r="F216" s="36"/>
      <c r="G216" s="36"/>
      <c r="H216" s="36"/>
      <c r="I216" s="3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36"/>
      <c r="Z216" s="5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</row>
    <row r="217" ht="15.75" customHeight="1">
      <c r="A217" s="83"/>
      <c r="B217" s="36"/>
      <c r="C217" s="36"/>
      <c r="D217" s="36"/>
      <c r="E217" s="36"/>
      <c r="F217" s="36"/>
      <c r="G217" s="36"/>
      <c r="H217" s="36"/>
      <c r="I217" s="3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36"/>
      <c r="Z217" s="5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</row>
    <row r="218" ht="15.75" customHeight="1">
      <c r="A218" s="83"/>
      <c r="B218" s="36"/>
      <c r="C218" s="36"/>
      <c r="D218" s="36"/>
      <c r="E218" s="36"/>
      <c r="F218" s="36"/>
      <c r="G218" s="36"/>
      <c r="H218" s="36"/>
      <c r="I218" s="3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36"/>
      <c r="Z218" s="5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</row>
    <row r="219" ht="15.75" customHeight="1">
      <c r="A219" s="83"/>
      <c r="B219" s="36"/>
      <c r="C219" s="36"/>
      <c r="D219" s="36"/>
      <c r="E219" s="36"/>
      <c r="F219" s="36"/>
      <c r="G219" s="36"/>
      <c r="H219" s="36"/>
      <c r="I219" s="3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36"/>
      <c r="Z219" s="5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</row>
    <row r="220" ht="15.75" customHeight="1">
      <c r="A220" s="83"/>
      <c r="B220" s="36"/>
      <c r="C220" s="36"/>
      <c r="D220" s="36"/>
      <c r="E220" s="36"/>
      <c r="F220" s="36"/>
      <c r="G220" s="36"/>
      <c r="H220" s="36"/>
      <c r="I220" s="3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36"/>
      <c r="Z220" s="5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</row>
    <row r="221" ht="15.75" customHeight="1">
      <c r="A221" s="83"/>
      <c r="B221" s="36"/>
      <c r="C221" s="36"/>
      <c r="D221" s="36"/>
      <c r="E221" s="36"/>
      <c r="F221" s="36"/>
      <c r="G221" s="36"/>
      <c r="H221" s="36"/>
      <c r="I221" s="3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36"/>
      <c r="Z221" s="5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</row>
    <row r="222" ht="15.75" customHeight="1">
      <c r="A222" s="83"/>
      <c r="B222" s="36"/>
      <c r="C222" s="36"/>
      <c r="D222" s="36"/>
      <c r="E222" s="36"/>
      <c r="F222" s="36"/>
      <c r="G222" s="36"/>
      <c r="H222" s="36"/>
      <c r="I222" s="3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36"/>
      <c r="Z222" s="5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</row>
    <row r="223" ht="15.75" customHeight="1">
      <c r="A223" s="83"/>
      <c r="B223" s="36"/>
      <c r="C223" s="36"/>
      <c r="D223" s="36"/>
      <c r="E223" s="36"/>
      <c r="F223" s="36"/>
      <c r="G223" s="36"/>
      <c r="H223" s="36"/>
      <c r="I223" s="3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36"/>
      <c r="Z223" s="5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</row>
    <row r="224" ht="15.75" customHeight="1">
      <c r="A224" s="83"/>
      <c r="B224" s="36"/>
      <c r="C224" s="36"/>
      <c r="D224" s="36"/>
      <c r="E224" s="36"/>
      <c r="F224" s="36"/>
      <c r="G224" s="36"/>
      <c r="H224" s="36"/>
      <c r="I224" s="3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36"/>
      <c r="Z224" s="5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</row>
    <row r="225" ht="15.75" customHeight="1">
      <c r="A225" s="83"/>
      <c r="B225" s="36"/>
      <c r="C225" s="36"/>
      <c r="D225" s="36"/>
      <c r="E225" s="36"/>
      <c r="F225" s="36"/>
      <c r="G225" s="36"/>
      <c r="H225" s="36"/>
      <c r="I225" s="3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36"/>
      <c r="Z225" s="5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</row>
    <row r="226" ht="15.75" customHeight="1">
      <c r="A226" s="56"/>
      <c r="B226" s="56"/>
      <c r="C226" s="56"/>
      <c r="D226" s="56"/>
      <c r="E226" s="56"/>
      <c r="F226" s="36"/>
      <c r="G226" s="36"/>
      <c r="H226" s="3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</row>
    <row r="227" ht="15.75" customHeight="1">
      <c r="A227" s="56"/>
      <c r="B227" s="56"/>
      <c r="C227" s="56"/>
      <c r="D227" s="56"/>
      <c r="E227" s="56"/>
      <c r="F227" s="36"/>
      <c r="G227" s="36"/>
      <c r="H227" s="3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</row>
    <row r="228" ht="15.75" customHeight="1">
      <c r="A228" s="56"/>
      <c r="B228" s="56"/>
      <c r="C228" s="56"/>
      <c r="D228" s="56"/>
      <c r="E228" s="56"/>
      <c r="F228" s="36"/>
      <c r="G228" s="36"/>
      <c r="H228" s="3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</row>
    <row r="229" ht="15.75" customHeight="1">
      <c r="A229" s="56"/>
      <c r="B229" s="56"/>
      <c r="C229" s="56"/>
      <c r="D229" s="56"/>
      <c r="E229" s="56"/>
      <c r="F229" s="36"/>
      <c r="G229" s="36"/>
      <c r="H229" s="3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</row>
    <row r="230" ht="15.75" customHeight="1">
      <c r="A230" s="56"/>
      <c r="B230" s="56"/>
      <c r="C230" s="56"/>
      <c r="D230" s="56"/>
      <c r="E230" s="56"/>
      <c r="F230" s="36"/>
      <c r="G230" s="36"/>
      <c r="H230" s="3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</row>
    <row r="231" ht="15.75" customHeight="1">
      <c r="A231" s="56"/>
      <c r="B231" s="56"/>
      <c r="C231" s="56"/>
      <c r="D231" s="56"/>
      <c r="E231" s="56"/>
      <c r="F231" s="36"/>
      <c r="G231" s="36"/>
      <c r="H231" s="3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</row>
    <row r="232" ht="15.75" customHeight="1">
      <c r="A232" s="56"/>
      <c r="B232" s="56"/>
      <c r="C232" s="56"/>
      <c r="D232" s="56"/>
      <c r="E232" s="56"/>
      <c r="F232" s="36"/>
      <c r="G232" s="36"/>
      <c r="H232" s="3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</row>
    <row r="233" ht="15.75" customHeight="1">
      <c r="A233" s="56"/>
      <c r="B233" s="56"/>
      <c r="C233" s="56"/>
      <c r="D233" s="56"/>
      <c r="E233" s="56"/>
      <c r="F233" s="36"/>
      <c r="G233" s="36"/>
      <c r="H233" s="3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</row>
    <row r="234" ht="15.75" customHeight="1">
      <c r="A234" s="56"/>
      <c r="B234" s="56"/>
      <c r="C234" s="56"/>
      <c r="D234" s="56"/>
      <c r="E234" s="56"/>
      <c r="F234" s="36"/>
      <c r="G234" s="36"/>
      <c r="H234" s="3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</row>
    <row r="235" ht="15.75" customHeight="1">
      <c r="A235" s="56"/>
      <c r="B235" s="56"/>
      <c r="C235" s="56"/>
      <c r="D235" s="56"/>
      <c r="E235" s="56"/>
      <c r="F235" s="36"/>
      <c r="G235" s="36"/>
      <c r="H235" s="3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</row>
    <row r="236" ht="15.75" customHeight="1">
      <c r="A236" s="56"/>
      <c r="B236" s="56"/>
      <c r="C236" s="56"/>
      <c r="D236" s="56"/>
      <c r="E236" s="56"/>
      <c r="F236" s="36"/>
      <c r="G236" s="36"/>
      <c r="H236" s="3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</row>
    <row r="237" ht="15.75" customHeight="1">
      <c r="A237" s="56"/>
      <c r="B237" s="56"/>
      <c r="C237" s="56"/>
      <c r="D237" s="56"/>
      <c r="E237" s="56"/>
      <c r="F237" s="36"/>
      <c r="G237" s="36"/>
      <c r="H237" s="3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</row>
    <row r="238" ht="15.75" customHeight="1">
      <c r="A238" s="56"/>
      <c r="B238" s="56"/>
      <c r="C238" s="56"/>
      <c r="D238" s="56"/>
      <c r="E238" s="56"/>
      <c r="F238" s="36"/>
      <c r="G238" s="36"/>
      <c r="H238" s="3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</row>
    <row r="239" ht="15.75" customHeight="1">
      <c r="A239" s="56"/>
      <c r="B239" s="56"/>
      <c r="C239" s="56"/>
      <c r="D239" s="56"/>
      <c r="E239" s="56"/>
      <c r="F239" s="36"/>
      <c r="G239" s="36"/>
      <c r="H239" s="3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</row>
    <row r="240" ht="15.75" customHeight="1">
      <c r="A240" s="56"/>
      <c r="B240" s="56"/>
      <c r="C240" s="56"/>
      <c r="D240" s="56"/>
      <c r="E240" s="56"/>
      <c r="F240" s="36"/>
      <c r="G240" s="36"/>
      <c r="H240" s="3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</row>
    <row r="241" ht="15.75" customHeight="1">
      <c r="A241" s="56"/>
      <c r="B241" s="56"/>
      <c r="C241" s="56"/>
      <c r="D241" s="56"/>
      <c r="E241" s="56"/>
      <c r="F241" s="36"/>
      <c r="G241" s="36"/>
      <c r="H241" s="3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</row>
    <row r="242" ht="15.75" customHeight="1">
      <c r="A242" s="56"/>
      <c r="B242" s="56"/>
      <c r="C242" s="56"/>
      <c r="D242" s="56"/>
      <c r="E242" s="56"/>
      <c r="F242" s="36"/>
      <c r="G242" s="36"/>
      <c r="H242" s="3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</row>
    <row r="243" ht="15.75" customHeight="1">
      <c r="A243" s="56"/>
      <c r="B243" s="56"/>
      <c r="C243" s="56"/>
      <c r="D243" s="56"/>
      <c r="E243" s="56"/>
      <c r="F243" s="36"/>
      <c r="G243" s="36"/>
      <c r="H243" s="3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</row>
    <row r="244" ht="15.75" customHeight="1">
      <c r="A244" s="56"/>
      <c r="B244" s="56"/>
      <c r="C244" s="56"/>
      <c r="D244" s="56"/>
      <c r="E244" s="56"/>
      <c r="F244" s="36"/>
      <c r="G244" s="36"/>
      <c r="H244" s="3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</row>
    <row r="245" ht="15.75" customHeight="1">
      <c r="A245" s="56"/>
      <c r="B245" s="56"/>
      <c r="C245" s="56"/>
      <c r="D245" s="56"/>
      <c r="E245" s="56"/>
      <c r="F245" s="36"/>
      <c r="G245" s="36"/>
      <c r="H245" s="3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</row>
    <row r="246" ht="15.75" customHeight="1">
      <c r="A246" s="56"/>
      <c r="B246" s="56"/>
      <c r="C246" s="56"/>
      <c r="D246" s="56"/>
      <c r="E246" s="56"/>
      <c r="F246" s="36"/>
      <c r="G246" s="36"/>
      <c r="H246" s="3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</row>
    <row r="247" ht="15.75" customHeight="1">
      <c r="A247" s="56"/>
      <c r="B247" s="56"/>
      <c r="C247" s="56"/>
      <c r="D247" s="56"/>
      <c r="E247" s="56"/>
      <c r="F247" s="36"/>
      <c r="G247" s="36"/>
      <c r="H247" s="3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</row>
    <row r="248" ht="15.75" customHeight="1">
      <c r="A248" s="56"/>
      <c r="B248" s="56"/>
      <c r="C248" s="56"/>
      <c r="D248" s="56"/>
      <c r="E248" s="56"/>
      <c r="F248" s="36"/>
      <c r="G248" s="36"/>
      <c r="H248" s="3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</row>
    <row r="249" ht="15.75" customHeight="1">
      <c r="A249" s="56"/>
      <c r="B249" s="56"/>
      <c r="C249" s="56"/>
      <c r="D249" s="56"/>
      <c r="E249" s="56"/>
      <c r="F249" s="36"/>
      <c r="G249" s="36"/>
      <c r="H249" s="3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</row>
    <row r="250" ht="15.75" customHeight="1">
      <c r="A250" s="56"/>
      <c r="B250" s="56"/>
      <c r="C250" s="56"/>
      <c r="D250" s="56"/>
      <c r="E250" s="56"/>
      <c r="F250" s="36"/>
      <c r="G250" s="36"/>
      <c r="H250" s="3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</row>
    <row r="251" ht="15.75" customHeight="1">
      <c r="A251" s="56"/>
      <c r="B251" s="56"/>
      <c r="C251" s="56"/>
      <c r="D251" s="56"/>
      <c r="E251" s="56"/>
      <c r="F251" s="36"/>
      <c r="G251" s="36"/>
      <c r="H251" s="3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</row>
    <row r="252" ht="15.75" customHeight="1">
      <c r="A252" s="56"/>
      <c r="B252" s="56"/>
      <c r="C252" s="56"/>
      <c r="D252" s="56"/>
      <c r="E252" s="56"/>
      <c r="F252" s="36"/>
      <c r="G252" s="36"/>
      <c r="H252" s="3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</row>
    <row r="253" ht="15.75" customHeight="1">
      <c r="A253" s="56"/>
      <c r="B253" s="56"/>
      <c r="C253" s="56"/>
      <c r="D253" s="56"/>
      <c r="E253" s="56"/>
      <c r="F253" s="36"/>
      <c r="G253" s="36"/>
      <c r="H253" s="3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</row>
    <row r="254" ht="15.75" customHeight="1">
      <c r="A254" s="56"/>
      <c r="B254" s="56"/>
      <c r="C254" s="56"/>
      <c r="D254" s="56"/>
      <c r="E254" s="56"/>
      <c r="F254" s="36"/>
      <c r="G254" s="36"/>
      <c r="H254" s="3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</row>
    <row r="255" ht="15.75" customHeight="1">
      <c r="A255" s="56"/>
      <c r="B255" s="56"/>
      <c r="C255" s="56"/>
      <c r="D255" s="56"/>
      <c r="E255" s="56"/>
      <c r="F255" s="36"/>
      <c r="G255" s="36"/>
      <c r="H255" s="3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</row>
    <row r="256" ht="15.75" customHeight="1">
      <c r="A256" s="56"/>
      <c r="B256" s="56"/>
      <c r="C256" s="56"/>
      <c r="D256" s="56"/>
      <c r="E256" s="56"/>
      <c r="F256" s="36"/>
      <c r="G256" s="36"/>
      <c r="H256" s="3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</row>
    <row r="257" ht="15.75" customHeight="1">
      <c r="A257" s="56"/>
      <c r="B257" s="56"/>
      <c r="C257" s="56"/>
      <c r="D257" s="56"/>
      <c r="E257" s="56"/>
      <c r="F257" s="36"/>
      <c r="G257" s="36"/>
      <c r="H257" s="3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</row>
    <row r="258" ht="15.75" customHeight="1">
      <c r="A258" s="56"/>
      <c r="B258" s="56"/>
      <c r="C258" s="56"/>
      <c r="D258" s="56"/>
      <c r="E258" s="56"/>
      <c r="F258" s="36"/>
      <c r="G258" s="36"/>
      <c r="H258" s="3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</row>
    <row r="259" ht="15.75" customHeight="1">
      <c r="A259" s="56"/>
      <c r="B259" s="56"/>
      <c r="C259" s="56"/>
      <c r="D259" s="56"/>
      <c r="E259" s="56"/>
      <c r="F259" s="36"/>
      <c r="G259" s="36"/>
      <c r="H259" s="3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</row>
    <row r="260" ht="15.75" customHeight="1">
      <c r="A260" s="56"/>
      <c r="B260" s="56"/>
      <c r="C260" s="56"/>
      <c r="D260" s="56"/>
      <c r="E260" s="56"/>
      <c r="F260" s="36"/>
      <c r="G260" s="36"/>
      <c r="H260" s="3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</row>
    <row r="261" ht="15.75" customHeight="1">
      <c r="A261" s="56"/>
      <c r="B261" s="56"/>
      <c r="C261" s="56"/>
      <c r="D261" s="56"/>
      <c r="E261" s="56"/>
      <c r="F261" s="36"/>
      <c r="G261" s="36"/>
      <c r="H261" s="3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</row>
    <row r="262" ht="15.75" customHeight="1">
      <c r="A262" s="56"/>
      <c r="B262" s="56"/>
      <c r="C262" s="56"/>
      <c r="D262" s="56"/>
      <c r="E262" s="56"/>
      <c r="F262" s="36"/>
      <c r="G262" s="36"/>
      <c r="H262" s="3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</row>
    <row r="263" ht="15.75" customHeight="1">
      <c r="A263" s="56"/>
      <c r="B263" s="56"/>
      <c r="C263" s="56"/>
      <c r="D263" s="56"/>
      <c r="E263" s="56"/>
      <c r="F263" s="36"/>
      <c r="G263" s="36"/>
      <c r="H263" s="3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</row>
    <row r="264" ht="15.75" customHeight="1">
      <c r="A264" s="56"/>
      <c r="B264" s="56"/>
      <c r="C264" s="56"/>
      <c r="D264" s="56"/>
      <c r="E264" s="56"/>
      <c r="F264" s="36"/>
      <c r="G264" s="36"/>
      <c r="H264" s="3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</row>
    <row r="265" ht="15.75" customHeight="1">
      <c r="A265" s="56"/>
      <c r="B265" s="56"/>
      <c r="C265" s="56"/>
      <c r="D265" s="56"/>
      <c r="E265" s="56"/>
      <c r="F265" s="36"/>
      <c r="G265" s="36"/>
      <c r="H265" s="3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</row>
    <row r="266" ht="15.75" customHeight="1">
      <c r="A266" s="56"/>
      <c r="B266" s="56"/>
      <c r="C266" s="56"/>
      <c r="D266" s="56"/>
      <c r="E266" s="56"/>
      <c r="F266" s="36"/>
      <c r="G266" s="36"/>
      <c r="H266" s="3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</row>
    <row r="267" ht="15.75" customHeight="1">
      <c r="A267" s="56"/>
      <c r="B267" s="56"/>
      <c r="C267" s="56"/>
      <c r="D267" s="56"/>
      <c r="E267" s="56"/>
      <c r="F267" s="36"/>
      <c r="G267" s="36"/>
      <c r="H267" s="3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</row>
    <row r="268" ht="15.75" customHeight="1">
      <c r="A268" s="56"/>
      <c r="B268" s="56"/>
      <c r="C268" s="56"/>
      <c r="D268" s="56"/>
      <c r="E268" s="56"/>
      <c r="F268" s="36"/>
      <c r="G268" s="36"/>
      <c r="H268" s="3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</row>
    <row r="269" ht="15.75" customHeight="1">
      <c r="A269" s="56"/>
      <c r="B269" s="56"/>
      <c r="C269" s="56"/>
      <c r="D269" s="56"/>
      <c r="E269" s="56"/>
      <c r="F269" s="36"/>
      <c r="G269" s="36"/>
      <c r="H269" s="3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</row>
    <row r="270" ht="15.75" customHeight="1">
      <c r="A270" s="56"/>
      <c r="B270" s="56"/>
      <c r="C270" s="56"/>
      <c r="D270" s="56"/>
      <c r="E270" s="56"/>
      <c r="F270" s="36"/>
      <c r="G270" s="36"/>
      <c r="H270" s="3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</row>
    <row r="271" ht="15.75" customHeight="1">
      <c r="A271" s="56"/>
      <c r="B271" s="56"/>
      <c r="C271" s="56"/>
      <c r="D271" s="56"/>
      <c r="E271" s="56"/>
      <c r="F271" s="36"/>
      <c r="G271" s="36"/>
      <c r="H271" s="3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</row>
    <row r="272" ht="15.75" customHeight="1">
      <c r="A272" s="56"/>
      <c r="B272" s="56"/>
      <c r="C272" s="56"/>
      <c r="D272" s="56"/>
      <c r="E272" s="56"/>
      <c r="F272" s="36"/>
      <c r="G272" s="36"/>
      <c r="H272" s="3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</row>
    <row r="273" ht="15.75" customHeight="1">
      <c r="A273" s="56"/>
      <c r="B273" s="56"/>
      <c r="C273" s="56"/>
      <c r="D273" s="56"/>
      <c r="E273" s="56"/>
      <c r="F273" s="36"/>
      <c r="G273" s="36"/>
      <c r="H273" s="3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</row>
    <row r="274" ht="15.75" customHeight="1">
      <c r="A274" s="56"/>
      <c r="B274" s="56"/>
      <c r="C274" s="56"/>
      <c r="D274" s="56"/>
      <c r="E274" s="56"/>
      <c r="F274" s="36"/>
      <c r="G274" s="36"/>
      <c r="H274" s="3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</row>
    <row r="275" ht="15.75" customHeight="1">
      <c r="A275" s="56"/>
      <c r="B275" s="56"/>
      <c r="C275" s="56"/>
      <c r="D275" s="56"/>
      <c r="E275" s="56"/>
      <c r="F275" s="36"/>
      <c r="G275" s="36"/>
      <c r="H275" s="3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</row>
    <row r="276" ht="15.75" customHeight="1">
      <c r="A276" s="56"/>
      <c r="B276" s="56"/>
      <c r="C276" s="56"/>
      <c r="D276" s="56"/>
      <c r="E276" s="56"/>
      <c r="F276" s="36"/>
      <c r="G276" s="36"/>
      <c r="H276" s="3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</row>
    <row r="277" ht="15.75" customHeight="1">
      <c r="A277" s="56"/>
      <c r="B277" s="56"/>
      <c r="C277" s="56"/>
      <c r="D277" s="56"/>
      <c r="E277" s="56"/>
      <c r="F277" s="36"/>
      <c r="G277" s="36"/>
      <c r="H277" s="3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</row>
    <row r="278" ht="15.75" customHeight="1">
      <c r="A278" s="56"/>
      <c r="B278" s="56"/>
      <c r="C278" s="56"/>
      <c r="D278" s="56"/>
      <c r="E278" s="56"/>
      <c r="F278" s="36"/>
      <c r="G278" s="36"/>
      <c r="H278" s="3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</row>
    <row r="279" ht="15.75" customHeight="1">
      <c r="A279" s="56"/>
      <c r="B279" s="56"/>
      <c r="C279" s="56"/>
      <c r="D279" s="56"/>
      <c r="E279" s="56"/>
      <c r="F279" s="36"/>
      <c r="G279" s="36"/>
      <c r="H279" s="3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</row>
    <row r="280" ht="15.75" customHeight="1">
      <c r="A280" s="56"/>
      <c r="B280" s="56"/>
      <c r="C280" s="56"/>
      <c r="D280" s="56"/>
      <c r="E280" s="56"/>
      <c r="F280" s="36"/>
      <c r="G280" s="36"/>
      <c r="H280" s="3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</row>
    <row r="281" ht="15.75" customHeight="1">
      <c r="A281" s="56"/>
      <c r="B281" s="56"/>
      <c r="C281" s="56"/>
      <c r="D281" s="56"/>
      <c r="E281" s="56"/>
      <c r="F281" s="36"/>
      <c r="G281" s="36"/>
      <c r="H281" s="3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</row>
    <row r="282" ht="15.75" customHeight="1">
      <c r="A282" s="56"/>
      <c r="B282" s="56"/>
      <c r="C282" s="56"/>
      <c r="D282" s="56"/>
      <c r="E282" s="56"/>
      <c r="F282" s="36"/>
      <c r="G282" s="36"/>
      <c r="H282" s="3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</row>
    <row r="283" ht="15.75" customHeight="1">
      <c r="A283" s="56"/>
      <c r="B283" s="56"/>
      <c r="C283" s="56"/>
      <c r="D283" s="56"/>
      <c r="E283" s="56"/>
      <c r="F283" s="36"/>
      <c r="G283" s="36"/>
      <c r="H283" s="3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</row>
    <row r="284" ht="15.75" customHeight="1">
      <c r="A284" s="56"/>
      <c r="B284" s="56"/>
      <c r="C284" s="56"/>
      <c r="D284" s="56"/>
      <c r="E284" s="56"/>
      <c r="F284" s="36"/>
      <c r="G284" s="36"/>
      <c r="H284" s="3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</row>
    <row r="285" ht="15.75" customHeight="1">
      <c r="A285" s="56"/>
      <c r="B285" s="56"/>
      <c r="C285" s="56"/>
      <c r="D285" s="56"/>
      <c r="E285" s="56"/>
      <c r="F285" s="36"/>
      <c r="G285" s="36"/>
      <c r="H285" s="3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</row>
    <row r="286" ht="15.75" customHeight="1">
      <c r="A286" s="56"/>
      <c r="B286" s="56"/>
      <c r="C286" s="56"/>
      <c r="D286" s="56"/>
      <c r="E286" s="56"/>
      <c r="F286" s="36"/>
      <c r="G286" s="36"/>
      <c r="H286" s="3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</row>
    <row r="287" ht="15.75" customHeight="1">
      <c r="A287" s="56"/>
      <c r="B287" s="56"/>
      <c r="C287" s="56"/>
      <c r="D287" s="56"/>
      <c r="E287" s="56"/>
      <c r="F287" s="36"/>
      <c r="G287" s="36"/>
      <c r="H287" s="3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</row>
    <row r="288" ht="15.75" customHeight="1">
      <c r="A288" s="56"/>
      <c r="B288" s="56"/>
      <c r="C288" s="56"/>
      <c r="D288" s="56"/>
      <c r="E288" s="56"/>
      <c r="F288" s="36"/>
      <c r="G288" s="36"/>
      <c r="H288" s="3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</row>
    <row r="289" ht="15.75" customHeight="1">
      <c r="A289" s="56"/>
      <c r="B289" s="56"/>
      <c r="C289" s="56"/>
      <c r="D289" s="56"/>
      <c r="E289" s="56"/>
      <c r="F289" s="36"/>
      <c r="G289" s="36"/>
      <c r="H289" s="3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</row>
    <row r="290" ht="15.75" customHeight="1">
      <c r="A290" s="56"/>
      <c r="B290" s="56"/>
      <c r="C290" s="56"/>
      <c r="D290" s="56"/>
      <c r="E290" s="56"/>
      <c r="F290" s="36"/>
      <c r="G290" s="36"/>
      <c r="H290" s="3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</row>
    <row r="291" ht="15.75" customHeight="1">
      <c r="A291" s="56"/>
      <c r="B291" s="56"/>
      <c r="C291" s="56"/>
      <c r="D291" s="56"/>
      <c r="E291" s="56"/>
      <c r="F291" s="36"/>
      <c r="G291" s="36"/>
      <c r="H291" s="3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</row>
    <row r="292" ht="15.75" customHeight="1">
      <c r="A292" s="56"/>
      <c r="B292" s="56"/>
      <c r="C292" s="56"/>
      <c r="D292" s="56"/>
      <c r="E292" s="56"/>
      <c r="F292" s="36"/>
      <c r="G292" s="36"/>
      <c r="H292" s="3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</row>
    <row r="293" ht="15.75" customHeight="1">
      <c r="A293" s="56"/>
      <c r="B293" s="56"/>
      <c r="C293" s="56"/>
      <c r="D293" s="56"/>
      <c r="E293" s="56"/>
      <c r="F293" s="36"/>
      <c r="G293" s="36"/>
      <c r="H293" s="3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</row>
    <row r="294" ht="15.75" customHeight="1">
      <c r="A294" s="56"/>
      <c r="B294" s="56"/>
      <c r="C294" s="56"/>
      <c r="D294" s="56"/>
      <c r="E294" s="56"/>
      <c r="F294" s="36"/>
      <c r="G294" s="36"/>
      <c r="H294" s="3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</row>
    <row r="295" ht="15.75" customHeight="1">
      <c r="A295" s="56"/>
      <c r="B295" s="56"/>
      <c r="C295" s="56"/>
      <c r="D295" s="56"/>
      <c r="E295" s="56"/>
      <c r="F295" s="36"/>
      <c r="G295" s="36"/>
      <c r="H295" s="3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</row>
    <row r="296" ht="15.75" customHeight="1">
      <c r="A296" s="56"/>
      <c r="B296" s="56"/>
      <c r="C296" s="56"/>
      <c r="D296" s="56"/>
      <c r="E296" s="56"/>
      <c r="F296" s="36"/>
      <c r="G296" s="36"/>
      <c r="H296" s="3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</row>
    <row r="297" ht="15.75" customHeight="1">
      <c r="A297" s="56"/>
      <c r="B297" s="56"/>
      <c r="C297" s="56"/>
      <c r="D297" s="56"/>
      <c r="E297" s="56"/>
      <c r="F297" s="36"/>
      <c r="G297" s="36"/>
      <c r="H297" s="3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</row>
    <row r="298" ht="15.75" customHeight="1">
      <c r="A298" s="56"/>
      <c r="B298" s="56"/>
      <c r="C298" s="56"/>
      <c r="D298" s="56"/>
      <c r="E298" s="56"/>
      <c r="F298" s="36"/>
      <c r="G298" s="36"/>
      <c r="H298" s="3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</row>
    <row r="299" ht="15.75" customHeight="1">
      <c r="A299" s="56"/>
      <c r="B299" s="56"/>
      <c r="C299" s="56"/>
      <c r="D299" s="56"/>
      <c r="E299" s="56"/>
      <c r="F299" s="36"/>
      <c r="G299" s="36"/>
      <c r="H299" s="3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</row>
    <row r="300" ht="15.75" customHeight="1">
      <c r="A300" s="56"/>
      <c r="B300" s="56"/>
      <c r="C300" s="56"/>
      <c r="D300" s="56"/>
      <c r="E300" s="56"/>
      <c r="F300" s="36"/>
      <c r="G300" s="36"/>
      <c r="H300" s="3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</row>
    <row r="301" ht="15.75" customHeight="1">
      <c r="A301" s="56"/>
      <c r="B301" s="56"/>
      <c r="C301" s="56"/>
      <c r="D301" s="56"/>
      <c r="E301" s="56"/>
      <c r="F301" s="36"/>
      <c r="G301" s="36"/>
      <c r="H301" s="3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</row>
    <row r="302" ht="15.75" customHeight="1">
      <c r="A302" s="56"/>
      <c r="B302" s="56"/>
      <c r="C302" s="56"/>
      <c r="D302" s="56"/>
      <c r="E302" s="56"/>
      <c r="F302" s="36"/>
      <c r="G302" s="36"/>
      <c r="H302" s="3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</row>
    <row r="303" ht="15.75" customHeight="1">
      <c r="A303" s="56"/>
      <c r="B303" s="56"/>
      <c r="C303" s="56"/>
      <c r="D303" s="56"/>
      <c r="E303" s="56"/>
      <c r="F303" s="36"/>
      <c r="G303" s="36"/>
      <c r="H303" s="3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</row>
    <row r="304" ht="15.75" customHeight="1">
      <c r="A304" s="56"/>
      <c r="B304" s="56"/>
      <c r="C304" s="56"/>
      <c r="D304" s="56"/>
      <c r="E304" s="56"/>
      <c r="F304" s="36"/>
      <c r="G304" s="36"/>
      <c r="H304" s="3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</row>
    <row r="305" ht="15.75" customHeight="1">
      <c r="A305" s="56"/>
      <c r="B305" s="56"/>
      <c r="C305" s="56"/>
      <c r="D305" s="56"/>
      <c r="E305" s="56"/>
      <c r="F305" s="36"/>
      <c r="G305" s="36"/>
      <c r="H305" s="3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</row>
    <row r="306" ht="15.75" customHeight="1">
      <c r="A306" s="56"/>
      <c r="B306" s="56"/>
      <c r="C306" s="56"/>
      <c r="D306" s="56"/>
      <c r="E306" s="56"/>
      <c r="F306" s="36"/>
      <c r="G306" s="36"/>
      <c r="H306" s="3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</row>
    <row r="307" ht="15.75" customHeight="1">
      <c r="A307" s="56"/>
      <c r="B307" s="56"/>
      <c r="C307" s="56"/>
      <c r="D307" s="56"/>
      <c r="E307" s="56"/>
      <c r="F307" s="36"/>
      <c r="G307" s="36"/>
      <c r="H307" s="3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</row>
    <row r="308" ht="15.75" customHeight="1">
      <c r="A308" s="56"/>
      <c r="B308" s="56"/>
      <c r="C308" s="56"/>
      <c r="D308" s="56"/>
      <c r="E308" s="56"/>
      <c r="F308" s="36"/>
      <c r="G308" s="36"/>
      <c r="H308" s="3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</row>
    <row r="309" ht="15.75" customHeight="1">
      <c r="A309" s="56"/>
      <c r="B309" s="56"/>
      <c r="C309" s="56"/>
      <c r="D309" s="56"/>
      <c r="E309" s="56"/>
      <c r="F309" s="36"/>
      <c r="G309" s="36"/>
      <c r="H309" s="3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</row>
    <row r="310" ht="15.75" customHeight="1">
      <c r="A310" s="56"/>
      <c r="B310" s="56"/>
      <c r="C310" s="56"/>
      <c r="D310" s="56"/>
      <c r="E310" s="56"/>
      <c r="F310" s="36"/>
      <c r="G310" s="36"/>
      <c r="H310" s="3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</row>
    <row r="311" ht="15.75" customHeight="1">
      <c r="A311" s="56"/>
      <c r="B311" s="56"/>
      <c r="C311" s="56"/>
      <c r="D311" s="56"/>
      <c r="E311" s="56"/>
      <c r="F311" s="36"/>
      <c r="G311" s="36"/>
      <c r="H311" s="3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</row>
    <row r="312" ht="15.75" customHeight="1">
      <c r="A312" s="56"/>
      <c r="B312" s="56"/>
      <c r="C312" s="56"/>
      <c r="D312" s="56"/>
      <c r="E312" s="56"/>
      <c r="F312" s="36"/>
      <c r="G312" s="36"/>
      <c r="H312" s="3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</row>
    <row r="313" ht="15.75" customHeight="1">
      <c r="A313" s="56"/>
      <c r="B313" s="56"/>
      <c r="C313" s="56"/>
      <c r="D313" s="56"/>
      <c r="E313" s="56"/>
      <c r="F313" s="36"/>
      <c r="G313" s="36"/>
      <c r="H313" s="3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</row>
    <row r="314" ht="15.75" customHeight="1">
      <c r="A314" s="56"/>
      <c r="B314" s="56"/>
      <c r="C314" s="56"/>
      <c r="D314" s="56"/>
      <c r="E314" s="56"/>
      <c r="F314" s="36"/>
      <c r="G314" s="36"/>
      <c r="H314" s="3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</row>
    <row r="315" ht="15.75" customHeight="1">
      <c r="A315" s="56"/>
      <c r="B315" s="56"/>
      <c r="C315" s="56"/>
      <c r="D315" s="56"/>
      <c r="E315" s="56"/>
      <c r="F315" s="36"/>
      <c r="G315" s="36"/>
      <c r="H315" s="3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</row>
    <row r="316" ht="15.75" customHeight="1">
      <c r="A316" s="56"/>
      <c r="B316" s="56"/>
      <c r="C316" s="56"/>
      <c r="D316" s="56"/>
      <c r="E316" s="56"/>
      <c r="F316" s="36"/>
      <c r="G316" s="36"/>
      <c r="H316" s="3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</row>
    <row r="317" ht="15.75" customHeight="1">
      <c r="A317" s="56"/>
      <c r="B317" s="56"/>
      <c r="C317" s="56"/>
      <c r="D317" s="56"/>
      <c r="E317" s="56"/>
      <c r="F317" s="36"/>
      <c r="G317" s="36"/>
      <c r="H317" s="3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</row>
    <row r="318" ht="15.75" customHeight="1">
      <c r="A318" s="56"/>
      <c r="B318" s="56"/>
      <c r="C318" s="56"/>
      <c r="D318" s="56"/>
      <c r="E318" s="56"/>
      <c r="F318" s="36"/>
      <c r="G318" s="36"/>
      <c r="H318" s="3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</row>
    <row r="319" ht="15.75" customHeight="1">
      <c r="A319" s="56"/>
      <c r="B319" s="56"/>
      <c r="C319" s="56"/>
      <c r="D319" s="56"/>
      <c r="E319" s="56"/>
      <c r="F319" s="36"/>
      <c r="G319" s="36"/>
      <c r="H319" s="3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</row>
    <row r="320" ht="15.75" customHeight="1">
      <c r="A320" s="56"/>
      <c r="B320" s="56"/>
      <c r="C320" s="56"/>
      <c r="D320" s="56"/>
      <c r="E320" s="56"/>
      <c r="F320" s="36"/>
      <c r="G320" s="36"/>
      <c r="H320" s="3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</row>
    <row r="321" ht="15.75" customHeight="1">
      <c r="A321" s="56"/>
      <c r="B321" s="56"/>
      <c r="C321" s="56"/>
      <c r="D321" s="56"/>
      <c r="E321" s="56"/>
      <c r="F321" s="36"/>
      <c r="G321" s="36"/>
      <c r="H321" s="3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</row>
    <row r="322" ht="15.75" customHeight="1">
      <c r="A322" s="56"/>
      <c r="B322" s="56"/>
      <c r="C322" s="56"/>
      <c r="D322" s="56"/>
      <c r="E322" s="56"/>
      <c r="F322" s="36"/>
      <c r="G322" s="36"/>
      <c r="H322" s="3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</row>
    <row r="323" ht="15.75" customHeight="1">
      <c r="A323" s="56"/>
      <c r="B323" s="56"/>
      <c r="C323" s="56"/>
      <c r="D323" s="56"/>
      <c r="E323" s="56"/>
      <c r="F323" s="36"/>
      <c r="G323" s="36"/>
      <c r="H323" s="3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</row>
    <row r="324" ht="15.75" customHeight="1">
      <c r="A324" s="56"/>
      <c r="B324" s="56"/>
      <c r="C324" s="56"/>
      <c r="D324" s="56"/>
      <c r="E324" s="56"/>
      <c r="F324" s="36"/>
      <c r="G324" s="36"/>
      <c r="H324" s="3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</row>
    <row r="325" ht="15.75" customHeight="1">
      <c r="A325" s="56"/>
      <c r="B325" s="56"/>
      <c r="C325" s="56"/>
      <c r="D325" s="56"/>
      <c r="E325" s="56"/>
      <c r="F325" s="36"/>
      <c r="G325" s="36"/>
      <c r="H325" s="3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</row>
    <row r="326" ht="15.75" customHeight="1">
      <c r="A326" s="56"/>
      <c r="B326" s="56"/>
      <c r="C326" s="56"/>
      <c r="D326" s="56"/>
      <c r="E326" s="56"/>
      <c r="F326" s="36"/>
      <c r="G326" s="36"/>
      <c r="H326" s="3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</row>
    <row r="327" ht="15.75" customHeight="1">
      <c r="A327" s="56"/>
      <c r="B327" s="56"/>
      <c r="C327" s="56"/>
      <c r="D327" s="56"/>
      <c r="E327" s="56"/>
      <c r="F327" s="36"/>
      <c r="G327" s="36"/>
      <c r="H327" s="3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</row>
    <row r="328" ht="15.75" customHeight="1">
      <c r="A328" s="56"/>
      <c r="B328" s="56"/>
      <c r="C328" s="56"/>
      <c r="D328" s="56"/>
      <c r="E328" s="56"/>
      <c r="F328" s="36"/>
      <c r="G328" s="36"/>
      <c r="H328" s="3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</row>
    <row r="329" ht="15.75" customHeight="1">
      <c r="A329" s="56"/>
      <c r="B329" s="56"/>
      <c r="C329" s="56"/>
      <c r="D329" s="56"/>
      <c r="E329" s="56"/>
      <c r="F329" s="36"/>
      <c r="G329" s="36"/>
      <c r="H329" s="3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</row>
    <row r="330" ht="15.75" customHeight="1">
      <c r="A330" s="56"/>
      <c r="B330" s="56"/>
      <c r="C330" s="56"/>
      <c r="D330" s="56"/>
      <c r="E330" s="56"/>
      <c r="F330" s="36"/>
      <c r="G330" s="36"/>
      <c r="H330" s="3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</row>
    <row r="331" ht="15.75" customHeight="1">
      <c r="A331" s="56"/>
      <c r="B331" s="56"/>
      <c r="C331" s="56"/>
      <c r="D331" s="56"/>
      <c r="E331" s="56"/>
      <c r="F331" s="36"/>
      <c r="G331" s="36"/>
      <c r="H331" s="3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</row>
    <row r="332" ht="15.75" customHeight="1">
      <c r="A332" s="56"/>
      <c r="B332" s="56"/>
      <c r="C332" s="56"/>
      <c r="D332" s="56"/>
      <c r="E332" s="56"/>
      <c r="F332" s="36"/>
      <c r="G332" s="36"/>
      <c r="H332" s="3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</row>
    <row r="333" ht="15.75" customHeight="1">
      <c r="A333" s="56"/>
      <c r="B333" s="56"/>
      <c r="C333" s="56"/>
      <c r="D333" s="56"/>
      <c r="E333" s="56"/>
      <c r="F333" s="36"/>
      <c r="G333" s="36"/>
      <c r="H333" s="3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</row>
    <row r="334" ht="15.75" customHeight="1">
      <c r="A334" s="56"/>
      <c r="B334" s="56"/>
      <c r="C334" s="56"/>
      <c r="D334" s="56"/>
      <c r="E334" s="56"/>
      <c r="F334" s="36"/>
      <c r="G334" s="36"/>
      <c r="H334" s="3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</row>
    <row r="335" ht="15.75" customHeight="1">
      <c r="A335" s="56"/>
      <c r="B335" s="56"/>
      <c r="C335" s="56"/>
      <c r="D335" s="56"/>
      <c r="E335" s="56"/>
      <c r="F335" s="36"/>
      <c r="G335" s="36"/>
      <c r="H335" s="3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</row>
    <row r="336" ht="15.75" customHeight="1">
      <c r="A336" s="56"/>
      <c r="B336" s="56"/>
      <c r="C336" s="56"/>
      <c r="D336" s="56"/>
      <c r="E336" s="56"/>
      <c r="F336" s="36"/>
      <c r="G336" s="36"/>
      <c r="H336" s="3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</row>
    <row r="337" ht="15.75" customHeight="1">
      <c r="A337" s="56"/>
      <c r="B337" s="56"/>
      <c r="C337" s="56"/>
      <c r="D337" s="56"/>
      <c r="E337" s="56"/>
      <c r="F337" s="36"/>
      <c r="G337" s="36"/>
      <c r="H337" s="3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</row>
    <row r="338" ht="15.75" customHeight="1">
      <c r="A338" s="56"/>
      <c r="B338" s="56"/>
      <c r="C338" s="56"/>
      <c r="D338" s="56"/>
      <c r="E338" s="56"/>
      <c r="F338" s="36"/>
      <c r="G338" s="36"/>
      <c r="H338" s="3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</row>
    <row r="339" ht="15.75" customHeight="1">
      <c r="A339" s="56"/>
      <c r="B339" s="56"/>
      <c r="C339" s="56"/>
      <c r="D339" s="56"/>
      <c r="E339" s="56"/>
      <c r="F339" s="36"/>
      <c r="G339" s="36"/>
      <c r="H339" s="3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</row>
    <row r="340" ht="15.75" customHeight="1">
      <c r="A340" s="56"/>
      <c r="B340" s="56"/>
      <c r="C340" s="56"/>
      <c r="D340" s="56"/>
      <c r="E340" s="56"/>
      <c r="F340" s="36"/>
      <c r="G340" s="36"/>
      <c r="H340" s="3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</row>
    <row r="341" ht="15.75" customHeight="1">
      <c r="A341" s="56"/>
      <c r="B341" s="56"/>
      <c r="C341" s="56"/>
      <c r="D341" s="56"/>
      <c r="E341" s="56"/>
      <c r="F341" s="36"/>
      <c r="G341" s="36"/>
      <c r="H341" s="3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</row>
    <row r="342" ht="15.75" customHeight="1">
      <c r="A342" s="56"/>
      <c r="B342" s="56"/>
      <c r="C342" s="56"/>
      <c r="D342" s="56"/>
      <c r="E342" s="56"/>
      <c r="F342" s="36"/>
      <c r="G342" s="36"/>
      <c r="H342" s="3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</row>
    <row r="343" ht="15.75" customHeight="1">
      <c r="A343" s="56"/>
      <c r="B343" s="56"/>
      <c r="C343" s="56"/>
      <c r="D343" s="56"/>
      <c r="E343" s="56"/>
      <c r="F343" s="36"/>
      <c r="G343" s="36"/>
      <c r="H343" s="3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</row>
    <row r="344" ht="15.75" customHeight="1">
      <c r="A344" s="56"/>
      <c r="B344" s="56"/>
      <c r="C344" s="56"/>
      <c r="D344" s="56"/>
      <c r="E344" s="56"/>
      <c r="F344" s="36"/>
      <c r="G344" s="36"/>
      <c r="H344" s="3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</row>
    <row r="345" ht="15.75" customHeight="1">
      <c r="A345" s="56"/>
      <c r="B345" s="56"/>
      <c r="C345" s="56"/>
      <c r="D345" s="56"/>
      <c r="E345" s="56"/>
      <c r="F345" s="36"/>
      <c r="G345" s="36"/>
      <c r="H345" s="3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</row>
    <row r="346" ht="15.75" customHeight="1">
      <c r="A346" s="56"/>
      <c r="B346" s="56"/>
      <c r="C346" s="56"/>
      <c r="D346" s="56"/>
      <c r="E346" s="56"/>
      <c r="F346" s="36"/>
      <c r="G346" s="36"/>
      <c r="H346" s="3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</row>
    <row r="347" ht="15.75" customHeight="1">
      <c r="A347" s="56"/>
      <c r="B347" s="56"/>
      <c r="C347" s="56"/>
      <c r="D347" s="56"/>
      <c r="E347" s="56"/>
      <c r="F347" s="36"/>
      <c r="G347" s="36"/>
      <c r="H347" s="3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</row>
    <row r="348" ht="15.75" customHeight="1">
      <c r="A348" s="56"/>
      <c r="B348" s="56"/>
      <c r="C348" s="56"/>
      <c r="D348" s="56"/>
      <c r="E348" s="56"/>
      <c r="F348" s="36"/>
      <c r="G348" s="36"/>
      <c r="H348" s="3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</row>
    <row r="349" ht="15.75" customHeight="1">
      <c r="A349" s="56"/>
      <c r="B349" s="56"/>
      <c r="C349" s="56"/>
      <c r="D349" s="56"/>
      <c r="E349" s="56"/>
      <c r="F349" s="36"/>
      <c r="G349" s="36"/>
      <c r="H349" s="3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</row>
    <row r="350" ht="15.75" customHeight="1">
      <c r="A350" s="56"/>
      <c r="B350" s="56"/>
      <c r="C350" s="56"/>
      <c r="D350" s="56"/>
      <c r="E350" s="56"/>
      <c r="F350" s="36"/>
      <c r="G350" s="36"/>
      <c r="H350" s="3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</row>
    <row r="351" ht="15.75" customHeight="1">
      <c r="A351" s="56"/>
      <c r="B351" s="56"/>
      <c r="C351" s="56"/>
      <c r="D351" s="56"/>
      <c r="E351" s="56"/>
      <c r="F351" s="36"/>
      <c r="G351" s="36"/>
      <c r="H351" s="3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</row>
    <row r="352" ht="15.75" customHeight="1">
      <c r="A352" s="56"/>
      <c r="B352" s="56"/>
      <c r="C352" s="56"/>
      <c r="D352" s="56"/>
      <c r="E352" s="56"/>
      <c r="F352" s="36"/>
      <c r="G352" s="36"/>
      <c r="H352" s="3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</row>
    <row r="353" ht="15.75" customHeight="1">
      <c r="A353" s="56"/>
      <c r="B353" s="56"/>
      <c r="C353" s="56"/>
      <c r="D353" s="56"/>
      <c r="E353" s="56"/>
      <c r="F353" s="36"/>
      <c r="G353" s="36"/>
      <c r="H353" s="3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</row>
    <row r="354" ht="15.75" customHeight="1">
      <c r="A354" s="56"/>
      <c r="B354" s="56"/>
      <c r="C354" s="56"/>
      <c r="D354" s="56"/>
      <c r="E354" s="56"/>
      <c r="F354" s="36"/>
      <c r="G354" s="36"/>
      <c r="H354" s="3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</row>
    <row r="355" ht="15.75" customHeight="1">
      <c r="A355" s="56"/>
      <c r="B355" s="56"/>
      <c r="C355" s="56"/>
      <c r="D355" s="56"/>
      <c r="E355" s="56"/>
      <c r="F355" s="36"/>
      <c r="G355" s="36"/>
      <c r="H355" s="3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</row>
    <row r="356" ht="15.75" customHeight="1">
      <c r="A356" s="56"/>
      <c r="B356" s="56"/>
      <c r="C356" s="56"/>
      <c r="D356" s="56"/>
      <c r="E356" s="56"/>
      <c r="F356" s="36"/>
      <c r="G356" s="36"/>
      <c r="H356" s="3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</row>
    <row r="357" ht="15.75" customHeight="1">
      <c r="A357" s="56"/>
      <c r="B357" s="56"/>
      <c r="C357" s="56"/>
      <c r="D357" s="56"/>
      <c r="E357" s="56"/>
      <c r="F357" s="36"/>
      <c r="G357" s="36"/>
      <c r="H357" s="3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</row>
    <row r="358" ht="15.75" customHeight="1">
      <c r="A358" s="56"/>
      <c r="B358" s="56"/>
      <c r="C358" s="56"/>
      <c r="D358" s="56"/>
      <c r="E358" s="56"/>
      <c r="F358" s="36"/>
      <c r="G358" s="36"/>
      <c r="H358" s="3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</row>
    <row r="359" ht="15.75" customHeight="1">
      <c r="A359" s="56"/>
      <c r="B359" s="56"/>
      <c r="C359" s="56"/>
      <c r="D359" s="56"/>
      <c r="E359" s="56"/>
      <c r="F359" s="36"/>
      <c r="G359" s="36"/>
      <c r="H359" s="3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</row>
    <row r="360" ht="15.75" customHeight="1">
      <c r="A360" s="56"/>
      <c r="B360" s="56"/>
      <c r="C360" s="56"/>
      <c r="D360" s="56"/>
      <c r="E360" s="56"/>
      <c r="F360" s="36"/>
      <c r="G360" s="36"/>
      <c r="H360" s="3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</row>
    <row r="361" ht="15.75" customHeight="1">
      <c r="A361" s="56"/>
      <c r="B361" s="56"/>
      <c r="C361" s="56"/>
      <c r="D361" s="56"/>
      <c r="E361" s="56"/>
      <c r="F361" s="36"/>
      <c r="G361" s="36"/>
      <c r="H361" s="3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</row>
    <row r="362" ht="15.75" customHeight="1">
      <c r="A362" s="56"/>
      <c r="B362" s="56"/>
      <c r="C362" s="56"/>
      <c r="D362" s="56"/>
      <c r="E362" s="56"/>
      <c r="F362" s="36"/>
      <c r="G362" s="36"/>
      <c r="H362" s="3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</row>
    <row r="363" ht="15.75" customHeight="1">
      <c r="A363" s="56"/>
      <c r="B363" s="56"/>
      <c r="C363" s="56"/>
      <c r="D363" s="56"/>
      <c r="E363" s="56"/>
      <c r="F363" s="36"/>
      <c r="G363" s="36"/>
      <c r="H363" s="3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</row>
    <row r="364" ht="15.75" customHeight="1">
      <c r="A364" s="56"/>
      <c r="B364" s="56"/>
      <c r="C364" s="56"/>
      <c r="D364" s="56"/>
      <c r="E364" s="56"/>
      <c r="F364" s="36"/>
      <c r="G364" s="36"/>
      <c r="H364" s="3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</row>
    <row r="365" ht="15.75" customHeight="1">
      <c r="A365" s="56"/>
      <c r="B365" s="56"/>
      <c r="C365" s="56"/>
      <c r="D365" s="56"/>
      <c r="E365" s="56"/>
      <c r="F365" s="36"/>
      <c r="G365" s="36"/>
      <c r="H365" s="3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</row>
    <row r="366" ht="15.75" customHeight="1">
      <c r="A366" s="56"/>
      <c r="B366" s="56"/>
      <c r="C366" s="56"/>
      <c r="D366" s="56"/>
      <c r="E366" s="56"/>
      <c r="F366" s="36"/>
      <c r="G366" s="36"/>
      <c r="H366" s="3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</row>
    <row r="367" ht="15.75" customHeight="1">
      <c r="A367" s="56"/>
      <c r="B367" s="56"/>
      <c r="C367" s="56"/>
      <c r="D367" s="56"/>
      <c r="E367" s="56"/>
      <c r="F367" s="36"/>
      <c r="G367" s="36"/>
      <c r="H367" s="3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</row>
    <row r="368" ht="15.75" customHeight="1">
      <c r="A368" s="56"/>
      <c r="B368" s="56"/>
      <c r="C368" s="56"/>
      <c r="D368" s="56"/>
      <c r="E368" s="56"/>
      <c r="F368" s="36"/>
      <c r="G368" s="36"/>
      <c r="H368" s="3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</row>
    <row r="369" ht="15.75" customHeight="1">
      <c r="A369" s="56"/>
      <c r="B369" s="56"/>
      <c r="C369" s="56"/>
      <c r="D369" s="56"/>
      <c r="E369" s="56"/>
      <c r="F369" s="36"/>
      <c r="G369" s="36"/>
      <c r="H369" s="3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</row>
    <row r="370" ht="15.75" customHeight="1">
      <c r="A370" s="56"/>
      <c r="B370" s="56"/>
      <c r="C370" s="56"/>
      <c r="D370" s="56"/>
      <c r="E370" s="56"/>
      <c r="F370" s="36"/>
      <c r="G370" s="36"/>
      <c r="H370" s="3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</row>
    <row r="371" ht="15.75" customHeight="1">
      <c r="A371" s="56"/>
      <c r="B371" s="56"/>
      <c r="C371" s="56"/>
      <c r="D371" s="56"/>
      <c r="E371" s="56"/>
      <c r="F371" s="36"/>
      <c r="G371" s="36"/>
      <c r="H371" s="3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</row>
    <row r="372" ht="15.75" customHeight="1">
      <c r="A372" s="56"/>
      <c r="B372" s="56"/>
      <c r="C372" s="56"/>
      <c r="D372" s="56"/>
      <c r="E372" s="56"/>
      <c r="F372" s="36"/>
      <c r="G372" s="36"/>
      <c r="H372" s="3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</row>
    <row r="373" ht="15.75" customHeight="1">
      <c r="A373" s="56"/>
      <c r="B373" s="56"/>
      <c r="C373" s="56"/>
      <c r="D373" s="56"/>
      <c r="E373" s="56"/>
      <c r="F373" s="36"/>
      <c r="G373" s="36"/>
      <c r="H373" s="3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</row>
    <row r="374" ht="15.75" customHeight="1">
      <c r="A374" s="56"/>
      <c r="B374" s="56"/>
      <c r="C374" s="56"/>
      <c r="D374" s="56"/>
      <c r="E374" s="56"/>
      <c r="F374" s="36"/>
      <c r="G374" s="36"/>
      <c r="H374" s="3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</row>
    <row r="375" ht="15.75" customHeight="1">
      <c r="A375" s="56"/>
      <c r="B375" s="56"/>
      <c r="C375" s="56"/>
      <c r="D375" s="56"/>
      <c r="E375" s="56"/>
      <c r="F375" s="36"/>
      <c r="G375" s="36"/>
      <c r="H375" s="3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</row>
    <row r="376" ht="15.75" customHeight="1">
      <c r="A376" s="56"/>
      <c r="B376" s="56"/>
      <c r="C376" s="56"/>
      <c r="D376" s="56"/>
      <c r="E376" s="56"/>
      <c r="F376" s="36"/>
      <c r="G376" s="36"/>
      <c r="H376" s="3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</row>
    <row r="377" ht="15.75" customHeight="1">
      <c r="A377" s="56"/>
      <c r="B377" s="56"/>
      <c r="C377" s="56"/>
      <c r="D377" s="56"/>
      <c r="E377" s="56"/>
      <c r="F377" s="36"/>
      <c r="G377" s="36"/>
      <c r="H377" s="3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</row>
    <row r="378" ht="15.75" customHeight="1">
      <c r="A378" s="56"/>
      <c r="B378" s="56"/>
      <c r="C378" s="56"/>
      <c r="D378" s="56"/>
      <c r="E378" s="56"/>
      <c r="F378" s="36"/>
      <c r="G378" s="36"/>
      <c r="H378" s="3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</row>
    <row r="379" ht="15.75" customHeight="1">
      <c r="A379" s="56"/>
      <c r="B379" s="56"/>
      <c r="C379" s="56"/>
      <c r="D379" s="56"/>
      <c r="E379" s="56"/>
      <c r="F379" s="36"/>
      <c r="G379" s="36"/>
      <c r="H379" s="3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</row>
    <row r="380" ht="15.75" customHeight="1">
      <c r="A380" s="56"/>
      <c r="B380" s="56"/>
      <c r="C380" s="56"/>
      <c r="D380" s="56"/>
      <c r="E380" s="56"/>
      <c r="F380" s="36"/>
      <c r="G380" s="36"/>
      <c r="H380" s="3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</row>
    <row r="381" ht="15.75" customHeight="1">
      <c r="A381" s="56"/>
      <c r="B381" s="56"/>
      <c r="C381" s="56"/>
      <c r="D381" s="56"/>
      <c r="E381" s="56"/>
      <c r="F381" s="36"/>
      <c r="G381" s="36"/>
      <c r="H381" s="3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</row>
    <row r="382" ht="15.75" customHeight="1">
      <c r="A382" s="56"/>
      <c r="B382" s="56"/>
      <c r="C382" s="56"/>
      <c r="D382" s="56"/>
      <c r="E382" s="56"/>
      <c r="F382" s="36"/>
      <c r="G382" s="36"/>
      <c r="H382" s="3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</row>
    <row r="383" ht="15.75" customHeight="1">
      <c r="A383" s="56"/>
      <c r="B383" s="56"/>
      <c r="C383" s="56"/>
      <c r="D383" s="56"/>
      <c r="E383" s="56"/>
      <c r="F383" s="36"/>
      <c r="G383" s="36"/>
      <c r="H383" s="3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</row>
    <row r="384" ht="15.75" customHeight="1">
      <c r="A384" s="56"/>
      <c r="B384" s="56"/>
      <c r="C384" s="56"/>
      <c r="D384" s="56"/>
      <c r="E384" s="56"/>
      <c r="F384" s="36"/>
      <c r="G384" s="36"/>
      <c r="H384" s="3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</row>
    <row r="385" ht="15.75" customHeight="1">
      <c r="A385" s="56"/>
      <c r="B385" s="56"/>
      <c r="C385" s="56"/>
      <c r="D385" s="56"/>
      <c r="E385" s="56"/>
      <c r="F385" s="36"/>
      <c r="G385" s="36"/>
      <c r="H385" s="3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</row>
    <row r="386" ht="15.75" customHeight="1">
      <c r="A386" s="56"/>
      <c r="B386" s="56"/>
      <c r="C386" s="56"/>
      <c r="D386" s="56"/>
      <c r="E386" s="56"/>
      <c r="F386" s="36"/>
      <c r="G386" s="36"/>
      <c r="H386" s="3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</row>
    <row r="387" ht="15.75" customHeight="1">
      <c r="A387" s="56"/>
      <c r="B387" s="56"/>
      <c r="C387" s="56"/>
      <c r="D387" s="56"/>
      <c r="E387" s="56"/>
      <c r="F387" s="36"/>
      <c r="G387" s="36"/>
      <c r="H387" s="3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</row>
    <row r="388" ht="15.75" customHeight="1">
      <c r="A388" s="56"/>
      <c r="B388" s="56"/>
      <c r="C388" s="56"/>
      <c r="D388" s="56"/>
      <c r="E388" s="56"/>
      <c r="F388" s="36"/>
      <c r="G388" s="36"/>
      <c r="H388" s="3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</row>
    <row r="389" ht="15.75" customHeight="1">
      <c r="A389" s="56"/>
      <c r="B389" s="56"/>
      <c r="C389" s="56"/>
      <c r="D389" s="56"/>
      <c r="E389" s="56"/>
      <c r="F389" s="36"/>
      <c r="G389" s="36"/>
      <c r="H389" s="3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</row>
    <row r="390" ht="15.75" customHeight="1">
      <c r="A390" s="56"/>
      <c r="B390" s="56"/>
      <c r="C390" s="56"/>
      <c r="D390" s="56"/>
      <c r="E390" s="56"/>
      <c r="F390" s="36"/>
      <c r="G390" s="36"/>
      <c r="H390" s="3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</row>
    <row r="391" ht="15.75" customHeight="1">
      <c r="A391" s="56"/>
      <c r="B391" s="56"/>
      <c r="C391" s="56"/>
      <c r="D391" s="56"/>
      <c r="E391" s="56"/>
      <c r="F391" s="36"/>
      <c r="G391" s="36"/>
      <c r="H391" s="3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</row>
    <row r="392" ht="15.75" customHeight="1">
      <c r="A392" s="56"/>
      <c r="B392" s="56"/>
      <c r="C392" s="56"/>
      <c r="D392" s="56"/>
      <c r="E392" s="56"/>
      <c r="F392" s="36"/>
      <c r="G392" s="36"/>
      <c r="H392" s="3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</row>
    <row r="393" ht="15.75" customHeight="1">
      <c r="A393" s="56"/>
      <c r="B393" s="56"/>
      <c r="C393" s="56"/>
      <c r="D393" s="56"/>
      <c r="E393" s="56"/>
      <c r="F393" s="36"/>
      <c r="G393" s="36"/>
      <c r="H393" s="3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</row>
    <row r="394" ht="15.75" customHeight="1">
      <c r="A394" s="56"/>
      <c r="B394" s="56"/>
      <c r="C394" s="56"/>
      <c r="D394" s="56"/>
      <c r="E394" s="56"/>
      <c r="F394" s="36"/>
      <c r="G394" s="36"/>
      <c r="H394" s="3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</row>
    <row r="395" ht="15.75" customHeight="1">
      <c r="A395" s="56"/>
      <c r="B395" s="56"/>
      <c r="C395" s="56"/>
      <c r="D395" s="56"/>
      <c r="E395" s="56"/>
      <c r="F395" s="36"/>
      <c r="G395" s="36"/>
      <c r="H395" s="3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</row>
    <row r="396" ht="15.75" customHeight="1">
      <c r="A396" s="56"/>
      <c r="B396" s="56"/>
      <c r="C396" s="56"/>
      <c r="D396" s="56"/>
      <c r="E396" s="56"/>
      <c r="F396" s="36"/>
      <c r="G396" s="36"/>
      <c r="H396" s="3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</row>
    <row r="397" ht="15.75" customHeight="1">
      <c r="A397" s="56"/>
      <c r="B397" s="56"/>
      <c r="C397" s="56"/>
      <c r="D397" s="56"/>
      <c r="E397" s="56"/>
      <c r="F397" s="36"/>
      <c r="G397" s="36"/>
      <c r="H397" s="3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</row>
    <row r="398" ht="15.75" customHeight="1">
      <c r="A398" s="56"/>
      <c r="B398" s="56"/>
      <c r="C398" s="56"/>
      <c r="D398" s="56"/>
      <c r="E398" s="56"/>
      <c r="F398" s="36"/>
      <c r="G398" s="36"/>
      <c r="H398" s="3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</row>
    <row r="399" ht="15.75" customHeight="1">
      <c r="A399" s="56"/>
      <c r="B399" s="56"/>
      <c r="C399" s="56"/>
      <c r="D399" s="56"/>
      <c r="E399" s="56"/>
      <c r="F399" s="36"/>
      <c r="G399" s="36"/>
      <c r="H399" s="3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</row>
    <row r="400" ht="15.75" customHeight="1">
      <c r="A400" s="56"/>
      <c r="B400" s="56"/>
      <c r="C400" s="56"/>
      <c r="D400" s="56"/>
      <c r="E400" s="56"/>
      <c r="F400" s="36"/>
      <c r="G400" s="36"/>
      <c r="H400" s="3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</row>
    <row r="401" ht="15.75" customHeight="1">
      <c r="A401" s="56"/>
      <c r="B401" s="56"/>
      <c r="C401" s="56"/>
      <c r="D401" s="56"/>
      <c r="E401" s="56"/>
      <c r="F401" s="36"/>
      <c r="G401" s="36"/>
      <c r="H401" s="3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</row>
    <row r="402" ht="15.75" customHeight="1">
      <c r="A402" s="56"/>
      <c r="B402" s="56"/>
      <c r="C402" s="56"/>
      <c r="D402" s="56"/>
      <c r="E402" s="56"/>
      <c r="F402" s="36"/>
      <c r="G402" s="36"/>
      <c r="H402" s="3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</row>
    <row r="403" ht="15.75" customHeight="1">
      <c r="A403" s="56"/>
      <c r="B403" s="56"/>
      <c r="C403" s="56"/>
      <c r="D403" s="56"/>
      <c r="E403" s="56"/>
      <c r="F403" s="36"/>
      <c r="G403" s="36"/>
      <c r="H403" s="3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</row>
    <row r="404" ht="15.75" customHeight="1">
      <c r="A404" s="56"/>
      <c r="B404" s="56"/>
      <c r="C404" s="56"/>
      <c r="D404" s="56"/>
      <c r="E404" s="56"/>
      <c r="F404" s="36"/>
      <c r="G404" s="36"/>
      <c r="H404" s="3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</row>
    <row r="405" ht="15.75" customHeight="1">
      <c r="A405" s="56"/>
      <c r="B405" s="56"/>
      <c r="C405" s="56"/>
      <c r="D405" s="56"/>
      <c r="E405" s="56"/>
      <c r="F405" s="36"/>
      <c r="G405" s="36"/>
      <c r="H405" s="3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</row>
    <row r="406" ht="15.75" customHeight="1">
      <c r="A406" s="56"/>
      <c r="B406" s="56"/>
      <c r="C406" s="56"/>
      <c r="D406" s="56"/>
      <c r="E406" s="56"/>
      <c r="F406" s="36"/>
      <c r="G406" s="36"/>
      <c r="H406" s="3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</row>
    <row r="407" ht="15.75" customHeight="1">
      <c r="A407" s="56"/>
      <c r="B407" s="56"/>
      <c r="C407" s="56"/>
      <c r="D407" s="56"/>
      <c r="E407" s="56"/>
      <c r="F407" s="36"/>
      <c r="G407" s="36"/>
      <c r="H407" s="3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</row>
    <row r="408" ht="15.75" customHeight="1">
      <c r="A408" s="56"/>
      <c r="B408" s="56"/>
      <c r="C408" s="56"/>
      <c r="D408" s="56"/>
      <c r="E408" s="56"/>
      <c r="F408" s="36"/>
      <c r="G408" s="36"/>
      <c r="H408" s="3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</row>
    <row r="409" ht="15.75" customHeight="1">
      <c r="A409" s="56"/>
      <c r="B409" s="56"/>
      <c r="C409" s="56"/>
      <c r="D409" s="56"/>
      <c r="E409" s="56"/>
      <c r="F409" s="36"/>
      <c r="G409" s="36"/>
      <c r="H409" s="3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</row>
    <row r="410" ht="15.75" customHeight="1">
      <c r="A410" s="56"/>
      <c r="B410" s="56"/>
      <c r="C410" s="56"/>
      <c r="D410" s="56"/>
      <c r="E410" s="56"/>
      <c r="F410" s="36"/>
      <c r="G410" s="36"/>
      <c r="H410" s="3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</row>
    <row r="411" ht="15.75" customHeight="1">
      <c r="A411" s="56"/>
      <c r="B411" s="56"/>
      <c r="C411" s="56"/>
      <c r="D411" s="56"/>
      <c r="E411" s="56"/>
      <c r="F411" s="36"/>
      <c r="G411" s="36"/>
      <c r="H411" s="3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</row>
    <row r="412" ht="15.75" customHeight="1">
      <c r="A412" s="56"/>
      <c r="B412" s="56"/>
      <c r="C412" s="56"/>
      <c r="D412" s="56"/>
      <c r="E412" s="56"/>
      <c r="F412" s="36"/>
      <c r="G412" s="36"/>
      <c r="H412" s="3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</row>
    <row r="413" ht="15.75" customHeight="1">
      <c r="A413" s="56"/>
      <c r="B413" s="56"/>
      <c r="C413" s="56"/>
      <c r="D413" s="56"/>
      <c r="E413" s="56"/>
      <c r="F413" s="36"/>
      <c r="G413" s="36"/>
      <c r="H413" s="3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</row>
    <row r="414" ht="15.75" customHeight="1">
      <c r="A414" s="56"/>
      <c r="B414" s="56"/>
      <c r="C414" s="56"/>
      <c r="D414" s="56"/>
      <c r="E414" s="56"/>
      <c r="F414" s="36"/>
      <c r="G414" s="36"/>
      <c r="H414" s="3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</row>
    <row r="415" ht="15.75" customHeight="1">
      <c r="A415" s="56"/>
      <c r="B415" s="56"/>
      <c r="C415" s="56"/>
      <c r="D415" s="56"/>
      <c r="E415" s="56"/>
      <c r="F415" s="36"/>
      <c r="G415" s="36"/>
      <c r="H415" s="3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</row>
    <row r="416" ht="15.75" customHeight="1">
      <c r="A416" s="56"/>
      <c r="B416" s="56"/>
      <c r="C416" s="56"/>
      <c r="D416" s="56"/>
      <c r="E416" s="56"/>
      <c r="F416" s="36"/>
      <c r="G416" s="36"/>
      <c r="H416" s="3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</row>
    <row r="417" ht="15.75" customHeight="1">
      <c r="A417" s="56"/>
      <c r="B417" s="56"/>
      <c r="C417" s="56"/>
      <c r="D417" s="56"/>
      <c r="E417" s="56"/>
      <c r="F417" s="36"/>
      <c r="G417" s="36"/>
      <c r="H417" s="3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</row>
    <row r="418" ht="15.75" customHeight="1">
      <c r="A418" s="56"/>
      <c r="B418" s="56"/>
      <c r="C418" s="56"/>
      <c r="D418" s="56"/>
      <c r="E418" s="56"/>
      <c r="F418" s="36"/>
      <c r="G418" s="36"/>
      <c r="H418" s="3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</row>
    <row r="419" ht="15.75" customHeight="1">
      <c r="A419" s="56"/>
      <c r="B419" s="56"/>
      <c r="C419" s="56"/>
      <c r="D419" s="56"/>
      <c r="E419" s="56"/>
      <c r="F419" s="36"/>
      <c r="G419" s="36"/>
      <c r="H419" s="3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</row>
    <row r="420" ht="15.75" customHeight="1">
      <c r="A420" s="56"/>
      <c r="B420" s="56"/>
      <c r="C420" s="56"/>
      <c r="D420" s="56"/>
      <c r="E420" s="56"/>
      <c r="F420" s="36"/>
      <c r="G420" s="36"/>
      <c r="H420" s="3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</row>
    <row r="421" ht="15.75" customHeight="1">
      <c r="A421" s="56"/>
      <c r="B421" s="56"/>
      <c r="C421" s="56"/>
      <c r="D421" s="56"/>
      <c r="E421" s="56"/>
      <c r="F421" s="36"/>
      <c r="G421" s="36"/>
      <c r="H421" s="3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</row>
    <row r="422" ht="15.75" customHeight="1">
      <c r="A422" s="56"/>
      <c r="B422" s="56"/>
      <c r="C422" s="56"/>
      <c r="D422" s="56"/>
      <c r="E422" s="56"/>
      <c r="F422" s="36"/>
      <c r="G422" s="36"/>
      <c r="H422" s="3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</row>
    <row r="423" ht="15.75" customHeight="1">
      <c r="A423" s="56"/>
      <c r="B423" s="56"/>
      <c r="C423" s="56"/>
      <c r="D423" s="56"/>
      <c r="E423" s="56"/>
      <c r="F423" s="36"/>
      <c r="G423" s="36"/>
      <c r="H423" s="3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</row>
    <row r="424" ht="15.75" customHeight="1">
      <c r="A424" s="56"/>
      <c r="B424" s="56"/>
      <c r="C424" s="56"/>
      <c r="D424" s="56"/>
      <c r="E424" s="56"/>
      <c r="F424" s="36"/>
      <c r="G424" s="36"/>
      <c r="H424" s="3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</row>
    <row r="425" ht="15.75" customHeight="1">
      <c r="A425" s="56"/>
      <c r="B425" s="56"/>
      <c r="C425" s="56"/>
      <c r="D425" s="56"/>
      <c r="E425" s="56"/>
      <c r="F425" s="36"/>
      <c r="G425" s="36"/>
      <c r="H425" s="3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</row>
    <row r="426" ht="15.75" customHeight="1">
      <c r="A426" s="56"/>
      <c r="B426" s="56"/>
      <c r="C426" s="56"/>
      <c r="D426" s="56"/>
      <c r="E426" s="56"/>
      <c r="F426" s="36"/>
      <c r="G426" s="36"/>
      <c r="H426" s="3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</row>
    <row r="427" ht="15.75" customHeight="1">
      <c r="A427" s="56"/>
      <c r="B427" s="56"/>
      <c r="C427" s="56"/>
      <c r="D427" s="56"/>
      <c r="E427" s="56"/>
      <c r="F427" s="36"/>
      <c r="G427" s="36"/>
      <c r="H427" s="3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</row>
    <row r="428" ht="15.75" customHeight="1">
      <c r="A428" s="56"/>
      <c r="B428" s="56"/>
      <c r="C428" s="56"/>
      <c r="D428" s="56"/>
      <c r="E428" s="56"/>
      <c r="F428" s="36"/>
      <c r="G428" s="36"/>
      <c r="H428" s="3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</row>
    <row r="429" ht="15.75" customHeight="1">
      <c r="A429" s="56"/>
      <c r="B429" s="56"/>
      <c r="C429" s="56"/>
      <c r="D429" s="56"/>
      <c r="E429" s="56"/>
      <c r="F429" s="36"/>
      <c r="G429" s="36"/>
      <c r="H429" s="3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</row>
    <row r="430" ht="15.75" customHeight="1">
      <c r="A430" s="56"/>
      <c r="B430" s="56"/>
      <c r="C430" s="56"/>
      <c r="D430" s="56"/>
      <c r="E430" s="56"/>
      <c r="F430" s="36"/>
      <c r="G430" s="36"/>
      <c r="H430" s="3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</row>
    <row r="431" ht="15.75" customHeight="1">
      <c r="A431" s="56"/>
      <c r="B431" s="56"/>
      <c r="C431" s="56"/>
      <c r="D431" s="56"/>
      <c r="E431" s="56"/>
      <c r="F431" s="36"/>
      <c r="G431" s="36"/>
      <c r="H431" s="3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</row>
    <row r="432" ht="15.75" customHeight="1">
      <c r="A432" s="56"/>
      <c r="B432" s="56"/>
      <c r="C432" s="56"/>
      <c r="D432" s="56"/>
      <c r="E432" s="56"/>
      <c r="F432" s="36"/>
      <c r="G432" s="36"/>
      <c r="H432" s="3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</row>
    <row r="433" ht="15.75" customHeight="1">
      <c r="A433" s="56"/>
      <c r="B433" s="56"/>
      <c r="C433" s="56"/>
      <c r="D433" s="56"/>
      <c r="E433" s="56"/>
      <c r="F433" s="36"/>
      <c r="G433" s="36"/>
      <c r="H433" s="3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</row>
    <row r="434" ht="15.75" customHeight="1">
      <c r="A434" s="56"/>
      <c r="B434" s="56"/>
      <c r="C434" s="56"/>
      <c r="D434" s="56"/>
      <c r="E434" s="56"/>
      <c r="F434" s="36"/>
      <c r="G434" s="36"/>
      <c r="H434" s="3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</row>
    <row r="435" ht="15.75" customHeight="1">
      <c r="A435" s="56"/>
      <c r="B435" s="56"/>
      <c r="C435" s="56"/>
      <c r="D435" s="56"/>
      <c r="E435" s="56"/>
      <c r="F435" s="36"/>
      <c r="G435" s="36"/>
      <c r="H435" s="3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</row>
    <row r="436" ht="15.75" customHeight="1">
      <c r="A436" s="56"/>
      <c r="B436" s="56"/>
      <c r="C436" s="56"/>
      <c r="D436" s="56"/>
      <c r="E436" s="56"/>
      <c r="F436" s="36"/>
      <c r="G436" s="36"/>
      <c r="H436" s="3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</row>
    <row r="437" ht="15.75" customHeight="1">
      <c r="A437" s="56"/>
      <c r="B437" s="56"/>
      <c r="C437" s="56"/>
      <c r="D437" s="56"/>
      <c r="E437" s="56"/>
      <c r="F437" s="36"/>
      <c r="G437" s="36"/>
      <c r="H437" s="3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</row>
    <row r="438" ht="15.75" customHeight="1">
      <c r="A438" s="56"/>
      <c r="B438" s="56"/>
      <c r="C438" s="56"/>
      <c r="D438" s="56"/>
      <c r="E438" s="56"/>
      <c r="F438" s="36"/>
      <c r="G438" s="36"/>
      <c r="H438" s="3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</row>
    <row r="439" ht="15.75" customHeight="1">
      <c r="A439" s="56"/>
      <c r="B439" s="56"/>
      <c r="C439" s="56"/>
      <c r="D439" s="56"/>
      <c r="E439" s="56"/>
      <c r="F439" s="36"/>
      <c r="G439" s="36"/>
      <c r="H439" s="3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</row>
    <row r="440" ht="15.75" customHeight="1">
      <c r="A440" s="56"/>
      <c r="B440" s="56"/>
      <c r="C440" s="56"/>
      <c r="D440" s="56"/>
      <c r="E440" s="56"/>
      <c r="F440" s="36"/>
      <c r="G440" s="36"/>
      <c r="H440" s="3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</row>
    <row r="441" ht="15.75" customHeight="1">
      <c r="A441" s="56"/>
      <c r="B441" s="56"/>
      <c r="C441" s="56"/>
      <c r="D441" s="56"/>
      <c r="E441" s="56"/>
      <c r="F441" s="36"/>
      <c r="G441" s="36"/>
      <c r="H441" s="3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</row>
    <row r="442" ht="15.75" customHeight="1">
      <c r="A442" s="56"/>
      <c r="B442" s="56"/>
      <c r="C442" s="56"/>
      <c r="D442" s="56"/>
      <c r="E442" s="56"/>
      <c r="F442" s="36"/>
      <c r="G442" s="36"/>
      <c r="H442" s="3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</row>
    <row r="443" ht="15.75" customHeight="1">
      <c r="A443" s="56"/>
      <c r="B443" s="56"/>
      <c r="C443" s="56"/>
      <c r="D443" s="56"/>
      <c r="E443" s="56"/>
      <c r="F443" s="36"/>
      <c r="G443" s="36"/>
      <c r="H443" s="3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</row>
    <row r="444" ht="15.75" customHeight="1">
      <c r="A444" s="56"/>
      <c r="B444" s="56"/>
      <c r="C444" s="56"/>
      <c r="D444" s="56"/>
      <c r="E444" s="56"/>
      <c r="F444" s="36"/>
      <c r="G444" s="36"/>
      <c r="H444" s="3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</row>
    <row r="445" ht="15.75" customHeight="1">
      <c r="A445" s="56"/>
      <c r="B445" s="56"/>
      <c r="C445" s="56"/>
      <c r="D445" s="56"/>
      <c r="E445" s="56"/>
      <c r="F445" s="36"/>
      <c r="G445" s="36"/>
      <c r="H445" s="3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</row>
    <row r="446" ht="15.75" customHeight="1">
      <c r="A446" s="56"/>
      <c r="B446" s="56"/>
      <c r="C446" s="56"/>
      <c r="D446" s="56"/>
      <c r="E446" s="56"/>
      <c r="F446" s="36"/>
      <c r="G446" s="36"/>
      <c r="H446" s="3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</row>
    <row r="447" ht="15.75" customHeight="1">
      <c r="A447" s="56"/>
      <c r="B447" s="56"/>
      <c r="C447" s="56"/>
      <c r="D447" s="56"/>
      <c r="E447" s="56"/>
      <c r="F447" s="36"/>
      <c r="G447" s="36"/>
      <c r="H447" s="3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</row>
    <row r="448" ht="15.75" customHeight="1">
      <c r="A448" s="56"/>
      <c r="B448" s="56"/>
      <c r="C448" s="56"/>
      <c r="D448" s="56"/>
      <c r="E448" s="56"/>
      <c r="F448" s="36"/>
      <c r="G448" s="36"/>
      <c r="H448" s="3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</row>
    <row r="449" ht="15.75" customHeight="1">
      <c r="A449" s="56"/>
      <c r="B449" s="56"/>
      <c r="C449" s="56"/>
      <c r="D449" s="56"/>
      <c r="E449" s="56"/>
      <c r="F449" s="36"/>
      <c r="G449" s="36"/>
      <c r="H449" s="3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</row>
    <row r="450" ht="15.75" customHeight="1">
      <c r="A450" s="56"/>
      <c r="B450" s="56"/>
      <c r="C450" s="56"/>
      <c r="D450" s="56"/>
      <c r="E450" s="56"/>
      <c r="F450" s="36"/>
      <c r="G450" s="36"/>
      <c r="H450" s="3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</row>
    <row r="451" ht="15.75" customHeight="1">
      <c r="A451" s="56"/>
      <c r="B451" s="56"/>
      <c r="C451" s="56"/>
      <c r="D451" s="56"/>
      <c r="E451" s="56"/>
      <c r="F451" s="36"/>
      <c r="G451" s="36"/>
      <c r="H451" s="3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</row>
    <row r="452" ht="15.75" customHeight="1">
      <c r="A452" s="56"/>
      <c r="B452" s="56"/>
      <c r="C452" s="56"/>
      <c r="D452" s="56"/>
      <c r="E452" s="56"/>
      <c r="F452" s="36"/>
      <c r="G452" s="36"/>
      <c r="H452" s="3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</row>
    <row r="453" ht="15.75" customHeight="1">
      <c r="A453" s="56"/>
      <c r="B453" s="56"/>
      <c r="C453" s="56"/>
      <c r="D453" s="56"/>
      <c r="E453" s="56"/>
      <c r="F453" s="36"/>
      <c r="G453" s="36"/>
      <c r="H453" s="3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</row>
    <row r="454" ht="15.75" customHeight="1">
      <c r="A454" s="56"/>
      <c r="B454" s="56"/>
      <c r="C454" s="56"/>
      <c r="D454" s="56"/>
      <c r="E454" s="56"/>
      <c r="F454" s="36"/>
      <c r="G454" s="36"/>
      <c r="H454" s="3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</row>
    <row r="455" ht="15.75" customHeight="1">
      <c r="A455" s="56"/>
      <c r="B455" s="56"/>
      <c r="C455" s="56"/>
      <c r="D455" s="56"/>
      <c r="E455" s="56"/>
      <c r="F455" s="36"/>
      <c r="G455" s="36"/>
      <c r="H455" s="3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</row>
    <row r="456" ht="15.75" customHeight="1">
      <c r="A456" s="56"/>
      <c r="B456" s="56"/>
      <c r="C456" s="56"/>
      <c r="D456" s="56"/>
      <c r="E456" s="56"/>
      <c r="F456" s="36"/>
      <c r="G456" s="36"/>
      <c r="H456" s="3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</row>
    <row r="457" ht="15.75" customHeight="1">
      <c r="A457" s="56"/>
      <c r="B457" s="56"/>
      <c r="C457" s="56"/>
      <c r="D457" s="56"/>
      <c r="E457" s="56"/>
      <c r="F457" s="36"/>
      <c r="G457" s="36"/>
      <c r="H457" s="3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</row>
    <row r="458" ht="15.75" customHeight="1">
      <c r="A458" s="56"/>
      <c r="B458" s="56"/>
      <c r="C458" s="56"/>
      <c r="D458" s="56"/>
      <c r="E458" s="56"/>
      <c r="F458" s="36"/>
      <c r="G458" s="36"/>
      <c r="H458" s="3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</row>
    <row r="459" ht="15.75" customHeight="1">
      <c r="A459" s="56"/>
      <c r="B459" s="56"/>
      <c r="C459" s="56"/>
      <c r="D459" s="56"/>
      <c r="E459" s="56"/>
      <c r="F459" s="36"/>
      <c r="G459" s="36"/>
      <c r="H459" s="3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</row>
    <row r="460" ht="15.75" customHeight="1">
      <c r="A460" s="56"/>
      <c r="B460" s="56"/>
      <c r="C460" s="56"/>
      <c r="D460" s="56"/>
      <c r="E460" s="56"/>
      <c r="F460" s="36"/>
      <c r="G460" s="36"/>
      <c r="H460" s="3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</row>
    <row r="461" ht="15.75" customHeight="1">
      <c r="A461" s="56"/>
      <c r="B461" s="56"/>
      <c r="C461" s="56"/>
      <c r="D461" s="56"/>
      <c r="E461" s="56"/>
      <c r="F461" s="36"/>
      <c r="G461" s="36"/>
      <c r="H461" s="3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</row>
    <row r="462" ht="15.75" customHeight="1">
      <c r="A462" s="56"/>
      <c r="B462" s="56"/>
      <c r="C462" s="56"/>
      <c r="D462" s="56"/>
      <c r="E462" s="56"/>
      <c r="F462" s="36"/>
      <c r="G462" s="36"/>
      <c r="H462" s="3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</row>
    <row r="463" ht="15.75" customHeight="1">
      <c r="A463" s="56"/>
      <c r="B463" s="56"/>
      <c r="C463" s="56"/>
      <c r="D463" s="56"/>
      <c r="E463" s="56"/>
      <c r="F463" s="36"/>
      <c r="G463" s="36"/>
      <c r="H463" s="3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</row>
    <row r="464" ht="15.75" customHeight="1">
      <c r="A464" s="56"/>
      <c r="B464" s="56"/>
      <c r="C464" s="56"/>
      <c r="D464" s="56"/>
      <c r="E464" s="56"/>
      <c r="F464" s="36"/>
      <c r="G464" s="36"/>
      <c r="H464" s="3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</row>
    <row r="465" ht="15.75" customHeight="1">
      <c r="A465" s="56"/>
      <c r="B465" s="56"/>
      <c r="C465" s="56"/>
      <c r="D465" s="56"/>
      <c r="E465" s="56"/>
      <c r="F465" s="36"/>
      <c r="G465" s="36"/>
      <c r="H465" s="3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</row>
    <row r="466" ht="15.75" customHeight="1">
      <c r="A466" s="56"/>
      <c r="B466" s="56"/>
      <c r="C466" s="56"/>
      <c r="D466" s="56"/>
      <c r="E466" s="56"/>
      <c r="F466" s="36"/>
      <c r="G466" s="36"/>
      <c r="H466" s="3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</row>
    <row r="467" ht="15.75" customHeight="1">
      <c r="A467" s="56"/>
      <c r="B467" s="56"/>
      <c r="C467" s="56"/>
      <c r="D467" s="56"/>
      <c r="E467" s="56"/>
      <c r="F467" s="36"/>
      <c r="G467" s="36"/>
      <c r="H467" s="3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</row>
    <row r="468" ht="15.75" customHeight="1">
      <c r="A468" s="56"/>
      <c r="B468" s="56"/>
      <c r="C468" s="56"/>
      <c r="D468" s="56"/>
      <c r="E468" s="56"/>
      <c r="F468" s="36"/>
      <c r="G468" s="36"/>
      <c r="H468" s="3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</row>
    <row r="469" ht="15.75" customHeight="1">
      <c r="A469" s="56"/>
      <c r="B469" s="56"/>
      <c r="C469" s="56"/>
      <c r="D469" s="56"/>
      <c r="E469" s="56"/>
      <c r="F469" s="36"/>
      <c r="G469" s="36"/>
      <c r="H469" s="3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</row>
    <row r="470" ht="15.75" customHeight="1">
      <c r="A470" s="56"/>
      <c r="B470" s="56"/>
      <c r="C470" s="56"/>
      <c r="D470" s="56"/>
      <c r="E470" s="56"/>
      <c r="F470" s="36"/>
      <c r="G470" s="36"/>
      <c r="H470" s="3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</row>
    <row r="471" ht="15.75" customHeight="1">
      <c r="A471" s="56"/>
      <c r="B471" s="56"/>
      <c r="C471" s="56"/>
      <c r="D471" s="56"/>
      <c r="E471" s="56"/>
      <c r="F471" s="36"/>
      <c r="G471" s="36"/>
      <c r="H471" s="3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</row>
    <row r="472" ht="15.75" customHeight="1">
      <c r="A472" s="56"/>
      <c r="B472" s="56"/>
      <c r="C472" s="56"/>
      <c r="D472" s="56"/>
      <c r="E472" s="56"/>
      <c r="F472" s="36"/>
      <c r="G472" s="36"/>
      <c r="H472" s="3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</row>
    <row r="473" ht="15.75" customHeight="1">
      <c r="A473" s="56"/>
      <c r="B473" s="56"/>
      <c r="C473" s="56"/>
      <c r="D473" s="56"/>
      <c r="E473" s="56"/>
      <c r="F473" s="36"/>
      <c r="G473" s="36"/>
      <c r="H473" s="3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</row>
    <row r="474" ht="15.75" customHeight="1">
      <c r="A474" s="56"/>
      <c r="B474" s="56"/>
      <c r="C474" s="56"/>
      <c r="D474" s="56"/>
      <c r="E474" s="56"/>
      <c r="F474" s="36"/>
      <c r="G474" s="36"/>
      <c r="H474" s="3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</row>
    <row r="475" ht="15.75" customHeight="1">
      <c r="A475" s="56"/>
      <c r="B475" s="56"/>
      <c r="C475" s="56"/>
      <c r="D475" s="56"/>
      <c r="E475" s="56"/>
      <c r="F475" s="36"/>
      <c r="G475" s="36"/>
      <c r="H475" s="3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</row>
    <row r="476" ht="15.75" customHeight="1">
      <c r="A476" s="56"/>
      <c r="B476" s="56"/>
      <c r="C476" s="56"/>
      <c r="D476" s="56"/>
      <c r="E476" s="56"/>
      <c r="F476" s="36"/>
      <c r="G476" s="36"/>
      <c r="H476" s="3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</row>
    <row r="477" ht="15.75" customHeight="1">
      <c r="A477" s="56"/>
      <c r="B477" s="56"/>
      <c r="C477" s="56"/>
      <c r="D477" s="56"/>
      <c r="E477" s="56"/>
      <c r="F477" s="36"/>
      <c r="G477" s="36"/>
      <c r="H477" s="3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</row>
    <row r="478" ht="15.75" customHeight="1">
      <c r="A478" s="56"/>
      <c r="B478" s="56"/>
      <c r="C478" s="56"/>
      <c r="D478" s="56"/>
      <c r="E478" s="56"/>
      <c r="F478" s="36"/>
      <c r="G478" s="36"/>
      <c r="H478" s="3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</row>
    <row r="479" ht="15.75" customHeight="1">
      <c r="A479" s="56"/>
      <c r="B479" s="56"/>
      <c r="C479" s="56"/>
      <c r="D479" s="56"/>
      <c r="E479" s="56"/>
      <c r="F479" s="36"/>
      <c r="G479" s="36"/>
      <c r="H479" s="3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</row>
    <row r="480" ht="15.75" customHeight="1">
      <c r="A480" s="56"/>
      <c r="B480" s="56"/>
      <c r="C480" s="56"/>
      <c r="D480" s="56"/>
      <c r="E480" s="56"/>
      <c r="F480" s="36"/>
      <c r="G480" s="36"/>
      <c r="H480" s="3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</row>
    <row r="481" ht="15.75" customHeight="1">
      <c r="A481" s="56"/>
      <c r="B481" s="56"/>
      <c r="C481" s="56"/>
      <c r="D481" s="56"/>
      <c r="E481" s="56"/>
      <c r="F481" s="36"/>
      <c r="G481" s="36"/>
      <c r="H481" s="3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</row>
    <row r="482" ht="15.75" customHeight="1">
      <c r="A482" s="56"/>
      <c r="B482" s="56"/>
      <c r="C482" s="56"/>
      <c r="D482" s="56"/>
      <c r="E482" s="56"/>
      <c r="F482" s="36"/>
      <c r="G482" s="36"/>
      <c r="H482" s="3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</row>
    <row r="483" ht="15.75" customHeight="1">
      <c r="A483" s="56"/>
      <c r="B483" s="56"/>
      <c r="C483" s="56"/>
      <c r="D483" s="56"/>
      <c r="E483" s="56"/>
      <c r="F483" s="36"/>
      <c r="G483" s="36"/>
      <c r="H483" s="3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</row>
    <row r="484" ht="15.75" customHeight="1">
      <c r="A484" s="56"/>
      <c r="B484" s="56"/>
      <c r="C484" s="56"/>
      <c r="D484" s="56"/>
      <c r="E484" s="56"/>
      <c r="F484" s="36"/>
      <c r="G484" s="36"/>
      <c r="H484" s="3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</row>
    <row r="485" ht="15.75" customHeight="1">
      <c r="A485" s="56"/>
      <c r="B485" s="56"/>
      <c r="C485" s="56"/>
      <c r="D485" s="56"/>
      <c r="E485" s="56"/>
      <c r="F485" s="36"/>
      <c r="G485" s="36"/>
      <c r="H485" s="3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</row>
    <row r="486" ht="15.75" customHeight="1">
      <c r="A486" s="56"/>
      <c r="B486" s="56"/>
      <c r="C486" s="56"/>
      <c r="D486" s="56"/>
      <c r="E486" s="56"/>
      <c r="F486" s="36"/>
      <c r="G486" s="36"/>
      <c r="H486" s="3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</row>
    <row r="487" ht="15.75" customHeight="1">
      <c r="A487" s="56"/>
      <c r="B487" s="56"/>
      <c r="C487" s="56"/>
      <c r="D487" s="56"/>
      <c r="E487" s="56"/>
      <c r="F487" s="36"/>
      <c r="G487" s="36"/>
      <c r="H487" s="3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</row>
    <row r="488" ht="15.75" customHeight="1">
      <c r="A488" s="56"/>
      <c r="B488" s="56"/>
      <c r="C488" s="56"/>
      <c r="D488" s="56"/>
      <c r="E488" s="56"/>
      <c r="F488" s="36"/>
      <c r="G488" s="36"/>
      <c r="H488" s="3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</row>
    <row r="489" ht="15.75" customHeight="1">
      <c r="A489" s="56"/>
      <c r="B489" s="56"/>
      <c r="C489" s="56"/>
      <c r="D489" s="56"/>
      <c r="E489" s="56"/>
      <c r="F489" s="36"/>
      <c r="G489" s="36"/>
      <c r="H489" s="3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</row>
    <row r="490" ht="15.75" customHeight="1">
      <c r="A490" s="56"/>
      <c r="B490" s="56"/>
      <c r="C490" s="56"/>
      <c r="D490" s="56"/>
      <c r="E490" s="56"/>
      <c r="F490" s="36"/>
      <c r="G490" s="36"/>
      <c r="H490" s="3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</row>
    <row r="491" ht="15.75" customHeight="1">
      <c r="A491" s="56"/>
      <c r="B491" s="56"/>
      <c r="C491" s="56"/>
      <c r="D491" s="56"/>
      <c r="E491" s="56"/>
      <c r="F491" s="36"/>
      <c r="G491" s="36"/>
      <c r="H491" s="3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</row>
    <row r="492" ht="15.75" customHeight="1">
      <c r="A492" s="56"/>
      <c r="B492" s="56"/>
      <c r="C492" s="56"/>
      <c r="D492" s="56"/>
      <c r="E492" s="56"/>
      <c r="F492" s="36"/>
      <c r="G492" s="36"/>
      <c r="H492" s="3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</row>
    <row r="493" ht="15.75" customHeight="1">
      <c r="A493" s="56"/>
      <c r="B493" s="56"/>
      <c r="C493" s="56"/>
      <c r="D493" s="56"/>
      <c r="E493" s="56"/>
      <c r="F493" s="36"/>
      <c r="G493" s="36"/>
      <c r="H493" s="3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</row>
    <row r="494" ht="15.75" customHeight="1">
      <c r="A494" s="56"/>
      <c r="B494" s="56"/>
      <c r="C494" s="56"/>
      <c r="D494" s="56"/>
      <c r="E494" s="56"/>
      <c r="F494" s="36"/>
      <c r="G494" s="36"/>
      <c r="H494" s="3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</row>
    <row r="495" ht="15.75" customHeight="1">
      <c r="A495" s="56"/>
      <c r="B495" s="56"/>
      <c r="C495" s="56"/>
      <c r="D495" s="56"/>
      <c r="E495" s="56"/>
      <c r="F495" s="36"/>
      <c r="G495" s="36"/>
      <c r="H495" s="3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</row>
    <row r="496" ht="15.75" customHeight="1">
      <c r="A496" s="56"/>
      <c r="B496" s="56"/>
      <c r="C496" s="56"/>
      <c r="D496" s="56"/>
      <c r="E496" s="56"/>
      <c r="F496" s="36"/>
      <c r="G496" s="36"/>
      <c r="H496" s="3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</row>
    <row r="497" ht="15.75" customHeight="1">
      <c r="A497" s="56"/>
      <c r="B497" s="56"/>
      <c r="C497" s="56"/>
      <c r="D497" s="56"/>
      <c r="E497" s="56"/>
      <c r="F497" s="36"/>
      <c r="G497" s="36"/>
      <c r="H497" s="3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</row>
    <row r="498" ht="15.75" customHeight="1">
      <c r="A498" s="56"/>
      <c r="B498" s="56"/>
      <c r="C498" s="56"/>
      <c r="D498" s="56"/>
      <c r="E498" s="56"/>
      <c r="F498" s="36"/>
      <c r="G498" s="36"/>
      <c r="H498" s="3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</row>
    <row r="499" ht="15.75" customHeight="1">
      <c r="A499" s="56"/>
      <c r="B499" s="56"/>
      <c r="C499" s="56"/>
      <c r="D499" s="56"/>
      <c r="E499" s="56"/>
      <c r="F499" s="36"/>
      <c r="G499" s="36"/>
      <c r="H499" s="3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</row>
    <row r="500" ht="15.75" customHeight="1">
      <c r="A500" s="56"/>
      <c r="B500" s="56"/>
      <c r="C500" s="56"/>
      <c r="D500" s="56"/>
      <c r="E500" s="56"/>
      <c r="F500" s="36"/>
      <c r="G500" s="36"/>
      <c r="H500" s="3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</row>
    <row r="501" ht="15.75" customHeight="1">
      <c r="A501" s="56"/>
      <c r="B501" s="56"/>
      <c r="C501" s="56"/>
      <c r="D501" s="56"/>
      <c r="E501" s="56"/>
      <c r="F501" s="36"/>
      <c r="G501" s="36"/>
      <c r="H501" s="3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</row>
    <row r="502" ht="15.75" customHeight="1">
      <c r="A502" s="56"/>
      <c r="B502" s="56"/>
      <c r="C502" s="56"/>
      <c r="D502" s="56"/>
      <c r="E502" s="56"/>
      <c r="F502" s="36"/>
      <c r="G502" s="36"/>
      <c r="H502" s="3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</row>
    <row r="503" ht="15.75" customHeight="1">
      <c r="A503" s="56"/>
      <c r="B503" s="56"/>
      <c r="C503" s="56"/>
      <c r="D503" s="56"/>
      <c r="E503" s="56"/>
      <c r="F503" s="36"/>
      <c r="G503" s="36"/>
      <c r="H503" s="3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</row>
    <row r="504" ht="15.75" customHeight="1">
      <c r="A504" s="56"/>
      <c r="B504" s="56"/>
      <c r="C504" s="56"/>
      <c r="D504" s="56"/>
      <c r="E504" s="56"/>
      <c r="F504" s="36"/>
      <c r="G504" s="36"/>
      <c r="H504" s="3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</row>
    <row r="505" ht="15.75" customHeight="1">
      <c r="A505" s="56"/>
      <c r="B505" s="56"/>
      <c r="C505" s="56"/>
      <c r="D505" s="56"/>
      <c r="E505" s="56"/>
      <c r="F505" s="36"/>
      <c r="G505" s="36"/>
      <c r="H505" s="3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</row>
    <row r="506" ht="15.75" customHeight="1">
      <c r="A506" s="56"/>
      <c r="B506" s="56"/>
      <c r="C506" s="56"/>
      <c r="D506" s="56"/>
      <c r="E506" s="56"/>
      <c r="F506" s="36"/>
      <c r="G506" s="36"/>
      <c r="H506" s="3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</row>
    <row r="507" ht="15.75" customHeight="1">
      <c r="A507" s="56"/>
      <c r="B507" s="56"/>
      <c r="C507" s="56"/>
      <c r="D507" s="56"/>
      <c r="E507" s="56"/>
      <c r="F507" s="36"/>
      <c r="G507" s="36"/>
      <c r="H507" s="3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</row>
    <row r="508" ht="15.75" customHeight="1">
      <c r="A508" s="56"/>
      <c r="B508" s="56"/>
      <c r="C508" s="56"/>
      <c r="D508" s="56"/>
      <c r="E508" s="56"/>
      <c r="F508" s="36"/>
      <c r="G508" s="36"/>
      <c r="H508" s="3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</row>
    <row r="509" ht="15.75" customHeight="1">
      <c r="A509" s="56"/>
      <c r="B509" s="56"/>
      <c r="C509" s="56"/>
      <c r="D509" s="56"/>
      <c r="E509" s="56"/>
      <c r="F509" s="36"/>
      <c r="G509" s="36"/>
      <c r="H509" s="3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</row>
    <row r="510" ht="15.75" customHeight="1">
      <c r="A510" s="56"/>
      <c r="B510" s="56"/>
      <c r="C510" s="56"/>
      <c r="D510" s="56"/>
      <c r="E510" s="56"/>
      <c r="F510" s="36"/>
      <c r="G510" s="36"/>
      <c r="H510" s="3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</row>
    <row r="511" ht="15.75" customHeight="1">
      <c r="A511" s="56"/>
      <c r="B511" s="56"/>
      <c r="C511" s="56"/>
      <c r="D511" s="56"/>
      <c r="E511" s="56"/>
      <c r="F511" s="36"/>
      <c r="G511" s="36"/>
      <c r="H511" s="3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</row>
    <row r="512" ht="15.75" customHeight="1">
      <c r="A512" s="56"/>
      <c r="B512" s="56"/>
      <c r="C512" s="56"/>
      <c r="D512" s="56"/>
      <c r="E512" s="56"/>
      <c r="F512" s="36"/>
      <c r="G512" s="36"/>
      <c r="H512" s="3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</row>
    <row r="513" ht="15.75" customHeight="1">
      <c r="A513" s="56"/>
      <c r="B513" s="56"/>
      <c r="C513" s="56"/>
      <c r="D513" s="56"/>
      <c r="E513" s="56"/>
      <c r="F513" s="36"/>
      <c r="G513" s="36"/>
      <c r="H513" s="3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</row>
    <row r="514" ht="15.75" customHeight="1">
      <c r="A514" s="56"/>
      <c r="B514" s="56"/>
      <c r="C514" s="56"/>
      <c r="D514" s="56"/>
      <c r="E514" s="56"/>
      <c r="F514" s="36"/>
      <c r="G514" s="36"/>
      <c r="H514" s="3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</row>
    <row r="515" ht="15.75" customHeight="1">
      <c r="A515" s="56"/>
      <c r="B515" s="56"/>
      <c r="C515" s="56"/>
      <c r="D515" s="56"/>
      <c r="E515" s="56"/>
      <c r="F515" s="36"/>
      <c r="G515" s="36"/>
      <c r="H515" s="3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</row>
    <row r="516" ht="15.75" customHeight="1">
      <c r="A516" s="56"/>
      <c r="B516" s="56"/>
      <c r="C516" s="56"/>
      <c r="D516" s="56"/>
      <c r="E516" s="56"/>
      <c r="F516" s="36"/>
      <c r="G516" s="36"/>
      <c r="H516" s="3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</row>
    <row r="517" ht="15.75" customHeight="1">
      <c r="A517" s="56"/>
      <c r="B517" s="56"/>
      <c r="C517" s="56"/>
      <c r="D517" s="56"/>
      <c r="E517" s="56"/>
      <c r="F517" s="36"/>
      <c r="G517" s="36"/>
      <c r="H517" s="3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</row>
    <row r="518" ht="15.75" customHeight="1">
      <c r="A518" s="56"/>
      <c r="B518" s="56"/>
      <c r="C518" s="56"/>
      <c r="D518" s="56"/>
      <c r="E518" s="56"/>
      <c r="F518" s="36"/>
      <c r="G518" s="36"/>
      <c r="H518" s="3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</row>
    <row r="519" ht="15.75" customHeight="1">
      <c r="A519" s="56"/>
      <c r="B519" s="56"/>
      <c r="C519" s="56"/>
      <c r="D519" s="56"/>
      <c r="E519" s="56"/>
      <c r="F519" s="36"/>
      <c r="G519" s="36"/>
      <c r="H519" s="3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</row>
    <row r="520" ht="15.75" customHeight="1">
      <c r="A520" s="56"/>
      <c r="B520" s="56"/>
      <c r="C520" s="56"/>
      <c r="D520" s="56"/>
      <c r="E520" s="56"/>
      <c r="F520" s="36"/>
      <c r="G520" s="36"/>
      <c r="H520" s="3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</row>
    <row r="521" ht="15.75" customHeight="1">
      <c r="A521" s="56"/>
      <c r="B521" s="56"/>
      <c r="C521" s="56"/>
      <c r="D521" s="56"/>
      <c r="E521" s="56"/>
      <c r="F521" s="36"/>
      <c r="G521" s="36"/>
      <c r="H521" s="3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</row>
    <row r="522" ht="15.75" customHeight="1">
      <c r="A522" s="56"/>
      <c r="B522" s="56"/>
      <c r="C522" s="56"/>
      <c r="D522" s="56"/>
      <c r="E522" s="56"/>
      <c r="F522" s="36"/>
      <c r="G522" s="36"/>
      <c r="H522" s="3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</row>
    <row r="523" ht="15.75" customHeight="1">
      <c r="A523" s="56"/>
      <c r="B523" s="56"/>
      <c r="C523" s="56"/>
      <c r="D523" s="56"/>
      <c r="E523" s="56"/>
      <c r="F523" s="36"/>
      <c r="G523" s="36"/>
      <c r="H523" s="3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</row>
    <row r="524" ht="15.75" customHeight="1">
      <c r="A524" s="56"/>
      <c r="B524" s="56"/>
      <c r="C524" s="56"/>
      <c r="D524" s="56"/>
      <c r="E524" s="56"/>
      <c r="F524" s="36"/>
      <c r="G524" s="36"/>
      <c r="H524" s="3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</row>
    <row r="525" ht="15.75" customHeight="1">
      <c r="A525" s="56"/>
      <c r="B525" s="56"/>
      <c r="C525" s="56"/>
      <c r="D525" s="56"/>
      <c r="E525" s="56"/>
      <c r="F525" s="36"/>
      <c r="G525" s="36"/>
      <c r="H525" s="3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</row>
    <row r="526" ht="15.75" customHeight="1">
      <c r="A526" s="56"/>
      <c r="B526" s="56"/>
      <c r="C526" s="56"/>
      <c r="D526" s="56"/>
      <c r="E526" s="56"/>
      <c r="F526" s="36"/>
      <c r="G526" s="36"/>
      <c r="H526" s="3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</row>
    <row r="527" ht="15.75" customHeight="1">
      <c r="A527" s="56"/>
      <c r="B527" s="56"/>
      <c r="C527" s="56"/>
      <c r="D527" s="56"/>
      <c r="E527" s="56"/>
      <c r="F527" s="36"/>
      <c r="G527" s="36"/>
      <c r="H527" s="3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</row>
    <row r="528" ht="15.75" customHeight="1">
      <c r="A528" s="56"/>
      <c r="B528" s="56"/>
      <c r="C528" s="56"/>
      <c r="D528" s="56"/>
      <c r="E528" s="56"/>
      <c r="F528" s="36"/>
      <c r="G528" s="36"/>
      <c r="H528" s="3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</row>
    <row r="529" ht="15.75" customHeight="1">
      <c r="A529" s="56"/>
      <c r="B529" s="56"/>
      <c r="C529" s="56"/>
      <c r="D529" s="56"/>
      <c r="E529" s="56"/>
      <c r="F529" s="36"/>
      <c r="G529" s="36"/>
      <c r="H529" s="3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</row>
    <row r="530" ht="15.75" customHeight="1">
      <c r="A530" s="56"/>
      <c r="B530" s="56"/>
      <c r="C530" s="56"/>
      <c r="D530" s="56"/>
      <c r="E530" s="56"/>
      <c r="F530" s="36"/>
      <c r="G530" s="36"/>
      <c r="H530" s="3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</row>
    <row r="531" ht="15.75" customHeight="1">
      <c r="A531" s="56"/>
      <c r="B531" s="56"/>
      <c r="C531" s="56"/>
      <c r="D531" s="56"/>
      <c r="E531" s="56"/>
      <c r="F531" s="36"/>
      <c r="G531" s="36"/>
      <c r="H531" s="3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</row>
    <row r="532" ht="15.75" customHeight="1">
      <c r="A532" s="56"/>
      <c r="B532" s="56"/>
      <c r="C532" s="56"/>
      <c r="D532" s="56"/>
      <c r="E532" s="56"/>
      <c r="F532" s="36"/>
      <c r="G532" s="36"/>
      <c r="H532" s="3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</row>
    <row r="533" ht="15.75" customHeight="1">
      <c r="A533" s="56"/>
      <c r="B533" s="56"/>
      <c r="C533" s="56"/>
      <c r="D533" s="56"/>
      <c r="E533" s="56"/>
      <c r="F533" s="36"/>
      <c r="G533" s="36"/>
      <c r="H533" s="3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</row>
    <row r="534" ht="15.75" customHeight="1">
      <c r="A534" s="56"/>
      <c r="B534" s="56"/>
      <c r="C534" s="56"/>
      <c r="D534" s="56"/>
      <c r="E534" s="56"/>
      <c r="F534" s="36"/>
      <c r="G534" s="36"/>
      <c r="H534" s="3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</row>
    <row r="535" ht="15.75" customHeight="1">
      <c r="A535" s="56"/>
      <c r="B535" s="56"/>
      <c r="C535" s="56"/>
      <c r="D535" s="56"/>
      <c r="E535" s="56"/>
      <c r="F535" s="36"/>
      <c r="G535" s="36"/>
      <c r="H535" s="3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</row>
    <row r="536" ht="15.75" customHeight="1">
      <c r="A536" s="56"/>
      <c r="B536" s="56"/>
      <c r="C536" s="56"/>
      <c r="D536" s="56"/>
      <c r="E536" s="56"/>
      <c r="F536" s="36"/>
      <c r="G536" s="36"/>
      <c r="H536" s="3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</row>
    <row r="537" ht="15.75" customHeight="1">
      <c r="A537" s="56"/>
      <c r="B537" s="56"/>
      <c r="C537" s="56"/>
      <c r="D537" s="56"/>
      <c r="E537" s="56"/>
      <c r="F537" s="36"/>
      <c r="G537" s="36"/>
      <c r="H537" s="3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</row>
    <row r="538" ht="15.75" customHeight="1">
      <c r="A538" s="56"/>
      <c r="B538" s="56"/>
      <c r="C538" s="56"/>
      <c r="D538" s="56"/>
      <c r="E538" s="56"/>
      <c r="F538" s="36"/>
      <c r="G538" s="36"/>
      <c r="H538" s="3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</row>
    <row r="539" ht="15.75" customHeight="1">
      <c r="A539" s="56"/>
      <c r="B539" s="56"/>
      <c r="C539" s="56"/>
      <c r="D539" s="56"/>
      <c r="E539" s="56"/>
      <c r="F539" s="36"/>
      <c r="G539" s="36"/>
      <c r="H539" s="3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</row>
    <row r="540" ht="15.75" customHeight="1">
      <c r="A540" s="56"/>
      <c r="B540" s="56"/>
      <c r="C540" s="56"/>
      <c r="D540" s="56"/>
      <c r="E540" s="56"/>
      <c r="F540" s="36"/>
      <c r="G540" s="36"/>
      <c r="H540" s="3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</row>
    <row r="541" ht="15.75" customHeight="1">
      <c r="A541" s="56"/>
      <c r="B541" s="56"/>
      <c r="C541" s="56"/>
      <c r="D541" s="56"/>
      <c r="E541" s="56"/>
      <c r="F541" s="36"/>
      <c r="G541" s="36"/>
      <c r="H541" s="3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</row>
    <row r="542" ht="15.75" customHeight="1">
      <c r="A542" s="56"/>
      <c r="B542" s="56"/>
      <c r="C542" s="56"/>
      <c r="D542" s="56"/>
      <c r="E542" s="56"/>
      <c r="F542" s="36"/>
      <c r="G542" s="36"/>
      <c r="H542" s="3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</row>
    <row r="543" ht="15.75" customHeight="1">
      <c r="A543" s="56"/>
      <c r="B543" s="56"/>
      <c r="C543" s="56"/>
      <c r="D543" s="56"/>
      <c r="E543" s="56"/>
      <c r="F543" s="36"/>
      <c r="G543" s="36"/>
      <c r="H543" s="3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</row>
    <row r="544" ht="15.75" customHeight="1">
      <c r="A544" s="56"/>
      <c r="B544" s="56"/>
      <c r="C544" s="56"/>
      <c r="D544" s="56"/>
      <c r="E544" s="56"/>
      <c r="F544" s="36"/>
      <c r="G544" s="36"/>
      <c r="H544" s="3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</row>
    <row r="545" ht="15.75" customHeight="1">
      <c r="A545" s="56"/>
      <c r="B545" s="56"/>
      <c r="C545" s="56"/>
      <c r="D545" s="56"/>
      <c r="E545" s="56"/>
      <c r="F545" s="36"/>
      <c r="G545" s="36"/>
      <c r="H545" s="3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</row>
    <row r="546" ht="15.75" customHeight="1">
      <c r="A546" s="56"/>
      <c r="B546" s="56"/>
      <c r="C546" s="56"/>
      <c r="D546" s="56"/>
      <c r="E546" s="56"/>
      <c r="F546" s="36"/>
      <c r="G546" s="36"/>
      <c r="H546" s="3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</row>
    <row r="547" ht="15.75" customHeight="1">
      <c r="A547" s="56"/>
      <c r="B547" s="56"/>
      <c r="C547" s="56"/>
      <c r="D547" s="56"/>
      <c r="E547" s="56"/>
      <c r="F547" s="36"/>
      <c r="G547" s="36"/>
      <c r="H547" s="3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</row>
    <row r="548" ht="15.75" customHeight="1">
      <c r="A548" s="56"/>
      <c r="B548" s="56"/>
      <c r="C548" s="56"/>
      <c r="D548" s="56"/>
      <c r="E548" s="56"/>
      <c r="F548" s="36"/>
      <c r="G548" s="36"/>
      <c r="H548" s="3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</row>
    <row r="549" ht="15.75" customHeight="1">
      <c r="A549" s="56"/>
      <c r="B549" s="56"/>
      <c r="C549" s="56"/>
      <c r="D549" s="56"/>
      <c r="E549" s="56"/>
      <c r="F549" s="36"/>
      <c r="G549" s="36"/>
      <c r="H549" s="3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</row>
    <row r="550" ht="15.75" customHeight="1">
      <c r="A550" s="56"/>
      <c r="B550" s="56"/>
      <c r="C550" s="56"/>
      <c r="D550" s="56"/>
      <c r="E550" s="56"/>
      <c r="F550" s="36"/>
      <c r="G550" s="36"/>
      <c r="H550" s="3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</row>
    <row r="551" ht="15.75" customHeight="1">
      <c r="A551" s="56"/>
      <c r="B551" s="56"/>
      <c r="C551" s="56"/>
      <c r="D551" s="56"/>
      <c r="E551" s="56"/>
      <c r="F551" s="36"/>
      <c r="G551" s="36"/>
      <c r="H551" s="3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</row>
    <row r="552" ht="15.75" customHeight="1">
      <c r="A552" s="56"/>
      <c r="B552" s="56"/>
      <c r="C552" s="56"/>
      <c r="D552" s="56"/>
      <c r="E552" s="56"/>
      <c r="F552" s="36"/>
      <c r="G552" s="36"/>
      <c r="H552" s="3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</row>
    <row r="553" ht="15.75" customHeight="1">
      <c r="A553" s="56"/>
      <c r="B553" s="56"/>
      <c r="C553" s="56"/>
      <c r="D553" s="56"/>
      <c r="E553" s="56"/>
      <c r="F553" s="36"/>
      <c r="G553" s="36"/>
      <c r="H553" s="3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</row>
    <row r="554" ht="15.75" customHeight="1">
      <c r="A554" s="56"/>
      <c r="B554" s="56"/>
      <c r="C554" s="56"/>
      <c r="D554" s="56"/>
      <c r="E554" s="56"/>
      <c r="F554" s="36"/>
      <c r="G554" s="36"/>
      <c r="H554" s="3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</row>
    <row r="555" ht="15.75" customHeight="1">
      <c r="A555" s="56"/>
      <c r="B555" s="56"/>
      <c r="C555" s="56"/>
      <c r="D555" s="56"/>
      <c r="E555" s="56"/>
      <c r="F555" s="36"/>
      <c r="G555" s="36"/>
      <c r="H555" s="3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</row>
    <row r="556" ht="15.75" customHeight="1">
      <c r="A556" s="56"/>
      <c r="B556" s="56"/>
      <c r="C556" s="56"/>
      <c r="D556" s="56"/>
      <c r="E556" s="56"/>
      <c r="F556" s="36"/>
      <c r="G556" s="36"/>
      <c r="H556" s="3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</row>
    <row r="557" ht="15.75" customHeight="1">
      <c r="A557" s="56"/>
      <c r="B557" s="56"/>
      <c r="C557" s="56"/>
      <c r="D557" s="56"/>
      <c r="E557" s="56"/>
      <c r="F557" s="36"/>
      <c r="G557" s="36"/>
      <c r="H557" s="3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</row>
    <row r="558" ht="15.75" customHeight="1">
      <c r="A558" s="56"/>
      <c r="B558" s="56"/>
      <c r="C558" s="56"/>
      <c r="D558" s="56"/>
      <c r="E558" s="56"/>
      <c r="F558" s="36"/>
      <c r="G558" s="36"/>
      <c r="H558" s="3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</row>
    <row r="559" ht="15.75" customHeight="1">
      <c r="A559" s="56"/>
      <c r="B559" s="56"/>
      <c r="C559" s="56"/>
      <c r="D559" s="56"/>
      <c r="E559" s="56"/>
      <c r="F559" s="36"/>
      <c r="G559" s="36"/>
      <c r="H559" s="3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</row>
    <row r="560" ht="15.75" customHeight="1">
      <c r="A560" s="56"/>
      <c r="B560" s="56"/>
      <c r="C560" s="56"/>
      <c r="D560" s="56"/>
      <c r="E560" s="56"/>
      <c r="F560" s="36"/>
      <c r="G560" s="36"/>
      <c r="H560" s="3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</row>
    <row r="561" ht="15.75" customHeight="1">
      <c r="A561" s="56"/>
      <c r="B561" s="56"/>
      <c r="C561" s="56"/>
      <c r="D561" s="56"/>
      <c r="E561" s="56"/>
      <c r="F561" s="36"/>
      <c r="G561" s="36"/>
      <c r="H561" s="3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</row>
    <row r="562" ht="15.75" customHeight="1">
      <c r="A562" s="56"/>
      <c r="B562" s="56"/>
      <c r="C562" s="56"/>
      <c r="D562" s="56"/>
      <c r="E562" s="56"/>
      <c r="F562" s="36"/>
      <c r="G562" s="36"/>
      <c r="H562" s="3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</row>
    <row r="563" ht="15.75" customHeight="1">
      <c r="A563" s="56"/>
      <c r="B563" s="56"/>
      <c r="C563" s="56"/>
      <c r="D563" s="56"/>
      <c r="E563" s="56"/>
      <c r="F563" s="36"/>
      <c r="G563" s="36"/>
      <c r="H563" s="3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</row>
    <row r="564" ht="15.75" customHeight="1">
      <c r="A564" s="56"/>
      <c r="B564" s="56"/>
      <c r="C564" s="56"/>
      <c r="D564" s="56"/>
      <c r="E564" s="56"/>
      <c r="F564" s="36"/>
      <c r="G564" s="36"/>
      <c r="H564" s="3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</row>
    <row r="565" ht="15.75" customHeight="1">
      <c r="A565" s="56"/>
      <c r="B565" s="56"/>
      <c r="C565" s="56"/>
      <c r="D565" s="56"/>
      <c r="E565" s="56"/>
      <c r="F565" s="36"/>
      <c r="G565" s="36"/>
      <c r="H565" s="3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</row>
    <row r="566" ht="15.75" customHeight="1">
      <c r="A566" s="56"/>
      <c r="B566" s="56"/>
      <c r="C566" s="56"/>
      <c r="D566" s="56"/>
      <c r="E566" s="56"/>
      <c r="F566" s="36"/>
      <c r="G566" s="36"/>
      <c r="H566" s="3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</row>
    <row r="567" ht="15.75" customHeight="1">
      <c r="A567" s="56"/>
      <c r="B567" s="56"/>
      <c r="C567" s="56"/>
      <c r="D567" s="56"/>
      <c r="E567" s="56"/>
      <c r="F567" s="36"/>
      <c r="G567" s="36"/>
      <c r="H567" s="3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</row>
    <row r="568" ht="15.75" customHeight="1">
      <c r="A568" s="56"/>
      <c r="B568" s="56"/>
      <c r="C568" s="56"/>
      <c r="D568" s="56"/>
      <c r="E568" s="56"/>
      <c r="F568" s="36"/>
      <c r="G568" s="36"/>
      <c r="H568" s="3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</row>
    <row r="569" ht="15.75" customHeight="1">
      <c r="A569" s="56"/>
      <c r="B569" s="56"/>
      <c r="C569" s="56"/>
      <c r="D569" s="56"/>
      <c r="E569" s="56"/>
      <c r="F569" s="36"/>
      <c r="G569" s="36"/>
      <c r="H569" s="3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</row>
    <row r="570" ht="15.75" customHeight="1">
      <c r="A570" s="56"/>
      <c r="B570" s="56"/>
      <c r="C570" s="56"/>
      <c r="D570" s="56"/>
      <c r="E570" s="56"/>
      <c r="F570" s="36"/>
      <c r="G570" s="36"/>
      <c r="H570" s="3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</row>
    <row r="571" ht="15.75" customHeight="1">
      <c r="A571" s="56"/>
      <c r="B571" s="56"/>
      <c r="C571" s="56"/>
      <c r="D571" s="56"/>
      <c r="E571" s="56"/>
      <c r="F571" s="36"/>
      <c r="G571" s="36"/>
      <c r="H571" s="3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</row>
    <row r="572" ht="15.75" customHeight="1">
      <c r="A572" s="56"/>
      <c r="B572" s="56"/>
      <c r="C572" s="56"/>
      <c r="D572" s="56"/>
      <c r="E572" s="56"/>
      <c r="F572" s="36"/>
      <c r="G572" s="36"/>
      <c r="H572" s="3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</row>
    <row r="573" ht="15.75" customHeight="1">
      <c r="A573" s="56"/>
      <c r="B573" s="56"/>
      <c r="C573" s="56"/>
      <c r="D573" s="56"/>
      <c r="E573" s="56"/>
      <c r="F573" s="36"/>
      <c r="G573" s="36"/>
      <c r="H573" s="3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</row>
    <row r="574" ht="15.75" customHeight="1">
      <c r="A574" s="56"/>
      <c r="B574" s="56"/>
      <c r="C574" s="56"/>
      <c r="D574" s="56"/>
      <c r="E574" s="56"/>
      <c r="F574" s="36"/>
      <c r="G574" s="36"/>
      <c r="H574" s="3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</row>
    <row r="575" ht="15.75" customHeight="1">
      <c r="A575" s="56"/>
      <c r="B575" s="56"/>
      <c r="C575" s="56"/>
      <c r="D575" s="56"/>
      <c r="E575" s="56"/>
      <c r="F575" s="36"/>
      <c r="G575" s="36"/>
      <c r="H575" s="3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</row>
    <row r="576" ht="15.75" customHeight="1">
      <c r="A576" s="56"/>
      <c r="B576" s="56"/>
      <c r="C576" s="56"/>
      <c r="D576" s="56"/>
      <c r="E576" s="56"/>
      <c r="F576" s="36"/>
      <c r="G576" s="36"/>
      <c r="H576" s="3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</row>
    <row r="577" ht="15.75" customHeight="1">
      <c r="A577" s="56"/>
      <c r="B577" s="56"/>
      <c r="C577" s="56"/>
      <c r="D577" s="56"/>
      <c r="E577" s="56"/>
      <c r="F577" s="36"/>
      <c r="G577" s="36"/>
      <c r="H577" s="3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</row>
    <row r="578" ht="15.75" customHeight="1">
      <c r="A578" s="56"/>
      <c r="B578" s="56"/>
      <c r="C578" s="56"/>
      <c r="D578" s="56"/>
      <c r="E578" s="56"/>
      <c r="F578" s="36"/>
      <c r="G578" s="36"/>
      <c r="H578" s="3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</row>
    <row r="579" ht="15.75" customHeight="1">
      <c r="A579" s="56"/>
      <c r="B579" s="56"/>
      <c r="C579" s="56"/>
      <c r="D579" s="56"/>
      <c r="E579" s="56"/>
      <c r="F579" s="36"/>
      <c r="G579" s="36"/>
      <c r="H579" s="3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</row>
    <row r="580" ht="15.75" customHeight="1">
      <c r="A580" s="56"/>
      <c r="B580" s="56"/>
      <c r="C580" s="56"/>
      <c r="D580" s="56"/>
      <c r="E580" s="56"/>
      <c r="F580" s="36"/>
      <c r="G580" s="36"/>
      <c r="H580" s="3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</row>
    <row r="581" ht="15.75" customHeight="1">
      <c r="A581" s="56"/>
      <c r="B581" s="56"/>
      <c r="C581" s="56"/>
      <c r="D581" s="56"/>
      <c r="E581" s="56"/>
      <c r="F581" s="36"/>
      <c r="G581" s="36"/>
      <c r="H581" s="3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</row>
    <row r="582" ht="15.75" customHeight="1">
      <c r="A582" s="56"/>
      <c r="B582" s="56"/>
      <c r="C582" s="56"/>
      <c r="D582" s="56"/>
      <c r="E582" s="56"/>
      <c r="F582" s="36"/>
      <c r="G582" s="36"/>
      <c r="H582" s="3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</row>
    <row r="583" ht="15.75" customHeight="1">
      <c r="A583" s="56"/>
      <c r="B583" s="56"/>
      <c r="C583" s="56"/>
      <c r="D583" s="56"/>
      <c r="E583" s="56"/>
      <c r="F583" s="36"/>
      <c r="G583" s="36"/>
      <c r="H583" s="3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</row>
    <row r="584" ht="15.75" customHeight="1">
      <c r="A584" s="56"/>
      <c r="B584" s="56"/>
      <c r="C584" s="56"/>
      <c r="D584" s="56"/>
      <c r="E584" s="56"/>
      <c r="F584" s="36"/>
      <c r="G584" s="36"/>
      <c r="H584" s="3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</row>
    <row r="585" ht="15.75" customHeight="1">
      <c r="A585" s="56"/>
      <c r="B585" s="56"/>
      <c r="C585" s="56"/>
      <c r="D585" s="56"/>
      <c r="E585" s="56"/>
      <c r="F585" s="36"/>
      <c r="G585" s="36"/>
      <c r="H585" s="3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</row>
    <row r="586" ht="15.75" customHeight="1">
      <c r="A586" s="56"/>
      <c r="B586" s="56"/>
      <c r="C586" s="56"/>
      <c r="D586" s="56"/>
      <c r="E586" s="56"/>
      <c r="F586" s="36"/>
      <c r="G586" s="36"/>
      <c r="H586" s="3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</row>
    <row r="587" ht="15.75" customHeight="1">
      <c r="A587" s="56"/>
      <c r="B587" s="56"/>
      <c r="C587" s="56"/>
      <c r="D587" s="56"/>
      <c r="E587" s="56"/>
      <c r="F587" s="36"/>
      <c r="G587" s="36"/>
      <c r="H587" s="3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</row>
    <row r="588" ht="15.75" customHeight="1">
      <c r="A588" s="56"/>
      <c r="B588" s="56"/>
      <c r="C588" s="56"/>
      <c r="D588" s="56"/>
      <c r="E588" s="56"/>
      <c r="F588" s="36"/>
      <c r="G588" s="36"/>
      <c r="H588" s="3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</row>
    <row r="589" ht="15.75" customHeight="1">
      <c r="A589" s="56"/>
      <c r="B589" s="56"/>
      <c r="C589" s="56"/>
      <c r="D589" s="56"/>
      <c r="E589" s="56"/>
      <c r="F589" s="36"/>
      <c r="G589" s="36"/>
      <c r="H589" s="3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</row>
    <row r="590" ht="15.75" customHeight="1">
      <c r="A590" s="56"/>
      <c r="B590" s="56"/>
      <c r="C590" s="56"/>
      <c r="D590" s="56"/>
      <c r="E590" s="56"/>
      <c r="F590" s="36"/>
      <c r="G590" s="36"/>
      <c r="H590" s="3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</row>
    <row r="591" ht="15.75" customHeight="1">
      <c r="A591" s="56"/>
      <c r="B591" s="56"/>
      <c r="C591" s="56"/>
      <c r="D591" s="56"/>
      <c r="E591" s="56"/>
      <c r="F591" s="36"/>
      <c r="G591" s="36"/>
      <c r="H591" s="3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</row>
    <row r="592" ht="15.75" customHeight="1">
      <c r="A592" s="56"/>
      <c r="B592" s="56"/>
      <c r="C592" s="56"/>
      <c r="D592" s="56"/>
      <c r="E592" s="56"/>
      <c r="F592" s="36"/>
      <c r="G592" s="36"/>
      <c r="H592" s="3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</row>
    <row r="593" ht="15.75" customHeight="1">
      <c r="A593" s="56"/>
      <c r="B593" s="56"/>
      <c r="C593" s="56"/>
      <c r="D593" s="56"/>
      <c r="E593" s="56"/>
      <c r="F593" s="36"/>
      <c r="G593" s="36"/>
      <c r="H593" s="3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</row>
    <row r="594" ht="15.75" customHeight="1">
      <c r="A594" s="56"/>
      <c r="B594" s="56"/>
      <c r="C594" s="56"/>
      <c r="D594" s="56"/>
      <c r="E594" s="56"/>
      <c r="F594" s="36"/>
      <c r="G594" s="36"/>
      <c r="H594" s="3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</row>
    <row r="595" ht="15.75" customHeight="1">
      <c r="A595" s="56"/>
      <c r="B595" s="56"/>
      <c r="C595" s="56"/>
      <c r="D595" s="56"/>
      <c r="E595" s="56"/>
      <c r="F595" s="36"/>
      <c r="G595" s="36"/>
      <c r="H595" s="3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</row>
    <row r="596" ht="15.75" customHeight="1">
      <c r="A596" s="56"/>
      <c r="B596" s="56"/>
      <c r="C596" s="56"/>
      <c r="D596" s="56"/>
      <c r="E596" s="56"/>
      <c r="F596" s="36"/>
      <c r="G596" s="36"/>
      <c r="H596" s="3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</row>
    <row r="597" ht="15.75" customHeight="1">
      <c r="A597" s="56"/>
      <c r="B597" s="56"/>
      <c r="C597" s="56"/>
      <c r="D597" s="56"/>
      <c r="E597" s="56"/>
      <c r="F597" s="36"/>
      <c r="G597" s="36"/>
      <c r="H597" s="3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</row>
    <row r="598" ht="15.75" customHeight="1">
      <c r="A598" s="56"/>
      <c r="B598" s="56"/>
      <c r="C598" s="56"/>
      <c r="D598" s="56"/>
      <c r="E598" s="56"/>
      <c r="F598" s="36"/>
      <c r="G598" s="36"/>
      <c r="H598" s="3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</row>
    <row r="599" ht="15.75" customHeight="1">
      <c r="A599" s="56"/>
      <c r="B599" s="56"/>
      <c r="C599" s="56"/>
      <c r="D599" s="56"/>
      <c r="E599" s="56"/>
      <c r="F599" s="36"/>
      <c r="G599" s="36"/>
      <c r="H599" s="3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</row>
    <row r="600" ht="15.75" customHeight="1">
      <c r="A600" s="56"/>
      <c r="B600" s="56"/>
      <c r="C600" s="56"/>
      <c r="D600" s="56"/>
      <c r="E600" s="56"/>
      <c r="F600" s="36"/>
      <c r="G600" s="36"/>
      <c r="H600" s="3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</row>
    <row r="601" ht="15.75" customHeight="1">
      <c r="A601" s="56"/>
      <c r="B601" s="56"/>
      <c r="C601" s="56"/>
      <c r="D601" s="56"/>
      <c r="E601" s="56"/>
      <c r="F601" s="36"/>
      <c r="G601" s="36"/>
      <c r="H601" s="3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</row>
    <row r="602" ht="15.75" customHeight="1">
      <c r="A602" s="56"/>
      <c r="B602" s="56"/>
      <c r="C602" s="56"/>
      <c r="D602" s="56"/>
      <c r="E602" s="56"/>
      <c r="F602" s="36"/>
      <c r="G602" s="36"/>
      <c r="H602" s="3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</row>
    <row r="603" ht="15.75" customHeight="1">
      <c r="A603" s="56"/>
      <c r="B603" s="56"/>
      <c r="C603" s="56"/>
      <c r="D603" s="56"/>
      <c r="E603" s="56"/>
      <c r="F603" s="36"/>
      <c r="G603" s="36"/>
      <c r="H603" s="3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</row>
    <row r="604" ht="15.75" customHeight="1">
      <c r="A604" s="56"/>
      <c r="B604" s="56"/>
      <c r="C604" s="56"/>
      <c r="D604" s="56"/>
      <c r="E604" s="56"/>
      <c r="F604" s="36"/>
      <c r="G604" s="36"/>
      <c r="H604" s="3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</row>
    <row r="605" ht="15.75" customHeight="1">
      <c r="A605" s="56"/>
      <c r="B605" s="56"/>
      <c r="C605" s="56"/>
      <c r="D605" s="56"/>
      <c r="E605" s="56"/>
      <c r="F605" s="36"/>
      <c r="G605" s="36"/>
      <c r="H605" s="3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</row>
    <row r="606" ht="15.75" customHeight="1">
      <c r="A606" s="56"/>
      <c r="B606" s="56"/>
      <c r="C606" s="56"/>
      <c r="D606" s="56"/>
      <c r="E606" s="56"/>
      <c r="F606" s="36"/>
      <c r="G606" s="36"/>
      <c r="H606" s="3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</row>
    <row r="607" ht="15.75" customHeight="1">
      <c r="A607" s="56"/>
      <c r="B607" s="56"/>
      <c r="C607" s="56"/>
      <c r="D607" s="56"/>
      <c r="E607" s="56"/>
      <c r="F607" s="36"/>
      <c r="G607" s="36"/>
      <c r="H607" s="3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</row>
    <row r="608" ht="15.75" customHeight="1">
      <c r="A608" s="56"/>
      <c r="B608" s="56"/>
      <c r="C608" s="56"/>
      <c r="D608" s="56"/>
      <c r="E608" s="56"/>
      <c r="F608" s="36"/>
      <c r="G608" s="36"/>
      <c r="H608" s="3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</row>
    <row r="609" ht="15.75" customHeight="1">
      <c r="A609" s="56"/>
      <c r="B609" s="56"/>
      <c r="C609" s="56"/>
      <c r="D609" s="56"/>
      <c r="E609" s="56"/>
      <c r="F609" s="36"/>
      <c r="G609" s="36"/>
      <c r="H609" s="3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</row>
    <row r="610" ht="15.75" customHeight="1">
      <c r="A610" s="56"/>
      <c r="B610" s="56"/>
      <c r="C610" s="56"/>
      <c r="D610" s="56"/>
      <c r="E610" s="56"/>
      <c r="F610" s="36"/>
      <c r="G610" s="36"/>
      <c r="H610" s="3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</row>
    <row r="611" ht="15.75" customHeight="1">
      <c r="A611" s="56"/>
      <c r="B611" s="56"/>
      <c r="C611" s="56"/>
      <c r="D611" s="56"/>
      <c r="E611" s="56"/>
      <c r="F611" s="36"/>
      <c r="G611" s="36"/>
      <c r="H611" s="3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</row>
    <row r="612" ht="15.75" customHeight="1">
      <c r="A612" s="56"/>
      <c r="B612" s="56"/>
      <c r="C612" s="56"/>
      <c r="D612" s="56"/>
      <c r="E612" s="56"/>
      <c r="F612" s="36"/>
      <c r="G612" s="36"/>
      <c r="H612" s="3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</row>
    <row r="613" ht="15.75" customHeight="1">
      <c r="A613" s="56"/>
      <c r="B613" s="56"/>
      <c r="C613" s="56"/>
      <c r="D613" s="56"/>
      <c r="E613" s="56"/>
      <c r="F613" s="36"/>
      <c r="G613" s="36"/>
      <c r="H613" s="3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</row>
    <row r="614" ht="15.75" customHeight="1">
      <c r="A614" s="56"/>
      <c r="B614" s="56"/>
      <c r="C614" s="56"/>
      <c r="D614" s="56"/>
      <c r="E614" s="56"/>
      <c r="F614" s="36"/>
      <c r="G614" s="36"/>
      <c r="H614" s="3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</row>
    <row r="615" ht="15.75" customHeight="1">
      <c r="A615" s="56"/>
      <c r="B615" s="56"/>
      <c r="C615" s="56"/>
      <c r="D615" s="56"/>
      <c r="E615" s="56"/>
      <c r="F615" s="36"/>
      <c r="G615" s="36"/>
      <c r="H615" s="3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</row>
    <row r="616" ht="15.75" customHeight="1">
      <c r="A616" s="56"/>
      <c r="B616" s="56"/>
      <c r="C616" s="56"/>
      <c r="D616" s="56"/>
      <c r="E616" s="56"/>
      <c r="F616" s="36"/>
      <c r="G616" s="36"/>
      <c r="H616" s="3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</row>
    <row r="617" ht="15.75" customHeight="1">
      <c r="A617" s="56"/>
      <c r="B617" s="56"/>
      <c r="C617" s="56"/>
      <c r="D617" s="56"/>
      <c r="E617" s="56"/>
      <c r="F617" s="36"/>
      <c r="G617" s="36"/>
      <c r="H617" s="3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</row>
    <row r="618" ht="15.75" customHeight="1">
      <c r="A618" s="56"/>
      <c r="B618" s="56"/>
      <c r="C618" s="56"/>
      <c r="D618" s="56"/>
      <c r="E618" s="56"/>
      <c r="F618" s="36"/>
      <c r="G618" s="36"/>
      <c r="H618" s="3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</row>
    <row r="619" ht="15.75" customHeight="1">
      <c r="A619" s="56"/>
      <c r="B619" s="56"/>
      <c r="C619" s="56"/>
      <c r="D619" s="56"/>
      <c r="E619" s="56"/>
      <c r="F619" s="36"/>
      <c r="G619" s="36"/>
      <c r="H619" s="3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</row>
    <row r="620" ht="15.75" customHeight="1">
      <c r="A620" s="56"/>
      <c r="B620" s="56"/>
      <c r="C620" s="56"/>
      <c r="D620" s="56"/>
      <c r="E620" s="56"/>
      <c r="F620" s="36"/>
      <c r="G620" s="36"/>
      <c r="H620" s="3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</row>
    <row r="621" ht="15.75" customHeight="1">
      <c r="A621" s="56"/>
      <c r="B621" s="56"/>
      <c r="C621" s="56"/>
      <c r="D621" s="56"/>
      <c r="E621" s="56"/>
      <c r="F621" s="36"/>
      <c r="G621" s="36"/>
      <c r="H621" s="3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</row>
    <row r="622" ht="15.75" customHeight="1">
      <c r="A622" s="56"/>
      <c r="B622" s="56"/>
      <c r="C622" s="56"/>
      <c r="D622" s="56"/>
      <c r="E622" s="56"/>
      <c r="F622" s="36"/>
      <c r="G622" s="36"/>
      <c r="H622" s="3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</row>
    <row r="623" ht="15.75" customHeight="1">
      <c r="A623" s="56"/>
      <c r="B623" s="56"/>
      <c r="C623" s="56"/>
      <c r="D623" s="56"/>
      <c r="E623" s="56"/>
      <c r="F623" s="36"/>
      <c r="G623" s="36"/>
      <c r="H623" s="3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</row>
    <row r="624" ht="15.75" customHeight="1">
      <c r="A624" s="56"/>
      <c r="B624" s="56"/>
      <c r="C624" s="56"/>
      <c r="D624" s="56"/>
      <c r="E624" s="56"/>
      <c r="F624" s="36"/>
      <c r="G624" s="36"/>
      <c r="H624" s="3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</row>
    <row r="625" ht="15.75" customHeight="1">
      <c r="A625" s="56"/>
      <c r="B625" s="56"/>
      <c r="C625" s="56"/>
      <c r="D625" s="56"/>
      <c r="E625" s="56"/>
      <c r="F625" s="36"/>
      <c r="G625" s="36"/>
      <c r="H625" s="3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</row>
    <row r="626" ht="15.75" customHeight="1">
      <c r="A626" s="56"/>
      <c r="B626" s="56"/>
      <c r="C626" s="56"/>
      <c r="D626" s="56"/>
      <c r="E626" s="56"/>
      <c r="F626" s="36"/>
      <c r="G626" s="36"/>
      <c r="H626" s="3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</row>
    <row r="627" ht="15.75" customHeight="1">
      <c r="A627" s="56"/>
      <c r="B627" s="56"/>
      <c r="C627" s="56"/>
      <c r="D627" s="56"/>
      <c r="E627" s="56"/>
      <c r="F627" s="36"/>
      <c r="G627" s="36"/>
      <c r="H627" s="3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</row>
    <row r="628" ht="15.75" customHeight="1">
      <c r="A628" s="56"/>
      <c r="B628" s="56"/>
      <c r="C628" s="56"/>
      <c r="D628" s="56"/>
      <c r="E628" s="56"/>
      <c r="F628" s="36"/>
      <c r="G628" s="36"/>
      <c r="H628" s="3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</row>
    <row r="629" ht="15.75" customHeight="1">
      <c r="A629" s="56"/>
      <c r="B629" s="56"/>
      <c r="C629" s="56"/>
      <c r="D629" s="56"/>
      <c r="E629" s="56"/>
      <c r="F629" s="36"/>
      <c r="G629" s="36"/>
      <c r="H629" s="3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</row>
    <row r="630" ht="15.75" customHeight="1">
      <c r="A630" s="56"/>
      <c r="B630" s="56"/>
      <c r="C630" s="56"/>
      <c r="D630" s="56"/>
      <c r="E630" s="56"/>
      <c r="F630" s="36"/>
      <c r="G630" s="36"/>
      <c r="H630" s="3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</row>
    <row r="631" ht="15.75" customHeight="1">
      <c r="A631" s="56"/>
      <c r="B631" s="56"/>
      <c r="C631" s="56"/>
      <c r="D631" s="56"/>
      <c r="E631" s="56"/>
      <c r="F631" s="36"/>
      <c r="G631" s="36"/>
      <c r="H631" s="3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</row>
    <row r="632" ht="15.75" customHeight="1">
      <c r="A632" s="56"/>
      <c r="B632" s="56"/>
      <c r="C632" s="56"/>
      <c r="D632" s="56"/>
      <c r="E632" s="56"/>
      <c r="F632" s="36"/>
      <c r="G632" s="36"/>
      <c r="H632" s="3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</row>
    <row r="633" ht="15.75" customHeight="1">
      <c r="A633" s="56"/>
      <c r="B633" s="56"/>
      <c r="C633" s="56"/>
      <c r="D633" s="56"/>
      <c r="E633" s="56"/>
      <c r="F633" s="36"/>
      <c r="G633" s="36"/>
      <c r="H633" s="3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</row>
    <row r="634" ht="15.75" customHeight="1">
      <c r="A634" s="56"/>
      <c r="B634" s="56"/>
      <c r="C634" s="56"/>
      <c r="D634" s="56"/>
      <c r="E634" s="56"/>
      <c r="F634" s="36"/>
      <c r="G634" s="36"/>
      <c r="H634" s="3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</row>
    <row r="635" ht="15.75" customHeight="1">
      <c r="A635" s="56"/>
      <c r="B635" s="56"/>
      <c r="C635" s="56"/>
      <c r="D635" s="56"/>
      <c r="E635" s="56"/>
      <c r="F635" s="36"/>
      <c r="G635" s="36"/>
      <c r="H635" s="3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</row>
    <row r="636" ht="15.75" customHeight="1">
      <c r="A636" s="56"/>
      <c r="B636" s="56"/>
      <c r="C636" s="56"/>
      <c r="D636" s="56"/>
      <c r="E636" s="56"/>
      <c r="F636" s="36"/>
      <c r="G636" s="36"/>
      <c r="H636" s="3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</row>
    <row r="637" ht="15.75" customHeight="1">
      <c r="A637" s="56"/>
      <c r="B637" s="56"/>
      <c r="C637" s="56"/>
      <c r="D637" s="56"/>
      <c r="E637" s="56"/>
      <c r="F637" s="36"/>
      <c r="G637" s="36"/>
      <c r="H637" s="3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</row>
    <row r="638" ht="15.75" customHeight="1">
      <c r="A638" s="56"/>
      <c r="B638" s="56"/>
      <c r="C638" s="56"/>
      <c r="D638" s="56"/>
      <c r="E638" s="56"/>
      <c r="F638" s="36"/>
      <c r="G638" s="36"/>
      <c r="H638" s="3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</row>
    <row r="639" ht="15.75" customHeight="1">
      <c r="A639" s="56"/>
      <c r="B639" s="56"/>
      <c r="C639" s="56"/>
      <c r="D639" s="56"/>
      <c r="E639" s="56"/>
      <c r="F639" s="36"/>
      <c r="G639" s="36"/>
      <c r="H639" s="3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</row>
    <row r="640" ht="15.75" customHeight="1">
      <c r="A640" s="56"/>
      <c r="B640" s="56"/>
      <c r="C640" s="56"/>
      <c r="D640" s="56"/>
      <c r="E640" s="56"/>
      <c r="F640" s="36"/>
      <c r="G640" s="36"/>
      <c r="H640" s="3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</row>
    <row r="641" ht="15.75" customHeight="1">
      <c r="A641" s="56"/>
      <c r="B641" s="56"/>
      <c r="C641" s="56"/>
      <c r="D641" s="56"/>
      <c r="E641" s="56"/>
      <c r="F641" s="36"/>
      <c r="G641" s="36"/>
      <c r="H641" s="3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</row>
    <row r="642" ht="15.75" customHeight="1">
      <c r="A642" s="56"/>
      <c r="B642" s="56"/>
      <c r="C642" s="56"/>
      <c r="D642" s="56"/>
      <c r="E642" s="56"/>
      <c r="F642" s="36"/>
      <c r="G642" s="36"/>
      <c r="H642" s="3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</row>
    <row r="643" ht="15.75" customHeight="1">
      <c r="A643" s="56"/>
      <c r="B643" s="56"/>
      <c r="C643" s="56"/>
      <c r="D643" s="56"/>
      <c r="E643" s="56"/>
      <c r="F643" s="36"/>
      <c r="G643" s="36"/>
      <c r="H643" s="3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</row>
    <row r="644" ht="15.75" customHeight="1">
      <c r="A644" s="56"/>
      <c r="B644" s="56"/>
      <c r="C644" s="56"/>
      <c r="D644" s="56"/>
      <c r="E644" s="56"/>
      <c r="F644" s="36"/>
      <c r="G644" s="36"/>
      <c r="H644" s="3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</row>
    <row r="645" ht="15.75" customHeight="1">
      <c r="A645" s="56"/>
      <c r="B645" s="56"/>
      <c r="C645" s="56"/>
      <c r="D645" s="56"/>
      <c r="E645" s="56"/>
      <c r="F645" s="36"/>
      <c r="G645" s="36"/>
      <c r="H645" s="3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</row>
    <row r="646" ht="15.75" customHeight="1">
      <c r="A646" s="56"/>
      <c r="B646" s="56"/>
      <c r="C646" s="56"/>
      <c r="D646" s="56"/>
      <c r="E646" s="56"/>
      <c r="F646" s="36"/>
      <c r="G646" s="36"/>
      <c r="H646" s="3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</row>
    <row r="647" ht="15.75" customHeight="1">
      <c r="A647" s="56"/>
      <c r="B647" s="56"/>
      <c r="C647" s="56"/>
      <c r="D647" s="56"/>
      <c r="E647" s="56"/>
      <c r="F647" s="36"/>
      <c r="G647" s="36"/>
      <c r="H647" s="3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</row>
    <row r="648" ht="15.75" customHeight="1">
      <c r="A648" s="56"/>
      <c r="B648" s="56"/>
      <c r="C648" s="56"/>
      <c r="D648" s="56"/>
      <c r="E648" s="56"/>
      <c r="F648" s="36"/>
      <c r="G648" s="36"/>
      <c r="H648" s="3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</row>
    <row r="649" ht="15.75" customHeight="1">
      <c r="A649" s="56"/>
      <c r="B649" s="56"/>
      <c r="C649" s="56"/>
      <c r="D649" s="56"/>
      <c r="E649" s="56"/>
      <c r="F649" s="36"/>
      <c r="G649" s="36"/>
      <c r="H649" s="3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</row>
    <row r="650" ht="15.75" customHeight="1">
      <c r="A650" s="56"/>
      <c r="B650" s="56"/>
      <c r="C650" s="56"/>
      <c r="D650" s="56"/>
      <c r="E650" s="56"/>
      <c r="F650" s="36"/>
      <c r="G650" s="36"/>
      <c r="H650" s="3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</row>
    <row r="651" ht="15.75" customHeight="1">
      <c r="A651" s="56"/>
      <c r="B651" s="56"/>
      <c r="C651" s="56"/>
      <c r="D651" s="56"/>
      <c r="E651" s="56"/>
      <c r="F651" s="36"/>
      <c r="G651" s="36"/>
      <c r="H651" s="3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</row>
    <row r="652" ht="15.75" customHeight="1">
      <c r="A652" s="56"/>
      <c r="B652" s="56"/>
      <c r="C652" s="56"/>
      <c r="D652" s="56"/>
      <c r="E652" s="56"/>
      <c r="F652" s="36"/>
      <c r="G652" s="36"/>
      <c r="H652" s="3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</row>
    <row r="653" ht="15.75" customHeight="1">
      <c r="A653" s="56"/>
      <c r="B653" s="56"/>
      <c r="C653" s="56"/>
      <c r="D653" s="56"/>
      <c r="E653" s="56"/>
      <c r="F653" s="36"/>
      <c r="G653" s="36"/>
      <c r="H653" s="3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</row>
    <row r="654" ht="15.75" customHeight="1">
      <c r="A654" s="56"/>
      <c r="B654" s="56"/>
      <c r="C654" s="56"/>
      <c r="D654" s="56"/>
      <c r="E654" s="56"/>
      <c r="F654" s="36"/>
      <c r="G654" s="36"/>
      <c r="H654" s="3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</row>
    <row r="655" ht="15.75" customHeight="1">
      <c r="A655" s="56"/>
      <c r="B655" s="56"/>
      <c r="C655" s="56"/>
      <c r="D655" s="56"/>
      <c r="E655" s="56"/>
      <c r="F655" s="36"/>
      <c r="G655" s="36"/>
      <c r="H655" s="3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</row>
    <row r="656" ht="15.75" customHeight="1">
      <c r="A656" s="56"/>
      <c r="B656" s="56"/>
      <c r="C656" s="56"/>
      <c r="D656" s="56"/>
      <c r="E656" s="56"/>
      <c r="F656" s="36"/>
      <c r="G656" s="36"/>
      <c r="H656" s="3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</row>
    <row r="657" ht="15.75" customHeight="1">
      <c r="A657" s="56"/>
      <c r="B657" s="56"/>
      <c r="C657" s="56"/>
      <c r="D657" s="56"/>
      <c r="E657" s="56"/>
      <c r="F657" s="36"/>
      <c r="G657" s="36"/>
      <c r="H657" s="3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</row>
    <row r="658" ht="15.75" customHeight="1">
      <c r="A658" s="56"/>
      <c r="B658" s="56"/>
      <c r="C658" s="56"/>
      <c r="D658" s="56"/>
      <c r="E658" s="56"/>
      <c r="F658" s="36"/>
      <c r="G658" s="36"/>
      <c r="H658" s="3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</row>
    <row r="659" ht="15.75" customHeight="1">
      <c r="A659" s="56"/>
      <c r="B659" s="56"/>
      <c r="C659" s="56"/>
      <c r="D659" s="56"/>
      <c r="E659" s="56"/>
      <c r="F659" s="36"/>
      <c r="G659" s="36"/>
      <c r="H659" s="3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</row>
    <row r="660" ht="15.75" customHeight="1">
      <c r="A660" s="56"/>
      <c r="B660" s="56"/>
      <c r="C660" s="56"/>
      <c r="D660" s="56"/>
      <c r="E660" s="56"/>
      <c r="F660" s="36"/>
      <c r="G660" s="36"/>
      <c r="H660" s="3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</row>
    <row r="661" ht="15.75" customHeight="1">
      <c r="A661" s="56"/>
      <c r="B661" s="56"/>
      <c r="C661" s="56"/>
      <c r="D661" s="56"/>
      <c r="E661" s="56"/>
      <c r="F661" s="36"/>
      <c r="G661" s="36"/>
      <c r="H661" s="3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</row>
    <row r="662" ht="15.75" customHeight="1">
      <c r="A662" s="56"/>
      <c r="B662" s="56"/>
      <c r="C662" s="56"/>
      <c r="D662" s="56"/>
      <c r="E662" s="56"/>
      <c r="F662" s="36"/>
      <c r="G662" s="36"/>
      <c r="H662" s="3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</row>
    <row r="663" ht="15.75" customHeight="1">
      <c r="A663" s="56"/>
      <c r="B663" s="56"/>
      <c r="C663" s="56"/>
      <c r="D663" s="56"/>
      <c r="E663" s="56"/>
      <c r="F663" s="36"/>
      <c r="G663" s="36"/>
      <c r="H663" s="3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</row>
    <row r="664" ht="15.75" customHeight="1">
      <c r="A664" s="56"/>
      <c r="B664" s="56"/>
      <c r="C664" s="56"/>
      <c r="D664" s="56"/>
      <c r="E664" s="56"/>
      <c r="F664" s="36"/>
      <c r="G664" s="36"/>
      <c r="H664" s="3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</row>
    <row r="665" ht="15.75" customHeight="1">
      <c r="A665" s="56"/>
      <c r="B665" s="56"/>
      <c r="C665" s="56"/>
      <c r="D665" s="56"/>
      <c r="E665" s="56"/>
      <c r="F665" s="36"/>
      <c r="G665" s="36"/>
      <c r="H665" s="3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</row>
    <row r="666" ht="15.75" customHeight="1">
      <c r="A666" s="56"/>
      <c r="B666" s="56"/>
      <c r="C666" s="56"/>
      <c r="D666" s="56"/>
      <c r="E666" s="56"/>
      <c r="F666" s="36"/>
      <c r="G666" s="36"/>
      <c r="H666" s="3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</row>
    <row r="667" ht="15.75" customHeight="1">
      <c r="A667" s="56"/>
      <c r="B667" s="56"/>
      <c r="C667" s="56"/>
      <c r="D667" s="56"/>
      <c r="E667" s="56"/>
      <c r="F667" s="36"/>
      <c r="G667" s="36"/>
      <c r="H667" s="3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</row>
    <row r="668" ht="15.75" customHeight="1">
      <c r="A668" s="56"/>
      <c r="B668" s="56"/>
      <c r="C668" s="56"/>
      <c r="D668" s="56"/>
      <c r="E668" s="56"/>
      <c r="F668" s="36"/>
      <c r="G668" s="36"/>
      <c r="H668" s="3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</row>
    <row r="669" ht="15.75" customHeight="1">
      <c r="A669" s="56"/>
      <c r="B669" s="56"/>
      <c r="C669" s="56"/>
      <c r="D669" s="56"/>
      <c r="E669" s="56"/>
      <c r="F669" s="36"/>
      <c r="G669" s="36"/>
      <c r="H669" s="3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</row>
    <row r="670" ht="15.75" customHeight="1">
      <c r="A670" s="56"/>
      <c r="B670" s="56"/>
      <c r="C670" s="56"/>
      <c r="D670" s="56"/>
      <c r="E670" s="56"/>
      <c r="F670" s="36"/>
      <c r="G670" s="36"/>
      <c r="H670" s="3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</row>
    <row r="671" ht="15.75" customHeight="1">
      <c r="A671" s="56"/>
      <c r="B671" s="56"/>
      <c r="C671" s="56"/>
      <c r="D671" s="56"/>
      <c r="E671" s="56"/>
      <c r="F671" s="36"/>
      <c r="G671" s="36"/>
      <c r="H671" s="3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</row>
    <row r="672" ht="15.75" customHeight="1">
      <c r="A672" s="56"/>
      <c r="B672" s="56"/>
      <c r="C672" s="56"/>
      <c r="D672" s="56"/>
      <c r="E672" s="56"/>
      <c r="F672" s="36"/>
      <c r="G672" s="36"/>
      <c r="H672" s="3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</row>
    <row r="673" ht="15.75" customHeight="1">
      <c r="A673" s="56"/>
      <c r="B673" s="56"/>
      <c r="C673" s="56"/>
      <c r="D673" s="56"/>
      <c r="E673" s="56"/>
      <c r="F673" s="36"/>
      <c r="G673" s="36"/>
      <c r="H673" s="3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</row>
    <row r="674" ht="15.75" customHeight="1">
      <c r="A674" s="56"/>
      <c r="B674" s="56"/>
      <c r="C674" s="56"/>
      <c r="D674" s="56"/>
      <c r="E674" s="56"/>
      <c r="F674" s="36"/>
      <c r="G674" s="36"/>
      <c r="H674" s="3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</row>
    <row r="675" ht="15.75" customHeight="1">
      <c r="A675" s="56"/>
      <c r="B675" s="56"/>
      <c r="C675" s="56"/>
      <c r="D675" s="56"/>
      <c r="E675" s="56"/>
      <c r="F675" s="36"/>
      <c r="G675" s="36"/>
      <c r="H675" s="3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</row>
    <row r="676" ht="15.75" customHeight="1">
      <c r="A676" s="56"/>
      <c r="B676" s="56"/>
      <c r="C676" s="56"/>
      <c r="D676" s="56"/>
      <c r="E676" s="56"/>
      <c r="F676" s="36"/>
      <c r="G676" s="36"/>
      <c r="H676" s="3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</row>
    <row r="677" ht="15.75" customHeight="1">
      <c r="A677" s="56"/>
      <c r="B677" s="56"/>
      <c r="C677" s="56"/>
      <c r="D677" s="56"/>
      <c r="E677" s="56"/>
      <c r="F677" s="36"/>
      <c r="G677" s="36"/>
      <c r="H677" s="3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</row>
    <row r="678" ht="15.75" customHeight="1">
      <c r="A678" s="56"/>
      <c r="B678" s="56"/>
      <c r="C678" s="56"/>
      <c r="D678" s="56"/>
      <c r="E678" s="56"/>
      <c r="F678" s="36"/>
      <c r="G678" s="36"/>
      <c r="H678" s="3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</row>
    <row r="679" ht="15.75" customHeight="1">
      <c r="A679" s="56"/>
      <c r="B679" s="56"/>
      <c r="C679" s="56"/>
      <c r="D679" s="56"/>
      <c r="E679" s="56"/>
      <c r="F679" s="36"/>
      <c r="G679" s="36"/>
      <c r="H679" s="3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</row>
    <row r="680" ht="15.75" customHeight="1">
      <c r="A680" s="56"/>
      <c r="B680" s="56"/>
      <c r="C680" s="56"/>
      <c r="D680" s="56"/>
      <c r="E680" s="56"/>
      <c r="F680" s="36"/>
      <c r="G680" s="36"/>
      <c r="H680" s="3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</row>
    <row r="681" ht="15.75" customHeight="1">
      <c r="A681" s="56"/>
      <c r="B681" s="56"/>
      <c r="C681" s="56"/>
      <c r="D681" s="56"/>
      <c r="E681" s="56"/>
      <c r="F681" s="36"/>
      <c r="G681" s="36"/>
      <c r="H681" s="3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</row>
    <row r="682" ht="15.75" customHeight="1">
      <c r="A682" s="56"/>
      <c r="B682" s="56"/>
      <c r="C682" s="56"/>
      <c r="D682" s="56"/>
      <c r="E682" s="56"/>
      <c r="F682" s="36"/>
      <c r="G682" s="36"/>
      <c r="H682" s="3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</row>
    <row r="683" ht="15.75" customHeight="1">
      <c r="A683" s="56"/>
      <c r="B683" s="56"/>
      <c r="C683" s="56"/>
      <c r="D683" s="56"/>
      <c r="E683" s="56"/>
      <c r="F683" s="36"/>
      <c r="G683" s="36"/>
      <c r="H683" s="3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</row>
    <row r="684" ht="15.75" customHeight="1">
      <c r="A684" s="56"/>
      <c r="B684" s="56"/>
      <c r="C684" s="56"/>
      <c r="D684" s="56"/>
      <c r="E684" s="56"/>
      <c r="F684" s="36"/>
      <c r="G684" s="36"/>
      <c r="H684" s="3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</row>
    <row r="685" ht="15.75" customHeight="1">
      <c r="A685" s="56"/>
      <c r="B685" s="56"/>
      <c r="C685" s="56"/>
      <c r="D685" s="56"/>
      <c r="E685" s="56"/>
      <c r="F685" s="36"/>
      <c r="G685" s="36"/>
      <c r="H685" s="3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</row>
    <row r="686" ht="15.75" customHeight="1">
      <c r="A686" s="56"/>
      <c r="B686" s="56"/>
      <c r="C686" s="56"/>
      <c r="D686" s="56"/>
      <c r="E686" s="56"/>
      <c r="F686" s="36"/>
      <c r="G686" s="36"/>
      <c r="H686" s="3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</row>
    <row r="687" ht="15.75" customHeight="1">
      <c r="A687" s="56"/>
      <c r="B687" s="56"/>
      <c r="C687" s="56"/>
      <c r="D687" s="56"/>
      <c r="E687" s="56"/>
      <c r="F687" s="36"/>
      <c r="G687" s="36"/>
      <c r="H687" s="3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</row>
    <row r="688" ht="15.75" customHeight="1">
      <c r="A688" s="56"/>
      <c r="B688" s="56"/>
      <c r="C688" s="56"/>
      <c r="D688" s="56"/>
      <c r="E688" s="56"/>
      <c r="F688" s="36"/>
      <c r="G688" s="36"/>
      <c r="H688" s="3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</row>
    <row r="689" ht="15.75" customHeight="1">
      <c r="A689" s="56"/>
      <c r="B689" s="56"/>
      <c r="C689" s="56"/>
      <c r="D689" s="56"/>
      <c r="E689" s="56"/>
      <c r="F689" s="36"/>
      <c r="G689" s="36"/>
      <c r="H689" s="3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</row>
    <row r="690" ht="15.75" customHeight="1">
      <c r="A690" s="56"/>
      <c r="B690" s="56"/>
      <c r="C690" s="56"/>
      <c r="D690" s="56"/>
      <c r="E690" s="56"/>
      <c r="F690" s="36"/>
      <c r="G690" s="36"/>
      <c r="H690" s="3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</row>
    <row r="691" ht="15.75" customHeight="1">
      <c r="A691" s="56"/>
      <c r="B691" s="56"/>
      <c r="C691" s="56"/>
      <c r="D691" s="56"/>
      <c r="E691" s="56"/>
      <c r="F691" s="36"/>
      <c r="G691" s="36"/>
      <c r="H691" s="3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</row>
    <row r="692" ht="15.75" customHeight="1">
      <c r="A692" s="56"/>
      <c r="B692" s="56"/>
      <c r="C692" s="56"/>
      <c r="D692" s="56"/>
      <c r="E692" s="56"/>
      <c r="F692" s="36"/>
      <c r="G692" s="36"/>
      <c r="H692" s="3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</row>
    <row r="693" ht="15.75" customHeight="1">
      <c r="A693" s="56"/>
      <c r="B693" s="56"/>
      <c r="C693" s="56"/>
      <c r="D693" s="56"/>
      <c r="E693" s="56"/>
      <c r="F693" s="36"/>
      <c r="G693" s="36"/>
      <c r="H693" s="3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</row>
    <row r="694" ht="15.75" customHeight="1">
      <c r="A694" s="56"/>
      <c r="B694" s="56"/>
      <c r="C694" s="56"/>
      <c r="D694" s="56"/>
      <c r="E694" s="56"/>
      <c r="F694" s="36"/>
      <c r="G694" s="36"/>
      <c r="H694" s="3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</row>
    <row r="695" ht="15.75" customHeight="1">
      <c r="A695" s="56"/>
      <c r="B695" s="56"/>
      <c r="C695" s="56"/>
      <c r="D695" s="56"/>
      <c r="E695" s="56"/>
      <c r="F695" s="36"/>
      <c r="G695" s="36"/>
      <c r="H695" s="3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</row>
    <row r="696" ht="15.75" customHeight="1">
      <c r="A696" s="56"/>
      <c r="B696" s="56"/>
      <c r="C696" s="56"/>
      <c r="D696" s="56"/>
      <c r="E696" s="56"/>
      <c r="F696" s="36"/>
      <c r="G696" s="36"/>
      <c r="H696" s="3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</row>
    <row r="697" ht="15.75" customHeight="1">
      <c r="A697" s="56"/>
      <c r="B697" s="56"/>
      <c r="C697" s="56"/>
      <c r="D697" s="56"/>
      <c r="E697" s="56"/>
      <c r="F697" s="36"/>
      <c r="G697" s="36"/>
      <c r="H697" s="3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</row>
    <row r="698" ht="15.75" customHeight="1">
      <c r="A698" s="56"/>
      <c r="B698" s="56"/>
      <c r="C698" s="56"/>
      <c r="D698" s="56"/>
      <c r="E698" s="56"/>
      <c r="F698" s="36"/>
      <c r="G698" s="36"/>
      <c r="H698" s="3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</row>
    <row r="699" ht="15.75" customHeight="1">
      <c r="A699" s="56"/>
      <c r="B699" s="56"/>
      <c r="C699" s="56"/>
      <c r="D699" s="56"/>
      <c r="E699" s="56"/>
      <c r="F699" s="36"/>
      <c r="G699" s="36"/>
      <c r="H699" s="3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</row>
    <row r="700" ht="15.75" customHeight="1">
      <c r="A700" s="56"/>
      <c r="B700" s="56"/>
      <c r="C700" s="56"/>
      <c r="D700" s="56"/>
      <c r="E700" s="56"/>
      <c r="F700" s="36"/>
      <c r="G700" s="36"/>
      <c r="H700" s="3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</row>
    <row r="701" ht="15.75" customHeight="1">
      <c r="A701" s="56"/>
      <c r="B701" s="56"/>
      <c r="C701" s="56"/>
      <c r="D701" s="56"/>
      <c r="E701" s="56"/>
      <c r="F701" s="36"/>
      <c r="G701" s="36"/>
      <c r="H701" s="3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</row>
    <row r="702" ht="15.75" customHeight="1">
      <c r="A702" s="56"/>
      <c r="B702" s="56"/>
      <c r="C702" s="56"/>
      <c r="D702" s="56"/>
      <c r="E702" s="56"/>
      <c r="F702" s="36"/>
      <c r="G702" s="36"/>
      <c r="H702" s="3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</row>
    <row r="703" ht="15.75" customHeight="1">
      <c r="A703" s="56"/>
      <c r="B703" s="56"/>
      <c r="C703" s="56"/>
      <c r="D703" s="56"/>
      <c r="E703" s="56"/>
      <c r="F703" s="36"/>
      <c r="G703" s="36"/>
      <c r="H703" s="3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</row>
    <row r="704" ht="15.75" customHeight="1">
      <c r="A704" s="56"/>
      <c r="B704" s="56"/>
      <c r="C704" s="56"/>
      <c r="D704" s="56"/>
      <c r="E704" s="56"/>
      <c r="F704" s="36"/>
      <c r="G704" s="36"/>
      <c r="H704" s="3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</row>
    <row r="705" ht="15.75" customHeight="1">
      <c r="A705" s="56"/>
      <c r="B705" s="56"/>
      <c r="C705" s="56"/>
      <c r="D705" s="56"/>
      <c r="E705" s="56"/>
      <c r="F705" s="36"/>
      <c r="G705" s="36"/>
      <c r="H705" s="3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</row>
    <row r="706" ht="15.75" customHeight="1">
      <c r="A706" s="56"/>
      <c r="B706" s="56"/>
      <c r="C706" s="56"/>
      <c r="D706" s="56"/>
      <c r="E706" s="56"/>
      <c r="F706" s="36"/>
      <c r="G706" s="36"/>
      <c r="H706" s="3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</row>
    <row r="707" ht="15.75" customHeight="1">
      <c r="A707" s="56"/>
      <c r="B707" s="56"/>
      <c r="C707" s="56"/>
      <c r="D707" s="56"/>
      <c r="E707" s="56"/>
      <c r="F707" s="36"/>
      <c r="G707" s="36"/>
      <c r="H707" s="3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</row>
    <row r="708" ht="15.75" customHeight="1">
      <c r="A708" s="56"/>
      <c r="B708" s="56"/>
      <c r="C708" s="56"/>
      <c r="D708" s="56"/>
      <c r="E708" s="56"/>
      <c r="F708" s="36"/>
      <c r="G708" s="36"/>
      <c r="H708" s="3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</row>
    <row r="709" ht="15.75" customHeight="1">
      <c r="A709" s="56"/>
      <c r="B709" s="56"/>
      <c r="C709" s="56"/>
      <c r="D709" s="56"/>
      <c r="E709" s="56"/>
      <c r="F709" s="36"/>
      <c r="G709" s="36"/>
      <c r="H709" s="3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</row>
    <row r="710" ht="15.75" customHeight="1">
      <c r="A710" s="56"/>
      <c r="B710" s="56"/>
      <c r="C710" s="56"/>
      <c r="D710" s="56"/>
      <c r="E710" s="56"/>
      <c r="F710" s="36"/>
      <c r="G710" s="36"/>
      <c r="H710" s="3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</row>
    <row r="711" ht="15.75" customHeight="1">
      <c r="A711" s="56"/>
      <c r="B711" s="56"/>
      <c r="C711" s="56"/>
      <c r="D711" s="56"/>
      <c r="E711" s="56"/>
      <c r="F711" s="36"/>
      <c r="G711" s="36"/>
      <c r="H711" s="3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</row>
    <row r="712" ht="15.75" customHeight="1">
      <c r="A712" s="56"/>
      <c r="B712" s="56"/>
      <c r="C712" s="56"/>
      <c r="D712" s="56"/>
      <c r="E712" s="56"/>
      <c r="F712" s="36"/>
      <c r="G712" s="36"/>
      <c r="H712" s="3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</row>
    <row r="713" ht="15.75" customHeight="1">
      <c r="A713" s="56"/>
      <c r="B713" s="56"/>
      <c r="C713" s="56"/>
      <c r="D713" s="56"/>
      <c r="E713" s="56"/>
      <c r="F713" s="36"/>
      <c r="G713" s="36"/>
      <c r="H713" s="3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</row>
    <row r="714" ht="15.75" customHeight="1">
      <c r="A714" s="56"/>
      <c r="B714" s="56"/>
      <c r="C714" s="56"/>
      <c r="D714" s="56"/>
      <c r="E714" s="56"/>
      <c r="F714" s="36"/>
      <c r="G714" s="36"/>
      <c r="H714" s="3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</row>
    <row r="715" ht="15.75" customHeight="1">
      <c r="A715" s="56"/>
      <c r="B715" s="56"/>
      <c r="C715" s="56"/>
      <c r="D715" s="56"/>
      <c r="E715" s="56"/>
      <c r="F715" s="36"/>
      <c r="G715" s="36"/>
      <c r="H715" s="3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</row>
    <row r="716" ht="15.75" customHeight="1">
      <c r="A716" s="56"/>
      <c r="B716" s="56"/>
      <c r="C716" s="56"/>
      <c r="D716" s="56"/>
      <c r="E716" s="56"/>
      <c r="F716" s="36"/>
      <c r="G716" s="36"/>
      <c r="H716" s="3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</row>
    <row r="717" ht="15.75" customHeight="1">
      <c r="A717" s="56"/>
      <c r="B717" s="56"/>
      <c r="C717" s="56"/>
      <c r="D717" s="56"/>
      <c r="E717" s="56"/>
      <c r="F717" s="36"/>
      <c r="G717" s="36"/>
      <c r="H717" s="3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</row>
    <row r="718" ht="15.75" customHeight="1">
      <c r="A718" s="56"/>
      <c r="B718" s="56"/>
      <c r="C718" s="56"/>
      <c r="D718" s="56"/>
      <c r="E718" s="56"/>
      <c r="F718" s="36"/>
      <c r="G718" s="36"/>
      <c r="H718" s="3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</row>
    <row r="719" ht="15.75" customHeight="1">
      <c r="A719" s="56"/>
      <c r="B719" s="56"/>
      <c r="C719" s="56"/>
      <c r="D719" s="56"/>
      <c r="E719" s="56"/>
      <c r="F719" s="36"/>
      <c r="G719" s="36"/>
      <c r="H719" s="3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</row>
    <row r="720" ht="15.75" customHeight="1">
      <c r="A720" s="56"/>
      <c r="B720" s="56"/>
      <c r="C720" s="56"/>
      <c r="D720" s="56"/>
      <c r="E720" s="56"/>
      <c r="F720" s="36"/>
      <c r="G720" s="36"/>
      <c r="H720" s="3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</row>
    <row r="721" ht="15.75" customHeight="1">
      <c r="A721" s="56"/>
      <c r="B721" s="56"/>
      <c r="C721" s="56"/>
      <c r="D721" s="56"/>
      <c r="E721" s="56"/>
      <c r="F721" s="36"/>
      <c r="G721" s="36"/>
      <c r="H721" s="3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</row>
    <row r="722" ht="15.75" customHeight="1">
      <c r="A722" s="56"/>
      <c r="B722" s="56"/>
      <c r="C722" s="56"/>
      <c r="D722" s="56"/>
      <c r="E722" s="56"/>
      <c r="F722" s="36"/>
      <c r="G722" s="36"/>
      <c r="H722" s="3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</row>
    <row r="723" ht="15.75" customHeight="1">
      <c r="A723" s="56"/>
      <c r="B723" s="56"/>
      <c r="C723" s="56"/>
      <c r="D723" s="56"/>
      <c r="E723" s="56"/>
      <c r="F723" s="36"/>
      <c r="G723" s="36"/>
      <c r="H723" s="3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</row>
    <row r="724" ht="15.75" customHeight="1">
      <c r="A724" s="56"/>
      <c r="B724" s="56"/>
      <c r="C724" s="56"/>
      <c r="D724" s="56"/>
      <c r="E724" s="56"/>
      <c r="F724" s="36"/>
      <c r="G724" s="36"/>
      <c r="H724" s="3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</row>
    <row r="725" ht="15.75" customHeight="1">
      <c r="A725" s="56"/>
      <c r="B725" s="56"/>
      <c r="C725" s="56"/>
      <c r="D725" s="56"/>
      <c r="E725" s="56"/>
      <c r="F725" s="36"/>
      <c r="G725" s="36"/>
      <c r="H725" s="3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</row>
    <row r="726" ht="15.75" customHeight="1">
      <c r="A726" s="56"/>
      <c r="B726" s="56"/>
      <c r="C726" s="56"/>
      <c r="D726" s="56"/>
      <c r="E726" s="56"/>
      <c r="F726" s="36"/>
      <c r="G726" s="36"/>
      <c r="H726" s="3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</row>
    <row r="727" ht="15.75" customHeight="1">
      <c r="A727" s="56"/>
      <c r="B727" s="56"/>
      <c r="C727" s="56"/>
      <c r="D727" s="56"/>
      <c r="E727" s="56"/>
      <c r="F727" s="36"/>
      <c r="G727" s="36"/>
      <c r="H727" s="3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</row>
    <row r="728" ht="15.75" customHeight="1">
      <c r="A728" s="56"/>
      <c r="B728" s="56"/>
      <c r="C728" s="56"/>
      <c r="D728" s="56"/>
      <c r="E728" s="56"/>
      <c r="F728" s="36"/>
      <c r="G728" s="36"/>
      <c r="H728" s="3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</row>
    <row r="729" ht="15.75" customHeight="1">
      <c r="A729" s="56"/>
      <c r="B729" s="56"/>
      <c r="C729" s="56"/>
      <c r="D729" s="56"/>
      <c r="E729" s="56"/>
      <c r="F729" s="36"/>
      <c r="G729" s="36"/>
      <c r="H729" s="3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</row>
    <row r="730" ht="15.75" customHeight="1">
      <c r="A730" s="56"/>
      <c r="B730" s="56"/>
      <c r="C730" s="56"/>
      <c r="D730" s="56"/>
      <c r="E730" s="56"/>
      <c r="F730" s="36"/>
      <c r="G730" s="36"/>
      <c r="H730" s="3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</row>
    <row r="731" ht="15.75" customHeight="1">
      <c r="A731" s="56"/>
      <c r="B731" s="56"/>
      <c r="C731" s="56"/>
      <c r="D731" s="56"/>
      <c r="E731" s="56"/>
      <c r="F731" s="36"/>
      <c r="G731" s="36"/>
      <c r="H731" s="3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</row>
    <row r="732" ht="15.75" customHeight="1">
      <c r="A732" s="56"/>
      <c r="B732" s="56"/>
      <c r="C732" s="56"/>
      <c r="D732" s="56"/>
      <c r="E732" s="56"/>
      <c r="F732" s="36"/>
      <c r="G732" s="36"/>
      <c r="H732" s="3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</row>
    <row r="733" ht="15.75" customHeight="1">
      <c r="A733" s="56"/>
      <c r="B733" s="56"/>
      <c r="C733" s="56"/>
      <c r="D733" s="56"/>
      <c r="E733" s="56"/>
      <c r="F733" s="36"/>
      <c r="G733" s="36"/>
      <c r="H733" s="3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</row>
    <row r="734" ht="15.75" customHeight="1">
      <c r="A734" s="56"/>
      <c r="B734" s="56"/>
      <c r="C734" s="56"/>
      <c r="D734" s="56"/>
      <c r="E734" s="56"/>
      <c r="F734" s="36"/>
      <c r="G734" s="36"/>
      <c r="H734" s="3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</row>
    <row r="735" ht="15.75" customHeight="1">
      <c r="A735" s="56"/>
      <c r="B735" s="56"/>
      <c r="C735" s="56"/>
      <c r="D735" s="56"/>
      <c r="E735" s="56"/>
      <c r="F735" s="36"/>
      <c r="G735" s="36"/>
      <c r="H735" s="3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</row>
    <row r="736" ht="15.75" customHeight="1">
      <c r="A736" s="56"/>
      <c r="B736" s="56"/>
      <c r="C736" s="56"/>
      <c r="D736" s="56"/>
      <c r="E736" s="56"/>
      <c r="F736" s="36"/>
      <c r="G736" s="36"/>
      <c r="H736" s="3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</row>
    <row r="737" ht="15.75" customHeight="1">
      <c r="A737" s="56"/>
      <c r="B737" s="56"/>
      <c r="C737" s="56"/>
      <c r="D737" s="56"/>
      <c r="E737" s="56"/>
      <c r="F737" s="36"/>
      <c r="G737" s="36"/>
      <c r="H737" s="3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</row>
    <row r="738" ht="15.75" customHeight="1">
      <c r="A738" s="56"/>
      <c r="B738" s="56"/>
      <c r="C738" s="56"/>
      <c r="D738" s="56"/>
      <c r="E738" s="56"/>
      <c r="F738" s="36"/>
      <c r="G738" s="36"/>
      <c r="H738" s="3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</row>
    <row r="739" ht="15.75" customHeight="1">
      <c r="A739" s="56"/>
      <c r="B739" s="56"/>
      <c r="C739" s="56"/>
      <c r="D739" s="56"/>
      <c r="E739" s="56"/>
      <c r="F739" s="36"/>
      <c r="G739" s="36"/>
      <c r="H739" s="3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</row>
    <row r="740" ht="15.75" customHeight="1">
      <c r="A740" s="56"/>
      <c r="B740" s="56"/>
      <c r="C740" s="56"/>
      <c r="D740" s="56"/>
      <c r="E740" s="56"/>
      <c r="F740" s="36"/>
      <c r="G740" s="36"/>
      <c r="H740" s="3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</row>
    <row r="741" ht="15.75" customHeight="1">
      <c r="A741" s="56"/>
      <c r="B741" s="56"/>
      <c r="C741" s="56"/>
      <c r="D741" s="56"/>
      <c r="E741" s="56"/>
      <c r="F741" s="36"/>
      <c r="G741" s="36"/>
      <c r="H741" s="3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</row>
    <row r="742" ht="15.75" customHeight="1">
      <c r="A742" s="56"/>
      <c r="B742" s="56"/>
      <c r="C742" s="56"/>
      <c r="D742" s="56"/>
      <c r="E742" s="56"/>
      <c r="F742" s="36"/>
      <c r="G742" s="36"/>
      <c r="H742" s="3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</row>
    <row r="743" ht="15.75" customHeight="1">
      <c r="A743" s="56"/>
      <c r="B743" s="56"/>
      <c r="C743" s="56"/>
      <c r="D743" s="56"/>
      <c r="E743" s="56"/>
      <c r="F743" s="36"/>
      <c r="G743" s="36"/>
      <c r="H743" s="3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</row>
    <row r="744" ht="15.75" customHeight="1">
      <c r="A744" s="56"/>
      <c r="B744" s="56"/>
      <c r="C744" s="56"/>
      <c r="D744" s="56"/>
      <c r="E744" s="56"/>
      <c r="F744" s="36"/>
      <c r="G744" s="36"/>
      <c r="H744" s="3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</row>
    <row r="745" ht="15.75" customHeight="1">
      <c r="A745" s="56"/>
      <c r="B745" s="56"/>
      <c r="C745" s="56"/>
      <c r="D745" s="56"/>
      <c r="E745" s="56"/>
      <c r="F745" s="36"/>
      <c r="G745" s="36"/>
      <c r="H745" s="3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</row>
    <row r="746" ht="15.75" customHeight="1">
      <c r="A746" s="56"/>
      <c r="B746" s="56"/>
      <c r="C746" s="56"/>
      <c r="D746" s="56"/>
      <c r="E746" s="56"/>
      <c r="F746" s="36"/>
      <c r="G746" s="36"/>
      <c r="H746" s="3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</row>
    <row r="747" ht="15.75" customHeight="1">
      <c r="A747" s="56"/>
      <c r="B747" s="56"/>
      <c r="C747" s="56"/>
      <c r="D747" s="56"/>
      <c r="E747" s="56"/>
      <c r="F747" s="36"/>
      <c r="G747" s="36"/>
      <c r="H747" s="3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</row>
    <row r="748" ht="15.75" customHeight="1">
      <c r="A748" s="56"/>
      <c r="B748" s="56"/>
      <c r="C748" s="56"/>
      <c r="D748" s="56"/>
      <c r="E748" s="56"/>
      <c r="F748" s="36"/>
      <c r="G748" s="36"/>
      <c r="H748" s="3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</row>
    <row r="749" ht="15.75" customHeight="1">
      <c r="A749" s="56"/>
      <c r="B749" s="56"/>
      <c r="C749" s="56"/>
      <c r="D749" s="56"/>
      <c r="E749" s="56"/>
      <c r="F749" s="36"/>
      <c r="G749" s="36"/>
      <c r="H749" s="3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</row>
    <row r="750" ht="15.75" customHeight="1">
      <c r="A750" s="56"/>
      <c r="B750" s="56"/>
      <c r="C750" s="56"/>
      <c r="D750" s="56"/>
      <c r="E750" s="56"/>
      <c r="F750" s="36"/>
      <c r="G750" s="36"/>
      <c r="H750" s="3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</row>
    <row r="751" ht="15.75" customHeight="1">
      <c r="A751" s="56"/>
      <c r="B751" s="56"/>
      <c r="C751" s="56"/>
      <c r="D751" s="56"/>
      <c r="E751" s="56"/>
      <c r="F751" s="36"/>
      <c r="G751" s="36"/>
      <c r="H751" s="3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</row>
    <row r="752" ht="15.75" customHeight="1">
      <c r="A752" s="56"/>
      <c r="B752" s="56"/>
      <c r="C752" s="56"/>
      <c r="D752" s="56"/>
      <c r="E752" s="56"/>
      <c r="F752" s="36"/>
      <c r="G752" s="36"/>
      <c r="H752" s="3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</row>
    <row r="753" ht="15.75" customHeight="1">
      <c r="A753" s="56"/>
      <c r="B753" s="56"/>
      <c r="C753" s="56"/>
      <c r="D753" s="56"/>
      <c r="E753" s="56"/>
      <c r="F753" s="36"/>
      <c r="G753" s="36"/>
      <c r="H753" s="3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</row>
    <row r="754" ht="15.75" customHeight="1">
      <c r="A754" s="56"/>
      <c r="B754" s="56"/>
      <c r="C754" s="56"/>
      <c r="D754" s="56"/>
      <c r="E754" s="56"/>
      <c r="F754" s="36"/>
      <c r="G754" s="36"/>
      <c r="H754" s="3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</row>
    <row r="755" ht="15.75" customHeight="1">
      <c r="A755" s="56"/>
      <c r="B755" s="56"/>
      <c r="C755" s="56"/>
      <c r="D755" s="56"/>
      <c r="E755" s="56"/>
      <c r="F755" s="36"/>
      <c r="G755" s="36"/>
      <c r="H755" s="3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</row>
    <row r="756" ht="15.75" customHeight="1">
      <c r="A756" s="56"/>
      <c r="B756" s="56"/>
      <c r="C756" s="56"/>
      <c r="D756" s="56"/>
      <c r="E756" s="56"/>
      <c r="F756" s="36"/>
      <c r="G756" s="36"/>
      <c r="H756" s="3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</row>
    <row r="757" ht="15.75" customHeight="1">
      <c r="A757" s="56"/>
      <c r="B757" s="56"/>
      <c r="C757" s="56"/>
      <c r="D757" s="56"/>
      <c r="E757" s="56"/>
      <c r="F757" s="36"/>
      <c r="G757" s="36"/>
      <c r="H757" s="3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</row>
    <row r="758" ht="15.75" customHeight="1">
      <c r="A758" s="56"/>
      <c r="B758" s="56"/>
      <c r="C758" s="56"/>
      <c r="D758" s="56"/>
      <c r="E758" s="56"/>
      <c r="F758" s="36"/>
      <c r="G758" s="36"/>
      <c r="H758" s="3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</row>
    <row r="759" ht="15.75" customHeight="1">
      <c r="A759" s="56"/>
      <c r="B759" s="56"/>
      <c r="C759" s="56"/>
      <c r="D759" s="56"/>
      <c r="E759" s="56"/>
      <c r="F759" s="36"/>
      <c r="G759" s="36"/>
      <c r="H759" s="3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</row>
    <row r="760" ht="15.75" customHeight="1">
      <c r="A760" s="56"/>
      <c r="B760" s="56"/>
      <c r="C760" s="56"/>
      <c r="D760" s="56"/>
      <c r="E760" s="56"/>
      <c r="F760" s="36"/>
      <c r="G760" s="36"/>
      <c r="H760" s="3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</row>
    <row r="761" ht="15.75" customHeight="1">
      <c r="A761" s="56"/>
      <c r="B761" s="56"/>
      <c r="C761" s="56"/>
      <c r="D761" s="56"/>
      <c r="E761" s="56"/>
      <c r="F761" s="36"/>
      <c r="G761" s="36"/>
      <c r="H761" s="3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</row>
    <row r="762" ht="15.75" customHeight="1">
      <c r="A762" s="56"/>
      <c r="B762" s="56"/>
      <c r="C762" s="56"/>
      <c r="D762" s="56"/>
      <c r="E762" s="56"/>
      <c r="F762" s="36"/>
      <c r="G762" s="36"/>
      <c r="H762" s="3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</row>
    <row r="763" ht="15.75" customHeight="1">
      <c r="A763" s="56"/>
      <c r="B763" s="56"/>
      <c r="C763" s="56"/>
      <c r="D763" s="56"/>
      <c r="E763" s="56"/>
      <c r="F763" s="36"/>
      <c r="G763" s="36"/>
      <c r="H763" s="3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</row>
    <row r="764" ht="15.75" customHeight="1">
      <c r="A764" s="56"/>
      <c r="B764" s="56"/>
      <c r="C764" s="56"/>
      <c r="D764" s="56"/>
      <c r="E764" s="56"/>
      <c r="F764" s="36"/>
      <c r="G764" s="36"/>
      <c r="H764" s="3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</row>
    <row r="765" ht="15.75" customHeight="1">
      <c r="A765" s="56"/>
      <c r="B765" s="56"/>
      <c r="C765" s="56"/>
      <c r="D765" s="56"/>
      <c r="E765" s="56"/>
      <c r="F765" s="36"/>
      <c r="G765" s="36"/>
      <c r="H765" s="3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</row>
    <row r="766" ht="15.75" customHeight="1">
      <c r="A766" s="56"/>
      <c r="B766" s="56"/>
      <c r="C766" s="56"/>
      <c r="D766" s="56"/>
      <c r="E766" s="56"/>
      <c r="F766" s="36"/>
      <c r="G766" s="36"/>
      <c r="H766" s="3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</row>
    <row r="767" ht="15.75" customHeight="1">
      <c r="A767" s="56"/>
      <c r="B767" s="56"/>
      <c r="C767" s="56"/>
      <c r="D767" s="56"/>
      <c r="E767" s="56"/>
      <c r="F767" s="36"/>
      <c r="G767" s="36"/>
      <c r="H767" s="3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</row>
    <row r="768" ht="15.75" customHeight="1">
      <c r="A768" s="56"/>
      <c r="B768" s="56"/>
      <c r="C768" s="56"/>
      <c r="D768" s="56"/>
      <c r="E768" s="56"/>
      <c r="F768" s="36"/>
      <c r="G768" s="36"/>
      <c r="H768" s="3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</row>
    <row r="769" ht="15.75" customHeight="1">
      <c r="A769" s="56"/>
      <c r="B769" s="56"/>
      <c r="C769" s="56"/>
      <c r="D769" s="56"/>
      <c r="E769" s="56"/>
      <c r="F769" s="36"/>
      <c r="G769" s="36"/>
      <c r="H769" s="3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</row>
    <row r="770" ht="15.75" customHeight="1">
      <c r="A770" s="56"/>
      <c r="B770" s="56"/>
      <c r="C770" s="56"/>
      <c r="D770" s="56"/>
      <c r="E770" s="56"/>
      <c r="F770" s="36"/>
      <c r="G770" s="36"/>
      <c r="H770" s="3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</row>
    <row r="771" ht="15.75" customHeight="1">
      <c r="A771" s="56"/>
      <c r="B771" s="56"/>
      <c r="C771" s="56"/>
      <c r="D771" s="56"/>
      <c r="E771" s="56"/>
      <c r="F771" s="36"/>
      <c r="G771" s="36"/>
      <c r="H771" s="3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</row>
    <row r="772" ht="15.75" customHeight="1">
      <c r="A772" s="56"/>
      <c r="B772" s="56"/>
      <c r="C772" s="56"/>
      <c r="D772" s="56"/>
      <c r="E772" s="56"/>
      <c r="F772" s="36"/>
      <c r="G772" s="36"/>
      <c r="H772" s="3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</row>
    <row r="773" ht="15.75" customHeight="1">
      <c r="A773" s="56"/>
      <c r="B773" s="56"/>
      <c r="C773" s="56"/>
      <c r="D773" s="56"/>
      <c r="E773" s="56"/>
      <c r="F773" s="36"/>
      <c r="G773" s="36"/>
      <c r="H773" s="3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</row>
    <row r="774" ht="15.75" customHeight="1">
      <c r="A774" s="56"/>
      <c r="B774" s="56"/>
      <c r="C774" s="56"/>
      <c r="D774" s="56"/>
      <c r="E774" s="56"/>
      <c r="F774" s="36"/>
      <c r="G774" s="36"/>
      <c r="H774" s="3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</row>
    <row r="775" ht="15.75" customHeight="1">
      <c r="A775" s="56"/>
      <c r="B775" s="56"/>
      <c r="C775" s="56"/>
      <c r="D775" s="56"/>
      <c r="E775" s="56"/>
      <c r="F775" s="36"/>
      <c r="G775" s="36"/>
      <c r="H775" s="3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</row>
    <row r="776" ht="15.75" customHeight="1">
      <c r="A776" s="56"/>
      <c r="B776" s="56"/>
      <c r="C776" s="56"/>
      <c r="D776" s="56"/>
      <c r="E776" s="56"/>
      <c r="F776" s="36"/>
      <c r="G776" s="36"/>
      <c r="H776" s="3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</row>
    <row r="777" ht="15.75" customHeight="1">
      <c r="A777" s="56"/>
      <c r="B777" s="56"/>
      <c r="C777" s="56"/>
      <c r="D777" s="56"/>
      <c r="E777" s="56"/>
      <c r="F777" s="36"/>
      <c r="G777" s="36"/>
      <c r="H777" s="3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</row>
    <row r="778" ht="15.75" customHeight="1">
      <c r="A778" s="56"/>
      <c r="B778" s="56"/>
      <c r="C778" s="56"/>
      <c r="D778" s="56"/>
      <c r="E778" s="56"/>
      <c r="F778" s="36"/>
      <c r="G778" s="36"/>
      <c r="H778" s="3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</row>
    <row r="779" ht="15.75" customHeight="1">
      <c r="A779" s="56"/>
      <c r="B779" s="56"/>
      <c r="C779" s="56"/>
      <c r="D779" s="56"/>
      <c r="E779" s="56"/>
      <c r="F779" s="36"/>
      <c r="G779" s="36"/>
      <c r="H779" s="3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</row>
    <row r="780" ht="15.75" customHeight="1">
      <c r="A780" s="56"/>
      <c r="B780" s="56"/>
      <c r="C780" s="56"/>
      <c r="D780" s="56"/>
      <c r="E780" s="56"/>
      <c r="F780" s="36"/>
      <c r="G780" s="36"/>
      <c r="H780" s="3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</row>
    <row r="781" ht="15.75" customHeight="1">
      <c r="A781" s="56"/>
      <c r="B781" s="56"/>
      <c r="C781" s="56"/>
      <c r="D781" s="56"/>
      <c r="E781" s="56"/>
      <c r="F781" s="36"/>
      <c r="G781" s="36"/>
      <c r="H781" s="3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</row>
    <row r="782" ht="15.75" customHeight="1">
      <c r="A782" s="56"/>
      <c r="B782" s="56"/>
      <c r="C782" s="56"/>
      <c r="D782" s="56"/>
      <c r="E782" s="56"/>
      <c r="F782" s="36"/>
      <c r="G782" s="36"/>
      <c r="H782" s="3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</row>
    <row r="783" ht="15.75" customHeight="1">
      <c r="A783" s="56"/>
      <c r="B783" s="56"/>
      <c r="C783" s="56"/>
      <c r="D783" s="56"/>
      <c r="E783" s="56"/>
      <c r="F783" s="36"/>
      <c r="G783" s="36"/>
      <c r="H783" s="3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</row>
    <row r="784" ht="15.75" customHeight="1">
      <c r="A784" s="56"/>
      <c r="B784" s="56"/>
      <c r="C784" s="56"/>
      <c r="D784" s="56"/>
      <c r="E784" s="56"/>
      <c r="F784" s="36"/>
      <c r="G784" s="36"/>
      <c r="H784" s="3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</row>
    <row r="785" ht="15.75" customHeight="1">
      <c r="A785" s="56"/>
      <c r="B785" s="56"/>
      <c r="C785" s="56"/>
      <c r="D785" s="56"/>
      <c r="E785" s="56"/>
      <c r="F785" s="36"/>
      <c r="G785" s="36"/>
      <c r="H785" s="3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</row>
    <row r="786" ht="15.75" customHeight="1">
      <c r="A786" s="56"/>
      <c r="B786" s="56"/>
      <c r="C786" s="56"/>
      <c r="D786" s="56"/>
      <c r="E786" s="56"/>
      <c r="F786" s="36"/>
      <c r="G786" s="36"/>
      <c r="H786" s="3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</row>
    <row r="787" ht="15.75" customHeight="1">
      <c r="A787" s="56"/>
      <c r="B787" s="56"/>
      <c r="C787" s="56"/>
      <c r="D787" s="56"/>
      <c r="E787" s="56"/>
      <c r="F787" s="36"/>
      <c r="G787" s="36"/>
      <c r="H787" s="3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</row>
    <row r="788" ht="15.75" customHeight="1">
      <c r="A788" s="56"/>
      <c r="B788" s="56"/>
      <c r="C788" s="56"/>
      <c r="D788" s="56"/>
      <c r="E788" s="56"/>
      <c r="F788" s="36"/>
      <c r="G788" s="36"/>
      <c r="H788" s="3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</row>
    <row r="789" ht="15.75" customHeight="1">
      <c r="A789" s="56"/>
      <c r="B789" s="56"/>
      <c r="C789" s="56"/>
      <c r="D789" s="56"/>
      <c r="E789" s="56"/>
      <c r="F789" s="36"/>
      <c r="G789" s="36"/>
      <c r="H789" s="3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</row>
    <row r="790" ht="15.75" customHeight="1">
      <c r="A790" s="56"/>
      <c r="B790" s="56"/>
      <c r="C790" s="56"/>
      <c r="D790" s="56"/>
      <c r="E790" s="56"/>
      <c r="F790" s="36"/>
      <c r="G790" s="36"/>
      <c r="H790" s="3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</row>
    <row r="791" ht="15.75" customHeight="1">
      <c r="A791" s="56"/>
      <c r="B791" s="56"/>
      <c r="C791" s="56"/>
      <c r="D791" s="56"/>
      <c r="E791" s="56"/>
      <c r="F791" s="36"/>
      <c r="G791" s="36"/>
      <c r="H791" s="3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</row>
    <row r="792" ht="15.75" customHeight="1">
      <c r="A792" s="56"/>
      <c r="B792" s="56"/>
      <c r="C792" s="56"/>
      <c r="D792" s="56"/>
      <c r="E792" s="56"/>
      <c r="F792" s="36"/>
      <c r="G792" s="36"/>
      <c r="H792" s="3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</row>
    <row r="793" ht="15.75" customHeight="1">
      <c r="A793" s="56"/>
      <c r="B793" s="56"/>
      <c r="C793" s="56"/>
      <c r="D793" s="56"/>
      <c r="E793" s="56"/>
      <c r="F793" s="36"/>
      <c r="G793" s="36"/>
      <c r="H793" s="3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</row>
    <row r="794" ht="15.75" customHeight="1">
      <c r="A794" s="56"/>
      <c r="B794" s="56"/>
      <c r="C794" s="56"/>
      <c r="D794" s="56"/>
      <c r="E794" s="56"/>
      <c r="F794" s="36"/>
      <c r="G794" s="36"/>
      <c r="H794" s="3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</row>
    <row r="795" ht="15.75" customHeight="1">
      <c r="A795" s="56"/>
      <c r="B795" s="56"/>
      <c r="C795" s="56"/>
      <c r="D795" s="56"/>
      <c r="E795" s="56"/>
      <c r="F795" s="36"/>
      <c r="G795" s="36"/>
      <c r="H795" s="3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</row>
    <row r="796" ht="15.75" customHeight="1">
      <c r="A796" s="56"/>
      <c r="B796" s="56"/>
      <c r="C796" s="56"/>
      <c r="D796" s="56"/>
      <c r="E796" s="56"/>
      <c r="F796" s="36"/>
      <c r="G796" s="36"/>
      <c r="H796" s="3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</row>
    <row r="797" ht="15.75" customHeight="1">
      <c r="A797" s="56"/>
      <c r="B797" s="56"/>
      <c r="C797" s="56"/>
      <c r="D797" s="56"/>
      <c r="E797" s="56"/>
      <c r="F797" s="36"/>
      <c r="G797" s="36"/>
      <c r="H797" s="3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</row>
    <row r="798" ht="15.75" customHeight="1">
      <c r="A798" s="56"/>
      <c r="B798" s="56"/>
      <c r="C798" s="56"/>
      <c r="D798" s="56"/>
      <c r="E798" s="56"/>
      <c r="F798" s="36"/>
      <c r="G798" s="36"/>
      <c r="H798" s="3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</row>
    <row r="799" ht="15.75" customHeight="1">
      <c r="A799" s="56"/>
      <c r="B799" s="56"/>
      <c r="C799" s="56"/>
      <c r="D799" s="56"/>
      <c r="E799" s="56"/>
      <c r="F799" s="36"/>
      <c r="G799" s="36"/>
      <c r="H799" s="3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</row>
    <row r="800" ht="15.75" customHeight="1">
      <c r="A800" s="56"/>
      <c r="B800" s="56"/>
      <c r="C800" s="56"/>
      <c r="D800" s="56"/>
      <c r="E800" s="56"/>
      <c r="F800" s="36"/>
      <c r="G800" s="36"/>
      <c r="H800" s="3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</row>
    <row r="801" ht="15.75" customHeight="1">
      <c r="A801" s="56"/>
      <c r="B801" s="56"/>
      <c r="C801" s="56"/>
      <c r="D801" s="56"/>
      <c r="E801" s="56"/>
      <c r="F801" s="36"/>
      <c r="G801" s="36"/>
      <c r="H801" s="3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</row>
    <row r="802" ht="15.75" customHeight="1">
      <c r="A802" s="56"/>
      <c r="B802" s="56"/>
      <c r="C802" s="56"/>
      <c r="D802" s="56"/>
      <c r="E802" s="56"/>
      <c r="F802" s="36"/>
      <c r="G802" s="36"/>
      <c r="H802" s="3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</row>
    <row r="803" ht="15.75" customHeight="1">
      <c r="A803" s="56"/>
      <c r="B803" s="56"/>
      <c r="C803" s="56"/>
      <c r="D803" s="56"/>
      <c r="E803" s="56"/>
      <c r="F803" s="36"/>
      <c r="G803" s="36"/>
      <c r="H803" s="3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</row>
    <row r="804" ht="15.75" customHeight="1">
      <c r="A804" s="56"/>
      <c r="B804" s="56"/>
      <c r="C804" s="56"/>
      <c r="D804" s="56"/>
      <c r="E804" s="56"/>
      <c r="F804" s="36"/>
      <c r="G804" s="36"/>
      <c r="H804" s="3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</row>
    <row r="805" ht="15.75" customHeight="1">
      <c r="A805" s="56"/>
      <c r="B805" s="56"/>
      <c r="C805" s="56"/>
      <c r="D805" s="56"/>
      <c r="E805" s="56"/>
      <c r="F805" s="36"/>
      <c r="G805" s="36"/>
      <c r="H805" s="3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</row>
    <row r="806" ht="15.75" customHeight="1">
      <c r="A806" s="56"/>
      <c r="B806" s="56"/>
      <c r="C806" s="56"/>
      <c r="D806" s="56"/>
      <c r="E806" s="56"/>
      <c r="F806" s="36"/>
      <c r="G806" s="36"/>
      <c r="H806" s="3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</row>
    <row r="807" ht="15.75" customHeight="1">
      <c r="A807" s="56"/>
      <c r="B807" s="56"/>
      <c r="C807" s="56"/>
      <c r="D807" s="56"/>
      <c r="E807" s="56"/>
      <c r="F807" s="36"/>
      <c r="G807" s="36"/>
      <c r="H807" s="3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</row>
    <row r="808" ht="15.75" customHeight="1">
      <c r="A808" s="56"/>
      <c r="B808" s="56"/>
      <c r="C808" s="56"/>
      <c r="D808" s="56"/>
      <c r="E808" s="56"/>
      <c r="F808" s="36"/>
      <c r="G808" s="36"/>
      <c r="H808" s="3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</row>
    <row r="809" ht="15.75" customHeight="1">
      <c r="A809" s="56"/>
      <c r="B809" s="56"/>
      <c r="C809" s="56"/>
      <c r="D809" s="56"/>
      <c r="E809" s="56"/>
      <c r="F809" s="36"/>
      <c r="G809" s="36"/>
      <c r="H809" s="3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</row>
    <row r="810" ht="15.75" customHeight="1">
      <c r="A810" s="56"/>
      <c r="B810" s="56"/>
      <c r="C810" s="56"/>
      <c r="D810" s="56"/>
      <c r="E810" s="56"/>
      <c r="F810" s="36"/>
      <c r="G810" s="36"/>
      <c r="H810" s="3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</row>
    <row r="811" ht="15.75" customHeight="1">
      <c r="A811" s="56"/>
      <c r="B811" s="56"/>
      <c r="C811" s="56"/>
      <c r="D811" s="56"/>
      <c r="E811" s="56"/>
      <c r="F811" s="36"/>
      <c r="G811" s="36"/>
      <c r="H811" s="3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</row>
    <row r="812" ht="15.75" customHeight="1">
      <c r="A812" s="56"/>
      <c r="B812" s="56"/>
      <c r="C812" s="56"/>
      <c r="D812" s="56"/>
      <c r="E812" s="56"/>
      <c r="F812" s="36"/>
      <c r="G812" s="36"/>
      <c r="H812" s="3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</row>
    <row r="813" ht="15.75" customHeight="1">
      <c r="A813" s="56"/>
      <c r="B813" s="56"/>
      <c r="C813" s="56"/>
      <c r="D813" s="56"/>
      <c r="E813" s="56"/>
      <c r="F813" s="36"/>
      <c r="G813" s="36"/>
      <c r="H813" s="3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</row>
    <row r="814" ht="15.75" customHeight="1">
      <c r="A814" s="56"/>
      <c r="B814" s="56"/>
      <c r="C814" s="56"/>
      <c r="D814" s="56"/>
      <c r="E814" s="56"/>
      <c r="F814" s="36"/>
      <c r="G814" s="36"/>
      <c r="H814" s="3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</row>
    <row r="815" ht="15.75" customHeight="1">
      <c r="A815" s="56"/>
      <c r="B815" s="56"/>
      <c r="C815" s="56"/>
      <c r="D815" s="56"/>
      <c r="E815" s="56"/>
      <c r="F815" s="36"/>
      <c r="G815" s="36"/>
      <c r="H815" s="3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</row>
    <row r="816" ht="15.75" customHeight="1">
      <c r="A816" s="56"/>
      <c r="B816" s="56"/>
      <c r="C816" s="56"/>
      <c r="D816" s="56"/>
      <c r="E816" s="56"/>
      <c r="F816" s="36"/>
      <c r="G816" s="36"/>
      <c r="H816" s="3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</row>
    <row r="817" ht="15.75" customHeight="1">
      <c r="A817" s="56"/>
      <c r="B817" s="56"/>
      <c r="C817" s="56"/>
      <c r="D817" s="56"/>
      <c r="E817" s="56"/>
      <c r="F817" s="36"/>
      <c r="G817" s="36"/>
      <c r="H817" s="3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</row>
    <row r="818" ht="15.75" customHeight="1">
      <c r="A818" s="56"/>
      <c r="B818" s="56"/>
      <c r="C818" s="56"/>
      <c r="D818" s="56"/>
      <c r="E818" s="56"/>
      <c r="F818" s="36"/>
      <c r="G818" s="36"/>
      <c r="H818" s="3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</row>
    <row r="819" ht="15.75" customHeight="1">
      <c r="A819" s="56"/>
      <c r="B819" s="56"/>
      <c r="C819" s="56"/>
      <c r="D819" s="56"/>
      <c r="E819" s="56"/>
      <c r="F819" s="36"/>
      <c r="G819" s="36"/>
      <c r="H819" s="3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</row>
    <row r="820" ht="15.75" customHeight="1">
      <c r="A820" s="56"/>
      <c r="B820" s="56"/>
      <c r="C820" s="56"/>
      <c r="D820" s="56"/>
      <c r="E820" s="56"/>
      <c r="F820" s="36"/>
      <c r="G820" s="36"/>
      <c r="H820" s="3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</row>
    <row r="821" ht="15.75" customHeight="1">
      <c r="A821" s="56"/>
      <c r="B821" s="56"/>
      <c r="C821" s="56"/>
      <c r="D821" s="56"/>
      <c r="E821" s="56"/>
      <c r="F821" s="36"/>
      <c r="G821" s="36"/>
      <c r="H821" s="3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</row>
    <row r="822" ht="15.75" customHeight="1">
      <c r="A822" s="56"/>
      <c r="B822" s="56"/>
      <c r="C822" s="56"/>
      <c r="D822" s="56"/>
      <c r="E822" s="56"/>
      <c r="F822" s="36"/>
      <c r="G822" s="36"/>
      <c r="H822" s="3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</row>
    <row r="823" ht="15.75" customHeight="1">
      <c r="A823" s="56"/>
      <c r="B823" s="56"/>
      <c r="C823" s="56"/>
      <c r="D823" s="56"/>
      <c r="E823" s="56"/>
      <c r="F823" s="36"/>
      <c r="G823" s="36"/>
      <c r="H823" s="3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</row>
    <row r="824" ht="15.75" customHeight="1">
      <c r="A824" s="56"/>
      <c r="B824" s="56"/>
      <c r="C824" s="56"/>
      <c r="D824" s="56"/>
      <c r="E824" s="56"/>
      <c r="F824" s="36"/>
      <c r="G824" s="36"/>
      <c r="H824" s="3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</row>
    <row r="825" ht="15.75" customHeight="1">
      <c r="A825" s="56"/>
      <c r="B825" s="56"/>
      <c r="C825" s="56"/>
      <c r="D825" s="56"/>
      <c r="E825" s="56"/>
      <c r="F825" s="36"/>
      <c r="G825" s="36"/>
      <c r="H825" s="3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</row>
    <row r="826" ht="15.75" customHeight="1">
      <c r="A826" s="56"/>
      <c r="B826" s="56"/>
      <c r="C826" s="56"/>
      <c r="D826" s="56"/>
      <c r="E826" s="56"/>
      <c r="F826" s="36"/>
      <c r="G826" s="36"/>
      <c r="H826" s="3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</row>
    <row r="827" ht="15.75" customHeight="1">
      <c r="A827" s="56"/>
      <c r="B827" s="56"/>
      <c r="C827" s="56"/>
      <c r="D827" s="56"/>
      <c r="E827" s="56"/>
      <c r="F827" s="36"/>
      <c r="G827" s="36"/>
      <c r="H827" s="3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</row>
    <row r="828" ht="15.75" customHeight="1">
      <c r="A828" s="56"/>
      <c r="B828" s="56"/>
      <c r="C828" s="56"/>
      <c r="D828" s="56"/>
      <c r="E828" s="56"/>
      <c r="F828" s="36"/>
      <c r="G828" s="36"/>
      <c r="H828" s="3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</row>
    <row r="829" ht="15.75" customHeight="1">
      <c r="A829" s="56"/>
      <c r="B829" s="56"/>
      <c r="C829" s="56"/>
      <c r="D829" s="56"/>
      <c r="E829" s="56"/>
      <c r="F829" s="36"/>
      <c r="G829" s="36"/>
      <c r="H829" s="3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</row>
    <row r="830" ht="15.75" customHeight="1">
      <c r="A830" s="56"/>
      <c r="B830" s="56"/>
      <c r="C830" s="56"/>
      <c r="D830" s="56"/>
      <c r="E830" s="56"/>
      <c r="F830" s="36"/>
      <c r="G830" s="36"/>
      <c r="H830" s="3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</row>
    <row r="831" ht="15.75" customHeight="1">
      <c r="A831" s="56"/>
      <c r="B831" s="56"/>
      <c r="C831" s="56"/>
      <c r="D831" s="56"/>
      <c r="E831" s="56"/>
      <c r="F831" s="36"/>
      <c r="G831" s="36"/>
      <c r="H831" s="3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</row>
    <row r="832" ht="15.75" customHeight="1">
      <c r="A832" s="56"/>
      <c r="B832" s="56"/>
      <c r="C832" s="56"/>
      <c r="D832" s="56"/>
      <c r="E832" s="56"/>
      <c r="F832" s="36"/>
      <c r="G832" s="36"/>
      <c r="H832" s="3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</row>
    <row r="833" ht="15.75" customHeight="1">
      <c r="A833" s="56"/>
      <c r="B833" s="56"/>
      <c r="C833" s="56"/>
      <c r="D833" s="56"/>
      <c r="E833" s="56"/>
      <c r="F833" s="36"/>
      <c r="G833" s="36"/>
      <c r="H833" s="3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</row>
    <row r="834" ht="15.75" customHeight="1">
      <c r="A834" s="56"/>
      <c r="B834" s="56"/>
      <c r="C834" s="56"/>
      <c r="D834" s="56"/>
      <c r="E834" s="56"/>
      <c r="F834" s="36"/>
      <c r="G834" s="36"/>
      <c r="H834" s="3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</row>
    <row r="835" ht="15.75" customHeight="1">
      <c r="A835" s="56"/>
      <c r="B835" s="56"/>
      <c r="C835" s="56"/>
      <c r="D835" s="56"/>
      <c r="E835" s="56"/>
      <c r="F835" s="36"/>
      <c r="G835" s="36"/>
      <c r="H835" s="3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</row>
    <row r="836" ht="15.75" customHeight="1">
      <c r="A836" s="56"/>
      <c r="B836" s="56"/>
      <c r="C836" s="56"/>
      <c r="D836" s="56"/>
      <c r="E836" s="56"/>
      <c r="F836" s="36"/>
      <c r="G836" s="36"/>
      <c r="H836" s="3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</row>
    <row r="837" ht="15.75" customHeight="1">
      <c r="A837" s="56"/>
      <c r="B837" s="56"/>
      <c r="C837" s="56"/>
      <c r="D837" s="56"/>
      <c r="E837" s="56"/>
      <c r="F837" s="36"/>
      <c r="G837" s="36"/>
      <c r="H837" s="3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</row>
    <row r="838" ht="15.75" customHeight="1">
      <c r="A838" s="56"/>
      <c r="B838" s="56"/>
      <c r="C838" s="56"/>
      <c r="D838" s="56"/>
      <c r="E838" s="56"/>
      <c r="F838" s="36"/>
      <c r="G838" s="36"/>
      <c r="H838" s="3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</row>
    <row r="839" ht="15.75" customHeight="1">
      <c r="A839" s="56"/>
      <c r="B839" s="56"/>
      <c r="C839" s="56"/>
      <c r="D839" s="56"/>
      <c r="E839" s="56"/>
      <c r="F839" s="36"/>
      <c r="G839" s="36"/>
      <c r="H839" s="3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</row>
    <row r="840" ht="15.75" customHeight="1">
      <c r="A840" s="56"/>
      <c r="B840" s="56"/>
      <c r="C840" s="56"/>
      <c r="D840" s="56"/>
      <c r="E840" s="56"/>
      <c r="F840" s="36"/>
      <c r="G840" s="36"/>
      <c r="H840" s="3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</row>
    <row r="841" ht="15.75" customHeight="1">
      <c r="A841" s="56"/>
      <c r="B841" s="56"/>
      <c r="C841" s="56"/>
      <c r="D841" s="56"/>
      <c r="E841" s="56"/>
      <c r="F841" s="36"/>
      <c r="G841" s="36"/>
      <c r="H841" s="3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</row>
    <row r="842" ht="15.75" customHeight="1">
      <c r="A842" s="56"/>
      <c r="B842" s="56"/>
      <c r="C842" s="56"/>
      <c r="D842" s="56"/>
      <c r="E842" s="56"/>
      <c r="F842" s="36"/>
      <c r="G842" s="36"/>
      <c r="H842" s="3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</row>
    <row r="843" ht="15.75" customHeight="1">
      <c r="A843" s="56"/>
      <c r="B843" s="56"/>
      <c r="C843" s="56"/>
      <c r="D843" s="56"/>
      <c r="E843" s="56"/>
      <c r="F843" s="36"/>
      <c r="G843" s="36"/>
      <c r="H843" s="3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</row>
    <row r="844" ht="15.75" customHeight="1">
      <c r="A844" s="56"/>
      <c r="B844" s="56"/>
      <c r="C844" s="56"/>
      <c r="D844" s="56"/>
      <c r="E844" s="56"/>
      <c r="F844" s="36"/>
      <c r="G844" s="36"/>
      <c r="H844" s="3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</row>
    <row r="845" ht="15.75" customHeight="1">
      <c r="A845" s="56"/>
      <c r="B845" s="56"/>
      <c r="C845" s="56"/>
      <c r="D845" s="56"/>
      <c r="E845" s="56"/>
      <c r="F845" s="36"/>
      <c r="G845" s="36"/>
      <c r="H845" s="3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</row>
    <row r="846" ht="15.75" customHeight="1">
      <c r="A846" s="56"/>
      <c r="B846" s="56"/>
      <c r="C846" s="56"/>
      <c r="D846" s="56"/>
      <c r="E846" s="56"/>
      <c r="F846" s="36"/>
      <c r="G846" s="36"/>
      <c r="H846" s="3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</row>
    <row r="847" ht="15.75" customHeight="1">
      <c r="A847" s="56"/>
      <c r="B847" s="56"/>
      <c r="C847" s="56"/>
      <c r="D847" s="56"/>
      <c r="E847" s="56"/>
      <c r="F847" s="36"/>
      <c r="G847" s="36"/>
      <c r="H847" s="3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</row>
    <row r="848" ht="15.75" customHeight="1">
      <c r="A848" s="56"/>
      <c r="B848" s="56"/>
      <c r="C848" s="56"/>
      <c r="D848" s="56"/>
      <c r="E848" s="56"/>
      <c r="F848" s="36"/>
      <c r="G848" s="36"/>
      <c r="H848" s="3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</row>
    <row r="849" ht="15.75" customHeight="1">
      <c r="A849" s="56"/>
      <c r="B849" s="56"/>
      <c r="C849" s="56"/>
      <c r="D849" s="56"/>
      <c r="E849" s="56"/>
      <c r="F849" s="36"/>
      <c r="G849" s="36"/>
      <c r="H849" s="3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</row>
    <row r="850" ht="15.75" customHeight="1">
      <c r="A850" s="56"/>
      <c r="B850" s="56"/>
      <c r="C850" s="56"/>
      <c r="D850" s="56"/>
      <c r="E850" s="56"/>
      <c r="F850" s="36"/>
      <c r="G850" s="36"/>
      <c r="H850" s="3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</row>
    <row r="851" ht="15.75" customHeight="1">
      <c r="A851" s="56"/>
      <c r="B851" s="56"/>
      <c r="C851" s="56"/>
      <c r="D851" s="56"/>
      <c r="E851" s="56"/>
      <c r="F851" s="36"/>
      <c r="G851" s="36"/>
      <c r="H851" s="3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</row>
    <row r="852" ht="15.75" customHeight="1">
      <c r="A852" s="56"/>
      <c r="B852" s="56"/>
      <c r="C852" s="56"/>
      <c r="D852" s="56"/>
      <c r="E852" s="56"/>
      <c r="F852" s="36"/>
      <c r="G852" s="36"/>
      <c r="H852" s="3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</row>
    <row r="853" ht="15.75" customHeight="1">
      <c r="A853" s="56"/>
      <c r="B853" s="56"/>
      <c r="C853" s="56"/>
      <c r="D853" s="56"/>
      <c r="E853" s="56"/>
      <c r="F853" s="36"/>
      <c r="G853" s="36"/>
      <c r="H853" s="3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</row>
    <row r="854" ht="15.75" customHeight="1">
      <c r="A854" s="56"/>
      <c r="B854" s="56"/>
      <c r="C854" s="56"/>
      <c r="D854" s="56"/>
      <c r="E854" s="56"/>
      <c r="F854" s="36"/>
      <c r="G854" s="36"/>
      <c r="H854" s="3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</row>
    <row r="855" ht="15.75" customHeight="1">
      <c r="A855" s="56"/>
      <c r="B855" s="56"/>
      <c r="C855" s="56"/>
      <c r="D855" s="56"/>
      <c r="E855" s="56"/>
      <c r="F855" s="36"/>
      <c r="G855" s="36"/>
      <c r="H855" s="3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</row>
    <row r="856" ht="15.75" customHeight="1">
      <c r="A856" s="56"/>
      <c r="B856" s="56"/>
      <c r="C856" s="56"/>
      <c r="D856" s="56"/>
      <c r="E856" s="56"/>
      <c r="F856" s="36"/>
      <c r="G856" s="36"/>
      <c r="H856" s="3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</row>
    <row r="857" ht="15.75" customHeight="1">
      <c r="A857" s="56"/>
      <c r="B857" s="56"/>
      <c r="C857" s="56"/>
      <c r="D857" s="56"/>
      <c r="E857" s="56"/>
      <c r="F857" s="36"/>
      <c r="G857" s="36"/>
      <c r="H857" s="3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</row>
    <row r="858" ht="15.75" customHeight="1">
      <c r="A858" s="56"/>
      <c r="B858" s="56"/>
      <c r="C858" s="56"/>
      <c r="D858" s="56"/>
      <c r="E858" s="56"/>
      <c r="F858" s="36"/>
      <c r="G858" s="36"/>
      <c r="H858" s="3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</row>
    <row r="859" ht="15.75" customHeight="1">
      <c r="A859" s="56"/>
      <c r="B859" s="56"/>
      <c r="C859" s="56"/>
      <c r="D859" s="56"/>
      <c r="E859" s="56"/>
      <c r="F859" s="36"/>
      <c r="G859" s="36"/>
      <c r="H859" s="3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</row>
    <row r="860" ht="15.75" customHeight="1">
      <c r="A860" s="56"/>
      <c r="B860" s="56"/>
      <c r="C860" s="56"/>
      <c r="D860" s="56"/>
      <c r="E860" s="56"/>
      <c r="F860" s="36"/>
      <c r="G860" s="36"/>
      <c r="H860" s="3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</row>
    <row r="861" ht="15.75" customHeight="1">
      <c r="A861" s="56"/>
      <c r="B861" s="56"/>
      <c r="C861" s="56"/>
      <c r="D861" s="56"/>
      <c r="E861" s="56"/>
      <c r="F861" s="36"/>
      <c r="G861" s="36"/>
      <c r="H861" s="3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</row>
    <row r="862" ht="15.75" customHeight="1">
      <c r="A862" s="56"/>
      <c r="B862" s="56"/>
      <c r="C862" s="56"/>
      <c r="D862" s="56"/>
      <c r="E862" s="56"/>
      <c r="F862" s="36"/>
      <c r="G862" s="36"/>
      <c r="H862" s="3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</row>
    <row r="863" ht="15.75" customHeight="1">
      <c r="A863" s="56"/>
      <c r="B863" s="56"/>
      <c r="C863" s="56"/>
      <c r="D863" s="56"/>
      <c r="E863" s="56"/>
      <c r="F863" s="36"/>
      <c r="G863" s="36"/>
      <c r="H863" s="3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</row>
    <row r="864" ht="15.75" customHeight="1">
      <c r="A864" s="56"/>
      <c r="B864" s="56"/>
      <c r="C864" s="56"/>
      <c r="D864" s="56"/>
      <c r="E864" s="56"/>
      <c r="F864" s="36"/>
      <c r="G864" s="36"/>
      <c r="H864" s="3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</row>
    <row r="865" ht="15.75" customHeight="1">
      <c r="A865" s="56"/>
      <c r="B865" s="56"/>
      <c r="C865" s="56"/>
      <c r="D865" s="56"/>
      <c r="E865" s="56"/>
      <c r="F865" s="36"/>
      <c r="G865" s="36"/>
      <c r="H865" s="3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</row>
    <row r="866" ht="15.75" customHeight="1">
      <c r="A866" s="56"/>
      <c r="B866" s="56"/>
      <c r="C866" s="56"/>
      <c r="D866" s="56"/>
      <c r="E866" s="56"/>
      <c r="F866" s="36"/>
      <c r="G866" s="36"/>
      <c r="H866" s="3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</row>
    <row r="867" ht="15.75" customHeight="1">
      <c r="A867" s="56"/>
      <c r="B867" s="56"/>
      <c r="C867" s="56"/>
      <c r="D867" s="56"/>
      <c r="E867" s="56"/>
      <c r="F867" s="36"/>
      <c r="G867" s="36"/>
      <c r="H867" s="3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</row>
    <row r="868" ht="15.75" customHeight="1">
      <c r="A868" s="56"/>
      <c r="B868" s="56"/>
      <c r="C868" s="56"/>
      <c r="D868" s="56"/>
      <c r="E868" s="56"/>
      <c r="F868" s="36"/>
      <c r="G868" s="36"/>
      <c r="H868" s="3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</row>
    <row r="869" ht="15.75" customHeight="1">
      <c r="A869" s="56"/>
      <c r="B869" s="56"/>
      <c r="C869" s="56"/>
      <c r="D869" s="56"/>
      <c r="E869" s="56"/>
      <c r="F869" s="36"/>
      <c r="G869" s="36"/>
      <c r="H869" s="3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</row>
    <row r="870" ht="15.75" customHeight="1">
      <c r="A870" s="56"/>
      <c r="B870" s="56"/>
      <c r="C870" s="56"/>
      <c r="D870" s="56"/>
      <c r="E870" s="56"/>
      <c r="F870" s="36"/>
      <c r="G870" s="36"/>
      <c r="H870" s="3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</row>
    <row r="871" ht="15.75" customHeight="1">
      <c r="A871" s="56"/>
      <c r="B871" s="56"/>
      <c r="C871" s="56"/>
      <c r="D871" s="56"/>
      <c r="E871" s="56"/>
      <c r="F871" s="36"/>
      <c r="G871" s="36"/>
      <c r="H871" s="3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</row>
    <row r="872" ht="15.75" customHeight="1">
      <c r="A872" s="56"/>
      <c r="B872" s="56"/>
      <c r="C872" s="56"/>
      <c r="D872" s="56"/>
      <c r="E872" s="56"/>
      <c r="F872" s="36"/>
      <c r="G872" s="36"/>
      <c r="H872" s="3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</row>
    <row r="873" ht="15.75" customHeight="1">
      <c r="A873" s="56"/>
      <c r="B873" s="56"/>
      <c r="C873" s="56"/>
      <c r="D873" s="56"/>
      <c r="E873" s="56"/>
      <c r="F873" s="36"/>
      <c r="G873" s="36"/>
      <c r="H873" s="3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</row>
    <row r="874" ht="15.75" customHeight="1">
      <c r="A874" s="56"/>
      <c r="B874" s="56"/>
      <c r="C874" s="56"/>
      <c r="D874" s="56"/>
      <c r="E874" s="56"/>
      <c r="F874" s="36"/>
      <c r="G874" s="36"/>
      <c r="H874" s="3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</row>
    <row r="875" ht="15.75" customHeight="1">
      <c r="A875" s="56"/>
      <c r="B875" s="56"/>
      <c r="C875" s="56"/>
      <c r="D875" s="56"/>
      <c r="E875" s="56"/>
      <c r="F875" s="36"/>
      <c r="G875" s="36"/>
      <c r="H875" s="3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</row>
    <row r="876" ht="15.75" customHeight="1">
      <c r="A876" s="56"/>
      <c r="B876" s="56"/>
      <c r="C876" s="56"/>
      <c r="D876" s="56"/>
      <c r="E876" s="56"/>
      <c r="F876" s="36"/>
      <c r="G876" s="36"/>
      <c r="H876" s="3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</row>
    <row r="877" ht="15.75" customHeight="1">
      <c r="A877" s="56"/>
      <c r="B877" s="56"/>
      <c r="C877" s="56"/>
      <c r="D877" s="56"/>
      <c r="E877" s="56"/>
      <c r="F877" s="36"/>
      <c r="G877" s="36"/>
      <c r="H877" s="3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</row>
    <row r="878" ht="15.75" customHeight="1">
      <c r="A878" s="56"/>
      <c r="B878" s="56"/>
      <c r="C878" s="56"/>
      <c r="D878" s="56"/>
      <c r="E878" s="56"/>
      <c r="F878" s="36"/>
      <c r="G878" s="36"/>
      <c r="H878" s="3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</row>
    <row r="879" ht="15.75" customHeight="1">
      <c r="A879" s="56"/>
      <c r="B879" s="56"/>
      <c r="C879" s="56"/>
      <c r="D879" s="56"/>
      <c r="E879" s="56"/>
      <c r="F879" s="36"/>
      <c r="G879" s="36"/>
      <c r="H879" s="3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</row>
    <row r="880" ht="15.75" customHeight="1">
      <c r="A880" s="56"/>
      <c r="B880" s="56"/>
      <c r="C880" s="56"/>
      <c r="D880" s="56"/>
      <c r="E880" s="56"/>
      <c r="F880" s="36"/>
      <c r="G880" s="36"/>
      <c r="H880" s="3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</row>
    <row r="881" ht="15.75" customHeight="1">
      <c r="A881" s="56"/>
      <c r="B881" s="56"/>
      <c r="C881" s="56"/>
      <c r="D881" s="56"/>
      <c r="E881" s="56"/>
      <c r="F881" s="36"/>
      <c r="G881" s="36"/>
      <c r="H881" s="3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</row>
    <row r="882" ht="15.75" customHeight="1">
      <c r="A882" s="56"/>
      <c r="B882" s="56"/>
      <c r="C882" s="56"/>
      <c r="D882" s="56"/>
      <c r="E882" s="56"/>
      <c r="F882" s="36"/>
      <c r="G882" s="36"/>
      <c r="H882" s="3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</row>
    <row r="883" ht="15.75" customHeight="1">
      <c r="A883" s="56"/>
      <c r="B883" s="56"/>
      <c r="C883" s="56"/>
      <c r="D883" s="56"/>
      <c r="E883" s="56"/>
      <c r="F883" s="36"/>
      <c r="G883" s="36"/>
      <c r="H883" s="3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</row>
    <row r="884" ht="15.75" customHeight="1">
      <c r="A884" s="56"/>
      <c r="B884" s="56"/>
      <c r="C884" s="56"/>
      <c r="D884" s="56"/>
      <c r="E884" s="56"/>
      <c r="F884" s="36"/>
      <c r="G884" s="36"/>
      <c r="H884" s="3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</row>
    <row r="885" ht="15.75" customHeight="1">
      <c r="A885" s="56"/>
      <c r="B885" s="56"/>
      <c r="C885" s="56"/>
      <c r="D885" s="56"/>
      <c r="E885" s="56"/>
      <c r="F885" s="36"/>
      <c r="G885" s="36"/>
      <c r="H885" s="3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</row>
    <row r="886" ht="15.75" customHeight="1">
      <c r="A886" s="56"/>
      <c r="B886" s="56"/>
      <c r="C886" s="56"/>
      <c r="D886" s="56"/>
      <c r="E886" s="56"/>
      <c r="F886" s="36"/>
      <c r="G886" s="36"/>
      <c r="H886" s="3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</row>
    <row r="887" ht="15.75" customHeight="1">
      <c r="A887" s="56"/>
      <c r="B887" s="56"/>
      <c r="C887" s="56"/>
      <c r="D887" s="56"/>
      <c r="E887" s="56"/>
      <c r="F887" s="36"/>
      <c r="G887" s="36"/>
      <c r="H887" s="3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</row>
    <row r="888" ht="15.75" customHeight="1">
      <c r="A888" s="56"/>
      <c r="B888" s="56"/>
      <c r="C888" s="56"/>
      <c r="D888" s="56"/>
      <c r="E888" s="56"/>
      <c r="F888" s="36"/>
      <c r="G888" s="36"/>
      <c r="H888" s="3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</row>
    <row r="889" ht="15.75" customHeight="1">
      <c r="A889" s="56"/>
      <c r="B889" s="56"/>
      <c r="C889" s="56"/>
      <c r="D889" s="56"/>
      <c r="E889" s="56"/>
      <c r="F889" s="36"/>
      <c r="G889" s="36"/>
      <c r="H889" s="3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</row>
    <row r="890" ht="15.75" customHeight="1">
      <c r="A890" s="56"/>
      <c r="B890" s="56"/>
      <c r="C890" s="56"/>
      <c r="D890" s="56"/>
      <c r="E890" s="56"/>
      <c r="F890" s="36"/>
      <c r="G890" s="36"/>
      <c r="H890" s="3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</row>
    <row r="891" ht="15.75" customHeight="1">
      <c r="A891" s="56"/>
      <c r="B891" s="56"/>
      <c r="C891" s="56"/>
      <c r="D891" s="56"/>
      <c r="E891" s="56"/>
      <c r="F891" s="36"/>
      <c r="G891" s="36"/>
      <c r="H891" s="3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</row>
    <row r="892" ht="15.75" customHeight="1">
      <c r="A892" s="56"/>
      <c r="B892" s="56"/>
      <c r="C892" s="56"/>
      <c r="D892" s="56"/>
      <c r="E892" s="56"/>
      <c r="F892" s="36"/>
      <c r="G892" s="36"/>
      <c r="H892" s="3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</row>
    <row r="893" ht="15.75" customHeight="1">
      <c r="A893" s="56"/>
      <c r="B893" s="56"/>
      <c r="C893" s="56"/>
      <c r="D893" s="56"/>
      <c r="E893" s="56"/>
      <c r="F893" s="36"/>
      <c r="G893" s="36"/>
      <c r="H893" s="3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</row>
    <row r="894" ht="15.75" customHeight="1">
      <c r="A894" s="56"/>
      <c r="B894" s="56"/>
      <c r="C894" s="56"/>
      <c r="D894" s="56"/>
      <c r="E894" s="56"/>
      <c r="F894" s="36"/>
      <c r="G894" s="36"/>
      <c r="H894" s="3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</row>
    <row r="895" ht="15.75" customHeight="1">
      <c r="A895" s="56"/>
      <c r="B895" s="56"/>
      <c r="C895" s="56"/>
      <c r="D895" s="56"/>
      <c r="E895" s="56"/>
      <c r="F895" s="36"/>
      <c r="G895" s="36"/>
      <c r="H895" s="3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</row>
    <row r="896" ht="15.75" customHeight="1">
      <c r="A896" s="56"/>
      <c r="B896" s="56"/>
      <c r="C896" s="56"/>
      <c r="D896" s="56"/>
      <c r="E896" s="56"/>
      <c r="F896" s="36"/>
      <c r="G896" s="36"/>
      <c r="H896" s="3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</row>
    <row r="897" ht="15.75" customHeight="1">
      <c r="A897" s="56"/>
      <c r="B897" s="56"/>
      <c r="C897" s="56"/>
      <c r="D897" s="56"/>
      <c r="E897" s="56"/>
      <c r="F897" s="36"/>
      <c r="G897" s="36"/>
      <c r="H897" s="3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</row>
    <row r="898" ht="15.75" customHeight="1">
      <c r="A898" s="56"/>
      <c r="B898" s="56"/>
      <c r="C898" s="56"/>
      <c r="D898" s="56"/>
      <c r="E898" s="56"/>
      <c r="F898" s="36"/>
      <c r="G898" s="36"/>
      <c r="H898" s="3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</row>
    <row r="899" ht="15.75" customHeight="1">
      <c r="A899" s="56"/>
      <c r="B899" s="56"/>
      <c r="C899" s="56"/>
      <c r="D899" s="56"/>
      <c r="E899" s="56"/>
      <c r="F899" s="36"/>
      <c r="G899" s="36"/>
      <c r="H899" s="3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</row>
    <row r="900" ht="15.75" customHeight="1">
      <c r="A900" s="56"/>
      <c r="B900" s="56"/>
      <c r="C900" s="56"/>
      <c r="D900" s="56"/>
      <c r="E900" s="56"/>
      <c r="F900" s="36"/>
      <c r="G900" s="36"/>
      <c r="H900" s="3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</row>
    <row r="901" ht="15.75" customHeight="1">
      <c r="A901" s="56"/>
      <c r="B901" s="56"/>
      <c r="C901" s="56"/>
      <c r="D901" s="56"/>
      <c r="E901" s="56"/>
      <c r="F901" s="36"/>
      <c r="G901" s="36"/>
      <c r="H901" s="3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</row>
    <row r="902" ht="15.75" customHeight="1">
      <c r="A902" s="56"/>
      <c r="B902" s="56"/>
      <c r="C902" s="56"/>
      <c r="D902" s="56"/>
      <c r="E902" s="56"/>
      <c r="F902" s="36"/>
      <c r="G902" s="36"/>
      <c r="H902" s="3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</row>
    <row r="903" ht="15.75" customHeight="1">
      <c r="A903" s="56"/>
      <c r="B903" s="56"/>
      <c r="C903" s="56"/>
      <c r="D903" s="56"/>
      <c r="E903" s="56"/>
      <c r="F903" s="36"/>
      <c r="G903" s="36"/>
      <c r="H903" s="3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</row>
    <row r="904" ht="15.75" customHeight="1">
      <c r="A904" s="56"/>
      <c r="B904" s="56"/>
      <c r="C904" s="56"/>
      <c r="D904" s="56"/>
      <c r="E904" s="56"/>
      <c r="F904" s="36"/>
      <c r="G904" s="36"/>
      <c r="H904" s="3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</row>
    <row r="905" ht="15.75" customHeight="1">
      <c r="A905" s="56"/>
      <c r="B905" s="56"/>
      <c r="C905" s="56"/>
      <c r="D905" s="56"/>
      <c r="E905" s="56"/>
      <c r="F905" s="36"/>
      <c r="G905" s="36"/>
      <c r="H905" s="3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</row>
    <row r="906" ht="15.75" customHeight="1">
      <c r="A906" s="56"/>
      <c r="B906" s="56"/>
      <c r="C906" s="56"/>
      <c r="D906" s="56"/>
      <c r="E906" s="56"/>
      <c r="F906" s="36"/>
      <c r="G906" s="36"/>
      <c r="H906" s="3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</row>
    <row r="907" ht="15.75" customHeight="1">
      <c r="A907" s="56"/>
      <c r="B907" s="56"/>
      <c r="C907" s="56"/>
      <c r="D907" s="56"/>
      <c r="E907" s="56"/>
      <c r="F907" s="36"/>
      <c r="G907" s="36"/>
      <c r="H907" s="3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</row>
    <row r="908" ht="15.75" customHeight="1">
      <c r="A908" s="56"/>
      <c r="B908" s="56"/>
      <c r="C908" s="56"/>
      <c r="D908" s="56"/>
      <c r="E908" s="56"/>
      <c r="F908" s="36"/>
      <c r="G908" s="36"/>
      <c r="H908" s="3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</row>
    <row r="909" ht="15.75" customHeight="1">
      <c r="A909" s="56"/>
      <c r="B909" s="56"/>
      <c r="C909" s="56"/>
      <c r="D909" s="56"/>
      <c r="E909" s="56"/>
      <c r="F909" s="36"/>
      <c r="G909" s="36"/>
      <c r="H909" s="3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</row>
    <row r="910" ht="15.75" customHeight="1">
      <c r="A910" s="56"/>
      <c r="B910" s="56"/>
      <c r="C910" s="56"/>
      <c r="D910" s="56"/>
      <c r="E910" s="56"/>
      <c r="F910" s="36"/>
      <c r="G910" s="36"/>
      <c r="H910" s="3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</row>
    <row r="911" ht="15.75" customHeight="1">
      <c r="A911" s="56"/>
      <c r="B911" s="56"/>
      <c r="C911" s="56"/>
      <c r="D911" s="56"/>
      <c r="E911" s="56"/>
      <c r="F911" s="36"/>
      <c r="G911" s="36"/>
      <c r="H911" s="3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</row>
    <row r="912" ht="15.75" customHeight="1">
      <c r="A912" s="56"/>
      <c r="B912" s="56"/>
      <c r="C912" s="56"/>
      <c r="D912" s="56"/>
      <c r="E912" s="56"/>
      <c r="F912" s="36"/>
      <c r="G912" s="36"/>
      <c r="H912" s="3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</row>
    <row r="913" ht="15.75" customHeight="1">
      <c r="A913" s="56"/>
      <c r="B913" s="56"/>
      <c r="C913" s="56"/>
      <c r="D913" s="56"/>
      <c r="E913" s="56"/>
      <c r="F913" s="36"/>
      <c r="G913" s="36"/>
      <c r="H913" s="3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</row>
    <row r="914" ht="15.75" customHeight="1">
      <c r="A914" s="56"/>
      <c r="B914" s="56"/>
      <c r="C914" s="56"/>
      <c r="D914" s="56"/>
      <c r="E914" s="56"/>
      <c r="F914" s="36"/>
      <c r="G914" s="36"/>
      <c r="H914" s="3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</row>
    <row r="915" ht="15.75" customHeight="1">
      <c r="A915" s="56"/>
      <c r="B915" s="56"/>
      <c r="C915" s="56"/>
      <c r="D915" s="56"/>
      <c r="E915" s="56"/>
      <c r="F915" s="36"/>
      <c r="G915" s="36"/>
      <c r="H915" s="3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</row>
    <row r="916" ht="15.75" customHeight="1">
      <c r="A916" s="56"/>
      <c r="B916" s="56"/>
      <c r="C916" s="56"/>
      <c r="D916" s="56"/>
      <c r="E916" s="56"/>
      <c r="F916" s="36"/>
      <c r="G916" s="36"/>
      <c r="H916" s="3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</row>
    <row r="917" ht="15.75" customHeight="1">
      <c r="A917" s="56"/>
      <c r="B917" s="56"/>
      <c r="C917" s="56"/>
      <c r="D917" s="56"/>
      <c r="E917" s="56"/>
      <c r="F917" s="36"/>
      <c r="G917" s="36"/>
      <c r="H917" s="3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</row>
    <row r="918" ht="15.75" customHeight="1">
      <c r="A918" s="56"/>
      <c r="B918" s="56"/>
      <c r="C918" s="56"/>
      <c r="D918" s="56"/>
      <c r="E918" s="56"/>
      <c r="F918" s="36"/>
      <c r="G918" s="36"/>
      <c r="H918" s="3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</row>
    <row r="919" ht="15.75" customHeight="1">
      <c r="A919" s="56"/>
      <c r="B919" s="56"/>
      <c r="C919" s="56"/>
      <c r="D919" s="56"/>
      <c r="E919" s="56"/>
      <c r="F919" s="36"/>
      <c r="G919" s="36"/>
      <c r="H919" s="3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</row>
    <row r="920" ht="15.75" customHeight="1">
      <c r="A920" s="56"/>
      <c r="B920" s="56"/>
      <c r="C920" s="56"/>
      <c r="D920" s="56"/>
      <c r="E920" s="56"/>
      <c r="F920" s="36"/>
      <c r="G920" s="36"/>
      <c r="H920" s="3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</row>
    <row r="921" ht="15.75" customHeight="1">
      <c r="A921" s="56"/>
      <c r="B921" s="56"/>
      <c r="C921" s="56"/>
      <c r="D921" s="56"/>
      <c r="E921" s="56"/>
      <c r="F921" s="36"/>
      <c r="G921" s="36"/>
      <c r="H921" s="3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</row>
    <row r="922" ht="15.75" customHeight="1">
      <c r="A922" s="56"/>
      <c r="B922" s="56"/>
      <c r="C922" s="56"/>
      <c r="D922" s="56"/>
      <c r="E922" s="56"/>
      <c r="F922" s="36"/>
      <c r="G922" s="36"/>
      <c r="H922" s="3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</row>
    <row r="923" ht="15.75" customHeight="1">
      <c r="A923" s="56"/>
      <c r="B923" s="56"/>
      <c r="C923" s="56"/>
      <c r="D923" s="56"/>
      <c r="E923" s="56"/>
      <c r="F923" s="36"/>
      <c r="G923" s="36"/>
      <c r="H923" s="3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</row>
    <row r="924" ht="15.75" customHeight="1">
      <c r="A924" s="56"/>
      <c r="B924" s="56"/>
      <c r="C924" s="56"/>
      <c r="D924" s="56"/>
      <c r="E924" s="56"/>
      <c r="F924" s="36"/>
      <c r="G924" s="36"/>
      <c r="H924" s="3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</row>
    <row r="925" ht="15.75" customHeight="1">
      <c r="A925" s="56"/>
      <c r="B925" s="56"/>
      <c r="C925" s="56"/>
      <c r="D925" s="56"/>
      <c r="E925" s="56"/>
      <c r="F925" s="36"/>
      <c r="G925" s="36"/>
      <c r="H925" s="3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</row>
    <row r="926" ht="15.75" customHeight="1">
      <c r="A926" s="56"/>
      <c r="B926" s="56"/>
      <c r="C926" s="56"/>
      <c r="D926" s="56"/>
      <c r="E926" s="56"/>
      <c r="F926" s="36"/>
      <c r="G926" s="36"/>
      <c r="H926" s="3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</row>
    <row r="927" ht="15.75" customHeight="1">
      <c r="A927" s="56"/>
      <c r="B927" s="56"/>
      <c r="C927" s="56"/>
      <c r="D927" s="56"/>
      <c r="E927" s="56"/>
      <c r="F927" s="36"/>
      <c r="G927" s="36"/>
      <c r="H927" s="3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</row>
    <row r="928" ht="15.75" customHeight="1">
      <c r="A928" s="56"/>
      <c r="B928" s="56"/>
      <c r="C928" s="56"/>
      <c r="D928" s="56"/>
      <c r="E928" s="56"/>
      <c r="F928" s="36"/>
      <c r="G928" s="36"/>
      <c r="H928" s="3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</row>
    <row r="929" ht="15.75" customHeight="1">
      <c r="A929" s="56"/>
      <c r="B929" s="56"/>
      <c r="C929" s="56"/>
      <c r="D929" s="56"/>
      <c r="E929" s="56"/>
      <c r="F929" s="36"/>
      <c r="G929" s="36"/>
      <c r="H929" s="3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</row>
    <row r="930" ht="15.75" customHeight="1">
      <c r="A930" s="56"/>
      <c r="B930" s="56"/>
      <c r="C930" s="56"/>
      <c r="D930" s="56"/>
      <c r="E930" s="56"/>
      <c r="F930" s="36"/>
      <c r="G930" s="36"/>
      <c r="H930" s="3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</row>
    <row r="931" ht="15.75" customHeight="1">
      <c r="A931" s="56"/>
      <c r="B931" s="56"/>
      <c r="C931" s="56"/>
      <c r="D931" s="56"/>
      <c r="E931" s="56"/>
      <c r="F931" s="36"/>
      <c r="G931" s="36"/>
      <c r="H931" s="3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</row>
    <row r="932" ht="15.75" customHeight="1">
      <c r="A932" s="56"/>
      <c r="B932" s="56"/>
      <c r="C932" s="56"/>
      <c r="D932" s="56"/>
      <c r="E932" s="56"/>
      <c r="F932" s="36"/>
      <c r="G932" s="36"/>
      <c r="H932" s="3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</row>
    <row r="933" ht="15.75" customHeight="1">
      <c r="A933" s="56"/>
      <c r="B933" s="56"/>
      <c r="C933" s="56"/>
      <c r="D933" s="56"/>
      <c r="E933" s="56"/>
      <c r="F933" s="36"/>
      <c r="G933" s="36"/>
      <c r="H933" s="3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</row>
    <row r="934" ht="15.75" customHeight="1">
      <c r="A934" s="56"/>
      <c r="B934" s="56"/>
      <c r="C934" s="56"/>
      <c r="D934" s="56"/>
      <c r="E934" s="56"/>
      <c r="F934" s="36"/>
      <c r="G934" s="36"/>
      <c r="H934" s="3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</row>
    <row r="935" ht="15.75" customHeight="1">
      <c r="A935" s="56"/>
      <c r="B935" s="56"/>
      <c r="C935" s="56"/>
      <c r="D935" s="56"/>
      <c r="E935" s="56"/>
      <c r="F935" s="36"/>
      <c r="G935" s="36"/>
      <c r="H935" s="3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</row>
    <row r="936" ht="15.75" customHeight="1">
      <c r="A936" s="56"/>
      <c r="B936" s="56"/>
      <c r="C936" s="56"/>
      <c r="D936" s="56"/>
      <c r="E936" s="56"/>
      <c r="F936" s="36"/>
      <c r="G936" s="36"/>
      <c r="H936" s="3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</row>
    <row r="937" ht="15.75" customHeight="1">
      <c r="A937" s="56"/>
      <c r="B937" s="56"/>
      <c r="C937" s="56"/>
      <c r="D937" s="56"/>
      <c r="E937" s="56"/>
      <c r="F937" s="36"/>
      <c r="G937" s="36"/>
      <c r="H937" s="3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</row>
    <row r="938" ht="15.75" customHeight="1">
      <c r="A938" s="56"/>
      <c r="B938" s="56"/>
      <c r="C938" s="56"/>
      <c r="D938" s="56"/>
      <c r="E938" s="56"/>
      <c r="F938" s="36"/>
      <c r="G938" s="36"/>
      <c r="H938" s="3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</row>
    <row r="939" ht="15.75" customHeight="1">
      <c r="A939" s="56"/>
      <c r="B939" s="56"/>
      <c r="C939" s="56"/>
      <c r="D939" s="56"/>
      <c r="E939" s="56"/>
      <c r="F939" s="36"/>
      <c r="G939" s="36"/>
      <c r="H939" s="3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</row>
    <row r="940" ht="15.75" customHeight="1">
      <c r="A940" s="56"/>
      <c r="B940" s="56"/>
      <c r="C940" s="56"/>
      <c r="D940" s="56"/>
      <c r="E940" s="56"/>
      <c r="F940" s="36"/>
      <c r="G940" s="36"/>
      <c r="H940" s="3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</row>
    <row r="941" ht="15.75" customHeight="1">
      <c r="A941" s="56"/>
      <c r="B941" s="56"/>
      <c r="C941" s="56"/>
      <c r="D941" s="56"/>
      <c r="E941" s="56"/>
      <c r="F941" s="36"/>
      <c r="G941" s="36"/>
      <c r="H941" s="3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</row>
    <row r="942" ht="15.75" customHeight="1">
      <c r="A942" s="56"/>
      <c r="B942" s="56"/>
      <c r="C942" s="56"/>
      <c r="D942" s="56"/>
      <c r="E942" s="56"/>
      <c r="F942" s="36"/>
      <c r="G942" s="36"/>
      <c r="H942" s="3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</row>
    <row r="943" ht="15.75" customHeight="1">
      <c r="A943" s="56"/>
      <c r="B943" s="56"/>
      <c r="C943" s="56"/>
      <c r="D943" s="56"/>
      <c r="E943" s="56"/>
      <c r="F943" s="36"/>
      <c r="G943" s="36"/>
      <c r="H943" s="3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</row>
    <row r="944" ht="15.75" customHeight="1">
      <c r="A944" s="56"/>
      <c r="B944" s="56"/>
      <c r="C944" s="56"/>
      <c r="D944" s="56"/>
      <c r="E944" s="56"/>
      <c r="F944" s="36"/>
      <c r="G944" s="36"/>
      <c r="H944" s="3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</row>
    <row r="945" ht="15.75" customHeight="1">
      <c r="A945" s="56"/>
      <c r="B945" s="56"/>
      <c r="C945" s="56"/>
      <c r="D945" s="56"/>
      <c r="E945" s="56"/>
      <c r="F945" s="36"/>
      <c r="G945" s="36"/>
      <c r="H945" s="3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</row>
    <row r="946" ht="15.75" customHeight="1">
      <c r="A946" s="56"/>
      <c r="B946" s="56"/>
      <c r="C946" s="56"/>
      <c r="D946" s="56"/>
      <c r="E946" s="56"/>
      <c r="F946" s="36"/>
      <c r="G946" s="36"/>
      <c r="H946" s="3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</row>
    <row r="947" ht="15.75" customHeight="1">
      <c r="A947" s="56"/>
      <c r="B947" s="56"/>
      <c r="C947" s="56"/>
      <c r="D947" s="56"/>
      <c r="E947" s="56"/>
      <c r="F947" s="36"/>
      <c r="G947" s="36"/>
      <c r="H947" s="3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</row>
    <row r="948" ht="15.75" customHeight="1">
      <c r="A948" s="56"/>
      <c r="B948" s="56"/>
      <c r="C948" s="56"/>
      <c r="D948" s="56"/>
      <c r="E948" s="56"/>
      <c r="F948" s="36"/>
      <c r="G948" s="36"/>
      <c r="H948" s="3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</row>
    <row r="949" ht="15.75" customHeight="1">
      <c r="A949" s="56"/>
      <c r="B949" s="56"/>
      <c r="C949" s="56"/>
      <c r="D949" s="56"/>
      <c r="E949" s="56"/>
      <c r="F949" s="36"/>
      <c r="G949" s="36"/>
      <c r="H949" s="3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</row>
    <row r="950" ht="15.75" customHeight="1">
      <c r="A950" s="56"/>
      <c r="B950" s="56"/>
      <c r="C950" s="56"/>
      <c r="D950" s="56"/>
      <c r="E950" s="56"/>
      <c r="F950" s="36"/>
      <c r="G950" s="36"/>
      <c r="H950" s="3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</row>
    <row r="951" ht="15.75" customHeight="1">
      <c r="A951" s="56"/>
      <c r="B951" s="56"/>
      <c r="C951" s="56"/>
      <c r="D951" s="56"/>
      <c r="E951" s="56"/>
      <c r="F951" s="36"/>
      <c r="G951" s="36"/>
      <c r="H951" s="3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</row>
    <row r="952" ht="15.75" customHeight="1">
      <c r="A952" s="56"/>
      <c r="B952" s="56"/>
      <c r="C952" s="56"/>
      <c r="D952" s="56"/>
      <c r="E952" s="56"/>
      <c r="F952" s="36"/>
      <c r="G952" s="36"/>
      <c r="H952" s="3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</row>
    <row r="953" ht="15.75" customHeight="1">
      <c r="A953" s="56"/>
      <c r="B953" s="56"/>
      <c r="C953" s="56"/>
      <c r="D953" s="56"/>
      <c r="E953" s="56"/>
      <c r="F953" s="36"/>
      <c r="G953" s="36"/>
      <c r="H953" s="3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</row>
    <row r="954" ht="15.75" customHeight="1">
      <c r="A954" s="56"/>
      <c r="B954" s="56"/>
      <c r="C954" s="56"/>
      <c r="D954" s="56"/>
      <c r="E954" s="56"/>
      <c r="F954" s="36"/>
      <c r="G954" s="36"/>
      <c r="H954" s="3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</row>
    <row r="955" ht="15.75" customHeight="1">
      <c r="A955" s="56"/>
      <c r="B955" s="56"/>
      <c r="C955" s="56"/>
      <c r="D955" s="56"/>
      <c r="E955" s="56"/>
      <c r="F955" s="36"/>
      <c r="G955" s="36"/>
      <c r="H955" s="3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</row>
    <row r="956" ht="15.75" customHeight="1">
      <c r="A956" s="56"/>
      <c r="B956" s="56"/>
      <c r="C956" s="56"/>
      <c r="D956" s="56"/>
      <c r="E956" s="56"/>
      <c r="F956" s="36"/>
      <c r="G956" s="36"/>
      <c r="H956" s="3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</row>
    <row r="957" ht="15.75" customHeight="1">
      <c r="A957" s="56"/>
      <c r="B957" s="56"/>
      <c r="C957" s="56"/>
      <c r="D957" s="56"/>
      <c r="E957" s="56"/>
      <c r="F957" s="36"/>
      <c r="G957" s="36"/>
      <c r="H957" s="3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</row>
    <row r="958" ht="15.75" customHeight="1">
      <c r="A958" s="56"/>
      <c r="B958" s="56"/>
      <c r="C958" s="56"/>
      <c r="D958" s="56"/>
      <c r="E958" s="56"/>
      <c r="F958" s="36"/>
      <c r="G958" s="36"/>
      <c r="H958" s="3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</row>
    <row r="959" ht="15.75" customHeight="1">
      <c r="A959" s="56"/>
      <c r="B959" s="56"/>
      <c r="C959" s="56"/>
      <c r="D959" s="56"/>
      <c r="E959" s="56"/>
      <c r="F959" s="36"/>
      <c r="G959" s="36"/>
      <c r="H959" s="3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</row>
    <row r="960" ht="15.75" customHeight="1">
      <c r="A960" s="56"/>
      <c r="B960" s="56"/>
      <c r="C960" s="56"/>
      <c r="D960" s="56"/>
      <c r="E960" s="56"/>
      <c r="F960" s="36"/>
      <c r="G960" s="36"/>
      <c r="H960" s="3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</row>
    <row r="961" ht="15.75" customHeight="1">
      <c r="A961" s="56"/>
      <c r="B961" s="56"/>
      <c r="C961" s="56"/>
      <c r="D961" s="56"/>
      <c r="E961" s="56"/>
      <c r="F961" s="36"/>
      <c r="G961" s="36"/>
      <c r="H961" s="3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</row>
    <row r="962" ht="15.75" customHeight="1">
      <c r="A962" s="56"/>
      <c r="B962" s="56"/>
      <c r="C962" s="56"/>
      <c r="D962" s="56"/>
      <c r="E962" s="56"/>
      <c r="F962" s="36"/>
      <c r="G962" s="36"/>
      <c r="H962" s="3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</row>
    <row r="963" ht="15.75" customHeight="1">
      <c r="A963" s="56"/>
      <c r="B963" s="56"/>
      <c r="C963" s="56"/>
      <c r="D963" s="56"/>
      <c r="E963" s="56"/>
      <c r="F963" s="36"/>
      <c r="G963" s="36"/>
      <c r="H963" s="3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</row>
  </sheetData>
  <mergeCells count="18">
    <mergeCell ref="A1:G1"/>
    <mergeCell ref="F2:H2"/>
    <mergeCell ref="A3:A9"/>
    <mergeCell ref="A10:A16"/>
    <mergeCell ref="Y18:AA18"/>
    <mergeCell ref="Y19:AA26"/>
    <mergeCell ref="AB19:AC26"/>
    <mergeCell ref="A67:G67"/>
    <mergeCell ref="F68:H68"/>
    <mergeCell ref="A69:A72"/>
    <mergeCell ref="A73:A74"/>
    <mergeCell ref="A17:A23"/>
    <mergeCell ref="A24:A28"/>
    <mergeCell ref="A29:A35"/>
    <mergeCell ref="A36:A42"/>
    <mergeCell ref="A43:A49"/>
    <mergeCell ref="A50:A56"/>
    <mergeCell ref="A57:A6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38"/>
    <col customWidth="1" min="3" max="3" width="6.13"/>
    <col customWidth="1" min="4" max="4" width="7.63"/>
    <col customWidth="1" min="5" max="5" width="22.88"/>
    <col customWidth="1" min="6" max="6" width="6.38"/>
    <col customWidth="1" min="7" max="7" width="2.88"/>
    <col customWidth="1" min="8" max="8" width="5.88"/>
    <col customWidth="1" min="9" max="9" width="22.88"/>
    <col customWidth="1" hidden="1" min="10" max="10" width="14.88"/>
    <col customWidth="1" hidden="1" min="11" max="11" width="19.5"/>
    <col customWidth="1" hidden="1" min="12" max="12" width="20.0"/>
    <col hidden="1" min="13" max="13" width="12.63"/>
    <col customWidth="1" hidden="1" min="14" max="14" width="8.63"/>
    <col customWidth="1" hidden="1" min="15" max="15" width="14.5"/>
    <col hidden="1" min="16" max="25" width="12.63"/>
    <col customWidth="1" min="27" max="27" width="15.25"/>
    <col customWidth="1" min="28" max="28" width="22.88"/>
    <col customWidth="1" min="30" max="30" width="15.63"/>
    <col customWidth="1" min="31" max="31" width="15.75"/>
    <col hidden="1" min="36" max="46" width="12.63"/>
  </cols>
  <sheetData>
    <row r="1" ht="15.75" customHeight="1">
      <c r="A1" s="55" t="s">
        <v>182</v>
      </c>
      <c r="H1" s="36"/>
      <c r="I1" s="36"/>
      <c r="J1" s="36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2"/>
      <c r="X1" s="2"/>
      <c r="Y1" s="2"/>
      <c r="Z1" s="2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</row>
    <row r="2" ht="15.75" customHeight="1">
      <c r="A2" s="57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4" t="s">
        <v>8</v>
      </c>
      <c r="K2" s="4" t="s">
        <v>9</v>
      </c>
      <c r="L2" s="4" t="s">
        <v>10</v>
      </c>
      <c r="M2" s="4"/>
      <c r="N2" s="17" t="s">
        <v>11</v>
      </c>
      <c r="O2" s="17" t="s">
        <v>12</v>
      </c>
      <c r="P2" s="17" t="s">
        <v>13</v>
      </c>
      <c r="Q2" s="17" t="s">
        <v>14</v>
      </c>
      <c r="R2" s="17" t="s">
        <v>15</v>
      </c>
      <c r="S2" s="17" t="s">
        <v>16</v>
      </c>
      <c r="T2" s="17" t="s">
        <v>17</v>
      </c>
      <c r="U2" s="17" t="s">
        <v>18</v>
      </c>
      <c r="V2" s="17" t="s">
        <v>19</v>
      </c>
      <c r="W2" s="2"/>
      <c r="X2" s="103" t="s">
        <v>20</v>
      </c>
      <c r="Y2" s="8"/>
      <c r="Z2" s="2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17</v>
      </c>
      <c r="AH2" s="5" t="s">
        <v>18</v>
      </c>
      <c r="AI2" s="5" t="s">
        <v>19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15.75" customHeight="1">
      <c r="A3" s="10">
        <v>1.0</v>
      </c>
      <c r="B3" s="11">
        <v>45951.0</v>
      </c>
      <c r="C3" s="12" t="s">
        <v>95</v>
      </c>
      <c r="D3" s="12" t="s">
        <v>183</v>
      </c>
      <c r="E3" s="40" t="s">
        <v>111</v>
      </c>
      <c r="F3" s="14">
        <v>2.0</v>
      </c>
      <c r="G3" s="75" t="s">
        <v>24</v>
      </c>
      <c r="H3" s="104">
        <v>0.0</v>
      </c>
      <c r="I3" s="40" t="s">
        <v>54</v>
      </c>
      <c r="J3" s="4"/>
      <c r="K3" s="4">
        <f t="shared" ref="K3:K68" si="1">IF(F3="","",IFS(F3&gt;H3,3,F3=H3,1,H3&gt;F3,0,F3="",0))</f>
        <v>3</v>
      </c>
      <c r="L3" s="17">
        <f t="shared" ref="L3:L68" si="2">IF(H3="","",IFS(F3&lt;H3,3,F3=H3,1,H3&lt;F3,0))</f>
        <v>0</v>
      </c>
      <c r="M3" s="4"/>
      <c r="N3" s="17">
        <v>1.0</v>
      </c>
      <c r="O3" s="91" t="s">
        <v>111</v>
      </c>
      <c r="P3" s="105">
        <f t="shared" ref="P3:P14" si="3">SUMIF(E$3:E$68,O3,K$3:K$68)+SUMIF(I$3:I$68,O3,L$3:L$68)</f>
        <v>3</v>
      </c>
      <c r="Q3" s="105">
        <f t="shared" ref="Q3:Q14" si="4">COUNTIFS(E$3:E$68,O3,K$3:K$68,3)+COUNTIFS(I$3:I$68,O3,L$3:L$68,3)</f>
        <v>1</v>
      </c>
      <c r="R3" s="105">
        <f t="shared" ref="R3:R14" si="5">COUNTIFS(E$3:E$68,O3,K$3:K$68,1)+COUNTIFS(I$3:I$68,O3,L$3:L$68,1)</f>
        <v>0</v>
      </c>
      <c r="S3" s="106">
        <f t="shared" ref="S3:S14" si="6">COUNTIFS(E$3:E$68,O3,K$3:K$68,0)+COUNTIFS(I$3:I$68,O3,L$3:L$68,0)</f>
        <v>0</v>
      </c>
      <c r="T3" s="105">
        <f t="shared" ref="T3:T14" si="7">SUMIF(E$3:E$68,O3,F$3:F$68)+SUMIF(I$3:I$68,O3,H$3:H$68)</f>
        <v>2</v>
      </c>
      <c r="U3" s="106">
        <f t="shared" ref="U3:U14" si="8">SUMIF(E$3:E$68,O3,H$3:H$68)+SUMIF(I$3:I$68,O3,F$3:F$68)</f>
        <v>0</v>
      </c>
      <c r="V3" s="105">
        <f t="shared" ref="V3:V14" si="9">T3-U3</f>
        <v>2</v>
      </c>
      <c r="W3" s="2"/>
      <c r="X3" s="107" t="s">
        <v>26</v>
      </c>
      <c r="Y3" s="107" t="s">
        <v>13</v>
      </c>
      <c r="Z3" s="2"/>
      <c r="AA3" s="21" t="s">
        <v>29</v>
      </c>
      <c r="AB3" s="27" t="str">
        <f t="array" ref="AB3:AI14">SORT(O3:V14,2,FALSE,9,FALSE,8,FALSE())</f>
        <v>Fisioterapia</v>
      </c>
      <c r="AC3" s="27">
        <v>4.0</v>
      </c>
      <c r="AD3" s="27">
        <v>1.0</v>
      </c>
      <c r="AE3" s="27">
        <v>1.0</v>
      </c>
      <c r="AF3" s="27">
        <v>0.0</v>
      </c>
      <c r="AG3" s="27">
        <v>5.0</v>
      </c>
      <c r="AH3" s="27">
        <v>1.0</v>
      </c>
      <c r="AI3" s="27">
        <v>4.0</v>
      </c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</row>
    <row r="4" ht="15.75" customHeight="1">
      <c r="A4" s="24"/>
      <c r="B4" s="11">
        <v>45951.0</v>
      </c>
      <c r="C4" s="12" t="s">
        <v>98</v>
      </c>
      <c r="D4" s="12" t="s">
        <v>183</v>
      </c>
      <c r="E4" s="40" t="s">
        <v>40</v>
      </c>
      <c r="F4" s="14">
        <v>1.0</v>
      </c>
      <c r="G4" s="75" t="s">
        <v>24</v>
      </c>
      <c r="H4" s="104">
        <v>2.0</v>
      </c>
      <c r="I4" s="40" t="s">
        <v>60</v>
      </c>
      <c r="J4" s="4"/>
      <c r="K4" s="4">
        <f t="shared" si="1"/>
        <v>0</v>
      </c>
      <c r="L4" s="17">
        <f t="shared" si="2"/>
        <v>3</v>
      </c>
      <c r="M4" s="4"/>
      <c r="N4" s="17">
        <v>2.0</v>
      </c>
      <c r="O4" s="91" t="s">
        <v>33</v>
      </c>
      <c r="P4" s="105">
        <f t="shared" si="3"/>
        <v>3</v>
      </c>
      <c r="Q4" s="105">
        <f t="shared" si="4"/>
        <v>1</v>
      </c>
      <c r="R4" s="105">
        <f t="shared" si="5"/>
        <v>0</v>
      </c>
      <c r="S4" s="106">
        <f t="shared" si="6"/>
        <v>0</v>
      </c>
      <c r="T4" s="105">
        <f t="shared" si="7"/>
        <v>2</v>
      </c>
      <c r="U4" s="106">
        <f t="shared" si="8"/>
        <v>1</v>
      </c>
      <c r="V4" s="105">
        <f t="shared" si="9"/>
        <v>1</v>
      </c>
      <c r="W4" s="2"/>
      <c r="X4" s="108" t="s">
        <v>25</v>
      </c>
      <c r="Y4" s="108">
        <v>3.0</v>
      </c>
      <c r="Z4" s="2"/>
      <c r="AA4" s="21" t="s">
        <v>34</v>
      </c>
      <c r="AB4" s="27" t="s">
        <v>143</v>
      </c>
      <c r="AC4" s="27">
        <v>4.0</v>
      </c>
      <c r="AD4" s="27">
        <v>1.0</v>
      </c>
      <c r="AE4" s="27">
        <v>1.0</v>
      </c>
      <c r="AF4" s="27">
        <v>0.0</v>
      </c>
      <c r="AG4" s="27">
        <v>9.0</v>
      </c>
      <c r="AH4" s="27">
        <v>5.0</v>
      </c>
      <c r="AI4" s="27">
        <v>4.0</v>
      </c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</row>
    <row r="5" ht="15.75" customHeight="1">
      <c r="A5" s="24"/>
      <c r="B5" s="97">
        <v>45950.0</v>
      </c>
      <c r="C5" s="12" t="s">
        <v>102</v>
      </c>
      <c r="D5" s="12" t="s">
        <v>183</v>
      </c>
      <c r="E5" s="40" t="s">
        <v>23</v>
      </c>
      <c r="F5" s="14">
        <v>1.0</v>
      </c>
      <c r="G5" s="75" t="s">
        <v>24</v>
      </c>
      <c r="H5" s="104">
        <v>1.0</v>
      </c>
      <c r="I5" s="40" t="s">
        <v>37</v>
      </c>
      <c r="J5" s="4"/>
      <c r="K5" s="4">
        <f t="shared" si="1"/>
        <v>1</v>
      </c>
      <c r="L5" s="17">
        <f t="shared" si="2"/>
        <v>1</v>
      </c>
      <c r="M5" s="4"/>
      <c r="N5" s="17">
        <v>3.0</v>
      </c>
      <c r="O5" s="91" t="s">
        <v>54</v>
      </c>
      <c r="P5" s="105">
        <f t="shared" si="3"/>
        <v>0</v>
      </c>
      <c r="Q5" s="105">
        <f t="shared" si="4"/>
        <v>0</v>
      </c>
      <c r="R5" s="105">
        <f t="shared" si="5"/>
        <v>0</v>
      </c>
      <c r="S5" s="106">
        <f t="shared" si="6"/>
        <v>1</v>
      </c>
      <c r="T5" s="105">
        <f t="shared" si="7"/>
        <v>0</v>
      </c>
      <c r="U5" s="106">
        <f t="shared" si="8"/>
        <v>2</v>
      </c>
      <c r="V5" s="105">
        <f t="shared" si="9"/>
        <v>-2</v>
      </c>
      <c r="W5" s="2"/>
      <c r="X5" s="108" t="s">
        <v>143</v>
      </c>
      <c r="Y5" s="108">
        <v>0.0</v>
      </c>
      <c r="Z5" s="2"/>
      <c r="AA5" s="21" t="s">
        <v>38</v>
      </c>
      <c r="AB5" s="27" t="s">
        <v>37</v>
      </c>
      <c r="AC5" s="27">
        <v>4.0</v>
      </c>
      <c r="AD5" s="27">
        <v>1.0</v>
      </c>
      <c r="AE5" s="27">
        <v>1.0</v>
      </c>
      <c r="AF5" s="27">
        <v>0.0</v>
      </c>
      <c r="AG5" s="27">
        <v>4.0</v>
      </c>
      <c r="AH5" s="27">
        <v>2.0</v>
      </c>
      <c r="AI5" s="27">
        <v>2.0</v>
      </c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</row>
    <row r="6" ht="15.75" customHeight="1">
      <c r="A6" s="24"/>
      <c r="B6" s="11">
        <v>45952.0</v>
      </c>
      <c r="C6" s="12" t="s">
        <v>98</v>
      </c>
      <c r="D6" s="12" t="s">
        <v>183</v>
      </c>
      <c r="E6" s="40" t="s">
        <v>25</v>
      </c>
      <c r="F6" s="14">
        <v>2.0</v>
      </c>
      <c r="G6" s="75" t="s">
        <v>24</v>
      </c>
      <c r="H6" s="104">
        <v>1.0</v>
      </c>
      <c r="I6" s="40" t="s">
        <v>36</v>
      </c>
      <c r="J6" s="4"/>
      <c r="K6" s="4">
        <f t="shared" si="1"/>
        <v>3</v>
      </c>
      <c r="L6" s="17">
        <f t="shared" si="2"/>
        <v>0</v>
      </c>
      <c r="M6" s="4"/>
      <c r="N6" s="17">
        <v>4.0</v>
      </c>
      <c r="O6" s="91" t="s">
        <v>59</v>
      </c>
      <c r="P6" s="105">
        <f t="shared" si="3"/>
        <v>0</v>
      </c>
      <c r="Q6" s="105">
        <f t="shared" si="4"/>
        <v>0</v>
      </c>
      <c r="R6" s="105">
        <f t="shared" si="5"/>
        <v>0</v>
      </c>
      <c r="S6" s="106">
        <f t="shared" si="6"/>
        <v>1</v>
      </c>
      <c r="T6" s="105">
        <f t="shared" si="7"/>
        <v>3</v>
      </c>
      <c r="U6" s="106">
        <f t="shared" si="8"/>
        <v>7</v>
      </c>
      <c r="V6" s="105">
        <f t="shared" si="9"/>
        <v>-4</v>
      </c>
      <c r="W6" s="2"/>
      <c r="X6" s="2"/>
      <c r="Y6" s="2"/>
      <c r="Z6" s="2"/>
      <c r="AA6" s="21" t="s">
        <v>41</v>
      </c>
      <c r="AB6" s="27" t="s">
        <v>25</v>
      </c>
      <c r="AC6" s="27">
        <v>4.0</v>
      </c>
      <c r="AD6" s="27">
        <v>1.0</v>
      </c>
      <c r="AE6" s="27">
        <v>1.0</v>
      </c>
      <c r="AF6" s="27">
        <v>0.0</v>
      </c>
      <c r="AG6" s="27">
        <v>4.0</v>
      </c>
      <c r="AH6" s="27">
        <v>3.0</v>
      </c>
      <c r="AI6" s="27">
        <v>1.0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</row>
    <row r="7" ht="15.75" customHeight="1">
      <c r="A7" s="24"/>
      <c r="B7" s="11">
        <v>45951.0</v>
      </c>
      <c r="C7" s="12" t="s">
        <v>102</v>
      </c>
      <c r="D7" s="12" t="s">
        <v>183</v>
      </c>
      <c r="E7" s="40" t="s">
        <v>59</v>
      </c>
      <c r="F7" s="14">
        <v>3.0</v>
      </c>
      <c r="G7" s="75" t="s">
        <v>24</v>
      </c>
      <c r="H7" s="104">
        <v>7.0</v>
      </c>
      <c r="I7" s="40" t="s">
        <v>143</v>
      </c>
      <c r="J7" s="4"/>
      <c r="K7" s="4">
        <f t="shared" si="1"/>
        <v>0</v>
      </c>
      <c r="L7" s="17">
        <f t="shared" si="2"/>
        <v>3</v>
      </c>
      <c r="M7" s="4"/>
      <c r="N7" s="17">
        <v>5.0</v>
      </c>
      <c r="O7" s="91" t="s">
        <v>60</v>
      </c>
      <c r="P7" s="105">
        <f t="shared" si="3"/>
        <v>3</v>
      </c>
      <c r="Q7" s="105">
        <f t="shared" si="4"/>
        <v>1</v>
      </c>
      <c r="R7" s="105">
        <f t="shared" si="5"/>
        <v>0</v>
      </c>
      <c r="S7" s="106">
        <f t="shared" si="6"/>
        <v>0</v>
      </c>
      <c r="T7" s="105">
        <f t="shared" si="7"/>
        <v>2</v>
      </c>
      <c r="U7" s="106">
        <f t="shared" si="8"/>
        <v>1</v>
      </c>
      <c r="V7" s="105">
        <f t="shared" si="9"/>
        <v>1</v>
      </c>
      <c r="W7" s="2"/>
      <c r="X7" s="2"/>
      <c r="Y7" s="2"/>
      <c r="Z7" s="2"/>
      <c r="AA7" s="21" t="s">
        <v>44</v>
      </c>
      <c r="AB7" s="27" t="s">
        <v>111</v>
      </c>
      <c r="AC7" s="27">
        <v>3.0</v>
      </c>
      <c r="AD7" s="27">
        <v>1.0</v>
      </c>
      <c r="AE7" s="27">
        <v>0.0</v>
      </c>
      <c r="AF7" s="27">
        <v>0.0</v>
      </c>
      <c r="AG7" s="27">
        <v>2.0</v>
      </c>
      <c r="AH7" s="27">
        <v>0.0</v>
      </c>
      <c r="AI7" s="27">
        <v>2.0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</row>
    <row r="8" ht="15.75" customHeight="1">
      <c r="A8" s="28"/>
      <c r="B8" s="39">
        <v>45952.0</v>
      </c>
      <c r="C8" s="12" t="s">
        <v>102</v>
      </c>
      <c r="D8" s="12" t="s">
        <v>183</v>
      </c>
      <c r="E8" s="40" t="s">
        <v>108</v>
      </c>
      <c r="F8" s="15">
        <v>1.0</v>
      </c>
      <c r="G8" s="75" t="s">
        <v>24</v>
      </c>
      <c r="H8" s="14">
        <v>2.0</v>
      </c>
      <c r="I8" s="40" t="s">
        <v>33</v>
      </c>
      <c r="J8" s="4"/>
      <c r="K8" s="4">
        <f t="shared" si="1"/>
        <v>0</v>
      </c>
      <c r="L8" s="17">
        <f t="shared" si="2"/>
        <v>3</v>
      </c>
      <c r="M8" s="4"/>
      <c r="N8" s="17">
        <v>6.0</v>
      </c>
      <c r="O8" s="91" t="s">
        <v>25</v>
      </c>
      <c r="P8" s="105">
        <f t="shared" si="3"/>
        <v>4</v>
      </c>
      <c r="Q8" s="105">
        <f t="shared" si="4"/>
        <v>1</v>
      </c>
      <c r="R8" s="105">
        <f t="shared" si="5"/>
        <v>1</v>
      </c>
      <c r="S8" s="106">
        <f t="shared" si="6"/>
        <v>0</v>
      </c>
      <c r="T8" s="105">
        <f t="shared" si="7"/>
        <v>4</v>
      </c>
      <c r="U8" s="106">
        <f t="shared" si="8"/>
        <v>3</v>
      </c>
      <c r="V8" s="105">
        <f t="shared" si="9"/>
        <v>1</v>
      </c>
      <c r="W8" s="2"/>
      <c r="X8" s="2"/>
      <c r="Y8" s="2"/>
      <c r="Z8" s="2"/>
      <c r="AA8" s="21" t="s">
        <v>47</v>
      </c>
      <c r="AB8" s="27" t="s">
        <v>33</v>
      </c>
      <c r="AC8" s="27">
        <v>3.0</v>
      </c>
      <c r="AD8" s="27">
        <v>1.0</v>
      </c>
      <c r="AE8" s="27">
        <v>0.0</v>
      </c>
      <c r="AF8" s="27">
        <v>0.0</v>
      </c>
      <c r="AG8" s="27">
        <v>2.0</v>
      </c>
      <c r="AH8" s="27">
        <v>1.0</v>
      </c>
      <c r="AI8" s="27">
        <v>1.0</v>
      </c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</row>
    <row r="9" ht="15.75" customHeight="1">
      <c r="A9" s="10">
        <v>2.0</v>
      </c>
      <c r="B9" s="109"/>
      <c r="C9" s="99"/>
      <c r="D9" s="12" t="s">
        <v>183</v>
      </c>
      <c r="E9" s="40" t="s">
        <v>54</v>
      </c>
      <c r="F9" s="16"/>
      <c r="G9" s="75" t="s">
        <v>24</v>
      </c>
      <c r="H9" s="110"/>
      <c r="I9" s="40" t="s">
        <v>108</v>
      </c>
      <c r="J9" s="4"/>
      <c r="K9" s="4" t="str">
        <f t="shared" si="1"/>
        <v/>
      </c>
      <c r="L9" s="17" t="str">
        <f t="shared" si="2"/>
        <v/>
      </c>
      <c r="M9" s="4"/>
      <c r="N9" s="17">
        <v>7.0</v>
      </c>
      <c r="O9" s="91" t="s">
        <v>37</v>
      </c>
      <c r="P9" s="105">
        <f t="shared" si="3"/>
        <v>4</v>
      </c>
      <c r="Q9" s="105">
        <f t="shared" si="4"/>
        <v>1</v>
      </c>
      <c r="R9" s="105">
        <f t="shared" si="5"/>
        <v>1</v>
      </c>
      <c r="S9" s="106">
        <f t="shared" si="6"/>
        <v>0</v>
      </c>
      <c r="T9" s="105">
        <f t="shared" si="7"/>
        <v>4</v>
      </c>
      <c r="U9" s="106">
        <f t="shared" si="8"/>
        <v>2</v>
      </c>
      <c r="V9" s="105">
        <f t="shared" si="9"/>
        <v>2</v>
      </c>
      <c r="W9" s="2"/>
      <c r="X9" s="2"/>
      <c r="Y9" s="2"/>
      <c r="Z9" s="2"/>
      <c r="AA9" s="21">
        <v>7.0</v>
      </c>
      <c r="AB9" s="27" t="s">
        <v>60</v>
      </c>
      <c r="AC9" s="27">
        <v>3.0</v>
      </c>
      <c r="AD9" s="27">
        <v>1.0</v>
      </c>
      <c r="AE9" s="27">
        <v>0.0</v>
      </c>
      <c r="AF9" s="27">
        <v>0.0</v>
      </c>
      <c r="AG9" s="27">
        <v>2.0</v>
      </c>
      <c r="AH9" s="27">
        <v>1.0</v>
      </c>
      <c r="AI9" s="27">
        <v>1.0</v>
      </c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</row>
    <row r="10" ht="15.75" customHeight="1">
      <c r="A10" s="24"/>
      <c r="B10" s="109"/>
      <c r="C10" s="99"/>
      <c r="D10" s="12" t="s">
        <v>183</v>
      </c>
      <c r="E10" s="40" t="s">
        <v>60</v>
      </c>
      <c r="F10" s="16"/>
      <c r="G10" s="75" t="s">
        <v>24</v>
      </c>
      <c r="H10" s="110"/>
      <c r="I10" s="40" t="s">
        <v>111</v>
      </c>
      <c r="J10" s="4"/>
      <c r="K10" s="4" t="str">
        <f t="shared" si="1"/>
        <v/>
      </c>
      <c r="L10" s="17" t="str">
        <f t="shared" si="2"/>
        <v/>
      </c>
      <c r="M10" s="4"/>
      <c r="N10" s="17">
        <v>8.0</v>
      </c>
      <c r="O10" s="91" t="s">
        <v>23</v>
      </c>
      <c r="P10" s="105">
        <f t="shared" si="3"/>
        <v>4</v>
      </c>
      <c r="Q10" s="105">
        <f t="shared" si="4"/>
        <v>1</v>
      </c>
      <c r="R10" s="105">
        <f t="shared" si="5"/>
        <v>1</v>
      </c>
      <c r="S10" s="106">
        <f t="shared" si="6"/>
        <v>0</v>
      </c>
      <c r="T10" s="105">
        <f t="shared" si="7"/>
        <v>5</v>
      </c>
      <c r="U10" s="106">
        <f t="shared" si="8"/>
        <v>1</v>
      </c>
      <c r="V10" s="105">
        <f t="shared" si="9"/>
        <v>4</v>
      </c>
      <c r="W10" s="2"/>
      <c r="X10" s="2"/>
      <c r="Y10" s="2"/>
      <c r="Z10" s="2"/>
      <c r="AA10" s="21">
        <v>8.0</v>
      </c>
      <c r="AB10" s="27" t="s">
        <v>108</v>
      </c>
      <c r="AC10" s="27">
        <v>0.0</v>
      </c>
      <c r="AD10" s="27">
        <v>0.0</v>
      </c>
      <c r="AE10" s="27">
        <v>0.0</v>
      </c>
      <c r="AF10" s="27">
        <v>1.0</v>
      </c>
      <c r="AG10" s="27">
        <v>1.0</v>
      </c>
      <c r="AH10" s="27">
        <v>2.0</v>
      </c>
      <c r="AI10" s="27">
        <v>-1.0</v>
      </c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</row>
    <row r="11" ht="15.75" customHeight="1">
      <c r="A11" s="24"/>
      <c r="B11" s="39">
        <v>45964.0</v>
      </c>
      <c r="C11" s="12" t="s">
        <v>184</v>
      </c>
      <c r="D11" s="12" t="s">
        <v>183</v>
      </c>
      <c r="E11" s="40" t="s">
        <v>37</v>
      </c>
      <c r="F11" s="15">
        <v>3.0</v>
      </c>
      <c r="G11" s="75" t="s">
        <v>24</v>
      </c>
      <c r="H11" s="104">
        <v>1.0</v>
      </c>
      <c r="I11" s="40" t="s">
        <v>40</v>
      </c>
      <c r="J11" s="4"/>
      <c r="K11" s="4">
        <f t="shared" si="1"/>
        <v>3</v>
      </c>
      <c r="L11" s="17">
        <f t="shared" si="2"/>
        <v>0</v>
      </c>
      <c r="M11" s="4"/>
      <c r="N11" s="17">
        <v>9.0</v>
      </c>
      <c r="O11" s="91" t="s">
        <v>36</v>
      </c>
      <c r="P11" s="105">
        <f t="shared" si="3"/>
        <v>0</v>
      </c>
      <c r="Q11" s="105">
        <f t="shared" si="4"/>
        <v>0</v>
      </c>
      <c r="R11" s="105">
        <f t="shared" si="5"/>
        <v>0</v>
      </c>
      <c r="S11" s="106">
        <f t="shared" si="6"/>
        <v>2</v>
      </c>
      <c r="T11" s="105">
        <f t="shared" si="7"/>
        <v>1</v>
      </c>
      <c r="U11" s="106">
        <f t="shared" si="8"/>
        <v>6</v>
      </c>
      <c r="V11" s="105">
        <f t="shared" si="9"/>
        <v>-5</v>
      </c>
      <c r="W11" s="2"/>
      <c r="X11" s="2"/>
      <c r="Y11" s="2"/>
      <c r="Z11" s="2"/>
      <c r="AA11" s="95" t="s">
        <v>101</v>
      </c>
      <c r="AB11" s="27" t="s">
        <v>54</v>
      </c>
      <c r="AC11" s="27">
        <v>0.0</v>
      </c>
      <c r="AD11" s="27">
        <v>0.0</v>
      </c>
      <c r="AE11" s="27">
        <v>0.0</v>
      </c>
      <c r="AF11" s="27">
        <v>1.0</v>
      </c>
      <c r="AG11" s="27">
        <v>0.0</v>
      </c>
      <c r="AH11" s="27">
        <v>2.0</v>
      </c>
      <c r="AI11" s="27">
        <v>-2.0</v>
      </c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</row>
    <row r="12" ht="15.75" customHeight="1">
      <c r="A12" s="24"/>
      <c r="B12" s="39">
        <v>45964.0</v>
      </c>
      <c r="C12" s="59" t="s">
        <v>185</v>
      </c>
      <c r="D12" s="12" t="s">
        <v>183</v>
      </c>
      <c r="E12" s="40" t="s">
        <v>36</v>
      </c>
      <c r="F12" s="14">
        <v>0.0</v>
      </c>
      <c r="G12" s="75" t="s">
        <v>24</v>
      </c>
      <c r="H12" s="104">
        <v>4.0</v>
      </c>
      <c r="I12" s="40" t="s">
        <v>23</v>
      </c>
      <c r="J12" s="4"/>
      <c r="K12" s="4">
        <f t="shared" si="1"/>
        <v>0</v>
      </c>
      <c r="L12" s="17">
        <f t="shared" si="2"/>
        <v>3</v>
      </c>
      <c r="M12" s="4"/>
      <c r="N12" s="17">
        <v>10.0</v>
      </c>
      <c r="O12" s="91" t="s">
        <v>40</v>
      </c>
      <c r="P12" s="105">
        <f t="shared" si="3"/>
        <v>0</v>
      </c>
      <c r="Q12" s="105">
        <f t="shared" si="4"/>
        <v>0</v>
      </c>
      <c r="R12" s="105">
        <f t="shared" si="5"/>
        <v>0</v>
      </c>
      <c r="S12" s="106">
        <f t="shared" si="6"/>
        <v>2</v>
      </c>
      <c r="T12" s="105">
        <f t="shared" si="7"/>
        <v>2</v>
      </c>
      <c r="U12" s="106">
        <f t="shared" si="8"/>
        <v>5</v>
      </c>
      <c r="V12" s="105">
        <f t="shared" si="9"/>
        <v>-3</v>
      </c>
      <c r="W12" s="2"/>
      <c r="X12" s="2"/>
      <c r="Y12" s="2"/>
      <c r="Z12" s="2"/>
      <c r="AA12" s="69">
        <v>10.0</v>
      </c>
      <c r="AB12" s="27" t="s">
        <v>40</v>
      </c>
      <c r="AC12" s="27">
        <v>0.0</v>
      </c>
      <c r="AD12" s="27">
        <v>0.0</v>
      </c>
      <c r="AE12" s="27">
        <v>0.0</v>
      </c>
      <c r="AF12" s="27">
        <v>2.0</v>
      </c>
      <c r="AG12" s="27">
        <v>2.0</v>
      </c>
      <c r="AH12" s="27">
        <v>5.0</v>
      </c>
      <c r="AI12" s="27">
        <v>-3.0</v>
      </c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</row>
    <row r="13" ht="15.75" customHeight="1">
      <c r="A13" s="24"/>
      <c r="B13" s="11">
        <v>45964.0</v>
      </c>
      <c r="C13" s="12" t="s">
        <v>186</v>
      </c>
      <c r="D13" s="12" t="s">
        <v>183</v>
      </c>
      <c r="E13" s="40" t="s">
        <v>143</v>
      </c>
      <c r="F13" s="14">
        <v>2.0</v>
      </c>
      <c r="G13" s="75" t="s">
        <v>24</v>
      </c>
      <c r="H13" s="104">
        <v>2.0</v>
      </c>
      <c r="I13" s="40" t="s">
        <v>25</v>
      </c>
      <c r="J13" s="4"/>
      <c r="K13" s="4">
        <f t="shared" si="1"/>
        <v>1</v>
      </c>
      <c r="L13" s="17">
        <f t="shared" si="2"/>
        <v>1</v>
      </c>
      <c r="M13" s="4"/>
      <c r="N13" s="4">
        <v>11.0</v>
      </c>
      <c r="O13" s="91" t="s">
        <v>143</v>
      </c>
      <c r="P13" s="105">
        <f t="shared" si="3"/>
        <v>4</v>
      </c>
      <c r="Q13" s="105">
        <f t="shared" si="4"/>
        <v>1</v>
      </c>
      <c r="R13" s="105">
        <f t="shared" si="5"/>
        <v>1</v>
      </c>
      <c r="S13" s="106">
        <f t="shared" si="6"/>
        <v>0</v>
      </c>
      <c r="T13" s="105">
        <f t="shared" si="7"/>
        <v>9</v>
      </c>
      <c r="U13" s="106">
        <f t="shared" si="8"/>
        <v>5</v>
      </c>
      <c r="V13" s="105">
        <f t="shared" si="9"/>
        <v>4</v>
      </c>
      <c r="W13" s="2"/>
      <c r="X13" s="2"/>
      <c r="Y13" s="2"/>
      <c r="Z13" s="2"/>
      <c r="AA13" s="69">
        <v>11.0</v>
      </c>
      <c r="AB13" s="27" t="s">
        <v>59</v>
      </c>
      <c r="AC13" s="27">
        <v>0.0</v>
      </c>
      <c r="AD13" s="27">
        <v>0.0</v>
      </c>
      <c r="AE13" s="27">
        <v>0.0</v>
      </c>
      <c r="AF13" s="27">
        <v>1.0</v>
      </c>
      <c r="AG13" s="27">
        <v>3.0</v>
      </c>
      <c r="AH13" s="27">
        <v>7.0</v>
      </c>
      <c r="AI13" s="27">
        <v>-4.0</v>
      </c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</row>
    <row r="14" ht="15.75" customHeight="1">
      <c r="A14" s="28"/>
      <c r="B14" s="101"/>
      <c r="C14" s="99"/>
      <c r="D14" s="12" t="s">
        <v>183</v>
      </c>
      <c r="E14" s="40" t="s">
        <v>33</v>
      </c>
      <c r="F14" s="75"/>
      <c r="G14" s="75" t="s">
        <v>24</v>
      </c>
      <c r="H14" s="110"/>
      <c r="I14" s="40" t="s">
        <v>59</v>
      </c>
      <c r="J14" s="4"/>
      <c r="K14" s="4" t="str">
        <f t="shared" si="1"/>
        <v/>
      </c>
      <c r="L14" s="17" t="str">
        <f t="shared" si="2"/>
        <v/>
      </c>
      <c r="M14" s="4"/>
      <c r="N14" s="4">
        <v>12.0</v>
      </c>
      <c r="O14" s="91" t="s">
        <v>108</v>
      </c>
      <c r="P14" s="105">
        <f t="shared" si="3"/>
        <v>0</v>
      </c>
      <c r="Q14" s="105">
        <f t="shared" si="4"/>
        <v>0</v>
      </c>
      <c r="R14" s="105">
        <f t="shared" si="5"/>
        <v>0</v>
      </c>
      <c r="S14" s="106">
        <f t="shared" si="6"/>
        <v>1</v>
      </c>
      <c r="T14" s="105">
        <f t="shared" si="7"/>
        <v>1</v>
      </c>
      <c r="U14" s="106">
        <f t="shared" si="8"/>
        <v>2</v>
      </c>
      <c r="V14" s="105">
        <f t="shared" si="9"/>
        <v>-1</v>
      </c>
      <c r="W14" s="2"/>
      <c r="X14" s="2"/>
      <c r="Y14" s="2"/>
      <c r="Z14" s="2"/>
      <c r="AA14" s="69">
        <v>12.0</v>
      </c>
      <c r="AB14" s="27" t="s">
        <v>36</v>
      </c>
      <c r="AC14" s="27">
        <v>0.0</v>
      </c>
      <c r="AD14" s="27">
        <v>0.0</v>
      </c>
      <c r="AE14" s="27">
        <v>0.0</v>
      </c>
      <c r="AF14" s="27">
        <v>2.0</v>
      </c>
      <c r="AG14" s="27">
        <v>1.0</v>
      </c>
      <c r="AH14" s="27">
        <v>6.0</v>
      </c>
      <c r="AI14" s="27">
        <v>-5.0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t="15.75" customHeight="1">
      <c r="A15" s="10">
        <v>3.0</v>
      </c>
      <c r="B15" s="29"/>
      <c r="C15" s="30"/>
      <c r="D15" s="30"/>
      <c r="E15" s="40" t="s">
        <v>54</v>
      </c>
      <c r="F15" s="75"/>
      <c r="G15" s="75" t="s">
        <v>24</v>
      </c>
      <c r="H15" s="110"/>
      <c r="I15" s="40" t="s">
        <v>60</v>
      </c>
      <c r="J15" s="4"/>
      <c r="K15" s="4" t="str">
        <f t="shared" si="1"/>
        <v/>
      </c>
      <c r="L15" s="17" t="str">
        <f t="shared" si="2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2"/>
      <c r="X15" s="2"/>
      <c r="Y15" s="2"/>
      <c r="Z15" s="2"/>
      <c r="AA15" s="34" t="s">
        <v>187</v>
      </c>
      <c r="AD15" s="2"/>
      <c r="AE15" s="2"/>
      <c r="AF15" s="36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t="15.75" customHeight="1">
      <c r="A16" s="24"/>
      <c r="B16" s="29"/>
      <c r="C16" s="30"/>
      <c r="D16" s="30"/>
      <c r="E16" s="40" t="s">
        <v>111</v>
      </c>
      <c r="F16" s="75"/>
      <c r="G16" s="75" t="s">
        <v>24</v>
      </c>
      <c r="H16" s="110"/>
      <c r="I16" s="40" t="s">
        <v>37</v>
      </c>
      <c r="J16" s="4"/>
      <c r="K16" s="4" t="str">
        <f t="shared" si="1"/>
        <v/>
      </c>
      <c r="L16" s="17" t="str">
        <f t="shared" si="2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2"/>
      <c r="X16" s="2"/>
      <c r="Y16" s="2"/>
      <c r="Z16" s="2"/>
      <c r="AA16" s="73" t="s">
        <v>106</v>
      </c>
      <c r="AD16" s="36"/>
      <c r="AF16" s="36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ht="15.75" customHeight="1">
      <c r="A17" s="24"/>
      <c r="B17" s="29"/>
      <c r="C17" s="30"/>
      <c r="D17" s="30"/>
      <c r="E17" s="40" t="s">
        <v>40</v>
      </c>
      <c r="F17" s="75"/>
      <c r="G17" s="75" t="s">
        <v>24</v>
      </c>
      <c r="H17" s="110"/>
      <c r="I17" s="40" t="s">
        <v>36</v>
      </c>
      <c r="J17" s="4"/>
      <c r="K17" s="4" t="str">
        <f t="shared" si="1"/>
        <v/>
      </c>
      <c r="L17" s="17" t="str">
        <f t="shared" si="2"/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2"/>
      <c r="X17" s="2"/>
      <c r="Y17" s="2"/>
      <c r="Z17" s="2"/>
      <c r="AA17" s="4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ht="15.75" customHeight="1">
      <c r="A18" s="24"/>
      <c r="B18" s="29"/>
      <c r="C18" s="30"/>
      <c r="D18" s="30"/>
      <c r="E18" s="40" t="s">
        <v>23</v>
      </c>
      <c r="F18" s="75"/>
      <c r="G18" s="75" t="s">
        <v>24</v>
      </c>
      <c r="H18" s="110"/>
      <c r="I18" s="40" t="s">
        <v>143</v>
      </c>
      <c r="J18" s="37"/>
      <c r="K18" s="4" t="str">
        <f t="shared" si="1"/>
        <v/>
      </c>
      <c r="L18" s="17" t="str">
        <f t="shared" si="2"/>
        <v/>
      </c>
      <c r="M18" s="4"/>
      <c r="N18" s="4"/>
      <c r="O18" s="4"/>
      <c r="P18" s="4"/>
      <c r="Q18" s="3"/>
      <c r="R18" s="4"/>
      <c r="S18" s="4"/>
      <c r="T18" s="4"/>
      <c r="U18" s="4"/>
      <c r="V18" s="4"/>
      <c r="W18" s="2"/>
      <c r="X18" s="2"/>
      <c r="Y18" s="2"/>
      <c r="Z18" s="2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ht="15.75" customHeight="1">
      <c r="A19" s="24"/>
      <c r="B19" s="49"/>
      <c r="C19" s="30"/>
      <c r="D19" s="30"/>
      <c r="E19" s="40" t="s">
        <v>25</v>
      </c>
      <c r="F19" s="75"/>
      <c r="G19" s="75" t="s">
        <v>24</v>
      </c>
      <c r="H19" s="110"/>
      <c r="I19" s="40" t="s">
        <v>33</v>
      </c>
      <c r="J19" s="4"/>
      <c r="K19" s="4" t="str">
        <f t="shared" si="1"/>
        <v/>
      </c>
      <c r="L19" s="17" t="str">
        <f t="shared" si="2"/>
        <v/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2"/>
      <c r="X19" s="2"/>
      <c r="Y19" s="2"/>
      <c r="Z19" s="2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ht="15.75" customHeight="1">
      <c r="A20" s="28"/>
      <c r="B20" s="49"/>
      <c r="C20" s="16"/>
      <c r="D20" s="30"/>
      <c r="E20" s="40" t="s">
        <v>108</v>
      </c>
      <c r="F20" s="75"/>
      <c r="G20" s="75" t="s">
        <v>24</v>
      </c>
      <c r="H20" s="110"/>
      <c r="I20" s="40" t="s">
        <v>59</v>
      </c>
      <c r="J20" s="4"/>
      <c r="K20" s="4" t="str">
        <f t="shared" si="1"/>
        <v/>
      </c>
      <c r="L20" s="17" t="str">
        <f t="shared" si="2"/>
        <v/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2"/>
      <c r="X20" s="2"/>
      <c r="Y20" s="2"/>
      <c r="Z20" s="2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ht="15.75" customHeight="1">
      <c r="A21" s="10">
        <v>4.0</v>
      </c>
      <c r="B21" s="50"/>
      <c r="C21" s="30"/>
      <c r="D21" s="30"/>
      <c r="E21" s="40" t="s">
        <v>60</v>
      </c>
      <c r="F21" s="75"/>
      <c r="G21" s="75" t="s">
        <v>24</v>
      </c>
      <c r="H21" s="110"/>
      <c r="I21" s="40" t="s">
        <v>108</v>
      </c>
      <c r="J21" s="4"/>
      <c r="K21" s="4" t="str">
        <f t="shared" si="1"/>
        <v/>
      </c>
      <c r="L21" s="17" t="str">
        <f t="shared" si="2"/>
        <v/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2"/>
      <c r="X21" s="2"/>
      <c r="Y21" s="2"/>
      <c r="Z21" s="2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ht="15.75" customHeight="1">
      <c r="A22" s="24"/>
      <c r="B22" s="49"/>
      <c r="C22" s="30"/>
      <c r="D22" s="30"/>
      <c r="E22" s="40" t="s">
        <v>37</v>
      </c>
      <c r="F22" s="75"/>
      <c r="G22" s="75" t="s">
        <v>24</v>
      </c>
      <c r="H22" s="110"/>
      <c r="I22" s="40" t="s">
        <v>54</v>
      </c>
      <c r="J22" s="4"/>
      <c r="K22" s="4" t="str">
        <f t="shared" si="1"/>
        <v/>
      </c>
      <c r="L22" s="17" t="str">
        <f t="shared" si="2"/>
        <v/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2"/>
      <c r="X22" s="2"/>
      <c r="Y22" s="2"/>
      <c r="Z22" s="2"/>
      <c r="AF22" s="3"/>
      <c r="AG22" s="3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ht="15.75" customHeight="1">
      <c r="A23" s="24"/>
      <c r="B23" s="49"/>
      <c r="C23" s="30"/>
      <c r="D23" s="30"/>
      <c r="E23" s="40" t="s">
        <v>36</v>
      </c>
      <c r="F23" s="75"/>
      <c r="G23" s="75" t="s">
        <v>24</v>
      </c>
      <c r="H23" s="110"/>
      <c r="I23" s="40" t="s">
        <v>111</v>
      </c>
      <c r="J23" s="4"/>
      <c r="K23" s="4" t="str">
        <f t="shared" si="1"/>
        <v/>
      </c>
      <c r="L23" s="17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2"/>
      <c r="X23" s="2"/>
      <c r="Y23" s="2"/>
      <c r="Z23" s="2"/>
      <c r="AF23" s="3"/>
      <c r="AG23" s="3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ht="15.75" customHeight="1">
      <c r="A24" s="24"/>
      <c r="B24" s="50"/>
      <c r="C24" s="16"/>
      <c r="D24" s="30"/>
      <c r="E24" s="40" t="s">
        <v>143</v>
      </c>
      <c r="F24" s="75"/>
      <c r="G24" s="75" t="s">
        <v>24</v>
      </c>
      <c r="H24" s="110"/>
      <c r="I24" s="40" t="s">
        <v>40</v>
      </c>
      <c r="J24" s="4"/>
      <c r="K24" s="4" t="str">
        <f t="shared" si="1"/>
        <v/>
      </c>
      <c r="L24" s="17" t="str">
        <f t="shared" si="2"/>
        <v/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2"/>
      <c r="X24" s="2"/>
      <c r="Y24" s="2"/>
      <c r="Z24" s="2"/>
      <c r="AD24" s="36"/>
      <c r="AE24" s="36"/>
      <c r="AF24" s="3"/>
      <c r="AG24" s="3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ht="15.75" customHeight="1">
      <c r="A25" s="24"/>
      <c r="B25" s="49"/>
      <c r="C25" s="30"/>
      <c r="D25" s="30"/>
      <c r="E25" s="40" t="s">
        <v>33</v>
      </c>
      <c r="F25" s="75"/>
      <c r="G25" s="75" t="s">
        <v>24</v>
      </c>
      <c r="H25" s="110"/>
      <c r="I25" s="40" t="s">
        <v>23</v>
      </c>
      <c r="J25" s="4"/>
      <c r="K25" s="4" t="str">
        <f t="shared" si="1"/>
        <v/>
      </c>
      <c r="L25" s="17" t="str">
        <f t="shared" si="2"/>
        <v/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2"/>
      <c r="X25" s="2"/>
      <c r="Y25" s="2"/>
      <c r="Z25" s="2"/>
      <c r="AA25" s="3"/>
      <c r="AB25" s="3"/>
      <c r="AC25" s="3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ht="15.75" customHeight="1">
      <c r="A26" s="28"/>
      <c r="B26" s="49"/>
      <c r="C26" s="30"/>
      <c r="D26" s="30"/>
      <c r="E26" s="40" t="s">
        <v>59</v>
      </c>
      <c r="F26" s="75"/>
      <c r="G26" s="75" t="s">
        <v>24</v>
      </c>
      <c r="H26" s="110"/>
      <c r="I26" s="40" t="s">
        <v>25</v>
      </c>
      <c r="J26" s="4"/>
      <c r="K26" s="4" t="str">
        <f t="shared" si="1"/>
        <v/>
      </c>
      <c r="L26" s="17" t="str">
        <f t="shared" si="2"/>
        <v/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2"/>
      <c r="X26" s="2"/>
      <c r="Y26" s="2"/>
      <c r="Z26" s="2"/>
      <c r="AA26" s="3"/>
      <c r="AB26" s="3"/>
      <c r="AC26" s="3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ht="15.75" customHeight="1">
      <c r="A27" s="10">
        <v>5.0</v>
      </c>
      <c r="B27" s="49"/>
      <c r="C27" s="30"/>
      <c r="D27" s="111"/>
      <c r="E27" s="40" t="s">
        <v>60</v>
      </c>
      <c r="F27" s="75"/>
      <c r="G27" s="75" t="s">
        <v>24</v>
      </c>
      <c r="H27" s="110"/>
      <c r="I27" s="40" t="s">
        <v>37</v>
      </c>
      <c r="J27" s="4"/>
      <c r="K27" s="4" t="str">
        <f t="shared" si="1"/>
        <v/>
      </c>
      <c r="L27" s="17" t="str">
        <f t="shared" si="2"/>
        <v/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2"/>
      <c r="X27" s="2"/>
      <c r="Y27" s="2"/>
      <c r="Z27" s="2"/>
      <c r="AA27" s="3"/>
      <c r="AB27" s="3"/>
      <c r="AC27" s="3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ht="15.75" customHeight="1">
      <c r="A28" s="24"/>
      <c r="B28" s="49"/>
      <c r="C28" s="16"/>
      <c r="D28" s="111"/>
      <c r="E28" s="40" t="s">
        <v>54</v>
      </c>
      <c r="F28" s="75"/>
      <c r="G28" s="75" t="s">
        <v>24</v>
      </c>
      <c r="H28" s="110"/>
      <c r="I28" s="40" t="s">
        <v>36</v>
      </c>
      <c r="J28" s="4"/>
      <c r="K28" s="4" t="str">
        <f t="shared" si="1"/>
        <v/>
      </c>
      <c r="L28" s="17" t="str">
        <f t="shared" si="2"/>
        <v/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2"/>
      <c r="X28" s="2"/>
      <c r="Y28" s="2"/>
      <c r="Z28" s="2"/>
      <c r="AA28" s="3"/>
      <c r="AB28" s="3"/>
      <c r="AC28" s="3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ht="15.75" customHeight="1">
      <c r="A29" s="24"/>
      <c r="B29" s="49"/>
      <c r="C29" s="30"/>
      <c r="D29" s="111"/>
      <c r="E29" s="40" t="s">
        <v>111</v>
      </c>
      <c r="F29" s="75"/>
      <c r="G29" s="75" t="s">
        <v>24</v>
      </c>
      <c r="H29" s="110"/>
      <c r="I29" s="40" t="s">
        <v>143</v>
      </c>
      <c r="J29" s="4"/>
      <c r="K29" s="4" t="str">
        <f t="shared" si="1"/>
        <v/>
      </c>
      <c r="L29" s="17" t="str">
        <f t="shared" si="2"/>
        <v/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2"/>
      <c r="X29" s="2"/>
      <c r="Y29" s="2"/>
      <c r="Z29" s="2"/>
      <c r="AA29" s="3"/>
      <c r="AB29" s="3"/>
      <c r="AC29" s="3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ht="15.75" customHeight="1">
      <c r="A30" s="24"/>
      <c r="B30" s="49"/>
      <c r="C30" s="30"/>
      <c r="D30" s="111"/>
      <c r="E30" s="40" t="s">
        <v>40</v>
      </c>
      <c r="F30" s="75"/>
      <c r="G30" s="75" t="s">
        <v>24</v>
      </c>
      <c r="H30" s="110"/>
      <c r="I30" s="40" t="s">
        <v>33</v>
      </c>
      <c r="J30" s="4"/>
      <c r="K30" s="4" t="str">
        <f t="shared" si="1"/>
        <v/>
      </c>
      <c r="L30" s="17" t="str">
        <f t="shared" si="2"/>
        <v/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2"/>
      <c r="X30" s="2"/>
      <c r="Y30" s="2"/>
      <c r="Z30" s="2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ht="15.75" customHeight="1">
      <c r="A31" s="24"/>
      <c r="B31" s="49"/>
      <c r="C31" s="16"/>
      <c r="D31" s="111"/>
      <c r="E31" s="40" t="s">
        <v>23</v>
      </c>
      <c r="F31" s="75"/>
      <c r="G31" s="75" t="s">
        <v>24</v>
      </c>
      <c r="H31" s="110"/>
      <c r="I31" s="40" t="s">
        <v>59</v>
      </c>
      <c r="J31" s="4"/>
      <c r="K31" s="4" t="str">
        <f t="shared" si="1"/>
        <v/>
      </c>
      <c r="L31" s="17" t="str">
        <f t="shared" si="2"/>
        <v/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2"/>
      <c r="X31" s="2"/>
      <c r="Y31" s="2"/>
      <c r="Z31" s="2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ht="15.75" customHeight="1">
      <c r="A32" s="28"/>
      <c r="B32" s="49"/>
      <c r="C32" s="30"/>
      <c r="D32" s="111"/>
      <c r="E32" s="40" t="s">
        <v>108</v>
      </c>
      <c r="F32" s="75"/>
      <c r="G32" s="75" t="s">
        <v>24</v>
      </c>
      <c r="H32" s="110"/>
      <c r="I32" s="40" t="s">
        <v>25</v>
      </c>
      <c r="J32" s="4"/>
      <c r="K32" s="4" t="str">
        <f t="shared" si="1"/>
        <v/>
      </c>
      <c r="L32" s="17" t="str">
        <f t="shared" si="2"/>
        <v/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2"/>
      <c r="X32" s="2"/>
      <c r="Y32" s="2"/>
      <c r="Z32" s="2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ht="15.75" customHeight="1">
      <c r="A33" s="10">
        <v>6.0</v>
      </c>
      <c r="B33" s="49"/>
      <c r="C33" s="30"/>
      <c r="D33" s="30"/>
      <c r="E33" s="40" t="s">
        <v>37</v>
      </c>
      <c r="F33" s="75"/>
      <c r="G33" s="75" t="s">
        <v>24</v>
      </c>
      <c r="H33" s="110"/>
      <c r="I33" s="40" t="s">
        <v>108</v>
      </c>
      <c r="J33" s="4"/>
      <c r="K33" s="4" t="str">
        <f t="shared" si="1"/>
        <v/>
      </c>
      <c r="L33" s="17" t="str">
        <f t="shared" si="2"/>
        <v/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2"/>
      <c r="X33" s="2"/>
      <c r="Y33" s="2"/>
      <c r="Z33" s="2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ht="15.75" customHeight="1">
      <c r="A34" s="24"/>
      <c r="B34" s="49"/>
      <c r="C34" s="30"/>
      <c r="D34" s="30"/>
      <c r="E34" s="40" t="s">
        <v>36</v>
      </c>
      <c r="F34" s="75"/>
      <c r="G34" s="75" t="s">
        <v>24</v>
      </c>
      <c r="H34" s="110"/>
      <c r="I34" s="40" t="s">
        <v>60</v>
      </c>
      <c r="J34" s="4"/>
      <c r="K34" s="4" t="str">
        <f t="shared" si="1"/>
        <v/>
      </c>
      <c r="L34" s="17" t="str">
        <f t="shared" si="2"/>
        <v/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2"/>
      <c r="X34" s="2"/>
      <c r="Y34" s="2"/>
      <c r="Z34" s="2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ht="15.75" customHeight="1">
      <c r="A35" s="24"/>
      <c r="B35" s="49"/>
      <c r="C35" s="30"/>
      <c r="D35" s="30"/>
      <c r="E35" s="40" t="s">
        <v>143</v>
      </c>
      <c r="F35" s="75"/>
      <c r="G35" s="75" t="s">
        <v>24</v>
      </c>
      <c r="H35" s="110"/>
      <c r="I35" s="40" t="s">
        <v>54</v>
      </c>
      <c r="J35" s="4"/>
      <c r="K35" s="4" t="str">
        <f t="shared" si="1"/>
        <v/>
      </c>
      <c r="L35" s="17" t="str">
        <f t="shared" si="2"/>
        <v/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2"/>
      <c r="X35" s="2"/>
      <c r="Y35" s="2"/>
      <c r="Z35" s="2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ht="15.75" customHeight="1">
      <c r="A36" s="24"/>
      <c r="B36" s="49"/>
      <c r="C36" s="16"/>
      <c r="D36" s="30"/>
      <c r="E36" s="40" t="s">
        <v>33</v>
      </c>
      <c r="F36" s="75"/>
      <c r="G36" s="75" t="s">
        <v>24</v>
      </c>
      <c r="H36" s="110"/>
      <c r="I36" s="40" t="s">
        <v>111</v>
      </c>
      <c r="J36" s="4"/>
      <c r="K36" s="4" t="str">
        <f t="shared" si="1"/>
        <v/>
      </c>
      <c r="L36" s="17" t="str">
        <f t="shared" si="2"/>
        <v/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2"/>
      <c r="X36" s="2"/>
      <c r="Y36" s="2"/>
      <c r="Z36" s="2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ht="15.75" customHeight="1">
      <c r="A37" s="24"/>
      <c r="B37" s="49"/>
      <c r="C37" s="30"/>
      <c r="D37" s="30"/>
      <c r="E37" s="40" t="s">
        <v>59</v>
      </c>
      <c r="F37" s="75"/>
      <c r="G37" s="75" t="s">
        <v>24</v>
      </c>
      <c r="H37" s="110"/>
      <c r="I37" s="40" t="s">
        <v>40</v>
      </c>
      <c r="J37" s="4"/>
      <c r="K37" s="4" t="str">
        <f t="shared" si="1"/>
        <v/>
      </c>
      <c r="L37" s="17" t="str">
        <f t="shared" si="2"/>
        <v/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2"/>
      <c r="X37" s="2"/>
      <c r="Y37" s="2"/>
      <c r="Z37" s="2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ht="15.75" customHeight="1">
      <c r="A38" s="28"/>
      <c r="B38" s="49"/>
      <c r="C38" s="30"/>
      <c r="D38" s="30"/>
      <c r="E38" s="40" t="s">
        <v>25</v>
      </c>
      <c r="F38" s="75"/>
      <c r="G38" s="75" t="s">
        <v>24</v>
      </c>
      <c r="H38" s="110"/>
      <c r="I38" s="40" t="s">
        <v>23</v>
      </c>
      <c r="J38" s="4"/>
      <c r="K38" s="4" t="str">
        <f t="shared" si="1"/>
        <v/>
      </c>
      <c r="L38" s="17" t="str">
        <f t="shared" si="2"/>
        <v/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2"/>
      <c r="X38" s="2"/>
      <c r="Y38" s="2"/>
      <c r="Z38" s="2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ht="15.75" customHeight="1">
      <c r="A39" s="10">
        <v>7.0</v>
      </c>
      <c r="B39" s="49"/>
      <c r="C39" s="30"/>
      <c r="D39" s="111"/>
      <c r="E39" s="40" t="s">
        <v>37</v>
      </c>
      <c r="F39" s="75"/>
      <c r="G39" s="75" t="s">
        <v>24</v>
      </c>
      <c r="H39" s="110"/>
      <c r="I39" s="40" t="s">
        <v>36</v>
      </c>
      <c r="J39" s="4"/>
      <c r="K39" s="4" t="str">
        <f t="shared" si="1"/>
        <v/>
      </c>
      <c r="L39" s="17" t="str">
        <f t="shared" si="2"/>
        <v/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2"/>
      <c r="X39" s="2"/>
      <c r="Y39" s="2"/>
      <c r="Z39" s="2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ht="15.75" customHeight="1">
      <c r="A40" s="24"/>
      <c r="B40" s="49"/>
      <c r="C40" s="30"/>
      <c r="D40" s="111"/>
      <c r="E40" s="40" t="s">
        <v>60</v>
      </c>
      <c r="F40" s="75"/>
      <c r="G40" s="75" t="s">
        <v>24</v>
      </c>
      <c r="H40" s="110"/>
      <c r="I40" s="40" t="s">
        <v>143</v>
      </c>
      <c r="J40" s="4"/>
      <c r="K40" s="4" t="str">
        <f t="shared" si="1"/>
        <v/>
      </c>
      <c r="L40" s="17" t="str">
        <f t="shared" si="2"/>
        <v/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2"/>
      <c r="X40" s="2"/>
      <c r="Y40" s="2"/>
      <c r="Z40" s="2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ht="15.75" customHeight="1">
      <c r="A41" s="24"/>
      <c r="B41" s="49"/>
      <c r="C41" s="30"/>
      <c r="D41" s="111"/>
      <c r="E41" s="40" t="s">
        <v>54</v>
      </c>
      <c r="F41" s="75"/>
      <c r="G41" s="75" t="s">
        <v>24</v>
      </c>
      <c r="H41" s="110"/>
      <c r="I41" s="40" t="s">
        <v>33</v>
      </c>
      <c r="J41" s="4"/>
      <c r="K41" s="4" t="str">
        <f t="shared" si="1"/>
        <v/>
      </c>
      <c r="L41" s="17" t="str">
        <f t="shared" si="2"/>
        <v/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2"/>
      <c r="X41" s="2"/>
      <c r="Y41" s="2"/>
      <c r="Z41" s="2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ht="15.75" customHeight="1">
      <c r="A42" s="24"/>
      <c r="B42" s="49"/>
      <c r="C42" s="16"/>
      <c r="D42" s="111"/>
      <c r="E42" s="40" t="s">
        <v>111</v>
      </c>
      <c r="F42" s="75"/>
      <c r="G42" s="75" t="s">
        <v>24</v>
      </c>
      <c r="H42" s="110"/>
      <c r="I42" s="40" t="s">
        <v>59</v>
      </c>
      <c r="J42" s="4"/>
      <c r="K42" s="4" t="str">
        <f t="shared" si="1"/>
        <v/>
      </c>
      <c r="L42" s="17" t="str">
        <f t="shared" si="2"/>
        <v/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2"/>
      <c r="X42" s="2"/>
      <c r="Y42" s="2"/>
      <c r="Z42" s="2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ht="15.75" customHeight="1">
      <c r="A43" s="24"/>
      <c r="B43" s="49"/>
      <c r="C43" s="30"/>
      <c r="D43" s="111"/>
      <c r="E43" s="40" t="s">
        <v>40</v>
      </c>
      <c r="F43" s="75"/>
      <c r="G43" s="75" t="s">
        <v>24</v>
      </c>
      <c r="H43" s="110"/>
      <c r="I43" s="40" t="s">
        <v>25</v>
      </c>
      <c r="J43" s="4"/>
      <c r="K43" s="4" t="str">
        <f t="shared" si="1"/>
        <v/>
      </c>
      <c r="L43" s="17" t="str">
        <f t="shared" si="2"/>
        <v/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2"/>
      <c r="X43" s="2"/>
      <c r="Y43" s="2"/>
      <c r="Z43" s="2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ht="15.75" customHeight="1">
      <c r="A44" s="28"/>
      <c r="B44" s="49"/>
      <c r="C44" s="30"/>
      <c r="D44" s="111"/>
      <c r="E44" s="40" t="s">
        <v>108</v>
      </c>
      <c r="F44" s="75"/>
      <c r="G44" s="75" t="s">
        <v>24</v>
      </c>
      <c r="H44" s="110"/>
      <c r="I44" s="40" t="s">
        <v>23</v>
      </c>
      <c r="J44" s="4"/>
      <c r="K44" s="4" t="str">
        <f t="shared" si="1"/>
        <v/>
      </c>
      <c r="L44" s="17" t="str">
        <f t="shared" si="2"/>
        <v/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2"/>
      <c r="X44" s="2"/>
      <c r="Y44" s="2"/>
      <c r="Z44" s="2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ht="15.75" customHeight="1">
      <c r="A45" s="10">
        <v>8.0</v>
      </c>
      <c r="B45" s="49"/>
      <c r="C45" s="30"/>
      <c r="D45" s="30"/>
      <c r="E45" s="40" t="s">
        <v>36</v>
      </c>
      <c r="F45" s="75"/>
      <c r="G45" s="75" t="s">
        <v>24</v>
      </c>
      <c r="H45" s="110"/>
      <c r="I45" s="40" t="s">
        <v>108</v>
      </c>
      <c r="J45" s="4"/>
      <c r="K45" s="4" t="str">
        <f t="shared" si="1"/>
        <v/>
      </c>
      <c r="L45" s="17" t="str">
        <f t="shared" si="2"/>
        <v/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2"/>
      <c r="X45" s="2"/>
      <c r="Y45" s="2"/>
      <c r="Z45" s="2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ht="15.75" customHeight="1">
      <c r="A46" s="24"/>
      <c r="B46" s="49"/>
      <c r="C46" s="30"/>
      <c r="D46" s="30"/>
      <c r="E46" s="40" t="s">
        <v>143</v>
      </c>
      <c r="F46" s="75"/>
      <c r="G46" s="75" t="s">
        <v>24</v>
      </c>
      <c r="H46" s="110"/>
      <c r="I46" s="40" t="s">
        <v>37</v>
      </c>
      <c r="J46" s="4"/>
      <c r="K46" s="4" t="str">
        <f t="shared" si="1"/>
        <v/>
      </c>
      <c r="L46" s="17" t="str">
        <f t="shared" si="2"/>
        <v/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2"/>
      <c r="X46" s="2"/>
      <c r="Y46" s="2"/>
      <c r="Z46" s="2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ht="15.75" customHeight="1">
      <c r="A47" s="24"/>
      <c r="B47" s="49"/>
      <c r="C47" s="30"/>
      <c r="D47" s="30"/>
      <c r="E47" s="40" t="s">
        <v>33</v>
      </c>
      <c r="F47" s="75"/>
      <c r="G47" s="75" t="s">
        <v>24</v>
      </c>
      <c r="H47" s="110"/>
      <c r="I47" s="40" t="s">
        <v>60</v>
      </c>
      <c r="J47" s="4"/>
      <c r="K47" s="4" t="str">
        <f t="shared" si="1"/>
        <v/>
      </c>
      <c r="L47" s="17" t="str">
        <f t="shared" si="2"/>
        <v/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2"/>
      <c r="X47" s="2"/>
      <c r="Y47" s="2"/>
      <c r="Z47" s="2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ht="15.75" customHeight="1">
      <c r="A48" s="24"/>
      <c r="B48" s="49"/>
      <c r="C48" s="30"/>
      <c r="D48" s="30"/>
      <c r="E48" s="40" t="s">
        <v>59</v>
      </c>
      <c r="F48" s="75"/>
      <c r="G48" s="75" t="s">
        <v>24</v>
      </c>
      <c r="H48" s="110"/>
      <c r="I48" s="40" t="s">
        <v>54</v>
      </c>
      <c r="J48" s="36"/>
      <c r="K48" s="4" t="str">
        <f t="shared" si="1"/>
        <v/>
      </c>
      <c r="L48" s="17" t="str">
        <f t="shared" si="2"/>
        <v/>
      </c>
      <c r="M48" s="2"/>
      <c r="N48" s="2"/>
      <c r="O48" s="2"/>
      <c r="P48" s="2"/>
      <c r="Q48" s="3"/>
      <c r="R48" s="3"/>
      <c r="S48" s="3"/>
      <c r="T48" s="3"/>
      <c r="U48" s="3"/>
      <c r="V48" s="3"/>
      <c r="W48" s="2"/>
      <c r="X48" s="2"/>
      <c r="Y48" s="2"/>
      <c r="Z48" s="2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ht="15.75" customHeight="1">
      <c r="A49" s="24"/>
      <c r="B49" s="49"/>
      <c r="C49" s="30"/>
      <c r="D49" s="30"/>
      <c r="E49" s="40" t="s">
        <v>25</v>
      </c>
      <c r="F49" s="75"/>
      <c r="G49" s="75" t="s">
        <v>24</v>
      </c>
      <c r="H49" s="110"/>
      <c r="I49" s="40" t="s">
        <v>111</v>
      </c>
      <c r="J49" s="36"/>
      <c r="K49" s="4" t="str">
        <f t="shared" si="1"/>
        <v/>
      </c>
      <c r="L49" s="17" t="str">
        <f t="shared" si="2"/>
        <v/>
      </c>
      <c r="M49" s="2"/>
      <c r="N49" s="2"/>
      <c r="O49" s="2"/>
      <c r="P49" s="2"/>
      <c r="Q49" s="3"/>
      <c r="R49" s="3"/>
      <c r="S49" s="3"/>
      <c r="T49" s="3"/>
      <c r="U49" s="3"/>
      <c r="V49" s="3"/>
      <c r="W49" s="2"/>
      <c r="X49" s="2"/>
      <c r="Y49" s="2"/>
      <c r="Z49" s="2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ht="15.75" customHeight="1">
      <c r="A50" s="28"/>
      <c r="B50" s="49"/>
      <c r="C50" s="30"/>
      <c r="D50" s="30"/>
      <c r="E50" s="40" t="s">
        <v>23</v>
      </c>
      <c r="F50" s="75"/>
      <c r="G50" s="75" t="s">
        <v>24</v>
      </c>
      <c r="H50" s="110"/>
      <c r="I50" s="40" t="s">
        <v>40</v>
      </c>
      <c r="J50" s="36"/>
      <c r="K50" s="4" t="str">
        <f t="shared" si="1"/>
        <v/>
      </c>
      <c r="L50" s="17" t="str">
        <f t="shared" si="2"/>
        <v/>
      </c>
      <c r="M50" s="2"/>
      <c r="N50" s="2"/>
      <c r="O50" s="2"/>
      <c r="P50" s="2"/>
      <c r="Q50" s="3"/>
      <c r="R50" s="3"/>
      <c r="S50" s="3"/>
      <c r="T50" s="3"/>
      <c r="U50" s="3"/>
      <c r="V50" s="3"/>
      <c r="W50" s="2"/>
      <c r="X50" s="2"/>
      <c r="Y50" s="2"/>
      <c r="Z50" s="2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ht="15.75" customHeight="1">
      <c r="A51" s="10">
        <v>9.0</v>
      </c>
      <c r="B51" s="49"/>
      <c r="C51" s="16"/>
      <c r="D51" s="111"/>
      <c r="E51" s="40" t="s">
        <v>36</v>
      </c>
      <c r="F51" s="75"/>
      <c r="G51" s="75" t="s">
        <v>24</v>
      </c>
      <c r="H51" s="110"/>
      <c r="I51" s="40" t="s">
        <v>143</v>
      </c>
      <c r="J51" s="36"/>
      <c r="K51" s="4" t="str">
        <f t="shared" si="1"/>
        <v/>
      </c>
      <c r="L51" s="17" t="str">
        <f t="shared" si="2"/>
        <v/>
      </c>
      <c r="M51" s="2"/>
      <c r="N51" s="2"/>
      <c r="O51" s="2"/>
      <c r="P51" s="2"/>
      <c r="Q51" s="3"/>
      <c r="R51" s="3"/>
      <c r="S51" s="3"/>
      <c r="T51" s="3"/>
      <c r="U51" s="3"/>
      <c r="V51" s="3"/>
      <c r="W51" s="2"/>
      <c r="X51" s="2"/>
      <c r="Y51" s="2"/>
      <c r="Z51" s="2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ht="15.75" customHeight="1">
      <c r="A52" s="24"/>
      <c r="B52" s="49"/>
      <c r="C52" s="16"/>
      <c r="D52" s="111"/>
      <c r="E52" s="40" t="s">
        <v>37</v>
      </c>
      <c r="F52" s="75"/>
      <c r="G52" s="75" t="s">
        <v>24</v>
      </c>
      <c r="H52" s="110"/>
      <c r="I52" s="40" t="s">
        <v>33</v>
      </c>
      <c r="J52" s="36"/>
      <c r="K52" s="4" t="str">
        <f t="shared" si="1"/>
        <v/>
      </c>
      <c r="L52" s="17" t="str">
        <f t="shared" si="2"/>
        <v/>
      </c>
      <c r="M52" s="2"/>
      <c r="N52" s="2"/>
      <c r="O52" s="2"/>
      <c r="P52" s="2"/>
      <c r="Q52" s="3"/>
      <c r="R52" s="3"/>
      <c r="S52" s="3"/>
      <c r="T52" s="3"/>
      <c r="U52" s="3"/>
      <c r="V52" s="3"/>
      <c r="W52" s="2"/>
      <c r="X52" s="2"/>
      <c r="Y52" s="2"/>
      <c r="Z52" s="2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ht="15.75" customHeight="1">
      <c r="A53" s="24"/>
      <c r="B53" s="49"/>
      <c r="C53" s="30"/>
      <c r="D53" s="111"/>
      <c r="E53" s="40" t="s">
        <v>60</v>
      </c>
      <c r="F53" s="75"/>
      <c r="G53" s="75" t="s">
        <v>24</v>
      </c>
      <c r="H53" s="110"/>
      <c r="I53" s="40" t="s">
        <v>59</v>
      </c>
      <c r="J53" s="36"/>
      <c r="K53" s="4" t="str">
        <f t="shared" si="1"/>
        <v/>
      </c>
      <c r="L53" s="17" t="str">
        <f t="shared" si="2"/>
        <v/>
      </c>
      <c r="M53" s="2"/>
      <c r="N53" s="2"/>
      <c r="O53" s="2"/>
      <c r="P53" s="2"/>
      <c r="Q53" s="3"/>
      <c r="R53" s="3"/>
      <c r="S53" s="3"/>
      <c r="T53" s="3"/>
      <c r="U53" s="3"/>
      <c r="V53" s="3"/>
      <c r="W53" s="2"/>
      <c r="X53" s="2"/>
      <c r="Y53" s="2"/>
      <c r="Z53" s="2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>
      <c r="A54" s="24"/>
      <c r="B54" s="49"/>
      <c r="C54" s="30"/>
      <c r="D54" s="111"/>
      <c r="E54" s="40" t="s">
        <v>54</v>
      </c>
      <c r="F54" s="75"/>
      <c r="G54" s="75" t="s">
        <v>24</v>
      </c>
      <c r="H54" s="110"/>
      <c r="I54" s="40" t="s">
        <v>25</v>
      </c>
      <c r="J54" s="2"/>
      <c r="K54" s="4" t="str">
        <f t="shared" si="1"/>
        <v/>
      </c>
      <c r="L54" s="17" t="str">
        <f t="shared" si="2"/>
        <v/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>
      <c r="A55" s="24"/>
      <c r="B55" s="49"/>
      <c r="C55" s="30"/>
      <c r="D55" s="111"/>
      <c r="E55" s="40" t="s">
        <v>111</v>
      </c>
      <c r="F55" s="75"/>
      <c r="G55" s="75" t="s">
        <v>24</v>
      </c>
      <c r="H55" s="110"/>
      <c r="I55" s="40" t="s">
        <v>23</v>
      </c>
      <c r="J55" s="2"/>
      <c r="K55" s="4" t="str">
        <f t="shared" si="1"/>
        <v/>
      </c>
      <c r="L55" s="17" t="str">
        <f t="shared" si="2"/>
        <v/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>
      <c r="A56" s="28"/>
      <c r="B56" s="49"/>
      <c r="C56" s="16"/>
      <c r="D56" s="111"/>
      <c r="E56" s="40" t="s">
        <v>108</v>
      </c>
      <c r="F56" s="75"/>
      <c r="G56" s="75" t="s">
        <v>24</v>
      </c>
      <c r="H56" s="110"/>
      <c r="I56" s="40" t="s">
        <v>40</v>
      </c>
      <c r="J56" s="2"/>
      <c r="K56" s="4" t="str">
        <f t="shared" si="1"/>
        <v/>
      </c>
      <c r="L56" s="17" t="str">
        <f t="shared" si="2"/>
        <v/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>
      <c r="A57" s="10">
        <v>10.0</v>
      </c>
      <c r="B57" s="49"/>
      <c r="C57" s="30"/>
      <c r="D57" s="111"/>
      <c r="E57" s="40" t="s">
        <v>108</v>
      </c>
      <c r="F57" s="30"/>
      <c r="G57" s="75" t="s">
        <v>24</v>
      </c>
      <c r="H57" s="110"/>
      <c r="I57" s="40" t="s">
        <v>143</v>
      </c>
      <c r="J57" s="2"/>
      <c r="K57" s="4" t="str">
        <f t="shared" si="1"/>
        <v/>
      </c>
      <c r="L57" s="17" t="str">
        <f t="shared" si="2"/>
        <v/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>
      <c r="A58" s="24"/>
      <c r="B58" s="49"/>
      <c r="C58" s="30"/>
      <c r="D58" s="111"/>
      <c r="E58" s="40" t="s">
        <v>33</v>
      </c>
      <c r="F58" s="16"/>
      <c r="G58" s="75" t="s">
        <v>24</v>
      </c>
      <c r="H58" s="110"/>
      <c r="I58" s="40" t="s">
        <v>36</v>
      </c>
      <c r="J58" s="2"/>
      <c r="K58" s="4" t="str">
        <f t="shared" si="1"/>
        <v/>
      </c>
      <c r="L58" s="17" t="str">
        <f t="shared" si="2"/>
        <v/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>
      <c r="A59" s="24"/>
      <c r="B59" s="49"/>
      <c r="C59" s="30"/>
      <c r="D59" s="111"/>
      <c r="E59" s="40" t="s">
        <v>59</v>
      </c>
      <c r="F59" s="30"/>
      <c r="G59" s="75" t="s">
        <v>24</v>
      </c>
      <c r="H59" s="110"/>
      <c r="I59" s="40" t="s">
        <v>37</v>
      </c>
      <c r="J59" s="2"/>
      <c r="K59" s="4" t="str">
        <f t="shared" si="1"/>
        <v/>
      </c>
      <c r="L59" s="17" t="str">
        <f t="shared" si="2"/>
        <v/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>
      <c r="A60" s="24"/>
      <c r="B60" s="49"/>
      <c r="C60" s="30"/>
      <c r="D60" s="111"/>
      <c r="E60" s="40" t="s">
        <v>25</v>
      </c>
      <c r="F60" s="30"/>
      <c r="G60" s="75" t="s">
        <v>24</v>
      </c>
      <c r="H60" s="110"/>
      <c r="I60" s="40" t="s">
        <v>60</v>
      </c>
      <c r="J60" s="2"/>
      <c r="K60" s="4" t="str">
        <f t="shared" si="1"/>
        <v/>
      </c>
      <c r="L60" s="17" t="str">
        <f t="shared" si="2"/>
        <v/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>
      <c r="A61" s="24"/>
      <c r="B61" s="49"/>
      <c r="C61" s="30"/>
      <c r="D61" s="111"/>
      <c r="E61" s="40" t="s">
        <v>23</v>
      </c>
      <c r="F61" s="30"/>
      <c r="G61" s="75" t="s">
        <v>24</v>
      </c>
      <c r="H61" s="110"/>
      <c r="I61" s="40" t="s">
        <v>54</v>
      </c>
      <c r="J61" s="2"/>
      <c r="K61" s="4" t="str">
        <f t="shared" si="1"/>
        <v/>
      </c>
      <c r="L61" s="17" t="str">
        <f t="shared" si="2"/>
        <v/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>
      <c r="A62" s="28"/>
      <c r="B62" s="49"/>
      <c r="C62" s="30"/>
      <c r="D62" s="111"/>
      <c r="E62" s="40" t="s">
        <v>40</v>
      </c>
      <c r="F62" s="30"/>
      <c r="G62" s="75" t="s">
        <v>24</v>
      </c>
      <c r="H62" s="110"/>
      <c r="I62" s="40" t="s">
        <v>111</v>
      </c>
      <c r="J62" s="2"/>
      <c r="K62" s="4" t="str">
        <f t="shared" si="1"/>
        <v/>
      </c>
      <c r="L62" s="17" t="str">
        <f t="shared" si="2"/>
        <v/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>
      <c r="A63" s="10">
        <v>11.0</v>
      </c>
      <c r="B63" s="49"/>
      <c r="C63" s="30"/>
      <c r="D63" s="30"/>
      <c r="E63" s="40" t="s">
        <v>143</v>
      </c>
      <c r="F63" s="75"/>
      <c r="G63" s="75" t="s">
        <v>24</v>
      </c>
      <c r="H63" s="110"/>
      <c r="I63" s="40" t="s">
        <v>33</v>
      </c>
      <c r="J63" s="2"/>
      <c r="K63" s="4" t="str">
        <f t="shared" si="1"/>
        <v/>
      </c>
      <c r="L63" s="17" t="str">
        <f t="shared" si="2"/>
        <v/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>
      <c r="A64" s="24"/>
      <c r="B64" s="50"/>
      <c r="C64" s="30"/>
      <c r="D64" s="30"/>
      <c r="E64" s="40" t="s">
        <v>36</v>
      </c>
      <c r="F64" s="75"/>
      <c r="G64" s="75" t="s">
        <v>24</v>
      </c>
      <c r="H64" s="110"/>
      <c r="I64" s="40" t="s">
        <v>59</v>
      </c>
      <c r="J64" s="2"/>
      <c r="K64" s="4" t="str">
        <f t="shared" si="1"/>
        <v/>
      </c>
      <c r="L64" s="17" t="str">
        <f t="shared" si="2"/>
        <v/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>
      <c r="A65" s="24"/>
      <c r="B65" s="49"/>
      <c r="C65" s="30"/>
      <c r="D65" s="30"/>
      <c r="E65" s="40" t="s">
        <v>37</v>
      </c>
      <c r="F65" s="75"/>
      <c r="G65" s="75" t="s">
        <v>24</v>
      </c>
      <c r="H65" s="110"/>
      <c r="I65" s="40" t="s">
        <v>25</v>
      </c>
      <c r="J65" s="2"/>
      <c r="K65" s="4" t="str">
        <f t="shared" si="1"/>
        <v/>
      </c>
      <c r="L65" s="17" t="str">
        <f t="shared" si="2"/>
        <v/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>
      <c r="A66" s="24"/>
      <c r="B66" s="49"/>
      <c r="C66" s="30"/>
      <c r="D66" s="30"/>
      <c r="E66" s="40" t="s">
        <v>60</v>
      </c>
      <c r="F66" s="75"/>
      <c r="G66" s="75" t="s">
        <v>24</v>
      </c>
      <c r="H66" s="110"/>
      <c r="I66" s="40" t="s">
        <v>23</v>
      </c>
      <c r="J66" s="2"/>
      <c r="K66" s="4" t="str">
        <f t="shared" si="1"/>
        <v/>
      </c>
      <c r="L66" s="17" t="str">
        <f t="shared" si="2"/>
        <v/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>
      <c r="A67" s="24"/>
      <c r="B67" s="49"/>
      <c r="C67" s="30"/>
      <c r="D67" s="30"/>
      <c r="E67" s="40" t="s">
        <v>54</v>
      </c>
      <c r="F67" s="75"/>
      <c r="G67" s="75" t="s">
        <v>24</v>
      </c>
      <c r="H67" s="110"/>
      <c r="I67" s="40" t="s">
        <v>40</v>
      </c>
      <c r="J67" s="2"/>
      <c r="K67" s="4" t="str">
        <f t="shared" si="1"/>
        <v/>
      </c>
      <c r="L67" s="17" t="str">
        <f t="shared" si="2"/>
        <v/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>
      <c r="A68" s="28"/>
      <c r="B68" s="49"/>
      <c r="C68" s="30"/>
      <c r="D68" s="30"/>
      <c r="E68" s="40" t="s">
        <v>111</v>
      </c>
      <c r="F68" s="14"/>
      <c r="G68" s="75" t="s">
        <v>24</v>
      </c>
      <c r="H68" s="104"/>
      <c r="I68" s="40" t="s">
        <v>108</v>
      </c>
      <c r="J68" s="2"/>
      <c r="K68" s="4" t="str">
        <f t="shared" si="1"/>
        <v/>
      </c>
      <c r="L68" s="17" t="str">
        <f t="shared" si="2"/>
        <v/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ht="15.75" customHeight="1">
      <c r="A72" s="83"/>
      <c r="B72" s="36"/>
      <c r="C72" s="36"/>
      <c r="D72" s="36"/>
      <c r="E72" s="36"/>
      <c r="F72" s="36"/>
      <c r="G72" s="36"/>
      <c r="H72" s="36"/>
      <c r="I72" s="36"/>
      <c r="J72" s="36"/>
      <c r="K72" s="2"/>
      <c r="L72" s="2"/>
      <c r="M72" s="2"/>
      <c r="N72" s="2"/>
      <c r="O72" s="2"/>
      <c r="P72" s="2"/>
      <c r="Q72" s="3"/>
      <c r="R72" s="3"/>
      <c r="S72" s="3"/>
      <c r="T72" s="3"/>
      <c r="U72" s="3"/>
      <c r="V72" s="3"/>
      <c r="W72" s="2"/>
      <c r="X72" s="2"/>
      <c r="Y72" s="2"/>
      <c r="Z72" s="2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ht="15.75" customHeight="1">
      <c r="A73" s="55" t="s">
        <v>188</v>
      </c>
      <c r="H73" s="36"/>
      <c r="I73" s="36"/>
      <c r="J73" s="36"/>
      <c r="K73" s="2"/>
      <c r="L73" s="2"/>
      <c r="M73" s="2"/>
      <c r="N73" s="2"/>
      <c r="O73" s="2"/>
      <c r="P73" s="2"/>
      <c r="Q73" s="3"/>
      <c r="R73" s="3"/>
      <c r="S73" s="3"/>
      <c r="T73" s="3"/>
      <c r="U73" s="3"/>
      <c r="V73" s="3"/>
      <c r="W73" s="2"/>
      <c r="X73" s="2"/>
      <c r="Y73" s="2"/>
      <c r="Z73" s="2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ht="15.75" customHeight="1">
      <c r="A74" s="57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9" t="s">
        <v>8</v>
      </c>
      <c r="K74" s="9" t="s">
        <v>9</v>
      </c>
      <c r="L74" s="9" t="s">
        <v>10</v>
      </c>
      <c r="M74" s="9"/>
      <c r="N74" s="9" t="s">
        <v>11</v>
      </c>
      <c r="O74" s="9" t="s">
        <v>12</v>
      </c>
      <c r="P74" s="9" t="s">
        <v>13</v>
      </c>
      <c r="Q74" s="9" t="s">
        <v>14</v>
      </c>
      <c r="R74" s="9" t="s">
        <v>15</v>
      </c>
      <c r="S74" s="9" t="s">
        <v>16</v>
      </c>
      <c r="T74" s="9" t="s">
        <v>17</v>
      </c>
      <c r="U74" s="9" t="s">
        <v>18</v>
      </c>
      <c r="V74" s="9" t="s">
        <v>19</v>
      </c>
      <c r="W74" s="3" t="s">
        <v>20</v>
      </c>
      <c r="X74" s="2"/>
      <c r="Y74" s="2"/>
      <c r="Z74" s="2"/>
      <c r="AA74" s="5" t="s">
        <v>11</v>
      </c>
      <c r="AB74" s="5" t="s">
        <v>12</v>
      </c>
      <c r="AC74" s="5" t="s">
        <v>13</v>
      </c>
      <c r="AD74" s="5" t="s">
        <v>14</v>
      </c>
      <c r="AE74" s="5" t="s">
        <v>15</v>
      </c>
      <c r="AF74" s="5" t="s">
        <v>16</v>
      </c>
      <c r="AG74" s="5" t="s">
        <v>17</v>
      </c>
      <c r="AH74" s="5" t="s">
        <v>18</v>
      </c>
      <c r="AI74" s="5" t="s">
        <v>19</v>
      </c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</row>
    <row r="75" ht="15.75" customHeight="1">
      <c r="A75" s="10">
        <v>1.0</v>
      </c>
      <c r="B75" s="97">
        <v>45952.0</v>
      </c>
      <c r="C75" s="59" t="s">
        <v>117</v>
      </c>
      <c r="D75" s="59" t="s">
        <v>183</v>
      </c>
      <c r="E75" s="14" t="s">
        <v>57</v>
      </c>
      <c r="F75" s="78">
        <v>1.0</v>
      </c>
      <c r="G75" s="75" t="s">
        <v>24</v>
      </c>
      <c r="H75" s="78">
        <v>5.0</v>
      </c>
      <c r="I75" s="14" t="s">
        <v>189</v>
      </c>
      <c r="J75" s="4"/>
      <c r="K75" s="4">
        <f t="shared" ref="K75:K119" si="10">IF(F75="","",IFS(F75&gt;H75,3,F75=H75,1,H75&gt;F75,0,F75="",0))</f>
        <v>0</v>
      </c>
      <c r="L75" s="17">
        <f t="shared" ref="L75:L119" si="11">IF(H75="","",IFS(F75&lt;H75,3,F75=H75,1,H75&lt;F75,0))</f>
        <v>3</v>
      </c>
      <c r="M75" s="4"/>
      <c r="N75" s="17">
        <v>1.0</v>
      </c>
      <c r="O75" s="46" t="s">
        <v>189</v>
      </c>
      <c r="P75" s="17">
        <f t="shared" ref="P75:P82" si="12">SUMIF(E$75:E$119,O75,K$75:K$119)+SUMIF(I$75:I$119,O75,L$75:L$119)</f>
        <v>3</v>
      </c>
      <c r="Q75" s="17">
        <f t="shared" ref="Q75:Q82" si="13">COUNTIFS(E$75:E$119,O75,K$75:K$119,3)+COUNTIFS(I$75:I$119,O75,L$75:L$119,3)</f>
        <v>1</v>
      </c>
      <c r="R75" s="17">
        <f t="shared" ref="R75:R82" si="14">COUNTIFS(E$75:E$119,O75,K$75:K$119,1)+COUNTIFS(I$75:I$119,O75,L$75:L$119,1)</f>
        <v>0</v>
      </c>
      <c r="S75" s="19">
        <f t="shared" ref="S75:S82" si="15">COUNTIFS(E$75:E$119,O75,K$75:K$119,0)+COUNTIFS(I$75:I$119,O75,L$75:L$119,0)</f>
        <v>0</v>
      </c>
      <c r="T75" s="17">
        <f t="shared" ref="T75:T82" si="16">SUMIF(E$75:E$119,O75,F$75:F$119)+SUMIF(I$75:I$119,O75,H$75:H$119)</f>
        <v>5</v>
      </c>
      <c r="U75" s="19">
        <f t="shared" ref="U75:U82" si="17">SUMIF(E$75:E$119,O75,H$75:H$119)+SUMIF(I$75:I$119,O75,F$75:F$119)</f>
        <v>1</v>
      </c>
      <c r="V75" s="17">
        <f t="shared" ref="V75:V82" si="18">T75-U75</f>
        <v>4</v>
      </c>
      <c r="W75" s="2"/>
      <c r="X75" s="2"/>
      <c r="Y75" s="2"/>
      <c r="Z75" s="2"/>
      <c r="AA75" s="41" t="s">
        <v>29</v>
      </c>
      <c r="AB75" s="23" t="str">
        <f t="array" ref="AB75:AI82">SORT(O75:V82,2,FALSE,9,FALSE,8,FALSE())</f>
        <v>Geologia</v>
      </c>
      <c r="AC75" s="22">
        <v>3.0</v>
      </c>
      <c r="AD75" s="22">
        <v>1.0</v>
      </c>
      <c r="AE75" s="22">
        <v>0.0</v>
      </c>
      <c r="AF75" s="22">
        <v>0.0</v>
      </c>
      <c r="AG75" s="22">
        <v>5.0</v>
      </c>
      <c r="AH75" s="23">
        <v>1.0</v>
      </c>
      <c r="AI75" s="22">
        <v>4.0</v>
      </c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</row>
    <row r="76" ht="15.75" customHeight="1">
      <c r="A76" s="24"/>
      <c r="B76" s="98"/>
      <c r="C76" s="81"/>
      <c r="D76" s="59" t="s">
        <v>183</v>
      </c>
      <c r="E76" s="14" t="s">
        <v>65</v>
      </c>
      <c r="F76" s="112"/>
      <c r="G76" s="75" t="s">
        <v>24</v>
      </c>
      <c r="H76" s="112"/>
      <c r="I76" s="14" t="s">
        <v>123</v>
      </c>
      <c r="J76" s="4"/>
      <c r="K76" s="4" t="str">
        <f t="shared" si="10"/>
        <v/>
      </c>
      <c r="L76" s="17" t="str">
        <f t="shared" si="11"/>
        <v/>
      </c>
      <c r="M76" s="4"/>
      <c r="N76" s="17">
        <v>2.0</v>
      </c>
      <c r="O76" s="46" t="s">
        <v>57</v>
      </c>
      <c r="P76" s="17">
        <f t="shared" si="12"/>
        <v>0</v>
      </c>
      <c r="Q76" s="17">
        <f t="shared" si="13"/>
        <v>0</v>
      </c>
      <c r="R76" s="17">
        <f t="shared" si="14"/>
        <v>0</v>
      </c>
      <c r="S76" s="19">
        <f t="shared" si="15"/>
        <v>1</v>
      </c>
      <c r="T76" s="17">
        <f t="shared" si="16"/>
        <v>1</v>
      </c>
      <c r="U76" s="19">
        <f t="shared" si="17"/>
        <v>5</v>
      </c>
      <c r="V76" s="17">
        <f t="shared" si="18"/>
        <v>-4</v>
      </c>
      <c r="W76" s="2"/>
      <c r="X76" s="2"/>
      <c r="Y76" s="2"/>
      <c r="Z76" s="2"/>
      <c r="AA76" s="95" t="s">
        <v>112</v>
      </c>
      <c r="AB76" s="22" t="s">
        <v>32</v>
      </c>
      <c r="AC76" s="22">
        <v>3.0</v>
      </c>
      <c r="AD76" s="22">
        <v>1.0</v>
      </c>
      <c r="AE76" s="22">
        <v>0.0</v>
      </c>
      <c r="AF76" s="22">
        <v>0.0</v>
      </c>
      <c r="AG76" s="22">
        <v>5.0</v>
      </c>
      <c r="AH76" s="23">
        <v>1.0</v>
      </c>
      <c r="AI76" s="22">
        <v>4.0</v>
      </c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</row>
    <row r="77" ht="15.75" customHeight="1">
      <c r="A77" s="24"/>
      <c r="B77" s="97">
        <v>45952.0</v>
      </c>
      <c r="C77" s="59" t="s">
        <v>95</v>
      </c>
      <c r="D77" s="59" t="s">
        <v>183</v>
      </c>
      <c r="E77" s="14" t="s">
        <v>32</v>
      </c>
      <c r="F77" s="78">
        <v>5.0</v>
      </c>
      <c r="G77" s="75" t="s">
        <v>24</v>
      </c>
      <c r="H77" s="78">
        <v>1.0</v>
      </c>
      <c r="I77" s="14" t="s">
        <v>45</v>
      </c>
      <c r="J77" s="4"/>
      <c r="K77" s="4">
        <f t="shared" si="10"/>
        <v>3</v>
      </c>
      <c r="L77" s="17">
        <f t="shared" si="11"/>
        <v>0</v>
      </c>
      <c r="M77" s="4"/>
      <c r="N77" s="17">
        <v>3.0</v>
      </c>
      <c r="O77" s="46" t="s">
        <v>123</v>
      </c>
      <c r="P77" s="17">
        <f t="shared" si="12"/>
        <v>0</v>
      </c>
      <c r="Q77" s="17">
        <f t="shared" si="13"/>
        <v>0</v>
      </c>
      <c r="R77" s="17">
        <f t="shared" si="14"/>
        <v>0</v>
      </c>
      <c r="S77" s="19">
        <f t="shared" si="15"/>
        <v>0</v>
      </c>
      <c r="T77" s="17">
        <f t="shared" si="16"/>
        <v>0</v>
      </c>
      <c r="U77" s="19">
        <f t="shared" si="17"/>
        <v>0</v>
      </c>
      <c r="V77" s="17">
        <f t="shared" si="18"/>
        <v>0</v>
      </c>
      <c r="W77" s="2"/>
      <c r="X77" s="2"/>
      <c r="Y77" s="2"/>
      <c r="Z77" s="2"/>
      <c r="AA77" s="21">
        <v>3.0</v>
      </c>
      <c r="AB77" s="22" t="s">
        <v>94</v>
      </c>
      <c r="AC77" s="22">
        <v>3.0</v>
      </c>
      <c r="AD77" s="22">
        <v>1.0</v>
      </c>
      <c r="AE77" s="22">
        <v>0.0</v>
      </c>
      <c r="AF77" s="22">
        <v>0.0</v>
      </c>
      <c r="AG77" s="22">
        <v>4.0</v>
      </c>
      <c r="AH77" s="23">
        <v>1.0</v>
      </c>
      <c r="AI77" s="22">
        <v>3.0</v>
      </c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</row>
    <row r="78" ht="15.75" customHeight="1">
      <c r="A78" s="24"/>
      <c r="B78" s="97">
        <v>45950.0</v>
      </c>
      <c r="C78" s="59" t="s">
        <v>95</v>
      </c>
      <c r="D78" s="59" t="s">
        <v>183</v>
      </c>
      <c r="E78" s="40" t="s">
        <v>43</v>
      </c>
      <c r="F78" s="78">
        <v>1.0</v>
      </c>
      <c r="G78" s="75" t="s">
        <v>24</v>
      </c>
      <c r="H78" s="78">
        <v>4.0</v>
      </c>
      <c r="I78" s="40" t="s">
        <v>94</v>
      </c>
      <c r="J78" s="4"/>
      <c r="K78" s="4">
        <f t="shared" si="10"/>
        <v>0</v>
      </c>
      <c r="L78" s="17">
        <f t="shared" si="11"/>
        <v>3</v>
      </c>
      <c r="M78" s="4"/>
      <c r="N78" s="17">
        <v>4.0</v>
      </c>
      <c r="O78" s="46" t="s">
        <v>32</v>
      </c>
      <c r="P78" s="17">
        <f t="shared" si="12"/>
        <v>3</v>
      </c>
      <c r="Q78" s="17">
        <f t="shared" si="13"/>
        <v>1</v>
      </c>
      <c r="R78" s="17">
        <f t="shared" si="14"/>
        <v>0</v>
      </c>
      <c r="S78" s="19">
        <f t="shared" si="15"/>
        <v>0</v>
      </c>
      <c r="T78" s="17">
        <f t="shared" si="16"/>
        <v>5</v>
      </c>
      <c r="U78" s="19">
        <f t="shared" si="17"/>
        <v>1</v>
      </c>
      <c r="V78" s="17">
        <f t="shared" si="18"/>
        <v>4</v>
      </c>
      <c r="W78" s="2"/>
      <c r="X78" s="2"/>
      <c r="Y78" s="2"/>
      <c r="Z78" s="2"/>
      <c r="AA78" s="21">
        <v>4.0</v>
      </c>
      <c r="AB78" s="22" t="s">
        <v>123</v>
      </c>
      <c r="AC78" s="22">
        <v>0.0</v>
      </c>
      <c r="AD78" s="22">
        <v>0.0</v>
      </c>
      <c r="AE78" s="22">
        <v>0.0</v>
      </c>
      <c r="AF78" s="22">
        <v>0.0</v>
      </c>
      <c r="AG78" s="22">
        <v>0.0</v>
      </c>
      <c r="AH78" s="23">
        <v>0.0</v>
      </c>
      <c r="AI78" s="22">
        <v>0.0</v>
      </c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</row>
    <row r="79" ht="15.75" customHeight="1">
      <c r="A79" s="28"/>
      <c r="B79" s="113"/>
      <c r="C79" s="16"/>
      <c r="D79" s="111"/>
      <c r="E79" s="14" t="s">
        <v>121</v>
      </c>
      <c r="F79" s="112"/>
      <c r="G79" s="75" t="s">
        <v>24</v>
      </c>
      <c r="H79" s="112"/>
      <c r="I79" s="14">
        <v>0.0</v>
      </c>
      <c r="J79" s="4"/>
      <c r="K79" s="4" t="str">
        <f t="shared" si="10"/>
        <v/>
      </c>
      <c r="L79" s="17" t="str">
        <f t="shared" si="11"/>
        <v/>
      </c>
      <c r="M79" s="4"/>
      <c r="N79" s="17">
        <v>5.0</v>
      </c>
      <c r="O79" s="46" t="s">
        <v>43</v>
      </c>
      <c r="P79" s="17">
        <f t="shared" si="12"/>
        <v>0</v>
      </c>
      <c r="Q79" s="17">
        <f t="shared" si="13"/>
        <v>0</v>
      </c>
      <c r="R79" s="17">
        <f t="shared" si="14"/>
        <v>0</v>
      </c>
      <c r="S79" s="19">
        <f t="shared" si="15"/>
        <v>1</v>
      </c>
      <c r="T79" s="17">
        <f t="shared" si="16"/>
        <v>1</v>
      </c>
      <c r="U79" s="19">
        <f t="shared" si="17"/>
        <v>4</v>
      </c>
      <c r="V79" s="17">
        <f t="shared" si="18"/>
        <v>-3</v>
      </c>
      <c r="W79" s="2"/>
      <c r="X79" s="2"/>
      <c r="Y79" s="2"/>
      <c r="Z79" s="2"/>
      <c r="AA79" s="21">
        <v>5.0</v>
      </c>
      <c r="AB79" s="22" t="s">
        <v>121</v>
      </c>
      <c r="AC79" s="22">
        <v>0.0</v>
      </c>
      <c r="AD79" s="22">
        <v>0.0</v>
      </c>
      <c r="AE79" s="22">
        <v>0.0</v>
      </c>
      <c r="AF79" s="22">
        <v>0.0</v>
      </c>
      <c r="AG79" s="22">
        <v>0.0</v>
      </c>
      <c r="AH79" s="23">
        <v>0.0</v>
      </c>
      <c r="AI79" s="22">
        <v>0.0</v>
      </c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</row>
    <row r="80" ht="15.75" customHeight="1">
      <c r="A80" s="10">
        <v>2.0</v>
      </c>
      <c r="B80" s="113"/>
      <c r="C80" s="16"/>
      <c r="D80" s="111"/>
      <c r="E80" s="40" t="s">
        <v>189</v>
      </c>
      <c r="F80" s="16"/>
      <c r="G80" s="75" t="s">
        <v>24</v>
      </c>
      <c r="H80" s="112"/>
      <c r="I80" s="40" t="s">
        <v>65</v>
      </c>
      <c r="J80" s="4"/>
      <c r="K80" s="4" t="str">
        <f t="shared" si="10"/>
        <v/>
      </c>
      <c r="L80" s="17" t="str">
        <f t="shared" si="11"/>
        <v/>
      </c>
      <c r="M80" s="4"/>
      <c r="N80" s="17">
        <v>6.0</v>
      </c>
      <c r="O80" s="46" t="s">
        <v>121</v>
      </c>
      <c r="P80" s="17">
        <f t="shared" si="12"/>
        <v>0</v>
      </c>
      <c r="Q80" s="17">
        <f t="shared" si="13"/>
        <v>0</v>
      </c>
      <c r="R80" s="17">
        <f t="shared" si="14"/>
        <v>0</v>
      </c>
      <c r="S80" s="19">
        <f t="shared" si="15"/>
        <v>0</v>
      </c>
      <c r="T80" s="17">
        <f t="shared" si="16"/>
        <v>0</v>
      </c>
      <c r="U80" s="19">
        <f t="shared" si="17"/>
        <v>0</v>
      </c>
      <c r="V80" s="17">
        <f t="shared" si="18"/>
        <v>0</v>
      </c>
      <c r="W80" s="2"/>
      <c r="X80" s="2"/>
      <c r="Y80" s="2"/>
      <c r="Z80" s="2"/>
      <c r="AA80" s="21">
        <v>6.0</v>
      </c>
      <c r="AB80" s="22" t="s">
        <v>43</v>
      </c>
      <c r="AC80" s="22">
        <v>0.0</v>
      </c>
      <c r="AD80" s="22">
        <v>0.0</v>
      </c>
      <c r="AE80" s="22">
        <v>0.0</v>
      </c>
      <c r="AF80" s="22">
        <v>1.0</v>
      </c>
      <c r="AG80" s="22">
        <v>1.0</v>
      </c>
      <c r="AH80" s="23">
        <v>4.0</v>
      </c>
      <c r="AI80" s="22">
        <v>-3.0</v>
      </c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</row>
    <row r="81" ht="15.75" customHeight="1">
      <c r="A81" s="24"/>
      <c r="B81" s="113"/>
      <c r="C81" s="16"/>
      <c r="D81" s="111"/>
      <c r="E81" s="14">
        <v>0.0</v>
      </c>
      <c r="F81" s="16"/>
      <c r="G81" s="75" t="s">
        <v>24</v>
      </c>
      <c r="H81" s="112"/>
      <c r="I81" s="14" t="s">
        <v>57</v>
      </c>
      <c r="J81" s="4"/>
      <c r="K81" s="4" t="str">
        <f t="shared" si="10"/>
        <v/>
      </c>
      <c r="L81" s="17" t="str">
        <f t="shared" si="11"/>
        <v/>
      </c>
      <c r="M81" s="4"/>
      <c r="N81" s="17">
        <v>7.0</v>
      </c>
      <c r="O81" s="46" t="s">
        <v>94</v>
      </c>
      <c r="P81" s="17">
        <f t="shared" si="12"/>
        <v>3</v>
      </c>
      <c r="Q81" s="17">
        <f t="shared" si="13"/>
        <v>1</v>
      </c>
      <c r="R81" s="17">
        <f t="shared" si="14"/>
        <v>0</v>
      </c>
      <c r="S81" s="19">
        <f t="shared" si="15"/>
        <v>0</v>
      </c>
      <c r="T81" s="17">
        <f t="shared" si="16"/>
        <v>4</v>
      </c>
      <c r="U81" s="19">
        <f t="shared" si="17"/>
        <v>1</v>
      </c>
      <c r="V81" s="17">
        <f t="shared" si="18"/>
        <v>3</v>
      </c>
      <c r="W81" s="2"/>
      <c r="X81" s="2"/>
      <c r="Y81" s="2"/>
      <c r="Z81" s="2"/>
      <c r="AA81" s="21">
        <v>7.0</v>
      </c>
      <c r="AB81" s="22" t="s">
        <v>57</v>
      </c>
      <c r="AC81" s="22">
        <v>0.0</v>
      </c>
      <c r="AD81" s="22">
        <v>0.0</v>
      </c>
      <c r="AE81" s="22">
        <v>0.0</v>
      </c>
      <c r="AF81" s="22">
        <v>1.0</v>
      </c>
      <c r="AG81" s="22">
        <v>1.0</v>
      </c>
      <c r="AH81" s="23">
        <v>5.0</v>
      </c>
      <c r="AI81" s="22">
        <v>-4.0</v>
      </c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</row>
    <row r="82" ht="15.75" customHeight="1">
      <c r="A82" s="24"/>
      <c r="B82" s="113"/>
      <c r="C82" s="16"/>
      <c r="D82" s="111"/>
      <c r="E82" s="14" t="s">
        <v>123</v>
      </c>
      <c r="F82" s="16"/>
      <c r="G82" s="75" t="s">
        <v>24</v>
      </c>
      <c r="H82" s="112"/>
      <c r="I82" s="14" t="s">
        <v>32</v>
      </c>
      <c r="J82" s="4"/>
      <c r="K82" s="4" t="str">
        <f t="shared" si="10"/>
        <v/>
      </c>
      <c r="L82" s="17" t="str">
        <f t="shared" si="11"/>
        <v/>
      </c>
      <c r="M82" s="4"/>
      <c r="N82" s="17">
        <v>8.0</v>
      </c>
      <c r="O82" s="46" t="s">
        <v>45</v>
      </c>
      <c r="P82" s="17">
        <f t="shared" si="12"/>
        <v>0</v>
      </c>
      <c r="Q82" s="17">
        <f t="shared" si="13"/>
        <v>0</v>
      </c>
      <c r="R82" s="17">
        <f t="shared" si="14"/>
        <v>0</v>
      </c>
      <c r="S82" s="19">
        <f t="shared" si="15"/>
        <v>1</v>
      </c>
      <c r="T82" s="17">
        <f t="shared" si="16"/>
        <v>1</v>
      </c>
      <c r="U82" s="19">
        <f t="shared" si="17"/>
        <v>5</v>
      </c>
      <c r="V82" s="17">
        <f t="shared" si="18"/>
        <v>-4</v>
      </c>
      <c r="W82" s="2"/>
      <c r="X82" s="2"/>
      <c r="Y82" s="2"/>
      <c r="Z82" s="2"/>
      <c r="AA82" s="21">
        <v>8.0</v>
      </c>
      <c r="AB82" s="22" t="s">
        <v>45</v>
      </c>
      <c r="AC82" s="22">
        <v>0.0</v>
      </c>
      <c r="AD82" s="22">
        <v>0.0</v>
      </c>
      <c r="AE82" s="22">
        <v>0.0</v>
      </c>
      <c r="AF82" s="22">
        <v>1.0</v>
      </c>
      <c r="AG82" s="22">
        <v>1.0</v>
      </c>
      <c r="AH82" s="23">
        <v>5.0</v>
      </c>
      <c r="AI82" s="22">
        <v>-4.0</v>
      </c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</row>
    <row r="83" ht="15.75" customHeight="1">
      <c r="A83" s="24"/>
      <c r="B83" s="113"/>
      <c r="C83" s="16"/>
      <c r="D83" s="111"/>
      <c r="E83" s="14" t="s">
        <v>45</v>
      </c>
      <c r="F83" s="16"/>
      <c r="G83" s="75" t="s">
        <v>24</v>
      </c>
      <c r="H83" s="112"/>
      <c r="I83" s="14" t="s">
        <v>43</v>
      </c>
      <c r="J83" s="4"/>
      <c r="K83" s="4" t="str">
        <f t="shared" si="10"/>
        <v/>
      </c>
      <c r="L83" s="17" t="str">
        <f t="shared" si="11"/>
        <v/>
      </c>
      <c r="M83" s="4"/>
      <c r="N83" s="17"/>
      <c r="O83" s="46"/>
      <c r="P83" s="17"/>
      <c r="Q83" s="17"/>
      <c r="R83" s="17"/>
      <c r="S83" s="19"/>
      <c r="T83" s="17"/>
      <c r="U83" s="19"/>
      <c r="V83" s="17"/>
      <c r="W83" s="2"/>
      <c r="X83" s="2"/>
      <c r="Y83" s="2"/>
      <c r="Z83" s="2"/>
      <c r="AA83" s="34" t="s">
        <v>190</v>
      </c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</row>
    <row r="84" ht="15.75" customHeight="1">
      <c r="A84" s="28"/>
      <c r="B84" s="113"/>
      <c r="C84" s="16"/>
      <c r="D84" s="111"/>
      <c r="E84" s="14" t="s">
        <v>94</v>
      </c>
      <c r="F84" s="16"/>
      <c r="G84" s="75" t="s">
        <v>24</v>
      </c>
      <c r="H84" s="112"/>
      <c r="I84" s="14" t="s">
        <v>121</v>
      </c>
      <c r="J84" s="4"/>
      <c r="K84" s="4" t="str">
        <f t="shared" si="10"/>
        <v/>
      </c>
      <c r="L84" s="17" t="str">
        <f t="shared" si="11"/>
        <v/>
      </c>
      <c r="M84" s="4"/>
      <c r="N84" s="17"/>
      <c r="O84" s="3"/>
      <c r="P84" s="17"/>
      <c r="Q84" s="17"/>
      <c r="R84" s="17"/>
      <c r="S84" s="19"/>
      <c r="T84" s="17"/>
      <c r="U84" s="19"/>
      <c r="V84" s="17"/>
      <c r="W84" s="2"/>
      <c r="X84" s="2"/>
      <c r="Y84" s="2"/>
      <c r="Z84" s="2"/>
      <c r="AA84" s="73" t="s">
        <v>106</v>
      </c>
      <c r="AD84" s="31"/>
      <c r="AE84" s="31"/>
      <c r="AF84" s="31"/>
      <c r="AG84" s="31"/>
      <c r="AH84" s="31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</row>
    <row r="85" ht="15.75" customHeight="1">
      <c r="A85" s="10">
        <v>3.0</v>
      </c>
      <c r="B85" s="29"/>
      <c r="C85" s="16"/>
      <c r="D85" s="111"/>
      <c r="E85" s="14" t="s">
        <v>32</v>
      </c>
      <c r="F85" s="112"/>
      <c r="G85" s="75" t="s">
        <v>24</v>
      </c>
      <c r="H85" s="112"/>
      <c r="I85" s="14" t="s">
        <v>189</v>
      </c>
      <c r="J85" s="4"/>
      <c r="K85" s="4" t="str">
        <f t="shared" si="10"/>
        <v/>
      </c>
      <c r="L85" s="17" t="str">
        <f t="shared" si="11"/>
        <v/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2"/>
      <c r="X85" s="2"/>
      <c r="Y85" s="2"/>
      <c r="Z85" s="2"/>
      <c r="AA85" s="4"/>
      <c r="AD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ht="15.75" customHeight="1">
      <c r="A86" s="24"/>
      <c r="B86" s="29"/>
      <c r="C86" s="16"/>
      <c r="D86" s="111"/>
      <c r="E86" s="40" t="s">
        <v>65</v>
      </c>
      <c r="F86" s="112"/>
      <c r="G86" s="75" t="s">
        <v>24</v>
      </c>
      <c r="H86" s="112"/>
      <c r="I86" s="40" t="s">
        <v>57</v>
      </c>
      <c r="J86" s="4"/>
      <c r="K86" s="4" t="str">
        <f t="shared" si="10"/>
        <v/>
      </c>
      <c r="L86" s="17" t="str">
        <f t="shared" si="11"/>
        <v/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2"/>
      <c r="X86" s="2"/>
      <c r="Y86" s="2"/>
      <c r="Z86" s="2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ht="15.75" customHeight="1">
      <c r="A87" s="24"/>
      <c r="B87" s="29"/>
      <c r="C87" s="16"/>
      <c r="D87" s="111"/>
      <c r="E87" s="14" t="s">
        <v>43</v>
      </c>
      <c r="F87" s="112"/>
      <c r="G87" s="75" t="s">
        <v>24</v>
      </c>
      <c r="H87" s="112"/>
      <c r="I87" s="14" t="s">
        <v>123</v>
      </c>
      <c r="J87" s="4"/>
      <c r="K87" s="4" t="str">
        <f t="shared" si="10"/>
        <v/>
      </c>
      <c r="L87" s="17" t="str">
        <f t="shared" si="11"/>
        <v/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2"/>
      <c r="X87" s="2"/>
      <c r="Y87" s="2"/>
      <c r="Z87" s="2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ht="15.75" customHeight="1">
      <c r="A88" s="24"/>
      <c r="B88" s="29"/>
      <c r="C88" s="16"/>
      <c r="D88" s="111"/>
      <c r="E88" s="14" t="s">
        <v>121</v>
      </c>
      <c r="F88" s="112"/>
      <c r="G88" s="75" t="s">
        <v>24</v>
      </c>
      <c r="H88" s="112"/>
      <c r="I88" s="14" t="s">
        <v>45</v>
      </c>
      <c r="J88" s="4"/>
      <c r="K88" s="4" t="str">
        <f t="shared" si="10"/>
        <v/>
      </c>
      <c r="L88" s="17" t="str">
        <f t="shared" si="11"/>
        <v/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2"/>
      <c r="X88" s="2"/>
      <c r="Y88" s="2"/>
      <c r="Z88" s="2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ht="15.75" customHeight="1">
      <c r="A89" s="28"/>
      <c r="B89" s="29"/>
      <c r="C89" s="16"/>
      <c r="D89" s="111"/>
      <c r="E89" s="40">
        <v>0.0</v>
      </c>
      <c r="F89" s="112"/>
      <c r="G89" s="75" t="s">
        <v>24</v>
      </c>
      <c r="H89" s="112"/>
      <c r="I89" s="40" t="s">
        <v>94</v>
      </c>
      <c r="J89" s="4"/>
      <c r="K89" s="4" t="str">
        <f t="shared" si="10"/>
        <v/>
      </c>
      <c r="L89" s="17" t="str">
        <f t="shared" si="11"/>
        <v/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ht="15.75" customHeight="1">
      <c r="A90" s="10">
        <v>4.0</v>
      </c>
      <c r="B90" s="113"/>
      <c r="C90" s="16"/>
      <c r="D90" s="16"/>
      <c r="E90" s="14" t="s">
        <v>189</v>
      </c>
      <c r="F90" s="112"/>
      <c r="G90" s="75" t="s">
        <v>24</v>
      </c>
      <c r="H90" s="112"/>
      <c r="I90" s="14" t="s">
        <v>43</v>
      </c>
      <c r="J90" s="37"/>
      <c r="K90" s="4" t="str">
        <f t="shared" si="10"/>
        <v/>
      </c>
      <c r="L90" s="17" t="str">
        <f t="shared" si="11"/>
        <v/>
      </c>
      <c r="M90" s="4"/>
      <c r="N90" s="4"/>
      <c r="O90" s="4"/>
      <c r="P90" s="4"/>
      <c r="Q90" s="3"/>
      <c r="R90" s="4"/>
      <c r="S90" s="4"/>
      <c r="T90" s="4"/>
      <c r="U90" s="4"/>
      <c r="V90" s="4"/>
      <c r="W90" s="2"/>
      <c r="X90" s="2"/>
      <c r="Y90" s="2"/>
      <c r="Z90" s="2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ht="15.75" customHeight="1">
      <c r="A91" s="24"/>
      <c r="B91" s="29"/>
      <c r="C91" s="16"/>
      <c r="D91" s="16"/>
      <c r="E91" s="14" t="s">
        <v>57</v>
      </c>
      <c r="F91" s="112"/>
      <c r="G91" s="75" t="s">
        <v>24</v>
      </c>
      <c r="H91" s="112"/>
      <c r="I91" s="14" t="s">
        <v>32</v>
      </c>
      <c r="J91" s="4"/>
      <c r="K91" s="4" t="str">
        <f t="shared" si="10"/>
        <v/>
      </c>
      <c r="L91" s="17" t="str">
        <f t="shared" si="11"/>
        <v/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ht="15.75" customHeight="1">
      <c r="A92" s="24"/>
      <c r="B92" s="29"/>
      <c r="C92" s="30"/>
      <c r="D92" s="16"/>
      <c r="E92" s="14" t="s">
        <v>65</v>
      </c>
      <c r="F92" s="112"/>
      <c r="G92" s="75" t="s">
        <v>24</v>
      </c>
      <c r="H92" s="112"/>
      <c r="I92" s="14">
        <v>0.0</v>
      </c>
      <c r="J92" s="4"/>
      <c r="K92" s="4" t="str">
        <f t="shared" si="10"/>
        <v/>
      </c>
      <c r="L92" s="17" t="str">
        <f t="shared" si="11"/>
        <v/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ht="15.75" customHeight="1">
      <c r="A93" s="24"/>
      <c r="B93" s="29"/>
      <c r="C93" s="16"/>
      <c r="D93" s="16"/>
      <c r="E93" s="14" t="s">
        <v>123</v>
      </c>
      <c r="F93" s="112"/>
      <c r="G93" s="75" t="s">
        <v>24</v>
      </c>
      <c r="H93" s="112"/>
      <c r="I93" s="14" t="s">
        <v>121</v>
      </c>
      <c r="J93" s="4"/>
      <c r="K93" s="4" t="str">
        <f t="shared" si="10"/>
        <v/>
      </c>
      <c r="L93" s="17" t="str">
        <f t="shared" si="11"/>
        <v/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4"/>
      <c r="AB93" s="4"/>
      <c r="AC93" s="4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ht="15.75" customHeight="1">
      <c r="A94" s="28"/>
      <c r="B94" s="29"/>
      <c r="C94" s="16"/>
      <c r="D94" s="16"/>
      <c r="E94" s="40" t="s">
        <v>45</v>
      </c>
      <c r="F94" s="112"/>
      <c r="G94" s="75" t="s">
        <v>24</v>
      </c>
      <c r="H94" s="112"/>
      <c r="I94" s="40" t="s">
        <v>94</v>
      </c>
      <c r="J94" s="4"/>
      <c r="K94" s="4" t="str">
        <f t="shared" si="10"/>
        <v/>
      </c>
      <c r="L94" s="17" t="str">
        <f t="shared" si="11"/>
        <v/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ht="15.75" customHeight="1">
      <c r="A95" s="10">
        <v>5.0</v>
      </c>
      <c r="B95" s="113"/>
      <c r="C95" s="16"/>
      <c r="D95" s="111"/>
      <c r="E95" s="14" t="s">
        <v>121</v>
      </c>
      <c r="F95" s="112"/>
      <c r="G95" s="75" t="s">
        <v>24</v>
      </c>
      <c r="H95" s="112"/>
      <c r="I95" s="14" t="s">
        <v>189</v>
      </c>
      <c r="J95" s="4"/>
      <c r="K95" s="4" t="str">
        <f t="shared" si="10"/>
        <v/>
      </c>
      <c r="L95" s="17" t="str">
        <f t="shared" si="11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ht="15.75" customHeight="1">
      <c r="A96" s="24"/>
      <c r="B96" s="113"/>
      <c r="C96" s="16"/>
      <c r="D96" s="111"/>
      <c r="E96" s="14" t="s">
        <v>43</v>
      </c>
      <c r="F96" s="112"/>
      <c r="G96" s="75" t="s">
        <v>24</v>
      </c>
      <c r="H96" s="112"/>
      <c r="I96" s="14" t="s">
        <v>57</v>
      </c>
      <c r="J96" s="4"/>
      <c r="K96" s="4" t="str">
        <f t="shared" si="10"/>
        <v/>
      </c>
      <c r="L96" s="17" t="str">
        <f t="shared" si="11"/>
        <v/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ht="15.75" customHeight="1">
      <c r="A97" s="24"/>
      <c r="B97" s="113"/>
      <c r="C97" s="16"/>
      <c r="D97" s="111"/>
      <c r="E97" s="14" t="s">
        <v>32</v>
      </c>
      <c r="F97" s="112"/>
      <c r="G97" s="75" t="s">
        <v>24</v>
      </c>
      <c r="H97" s="112"/>
      <c r="I97" s="14" t="s">
        <v>65</v>
      </c>
      <c r="J97" s="4"/>
      <c r="K97" s="4" t="str">
        <f t="shared" si="10"/>
        <v/>
      </c>
      <c r="L97" s="17" t="str">
        <f t="shared" si="11"/>
        <v/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ht="15.75" customHeight="1">
      <c r="A98" s="24"/>
      <c r="B98" s="113"/>
      <c r="C98" s="16"/>
      <c r="D98" s="111"/>
      <c r="E98" s="40" t="s">
        <v>94</v>
      </c>
      <c r="F98" s="112"/>
      <c r="G98" s="75" t="s">
        <v>24</v>
      </c>
      <c r="H98" s="112"/>
      <c r="I98" s="40" t="s">
        <v>123</v>
      </c>
      <c r="J98" s="4"/>
      <c r="K98" s="4" t="str">
        <f t="shared" si="10"/>
        <v/>
      </c>
      <c r="L98" s="17" t="str">
        <f t="shared" si="11"/>
        <v/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ht="15.75" customHeight="1">
      <c r="A99" s="28"/>
      <c r="B99" s="113"/>
      <c r="C99" s="16"/>
      <c r="D99" s="111"/>
      <c r="E99" s="40">
        <v>0.0</v>
      </c>
      <c r="F99" s="112"/>
      <c r="G99" s="75" t="s">
        <v>24</v>
      </c>
      <c r="H99" s="112"/>
      <c r="I99" s="40" t="s">
        <v>45</v>
      </c>
      <c r="J99" s="4"/>
      <c r="K99" s="4" t="str">
        <f t="shared" si="10"/>
        <v/>
      </c>
      <c r="L99" s="17" t="str">
        <f t="shared" si="11"/>
        <v/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ht="15.75" customHeight="1">
      <c r="A100" s="10">
        <v>6.0</v>
      </c>
      <c r="B100" s="113"/>
      <c r="C100" s="16"/>
      <c r="D100" s="111"/>
      <c r="E100" s="40" t="s">
        <v>189</v>
      </c>
      <c r="F100" s="112"/>
      <c r="G100" s="75" t="s">
        <v>24</v>
      </c>
      <c r="H100" s="112"/>
      <c r="I100" s="40" t="s">
        <v>94</v>
      </c>
      <c r="J100" s="4"/>
      <c r="K100" s="4" t="str">
        <f t="shared" si="10"/>
        <v/>
      </c>
      <c r="L100" s="17" t="str">
        <f t="shared" si="11"/>
        <v/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ht="15.75" customHeight="1">
      <c r="A101" s="24"/>
      <c r="B101" s="113"/>
      <c r="C101" s="16"/>
      <c r="D101" s="111"/>
      <c r="E101" s="14" t="s">
        <v>57</v>
      </c>
      <c r="F101" s="112"/>
      <c r="G101" s="75" t="s">
        <v>24</v>
      </c>
      <c r="H101" s="112"/>
      <c r="I101" s="14" t="s">
        <v>121</v>
      </c>
      <c r="J101" s="4"/>
      <c r="K101" s="4" t="str">
        <f t="shared" si="10"/>
        <v/>
      </c>
      <c r="L101" s="17" t="str">
        <f t="shared" si="11"/>
        <v/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ht="15.75" customHeight="1">
      <c r="A102" s="24"/>
      <c r="B102" s="113"/>
      <c r="C102" s="16"/>
      <c r="D102" s="111"/>
      <c r="E102" s="14" t="s">
        <v>65</v>
      </c>
      <c r="F102" s="112"/>
      <c r="G102" s="75" t="s">
        <v>24</v>
      </c>
      <c r="H102" s="112"/>
      <c r="I102" s="14" t="s">
        <v>43</v>
      </c>
      <c r="J102" s="4"/>
      <c r="K102" s="4" t="str">
        <f t="shared" si="10"/>
        <v/>
      </c>
      <c r="L102" s="17" t="str">
        <f t="shared" si="11"/>
        <v/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ht="15.75" customHeight="1">
      <c r="A103" s="24"/>
      <c r="B103" s="113"/>
      <c r="C103" s="16"/>
      <c r="D103" s="111"/>
      <c r="E103" s="14" t="s">
        <v>32</v>
      </c>
      <c r="F103" s="112"/>
      <c r="G103" s="75" t="s">
        <v>24</v>
      </c>
      <c r="H103" s="112"/>
      <c r="I103" s="14">
        <v>0.0</v>
      </c>
      <c r="J103" s="36"/>
      <c r="K103" s="4" t="str">
        <f t="shared" si="10"/>
        <v/>
      </c>
      <c r="L103" s="17" t="str">
        <f t="shared" si="11"/>
        <v/>
      </c>
      <c r="M103" s="2"/>
      <c r="N103" s="2"/>
      <c r="O103" s="2"/>
      <c r="P103" s="2"/>
      <c r="Q103" s="3"/>
      <c r="R103" s="3"/>
      <c r="S103" s="3"/>
      <c r="T103" s="3"/>
      <c r="U103" s="3"/>
      <c r="V103" s="3"/>
      <c r="W103" s="2"/>
      <c r="X103" s="2"/>
      <c r="Y103" s="2"/>
      <c r="Z103" s="2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ht="15.75" customHeight="1">
      <c r="A104" s="28"/>
      <c r="B104" s="113"/>
      <c r="C104" s="16"/>
      <c r="D104" s="111"/>
      <c r="E104" s="14" t="s">
        <v>123</v>
      </c>
      <c r="F104" s="112"/>
      <c r="G104" s="75" t="s">
        <v>24</v>
      </c>
      <c r="H104" s="112"/>
      <c r="I104" s="14" t="s">
        <v>45</v>
      </c>
      <c r="J104" s="36"/>
      <c r="K104" s="4" t="str">
        <f t="shared" si="10"/>
        <v/>
      </c>
      <c r="L104" s="17" t="str">
        <f t="shared" si="11"/>
        <v/>
      </c>
      <c r="M104" s="2"/>
      <c r="N104" s="2"/>
      <c r="O104" s="2"/>
      <c r="P104" s="2"/>
      <c r="Q104" s="3"/>
      <c r="R104" s="3"/>
      <c r="S104" s="3"/>
      <c r="T104" s="3"/>
      <c r="U104" s="3"/>
      <c r="V104" s="3"/>
      <c r="W104" s="2"/>
      <c r="X104" s="2"/>
      <c r="Y104" s="2"/>
      <c r="Z104" s="2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ht="15.75" customHeight="1">
      <c r="A105" s="10">
        <v>7.0</v>
      </c>
      <c r="B105" s="113"/>
      <c r="C105" s="16"/>
      <c r="D105" s="111"/>
      <c r="E105" s="14" t="s">
        <v>45</v>
      </c>
      <c r="F105" s="112"/>
      <c r="G105" s="75" t="s">
        <v>24</v>
      </c>
      <c r="H105" s="112"/>
      <c r="I105" s="14" t="s">
        <v>189</v>
      </c>
      <c r="J105" s="36"/>
      <c r="K105" s="4" t="str">
        <f t="shared" si="10"/>
        <v/>
      </c>
      <c r="L105" s="17" t="str">
        <f t="shared" si="11"/>
        <v/>
      </c>
      <c r="M105" s="2"/>
      <c r="N105" s="2"/>
      <c r="O105" s="2"/>
      <c r="P105" s="2"/>
      <c r="Q105" s="3"/>
      <c r="R105" s="3"/>
      <c r="S105" s="3"/>
      <c r="T105" s="3"/>
      <c r="U105" s="3"/>
      <c r="V105" s="3"/>
      <c r="W105" s="2"/>
      <c r="X105" s="2"/>
      <c r="Y105" s="2"/>
      <c r="Z105" s="2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ht="15.75" customHeight="1">
      <c r="A106" s="24"/>
      <c r="B106" s="113"/>
      <c r="C106" s="16"/>
      <c r="D106" s="111"/>
      <c r="E106" s="14" t="s">
        <v>94</v>
      </c>
      <c r="F106" s="112"/>
      <c r="G106" s="75" t="s">
        <v>24</v>
      </c>
      <c r="H106" s="112"/>
      <c r="I106" s="14" t="s">
        <v>57</v>
      </c>
      <c r="J106" s="36"/>
      <c r="K106" s="4" t="str">
        <f t="shared" si="10"/>
        <v/>
      </c>
      <c r="L106" s="17" t="str">
        <f t="shared" si="11"/>
        <v/>
      </c>
      <c r="M106" s="2"/>
      <c r="N106" s="2"/>
      <c r="O106" s="2"/>
      <c r="P106" s="2"/>
      <c r="Q106" s="3"/>
      <c r="R106" s="3"/>
      <c r="S106" s="3"/>
      <c r="T106" s="3"/>
      <c r="U106" s="3"/>
      <c r="V106" s="3"/>
      <c r="W106" s="2"/>
      <c r="X106" s="2"/>
      <c r="Y106" s="2"/>
      <c r="Z106" s="2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ht="15.75" customHeight="1">
      <c r="A107" s="24"/>
      <c r="B107" s="113"/>
      <c r="C107" s="16"/>
      <c r="D107" s="111"/>
      <c r="E107" s="14" t="s">
        <v>121</v>
      </c>
      <c r="F107" s="112"/>
      <c r="G107" s="75" t="s">
        <v>24</v>
      </c>
      <c r="H107" s="112"/>
      <c r="I107" s="14" t="s">
        <v>65</v>
      </c>
      <c r="J107" s="36"/>
      <c r="K107" s="4" t="str">
        <f t="shared" si="10"/>
        <v/>
      </c>
      <c r="L107" s="17" t="str">
        <f t="shared" si="11"/>
        <v/>
      </c>
      <c r="M107" s="2"/>
      <c r="N107" s="2"/>
      <c r="O107" s="2"/>
      <c r="P107" s="2"/>
      <c r="Q107" s="3"/>
      <c r="R107" s="3"/>
      <c r="S107" s="3"/>
      <c r="T107" s="3"/>
      <c r="U107" s="3"/>
      <c r="V107" s="3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>
      <c r="A108" s="24"/>
      <c r="B108" s="113"/>
      <c r="C108" s="16"/>
      <c r="D108" s="111"/>
      <c r="E108" s="14" t="s">
        <v>43</v>
      </c>
      <c r="F108" s="112"/>
      <c r="G108" s="75" t="s">
        <v>24</v>
      </c>
      <c r="H108" s="112"/>
      <c r="I108" s="14" t="s">
        <v>32</v>
      </c>
      <c r="J108" s="2"/>
      <c r="K108" s="4" t="str">
        <f t="shared" si="10"/>
        <v/>
      </c>
      <c r="L108" s="17" t="str">
        <f t="shared" si="11"/>
        <v/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>
      <c r="A109" s="28"/>
      <c r="B109" s="113"/>
      <c r="C109" s="16"/>
      <c r="D109" s="111"/>
      <c r="E109" s="14">
        <v>0.0</v>
      </c>
      <c r="F109" s="112"/>
      <c r="G109" s="75" t="s">
        <v>24</v>
      </c>
      <c r="H109" s="112"/>
      <c r="I109" s="14" t="s">
        <v>123</v>
      </c>
      <c r="J109" s="2"/>
      <c r="K109" s="4" t="str">
        <f t="shared" si="10"/>
        <v/>
      </c>
      <c r="L109" s="17" t="str">
        <f t="shared" si="11"/>
        <v/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>
      <c r="A110" s="10">
        <v>8.0</v>
      </c>
      <c r="B110" s="113"/>
      <c r="C110" s="16"/>
      <c r="D110" s="111"/>
      <c r="E110" s="14" t="s">
        <v>189</v>
      </c>
      <c r="F110" s="112"/>
      <c r="G110" s="75" t="s">
        <v>24</v>
      </c>
      <c r="H110" s="112"/>
      <c r="I110" s="14" t="s">
        <v>123</v>
      </c>
      <c r="J110" s="2"/>
      <c r="K110" s="4" t="str">
        <f t="shared" si="10"/>
        <v/>
      </c>
      <c r="L110" s="17" t="str">
        <f t="shared" si="11"/>
        <v/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>
      <c r="A111" s="24"/>
      <c r="B111" s="113"/>
      <c r="C111" s="16"/>
      <c r="D111" s="111"/>
      <c r="E111" s="14" t="s">
        <v>57</v>
      </c>
      <c r="F111" s="112"/>
      <c r="G111" s="75" t="s">
        <v>24</v>
      </c>
      <c r="H111" s="112"/>
      <c r="I111" s="14" t="s">
        <v>45</v>
      </c>
      <c r="J111" s="2"/>
      <c r="K111" s="4" t="str">
        <f t="shared" si="10"/>
        <v/>
      </c>
      <c r="L111" s="17" t="str">
        <f t="shared" si="11"/>
        <v/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>
      <c r="A112" s="24"/>
      <c r="B112" s="113"/>
      <c r="C112" s="16"/>
      <c r="D112" s="111"/>
      <c r="E112" s="14" t="s">
        <v>65</v>
      </c>
      <c r="F112" s="112"/>
      <c r="G112" s="75" t="s">
        <v>24</v>
      </c>
      <c r="H112" s="112"/>
      <c r="I112" s="14" t="s">
        <v>94</v>
      </c>
      <c r="J112" s="2"/>
      <c r="K112" s="4" t="str">
        <f t="shared" si="10"/>
        <v/>
      </c>
      <c r="L112" s="17" t="str">
        <f t="shared" si="11"/>
        <v/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>
      <c r="A113" s="24"/>
      <c r="B113" s="113"/>
      <c r="C113" s="16"/>
      <c r="D113" s="111"/>
      <c r="E113" s="14" t="s">
        <v>32</v>
      </c>
      <c r="F113" s="112"/>
      <c r="G113" s="75" t="s">
        <v>24</v>
      </c>
      <c r="H113" s="112"/>
      <c r="I113" s="14" t="s">
        <v>121</v>
      </c>
      <c r="J113" s="2"/>
      <c r="K113" s="4" t="str">
        <f t="shared" si="10"/>
        <v/>
      </c>
      <c r="L113" s="17" t="str">
        <f t="shared" si="11"/>
        <v/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>
      <c r="A114" s="28"/>
      <c r="B114" s="113"/>
      <c r="C114" s="16"/>
      <c r="D114" s="111"/>
      <c r="E114" s="14" t="s">
        <v>43</v>
      </c>
      <c r="F114" s="112"/>
      <c r="G114" s="75" t="s">
        <v>24</v>
      </c>
      <c r="H114" s="112"/>
      <c r="I114" s="14">
        <v>0.0</v>
      </c>
      <c r="J114" s="2"/>
      <c r="K114" s="4" t="str">
        <f t="shared" si="10"/>
        <v/>
      </c>
      <c r="L114" s="17" t="str">
        <f t="shared" si="11"/>
        <v/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>
      <c r="A115" s="10">
        <v>9.0</v>
      </c>
      <c r="B115" s="113"/>
      <c r="C115" s="16"/>
      <c r="D115" s="111"/>
      <c r="E115" s="14">
        <v>0.0</v>
      </c>
      <c r="F115" s="112"/>
      <c r="G115" s="75" t="s">
        <v>24</v>
      </c>
      <c r="H115" s="112"/>
      <c r="I115" s="14" t="s">
        <v>189</v>
      </c>
      <c r="J115" s="2"/>
      <c r="K115" s="4" t="str">
        <f t="shared" si="10"/>
        <v/>
      </c>
      <c r="L115" s="17" t="str">
        <f t="shared" si="11"/>
        <v/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>
      <c r="A116" s="24"/>
      <c r="B116" s="113"/>
      <c r="C116" s="16"/>
      <c r="D116" s="111"/>
      <c r="E116" s="14" t="s">
        <v>123</v>
      </c>
      <c r="F116" s="112"/>
      <c r="G116" s="75" t="s">
        <v>24</v>
      </c>
      <c r="H116" s="112"/>
      <c r="I116" s="14" t="s">
        <v>57</v>
      </c>
      <c r="J116" s="2"/>
      <c r="K116" s="4" t="str">
        <f t="shared" si="10"/>
        <v/>
      </c>
      <c r="L116" s="17" t="str">
        <f t="shared" si="11"/>
        <v/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>
      <c r="A117" s="24"/>
      <c r="B117" s="113"/>
      <c r="C117" s="16"/>
      <c r="D117" s="111"/>
      <c r="E117" s="14" t="s">
        <v>45</v>
      </c>
      <c r="F117" s="112"/>
      <c r="G117" s="75" t="s">
        <v>24</v>
      </c>
      <c r="H117" s="112"/>
      <c r="I117" s="14" t="s">
        <v>65</v>
      </c>
      <c r="J117" s="2"/>
      <c r="K117" s="4" t="str">
        <f t="shared" si="10"/>
        <v/>
      </c>
      <c r="L117" s="17" t="str">
        <f t="shared" si="11"/>
        <v/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>
      <c r="A118" s="24"/>
      <c r="B118" s="113"/>
      <c r="C118" s="16"/>
      <c r="D118" s="111"/>
      <c r="E118" s="14" t="s">
        <v>94</v>
      </c>
      <c r="F118" s="112"/>
      <c r="G118" s="75" t="s">
        <v>24</v>
      </c>
      <c r="H118" s="112"/>
      <c r="I118" s="14" t="s">
        <v>32</v>
      </c>
      <c r="J118" s="2"/>
      <c r="K118" s="4" t="str">
        <f t="shared" si="10"/>
        <v/>
      </c>
      <c r="L118" s="17" t="str">
        <f t="shared" si="11"/>
        <v/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>
      <c r="A119" s="28"/>
      <c r="B119" s="113"/>
      <c r="C119" s="16"/>
      <c r="D119" s="111"/>
      <c r="E119" s="14" t="s">
        <v>121</v>
      </c>
      <c r="F119" s="112"/>
      <c r="G119" s="75" t="s">
        <v>24</v>
      </c>
      <c r="H119" s="112"/>
      <c r="I119" s="14" t="s">
        <v>43</v>
      </c>
      <c r="J119" s="2"/>
      <c r="K119" s="4" t="str">
        <f t="shared" si="10"/>
        <v/>
      </c>
      <c r="L119" s="17" t="str">
        <f t="shared" si="11"/>
        <v/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5" t="s">
        <v>11</v>
      </c>
      <c r="AB125" s="5" t="s">
        <v>12</v>
      </c>
      <c r="AC125" s="5" t="s">
        <v>13</v>
      </c>
      <c r="AD125" s="5" t="s">
        <v>14</v>
      </c>
      <c r="AE125" s="5" t="s">
        <v>15</v>
      </c>
      <c r="AF125" s="5" t="s">
        <v>16</v>
      </c>
      <c r="AG125" s="5" t="s">
        <v>17</v>
      </c>
      <c r="AH125" s="5" t="s">
        <v>18</v>
      </c>
      <c r="AI125" s="5" t="s">
        <v>19</v>
      </c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>
      <c r="A126" s="55" t="s">
        <v>191</v>
      </c>
      <c r="H126" s="36"/>
      <c r="I126" s="36"/>
      <c r="J126" s="36"/>
      <c r="K126" s="2"/>
      <c r="L126" s="2"/>
      <c r="M126" s="2"/>
      <c r="N126" s="2"/>
      <c r="O126" s="2"/>
      <c r="P126" s="2"/>
      <c r="Q126" s="3"/>
      <c r="R126" s="3"/>
      <c r="S126" s="3"/>
      <c r="T126" s="3"/>
      <c r="U126" s="3"/>
      <c r="V126" s="3"/>
      <c r="W126" s="2"/>
      <c r="X126" s="2"/>
      <c r="Y126" s="2"/>
      <c r="Z126" s="2"/>
      <c r="AA126" s="41" t="s">
        <v>29</v>
      </c>
      <c r="AB126" s="22" t="str">
        <f t="array" ref="AB126:AI134">SORT(O128:V136,2,FALSE,8,FALSE)</f>
        <v>Eng. Química</v>
      </c>
      <c r="AC126" s="22">
        <v>6.0</v>
      </c>
      <c r="AD126" s="22">
        <v>2.0</v>
      </c>
      <c r="AE126" s="22">
        <v>0.0</v>
      </c>
      <c r="AF126" s="22">
        <v>0.0</v>
      </c>
      <c r="AG126" s="22">
        <v>10.0</v>
      </c>
      <c r="AH126" s="23">
        <v>1.0</v>
      </c>
      <c r="AI126" s="22">
        <v>9.0</v>
      </c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>
      <c r="A127" s="57" t="s">
        <v>1</v>
      </c>
      <c r="B127" s="5" t="s">
        <v>2</v>
      </c>
      <c r="C127" s="5" t="s">
        <v>3</v>
      </c>
      <c r="D127" s="5" t="s">
        <v>4</v>
      </c>
      <c r="E127" s="5" t="s">
        <v>5</v>
      </c>
      <c r="F127" s="6" t="s">
        <v>6</v>
      </c>
      <c r="G127" s="7"/>
      <c r="H127" s="8"/>
      <c r="I127" s="5" t="s">
        <v>7</v>
      </c>
      <c r="J127" s="9" t="s">
        <v>8</v>
      </c>
      <c r="K127" s="9" t="s">
        <v>9</v>
      </c>
      <c r="L127" s="9" t="s">
        <v>10</v>
      </c>
      <c r="M127" s="9"/>
      <c r="N127" s="9" t="s">
        <v>11</v>
      </c>
      <c r="O127" s="9" t="s">
        <v>12</v>
      </c>
      <c r="P127" s="9" t="s">
        <v>13</v>
      </c>
      <c r="Q127" s="9" t="s">
        <v>14</v>
      </c>
      <c r="R127" s="9" t="s">
        <v>15</v>
      </c>
      <c r="S127" s="9" t="s">
        <v>16</v>
      </c>
      <c r="T127" s="9" t="s">
        <v>17</v>
      </c>
      <c r="U127" s="9" t="s">
        <v>18</v>
      </c>
      <c r="V127" s="9" t="s">
        <v>19</v>
      </c>
      <c r="W127" s="2"/>
      <c r="X127" s="2"/>
      <c r="Y127" s="2"/>
      <c r="Z127" s="2"/>
      <c r="AA127" s="95" t="s">
        <v>112</v>
      </c>
      <c r="AB127" s="22" t="s">
        <v>56</v>
      </c>
      <c r="AC127" s="22">
        <v>3.0</v>
      </c>
      <c r="AD127" s="22">
        <v>1.0</v>
      </c>
      <c r="AE127" s="22">
        <v>0.0</v>
      </c>
      <c r="AF127" s="22">
        <v>0.0</v>
      </c>
      <c r="AG127" s="22">
        <v>7.0</v>
      </c>
      <c r="AH127" s="23">
        <v>0.0</v>
      </c>
      <c r="AI127" s="22">
        <v>7.0</v>
      </c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>
      <c r="A128" s="10">
        <v>1.0</v>
      </c>
      <c r="B128" s="97">
        <v>45953.0</v>
      </c>
      <c r="C128" s="59" t="s">
        <v>95</v>
      </c>
      <c r="D128" s="59" t="s">
        <v>183</v>
      </c>
      <c r="E128" s="14" t="s">
        <v>42</v>
      </c>
      <c r="F128" s="78">
        <v>1.0</v>
      </c>
      <c r="G128" s="75" t="s">
        <v>24</v>
      </c>
      <c r="H128" s="78">
        <v>3.0</v>
      </c>
      <c r="I128" s="14" t="s">
        <v>62</v>
      </c>
      <c r="J128" s="4"/>
      <c r="K128" s="4">
        <f t="shared" ref="K128:K172" si="19">IF(F128="","",IFS(F128&gt;H128,3,F128=H128,1,H128&gt;F128,0,F128="",0))</f>
        <v>0</v>
      </c>
      <c r="L128" s="17">
        <f t="shared" ref="L128:L172" si="20">IF(H128="","",IFS(F128&lt;H128,3,F128=H128,1,H128&lt;F128,0))</f>
        <v>3</v>
      </c>
      <c r="M128" s="4"/>
      <c r="N128" s="17">
        <v>1.0</v>
      </c>
      <c r="O128" s="46" t="s">
        <v>62</v>
      </c>
      <c r="P128" s="17">
        <f t="shared" ref="P128:P136" si="21">SUMIF(E$128:E$172,O128,K$128:K$172)+SUMIF(I$128:I$172,O128,L$128:L$172)</f>
        <v>3</v>
      </c>
      <c r="Q128" s="17">
        <f t="shared" ref="Q128:Q136" si="22">COUNTIFS(E$128:E$172,O128,K$128:K$172,3)+COUNTIFS(I$128:I$172,O128,L$128:L$172,3)</f>
        <v>1</v>
      </c>
      <c r="R128" s="19">
        <f t="shared" ref="R128:R136" si="23">COUNTIFS(E$128:E$172,O128,K$128:K$172,1)+COUNTIFS(I$128:I$172,O128,L$128:L$172,1)</f>
        <v>0</v>
      </c>
      <c r="S128" s="19">
        <f t="shared" ref="S128:S136" si="24">COUNTIFS(E$128:E$172,O128,K$128:K$172,0)+COUNTIFS(I$128:I$172,O128,L$128:L$172,0)</f>
        <v>0</v>
      </c>
      <c r="T128" s="17">
        <f t="shared" ref="T128:T136" si="25">SUMIF(E$128:E$172,O128,F$128:F$172)+SUMIF(I$128:I$172,O128,H$128:H$172)</f>
        <v>3</v>
      </c>
      <c r="U128" s="19">
        <f t="shared" ref="U128:U136" si="26">SUMIF(E$128:E$172,O128,H$128:H$172)+SUMIF(I$128:I$172,O128,F$128:F$172)</f>
        <v>1</v>
      </c>
      <c r="V128" s="17">
        <f t="shared" ref="V128:V136" si="27">T128-U128</f>
        <v>2</v>
      </c>
      <c r="W128" s="2"/>
      <c r="X128" s="2"/>
      <c r="Y128" s="2"/>
      <c r="Z128" s="2"/>
      <c r="AA128" s="21">
        <v>3.0</v>
      </c>
      <c r="AB128" s="22" t="s">
        <v>162</v>
      </c>
      <c r="AC128" s="22">
        <v>3.0</v>
      </c>
      <c r="AD128" s="22">
        <v>1.0</v>
      </c>
      <c r="AE128" s="22">
        <v>0.0</v>
      </c>
      <c r="AF128" s="22">
        <v>1.0</v>
      </c>
      <c r="AG128" s="22">
        <v>9.0</v>
      </c>
      <c r="AH128" s="23">
        <v>6.0</v>
      </c>
      <c r="AI128" s="22">
        <v>3.0</v>
      </c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>
      <c r="A129" s="24"/>
      <c r="B129" s="97">
        <v>45953.0</v>
      </c>
      <c r="C129" s="59" t="s">
        <v>98</v>
      </c>
      <c r="D129" s="59" t="s">
        <v>183</v>
      </c>
      <c r="E129" s="14" t="s">
        <v>56</v>
      </c>
      <c r="F129" s="78">
        <v>7.0</v>
      </c>
      <c r="G129" s="75" t="s">
        <v>24</v>
      </c>
      <c r="H129" s="78">
        <v>0.0</v>
      </c>
      <c r="I129" s="14" t="s">
        <v>110</v>
      </c>
      <c r="J129" s="4"/>
      <c r="K129" s="4">
        <f t="shared" si="19"/>
        <v>3</v>
      </c>
      <c r="L129" s="17">
        <f t="shared" si="20"/>
        <v>0</v>
      </c>
      <c r="M129" s="4"/>
      <c r="N129" s="17">
        <v>2.0</v>
      </c>
      <c r="O129" s="46" t="s">
        <v>42</v>
      </c>
      <c r="P129" s="17">
        <f t="shared" si="21"/>
        <v>0</v>
      </c>
      <c r="Q129" s="17">
        <f t="shared" si="22"/>
        <v>0</v>
      </c>
      <c r="R129" s="19">
        <f t="shared" si="23"/>
        <v>0</v>
      </c>
      <c r="S129" s="19">
        <f t="shared" si="24"/>
        <v>1</v>
      </c>
      <c r="T129" s="17">
        <f t="shared" si="25"/>
        <v>1</v>
      </c>
      <c r="U129" s="19">
        <f t="shared" si="26"/>
        <v>3</v>
      </c>
      <c r="V129" s="17">
        <f t="shared" si="27"/>
        <v>-2</v>
      </c>
      <c r="W129" s="2"/>
      <c r="X129" s="2"/>
      <c r="Y129" s="2"/>
      <c r="Z129" s="2"/>
      <c r="AA129" s="21">
        <v>4.0</v>
      </c>
      <c r="AB129" s="22" t="s">
        <v>62</v>
      </c>
      <c r="AC129" s="22">
        <v>3.0</v>
      </c>
      <c r="AD129" s="22">
        <v>1.0</v>
      </c>
      <c r="AE129" s="22">
        <v>0.0</v>
      </c>
      <c r="AF129" s="22">
        <v>0.0</v>
      </c>
      <c r="AG129" s="22">
        <v>3.0</v>
      </c>
      <c r="AH129" s="23">
        <v>1.0</v>
      </c>
      <c r="AI129" s="22">
        <v>2.0</v>
      </c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ht="15.75" customHeight="1">
      <c r="A130" s="24"/>
      <c r="B130" s="97">
        <v>45953.0</v>
      </c>
      <c r="C130" s="59" t="s">
        <v>102</v>
      </c>
      <c r="D130" s="59" t="s">
        <v>183</v>
      </c>
      <c r="E130" s="14" t="s">
        <v>145</v>
      </c>
      <c r="F130" s="78">
        <v>6.0</v>
      </c>
      <c r="G130" s="75" t="s">
        <v>24</v>
      </c>
      <c r="H130" s="78">
        <v>0.0</v>
      </c>
      <c r="I130" s="14" t="s">
        <v>61</v>
      </c>
      <c r="J130" s="4"/>
      <c r="K130" s="4">
        <f t="shared" si="19"/>
        <v>3</v>
      </c>
      <c r="L130" s="17">
        <f t="shared" si="20"/>
        <v>0</v>
      </c>
      <c r="M130" s="4"/>
      <c r="N130" s="17">
        <v>3.0</v>
      </c>
      <c r="O130" s="46" t="s">
        <v>56</v>
      </c>
      <c r="P130" s="17">
        <f t="shared" si="21"/>
        <v>3</v>
      </c>
      <c r="Q130" s="17">
        <f t="shared" si="22"/>
        <v>1</v>
      </c>
      <c r="R130" s="19">
        <f t="shared" si="23"/>
        <v>0</v>
      </c>
      <c r="S130" s="19">
        <f t="shared" si="24"/>
        <v>0</v>
      </c>
      <c r="T130" s="17">
        <f t="shared" si="25"/>
        <v>7</v>
      </c>
      <c r="U130" s="19">
        <f t="shared" si="26"/>
        <v>0</v>
      </c>
      <c r="V130" s="17">
        <f t="shared" si="27"/>
        <v>7</v>
      </c>
      <c r="W130" s="2"/>
      <c r="X130" s="2"/>
      <c r="Y130" s="2"/>
      <c r="Z130" s="2"/>
      <c r="AA130" s="21">
        <v>5.0</v>
      </c>
      <c r="AB130" s="22" t="s">
        <v>31</v>
      </c>
      <c r="AC130" s="22">
        <v>3.0</v>
      </c>
      <c r="AD130" s="22">
        <v>1.0</v>
      </c>
      <c r="AE130" s="22">
        <v>0.0</v>
      </c>
      <c r="AF130" s="22">
        <v>0.0</v>
      </c>
      <c r="AG130" s="22">
        <v>4.0</v>
      </c>
      <c r="AH130" s="23">
        <v>3.0</v>
      </c>
      <c r="AI130" s="22">
        <v>1.0</v>
      </c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ht="15.75" customHeight="1">
      <c r="A131" s="24"/>
      <c r="B131" s="97">
        <v>45950.0</v>
      </c>
      <c r="C131" s="59" t="s">
        <v>98</v>
      </c>
      <c r="D131" s="59" t="s">
        <v>183</v>
      </c>
      <c r="E131" s="40" t="s">
        <v>31</v>
      </c>
      <c r="F131" s="78">
        <v>4.0</v>
      </c>
      <c r="G131" s="75" t="s">
        <v>24</v>
      </c>
      <c r="H131" s="78">
        <v>3.0</v>
      </c>
      <c r="I131" s="40" t="s">
        <v>162</v>
      </c>
      <c r="J131" s="4"/>
      <c r="K131" s="4">
        <f t="shared" si="19"/>
        <v>3</v>
      </c>
      <c r="L131" s="17">
        <f t="shared" si="20"/>
        <v>0</v>
      </c>
      <c r="M131" s="4"/>
      <c r="N131" s="17">
        <v>4.0</v>
      </c>
      <c r="O131" s="46" t="s">
        <v>145</v>
      </c>
      <c r="P131" s="17">
        <f t="shared" si="21"/>
        <v>6</v>
      </c>
      <c r="Q131" s="17">
        <f t="shared" si="22"/>
        <v>2</v>
      </c>
      <c r="R131" s="19">
        <f t="shared" si="23"/>
        <v>0</v>
      </c>
      <c r="S131" s="19">
        <f t="shared" si="24"/>
        <v>0</v>
      </c>
      <c r="T131" s="17">
        <f t="shared" si="25"/>
        <v>10</v>
      </c>
      <c r="U131" s="19">
        <f t="shared" si="26"/>
        <v>1</v>
      </c>
      <c r="V131" s="17">
        <f t="shared" si="27"/>
        <v>9</v>
      </c>
      <c r="W131" s="2"/>
      <c r="X131" s="2"/>
      <c r="Y131" s="2"/>
      <c r="Z131" s="2"/>
      <c r="AA131" s="21">
        <v>6.0</v>
      </c>
      <c r="AB131" s="22" t="s">
        <v>42</v>
      </c>
      <c r="AC131" s="22">
        <v>0.0</v>
      </c>
      <c r="AD131" s="22">
        <v>0.0</v>
      </c>
      <c r="AE131" s="22">
        <v>0.0</v>
      </c>
      <c r="AF131" s="22">
        <v>1.0</v>
      </c>
      <c r="AG131" s="22">
        <v>1.0</v>
      </c>
      <c r="AH131" s="23">
        <v>3.0</v>
      </c>
      <c r="AI131" s="22">
        <v>-2.0</v>
      </c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</row>
    <row r="132" ht="15.75" customHeight="1">
      <c r="A132" s="28"/>
      <c r="B132" s="29"/>
      <c r="C132" s="30"/>
      <c r="D132" s="111"/>
      <c r="E132" s="14" t="s">
        <v>55</v>
      </c>
      <c r="F132" s="112"/>
      <c r="G132" s="75" t="s">
        <v>24</v>
      </c>
      <c r="H132" s="112"/>
      <c r="I132" s="14">
        <v>0.0</v>
      </c>
      <c r="J132" s="4"/>
      <c r="K132" s="4" t="str">
        <f t="shared" si="19"/>
        <v/>
      </c>
      <c r="L132" s="17" t="str">
        <f t="shared" si="20"/>
        <v/>
      </c>
      <c r="M132" s="4"/>
      <c r="N132" s="17">
        <v>5.0</v>
      </c>
      <c r="O132" s="46" t="s">
        <v>31</v>
      </c>
      <c r="P132" s="17">
        <f t="shared" si="21"/>
        <v>3</v>
      </c>
      <c r="Q132" s="17">
        <f t="shared" si="22"/>
        <v>1</v>
      </c>
      <c r="R132" s="19">
        <f t="shared" si="23"/>
        <v>0</v>
      </c>
      <c r="S132" s="19">
        <f t="shared" si="24"/>
        <v>0</v>
      </c>
      <c r="T132" s="17">
        <f t="shared" si="25"/>
        <v>4</v>
      </c>
      <c r="U132" s="19">
        <f t="shared" si="26"/>
        <v>3</v>
      </c>
      <c r="V132" s="17">
        <f t="shared" si="27"/>
        <v>1</v>
      </c>
      <c r="W132" s="2"/>
      <c r="X132" s="2"/>
      <c r="Y132" s="2"/>
      <c r="Z132" s="2"/>
      <c r="AA132" s="21">
        <v>7.0</v>
      </c>
      <c r="AB132" s="22" t="s">
        <v>55</v>
      </c>
      <c r="AC132" s="22">
        <v>0.0</v>
      </c>
      <c r="AD132" s="22">
        <v>0.0</v>
      </c>
      <c r="AE132" s="22">
        <v>0.0</v>
      </c>
      <c r="AF132" s="22">
        <v>1.0</v>
      </c>
      <c r="AG132" s="22">
        <v>2.0</v>
      </c>
      <c r="AH132" s="23">
        <v>6.0</v>
      </c>
      <c r="AI132" s="22">
        <v>-4.0</v>
      </c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</row>
    <row r="133" ht="15.75" customHeight="1">
      <c r="A133" s="10">
        <v>2.0</v>
      </c>
      <c r="B133" s="97">
        <v>45971.0</v>
      </c>
      <c r="C133" s="12" t="s">
        <v>98</v>
      </c>
      <c r="D133" s="59" t="s">
        <v>183</v>
      </c>
      <c r="E133" s="40" t="s">
        <v>62</v>
      </c>
      <c r="F133" s="16"/>
      <c r="G133" s="75" t="s">
        <v>24</v>
      </c>
      <c r="H133" s="112"/>
      <c r="I133" s="40" t="s">
        <v>56</v>
      </c>
      <c r="J133" s="4"/>
      <c r="K133" s="4" t="str">
        <f t="shared" si="19"/>
        <v/>
      </c>
      <c r="L133" s="17" t="str">
        <f t="shared" si="20"/>
        <v/>
      </c>
      <c r="M133" s="4"/>
      <c r="N133" s="17">
        <v>6.0</v>
      </c>
      <c r="O133" s="46" t="s">
        <v>55</v>
      </c>
      <c r="P133" s="17">
        <f t="shared" si="21"/>
        <v>0</v>
      </c>
      <c r="Q133" s="17">
        <f t="shared" si="22"/>
        <v>0</v>
      </c>
      <c r="R133" s="19">
        <f t="shared" si="23"/>
        <v>0</v>
      </c>
      <c r="S133" s="19">
        <f t="shared" si="24"/>
        <v>1</v>
      </c>
      <c r="T133" s="17">
        <f t="shared" si="25"/>
        <v>2</v>
      </c>
      <c r="U133" s="19">
        <f t="shared" si="26"/>
        <v>6</v>
      </c>
      <c r="V133" s="17">
        <f t="shared" si="27"/>
        <v>-4</v>
      </c>
      <c r="W133" s="2"/>
      <c r="X133" s="2"/>
      <c r="Y133" s="2"/>
      <c r="Z133" s="2"/>
      <c r="AA133" s="21">
        <v>8.0</v>
      </c>
      <c r="AB133" s="22" t="s">
        <v>61</v>
      </c>
      <c r="AC133" s="22">
        <v>0.0</v>
      </c>
      <c r="AD133" s="22">
        <v>0.0</v>
      </c>
      <c r="AE133" s="22">
        <v>0.0</v>
      </c>
      <c r="AF133" s="22">
        <v>1.0</v>
      </c>
      <c r="AG133" s="22">
        <v>0.0</v>
      </c>
      <c r="AH133" s="23">
        <v>6.0</v>
      </c>
      <c r="AI133" s="22">
        <v>-6.0</v>
      </c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</row>
    <row r="134" ht="15.75" customHeight="1">
      <c r="A134" s="24"/>
      <c r="B134" s="98"/>
      <c r="C134" s="99"/>
      <c r="D134" s="81"/>
      <c r="E134" s="14">
        <v>0.0</v>
      </c>
      <c r="F134" s="16"/>
      <c r="G134" s="75" t="s">
        <v>24</v>
      </c>
      <c r="H134" s="112"/>
      <c r="I134" s="14" t="s">
        <v>42</v>
      </c>
      <c r="J134" s="4"/>
      <c r="K134" s="4" t="str">
        <f t="shared" si="19"/>
        <v/>
      </c>
      <c r="L134" s="17" t="str">
        <f t="shared" si="20"/>
        <v/>
      </c>
      <c r="M134" s="4"/>
      <c r="N134" s="17">
        <v>7.0</v>
      </c>
      <c r="O134" s="46" t="s">
        <v>162</v>
      </c>
      <c r="P134" s="17">
        <f t="shared" si="21"/>
        <v>3</v>
      </c>
      <c r="Q134" s="17">
        <f t="shared" si="22"/>
        <v>1</v>
      </c>
      <c r="R134" s="19">
        <f t="shared" si="23"/>
        <v>0</v>
      </c>
      <c r="S134" s="19">
        <f t="shared" si="24"/>
        <v>1</v>
      </c>
      <c r="T134" s="17">
        <f t="shared" si="25"/>
        <v>9</v>
      </c>
      <c r="U134" s="19">
        <f t="shared" si="26"/>
        <v>6</v>
      </c>
      <c r="V134" s="17">
        <f t="shared" si="27"/>
        <v>3</v>
      </c>
      <c r="W134" s="2"/>
      <c r="X134" s="2"/>
      <c r="Y134" s="2"/>
      <c r="Z134" s="2"/>
      <c r="AA134" s="21">
        <v>9.0</v>
      </c>
      <c r="AB134" s="22" t="s">
        <v>110</v>
      </c>
      <c r="AC134" s="22">
        <v>0.0</v>
      </c>
      <c r="AD134" s="27">
        <v>0.0</v>
      </c>
      <c r="AE134" s="27">
        <v>0.0</v>
      </c>
      <c r="AF134" s="27">
        <v>2.0</v>
      </c>
      <c r="AG134" s="27">
        <v>1.0</v>
      </c>
      <c r="AH134" s="27">
        <v>11.0</v>
      </c>
      <c r="AI134" s="27">
        <v>-10.0</v>
      </c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</row>
    <row r="135" ht="15.75" customHeight="1">
      <c r="A135" s="24"/>
      <c r="B135" s="97">
        <v>45965.0</v>
      </c>
      <c r="C135" s="59" t="s">
        <v>95</v>
      </c>
      <c r="D135" s="59" t="s">
        <v>183</v>
      </c>
      <c r="E135" s="14" t="s">
        <v>110</v>
      </c>
      <c r="F135" s="15">
        <v>1.0</v>
      </c>
      <c r="G135" s="75" t="s">
        <v>24</v>
      </c>
      <c r="H135" s="78">
        <v>4.0</v>
      </c>
      <c r="I135" s="14" t="s">
        <v>145</v>
      </c>
      <c r="J135" s="4"/>
      <c r="K135" s="4">
        <f t="shared" si="19"/>
        <v>0</v>
      </c>
      <c r="L135" s="17">
        <f t="shared" si="20"/>
        <v>3</v>
      </c>
      <c r="M135" s="4"/>
      <c r="N135" s="17">
        <v>8.0</v>
      </c>
      <c r="O135" s="46" t="s">
        <v>61</v>
      </c>
      <c r="P135" s="17">
        <f t="shared" si="21"/>
        <v>0</v>
      </c>
      <c r="Q135" s="17">
        <f t="shared" si="22"/>
        <v>0</v>
      </c>
      <c r="R135" s="19">
        <f t="shared" si="23"/>
        <v>0</v>
      </c>
      <c r="S135" s="19">
        <f t="shared" si="24"/>
        <v>1</v>
      </c>
      <c r="T135" s="17">
        <f t="shared" si="25"/>
        <v>0</v>
      </c>
      <c r="U135" s="19">
        <f t="shared" si="26"/>
        <v>6</v>
      </c>
      <c r="V135" s="17">
        <f t="shared" si="27"/>
        <v>-6</v>
      </c>
      <c r="W135" s="2"/>
      <c r="X135" s="2"/>
      <c r="Y135" s="2"/>
      <c r="Z135" s="2"/>
      <c r="AA135" s="34" t="s">
        <v>192</v>
      </c>
      <c r="AD135" s="2"/>
      <c r="AE135" s="2"/>
      <c r="AF135" s="36"/>
      <c r="AG135" s="36"/>
      <c r="AH135" s="36"/>
      <c r="AI135" s="36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</row>
    <row r="136" ht="15.75" customHeight="1">
      <c r="A136" s="24"/>
      <c r="B136" s="97">
        <v>45972.0</v>
      </c>
      <c r="C136" s="12" t="s">
        <v>95</v>
      </c>
      <c r="D136" s="59" t="s">
        <v>183</v>
      </c>
      <c r="E136" s="14" t="s">
        <v>61</v>
      </c>
      <c r="F136" s="16"/>
      <c r="G136" s="75" t="s">
        <v>24</v>
      </c>
      <c r="H136" s="112"/>
      <c r="I136" s="14" t="s">
        <v>31</v>
      </c>
      <c r="J136" s="4"/>
      <c r="K136" s="4" t="str">
        <f t="shared" si="19"/>
        <v/>
      </c>
      <c r="L136" s="17" t="str">
        <f t="shared" si="20"/>
        <v/>
      </c>
      <c r="M136" s="4"/>
      <c r="N136" s="17">
        <v>9.0</v>
      </c>
      <c r="O136" s="46" t="s">
        <v>110</v>
      </c>
      <c r="P136" s="17">
        <f t="shared" si="21"/>
        <v>0</v>
      </c>
      <c r="Q136" s="17">
        <f t="shared" si="22"/>
        <v>0</v>
      </c>
      <c r="R136" s="19">
        <f t="shared" si="23"/>
        <v>0</v>
      </c>
      <c r="S136" s="19">
        <f t="shared" si="24"/>
        <v>2</v>
      </c>
      <c r="T136" s="17">
        <f t="shared" si="25"/>
        <v>1</v>
      </c>
      <c r="U136" s="19">
        <f t="shared" si="26"/>
        <v>11</v>
      </c>
      <c r="V136" s="17">
        <f t="shared" si="27"/>
        <v>-10</v>
      </c>
      <c r="W136" s="2"/>
      <c r="X136" s="2"/>
      <c r="Y136" s="2"/>
      <c r="Z136" s="2"/>
      <c r="AA136" s="73" t="s">
        <v>106</v>
      </c>
      <c r="AD136" s="2"/>
      <c r="AE136" s="2"/>
      <c r="AF136" s="36"/>
      <c r="AG136" s="36"/>
      <c r="AH136" s="36"/>
      <c r="AI136" s="36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</row>
    <row r="137" ht="15.75" customHeight="1">
      <c r="A137" s="28"/>
      <c r="B137" s="97">
        <v>45965.0</v>
      </c>
      <c r="C137" s="59" t="s">
        <v>98</v>
      </c>
      <c r="D137" s="59" t="s">
        <v>183</v>
      </c>
      <c r="E137" s="14" t="s">
        <v>162</v>
      </c>
      <c r="F137" s="15">
        <v>6.0</v>
      </c>
      <c r="G137" s="75" t="s">
        <v>24</v>
      </c>
      <c r="H137" s="78">
        <v>2.0</v>
      </c>
      <c r="I137" s="14" t="s">
        <v>55</v>
      </c>
      <c r="J137" s="4"/>
      <c r="K137" s="4">
        <f t="shared" si="19"/>
        <v>3</v>
      </c>
      <c r="L137" s="17">
        <f t="shared" si="20"/>
        <v>0</v>
      </c>
      <c r="M137" s="4"/>
      <c r="N137" s="17"/>
      <c r="O137" s="114"/>
      <c r="P137" s="17"/>
      <c r="Q137" s="17"/>
      <c r="R137" s="19"/>
      <c r="S137" s="19"/>
      <c r="T137" s="17"/>
      <c r="U137" s="19"/>
      <c r="V137" s="17"/>
      <c r="W137" s="2"/>
      <c r="X137" s="2"/>
      <c r="Y137" s="2"/>
      <c r="Z137" s="2"/>
      <c r="AA137" s="4"/>
      <c r="AD137" s="36"/>
      <c r="AF137" s="36"/>
      <c r="AG137" s="36"/>
      <c r="AH137" s="36"/>
      <c r="AI137" s="36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</row>
    <row r="138" ht="15.75" customHeight="1">
      <c r="A138" s="10">
        <v>3.0</v>
      </c>
      <c r="B138" s="29"/>
      <c r="C138" s="16"/>
      <c r="D138" s="111"/>
      <c r="E138" s="14" t="s">
        <v>145</v>
      </c>
      <c r="F138" s="112"/>
      <c r="G138" s="75" t="s">
        <v>24</v>
      </c>
      <c r="H138" s="112"/>
      <c r="I138" s="14" t="s">
        <v>62</v>
      </c>
      <c r="J138" s="4"/>
      <c r="K138" s="4" t="str">
        <f t="shared" si="19"/>
        <v/>
      </c>
      <c r="L138" s="17" t="str">
        <f t="shared" si="20"/>
        <v/>
      </c>
      <c r="M138" s="4"/>
      <c r="N138" s="4"/>
      <c r="O138" s="4"/>
      <c r="P138" s="4"/>
      <c r="Q138" s="4"/>
      <c r="R138" s="4"/>
      <c r="S138" s="19"/>
      <c r="T138" s="4"/>
      <c r="U138" s="4"/>
      <c r="V138" s="4"/>
      <c r="W138" s="2"/>
      <c r="X138" s="2"/>
      <c r="Y138" s="2"/>
      <c r="Z138" s="2"/>
      <c r="AF138" s="36"/>
      <c r="AG138" s="36"/>
      <c r="AH138" s="36"/>
      <c r="AI138" s="36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</row>
    <row r="139" ht="15.75" customHeight="1">
      <c r="A139" s="24"/>
      <c r="B139" s="29"/>
      <c r="C139" s="16"/>
      <c r="D139" s="111"/>
      <c r="E139" s="40" t="s">
        <v>56</v>
      </c>
      <c r="F139" s="112"/>
      <c r="G139" s="75" t="s">
        <v>24</v>
      </c>
      <c r="H139" s="112"/>
      <c r="I139" s="40" t="s">
        <v>42</v>
      </c>
      <c r="J139" s="4"/>
      <c r="K139" s="4" t="str">
        <f t="shared" si="19"/>
        <v/>
      </c>
      <c r="L139" s="17" t="str">
        <f t="shared" si="20"/>
        <v/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2"/>
      <c r="X139" s="2"/>
      <c r="Y139" s="2"/>
      <c r="Z139" s="2"/>
      <c r="AF139" s="36"/>
      <c r="AG139" s="36"/>
      <c r="AH139" s="36"/>
      <c r="AI139" s="36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</row>
    <row r="140" ht="15.75" customHeight="1">
      <c r="A140" s="24"/>
      <c r="B140" s="29"/>
      <c r="C140" s="16"/>
      <c r="D140" s="111"/>
      <c r="E140" s="14" t="s">
        <v>31</v>
      </c>
      <c r="F140" s="112"/>
      <c r="G140" s="75" t="s">
        <v>24</v>
      </c>
      <c r="H140" s="112"/>
      <c r="I140" s="14" t="s">
        <v>110</v>
      </c>
      <c r="J140" s="4"/>
      <c r="K140" s="4" t="str">
        <f t="shared" si="19"/>
        <v/>
      </c>
      <c r="L140" s="17" t="str">
        <f t="shared" si="20"/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2"/>
      <c r="X140" s="2"/>
      <c r="Y140" s="2"/>
      <c r="Z140" s="2"/>
      <c r="AF140" s="36"/>
      <c r="AG140" s="36"/>
      <c r="AH140" s="36"/>
      <c r="AI140" s="36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</row>
    <row r="141" ht="15.75" customHeight="1">
      <c r="A141" s="24"/>
      <c r="B141" s="29"/>
      <c r="C141" s="16"/>
      <c r="D141" s="111"/>
      <c r="E141" s="14" t="s">
        <v>55</v>
      </c>
      <c r="F141" s="112"/>
      <c r="G141" s="75" t="s">
        <v>24</v>
      </c>
      <c r="H141" s="112"/>
      <c r="I141" s="14" t="s">
        <v>61</v>
      </c>
      <c r="J141" s="4"/>
      <c r="K141" s="4" t="str">
        <f t="shared" si="19"/>
        <v/>
      </c>
      <c r="L141" s="17" t="str">
        <f t="shared" si="20"/>
        <v/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2"/>
      <c r="X141" s="2"/>
      <c r="Y141" s="2"/>
      <c r="Z141" s="2"/>
      <c r="AF141" s="36"/>
      <c r="AG141" s="36"/>
      <c r="AH141" s="36"/>
      <c r="AI141" s="36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</row>
    <row r="142" ht="15.75" customHeight="1">
      <c r="A142" s="28"/>
      <c r="B142" s="29"/>
      <c r="C142" s="16"/>
      <c r="D142" s="111"/>
      <c r="E142" s="40">
        <v>0.0</v>
      </c>
      <c r="F142" s="112"/>
      <c r="G142" s="75" t="s">
        <v>24</v>
      </c>
      <c r="H142" s="112"/>
      <c r="I142" s="40" t="s">
        <v>162</v>
      </c>
      <c r="J142" s="4"/>
      <c r="K142" s="4" t="str">
        <f t="shared" si="19"/>
        <v/>
      </c>
      <c r="L142" s="17" t="str">
        <f t="shared" si="20"/>
        <v/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2"/>
      <c r="X142" s="2"/>
      <c r="Y142" s="2"/>
      <c r="Z142" s="2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ht="15.75" customHeight="1">
      <c r="A143" s="10">
        <v>4.0</v>
      </c>
      <c r="B143" s="29"/>
      <c r="C143" s="16"/>
      <c r="D143" s="16"/>
      <c r="E143" s="14" t="s">
        <v>62</v>
      </c>
      <c r="F143" s="112"/>
      <c r="G143" s="75" t="s">
        <v>24</v>
      </c>
      <c r="H143" s="112"/>
      <c r="I143" s="14" t="s">
        <v>31</v>
      </c>
      <c r="J143" s="37"/>
      <c r="K143" s="4" t="str">
        <f t="shared" si="19"/>
        <v/>
      </c>
      <c r="L143" s="17" t="str">
        <f t="shared" si="20"/>
        <v/>
      </c>
      <c r="M143" s="4"/>
      <c r="N143" s="4"/>
      <c r="O143" s="4"/>
      <c r="P143" s="4"/>
      <c r="Q143" s="3"/>
      <c r="R143" s="4"/>
      <c r="S143" s="4"/>
      <c r="T143" s="4"/>
      <c r="U143" s="4"/>
      <c r="V143" s="4"/>
      <c r="W143" s="2"/>
      <c r="X143" s="2"/>
      <c r="Y143" s="2"/>
      <c r="Z143" s="2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ht="15.75" customHeight="1">
      <c r="A144" s="24"/>
      <c r="B144" s="29"/>
      <c r="C144" s="16"/>
      <c r="D144" s="16"/>
      <c r="E144" s="14" t="s">
        <v>42</v>
      </c>
      <c r="F144" s="112"/>
      <c r="G144" s="75" t="s">
        <v>24</v>
      </c>
      <c r="H144" s="112"/>
      <c r="I144" s="14" t="s">
        <v>145</v>
      </c>
      <c r="J144" s="4"/>
      <c r="K144" s="4" t="str">
        <f t="shared" si="19"/>
        <v/>
      </c>
      <c r="L144" s="17" t="str">
        <f t="shared" si="20"/>
        <v/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2"/>
      <c r="X144" s="2"/>
      <c r="Y144" s="2"/>
      <c r="Z144" s="2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ht="15.75" customHeight="1">
      <c r="A145" s="24"/>
      <c r="B145" s="113"/>
      <c r="C145" s="16"/>
      <c r="D145" s="16"/>
      <c r="E145" s="14" t="s">
        <v>56</v>
      </c>
      <c r="F145" s="112"/>
      <c r="G145" s="75" t="s">
        <v>24</v>
      </c>
      <c r="H145" s="112"/>
      <c r="I145" s="14">
        <v>0.0</v>
      </c>
      <c r="J145" s="4"/>
      <c r="K145" s="4" t="str">
        <f t="shared" si="19"/>
        <v/>
      </c>
      <c r="L145" s="17" t="str">
        <f t="shared" si="20"/>
        <v/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2"/>
      <c r="X145" s="2"/>
      <c r="Y145" s="2"/>
      <c r="Z145" s="2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ht="15.75" customHeight="1">
      <c r="A146" s="24"/>
      <c r="B146" s="29"/>
      <c r="C146" s="16"/>
      <c r="D146" s="16"/>
      <c r="E146" s="14" t="s">
        <v>110</v>
      </c>
      <c r="F146" s="112"/>
      <c r="G146" s="75" t="s">
        <v>24</v>
      </c>
      <c r="H146" s="112"/>
      <c r="I146" s="14" t="s">
        <v>55</v>
      </c>
      <c r="J146" s="4"/>
      <c r="K146" s="4" t="str">
        <f t="shared" si="19"/>
        <v/>
      </c>
      <c r="L146" s="17" t="str">
        <f t="shared" si="20"/>
        <v/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2"/>
      <c r="X146" s="2"/>
      <c r="Y146" s="2"/>
      <c r="Z146" s="2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ht="15.75" customHeight="1">
      <c r="A147" s="28"/>
      <c r="B147" s="29"/>
      <c r="C147" s="16"/>
      <c r="D147" s="16"/>
      <c r="E147" s="40" t="s">
        <v>61</v>
      </c>
      <c r="F147" s="112"/>
      <c r="G147" s="75" t="s">
        <v>24</v>
      </c>
      <c r="H147" s="112"/>
      <c r="I147" s="40" t="s">
        <v>162</v>
      </c>
      <c r="J147" s="4"/>
      <c r="K147" s="4" t="str">
        <f t="shared" si="19"/>
        <v/>
      </c>
      <c r="L147" s="17" t="str">
        <f t="shared" si="20"/>
        <v/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2"/>
      <c r="X147" s="2"/>
      <c r="Y147" s="2"/>
      <c r="Z147" s="2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ht="15.75" customHeight="1">
      <c r="A148" s="10">
        <v>5.0</v>
      </c>
      <c r="B148" s="113"/>
      <c r="C148" s="16"/>
      <c r="D148" s="111"/>
      <c r="E148" s="14" t="s">
        <v>55</v>
      </c>
      <c r="F148" s="112"/>
      <c r="G148" s="75" t="s">
        <v>24</v>
      </c>
      <c r="H148" s="112"/>
      <c r="I148" s="14" t="s">
        <v>62</v>
      </c>
      <c r="J148" s="4"/>
      <c r="K148" s="4" t="str">
        <f t="shared" si="19"/>
        <v/>
      </c>
      <c r="L148" s="17" t="str">
        <f t="shared" si="20"/>
        <v/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2"/>
      <c r="X148" s="2"/>
      <c r="Y148" s="2"/>
      <c r="Z148" s="2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ht="15.75" customHeight="1">
      <c r="A149" s="24"/>
      <c r="B149" s="113"/>
      <c r="C149" s="16"/>
      <c r="D149" s="111"/>
      <c r="E149" s="14" t="s">
        <v>31</v>
      </c>
      <c r="F149" s="112"/>
      <c r="G149" s="75" t="s">
        <v>24</v>
      </c>
      <c r="H149" s="112"/>
      <c r="I149" s="14" t="s">
        <v>42</v>
      </c>
      <c r="J149" s="4"/>
      <c r="K149" s="4" t="str">
        <f t="shared" si="19"/>
        <v/>
      </c>
      <c r="L149" s="17" t="str">
        <f t="shared" si="20"/>
        <v/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2"/>
      <c r="X149" s="2"/>
      <c r="Y149" s="2"/>
      <c r="Z149" s="2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ht="15.75" customHeight="1">
      <c r="A150" s="24"/>
      <c r="B150" s="113"/>
      <c r="C150" s="16"/>
      <c r="D150" s="111"/>
      <c r="E150" s="14" t="s">
        <v>145</v>
      </c>
      <c r="F150" s="112"/>
      <c r="G150" s="75" t="s">
        <v>24</v>
      </c>
      <c r="H150" s="112"/>
      <c r="I150" s="14" t="s">
        <v>56</v>
      </c>
      <c r="J150" s="4"/>
      <c r="K150" s="4" t="str">
        <f t="shared" si="19"/>
        <v/>
      </c>
      <c r="L150" s="17" t="str">
        <f t="shared" si="20"/>
        <v/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2"/>
      <c r="X150" s="2"/>
      <c r="Y150" s="2"/>
      <c r="Z150" s="2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ht="15.75" customHeight="1">
      <c r="A151" s="24"/>
      <c r="B151" s="113"/>
      <c r="C151" s="16"/>
      <c r="D151" s="111"/>
      <c r="E151" s="40" t="s">
        <v>162</v>
      </c>
      <c r="F151" s="112"/>
      <c r="G151" s="75" t="s">
        <v>24</v>
      </c>
      <c r="H151" s="112"/>
      <c r="I151" s="40" t="s">
        <v>110</v>
      </c>
      <c r="J151" s="4"/>
      <c r="K151" s="4" t="str">
        <f t="shared" si="19"/>
        <v/>
      </c>
      <c r="L151" s="17" t="str">
        <f t="shared" si="20"/>
        <v/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2"/>
      <c r="X151" s="2"/>
      <c r="Y151" s="2"/>
      <c r="Z151" s="2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ht="15.75" customHeight="1">
      <c r="A152" s="28"/>
      <c r="B152" s="113"/>
      <c r="C152" s="30"/>
      <c r="D152" s="111"/>
      <c r="E152" s="40">
        <v>0.0</v>
      </c>
      <c r="F152" s="112"/>
      <c r="G152" s="75" t="s">
        <v>24</v>
      </c>
      <c r="H152" s="112"/>
      <c r="I152" s="40" t="s">
        <v>61</v>
      </c>
      <c r="J152" s="4"/>
      <c r="K152" s="4" t="str">
        <f t="shared" si="19"/>
        <v/>
      </c>
      <c r="L152" s="17" t="str">
        <f t="shared" si="20"/>
        <v/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2"/>
      <c r="X152" s="2"/>
      <c r="Y152" s="2"/>
      <c r="Z152" s="2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ht="15.75" customHeight="1">
      <c r="A153" s="10">
        <v>6.0</v>
      </c>
      <c r="B153" s="113"/>
      <c r="C153" s="16"/>
      <c r="D153" s="111"/>
      <c r="E153" s="40" t="s">
        <v>62</v>
      </c>
      <c r="F153" s="112"/>
      <c r="G153" s="75" t="s">
        <v>24</v>
      </c>
      <c r="H153" s="112"/>
      <c r="I153" s="40" t="s">
        <v>162</v>
      </c>
      <c r="J153" s="4"/>
      <c r="K153" s="4" t="str">
        <f t="shared" si="19"/>
        <v/>
      </c>
      <c r="L153" s="17" t="str">
        <f t="shared" si="20"/>
        <v/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2"/>
      <c r="X153" s="2"/>
      <c r="Y153" s="2"/>
      <c r="Z153" s="2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ht="15.75" customHeight="1">
      <c r="A154" s="24"/>
      <c r="B154" s="113"/>
      <c r="C154" s="16"/>
      <c r="D154" s="111"/>
      <c r="E154" s="14" t="s">
        <v>42</v>
      </c>
      <c r="F154" s="112"/>
      <c r="G154" s="75" t="s">
        <v>24</v>
      </c>
      <c r="H154" s="112"/>
      <c r="I154" s="14" t="s">
        <v>55</v>
      </c>
      <c r="J154" s="4"/>
      <c r="K154" s="4" t="str">
        <f t="shared" si="19"/>
        <v/>
      </c>
      <c r="L154" s="17" t="str">
        <f t="shared" si="20"/>
        <v/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2"/>
      <c r="X154" s="2"/>
      <c r="Y154" s="2"/>
      <c r="Z154" s="2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ht="15.75" customHeight="1">
      <c r="A155" s="24"/>
      <c r="B155" s="113"/>
      <c r="C155" s="16"/>
      <c r="D155" s="111"/>
      <c r="E155" s="14" t="s">
        <v>56</v>
      </c>
      <c r="F155" s="112"/>
      <c r="G155" s="75" t="s">
        <v>24</v>
      </c>
      <c r="H155" s="112"/>
      <c r="I155" s="14" t="s">
        <v>31</v>
      </c>
      <c r="J155" s="4"/>
      <c r="K155" s="4" t="str">
        <f t="shared" si="19"/>
        <v/>
      </c>
      <c r="L155" s="17" t="str">
        <f t="shared" si="20"/>
        <v/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2"/>
      <c r="X155" s="2"/>
      <c r="Y155" s="2"/>
      <c r="Z155" s="2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ht="15.75" customHeight="1">
      <c r="A156" s="24"/>
      <c r="B156" s="113"/>
      <c r="C156" s="16"/>
      <c r="D156" s="111"/>
      <c r="E156" s="14" t="s">
        <v>145</v>
      </c>
      <c r="F156" s="112"/>
      <c r="G156" s="75" t="s">
        <v>24</v>
      </c>
      <c r="H156" s="112"/>
      <c r="I156" s="14">
        <v>0.0</v>
      </c>
      <c r="J156" s="2"/>
      <c r="K156" s="4" t="str">
        <f t="shared" si="19"/>
        <v/>
      </c>
      <c r="L156" s="17" t="str">
        <f t="shared" si="20"/>
        <v/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ht="15.75" customHeight="1">
      <c r="A157" s="28"/>
      <c r="B157" s="113"/>
      <c r="C157" s="16"/>
      <c r="D157" s="111"/>
      <c r="E157" s="14" t="s">
        <v>110</v>
      </c>
      <c r="F157" s="112"/>
      <c r="G157" s="75" t="s">
        <v>24</v>
      </c>
      <c r="H157" s="112"/>
      <c r="I157" s="14" t="s">
        <v>61</v>
      </c>
      <c r="J157" s="36"/>
      <c r="K157" s="4" t="str">
        <f t="shared" si="19"/>
        <v/>
      </c>
      <c r="L157" s="17" t="str">
        <f t="shared" si="20"/>
        <v/>
      </c>
      <c r="M157" s="2"/>
      <c r="N157" s="2"/>
      <c r="O157" s="2"/>
      <c r="P157" s="2"/>
      <c r="Q157" s="3"/>
      <c r="R157" s="3"/>
      <c r="S157" s="3"/>
      <c r="T157" s="3"/>
      <c r="U157" s="3"/>
      <c r="V157" s="3"/>
      <c r="W157" s="2"/>
      <c r="X157" s="2"/>
      <c r="Y157" s="2"/>
      <c r="Z157" s="2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ht="15.75" customHeight="1">
      <c r="A158" s="10">
        <v>7.0</v>
      </c>
      <c r="B158" s="113"/>
      <c r="C158" s="16"/>
      <c r="D158" s="111"/>
      <c r="E158" s="14" t="s">
        <v>61</v>
      </c>
      <c r="F158" s="112"/>
      <c r="G158" s="75" t="s">
        <v>24</v>
      </c>
      <c r="H158" s="112"/>
      <c r="I158" s="14" t="s">
        <v>62</v>
      </c>
      <c r="J158" s="36"/>
      <c r="K158" s="4" t="str">
        <f t="shared" si="19"/>
        <v/>
      </c>
      <c r="L158" s="17" t="str">
        <f t="shared" si="20"/>
        <v/>
      </c>
      <c r="M158" s="2"/>
      <c r="N158" s="2"/>
      <c r="O158" s="2"/>
      <c r="P158" s="2"/>
      <c r="Q158" s="3"/>
      <c r="R158" s="3"/>
      <c r="S158" s="3"/>
      <c r="T158" s="3"/>
      <c r="U158" s="3"/>
      <c r="V158" s="3"/>
      <c r="W158" s="2"/>
      <c r="X158" s="2"/>
      <c r="Y158" s="2"/>
      <c r="Z158" s="2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ht="15.75" customHeight="1">
      <c r="A159" s="24"/>
      <c r="B159" s="113"/>
      <c r="C159" s="16"/>
      <c r="D159" s="111"/>
      <c r="E159" s="14" t="s">
        <v>162</v>
      </c>
      <c r="F159" s="112"/>
      <c r="G159" s="75" t="s">
        <v>24</v>
      </c>
      <c r="H159" s="112"/>
      <c r="I159" s="14" t="s">
        <v>42</v>
      </c>
      <c r="J159" s="36"/>
      <c r="K159" s="4" t="str">
        <f t="shared" si="19"/>
        <v/>
      </c>
      <c r="L159" s="17" t="str">
        <f t="shared" si="20"/>
        <v/>
      </c>
      <c r="M159" s="2"/>
      <c r="N159" s="2"/>
      <c r="O159" s="2"/>
      <c r="P159" s="2"/>
      <c r="Q159" s="3"/>
      <c r="R159" s="3"/>
      <c r="S159" s="3"/>
      <c r="T159" s="3"/>
      <c r="U159" s="3"/>
      <c r="V159" s="3"/>
      <c r="W159" s="2"/>
      <c r="X159" s="2"/>
      <c r="Y159" s="2"/>
      <c r="Z159" s="2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ht="15.75" customHeight="1">
      <c r="A160" s="24"/>
      <c r="B160" s="113"/>
      <c r="C160" s="16"/>
      <c r="D160" s="111"/>
      <c r="E160" s="14" t="s">
        <v>55</v>
      </c>
      <c r="F160" s="112"/>
      <c r="G160" s="75" t="s">
        <v>24</v>
      </c>
      <c r="H160" s="112"/>
      <c r="I160" s="14" t="s">
        <v>56</v>
      </c>
      <c r="J160" s="36"/>
      <c r="K160" s="4" t="str">
        <f t="shared" si="19"/>
        <v/>
      </c>
      <c r="L160" s="17" t="str">
        <f t="shared" si="20"/>
        <v/>
      </c>
      <c r="M160" s="2"/>
      <c r="N160" s="2"/>
      <c r="O160" s="2"/>
      <c r="P160" s="2"/>
      <c r="Q160" s="3"/>
      <c r="R160" s="3"/>
      <c r="S160" s="3"/>
      <c r="T160" s="3"/>
      <c r="U160" s="3"/>
      <c r="V160" s="3"/>
      <c r="W160" s="2"/>
      <c r="X160" s="2"/>
      <c r="Y160" s="2"/>
      <c r="Z160" s="2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ht="15.75" customHeight="1">
      <c r="A161" s="24"/>
      <c r="B161" s="113"/>
      <c r="C161" s="16"/>
      <c r="D161" s="111"/>
      <c r="E161" s="14" t="s">
        <v>31</v>
      </c>
      <c r="F161" s="112"/>
      <c r="G161" s="75" t="s">
        <v>24</v>
      </c>
      <c r="H161" s="112"/>
      <c r="I161" s="14" t="s">
        <v>145</v>
      </c>
      <c r="J161" s="36"/>
      <c r="K161" s="4" t="str">
        <f t="shared" si="19"/>
        <v/>
      </c>
      <c r="L161" s="17" t="str">
        <f t="shared" si="20"/>
        <v/>
      </c>
      <c r="M161" s="2"/>
      <c r="N161" s="2"/>
      <c r="O161" s="2"/>
      <c r="P161" s="2"/>
      <c r="Q161" s="3"/>
      <c r="R161" s="3"/>
      <c r="S161" s="3"/>
      <c r="T161" s="3"/>
      <c r="U161" s="3"/>
      <c r="V161" s="3"/>
      <c r="W161" s="2"/>
      <c r="X161" s="2"/>
      <c r="Y161" s="2"/>
      <c r="Z161" s="2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ht="15.75" customHeight="1">
      <c r="A162" s="28"/>
      <c r="B162" s="29"/>
      <c r="C162" s="16"/>
      <c r="D162" s="111"/>
      <c r="E162" s="14">
        <v>0.0</v>
      </c>
      <c r="F162" s="112"/>
      <c r="G162" s="75" t="s">
        <v>24</v>
      </c>
      <c r="H162" s="112"/>
      <c r="I162" s="14" t="s">
        <v>110</v>
      </c>
      <c r="J162" s="36"/>
      <c r="K162" s="4" t="str">
        <f t="shared" si="19"/>
        <v/>
      </c>
      <c r="L162" s="17" t="str">
        <f t="shared" si="20"/>
        <v/>
      </c>
      <c r="M162" s="2"/>
      <c r="N162" s="2"/>
      <c r="O162" s="2"/>
      <c r="P162" s="2"/>
      <c r="Q162" s="3"/>
      <c r="R162" s="3"/>
      <c r="S162" s="3"/>
      <c r="T162" s="3"/>
      <c r="U162" s="3"/>
      <c r="V162" s="3"/>
      <c r="W162" s="2"/>
      <c r="X162" s="2"/>
      <c r="Y162" s="2"/>
      <c r="Z162" s="2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ht="15.75" customHeight="1">
      <c r="A163" s="10">
        <v>8.0</v>
      </c>
      <c r="B163" s="29"/>
      <c r="C163" s="16"/>
      <c r="D163" s="111"/>
      <c r="E163" s="14" t="s">
        <v>62</v>
      </c>
      <c r="F163" s="112"/>
      <c r="G163" s="75" t="s">
        <v>24</v>
      </c>
      <c r="H163" s="112"/>
      <c r="I163" s="14" t="s">
        <v>110</v>
      </c>
      <c r="J163" s="36"/>
      <c r="K163" s="4" t="str">
        <f t="shared" si="19"/>
        <v/>
      </c>
      <c r="L163" s="17" t="str">
        <f t="shared" si="20"/>
        <v/>
      </c>
      <c r="M163" s="2"/>
      <c r="N163" s="2"/>
      <c r="O163" s="2"/>
      <c r="P163" s="2"/>
      <c r="Q163" s="3"/>
      <c r="R163" s="3"/>
      <c r="S163" s="3"/>
      <c r="T163" s="3"/>
      <c r="U163" s="3"/>
      <c r="V163" s="3"/>
      <c r="W163" s="2"/>
      <c r="X163" s="2"/>
      <c r="Y163" s="2"/>
      <c r="Z163" s="2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ht="15.75" customHeight="1">
      <c r="A164" s="24"/>
      <c r="B164" s="29"/>
      <c r="C164" s="16"/>
      <c r="D164" s="111"/>
      <c r="E164" s="14" t="s">
        <v>42</v>
      </c>
      <c r="F164" s="112"/>
      <c r="G164" s="75" t="s">
        <v>24</v>
      </c>
      <c r="H164" s="112"/>
      <c r="I164" s="14" t="s">
        <v>61</v>
      </c>
      <c r="J164" s="36"/>
      <c r="K164" s="4" t="str">
        <f t="shared" si="19"/>
        <v/>
      </c>
      <c r="L164" s="17" t="str">
        <f t="shared" si="20"/>
        <v/>
      </c>
      <c r="M164" s="2"/>
      <c r="N164" s="2"/>
      <c r="O164" s="2"/>
      <c r="P164" s="2"/>
      <c r="Q164" s="3"/>
      <c r="R164" s="3"/>
      <c r="S164" s="3"/>
      <c r="T164" s="3"/>
      <c r="U164" s="3"/>
      <c r="V164" s="3"/>
      <c r="W164" s="2"/>
      <c r="X164" s="2"/>
      <c r="Y164" s="2"/>
      <c r="Z164" s="2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ht="15.75" customHeight="1">
      <c r="A165" s="24"/>
      <c r="B165" s="29"/>
      <c r="C165" s="16"/>
      <c r="D165" s="111"/>
      <c r="E165" s="14" t="s">
        <v>56</v>
      </c>
      <c r="F165" s="112"/>
      <c r="G165" s="75" t="s">
        <v>24</v>
      </c>
      <c r="H165" s="112"/>
      <c r="I165" s="14" t="s">
        <v>162</v>
      </c>
      <c r="J165" s="36"/>
      <c r="K165" s="4" t="str">
        <f t="shared" si="19"/>
        <v/>
      </c>
      <c r="L165" s="17" t="str">
        <f t="shared" si="20"/>
        <v/>
      </c>
      <c r="M165" s="2"/>
      <c r="N165" s="2"/>
      <c r="O165" s="2"/>
      <c r="P165" s="2"/>
      <c r="Q165" s="3"/>
      <c r="R165" s="3"/>
      <c r="S165" s="3"/>
      <c r="T165" s="3"/>
      <c r="U165" s="3"/>
      <c r="V165" s="3"/>
      <c r="W165" s="2"/>
      <c r="X165" s="2"/>
      <c r="Y165" s="2"/>
      <c r="Z165" s="2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ht="15.75" customHeight="1">
      <c r="A166" s="24"/>
      <c r="B166" s="113"/>
      <c r="C166" s="16"/>
      <c r="D166" s="111"/>
      <c r="E166" s="14" t="s">
        <v>145</v>
      </c>
      <c r="F166" s="112"/>
      <c r="G166" s="75" t="s">
        <v>24</v>
      </c>
      <c r="H166" s="112"/>
      <c r="I166" s="14" t="s">
        <v>55</v>
      </c>
      <c r="J166" s="36"/>
      <c r="K166" s="4" t="str">
        <f t="shared" si="19"/>
        <v/>
      </c>
      <c r="L166" s="17" t="str">
        <f t="shared" si="20"/>
        <v/>
      </c>
      <c r="M166" s="2"/>
      <c r="N166" s="2"/>
      <c r="O166" s="2"/>
      <c r="P166" s="2"/>
      <c r="Q166" s="3"/>
      <c r="R166" s="3"/>
      <c r="S166" s="3"/>
      <c r="T166" s="3"/>
      <c r="U166" s="3"/>
      <c r="V166" s="3"/>
      <c r="W166" s="2"/>
      <c r="X166" s="2"/>
      <c r="Y166" s="2"/>
      <c r="Z166" s="2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ht="15.75" customHeight="1">
      <c r="A167" s="28"/>
      <c r="B167" s="29"/>
      <c r="C167" s="16"/>
      <c r="D167" s="111"/>
      <c r="E167" s="14" t="s">
        <v>31</v>
      </c>
      <c r="F167" s="112"/>
      <c r="G167" s="75" t="s">
        <v>24</v>
      </c>
      <c r="H167" s="112"/>
      <c r="I167" s="14">
        <v>0.0</v>
      </c>
      <c r="J167" s="36"/>
      <c r="K167" s="4" t="str">
        <f t="shared" si="19"/>
        <v/>
      </c>
      <c r="L167" s="17" t="str">
        <f t="shared" si="20"/>
        <v/>
      </c>
      <c r="M167" s="2"/>
      <c r="N167" s="2"/>
      <c r="O167" s="2"/>
      <c r="P167" s="2"/>
      <c r="Q167" s="3"/>
      <c r="R167" s="3"/>
      <c r="S167" s="3"/>
      <c r="T167" s="3"/>
      <c r="U167" s="3"/>
      <c r="V167" s="3"/>
      <c r="W167" s="2"/>
      <c r="X167" s="2"/>
      <c r="Y167" s="2"/>
      <c r="Z167" s="2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ht="15.75" customHeight="1">
      <c r="A168" s="10">
        <v>9.0</v>
      </c>
      <c r="B168" s="29"/>
      <c r="C168" s="16"/>
      <c r="D168" s="111"/>
      <c r="E168" s="14">
        <v>0.0</v>
      </c>
      <c r="F168" s="112"/>
      <c r="G168" s="75" t="s">
        <v>24</v>
      </c>
      <c r="H168" s="112"/>
      <c r="I168" s="14" t="s">
        <v>62</v>
      </c>
      <c r="J168" s="36"/>
      <c r="K168" s="4" t="str">
        <f t="shared" si="19"/>
        <v/>
      </c>
      <c r="L168" s="17" t="str">
        <f t="shared" si="20"/>
        <v/>
      </c>
      <c r="M168" s="2"/>
      <c r="N168" s="2"/>
      <c r="O168" s="2"/>
      <c r="P168" s="2"/>
      <c r="Q168" s="3"/>
      <c r="R168" s="3"/>
      <c r="S168" s="3"/>
      <c r="T168" s="3"/>
      <c r="U168" s="3"/>
      <c r="V168" s="3"/>
      <c r="W168" s="2"/>
      <c r="X168" s="2"/>
      <c r="Y168" s="2"/>
      <c r="Z168" s="2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ht="15.75" customHeight="1">
      <c r="A169" s="24"/>
      <c r="B169" s="113"/>
      <c r="C169" s="16"/>
      <c r="D169" s="111"/>
      <c r="E169" s="14" t="s">
        <v>110</v>
      </c>
      <c r="F169" s="112"/>
      <c r="G169" s="75" t="s">
        <v>24</v>
      </c>
      <c r="H169" s="112"/>
      <c r="I169" s="14" t="s">
        <v>42</v>
      </c>
      <c r="J169" s="36"/>
      <c r="K169" s="4" t="str">
        <f t="shared" si="19"/>
        <v/>
      </c>
      <c r="L169" s="17" t="str">
        <f t="shared" si="20"/>
        <v/>
      </c>
      <c r="M169" s="2"/>
      <c r="N169" s="2"/>
      <c r="O169" s="2"/>
      <c r="P169" s="2"/>
      <c r="Q169" s="3"/>
      <c r="R169" s="3"/>
      <c r="S169" s="3"/>
      <c r="T169" s="3"/>
      <c r="U169" s="3"/>
      <c r="V169" s="3"/>
      <c r="W169" s="2"/>
      <c r="X169" s="2"/>
      <c r="Y169" s="2"/>
      <c r="Z169" s="2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ht="15.75" customHeight="1">
      <c r="A170" s="24"/>
      <c r="B170" s="113"/>
      <c r="C170" s="16"/>
      <c r="D170" s="111"/>
      <c r="E170" s="14" t="s">
        <v>61</v>
      </c>
      <c r="F170" s="112"/>
      <c r="G170" s="75" t="s">
        <v>24</v>
      </c>
      <c r="H170" s="112"/>
      <c r="I170" s="14" t="s">
        <v>56</v>
      </c>
      <c r="J170" s="36"/>
      <c r="K170" s="4" t="str">
        <f t="shared" si="19"/>
        <v/>
      </c>
      <c r="L170" s="17" t="str">
        <f t="shared" si="20"/>
        <v/>
      </c>
      <c r="M170" s="2"/>
      <c r="N170" s="2"/>
      <c r="O170" s="2"/>
      <c r="P170" s="2"/>
      <c r="Q170" s="3"/>
      <c r="R170" s="3"/>
      <c r="S170" s="3"/>
      <c r="T170" s="3"/>
      <c r="U170" s="3"/>
      <c r="V170" s="3"/>
      <c r="W170" s="2"/>
      <c r="X170" s="2"/>
      <c r="Y170" s="2"/>
      <c r="Z170" s="2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ht="15.75" customHeight="1">
      <c r="A171" s="24"/>
      <c r="B171" s="113"/>
      <c r="C171" s="16"/>
      <c r="D171" s="111"/>
      <c r="E171" s="14" t="s">
        <v>162</v>
      </c>
      <c r="F171" s="112"/>
      <c r="G171" s="75" t="s">
        <v>24</v>
      </c>
      <c r="H171" s="112"/>
      <c r="I171" s="14" t="s">
        <v>145</v>
      </c>
      <c r="J171" s="36"/>
      <c r="K171" s="4" t="str">
        <f t="shared" si="19"/>
        <v/>
      </c>
      <c r="L171" s="17" t="str">
        <f t="shared" si="20"/>
        <v/>
      </c>
      <c r="M171" s="2"/>
      <c r="N171" s="2"/>
      <c r="O171" s="2"/>
      <c r="P171" s="2"/>
      <c r="Q171" s="3"/>
      <c r="R171" s="3"/>
      <c r="S171" s="3"/>
      <c r="T171" s="3"/>
      <c r="U171" s="3"/>
      <c r="V171" s="3"/>
      <c r="W171" s="2"/>
      <c r="X171" s="2"/>
      <c r="Y171" s="2"/>
      <c r="Z171" s="2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ht="15.75" customHeight="1">
      <c r="A172" s="28"/>
      <c r="B172" s="113"/>
      <c r="C172" s="16"/>
      <c r="D172" s="111"/>
      <c r="E172" s="14" t="s">
        <v>55</v>
      </c>
      <c r="F172" s="78"/>
      <c r="G172" s="75" t="s">
        <v>24</v>
      </c>
      <c r="H172" s="78"/>
      <c r="I172" s="14" t="s">
        <v>31</v>
      </c>
      <c r="J172" s="36"/>
      <c r="K172" s="4" t="str">
        <f t="shared" si="19"/>
        <v/>
      </c>
      <c r="L172" s="17" t="str">
        <f t="shared" si="20"/>
        <v/>
      </c>
      <c r="M172" s="2"/>
      <c r="N172" s="2"/>
      <c r="O172" s="2"/>
      <c r="P172" s="2"/>
      <c r="Q172" s="3"/>
      <c r="R172" s="3"/>
      <c r="S172" s="3"/>
      <c r="T172" s="3"/>
      <c r="U172" s="3"/>
      <c r="V172" s="3"/>
      <c r="W172" s="2"/>
      <c r="X172" s="2"/>
      <c r="Y172" s="2"/>
      <c r="Z172" s="2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ht="15.75" customHeight="1">
      <c r="A173" s="83"/>
      <c r="B173" s="36"/>
      <c r="C173" s="36"/>
      <c r="D173" s="36"/>
      <c r="E173" s="36"/>
      <c r="F173" s="36"/>
      <c r="G173" s="36"/>
      <c r="H173" s="36"/>
      <c r="I173" s="36"/>
      <c r="J173" s="36"/>
      <c r="K173" s="2"/>
      <c r="L173" s="2"/>
      <c r="M173" s="2"/>
      <c r="N173" s="2"/>
      <c r="O173" s="2"/>
      <c r="P173" s="2"/>
      <c r="Q173" s="3"/>
      <c r="R173" s="3"/>
      <c r="S173" s="3"/>
      <c r="T173" s="3"/>
      <c r="U173" s="3"/>
      <c r="V173" s="3"/>
      <c r="W173" s="2"/>
      <c r="X173" s="2"/>
      <c r="Y173" s="2"/>
      <c r="Z173" s="2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ht="15.75" customHeight="1">
      <c r="A174" s="83"/>
      <c r="B174" s="36"/>
      <c r="C174" s="36"/>
      <c r="D174" s="36"/>
      <c r="E174" s="36"/>
      <c r="F174" s="36"/>
      <c r="G174" s="36"/>
      <c r="H174" s="36"/>
      <c r="I174" s="36"/>
      <c r="J174" s="36"/>
      <c r="K174" s="2"/>
      <c r="L174" s="2"/>
      <c r="M174" s="2"/>
      <c r="N174" s="2"/>
      <c r="O174" s="2"/>
      <c r="P174" s="2"/>
      <c r="Q174" s="3"/>
      <c r="R174" s="3"/>
      <c r="S174" s="3"/>
      <c r="T174" s="3"/>
      <c r="U174" s="3"/>
      <c r="V174" s="3"/>
      <c r="W174" s="2"/>
      <c r="X174" s="2"/>
      <c r="Y174" s="2"/>
      <c r="Z174" s="2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ht="15.75" customHeight="1">
      <c r="A175" s="83"/>
      <c r="B175" s="36"/>
      <c r="C175" s="36"/>
      <c r="D175" s="36"/>
      <c r="E175" s="36"/>
      <c r="F175" s="36"/>
      <c r="G175" s="36"/>
      <c r="H175" s="36"/>
      <c r="I175" s="36"/>
      <c r="J175" s="36"/>
      <c r="K175" s="2"/>
      <c r="L175" s="2"/>
      <c r="M175" s="2"/>
      <c r="N175" s="2"/>
      <c r="O175" s="2"/>
      <c r="P175" s="2"/>
      <c r="Q175" s="3"/>
      <c r="R175" s="3"/>
      <c r="S175" s="3"/>
      <c r="T175" s="3"/>
      <c r="U175" s="3"/>
      <c r="V175" s="3"/>
      <c r="W175" s="2"/>
      <c r="X175" s="2"/>
      <c r="Y175" s="2"/>
      <c r="Z175" s="2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ht="15.75" customHeight="1">
      <c r="A176" s="83"/>
      <c r="B176" s="36"/>
      <c r="C176" s="36"/>
      <c r="D176" s="36"/>
      <c r="E176" s="36"/>
      <c r="F176" s="36"/>
      <c r="G176" s="36"/>
      <c r="H176" s="36"/>
      <c r="I176" s="36"/>
      <c r="J176" s="36"/>
      <c r="K176" s="2"/>
      <c r="L176" s="2"/>
      <c r="M176" s="2"/>
      <c r="N176" s="2"/>
      <c r="O176" s="2"/>
      <c r="P176" s="2"/>
      <c r="Q176" s="3"/>
      <c r="R176" s="3"/>
      <c r="S176" s="3"/>
      <c r="T176" s="3"/>
      <c r="U176" s="3"/>
      <c r="V176" s="3"/>
      <c r="W176" s="2"/>
      <c r="X176" s="2"/>
      <c r="Y176" s="2"/>
      <c r="Z176" s="2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ht="15.75" customHeight="1">
      <c r="A177" s="51" t="s">
        <v>193</v>
      </c>
      <c r="H177" s="2"/>
      <c r="I177" s="3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ht="15.75" customHeight="1">
      <c r="A178" s="5" t="s">
        <v>1</v>
      </c>
      <c r="B178" s="5" t="s">
        <v>2</v>
      </c>
      <c r="C178" s="5" t="s">
        <v>3</v>
      </c>
      <c r="D178" s="5" t="s">
        <v>4</v>
      </c>
      <c r="E178" s="5" t="s">
        <v>5</v>
      </c>
      <c r="F178" s="6" t="s">
        <v>6</v>
      </c>
      <c r="G178" s="7"/>
      <c r="H178" s="8"/>
      <c r="I178" s="5" t="s">
        <v>7</v>
      </c>
      <c r="J178" s="9" t="s">
        <v>8</v>
      </c>
      <c r="K178" s="9" t="s">
        <v>9</v>
      </c>
      <c r="L178" s="9" t="s">
        <v>10</v>
      </c>
      <c r="M178" s="9"/>
      <c r="N178" s="9" t="s">
        <v>11</v>
      </c>
      <c r="O178" s="9" t="s">
        <v>12</v>
      </c>
      <c r="P178" s="9" t="s">
        <v>13</v>
      </c>
      <c r="Q178" s="9" t="s">
        <v>14</v>
      </c>
      <c r="R178" s="9" t="s">
        <v>15</v>
      </c>
      <c r="S178" s="9" t="s">
        <v>16</v>
      </c>
      <c r="T178" s="9" t="s">
        <v>89</v>
      </c>
      <c r="U178" s="9" t="s">
        <v>90</v>
      </c>
      <c r="V178" s="9" t="s">
        <v>91</v>
      </c>
      <c r="W178" s="56"/>
      <c r="X178" s="56"/>
      <c r="Y178" s="56"/>
      <c r="Z178" s="56"/>
      <c r="AA178" s="5" t="s">
        <v>11</v>
      </c>
      <c r="AB178" s="5" t="s">
        <v>12</v>
      </c>
      <c r="AC178" s="5" t="s">
        <v>13</v>
      </c>
      <c r="AD178" s="5" t="s">
        <v>14</v>
      </c>
      <c r="AE178" s="5" t="s">
        <v>15</v>
      </c>
      <c r="AF178" s="5" t="s">
        <v>16</v>
      </c>
      <c r="AG178" s="5" t="s">
        <v>17</v>
      </c>
      <c r="AH178" s="5" t="s">
        <v>18</v>
      </c>
      <c r="AI178" s="5" t="s">
        <v>19</v>
      </c>
      <c r="AJ178" s="5" t="s">
        <v>89</v>
      </c>
      <c r="AK178" s="5" t="s">
        <v>90</v>
      </c>
      <c r="AL178" s="5" t="s">
        <v>91</v>
      </c>
      <c r="AM178" s="36"/>
      <c r="AN178" s="36"/>
      <c r="AO178" s="36"/>
      <c r="AP178" s="36"/>
      <c r="AQ178" s="36"/>
      <c r="AR178" s="36"/>
      <c r="AS178" s="36"/>
      <c r="AT178" s="36"/>
    </row>
    <row r="179" ht="15.75" customHeight="1">
      <c r="A179" s="84">
        <v>1.0</v>
      </c>
      <c r="B179" s="39"/>
      <c r="C179" s="12"/>
      <c r="D179" s="12"/>
      <c r="E179" s="40" t="s">
        <v>126</v>
      </c>
      <c r="F179" s="13"/>
      <c r="G179" s="16" t="s">
        <v>24</v>
      </c>
      <c r="H179" s="13"/>
      <c r="I179" s="40" t="s">
        <v>127</v>
      </c>
      <c r="J179" s="4"/>
      <c r="K179" s="4" t="str">
        <f t="shared" ref="K179:K181" si="28">IF(F179="","",IFS(F179&gt;H179,3,F179=H179,1,H179&gt;F179,0,F179="",0))</f>
        <v/>
      </c>
      <c r="L179" s="17" t="str">
        <f t="shared" ref="L179:L181" si="29">IF(H179="","",IFS(F179&lt;H179,3,F179=H179,1,H179&lt;F179,0))</f>
        <v/>
      </c>
      <c r="M179" s="4"/>
      <c r="N179" s="17">
        <v>1.0</v>
      </c>
      <c r="O179" s="70" t="s">
        <v>126</v>
      </c>
      <c r="P179" s="17">
        <f t="shared" ref="P179:P181" si="30">SUMIF(E$179:E$181,O179,K$179:K$181)+SUMIF(I$179:I$181,O179,L$179:L$181)</f>
        <v>0</v>
      </c>
      <c r="Q179" s="17">
        <f t="shared" ref="Q179:Q181" si="31">COUNTIFS(E$179:E$181,O179,K$179:K$181,2)+COUNTIFS(I$179:I$181,O179,L$179:L$181,2)</f>
        <v>0</v>
      </c>
      <c r="R179" s="19">
        <f t="shared" ref="R179:R181" si="32">COUNTIFS(E$179:E$181,O179,K$179:K$181,1)+COUNTIFS(I$179:I$181,O179,L$179:L$181,1)</f>
        <v>0</v>
      </c>
      <c r="S179" s="19">
        <f t="shared" ref="S179:S181" si="33">COUNTIFS(E$179:E$181,O179,K$179:K$181,0)+COUNTIFS(I$179:I$181,O179,L$179:L$181,0)</f>
        <v>0</v>
      </c>
      <c r="T179" s="17">
        <f t="shared" ref="T179:T181" si="34">SUMIF(E$179:E$181,O179,F$179:F$181)+SUMIF(I$179:I$181,O179,H$179:H$181)</f>
        <v>0</v>
      </c>
      <c r="U179" s="19">
        <f t="shared" ref="U179:U181" si="35">SUMIF(E$179:E$181,O179,H$179:H$181)+SUMIF(I$179:I$181,O179,F$179:F$181)</f>
        <v>0</v>
      </c>
      <c r="V179" s="17">
        <f t="shared" ref="V179:V181" si="36">T179-U179</f>
        <v>0</v>
      </c>
      <c r="W179" s="56"/>
      <c r="X179" s="56"/>
      <c r="Y179" s="56"/>
      <c r="Z179" s="56"/>
      <c r="AA179" s="85">
        <v>1.0</v>
      </c>
      <c r="AB179" s="63" t="str">
        <f t="array" ref="AB179:AJ181">SORT(O179:X181,2,FALSE,9,FALSE,8,FALSE())</f>
        <v>9º Class. 1ª Div.</v>
      </c>
      <c r="AC179" s="22">
        <v>0.0</v>
      </c>
      <c r="AD179" s="22">
        <v>0.0</v>
      </c>
      <c r="AE179" s="23">
        <v>0.0</v>
      </c>
      <c r="AF179" s="23">
        <v>0.0</v>
      </c>
      <c r="AG179" s="22">
        <v>0.0</v>
      </c>
      <c r="AH179" s="23">
        <v>0.0</v>
      </c>
      <c r="AI179" s="22">
        <v>0.0</v>
      </c>
      <c r="AJ179" s="22"/>
      <c r="AK179" s="23"/>
      <c r="AL179" s="22"/>
      <c r="AM179" s="36"/>
      <c r="AN179" s="36"/>
      <c r="AO179" s="36"/>
      <c r="AP179" s="36"/>
      <c r="AQ179" s="36"/>
      <c r="AR179" s="36"/>
      <c r="AS179" s="36"/>
      <c r="AT179" s="36"/>
    </row>
    <row r="180" ht="15.75" customHeight="1">
      <c r="A180" s="84">
        <v>2.0</v>
      </c>
      <c r="B180" s="39"/>
      <c r="C180" s="12"/>
      <c r="D180" s="12"/>
      <c r="E180" s="40" t="s">
        <v>127</v>
      </c>
      <c r="F180" s="13"/>
      <c r="G180" s="16" t="s">
        <v>24</v>
      </c>
      <c r="H180" s="13"/>
      <c r="I180" s="40" t="s">
        <v>128</v>
      </c>
      <c r="J180" s="4"/>
      <c r="K180" s="4" t="str">
        <f t="shared" si="28"/>
        <v/>
      </c>
      <c r="L180" s="17" t="str">
        <f t="shared" si="29"/>
        <v/>
      </c>
      <c r="M180" s="4"/>
      <c r="N180" s="17">
        <v>2.0</v>
      </c>
      <c r="O180" s="70" t="s">
        <v>127</v>
      </c>
      <c r="P180" s="17">
        <f t="shared" si="30"/>
        <v>0</v>
      </c>
      <c r="Q180" s="17">
        <f t="shared" si="31"/>
        <v>0</v>
      </c>
      <c r="R180" s="19">
        <f t="shared" si="32"/>
        <v>0</v>
      </c>
      <c r="S180" s="19">
        <f t="shared" si="33"/>
        <v>0</v>
      </c>
      <c r="T180" s="17">
        <f t="shared" si="34"/>
        <v>0</v>
      </c>
      <c r="U180" s="19">
        <f t="shared" si="35"/>
        <v>0</v>
      </c>
      <c r="V180" s="17">
        <f t="shared" si="36"/>
        <v>0</v>
      </c>
      <c r="W180" s="56"/>
      <c r="X180" s="56"/>
      <c r="Y180" s="56"/>
      <c r="Z180" s="56"/>
      <c r="AA180" s="85">
        <v>2.0</v>
      </c>
      <c r="AB180" s="63" t="s">
        <v>127</v>
      </c>
      <c r="AC180" s="22">
        <v>0.0</v>
      </c>
      <c r="AD180" s="22">
        <v>0.0</v>
      </c>
      <c r="AE180" s="23">
        <v>0.0</v>
      </c>
      <c r="AF180" s="23">
        <v>0.0</v>
      </c>
      <c r="AG180" s="22">
        <v>0.0</v>
      </c>
      <c r="AH180" s="23">
        <v>0.0</v>
      </c>
      <c r="AI180" s="22">
        <v>0.0</v>
      </c>
      <c r="AJ180" s="22"/>
      <c r="AK180" s="23"/>
      <c r="AL180" s="22"/>
      <c r="AM180" s="36"/>
      <c r="AN180" s="36"/>
      <c r="AO180" s="36"/>
      <c r="AP180" s="36"/>
      <c r="AQ180" s="36"/>
      <c r="AR180" s="36"/>
      <c r="AS180" s="36"/>
      <c r="AT180" s="36"/>
    </row>
    <row r="181" ht="15.75" customHeight="1">
      <c r="A181" s="84">
        <v>3.0</v>
      </c>
      <c r="B181" s="39"/>
      <c r="C181" s="12"/>
      <c r="D181" s="12"/>
      <c r="E181" s="40" t="s">
        <v>128</v>
      </c>
      <c r="F181" s="13"/>
      <c r="G181" s="16" t="s">
        <v>24</v>
      </c>
      <c r="H181" s="13"/>
      <c r="I181" s="40" t="s">
        <v>126</v>
      </c>
      <c r="J181" s="4"/>
      <c r="K181" s="4" t="str">
        <f t="shared" si="28"/>
        <v/>
      </c>
      <c r="L181" s="17" t="str">
        <f t="shared" si="29"/>
        <v/>
      </c>
      <c r="M181" s="4"/>
      <c r="N181" s="17">
        <v>3.0</v>
      </c>
      <c r="O181" s="70" t="s">
        <v>128</v>
      </c>
      <c r="P181" s="17">
        <f t="shared" si="30"/>
        <v>0</v>
      </c>
      <c r="Q181" s="17">
        <f t="shared" si="31"/>
        <v>0</v>
      </c>
      <c r="R181" s="19">
        <f t="shared" si="32"/>
        <v>0</v>
      </c>
      <c r="S181" s="19">
        <f t="shared" si="33"/>
        <v>0</v>
      </c>
      <c r="T181" s="17">
        <f t="shared" si="34"/>
        <v>0</v>
      </c>
      <c r="U181" s="19">
        <f t="shared" si="35"/>
        <v>0</v>
      </c>
      <c r="V181" s="17">
        <f t="shared" si="36"/>
        <v>0</v>
      </c>
      <c r="W181" s="56"/>
      <c r="X181" s="56"/>
      <c r="Y181" s="56"/>
      <c r="Z181" s="56"/>
      <c r="AA181" s="21">
        <v>3.0</v>
      </c>
      <c r="AB181" s="63" t="s">
        <v>128</v>
      </c>
      <c r="AC181" s="22">
        <v>0.0</v>
      </c>
      <c r="AD181" s="22">
        <v>0.0</v>
      </c>
      <c r="AE181" s="23">
        <v>0.0</v>
      </c>
      <c r="AF181" s="23">
        <v>0.0</v>
      </c>
      <c r="AG181" s="22">
        <v>0.0</v>
      </c>
      <c r="AH181" s="23">
        <v>0.0</v>
      </c>
      <c r="AI181" s="22">
        <v>0.0</v>
      </c>
      <c r="AJ181" s="22"/>
      <c r="AK181" s="23"/>
      <c r="AL181" s="22"/>
      <c r="AM181" s="36"/>
      <c r="AN181" s="36"/>
      <c r="AO181" s="36"/>
      <c r="AP181" s="36"/>
      <c r="AQ181" s="36"/>
      <c r="AR181" s="36"/>
      <c r="AS181" s="36"/>
      <c r="AT181" s="36"/>
    </row>
    <row r="182" ht="15.75" customHeight="1">
      <c r="A182" s="83"/>
      <c r="B182" s="56"/>
      <c r="C182" s="56"/>
      <c r="D182" s="56"/>
      <c r="E182" s="36"/>
      <c r="F182" s="56"/>
      <c r="G182" s="56"/>
      <c r="H182" s="56"/>
      <c r="I182" s="3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4"/>
      <c r="AD182" s="36"/>
      <c r="AF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ht="15.75" customHeight="1">
      <c r="A183" s="83"/>
      <c r="B183" s="56"/>
      <c r="C183" s="56"/>
      <c r="D183" s="56"/>
      <c r="E183" s="36"/>
      <c r="F183" s="56"/>
      <c r="G183" s="56"/>
      <c r="H183" s="56"/>
      <c r="I183" s="3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F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ht="15.75" customHeight="1">
      <c r="A184" s="83"/>
      <c r="B184" s="56"/>
      <c r="C184" s="56"/>
      <c r="D184" s="56"/>
      <c r="E184" s="36"/>
      <c r="F184" s="56"/>
      <c r="G184" s="56"/>
      <c r="H184" s="56"/>
      <c r="I184" s="3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F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ht="15.75" customHeight="1">
      <c r="A185" s="83"/>
      <c r="B185" s="56"/>
      <c r="C185" s="56"/>
      <c r="D185" s="56"/>
      <c r="E185" s="36"/>
      <c r="F185" s="56"/>
      <c r="G185" s="56"/>
      <c r="H185" s="56"/>
      <c r="I185" s="3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F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ht="15.75" customHeight="1">
      <c r="A186" s="51" t="s">
        <v>194</v>
      </c>
      <c r="H186" s="2"/>
      <c r="I186" s="3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F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ht="15.75" customHeight="1">
      <c r="A187" s="5" t="s">
        <v>1</v>
      </c>
      <c r="B187" s="5" t="s">
        <v>2</v>
      </c>
      <c r="C187" s="5" t="s">
        <v>3</v>
      </c>
      <c r="D187" s="5" t="s">
        <v>4</v>
      </c>
      <c r="E187" s="5" t="s">
        <v>5</v>
      </c>
      <c r="F187" s="6" t="s">
        <v>6</v>
      </c>
      <c r="G187" s="7"/>
      <c r="H187" s="8"/>
      <c r="I187" s="5" t="s">
        <v>7</v>
      </c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F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ht="15.75" customHeight="1">
      <c r="A188" s="52" t="s">
        <v>68</v>
      </c>
      <c r="B188" s="39"/>
      <c r="C188" s="12"/>
      <c r="D188" s="12"/>
      <c r="E188" s="40" t="s">
        <v>69</v>
      </c>
      <c r="F188" s="30"/>
      <c r="G188" s="16" t="s">
        <v>24</v>
      </c>
      <c r="H188" s="30"/>
      <c r="I188" s="40" t="s">
        <v>131</v>
      </c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F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ht="15.75" customHeight="1">
      <c r="A189" s="24"/>
      <c r="B189" s="39"/>
      <c r="C189" s="12"/>
      <c r="D189" s="12"/>
      <c r="E189" s="40" t="s">
        <v>71</v>
      </c>
      <c r="F189" s="30"/>
      <c r="G189" s="16" t="s">
        <v>24</v>
      </c>
      <c r="H189" s="30"/>
      <c r="I189" s="40" t="s">
        <v>130</v>
      </c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F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ht="15.75" customHeight="1">
      <c r="A190" s="24"/>
      <c r="B190" s="39"/>
      <c r="C190" s="12"/>
      <c r="D190" s="12"/>
      <c r="E190" s="40" t="s">
        <v>73</v>
      </c>
      <c r="F190" s="30"/>
      <c r="G190" s="16" t="s">
        <v>24</v>
      </c>
      <c r="H190" s="30"/>
      <c r="I190" s="40" t="s">
        <v>74</v>
      </c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ht="15.75" customHeight="1">
      <c r="A191" s="28"/>
      <c r="B191" s="39"/>
      <c r="C191" s="12"/>
      <c r="D191" s="12"/>
      <c r="E191" s="40" t="s">
        <v>75</v>
      </c>
      <c r="F191" s="30"/>
      <c r="G191" s="16" t="s">
        <v>24</v>
      </c>
      <c r="H191" s="30"/>
      <c r="I191" s="40" t="s">
        <v>76</v>
      </c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ht="15.75" customHeight="1">
      <c r="A192" s="53" t="s">
        <v>77</v>
      </c>
      <c r="B192" s="39"/>
      <c r="C192" s="12"/>
      <c r="D192" s="12"/>
      <c r="E192" s="40" t="s">
        <v>78</v>
      </c>
      <c r="F192" s="30"/>
      <c r="G192" s="16" t="s">
        <v>24</v>
      </c>
      <c r="H192" s="30"/>
      <c r="I192" s="40" t="s">
        <v>79</v>
      </c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ht="15.75" customHeight="1">
      <c r="A193" s="24"/>
      <c r="B193" s="49"/>
      <c r="C193" s="30"/>
      <c r="D193" s="12"/>
      <c r="E193" s="42" t="s">
        <v>80</v>
      </c>
      <c r="F193" s="13"/>
      <c r="G193" s="16" t="s">
        <v>24</v>
      </c>
      <c r="H193" s="13"/>
      <c r="I193" s="40" t="s">
        <v>81</v>
      </c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ht="15.75" customHeight="1">
      <c r="A194" s="54" t="s">
        <v>82</v>
      </c>
      <c r="B194" s="29"/>
      <c r="C194" s="30"/>
      <c r="D194" s="12"/>
      <c r="E194" s="40" t="s">
        <v>83</v>
      </c>
      <c r="F194" s="30"/>
      <c r="G194" s="16" t="s">
        <v>24</v>
      </c>
      <c r="H194" s="30"/>
      <c r="I194" s="43" t="s">
        <v>84</v>
      </c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ht="15.75" customHeight="1">
      <c r="A195" s="54" t="s">
        <v>85</v>
      </c>
      <c r="B195" s="29"/>
      <c r="C195" s="30"/>
      <c r="D195" s="12"/>
      <c r="E195" s="40" t="s">
        <v>86</v>
      </c>
      <c r="F195" s="30"/>
      <c r="G195" s="16" t="s">
        <v>24</v>
      </c>
      <c r="H195" s="30"/>
      <c r="I195" s="40" t="s">
        <v>87</v>
      </c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ht="15.75" customHeight="1">
      <c r="A196" s="83"/>
      <c r="B196" s="56"/>
      <c r="C196" s="56"/>
      <c r="D196" s="56"/>
      <c r="E196" s="36"/>
      <c r="F196" s="56"/>
      <c r="G196" s="56"/>
      <c r="H196" s="56"/>
      <c r="I196" s="3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ht="15.75" customHeight="1">
      <c r="A197" s="83"/>
      <c r="B197" s="56"/>
      <c r="C197" s="56"/>
      <c r="D197" s="56"/>
      <c r="E197" s="36"/>
      <c r="F197" s="56"/>
      <c r="G197" s="56"/>
      <c r="H197" s="56"/>
      <c r="I197" s="3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ht="15.75" customHeight="1">
      <c r="A198" s="83"/>
      <c r="B198" s="56"/>
      <c r="C198" s="56"/>
      <c r="D198" s="56"/>
      <c r="E198" s="36"/>
      <c r="F198" s="56"/>
      <c r="G198" s="56"/>
      <c r="H198" s="56"/>
      <c r="I198" s="3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ht="15.75" customHeight="1">
      <c r="A199" s="83"/>
      <c r="B199" s="56"/>
      <c r="C199" s="56"/>
      <c r="D199" s="56"/>
      <c r="E199" s="36"/>
      <c r="F199" s="56"/>
      <c r="G199" s="56"/>
      <c r="H199" s="56"/>
      <c r="I199" s="3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ht="15.75" customHeight="1">
      <c r="A200" s="83"/>
      <c r="B200" s="56"/>
      <c r="C200" s="56"/>
      <c r="D200" s="56"/>
      <c r="E200" s="36"/>
      <c r="F200" s="56"/>
      <c r="G200" s="56"/>
      <c r="H200" s="56"/>
      <c r="I200" s="3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ht="15.75" customHeight="1">
      <c r="A201" s="83"/>
      <c r="B201" s="56"/>
      <c r="C201" s="56"/>
      <c r="D201" s="56"/>
      <c r="E201" s="36"/>
      <c r="F201" s="56"/>
      <c r="G201" s="56"/>
      <c r="H201" s="56"/>
      <c r="I201" s="3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ht="15.75" customHeight="1">
      <c r="A202" s="83"/>
      <c r="B202" s="56"/>
      <c r="C202" s="56"/>
      <c r="D202" s="56"/>
      <c r="E202" s="36"/>
      <c r="F202" s="56"/>
      <c r="G202" s="56"/>
      <c r="H202" s="56"/>
      <c r="I202" s="3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ht="15.75" customHeight="1">
      <c r="A203" s="83"/>
      <c r="B203" s="56"/>
      <c r="C203" s="56"/>
      <c r="D203" s="56"/>
      <c r="E203" s="36"/>
      <c r="F203" s="56"/>
      <c r="G203" s="56"/>
      <c r="H203" s="56"/>
      <c r="I203" s="3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ht="15.75" customHeight="1">
      <c r="A204" s="83"/>
      <c r="B204" s="56"/>
      <c r="C204" s="56"/>
      <c r="D204" s="56"/>
      <c r="E204" s="36"/>
      <c r="F204" s="56"/>
      <c r="G204" s="56"/>
      <c r="H204" s="56"/>
      <c r="I204" s="3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ht="15.75" customHeight="1">
      <c r="A205" s="83"/>
      <c r="B205" s="56"/>
      <c r="C205" s="56"/>
      <c r="D205" s="56"/>
      <c r="E205" s="36"/>
      <c r="F205" s="56"/>
      <c r="G205" s="56"/>
      <c r="H205" s="56"/>
      <c r="I205" s="3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ht="15.75" customHeight="1">
      <c r="A206" s="83"/>
      <c r="B206" s="56"/>
      <c r="C206" s="56"/>
      <c r="D206" s="56"/>
      <c r="E206" s="36"/>
      <c r="F206" s="56"/>
      <c r="G206" s="56"/>
      <c r="H206" s="56"/>
      <c r="I206" s="3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ht="15.75" customHeight="1">
      <c r="A207" s="83"/>
      <c r="B207" s="36"/>
      <c r="C207" s="36"/>
      <c r="D207" s="36"/>
      <c r="E207" s="36"/>
      <c r="F207" s="36"/>
      <c r="G207" s="36"/>
      <c r="H207" s="36"/>
      <c r="I207" s="36"/>
      <c r="J207" s="36"/>
      <c r="K207" s="2"/>
      <c r="L207" s="2"/>
      <c r="M207" s="2"/>
      <c r="N207" s="2"/>
      <c r="O207" s="2"/>
      <c r="P207" s="2"/>
      <c r="Q207" s="3"/>
      <c r="R207" s="3"/>
      <c r="S207" s="3"/>
      <c r="T207" s="3"/>
      <c r="U207" s="3"/>
      <c r="V207" s="3"/>
      <c r="W207" s="2"/>
      <c r="X207" s="2"/>
      <c r="Y207" s="2"/>
      <c r="Z207" s="2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ht="15.75" customHeight="1">
      <c r="A208" s="83"/>
      <c r="B208" s="36"/>
      <c r="C208" s="36"/>
      <c r="D208" s="36"/>
      <c r="E208" s="36"/>
      <c r="F208" s="36"/>
      <c r="G208" s="36"/>
      <c r="H208" s="36"/>
      <c r="I208" s="36"/>
      <c r="J208" s="36"/>
      <c r="K208" s="2"/>
      <c r="L208" s="2"/>
      <c r="M208" s="2"/>
      <c r="N208" s="2"/>
      <c r="O208" s="2"/>
      <c r="P208" s="2"/>
      <c r="Q208" s="3"/>
      <c r="R208" s="3"/>
      <c r="S208" s="3"/>
      <c r="T208" s="3"/>
      <c r="U208" s="3"/>
      <c r="V208" s="3"/>
      <c r="W208" s="2"/>
      <c r="X208" s="2"/>
      <c r="Y208" s="2"/>
      <c r="Z208" s="2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ht="15.75" customHeight="1">
      <c r="A209" s="83"/>
      <c r="B209" s="36"/>
      <c r="C209" s="36"/>
      <c r="D209" s="36"/>
      <c r="E209" s="36"/>
      <c r="F209" s="36"/>
      <c r="G209" s="36"/>
      <c r="H209" s="36"/>
      <c r="I209" s="36"/>
      <c r="J209" s="36"/>
      <c r="K209" s="2"/>
      <c r="L209" s="2"/>
      <c r="M209" s="2"/>
      <c r="N209" s="2"/>
      <c r="O209" s="2"/>
      <c r="P209" s="2"/>
      <c r="Q209" s="3"/>
      <c r="R209" s="3"/>
      <c r="S209" s="3"/>
      <c r="T209" s="3"/>
      <c r="U209" s="3"/>
      <c r="V209" s="3"/>
      <c r="W209" s="2"/>
      <c r="X209" s="2"/>
      <c r="Y209" s="2"/>
      <c r="Z209" s="2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ht="15.75" customHeight="1">
      <c r="A210" s="83"/>
      <c r="B210" s="36"/>
      <c r="C210" s="36"/>
      <c r="D210" s="36"/>
      <c r="E210" s="36"/>
      <c r="F210" s="36"/>
      <c r="G210" s="36"/>
      <c r="H210" s="36"/>
      <c r="I210" s="36"/>
      <c r="J210" s="36"/>
      <c r="K210" s="2"/>
      <c r="L210" s="2"/>
      <c r="M210" s="2"/>
      <c r="N210" s="2"/>
      <c r="O210" s="2"/>
      <c r="P210" s="2"/>
      <c r="Q210" s="3"/>
      <c r="R210" s="3"/>
      <c r="S210" s="3"/>
      <c r="T210" s="3"/>
      <c r="U210" s="3"/>
      <c r="V210" s="3"/>
      <c r="W210" s="2"/>
      <c r="X210" s="2"/>
      <c r="Y210" s="2"/>
      <c r="Z210" s="2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ht="15.75" customHeight="1">
      <c r="A211" s="83"/>
      <c r="B211" s="36"/>
      <c r="C211" s="36"/>
      <c r="D211" s="36"/>
      <c r="E211" s="36"/>
      <c r="F211" s="36"/>
      <c r="G211" s="36"/>
      <c r="H211" s="36"/>
      <c r="I211" s="36"/>
      <c r="J211" s="36"/>
      <c r="K211" s="2"/>
      <c r="L211" s="2"/>
      <c r="M211" s="2"/>
      <c r="N211" s="2"/>
      <c r="O211" s="2"/>
      <c r="P211" s="2"/>
      <c r="Q211" s="3"/>
      <c r="R211" s="3"/>
      <c r="S211" s="3"/>
      <c r="T211" s="3"/>
      <c r="U211" s="3"/>
      <c r="V211" s="3"/>
      <c r="W211" s="2"/>
      <c r="X211" s="2"/>
      <c r="Y211" s="2"/>
      <c r="Z211" s="2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ht="15.75" customHeight="1">
      <c r="A212" s="83"/>
      <c r="B212" s="36"/>
      <c r="C212" s="36"/>
      <c r="D212" s="36"/>
      <c r="E212" s="36"/>
      <c r="F212" s="36"/>
      <c r="G212" s="36"/>
      <c r="H212" s="36"/>
      <c r="I212" s="36"/>
      <c r="J212" s="36"/>
      <c r="K212" s="2"/>
      <c r="L212" s="2"/>
      <c r="M212" s="2"/>
      <c r="N212" s="2"/>
      <c r="O212" s="2"/>
      <c r="P212" s="2"/>
      <c r="Q212" s="3"/>
      <c r="R212" s="3"/>
      <c r="S212" s="3"/>
      <c r="T212" s="3"/>
      <c r="U212" s="3"/>
      <c r="V212" s="3"/>
      <c r="W212" s="2"/>
      <c r="X212" s="2"/>
      <c r="Y212" s="2"/>
      <c r="Z212" s="2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ht="15.75" customHeight="1">
      <c r="A213" s="83"/>
      <c r="B213" s="36"/>
      <c r="C213" s="36"/>
      <c r="D213" s="36"/>
      <c r="E213" s="36"/>
      <c r="F213" s="36"/>
      <c r="G213" s="36"/>
      <c r="H213" s="36"/>
      <c r="I213" s="36"/>
      <c r="J213" s="36"/>
      <c r="K213" s="2"/>
      <c r="L213" s="2"/>
      <c r="M213" s="2"/>
      <c r="N213" s="2"/>
      <c r="O213" s="2"/>
      <c r="P213" s="2"/>
      <c r="Q213" s="3"/>
      <c r="R213" s="3"/>
      <c r="S213" s="3"/>
      <c r="T213" s="3"/>
      <c r="U213" s="3"/>
      <c r="V213" s="3"/>
      <c r="W213" s="2"/>
      <c r="X213" s="2"/>
      <c r="Y213" s="2"/>
      <c r="Z213" s="2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ht="15.75" customHeight="1">
      <c r="A214" s="83"/>
      <c r="B214" s="36"/>
      <c r="C214" s="36"/>
      <c r="D214" s="36"/>
      <c r="E214" s="36"/>
      <c r="F214" s="36"/>
      <c r="G214" s="36"/>
      <c r="H214" s="36"/>
      <c r="I214" s="36"/>
      <c r="J214" s="36"/>
      <c r="K214" s="2"/>
      <c r="L214" s="2"/>
      <c r="M214" s="2"/>
      <c r="N214" s="2"/>
      <c r="O214" s="2"/>
      <c r="P214" s="2"/>
      <c r="Q214" s="3"/>
      <c r="R214" s="3"/>
      <c r="S214" s="3"/>
      <c r="T214" s="3"/>
      <c r="U214" s="3"/>
      <c r="V214" s="3"/>
      <c r="W214" s="2"/>
      <c r="X214" s="2"/>
      <c r="Y214" s="2"/>
      <c r="Z214" s="2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ht="15.75" customHeight="1">
      <c r="A215" s="83"/>
      <c r="B215" s="36"/>
      <c r="C215" s="36"/>
      <c r="D215" s="36"/>
      <c r="E215" s="36"/>
      <c r="F215" s="36"/>
      <c r="G215" s="36"/>
      <c r="H215" s="36"/>
      <c r="I215" s="36"/>
      <c r="J215" s="36"/>
      <c r="K215" s="2"/>
      <c r="L215" s="2"/>
      <c r="M215" s="2"/>
      <c r="N215" s="2"/>
      <c r="O215" s="2"/>
      <c r="P215" s="2"/>
      <c r="Q215" s="3"/>
      <c r="R215" s="3"/>
      <c r="S215" s="3"/>
      <c r="T215" s="3"/>
      <c r="U215" s="3"/>
      <c r="V215" s="3"/>
      <c r="W215" s="2"/>
      <c r="X215" s="2"/>
      <c r="Y215" s="2"/>
      <c r="Z215" s="2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ht="15.75" customHeight="1">
      <c r="A216" s="83"/>
      <c r="B216" s="36"/>
      <c r="C216" s="36"/>
      <c r="D216" s="36"/>
      <c r="E216" s="36"/>
      <c r="F216" s="36"/>
      <c r="G216" s="36"/>
      <c r="H216" s="36"/>
      <c r="I216" s="36"/>
      <c r="J216" s="36"/>
      <c r="K216" s="2"/>
      <c r="L216" s="2"/>
      <c r="M216" s="2"/>
      <c r="N216" s="2"/>
      <c r="O216" s="2"/>
      <c r="P216" s="2"/>
      <c r="Q216" s="3"/>
      <c r="R216" s="3"/>
      <c r="S216" s="3"/>
      <c r="T216" s="3"/>
      <c r="U216" s="3"/>
      <c r="V216" s="3"/>
      <c r="W216" s="2"/>
      <c r="X216" s="2"/>
      <c r="Y216" s="2"/>
      <c r="Z216" s="2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ht="15.75" customHeight="1">
      <c r="A217" s="83"/>
      <c r="B217" s="36"/>
      <c r="C217" s="36"/>
      <c r="D217" s="36"/>
      <c r="E217" s="36"/>
      <c r="F217" s="36"/>
      <c r="G217" s="36"/>
      <c r="H217" s="36"/>
      <c r="I217" s="36"/>
      <c r="J217" s="36"/>
      <c r="K217" s="2"/>
      <c r="L217" s="2"/>
      <c r="M217" s="2"/>
      <c r="N217" s="2"/>
      <c r="O217" s="2"/>
      <c r="P217" s="2"/>
      <c r="Q217" s="3"/>
      <c r="R217" s="3"/>
      <c r="S217" s="3"/>
      <c r="T217" s="3"/>
      <c r="U217" s="3"/>
      <c r="V217" s="3"/>
      <c r="W217" s="2"/>
      <c r="X217" s="2"/>
      <c r="Y217" s="2"/>
      <c r="Z217" s="2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ht="15.75" customHeight="1">
      <c r="A218" s="83"/>
      <c r="B218" s="36"/>
      <c r="C218" s="36"/>
      <c r="D218" s="36"/>
      <c r="E218" s="36"/>
      <c r="F218" s="36"/>
      <c r="G218" s="36"/>
      <c r="H218" s="36"/>
      <c r="I218" s="36"/>
      <c r="J218" s="36"/>
      <c r="K218" s="2"/>
      <c r="L218" s="2"/>
      <c r="M218" s="2"/>
      <c r="N218" s="2"/>
      <c r="O218" s="2"/>
      <c r="P218" s="2"/>
      <c r="Q218" s="3"/>
      <c r="R218" s="3"/>
      <c r="S218" s="3"/>
      <c r="T218" s="3"/>
      <c r="U218" s="3"/>
      <c r="V218" s="3"/>
      <c r="W218" s="2"/>
      <c r="X218" s="2"/>
      <c r="Y218" s="2"/>
      <c r="Z218" s="2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ht="15.75" customHeight="1">
      <c r="A219" s="83"/>
      <c r="B219" s="36"/>
      <c r="C219" s="36"/>
      <c r="D219" s="36"/>
      <c r="E219" s="36"/>
      <c r="F219" s="36"/>
      <c r="G219" s="36"/>
      <c r="H219" s="36"/>
      <c r="I219" s="36"/>
      <c r="J219" s="36"/>
      <c r="K219" s="2"/>
      <c r="L219" s="2"/>
      <c r="M219" s="2"/>
      <c r="N219" s="2"/>
      <c r="O219" s="2"/>
      <c r="P219" s="2"/>
      <c r="Q219" s="3"/>
      <c r="R219" s="3"/>
      <c r="S219" s="3"/>
      <c r="T219" s="3"/>
      <c r="U219" s="3"/>
      <c r="V219" s="3"/>
      <c r="W219" s="2"/>
      <c r="X219" s="2"/>
      <c r="Y219" s="2"/>
      <c r="Z219" s="2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ht="15.75" customHeight="1">
      <c r="A220" s="83"/>
      <c r="B220" s="36"/>
      <c r="C220" s="36"/>
      <c r="D220" s="36"/>
      <c r="E220" s="36"/>
      <c r="F220" s="36"/>
      <c r="G220" s="36"/>
      <c r="H220" s="36"/>
      <c r="I220" s="36"/>
      <c r="J220" s="36"/>
      <c r="K220" s="2"/>
      <c r="L220" s="2"/>
      <c r="M220" s="2"/>
      <c r="N220" s="2"/>
      <c r="O220" s="2"/>
      <c r="P220" s="2"/>
      <c r="Q220" s="3"/>
      <c r="R220" s="3"/>
      <c r="S220" s="3"/>
      <c r="T220" s="3"/>
      <c r="U220" s="3"/>
      <c r="V220" s="3"/>
      <c r="W220" s="2"/>
      <c r="X220" s="2"/>
      <c r="Y220" s="2"/>
      <c r="Z220" s="2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ht="15.75" customHeight="1">
      <c r="A221" s="83"/>
      <c r="B221" s="36"/>
      <c r="C221" s="36"/>
      <c r="D221" s="36"/>
      <c r="E221" s="36"/>
      <c r="F221" s="36"/>
      <c r="G221" s="36"/>
      <c r="H221" s="36"/>
      <c r="I221" s="36"/>
      <c r="J221" s="36"/>
      <c r="K221" s="2"/>
      <c r="L221" s="2"/>
      <c r="M221" s="2"/>
      <c r="N221" s="2"/>
      <c r="O221" s="2"/>
      <c r="P221" s="2"/>
      <c r="Q221" s="3"/>
      <c r="R221" s="3"/>
      <c r="S221" s="3"/>
      <c r="T221" s="3"/>
      <c r="U221" s="3"/>
      <c r="V221" s="3"/>
      <c r="W221" s="2"/>
      <c r="X221" s="2"/>
      <c r="Y221" s="2"/>
      <c r="Z221" s="2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ht="15.75" customHeight="1">
      <c r="A222" s="83"/>
      <c r="B222" s="36"/>
      <c r="C222" s="36"/>
      <c r="D222" s="36"/>
      <c r="E222" s="36"/>
      <c r="F222" s="36"/>
      <c r="G222" s="36"/>
      <c r="H222" s="36"/>
      <c r="I222" s="36"/>
      <c r="J222" s="36"/>
      <c r="K222" s="2"/>
      <c r="L222" s="2"/>
      <c r="M222" s="2"/>
      <c r="N222" s="2"/>
      <c r="O222" s="2"/>
      <c r="P222" s="2"/>
      <c r="Q222" s="3"/>
      <c r="R222" s="3"/>
      <c r="S222" s="3"/>
      <c r="T222" s="3"/>
      <c r="U222" s="3"/>
      <c r="V222" s="3"/>
      <c r="W222" s="2"/>
      <c r="X222" s="2"/>
      <c r="Y222" s="2"/>
      <c r="Z222" s="2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ht="15.75" customHeight="1">
      <c r="A223" s="83"/>
      <c r="B223" s="36"/>
      <c r="C223" s="36"/>
      <c r="D223" s="36"/>
      <c r="E223" s="36"/>
      <c r="F223" s="36"/>
      <c r="G223" s="36"/>
      <c r="H223" s="36"/>
      <c r="I223" s="36"/>
      <c r="J223" s="36"/>
      <c r="K223" s="2"/>
      <c r="L223" s="2"/>
      <c r="M223" s="2"/>
      <c r="N223" s="2"/>
      <c r="O223" s="2"/>
      <c r="P223" s="2"/>
      <c r="Q223" s="3"/>
      <c r="R223" s="3"/>
      <c r="S223" s="3"/>
      <c r="T223" s="3"/>
      <c r="U223" s="3"/>
      <c r="V223" s="3"/>
      <c r="W223" s="2"/>
      <c r="X223" s="2"/>
      <c r="Y223" s="2"/>
      <c r="Z223" s="2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ht="15.75" customHeight="1">
      <c r="A224" s="83"/>
      <c r="B224" s="36"/>
      <c r="C224" s="36"/>
      <c r="D224" s="36"/>
      <c r="E224" s="36"/>
      <c r="F224" s="36"/>
      <c r="G224" s="36"/>
      <c r="H224" s="36"/>
      <c r="I224" s="36"/>
      <c r="J224" s="36"/>
      <c r="K224" s="2"/>
      <c r="L224" s="2"/>
      <c r="M224" s="2"/>
      <c r="N224" s="2"/>
      <c r="O224" s="2"/>
      <c r="P224" s="2"/>
      <c r="Q224" s="3"/>
      <c r="R224" s="3"/>
      <c r="S224" s="3"/>
      <c r="T224" s="3"/>
      <c r="U224" s="3"/>
      <c r="V224" s="3"/>
      <c r="W224" s="2"/>
      <c r="X224" s="2"/>
      <c r="Y224" s="2"/>
      <c r="Z224" s="2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ht="15.75" customHeight="1">
      <c r="A225" s="83"/>
      <c r="B225" s="36"/>
      <c r="C225" s="36"/>
      <c r="D225" s="36"/>
      <c r="E225" s="36"/>
      <c r="F225" s="36"/>
      <c r="G225" s="36"/>
      <c r="H225" s="36"/>
      <c r="I225" s="36"/>
      <c r="J225" s="36"/>
      <c r="K225" s="2"/>
      <c r="L225" s="2"/>
      <c r="M225" s="2"/>
      <c r="N225" s="2"/>
      <c r="O225" s="2"/>
      <c r="P225" s="2"/>
      <c r="Q225" s="3"/>
      <c r="R225" s="3"/>
      <c r="S225" s="3"/>
      <c r="T225" s="3"/>
      <c r="U225" s="3"/>
      <c r="V225" s="3"/>
      <c r="W225" s="2"/>
      <c r="X225" s="2"/>
      <c r="Y225" s="2"/>
      <c r="Z225" s="2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ht="15.75" customHeight="1">
      <c r="A226" s="83"/>
      <c r="B226" s="36"/>
      <c r="C226" s="36"/>
      <c r="D226" s="36"/>
      <c r="E226" s="36"/>
      <c r="F226" s="36"/>
      <c r="G226" s="36"/>
      <c r="H226" s="36"/>
      <c r="I226" s="36"/>
      <c r="J226" s="36"/>
      <c r="K226" s="2"/>
      <c r="L226" s="2"/>
      <c r="M226" s="2"/>
      <c r="N226" s="2"/>
      <c r="O226" s="2"/>
      <c r="P226" s="2"/>
      <c r="Q226" s="3"/>
      <c r="R226" s="3"/>
      <c r="S226" s="3"/>
      <c r="T226" s="3"/>
      <c r="U226" s="3"/>
      <c r="V226" s="3"/>
      <c r="W226" s="2"/>
      <c r="X226" s="2"/>
      <c r="Y226" s="2"/>
      <c r="Z226" s="2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ht="15.75" customHeight="1">
      <c r="A227" s="83"/>
      <c r="B227" s="36"/>
      <c r="C227" s="36"/>
      <c r="D227" s="36"/>
      <c r="E227" s="36"/>
      <c r="F227" s="36"/>
      <c r="G227" s="36"/>
      <c r="H227" s="36"/>
      <c r="I227" s="36"/>
      <c r="J227" s="36"/>
      <c r="K227" s="2"/>
      <c r="L227" s="2"/>
      <c r="M227" s="2"/>
      <c r="N227" s="2"/>
      <c r="O227" s="2"/>
      <c r="P227" s="2"/>
      <c r="Q227" s="3"/>
      <c r="R227" s="3"/>
      <c r="S227" s="3"/>
      <c r="T227" s="3"/>
      <c r="U227" s="3"/>
      <c r="V227" s="3"/>
      <c r="W227" s="2"/>
      <c r="X227" s="2"/>
      <c r="Y227" s="2"/>
      <c r="Z227" s="2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ht="15.75" customHeight="1">
      <c r="A228" s="83"/>
      <c r="B228" s="36"/>
      <c r="C228" s="36"/>
      <c r="D228" s="36"/>
      <c r="E228" s="36"/>
      <c r="F228" s="36"/>
      <c r="G228" s="36"/>
      <c r="H228" s="36"/>
      <c r="I228" s="36"/>
      <c r="J228" s="36"/>
      <c r="K228" s="2"/>
      <c r="L228" s="2"/>
      <c r="M228" s="2"/>
      <c r="N228" s="2"/>
      <c r="O228" s="2"/>
      <c r="P228" s="2"/>
      <c r="Q228" s="3"/>
      <c r="R228" s="3"/>
      <c r="S228" s="3"/>
      <c r="T228" s="3"/>
      <c r="U228" s="3"/>
      <c r="V228" s="3"/>
      <c r="W228" s="2"/>
      <c r="X228" s="2"/>
      <c r="Y228" s="2"/>
      <c r="Z228" s="2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ht="15.75" customHeight="1">
      <c r="A229" s="83"/>
      <c r="B229" s="36"/>
      <c r="C229" s="36"/>
      <c r="D229" s="36"/>
      <c r="E229" s="36"/>
      <c r="F229" s="36"/>
      <c r="G229" s="36"/>
      <c r="H229" s="36"/>
      <c r="I229" s="36"/>
      <c r="J229" s="36"/>
      <c r="K229" s="2"/>
      <c r="L229" s="2"/>
      <c r="M229" s="2"/>
      <c r="N229" s="2"/>
      <c r="O229" s="2"/>
      <c r="P229" s="2"/>
      <c r="Q229" s="3"/>
      <c r="R229" s="3"/>
      <c r="S229" s="3"/>
      <c r="T229" s="3"/>
      <c r="U229" s="3"/>
      <c r="V229" s="3"/>
      <c r="W229" s="2"/>
      <c r="X229" s="2"/>
      <c r="Y229" s="2"/>
      <c r="Z229" s="2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ht="15.75" customHeight="1">
      <c r="A230" s="83"/>
      <c r="B230" s="36"/>
      <c r="C230" s="36"/>
      <c r="D230" s="36"/>
      <c r="E230" s="36"/>
      <c r="F230" s="36"/>
      <c r="G230" s="36"/>
      <c r="H230" s="36"/>
      <c r="I230" s="36"/>
      <c r="J230" s="36"/>
      <c r="K230" s="2"/>
      <c r="L230" s="2"/>
      <c r="M230" s="2"/>
      <c r="N230" s="2"/>
      <c r="O230" s="2"/>
      <c r="P230" s="2"/>
      <c r="Q230" s="3"/>
      <c r="R230" s="3"/>
      <c r="S230" s="3"/>
      <c r="T230" s="3"/>
      <c r="U230" s="3"/>
      <c r="V230" s="3"/>
      <c r="W230" s="2"/>
      <c r="X230" s="2"/>
      <c r="Y230" s="2"/>
      <c r="Z230" s="2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ht="15.75" customHeight="1">
      <c r="A231" s="83"/>
      <c r="B231" s="36"/>
      <c r="C231" s="36"/>
      <c r="D231" s="36"/>
      <c r="E231" s="36"/>
      <c r="F231" s="36"/>
      <c r="G231" s="36"/>
      <c r="H231" s="36"/>
      <c r="I231" s="36"/>
      <c r="J231" s="36"/>
      <c r="K231" s="2"/>
      <c r="L231" s="2"/>
      <c r="M231" s="2"/>
      <c r="N231" s="2"/>
      <c r="O231" s="2"/>
      <c r="P231" s="2"/>
      <c r="Q231" s="3"/>
      <c r="R231" s="3"/>
      <c r="S231" s="3"/>
      <c r="T231" s="3"/>
      <c r="U231" s="3"/>
      <c r="V231" s="3"/>
      <c r="W231" s="2"/>
      <c r="X231" s="2"/>
      <c r="Y231" s="2"/>
      <c r="Z231" s="2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ht="15.75" customHeight="1">
      <c r="A232" s="83"/>
      <c r="B232" s="36"/>
      <c r="C232" s="36"/>
      <c r="D232" s="36"/>
      <c r="E232" s="36"/>
      <c r="F232" s="36"/>
      <c r="G232" s="36"/>
      <c r="H232" s="36"/>
      <c r="I232" s="36"/>
      <c r="J232" s="36"/>
      <c r="K232" s="2"/>
      <c r="L232" s="2"/>
      <c r="M232" s="2"/>
      <c r="N232" s="2"/>
      <c r="O232" s="2"/>
      <c r="P232" s="2"/>
      <c r="Q232" s="3"/>
      <c r="R232" s="3"/>
      <c r="S232" s="3"/>
      <c r="T232" s="3"/>
      <c r="U232" s="3"/>
      <c r="V232" s="3"/>
      <c r="W232" s="2"/>
      <c r="X232" s="2"/>
      <c r="Y232" s="2"/>
      <c r="Z232" s="2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ht="15.75" customHeight="1">
      <c r="A233" s="83"/>
      <c r="B233" s="36"/>
      <c r="C233" s="36"/>
      <c r="D233" s="36"/>
      <c r="E233" s="36"/>
      <c r="F233" s="36"/>
      <c r="G233" s="36"/>
      <c r="H233" s="36"/>
      <c r="I233" s="36"/>
      <c r="J233" s="36"/>
      <c r="K233" s="2"/>
      <c r="L233" s="2"/>
      <c r="M233" s="2"/>
      <c r="N233" s="2"/>
      <c r="O233" s="2"/>
      <c r="P233" s="2"/>
      <c r="Q233" s="3"/>
      <c r="R233" s="3"/>
      <c r="S233" s="3"/>
      <c r="T233" s="3"/>
      <c r="U233" s="3"/>
      <c r="V233" s="3"/>
      <c r="W233" s="2"/>
      <c r="X233" s="2"/>
      <c r="Y233" s="2"/>
      <c r="Z233" s="2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ht="15.75" customHeight="1">
      <c r="A234" s="83"/>
      <c r="B234" s="36"/>
      <c r="C234" s="36"/>
      <c r="D234" s="36"/>
      <c r="E234" s="36"/>
      <c r="F234" s="36"/>
      <c r="G234" s="36"/>
      <c r="H234" s="36"/>
      <c r="I234" s="36"/>
      <c r="J234" s="36"/>
      <c r="K234" s="2"/>
      <c r="L234" s="2"/>
      <c r="M234" s="2"/>
      <c r="N234" s="2"/>
      <c r="O234" s="2"/>
      <c r="P234" s="2"/>
      <c r="Q234" s="3"/>
      <c r="R234" s="3"/>
      <c r="S234" s="3"/>
      <c r="T234" s="3"/>
      <c r="U234" s="3"/>
      <c r="V234" s="3"/>
      <c r="W234" s="2"/>
      <c r="X234" s="2"/>
      <c r="Y234" s="2"/>
      <c r="Z234" s="2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ht="15.75" customHeight="1">
      <c r="A235" s="83"/>
      <c r="B235" s="36"/>
      <c r="C235" s="36"/>
      <c r="D235" s="36"/>
      <c r="E235" s="36"/>
      <c r="F235" s="36"/>
      <c r="G235" s="36"/>
      <c r="H235" s="36"/>
      <c r="I235" s="36"/>
      <c r="J235" s="36"/>
      <c r="K235" s="2"/>
      <c r="L235" s="2"/>
      <c r="M235" s="2"/>
      <c r="N235" s="2"/>
      <c r="O235" s="2"/>
      <c r="P235" s="2"/>
      <c r="Q235" s="3"/>
      <c r="R235" s="3"/>
      <c r="S235" s="3"/>
      <c r="T235" s="3"/>
      <c r="U235" s="3"/>
      <c r="V235" s="3"/>
      <c r="W235" s="2"/>
      <c r="X235" s="2"/>
      <c r="Y235" s="2"/>
      <c r="Z235" s="2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ht="15.75" customHeight="1">
      <c r="A236" s="83"/>
      <c r="B236" s="36"/>
      <c r="C236" s="36"/>
      <c r="D236" s="36"/>
      <c r="E236" s="36"/>
      <c r="F236" s="36"/>
      <c r="G236" s="36"/>
      <c r="H236" s="36"/>
      <c r="I236" s="36"/>
      <c r="J236" s="36"/>
      <c r="K236" s="2"/>
      <c r="L236" s="2"/>
      <c r="M236" s="2"/>
      <c r="N236" s="2"/>
      <c r="O236" s="2"/>
      <c r="P236" s="2"/>
      <c r="Q236" s="3"/>
      <c r="R236" s="3"/>
      <c r="S236" s="3"/>
      <c r="T236" s="3"/>
      <c r="U236" s="3"/>
      <c r="V236" s="3"/>
      <c r="W236" s="2"/>
      <c r="X236" s="2"/>
      <c r="Y236" s="2"/>
      <c r="Z236" s="2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ht="15.75" customHeight="1">
      <c r="A237" s="83"/>
      <c r="B237" s="36"/>
      <c r="C237" s="36"/>
      <c r="D237" s="36"/>
      <c r="E237" s="36"/>
      <c r="F237" s="36"/>
      <c r="G237" s="36"/>
      <c r="H237" s="36"/>
      <c r="I237" s="36"/>
      <c r="J237" s="36"/>
      <c r="K237" s="2"/>
      <c r="L237" s="2"/>
      <c r="M237" s="2"/>
      <c r="N237" s="2"/>
      <c r="O237" s="2"/>
      <c r="P237" s="2"/>
      <c r="Q237" s="3"/>
      <c r="R237" s="3"/>
      <c r="S237" s="3"/>
      <c r="T237" s="3"/>
      <c r="U237" s="3"/>
      <c r="V237" s="3"/>
      <c r="W237" s="2"/>
      <c r="X237" s="2"/>
      <c r="Y237" s="2"/>
      <c r="Z237" s="2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ht="15.75" customHeight="1">
      <c r="A238" s="83"/>
      <c r="B238" s="36"/>
      <c r="C238" s="36"/>
      <c r="D238" s="36"/>
      <c r="E238" s="36"/>
      <c r="F238" s="36"/>
      <c r="G238" s="36"/>
      <c r="H238" s="36"/>
      <c r="I238" s="36"/>
      <c r="J238" s="36"/>
      <c r="K238" s="2"/>
      <c r="L238" s="2"/>
      <c r="M238" s="2"/>
      <c r="N238" s="2"/>
      <c r="O238" s="2"/>
      <c r="P238" s="2"/>
      <c r="Q238" s="3"/>
      <c r="R238" s="3"/>
      <c r="S238" s="3"/>
      <c r="T238" s="3"/>
      <c r="U238" s="3"/>
      <c r="V238" s="3"/>
      <c r="W238" s="2"/>
      <c r="X238" s="2"/>
      <c r="Y238" s="2"/>
      <c r="Z238" s="2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ht="15.75" customHeight="1">
      <c r="A239" s="83"/>
      <c r="B239" s="36"/>
      <c r="C239" s="36"/>
      <c r="D239" s="36"/>
      <c r="E239" s="36"/>
      <c r="F239" s="36"/>
      <c r="G239" s="36"/>
      <c r="H239" s="36"/>
      <c r="I239" s="36"/>
      <c r="J239" s="36"/>
      <c r="K239" s="2"/>
      <c r="L239" s="2"/>
      <c r="M239" s="2"/>
      <c r="N239" s="2"/>
      <c r="O239" s="2"/>
      <c r="P239" s="2"/>
      <c r="Q239" s="3"/>
      <c r="R239" s="3"/>
      <c r="S239" s="3"/>
      <c r="T239" s="3"/>
      <c r="U239" s="3"/>
      <c r="V239" s="3"/>
      <c r="W239" s="2"/>
      <c r="X239" s="2"/>
      <c r="Y239" s="2"/>
      <c r="Z239" s="2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ht="15.75" customHeight="1">
      <c r="A240" s="83"/>
      <c r="B240" s="36"/>
      <c r="C240" s="36"/>
      <c r="D240" s="36"/>
      <c r="E240" s="36"/>
      <c r="F240" s="36"/>
      <c r="G240" s="36"/>
      <c r="H240" s="36"/>
      <c r="I240" s="36"/>
      <c r="J240" s="36"/>
      <c r="K240" s="2"/>
      <c r="L240" s="2"/>
      <c r="M240" s="2"/>
      <c r="N240" s="2"/>
      <c r="O240" s="2"/>
      <c r="P240" s="2"/>
      <c r="Q240" s="3"/>
      <c r="R240" s="3"/>
      <c r="S240" s="3"/>
      <c r="T240" s="3"/>
      <c r="U240" s="3"/>
      <c r="V240" s="3"/>
      <c r="W240" s="2"/>
      <c r="X240" s="2"/>
      <c r="Y240" s="2"/>
      <c r="Z240" s="2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ht="15.75" customHeight="1">
      <c r="A241" s="83"/>
      <c r="B241" s="36"/>
      <c r="C241" s="36"/>
      <c r="D241" s="36"/>
      <c r="E241" s="36"/>
      <c r="F241" s="36"/>
      <c r="G241" s="36"/>
      <c r="H241" s="36"/>
      <c r="I241" s="36"/>
      <c r="J241" s="36"/>
      <c r="K241" s="2"/>
      <c r="L241" s="2"/>
      <c r="M241" s="2"/>
      <c r="N241" s="2"/>
      <c r="O241" s="2"/>
      <c r="P241" s="2"/>
      <c r="Q241" s="3"/>
      <c r="R241" s="3"/>
      <c r="S241" s="3"/>
      <c r="T241" s="3"/>
      <c r="U241" s="3"/>
      <c r="V241" s="3"/>
      <c r="W241" s="2"/>
      <c r="X241" s="2"/>
      <c r="Y241" s="2"/>
      <c r="Z241" s="2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ht="15.75" customHeight="1">
      <c r="A242" s="83"/>
      <c r="B242" s="36"/>
      <c r="C242" s="36"/>
      <c r="D242" s="36"/>
      <c r="E242" s="36"/>
      <c r="F242" s="36"/>
      <c r="G242" s="36"/>
      <c r="H242" s="36"/>
      <c r="I242" s="36"/>
      <c r="J242" s="36"/>
      <c r="K242" s="2"/>
      <c r="L242" s="2"/>
      <c r="M242" s="2"/>
      <c r="N242" s="2"/>
      <c r="O242" s="2"/>
      <c r="P242" s="2"/>
      <c r="Q242" s="3"/>
      <c r="R242" s="3"/>
      <c r="S242" s="3"/>
      <c r="T242" s="3"/>
      <c r="U242" s="3"/>
      <c r="V242" s="3"/>
      <c r="W242" s="2"/>
      <c r="X242" s="2"/>
      <c r="Y242" s="2"/>
      <c r="Z242" s="2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ht="15.75" customHeight="1">
      <c r="A243" s="83"/>
      <c r="B243" s="36"/>
      <c r="C243" s="36"/>
      <c r="D243" s="36"/>
      <c r="E243" s="36"/>
      <c r="F243" s="36"/>
      <c r="G243" s="36"/>
      <c r="H243" s="36"/>
      <c r="I243" s="36"/>
      <c r="J243" s="36"/>
      <c r="K243" s="2"/>
      <c r="L243" s="2"/>
      <c r="M243" s="2"/>
      <c r="N243" s="2"/>
      <c r="O243" s="2"/>
      <c r="P243" s="2"/>
      <c r="Q243" s="3"/>
      <c r="R243" s="3"/>
      <c r="S243" s="3"/>
      <c r="T243" s="3"/>
      <c r="U243" s="3"/>
      <c r="V243" s="3"/>
      <c r="W243" s="2"/>
      <c r="X243" s="2"/>
      <c r="Y243" s="2"/>
      <c r="Z243" s="2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ht="15.75" customHeight="1">
      <c r="A244" s="83"/>
      <c r="B244" s="36"/>
      <c r="C244" s="36"/>
      <c r="D244" s="36"/>
      <c r="E244" s="36"/>
      <c r="F244" s="36"/>
      <c r="G244" s="36"/>
      <c r="H244" s="36"/>
      <c r="I244" s="36"/>
      <c r="J244" s="36"/>
      <c r="K244" s="2"/>
      <c r="L244" s="2"/>
      <c r="M244" s="2"/>
      <c r="N244" s="2"/>
      <c r="O244" s="2"/>
      <c r="P244" s="2"/>
      <c r="Q244" s="3"/>
      <c r="R244" s="3"/>
      <c r="S244" s="3"/>
      <c r="T244" s="3"/>
      <c r="U244" s="3"/>
      <c r="V244" s="3"/>
      <c r="W244" s="2"/>
      <c r="X244" s="2"/>
      <c r="Y244" s="2"/>
      <c r="Z244" s="2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ht="15.75" customHeight="1">
      <c r="A245" s="83"/>
      <c r="B245" s="36"/>
      <c r="C245" s="36"/>
      <c r="D245" s="36"/>
      <c r="E245" s="36"/>
      <c r="F245" s="36"/>
      <c r="G245" s="36"/>
      <c r="H245" s="36"/>
      <c r="I245" s="36"/>
      <c r="J245" s="36"/>
      <c r="K245" s="2"/>
      <c r="L245" s="2"/>
      <c r="M245" s="2"/>
      <c r="N245" s="2"/>
      <c r="O245" s="2"/>
      <c r="P245" s="2"/>
      <c r="Q245" s="3"/>
      <c r="R245" s="3"/>
      <c r="S245" s="3"/>
      <c r="T245" s="3"/>
      <c r="U245" s="3"/>
      <c r="V245" s="3"/>
      <c r="W245" s="2"/>
      <c r="X245" s="2"/>
      <c r="Y245" s="2"/>
      <c r="Z245" s="2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ht="15.75" customHeight="1">
      <c r="A246" s="83"/>
      <c r="B246" s="36"/>
      <c r="C246" s="36"/>
      <c r="D246" s="36"/>
      <c r="E246" s="36"/>
      <c r="F246" s="36"/>
      <c r="G246" s="36"/>
      <c r="H246" s="36"/>
      <c r="I246" s="36"/>
      <c r="J246" s="36"/>
      <c r="K246" s="2"/>
      <c r="L246" s="2"/>
      <c r="M246" s="2"/>
      <c r="N246" s="2"/>
      <c r="O246" s="2"/>
      <c r="P246" s="2"/>
      <c r="Q246" s="3"/>
      <c r="R246" s="3"/>
      <c r="S246" s="3"/>
      <c r="T246" s="3"/>
      <c r="U246" s="3"/>
      <c r="V246" s="3"/>
      <c r="W246" s="2"/>
      <c r="X246" s="2"/>
      <c r="Y246" s="2"/>
      <c r="Z246" s="2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ht="15.75" customHeight="1">
      <c r="A247" s="83"/>
      <c r="B247" s="36"/>
      <c r="C247" s="36"/>
      <c r="D247" s="36"/>
      <c r="E247" s="36"/>
      <c r="F247" s="36"/>
      <c r="G247" s="36"/>
      <c r="H247" s="36"/>
      <c r="I247" s="36"/>
      <c r="J247" s="36"/>
      <c r="K247" s="2"/>
      <c r="L247" s="2"/>
      <c r="M247" s="2"/>
      <c r="N247" s="2"/>
      <c r="O247" s="2"/>
      <c r="P247" s="2"/>
      <c r="Q247" s="3"/>
      <c r="R247" s="3"/>
      <c r="S247" s="3"/>
      <c r="T247" s="3"/>
      <c r="U247" s="3"/>
      <c r="V247" s="3"/>
      <c r="W247" s="2"/>
      <c r="X247" s="2"/>
      <c r="Y247" s="2"/>
      <c r="Z247" s="2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ht="15.75" customHeight="1">
      <c r="A248" s="83"/>
      <c r="B248" s="36"/>
      <c r="C248" s="36"/>
      <c r="D248" s="36"/>
      <c r="E248" s="36"/>
      <c r="F248" s="36"/>
      <c r="G248" s="36"/>
      <c r="H248" s="36"/>
      <c r="I248" s="36"/>
      <c r="J248" s="36"/>
      <c r="K248" s="2"/>
      <c r="L248" s="2"/>
      <c r="M248" s="2"/>
      <c r="N248" s="2"/>
      <c r="O248" s="2"/>
      <c r="P248" s="2"/>
      <c r="Q248" s="3"/>
      <c r="R248" s="3"/>
      <c r="S248" s="3"/>
      <c r="T248" s="3"/>
      <c r="U248" s="3"/>
      <c r="V248" s="3"/>
      <c r="W248" s="2"/>
      <c r="X248" s="2"/>
      <c r="Y248" s="2"/>
      <c r="Z248" s="2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ht="15.75" customHeight="1">
      <c r="A249" s="83"/>
      <c r="B249" s="36"/>
      <c r="C249" s="36"/>
      <c r="D249" s="36"/>
      <c r="E249" s="36"/>
      <c r="F249" s="36"/>
      <c r="G249" s="36"/>
      <c r="H249" s="36"/>
      <c r="I249" s="36"/>
      <c r="J249" s="36"/>
      <c r="K249" s="2"/>
      <c r="L249" s="2"/>
      <c r="M249" s="2"/>
      <c r="N249" s="2"/>
      <c r="O249" s="2"/>
      <c r="P249" s="2"/>
      <c r="Q249" s="3"/>
      <c r="R249" s="3"/>
      <c r="S249" s="3"/>
      <c r="T249" s="3"/>
      <c r="U249" s="3"/>
      <c r="V249" s="3"/>
      <c r="W249" s="2"/>
      <c r="X249" s="2"/>
      <c r="Y249" s="2"/>
      <c r="Z249" s="2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ht="15.75" customHeight="1">
      <c r="A250" s="83"/>
      <c r="B250" s="36"/>
      <c r="C250" s="36"/>
      <c r="D250" s="36"/>
      <c r="E250" s="36"/>
      <c r="F250" s="36"/>
      <c r="G250" s="36"/>
      <c r="H250" s="36"/>
      <c r="I250" s="36"/>
      <c r="J250" s="36"/>
      <c r="K250" s="2"/>
      <c r="L250" s="2"/>
      <c r="M250" s="2"/>
      <c r="N250" s="2"/>
      <c r="O250" s="2"/>
      <c r="P250" s="2"/>
      <c r="Q250" s="3"/>
      <c r="R250" s="3"/>
      <c r="S250" s="3"/>
      <c r="T250" s="3"/>
      <c r="U250" s="3"/>
      <c r="V250" s="3"/>
      <c r="W250" s="2"/>
      <c r="X250" s="2"/>
      <c r="Y250" s="2"/>
      <c r="Z250" s="2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ht="15.75" customHeight="1">
      <c r="A251" s="83"/>
      <c r="B251" s="36"/>
      <c r="C251" s="36"/>
      <c r="D251" s="36"/>
      <c r="E251" s="36"/>
      <c r="F251" s="36"/>
      <c r="G251" s="36"/>
      <c r="H251" s="36"/>
      <c r="I251" s="36"/>
      <c r="J251" s="36"/>
      <c r="K251" s="2"/>
      <c r="L251" s="2"/>
      <c r="M251" s="2"/>
      <c r="N251" s="2"/>
      <c r="O251" s="2"/>
      <c r="P251" s="2"/>
      <c r="Q251" s="3"/>
      <c r="R251" s="3"/>
      <c r="S251" s="3"/>
      <c r="T251" s="3"/>
      <c r="U251" s="3"/>
      <c r="V251" s="3"/>
      <c r="W251" s="2"/>
      <c r="X251" s="2"/>
      <c r="Y251" s="2"/>
      <c r="Z251" s="2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ht="15.75" customHeight="1">
      <c r="A252" s="83"/>
      <c r="B252" s="36"/>
      <c r="C252" s="36"/>
      <c r="D252" s="36"/>
      <c r="E252" s="36"/>
      <c r="F252" s="36"/>
      <c r="G252" s="36"/>
      <c r="H252" s="36"/>
      <c r="I252" s="36"/>
      <c r="J252" s="36"/>
      <c r="K252" s="2"/>
      <c r="L252" s="2"/>
      <c r="M252" s="2"/>
      <c r="N252" s="2"/>
      <c r="O252" s="2"/>
      <c r="P252" s="2"/>
      <c r="Q252" s="3"/>
      <c r="R252" s="3"/>
      <c r="S252" s="3"/>
      <c r="T252" s="3"/>
      <c r="U252" s="3"/>
      <c r="V252" s="3"/>
      <c r="W252" s="2"/>
      <c r="X252" s="2"/>
      <c r="Y252" s="2"/>
      <c r="Z252" s="2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ht="15.75" customHeight="1">
      <c r="A253" s="83"/>
      <c r="B253" s="36"/>
      <c r="C253" s="36"/>
      <c r="D253" s="36"/>
      <c r="E253" s="36"/>
      <c r="F253" s="36"/>
      <c r="G253" s="36"/>
      <c r="H253" s="36"/>
      <c r="I253" s="36"/>
      <c r="J253" s="36"/>
      <c r="K253" s="2"/>
      <c r="L253" s="2"/>
      <c r="M253" s="2"/>
      <c r="N253" s="2"/>
      <c r="O253" s="2"/>
      <c r="P253" s="2"/>
      <c r="Q253" s="3"/>
      <c r="R253" s="3"/>
      <c r="S253" s="3"/>
      <c r="T253" s="3"/>
      <c r="U253" s="3"/>
      <c r="V253" s="3"/>
      <c r="W253" s="2"/>
      <c r="X253" s="2"/>
      <c r="Y253" s="2"/>
      <c r="Z253" s="2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ht="15.75" customHeight="1">
      <c r="A254" s="83"/>
      <c r="B254" s="36"/>
      <c r="C254" s="36"/>
      <c r="D254" s="36"/>
      <c r="E254" s="36"/>
      <c r="F254" s="36"/>
      <c r="G254" s="36"/>
      <c r="H254" s="36"/>
      <c r="I254" s="36"/>
      <c r="J254" s="36"/>
      <c r="K254" s="2"/>
      <c r="L254" s="2"/>
      <c r="M254" s="2"/>
      <c r="N254" s="2"/>
      <c r="O254" s="2"/>
      <c r="P254" s="2"/>
      <c r="Q254" s="3"/>
      <c r="R254" s="3"/>
      <c r="S254" s="3"/>
      <c r="T254" s="3"/>
      <c r="U254" s="3"/>
      <c r="V254" s="3"/>
      <c r="W254" s="2"/>
      <c r="X254" s="2"/>
      <c r="Y254" s="2"/>
      <c r="Z254" s="2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ht="15.75" customHeight="1">
      <c r="A255" s="83"/>
      <c r="B255" s="36"/>
      <c r="C255" s="36"/>
      <c r="D255" s="36"/>
      <c r="E255" s="36"/>
      <c r="F255" s="36"/>
      <c r="G255" s="36"/>
      <c r="H255" s="36"/>
      <c r="I255" s="36"/>
      <c r="J255" s="36"/>
      <c r="K255" s="2"/>
      <c r="L255" s="2"/>
      <c r="M255" s="2"/>
      <c r="N255" s="2"/>
      <c r="O255" s="2"/>
      <c r="P255" s="2"/>
      <c r="Q255" s="3"/>
      <c r="R255" s="3"/>
      <c r="S255" s="3"/>
      <c r="T255" s="3"/>
      <c r="U255" s="3"/>
      <c r="V255" s="3"/>
      <c r="W255" s="2"/>
      <c r="X255" s="2"/>
      <c r="Y255" s="2"/>
      <c r="Z255" s="2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ht="15.75" customHeight="1">
      <c r="A256" s="83"/>
      <c r="B256" s="36"/>
      <c r="C256" s="36"/>
      <c r="D256" s="36"/>
      <c r="E256" s="36"/>
      <c r="F256" s="36"/>
      <c r="G256" s="36"/>
      <c r="H256" s="36"/>
      <c r="I256" s="36"/>
      <c r="J256" s="36"/>
      <c r="K256" s="2"/>
      <c r="L256" s="2"/>
      <c r="M256" s="2"/>
      <c r="N256" s="2"/>
      <c r="O256" s="2"/>
      <c r="P256" s="2"/>
      <c r="Q256" s="3"/>
      <c r="R256" s="3"/>
      <c r="S256" s="3"/>
      <c r="T256" s="3"/>
      <c r="U256" s="3"/>
      <c r="V256" s="3"/>
      <c r="W256" s="2"/>
      <c r="X256" s="2"/>
      <c r="Y256" s="2"/>
      <c r="Z256" s="2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ht="15.75" customHeight="1">
      <c r="A257" s="83"/>
      <c r="B257" s="36"/>
      <c r="C257" s="36"/>
      <c r="D257" s="36"/>
      <c r="E257" s="36"/>
      <c r="F257" s="36"/>
      <c r="G257" s="36"/>
      <c r="H257" s="36"/>
      <c r="I257" s="36"/>
      <c r="J257" s="36"/>
      <c r="K257" s="2"/>
      <c r="L257" s="2"/>
      <c r="M257" s="2"/>
      <c r="N257" s="2"/>
      <c r="O257" s="2"/>
      <c r="P257" s="2"/>
      <c r="Q257" s="3"/>
      <c r="R257" s="3"/>
      <c r="S257" s="3"/>
      <c r="T257" s="3"/>
      <c r="U257" s="3"/>
      <c r="V257" s="3"/>
      <c r="W257" s="2"/>
      <c r="X257" s="2"/>
      <c r="Y257" s="2"/>
      <c r="Z257" s="2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ht="15.75" customHeight="1">
      <c r="A258" s="83"/>
      <c r="B258" s="36"/>
      <c r="C258" s="36"/>
      <c r="D258" s="36"/>
      <c r="E258" s="36"/>
      <c r="F258" s="36"/>
      <c r="G258" s="36"/>
      <c r="H258" s="36"/>
      <c r="I258" s="36"/>
      <c r="J258" s="36"/>
      <c r="K258" s="2"/>
      <c r="L258" s="2"/>
      <c r="M258" s="2"/>
      <c r="N258" s="2"/>
      <c r="O258" s="2"/>
      <c r="P258" s="2"/>
      <c r="Q258" s="3"/>
      <c r="R258" s="3"/>
      <c r="S258" s="3"/>
      <c r="T258" s="3"/>
      <c r="U258" s="3"/>
      <c r="V258" s="3"/>
      <c r="W258" s="2"/>
      <c r="X258" s="2"/>
      <c r="Y258" s="2"/>
      <c r="Z258" s="2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ht="15.75" customHeight="1">
      <c r="A259" s="83"/>
      <c r="B259" s="36"/>
      <c r="C259" s="36"/>
      <c r="D259" s="36"/>
      <c r="E259" s="36"/>
      <c r="F259" s="36"/>
      <c r="G259" s="36"/>
      <c r="H259" s="36"/>
      <c r="I259" s="36"/>
      <c r="J259" s="36"/>
      <c r="K259" s="2"/>
      <c r="L259" s="2"/>
      <c r="M259" s="2"/>
      <c r="N259" s="2"/>
      <c r="O259" s="2"/>
      <c r="P259" s="2"/>
      <c r="Q259" s="3"/>
      <c r="R259" s="3"/>
      <c r="S259" s="3"/>
      <c r="T259" s="3"/>
      <c r="U259" s="3"/>
      <c r="V259" s="3"/>
      <c r="W259" s="2"/>
      <c r="X259" s="2"/>
      <c r="Y259" s="2"/>
      <c r="Z259" s="2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ht="15.75" customHeight="1">
      <c r="A260" s="83"/>
      <c r="B260" s="36"/>
      <c r="C260" s="36"/>
      <c r="D260" s="36"/>
      <c r="E260" s="36"/>
      <c r="F260" s="36"/>
      <c r="G260" s="36"/>
      <c r="H260" s="36"/>
      <c r="I260" s="36"/>
      <c r="J260" s="36"/>
      <c r="K260" s="2"/>
      <c r="L260" s="2"/>
      <c r="M260" s="2"/>
      <c r="N260" s="2"/>
      <c r="O260" s="2"/>
      <c r="P260" s="2"/>
      <c r="Q260" s="3"/>
      <c r="R260" s="3"/>
      <c r="S260" s="3"/>
      <c r="T260" s="3"/>
      <c r="U260" s="3"/>
      <c r="V260" s="3"/>
      <c r="W260" s="2"/>
      <c r="X260" s="2"/>
      <c r="Y260" s="2"/>
      <c r="Z260" s="2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ht="15.75" customHeight="1">
      <c r="A261" s="83"/>
      <c r="B261" s="36"/>
      <c r="C261" s="36"/>
      <c r="D261" s="36"/>
      <c r="E261" s="36"/>
      <c r="F261" s="36"/>
      <c r="G261" s="36"/>
      <c r="H261" s="36"/>
      <c r="I261" s="36"/>
      <c r="J261" s="36"/>
      <c r="K261" s="2"/>
      <c r="L261" s="2"/>
      <c r="M261" s="2"/>
      <c r="N261" s="2"/>
      <c r="O261" s="2"/>
      <c r="P261" s="2"/>
      <c r="Q261" s="3"/>
      <c r="R261" s="3"/>
      <c r="S261" s="3"/>
      <c r="T261" s="3"/>
      <c r="U261" s="3"/>
      <c r="V261" s="3"/>
      <c r="W261" s="2"/>
      <c r="X261" s="2"/>
      <c r="Y261" s="2"/>
      <c r="Z261" s="2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ht="15.75" customHeight="1">
      <c r="A262" s="83"/>
      <c r="B262" s="36"/>
      <c r="C262" s="36"/>
      <c r="D262" s="36"/>
      <c r="E262" s="36"/>
      <c r="F262" s="36"/>
      <c r="G262" s="36"/>
      <c r="H262" s="36"/>
      <c r="I262" s="36"/>
      <c r="J262" s="36"/>
      <c r="K262" s="2"/>
      <c r="L262" s="2"/>
      <c r="M262" s="2"/>
      <c r="N262" s="2"/>
      <c r="O262" s="2"/>
      <c r="P262" s="2"/>
      <c r="Q262" s="3"/>
      <c r="R262" s="3"/>
      <c r="S262" s="3"/>
      <c r="T262" s="3"/>
      <c r="U262" s="3"/>
      <c r="V262" s="3"/>
      <c r="W262" s="2"/>
      <c r="X262" s="2"/>
      <c r="Y262" s="2"/>
      <c r="Z262" s="2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ht="15.75" customHeight="1">
      <c r="A263" s="83"/>
      <c r="B263" s="36"/>
      <c r="C263" s="36"/>
      <c r="D263" s="36"/>
      <c r="E263" s="36"/>
      <c r="F263" s="36"/>
      <c r="G263" s="36"/>
      <c r="H263" s="36"/>
      <c r="I263" s="36"/>
      <c r="J263" s="36"/>
      <c r="K263" s="2"/>
      <c r="L263" s="2"/>
      <c r="M263" s="2"/>
      <c r="N263" s="2"/>
      <c r="O263" s="2"/>
      <c r="P263" s="2"/>
      <c r="Q263" s="3"/>
      <c r="R263" s="3"/>
      <c r="S263" s="3"/>
      <c r="T263" s="3"/>
      <c r="U263" s="3"/>
      <c r="V263" s="3"/>
      <c r="W263" s="2"/>
      <c r="X263" s="2"/>
      <c r="Y263" s="2"/>
      <c r="Z263" s="2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ht="15.75" customHeight="1">
      <c r="A264" s="83"/>
      <c r="B264" s="36"/>
      <c r="C264" s="36"/>
      <c r="D264" s="36"/>
      <c r="E264" s="36"/>
      <c r="F264" s="36"/>
      <c r="G264" s="36"/>
      <c r="H264" s="36"/>
      <c r="I264" s="36"/>
      <c r="J264" s="36"/>
      <c r="K264" s="2"/>
      <c r="L264" s="2"/>
      <c r="M264" s="2"/>
      <c r="N264" s="2"/>
      <c r="O264" s="2"/>
      <c r="P264" s="2"/>
      <c r="Q264" s="3"/>
      <c r="R264" s="3"/>
      <c r="S264" s="3"/>
      <c r="T264" s="3"/>
      <c r="U264" s="3"/>
      <c r="V264" s="3"/>
      <c r="W264" s="2"/>
      <c r="X264" s="2"/>
      <c r="Y264" s="2"/>
      <c r="Z264" s="2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ht="15.75" customHeight="1">
      <c r="A265" s="83"/>
      <c r="B265" s="36"/>
      <c r="C265" s="36"/>
      <c r="D265" s="36"/>
      <c r="E265" s="36"/>
      <c r="F265" s="36"/>
      <c r="G265" s="36"/>
      <c r="H265" s="36"/>
      <c r="I265" s="36"/>
      <c r="J265" s="36"/>
      <c r="K265" s="2"/>
      <c r="L265" s="2"/>
      <c r="M265" s="2"/>
      <c r="N265" s="2"/>
      <c r="O265" s="2"/>
      <c r="P265" s="2"/>
      <c r="Q265" s="3"/>
      <c r="R265" s="3"/>
      <c r="S265" s="3"/>
      <c r="T265" s="3"/>
      <c r="U265" s="3"/>
      <c r="V265" s="3"/>
      <c r="W265" s="2"/>
      <c r="X265" s="2"/>
      <c r="Y265" s="2"/>
      <c r="Z265" s="2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ht="15.75" customHeight="1">
      <c r="A266" s="83"/>
      <c r="B266" s="36"/>
      <c r="C266" s="36"/>
      <c r="D266" s="36"/>
      <c r="E266" s="36"/>
      <c r="F266" s="36"/>
      <c r="G266" s="36"/>
      <c r="H266" s="36"/>
      <c r="I266" s="36"/>
      <c r="J266" s="36"/>
      <c r="K266" s="2"/>
      <c r="L266" s="2"/>
      <c r="M266" s="2"/>
      <c r="N266" s="2"/>
      <c r="O266" s="2"/>
      <c r="P266" s="2"/>
      <c r="Q266" s="3"/>
      <c r="R266" s="3"/>
      <c r="S266" s="3"/>
      <c r="T266" s="3"/>
      <c r="U266" s="3"/>
      <c r="V266" s="3"/>
      <c r="W266" s="2"/>
      <c r="X266" s="2"/>
      <c r="Y266" s="2"/>
      <c r="Z266" s="2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ht="15.75" customHeight="1">
      <c r="A267" s="83"/>
      <c r="B267" s="36"/>
      <c r="C267" s="36"/>
      <c r="D267" s="36"/>
      <c r="E267" s="36"/>
      <c r="F267" s="36"/>
      <c r="G267" s="36"/>
      <c r="H267" s="36"/>
      <c r="I267" s="36"/>
      <c r="J267" s="36"/>
      <c r="K267" s="2"/>
      <c r="L267" s="2"/>
      <c r="M267" s="2"/>
      <c r="N267" s="2"/>
      <c r="O267" s="2"/>
      <c r="P267" s="2"/>
      <c r="Q267" s="3"/>
      <c r="R267" s="3"/>
      <c r="S267" s="3"/>
      <c r="T267" s="3"/>
      <c r="U267" s="3"/>
      <c r="V267" s="3"/>
      <c r="W267" s="2"/>
      <c r="X267" s="2"/>
      <c r="Y267" s="2"/>
      <c r="Z267" s="2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ht="15.75" customHeight="1">
      <c r="A268" s="83"/>
      <c r="B268" s="36"/>
      <c r="C268" s="36"/>
      <c r="D268" s="36"/>
      <c r="E268" s="36"/>
      <c r="F268" s="36"/>
      <c r="G268" s="36"/>
      <c r="H268" s="36"/>
      <c r="I268" s="36"/>
      <c r="J268" s="36"/>
      <c r="K268" s="2"/>
      <c r="L268" s="2"/>
      <c r="M268" s="2"/>
      <c r="N268" s="2"/>
      <c r="O268" s="2"/>
      <c r="P268" s="2"/>
      <c r="Q268" s="3"/>
      <c r="R268" s="3"/>
      <c r="S268" s="3"/>
      <c r="T268" s="3"/>
      <c r="U268" s="3"/>
      <c r="V268" s="3"/>
      <c r="W268" s="2"/>
      <c r="X268" s="2"/>
      <c r="Y268" s="2"/>
      <c r="Z268" s="2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ht="15.75" customHeight="1">
      <c r="A269" s="83"/>
      <c r="B269" s="36"/>
      <c r="C269" s="36"/>
      <c r="D269" s="36"/>
      <c r="E269" s="36"/>
      <c r="F269" s="36"/>
      <c r="G269" s="36"/>
      <c r="H269" s="36"/>
      <c r="I269" s="36"/>
      <c r="J269" s="36"/>
      <c r="K269" s="2"/>
      <c r="L269" s="2"/>
      <c r="M269" s="2"/>
      <c r="N269" s="2"/>
      <c r="O269" s="2"/>
      <c r="P269" s="2"/>
      <c r="Q269" s="3"/>
      <c r="R269" s="3"/>
      <c r="S269" s="3"/>
      <c r="T269" s="3"/>
      <c r="U269" s="3"/>
      <c r="V269" s="3"/>
      <c r="W269" s="2"/>
      <c r="X269" s="2"/>
      <c r="Y269" s="2"/>
      <c r="Z269" s="2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ht="15.75" customHeight="1">
      <c r="A270" s="83"/>
      <c r="B270" s="36"/>
      <c r="C270" s="36"/>
      <c r="D270" s="36"/>
      <c r="E270" s="36"/>
      <c r="F270" s="36"/>
      <c r="G270" s="36"/>
      <c r="H270" s="36"/>
      <c r="I270" s="36"/>
      <c r="J270" s="36"/>
      <c r="K270" s="2"/>
      <c r="L270" s="2"/>
      <c r="M270" s="2"/>
      <c r="N270" s="2"/>
      <c r="O270" s="2"/>
      <c r="P270" s="2"/>
      <c r="Q270" s="3"/>
      <c r="R270" s="3"/>
      <c r="S270" s="3"/>
      <c r="T270" s="3"/>
      <c r="U270" s="3"/>
      <c r="V270" s="3"/>
      <c r="W270" s="2"/>
      <c r="X270" s="2"/>
      <c r="Y270" s="2"/>
      <c r="Z270" s="2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ht="15.75" customHeight="1">
      <c r="A271" s="83"/>
      <c r="B271" s="36"/>
      <c r="C271" s="36"/>
      <c r="D271" s="36"/>
      <c r="E271" s="36"/>
      <c r="F271" s="36"/>
      <c r="G271" s="36"/>
      <c r="H271" s="36"/>
      <c r="I271" s="36"/>
      <c r="J271" s="36"/>
      <c r="K271" s="2"/>
      <c r="L271" s="2"/>
      <c r="M271" s="2"/>
      <c r="N271" s="2"/>
      <c r="O271" s="2"/>
      <c r="P271" s="2"/>
      <c r="Q271" s="3"/>
      <c r="R271" s="3"/>
      <c r="S271" s="3"/>
      <c r="T271" s="3"/>
      <c r="U271" s="3"/>
      <c r="V271" s="3"/>
      <c r="W271" s="2"/>
      <c r="X271" s="2"/>
      <c r="Y271" s="2"/>
      <c r="Z271" s="2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ht="15.75" customHeight="1">
      <c r="A272" s="83"/>
      <c r="B272" s="36"/>
      <c r="C272" s="36"/>
      <c r="D272" s="36"/>
      <c r="E272" s="36"/>
      <c r="F272" s="36"/>
      <c r="G272" s="36"/>
      <c r="H272" s="36"/>
      <c r="I272" s="36"/>
      <c r="J272" s="36"/>
      <c r="K272" s="2"/>
      <c r="L272" s="2"/>
      <c r="M272" s="2"/>
      <c r="N272" s="2"/>
      <c r="O272" s="2"/>
      <c r="P272" s="2"/>
      <c r="Q272" s="3"/>
      <c r="R272" s="3"/>
      <c r="S272" s="3"/>
      <c r="T272" s="3"/>
      <c r="U272" s="3"/>
      <c r="V272" s="3"/>
      <c r="W272" s="2"/>
      <c r="X272" s="2"/>
      <c r="Y272" s="2"/>
      <c r="Z272" s="2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ht="15.75" customHeight="1">
      <c r="A273" s="83"/>
      <c r="B273" s="36"/>
      <c r="C273" s="36"/>
      <c r="D273" s="36"/>
      <c r="E273" s="36"/>
      <c r="F273" s="36"/>
      <c r="G273" s="36"/>
      <c r="H273" s="36"/>
      <c r="I273" s="36"/>
      <c r="J273" s="36"/>
      <c r="K273" s="2"/>
      <c r="L273" s="2"/>
      <c r="M273" s="2"/>
      <c r="N273" s="2"/>
      <c r="O273" s="2"/>
      <c r="P273" s="2"/>
      <c r="Q273" s="3"/>
      <c r="R273" s="3"/>
      <c r="S273" s="3"/>
      <c r="T273" s="3"/>
      <c r="U273" s="3"/>
      <c r="V273" s="3"/>
      <c r="W273" s="2"/>
      <c r="X273" s="2"/>
      <c r="Y273" s="2"/>
      <c r="Z273" s="2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ht="15.75" customHeight="1">
      <c r="A274" s="83"/>
      <c r="B274" s="36"/>
      <c r="C274" s="36"/>
      <c r="D274" s="36"/>
      <c r="E274" s="36"/>
      <c r="F274" s="36"/>
      <c r="G274" s="36"/>
      <c r="H274" s="36"/>
      <c r="I274" s="36"/>
      <c r="J274" s="36"/>
      <c r="K274" s="2"/>
      <c r="L274" s="2"/>
      <c r="M274" s="2"/>
      <c r="N274" s="2"/>
      <c r="O274" s="2"/>
      <c r="P274" s="2"/>
      <c r="Q274" s="3"/>
      <c r="R274" s="3"/>
      <c r="S274" s="3"/>
      <c r="T274" s="3"/>
      <c r="U274" s="3"/>
      <c r="V274" s="3"/>
      <c r="W274" s="2"/>
      <c r="X274" s="2"/>
      <c r="Y274" s="2"/>
      <c r="Z274" s="2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ht="15.75" customHeight="1">
      <c r="A275" s="83"/>
      <c r="B275" s="36"/>
      <c r="C275" s="36"/>
      <c r="D275" s="36"/>
      <c r="E275" s="36"/>
      <c r="F275" s="36"/>
      <c r="G275" s="36"/>
      <c r="H275" s="36"/>
      <c r="I275" s="36"/>
      <c r="J275" s="36"/>
      <c r="K275" s="2"/>
      <c r="L275" s="2"/>
      <c r="M275" s="2"/>
      <c r="N275" s="2"/>
      <c r="O275" s="2"/>
      <c r="P275" s="2"/>
      <c r="Q275" s="3"/>
      <c r="R275" s="3"/>
      <c r="S275" s="3"/>
      <c r="T275" s="3"/>
      <c r="U275" s="3"/>
      <c r="V275" s="3"/>
      <c r="W275" s="2"/>
      <c r="X275" s="2"/>
      <c r="Y275" s="2"/>
      <c r="Z275" s="2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ht="15.75" customHeight="1">
      <c r="A276" s="83"/>
      <c r="B276" s="36"/>
      <c r="C276" s="36"/>
      <c r="D276" s="36"/>
      <c r="E276" s="36"/>
      <c r="F276" s="36"/>
      <c r="G276" s="36"/>
      <c r="H276" s="36"/>
      <c r="I276" s="36"/>
      <c r="J276" s="36"/>
      <c r="K276" s="2"/>
      <c r="L276" s="2"/>
      <c r="M276" s="2"/>
      <c r="N276" s="2"/>
      <c r="O276" s="2"/>
      <c r="P276" s="2"/>
      <c r="Q276" s="3"/>
      <c r="R276" s="3"/>
      <c r="S276" s="3"/>
      <c r="T276" s="3"/>
      <c r="U276" s="3"/>
      <c r="V276" s="3"/>
      <c r="W276" s="2"/>
      <c r="X276" s="2"/>
      <c r="Y276" s="2"/>
      <c r="Z276" s="2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ht="15.75" customHeight="1">
      <c r="A277" s="83"/>
      <c r="B277" s="36"/>
      <c r="C277" s="36"/>
      <c r="D277" s="36"/>
      <c r="E277" s="36"/>
      <c r="F277" s="36"/>
      <c r="G277" s="36"/>
      <c r="H277" s="36"/>
      <c r="I277" s="36"/>
      <c r="J277" s="36"/>
      <c r="K277" s="2"/>
      <c r="L277" s="2"/>
      <c r="M277" s="2"/>
      <c r="N277" s="2"/>
      <c r="O277" s="2"/>
      <c r="P277" s="2"/>
      <c r="Q277" s="3"/>
      <c r="R277" s="3"/>
      <c r="S277" s="3"/>
      <c r="T277" s="3"/>
      <c r="U277" s="3"/>
      <c r="V277" s="3"/>
      <c r="W277" s="2"/>
      <c r="X277" s="2"/>
      <c r="Y277" s="2"/>
      <c r="Z277" s="2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ht="15.75" customHeight="1">
      <c r="A278" s="83"/>
      <c r="B278" s="36"/>
      <c r="C278" s="36"/>
      <c r="D278" s="36"/>
      <c r="E278" s="36"/>
      <c r="F278" s="36"/>
      <c r="G278" s="36"/>
      <c r="H278" s="36"/>
      <c r="I278" s="36"/>
      <c r="J278" s="36"/>
      <c r="K278" s="2"/>
      <c r="L278" s="2"/>
      <c r="M278" s="2"/>
      <c r="N278" s="2"/>
      <c r="O278" s="2"/>
      <c r="P278" s="2"/>
      <c r="Q278" s="3"/>
      <c r="R278" s="3"/>
      <c r="S278" s="3"/>
      <c r="T278" s="3"/>
      <c r="U278" s="3"/>
      <c r="V278" s="3"/>
      <c r="W278" s="2"/>
      <c r="X278" s="2"/>
      <c r="Y278" s="2"/>
      <c r="Z278" s="2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ht="15.75" customHeight="1">
      <c r="A279" s="83"/>
      <c r="B279" s="36"/>
      <c r="C279" s="36"/>
      <c r="D279" s="36"/>
      <c r="E279" s="36"/>
      <c r="F279" s="36"/>
      <c r="G279" s="36"/>
      <c r="H279" s="36"/>
      <c r="I279" s="36"/>
      <c r="J279" s="36"/>
      <c r="K279" s="2"/>
      <c r="L279" s="2"/>
      <c r="M279" s="2"/>
      <c r="N279" s="2"/>
      <c r="O279" s="2"/>
      <c r="P279" s="2"/>
      <c r="Q279" s="3"/>
      <c r="R279" s="3"/>
      <c r="S279" s="3"/>
      <c r="T279" s="3"/>
      <c r="U279" s="3"/>
      <c r="V279" s="3"/>
      <c r="W279" s="2"/>
      <c r="X279" s="2"/>
      <c r="Y279" s="2"/>
      <c r="Z279" s="2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ht="15.75" customHeight="1">
      <c r="A280" s="83"/>
      <c r="B280" s="36"/>
      <c r="C280" s="36"/>
      <c r="D280" s="36"/>
      <c r="E280" s="36"/>
      <c r="F280" s="36"/>
      <c r="G280" s="36"/>
      <c r="H280" s="36"/>
      <c r="I280" s="36"/>
      <c r="J280" s="36"/>
      <c r="K280" s="2"/>
      <c r="L280" s="2"/>
      <c r="M280" s="2"/>
      <c r="N280" s="2"/>
      <c r="O280" s="2"/>
      <c r="P280" s="2"/>
      <c r="Q280" s="3"/>
      <c r="R280" s="3"/>
      <c r="S280" s="3"/>
      <c r="T280" s="3"/>
      <c r="U280" s="3"/>
      <c r="V280" s="3"/>
      <c r="W280" s="2"/>
      <c r="X280" s="2"/>
      <c r="Y280" s="2"/>
      <c r="Z280" s="2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ht="15.75" customHeight="1">
      <c r="A281" s="83"/>
      <c r="B281" s="36"/>
      <c r="C281" s="36"/>
      <c r="D281" s="36"/>
      <c r="E281" s="36"/>
      <c r="F281" s="36"/>
      <c r="G281" s="36"/>
      <c r="H281" s="36"/>
      <c r="I281" s="36"/>
      <c r="J281" s="36"/>
      <c r="K281" s="2"/>
      <c r="L281" s="2"/>
      <c r="M281" s="2"/>
      <c r="N281" s="2"/>
      <c r="O281" s="2"/>
      <c r="P281" s="2"/>
      <c r="Q281" s="3"/>
      <c r="R281" s="3"/>
      <c r="S281" s="3"/>
      <c r="T281" s="3"/>
      <c r="U281" s="3"/>
      <c r="V281" s="3"/>
      <c r="W281" s="2"/>
      <c r="X281" s="2"/>
      <c r="Y281" s="2"/>
      <c r="Z281" s="2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ht="15.75" customHeight="1">
      <c r="A282" s="83"/>
      <c r="B282" s="36"/>
      <c r="C282" s="36"/>
      <c r="D282" s="36"/>
      <c r="E282" s="36"/>
      <c r="F282" s="36"/>
      <c r="G282" s="36"/>
      <c r="H282" s="36"/>
      <c r="I282" s="36"/>
      <c r="J282" s="36"/>
      <c r="K282" s="2"/>
      <c r="L282" s="2"/>
      <c r="M282" s="2"/>
      <c r="N282" s="2"/>
      <c r="O282" s="2"/>
      <c r="P282" s="2"/>
      <c r="Q282" s="3"/>
      <c r="R282" s="3"/>
      <c r="S282" s="3"/>
      <c r="T282" s="3"/>
      <c r="U282" s="3"/>
      <c r="V282" s="3"/>
      <c r="W282" s="2"/>
      <c r="X282" s="2"/>
      <c r="Y282" s="2"/>
      <c r="Z282" s="2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ht="15.75" customHeight="1">
      <c r="A283" s="83"/>
      <c r="B283" s="36"/>
      <c r="C283" s="36"/>
      <c r="D283" s="36"/>
      <c r="E283" s="36"/>
      <c r="F283" s="36"/>
      <c r="G283" s="36"/>
      <c r="H283" s="36"/>
      <c r="I283" s="36"/>
      <c r="J283" s="36"/>
      <c r="K283" s="2"/>
      <c r="L283" s="2"/>
      <c r="M283" s="2"/>
      <c r="N283" s="2"/>
      <c r="O283" s="2"/>
      <c r="P283" s="2"/>
      <c r="Q283" s="3"/>
      <c r="R283" s="3"/>
      <c r="S283" s="3"/>
      <c r="T283" s="3"/>
      <c r="U283" s="3"/>
      <c r="V283" s="3"/>
      <c r="W283" s="2"/>
      <c r="X283" s="2"/>
      <c r="Y283" s="2"/>
      <c r="Z283" s="2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ht="15.75" customHeight="1">
      <c r="A284" s="83"/>
      <c r="B284" s="36"/>
      <c r="C284" s="36"/>
      <c r="D284" s="36"/>
      <c r="E284" s="36"/>
      <c r="F284" s="36"/>
      <c r="G284" s="36"/>
      <c r="H284" s="36"/>
      <c r="I284" s="36"/>
      <c r="J284" s="36"/>
      <c r="K284" s="2"/>
      <c r="L284" s="2"/>
      <c r="M284" s="2"/>
      <c r="N284" s="2"/>
      <c r="O284" s="2"/>
      <c r="P284" s="2"/>
      <c r="Q284" s="3"/>
      <c r="R284" s="3"/>
      <c r="S284" s="3"/>
      <c r="T284" s="3"/>
      <c r="U284" s="3"/>
      <c r="V284" s="3"/>
      <c r="W284" s="2"/>
      <c r="X284" s="2"/>
      <c r="Y284" s="2"/>
      <c r="Z284" s="2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ht="15.75" customHeight="1">
      <c r="A285" s="83"/>
      <c r="B285" s="36"/>
      <c r="C285" s="36"/>
      <c r="D285" s="36"/>
      <c r="E285" s="36"/>
      <c r="F285" s="36"/>
      <c r="G285" s="36"/>
      <c r="H285" s="36"/>
      <c r="I285" s="36"/>
      <c r="J285" s="36"/>
      <c r="K285" s="2"/>
      <c r="L285" s="2"/>
      <c r="M285" s="2"/>
      <c r="N285" s="2"/>
      <c r="O285" s="2"/>
      <c r="P285" s="2"/>
      <c r="Q285" s="3"/>
      <c r="R285" s="3"/>
      <c r="S285" s="3"/>
      <c r="T285" s="3"/>
      <c r="U285" s="3"/>
      <c r="V285" s="3"/>
      <c r="W285" s="2"/>
      <c r="X285" s="2"/>
      <c r="Y285" s="2"/>
      <c r="Z285" s="2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ht="15.75" customHeight="1">
      <c r="A286" s="83"/>
      <c r="B286" s="36"/>
      <c r="C286" s="36"/>
      <c r="D286" s="36"/>
      <c r="E286" s="36"/>
      <c r="F286" s="36"/>
      <c r="G286" s="36"/>
      <c r="H286" s="36"/>
      <c r="I286" s="36"/>
      <c r="J286" s="36"/>
      <c r="K286" s="2"/>
      <c r="L286" s="2"/>
      <c r="M286" s="2"/>
      <c r="N286" s="2"/>
      <c r="O286" s="2"/>
      <c r="P286" s="2"/>
      <c r="Q286" s="3"/>
      <c r="R286" s="3"/>
      <c r="S286" s="3"/>
      <c r="T286" s="3"/>
      <c r="U286" s="3"/>
      <c r="V286" s="3"/>
      <c r="W286" s="2"/>
      <c r="X286" s="2"/>
      <c r="Y286" s="2"/>
      <c r="Z286" s="2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ht="15.75" customHeight="1">
      <c r="A287" s="83"/>
      <c r="B287" s="36"/>
      <c r="C287" s="36"/>
      <c r="D287" s="36"/>
      <c r="E287" s="36"/>
      <c r="F287" s="36"/>
      <c r="G287" s="36"/>
      <c r="H287" s="36"/>
      <c r="I287" s="36"/>
      <c r="J287" s="36"/>
      <c r="K287" s="2"/>
      <c r="L287" s="2"/>
      <c r="M287" s="2"/>
      <c r="N287" s="2"/>
      <c r="O287" s="2"/>
      <c r="P287" s="2"/>
      <c r="Q287" s="3"/>
      <c r="R287" s="3"/>
      <c r="S287" s="3"/>
      <c r="T287" s="3"/>
      <c r="U287" s="3"/>
      <c r="V287" s="3"/>
      <c r="W287" s="2"/>
      <c r="X287" s="2"/>
      <c r="Y287" s="2"/>
      <c r="Z287" s="2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ht="15.75" customHeight="1">
      <c r="A288" s="83"/>
      <c r="B288" s="36"/>
      <c r="C288" s="36"/>
      <c r="D288" s="36"/>
      <c r="E288" s="36"/>
      <c r="F288" s="36"/>
      <c r="G288" s="36"/>
      <c r="H288" s="36"/>
      <c r="I288" s="36"/>
      <c r="J288" s="36"/>
      <c r="K288" s="2"/>
      <c r="L288" s="2"/>
      <c r="M288" s="2"/>
      <c r="N288" s="2"/>
      <c r="O288" s="2"/>
      <c r="P288" s="2"/>
      <c r="Q288" s="3"/>
      <c r="R288" s="3"/>
      <c r="S288" s="3"/>
      <c r="T288" s="3"/>
      <c r="U288" s="3"/>
      <c r="V288" s="3"/>
      <c r="W288" s="2"/>
      <c r="X288" s="2"/>
      <c r="Y288" s="2"/>
      <c r="Z288" s="2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ht="15.75" customHeight="1">
      <c r="A289" s="83"/>
      <c r="B289" s="36"/>
      <c r="C289" s="36"/>
      <c r="D289" s="36"/>
      <c r="E289" s="36"/>
      <c r="F289" s="36"/>
      <c r="G289" s="36"/>
      <c r="H289" s="36"/>
      <c r="I289" s="36"/>
      <c r="J289" s="36"/>
      <c r="K289" s="2"/>
      <c r="L289" s="2"/>
      <c r="M289" s="2"/>
      <c r="N289" s="2"/>
      <c r="O289" s="2"/>
      <c r="P289" s="2"/>
      <c r="Q289" s="3"/>
      <c r="R289" s="3"/>
      <c r="S289" s="3"/>
      <c r="T289" s="3"/>
      <c r="U289" s="3"/>
      <c r="V289" s="3"/>
      <c r="W289" s="2"/>
      <c r="X289" s="2"/>
      <c r="Y289" s="2"/>
      <c r="Z289" s="2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ht="15.75" customHeight="1">
      <c r="A290" s="83"/>
      <c r="B290" s="36"/>
      <c r="C290" s="36"/>
      <c r="D290" s="36"/>
      <c r="E290" s="36"/>
      <c r="F290" s="36"/>
      <c r="G290" s="36"/>
      <c r="H290" s="36"/>
      <c r="I290" s="36"/>
      <c r="J290" s="36"/>
      <c r="K290" s="2"/>
      <c r="L290" s="2"/>
      <c r="M290" s="2"/>
      <c r="N290" s="2"/>
      <c r="O290" s="2"/>
      <c r="P290" s="2"/>
      <c r="Q290" s="3"/>
      <c r="R290" s="3"/>
      <c r="S290" s="3"/>
      <c r="T290" s="3"/>
      <c r="U290" s="3"/>
      <c r="V290" s="3"/>
      <c r="W290" s="2"/>
      <c r="X290" s="2"/>
      <c r="Y290" s="2"/>
      <c r="Z290" s="2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ht="15.75" customHeight="1">
      <c r="A291" s="83"/>
      <c r="B291" s="36"/>
      <c r="C291" s="36"/>
      <c r="D291" s="36"/>
      <c r="E291" s="36"/>
      <c r="F291" s="36"/>
      <c r="G291" s="36"/>
      <c r="H291" s="36"/>
      <c r="I291" s="36"/>
      <c r="J291" s="36"/>
      <c r="K291" s="2"/>
      <c r="L291" s="2"/>
      <c r="M291" s="2"/>
      <c r="N291" s="2"/>
      <c r="O291" s="2"/>
      <c r="P291" s="2"/>
      <c r="Q291" s="3"/>
      <c r="R291" s="3"/>
      <c r="S291" s="3"/>
      <c r="T291" s="3"/>
      <c r="U291" s="3"/>
      <c r="V291" s="3"/>
      <c r="W291" s="2"/>
      <c r="X291" s="2"/>
      <c r="Y291" s="2"/>
      <c r="Z291" s="2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ht="15.75" customHeight="1">
      <c r="A292" s="83"/>
      <c r="B292" s="36"/>
      <c r="C292" s="36"/>
      <c r="D292" s="36"/>
      <c r="E292" s="36"/>
      <c r="F292" s="36"/>
      <c r="G292" s="36"/>
      <c r="H292" s="36"/>
      <c r="I292" s="36"/>
      <c r="J292" s="36"/>
      <c r="K292" s="2"/>
      <c r="L292" s="2"/>
      <c r="M292" s="2"/>
      <c r="N292" s="2"/>
      <c r="O292" s="2"/>
      <c r="P292" s="2"/>
      <c r="Q292" s="3"/>
      <c r="R292" s="3"/>
      <c r="S292" s="3"/>
      <c r="T292" s="3"/>
      <c r="U292" s="3"/>
      <c r="V292" s="3"/>
      <c r="W292" s="2"/>
      <c r="X292" s="2"/>
      <c r="Y292" s="2"/>
      <c r="Z292" s="2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ht="15.75" customHeight="1">
      <c r="A293" s="83"/>
      <c r="B293" s="36"/>
      <c r="C293" s="36"/>
      <c r="D293" s="36"/>
      <c r="E293" s="36"/>
      <c r="F293" s="36"/>
      <c r="G293" s="36"/>
      <c r="H293" s="36"/>
      <c r="I293" s="36"/>
      <c r="J293" s="36"/>
      <c r="K293" s="2"/>
      <c r="L293" s="2"/>
      <c r="M293" s="2"/>
      <c r="N293" s="2"/>
      <c r="O293" s="2"/>
      <c r="P293" s="2"/>
      <c r="Q293" s="3"/>
      <c r="R293" s="3"/>
      <c r="S293" s="3"/>
      <c r="T293" s="3"/>
      <c r="U293" s="3"/>
      <c r="V293" s="3"/>
      <c r="W293" s="2"/>
      <c r="X293" s="2"/>
      <c r="Y293" s="2"/>
      <c r="Z293" s="2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ht="15.75" customHeight="1">
      <c r="A294" s="83"/>
      <c r="B294" s="36"/>
      <c r="C294" s="36"/>
      <c r="D294" s="36"/>
      <c r="E294" s="36"/>
      <c r="F294" s="36"/>
      <c r="G294" s="36"/>
      <c r="H294" s="36"/>
      <c r="I294" s="36"/>
      <c r="J294" s="36"/>
      <c r="K294" s="2"/>
      <c r="L294" s="2"/>
      <c r="M294" s="2"/>
      <c r="N294" s="2"/>
      <c r="O294" s="2"/>
      <c r="P294" s="2"/>
      <c r="Q294" s="3"/>
      <c r="R294" s="3"/>
      <c r="S294" s="3"/>
      <c r="T294" s="3"/>
      <c r="U294" s="3"/>
      <c r="V294" s="3"/>
      <c r="W294" s="2"/>
      <c r="X294" s="2"/>
      <c r="Y294" s="2"/>
      <c r="Z294" s="2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ht="15.75" customHeight="1">
      <c r="A295" s="83"/>
      <c r="B295" s="36"/>
      <c r="C295" s="36"/>
      <c r="D295" s="36"/>
      <c r="E295" s="36"/>
      <c r="F295" s="36"/>
      <c r="G295" s="36"/>
      <c r="H295" s="36"/>
      <c r="I295" s="36"/>
      <c r="J295" s="36"/>
      <c r="K295" s="2"/>
      <c r="L295" s="2"/>
      <c r="M295" s="2"/>
      <c r="N295" s="2"/>
      <c r="O295" s="2"/>
      <c r="P295" s="2"/>
      <c r="Q295" s="3"/>
      <c r="R295" s="3"/>
      <c r="S295" s="3"/>
      <c r="T295" s="3"/>
      <c r="U295" s="3"/>
      <c r="V295" s="3"/>
      <c r="W295" s="2"/>
      <c r="X295" s="2"/>
      <c r="Y295" s="2"/>
      <c r="Z295" s="2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ht="15.75" customHeight="1">
      <c r="A296" s="83"/>
      <c r="B296" s="36"/>
      <c r="C296" s="36"/>
      <c r="D296" s="36"/>
      <c r="E296" s="36"/>
      <c r="F296" s="36"/>
      <c r="G296" s="36"/>
      <c r="H296" s="36"/>
      <c r="I296" s="36"/>
      <c r="J296" s="36"/>
      <c r="K296" s="2"/>
      <c r="L296" s="2"/>
      <c r="M296" s="2"/>
      <c r="N296" s="2"/>
      <c r="O296" s="2"/>
      <c r="P296" s="2"/>
      <c r="Q296" s="3"/>
      <c r="R296" s="3"/>
      <c r="S296" s="3"/>
      <c r="T296" s="3"/>
      <c r="U296" s="3"/>
      <c r="V296" s="3"/>
      <c r="W296" s="2"/>
      <c r="X296" s="2"/>
      <c r="Y296" s="2"/>
      <c r="Z296" s="2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ht="15.75" customHeight="1">
      <c r="A297" s="83"/>
      <c r="B297" s="36"/>
      <c r="C297" s="36"/>
      <c r="D297" s="36"/>
      <c r="E297" s="36"/>
      <c r="F297" s="36"/>
      <c r="G297" s="36"/>
      <c r="H297" s="36"/>
      <c r="I297" s="36"/>
      <c r="J297" s="36"/>
      <c r="K297" s="2"/>
      <c r="L297" s="2"/>
      <c r="M297" s="2"/>
      <c r="N297" s="2"/>
      <c r="O297" s="2"/>
      <c r="P297" s="2"/>
      <c r="Q297" s="3"/>
      <c r="R297" s="3"/>
      <c r="S297" s="3"/>
      <c r="T297" s="3"/>
      <c r="U297" s="3"/>
      <c r="V297" s="3"/>
      <c r="W297" s="2"/>
      <c r="X297" s="2"/>
      <c r="Y297" s="2"/>
      <c r="Z297" s="2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ht="15.75" customHeight="1">
      <c r="A298" s="83"/>
      <c r="B298" s="36"/>
      <c r="C298" s="36"/>
      <c r="D298" s="36"/>
      <c r="E298" s="36"/>
      <c r="F298" s="36"/>
      <c r="G298" s="36"/>
      <c r="H298" s="36"/>
      <c r="I298" s="36"/>
      <c r="J298" s="36"/>
      <c r="K298" s="2"/>
      <c r="L298" s="2"/>
      <c r="M298" s="2"/>
      <c r="N298" s="2"/>
      <c r="O298" s="2"/>
      <c r="P298" s="2"/>
      <c r="Q298" s="3"/>
      <c r="R298" s="3"/>
      <c r="S298" s="3"/>
      <c r="T298" s="3"/>
      <c r="U298" s="3"/>
      <c r="V298" s="3"/>
      <c r="W298" s="2"/>
      <c r="X298" s="2"/>
      <c r="Y298" s="2"/>
      <c r="Z298" s="2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ht="15.75" customHeight="1">
      <c r="A299" s="83"/>
      <c r="B299" s="36"/>
      <c r="C299" s="36"/>
      <c r="D299" s="36"/>
      <c r="E299" s="36"/>
      <c r="F299" s="36"/>
      <c r="G299" s="36"/>
      <c r="H299" s="36"/>
      <c r="I299" s="36"/>
      <c r="J299" s="36"/>
      <c r="K299" s="2"/>
      <c r="L299" s="2"/>
      <c r="M299" s="2"/>
      <c r="N299" s="2"/>
      <c r="O299" s="2"/>
      <c r="P299" s="2"/>
      <c r="Q299" s="3"/>
      <c r="R299" s="3"/>
      <c r="S299" s="3"/>
      <c r="T299" s="3"/>
      <c r="U299" s="3"/>
      <c r="V299" s="3"/>
      <c r="W299" s="2"/>
      <c r="X299" s="2"/>
      <c r="Y299" s="2"/>
      <c r="Z299" s="2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ht="15.75" customHeight="1">
      <c r="A300" s="83"/>
      <c r="B300" s="36"/>
      <c r="C300" s="36"/>
      <c r="D300" s="36"/>
      <c r="E300" s="36"/>
      <c r="F300" s="36"/>
      <c r="G300" s="36"/>
      <c r="H300" s="36"/>
      <c r="I300" s="36"/>
      <c r="J300" s="36"/>
      <c r="K300" s="2"/>
      <c r="L300" s="2"/>
      <c r="M300" s="2"/>
      <c r="N300" s="2"/>
      <c r="O300" s="2"/>
      <c r="P300" s="2"/>
      <c r="Q300" s="3"/>
      <c r="R300" s="3"/>
      <c r="S300" s="3"/>
      <c r="T300" s="3"/>
      <c r="U300" s="3"/>
      <c r="V300" s="3"/>
      <c r="W300" s="2"/>
      <c r="X300" s="2"/>
      <c r="Y300" s="2"/>
      <c r="Z300" s="2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ht="15.75" customHeight="1">
      <c r="A301" s="83"/>
      <c r="B301" s="36"/>
      <c r="C301" s="36"/>
      <c r="D301" s="36"/>
      <c r="E301" s="36"/>
      <c r="F301" s="36"/>
      <c r="G301" s="36"/>
      <c r="H301" s="36"/>
      <c r="I301" s="36"/>
      <c r="J301" s="36"/>
      <c r="K301" s="2"/>
      <c r="L301" s="2"/>
      <c r="M301" s="2"/>
      <c r="N301" s="2"/>
      <c r="O301" s="2"/>
      <c r="P301" s="2"/>
      <c r="Q301" s="3"/>
      <c r="R301" s="3"/>
      <c r="S301" s="3"/>
      <c r="T301" s="3"/>
      <c r="U301" s="3"/>
      <c r="V301" s="3"/>
      <c r="W301" s="2"/>
      <c r="X301" s="2"/>
      <c r="Y301" s="2"/>
      <c r="Z301" s="2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ht="15.75" customHeight="1">
      <c r="A302" s="83"/>
      <c r="B302" s="36"/>
      <c r="C302" s="36"/>
      <c r="D302" s="36"/>
      <c r="E302" s="36"/>
      <c r="F302" s="36"/>
      <c r="G302" s="36"/>
      <c r="H302" s="36"/>
      <c r="I302" s="36"/>
      <c r="J302" s="36"/>
      <c r="K302" s="2"/>
      <c r="L302" s="2"/>
      <c r="M302" s="2"/>
      <c r="N302" s="2"/>
      <c r="O302" s="2"/>
      <c r="P302" s="2"/>
      <c r="Q302" s="3"/>
      <c r="R302" s="3"/>
      <c r="S302" s="3"/>
      <c r="T302" s="3"/>
      <c r="U302" s="3"/>
      <c r="V302" s="3"/>
      <c r="W302" s="2"/>
      <c r="X302" s="2"/>
      <c r="Y302" s="2"/>
      <c r="Z302" s="2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ht="15.75" customHeight="1">
      <c r="A303" s="83"/>
      <c r="B303" s="36"/>
      <c r="C303" s="36"/>
      <c r="D303" s="36"/>
      <c r="E303" s="36"/>
      <c r="F303" s="36"/>
      <c r="G303" s="36"/>
      <c r="H303" s="36"/>
      <c r="I303" s="36"/>
      <c r="J303" s="36"/>
      <c r="K303" s="2"/>
      <c r="L303" s="2"/>
      <c r="M303" s="2"/>
      <c r="N303" s="2"/>
      <c r="O303" s="2"/>
      <c r="P303" s="2"/>
      <c r="Q303" s="3"/>
      <c r="R303" s="3"/>
      <c r="S303" s="3"/>
      <c r="T303" s="3"/>
      <c r="U303" s="3"/>
      <c r="V303" s="3"/>
      <c r="W303" s="2"/>
      <c r="X303" s="2"/>
      <c r="Y303" s="2"/>
      <c r="Z303" s="2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ht="15.75" customHeight="1">
      <c r="A304" s="83"/>
      <c r="B304" s="36"/>
      <c r="C304" s="36"/>
      <c r="D304" s="36"/>
      <c r="E304" s="36"/>
      <c r="F304" s="36"/>
      <c r="G304" s="36"/>
      <c r="H304" s="36"/>
      <c r="I304" s="36"/>
      <c r="J304" s="36"/>
      <c r="K304" s="2"/>
      <c r="L304" s="2"/>
      <c r="M304" s="2"/>
      <c r="N304" s="2"/>
      <c r="O304" s="2"/>
      <c r="P304" s="2"/>
      <c r="Q304" s="3"/>
      <c r="R304" s="3"/>
      <c r="S304" s="3"/>
      <c r="T304" s="3"/>
      <c r="U304" s="3"/>
      <c r="V304" s="3"/>
      <c r="W304" s="2"/>
      <c r="X304" s="2"/>
      <c r="Y304" s="2"/>
      <c r="Z304" s="2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ht="15.75" customHeight="1">
      <c r="A305" s="83"/>
      <c r="B305" s="36"/>
      <c r="C305" s="36"/>
      <c r="D305" s="36"/>
      <c r="E305" s="36"/>
      <c r="F305" s="36"/>
      <c r="G305" s="36"/>
      <c r="H305" s="36"/>
      <c r="I305" s="36"/>
      <c r="J305" s="36"/>
      <c r="K305" s="2"/>
      <c r="L305" s="2"/>
      <c r="M305" s="2"/>
      <c r="N305" s="2"/>
      <c r="O305" s="2"/>
      <c r="P305" s="2"/>
      <c r="Q305" s="3"/>
      <c r="R305" s="3"/>
      <c r="S305" s="3"/>
      <c r="T305" s="3"/>
      <c r="U305" s="3"/>
      <c r="V305" s="3"/>
      <c r="W305" s="2"/>
      <c r="X305" s="2"/>
      <c r="Y305" s="2"/>
      <c r="Z305" s="2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ht="15.75" customHeight="1">
      <c r="A306" s="83"/>
      <c r="B306" s="36"/>
      <c r="C306" s="36"/>
      <c r="D306" s="36"/>
      <c r="E306" s="36"/>
      <c r="F306" s="36"/>
      <c r="G306" s="36"/>
      <c r="H306" s="36"/>
      <c r="I306" s="36"/>
      <c r="J306" s="36"/>
      <c r="K306" s="2"/>
      <c r="L306" s="2"/>
      <c r="M306" s="2"/>
      <c r="N306" s="2"/>
      <c r="O306" s="2"/>
      <c r="P306" s="2"/>
      <c r="Q306" s="3"/>
      <c r="R306" s="3"/>
      <c r="S306" s="3"/>
      <c r="T306" s="3"/>
      <c r="U306" s="3"/>
      <c r="V306" s="3"/>
      <c r="W306" s="2"/>
      <c r="X306" s="2"/>
      <c r="Y306" s="2"/>
      <c r="Z306" s="2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ht="15.75" customHeight="1">
      <c r="A307" s="83"/>
      <c r="B307" s="36"/>
      <c r="C307" s="36"/>
      <c r="D307" s="36"/>
      <c r="E307" s="36"/>
      <c r="F307" s="36"/>
      <c r="G307" s="36"/>
      <c r="H307" s="36"/>
      <c r="I307" s="36"/>
      <c r="J307" s="36"/>
      <c r="K307" s="2"/>
      <c r="L307" s="2"/>
      <c r="M307" s="2"/>
      <c r="N307" s="2"/>
      <c r="O307" s="2"/>
      <c r="P307" s="2"/>
      <c r="Q307" s="3"/>
      <c r="R307" s="3"/>
      <c r="S307" s="3"/>
      <c r="T307" s="3"/>
      <c r="U307" s="3"/>
      <c r="V307" s="3"/>
      <c r="W307" s="2"/>
      <c r="X307" s="2"/>
      <c r="Y307" s="2"/>
      <c r="Z307" s="2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ht="15.75" customHeight="1">
      <c r="A308" s="83"/>
      <c r="B308" s="36"/>
      <c r="C308" s="36"/>
      <c r="D308" s="36"/>
      <c r="E308" s="36"/>
      <c r="F308" s="36"/>
      <c r="G308" s="36"/>
      <c r="H308" s="36"/>
      <c r="I308" s="36"/>
      <c r="J308" s="36"/>
      <c r="K308" s="2"/>
      <c r="L308" s="2"/>
      <c r="M308" s="2"/>
      <c r="N308" s="2"/>
      <c r="O308" s="2"/>
      <c r="P308" s="2"/>
      <c r="Q308" s="3"/>
      <c r="R308" s="3"/>
      <c r="S308" s="3"/>
      <c r="T308" s="3"/>
      <c r="U308" s="3"/>
      <c r="V308" s="3"/>
      <c r="W308" s="2"/>
      <c r="X308" s="2"/>
      <c r="Y308" s="2"/>
      <c r="Z308" s="2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ht="15.75" customHeight="1">
      <c r="A309" s="83"/>
      <c r="B309" s="36"/>
      <c r="C309" s="36"/>
      <c r="D309" s="36"/>
      <c r="E309" s="36"/>
      <c r="F309" s="36"/>
      <c r="G309" s="36"/>
      <c r="H309" s="36"/>
      <c r="I309" s="36"/>
      <c r="J309" s="36"/>
      <c r="K309" s="2"/>
      <c r="L309" s="2"/>
      <c r="M309" s="2"/>
      <c r="N309" s="2"/>
      <c r="O309" s="2"/>
      <c r="P309" s="2"/>
      <c r="Q309" s="3"/>
      <c r="R309" s="3"/>
      <c r="S309" s="3"/>
      <c r="T309" s="3"/>
      <c r="U309" s="3"/>
      <c r="V309" s="3"/>
      <c r="W309" s="2"/>
      <c r="X309" s="2"/>
      <c r="Y309" s="2"/>
      <c r="Z309" s="2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ht="15.75" customHeight="1">
      <c r="A310" s="83"/>
      <c r="B310" s="36"/>
      <c r="C310" s="36"/>
      <c r="D310" s="36"/>
      <c r="E310" s="36"/>
      <c r="F310" s="36"/>
      <c r="G310" s="36"/>
      <c r="H310" s="36"/>
      <c r="I310" s="36"/>
      <c r="J310" s="36"/>
      <c r="K310" s="2"/>
      <c r="L310" s="2"/>
      <c r="M310" s="2"/>
      <c r="N310" s="2"/>
      <c r="O310" s="2"/>
      <c r="P310" s="2"/>
      <c r="Q310" s="3"/>
      <c r="R310" s="3"/>
      <c r="S310" s="3"/>
      <c r="T310" s="3"/>
      <c r="U310" s="3"/>
      <c r="V310" s="3"/>
      <c r="W310" s="2"/>
      <c r="X310" s="2"/>
      <c r="Y310" s="2"/>
      <c r="Z310" s="2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</row>
  </sheetData>
  <mergeCells count="56">
    <mergeCell ref="A85:A89"/>
    <mergeCell ref="A90:A94"/>
    <mergeCell ref="A95:A99"/>
    <mergeCell ref="A100:A104"/>
    <mergeCell ref="A105:A109"/>
    <mergeCell ref="A110:A114"/>
    <mergeCell ref="A115:A119"/>
    <mergeCell ref="A188:A191"/>
    <mergeCell ref="A192:A193"/>
    <mergeCell ref="A128:A132"/>
    <mergeCell ref="A133:A137"/>
    <mergeCell ref="A143:A147"/>
    <mergeCell ref="A148:A152"/>
    <mergeCell ref="A153:A157"/>
    <mergeCell ref="A158:A162"/>
    <mergeCell ref="A163:A167"/>
    <mergeCell ref="AA16:AC16"/>
    <mergeCell ref="AD16:AE23"/>
    <mergeCell ref="AA17:AC24"/>
    <mergeCell ref="A1:G1"/>
    <mergeCell ref="F2:H2"/>
    <mergeCell ref="X2:Y2"/>
    <mergeCell ref="A3:A8"/>
    <mergeCell ref="A9:A14"/>
    <mergeCell ref="A15:A20"/>
    <mergeCell ref="AA15:AC15"/>
    <mergeCell ref="A63:A68"/>
    <mergeCell ref="A73:G73"/>
    <mergeCell ref="F74:H74"/>
    <mergeCell ref="A75:A79"/>
    <mergeCell ref="A80:A84"/>
    <mergeCell ref="AA83:AC83"/>
    <mergeCell ref="AA84:AC84"/>
    <mergeCell ref="AA85:AC92"/>
    <mergeCell ref="AD85:AE92"/>
    <mergeCell ref="A21:A26"/>
    <mergeCell ref="A27:A32"/>
    <mergeCell ref="A33:A38"/>
    <mergeCell ref="A39:A44"/>
    <mergeCell ref="A45:A50"/>
    <mergeCell ref="A51:A56"/>
    <mergeCell ref="A57:A62"/>
    <mergeCell ref="A126:G126"/>
    <mergeCell ref="F127:H127"/>
    <mergeCell ref="AA135:AC135"/>
    <mergeCell ref="AA136:AC136"/>
    <mergeCell ref="AA137:AC144"/>
    <mergeCell ref="AD137:AE144"/>
    <mergeCell ref="A138:A142"/>
    <mergeCell ref="A168:A172"/>
    <mergeCell ref="A177:G177"/>
    <mergeCell ref="F178:H178"/>
    <mergeCell ref="AA182:AC189"/>
    <mergeCell ref="AD182:AE189"/>
    <mergeCell ref="A186:G186"/>
    <mergeCell ref="F187:H18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5.38"/>
    <col customWidth="1" min="5" max="5" width="18.75"/>
    <col customWidth="1" min="7" max="7" width="2.63"/>
    <col customWidth="1" min="9" max="9" width="18.75"/>
    <col customWidth="1" hidden="1" min="10" max="10" width="14.88"/>
    <col hidden="1" min="11" max="21" width="12.63"/>
    <col customWidth="1" hidden="1" min="22" max="22" width="12.88"/>
    <col customWidth="1" hidden="1" min="23" max="23" width="12.0"/>
    <col customWidth="1" hidden="1" min="24" max="24" width="14.0"/>
    <col hidden="1" min="25" max="25" width="12.63"/>
    <col customWidth="1" min="27" max="27" width="15.63"/>
    <col customWidth="1" min="28" max="28" width="18.75"/>
    <col hidden="1" min="31" max="31" width="12.63"/>
  </cols>
  <sheetData>
    <row r="1" ht="15.75" customHeight="1">
      <c r="A1" s="115" t="s">
        <v>195</v>
      </c>
      <c r="I1" s="116"/>
      <c r="AA1" s="3"/>
      <c r="AB1" s="116"/>
      <c r="AC1" s="3"/>
      <c r="AD1" s="3"/>
      <c r="AE1" s="3"/>
      <c r="AF1" s="3"/>
      <c r="AG1" s="3"/>
      <c r="AH1" s="3"/>
      <c r="AI1" s="3"/>
    </row>
    <row r="2" ht="15.75" customHeight="1">
      <c r="A2" s="57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/>
      <c r="S2" s="9" t="s">
        <v>16</v>
      </c>
      <c r="T2" s="9" t="s">
        <v>196</v>
      </c>
      <c r="U2" s="9" t="s">
        <v>197</v>
      </c>
      <c r="V2" s="9" t="s">
        <v>198</v>
      </c>
      <c r="W2" s="3"/>
      <c r="X2" s="103" t="s">
        <v>20</v>
      </c>
      <c r="Y2" s="8"/>
      <c r="Z2" s="3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196</v>
      </c>
      <c r="AH2" s="5" t="s">
        <v>197</v>
      </c>
      <c r="AI2" s="5" t="s">
        <v>198</v>
      </c>
    </row>
    <row r="3" ht="15.75" customHeight="1">
      <c r="A3" s="10">
        <v>1.0</v>
      </c>
      <c r="B3" s="11">
        <v>45946.0</v>
      </c>
      <c r="C3" s="12" t="s">
        <v>53</v>
      </c>
      <c r="D3" s="12" t="s">
        <v>22</v>
      </c>
      <c r="E3" s="14" t="s">
        <v>23</v>
      </c>
      <c r="F3" s="13">
        <v>1.0</v>
      </c>
      <c r="G3" s="30" t="s">
        <v>24</v>
      </c>
      <c r="H3" s="13">
        <v>2.0</v>
      </c>
      <c r="I3" s="14" t="s">
        <v>25</v>
      </c>
      <c r="J3" s="117"/>
      <c r="K3" s="118">
        <f t="shared" ref="K3:K68" si="1">IFS(F3=H3+2,3,F3=H3-2,0,F3=H3+1,2,F3=H3-1,1,F3="","")</f>
        <v>1</v>
      </c>
      <c r="L3" s="119">
        <f t="shared" ref="L3:L68" si="2">IFS(H3=F3+2,3,H3=F3-2,0,H3=F3+1,2,H3=F3-1,1,H3="","")</f>
        <v>2</v>
      </c>
      <c r="M3" s="117"/>
      <c r="N3" s="119">
        <v>1.0</v>
      </c>
      <c r="O3" s="120" t="s">
        <v>23</v>
      </c>
      <c r="P3" s="119">
        <f t="shared" ref="P3:P14" si="3">SUMIF(E$3:E$68,O3,K$3:K$68)+SUMIF(I$3:I$68,O3,L$3:L$68)</f>
        <v>7</v>
      </c>
      <c r="Q3" s="121">
        <f t="shared" ref="Q3:Q14" si="4">COUNTIFS(E$3:E$68,O3,K$3:K$68,2)+COUNTIFS(I$3:I$68,O3,L$3:L$68,2)+COUNTIFS(E$3:E$68,O3,K$3:K$68,3)+COUNTIFS(I$3:I$68,O3,L$3:L$68,3)</f>
        <v>2</v>
      </c>
      <c r="R3" s="121"/>
      <c r="S3" s="122">
        <f t="shared" ref="S3:S14" si="5">COUNTIFS(E$3:E$68,O3,K$3:K$68,1)+COUNTIFS(I$3:I$68,O3,L$3:L$68,1)+COUNTIFS(E$3:E$68,O3,K$3:K$68,0)+COUNTIFS(I$3:I$68,O3,L$3:L$68,0)</f>
        <v>1</v>
      </c>
      <c r="T3" s="119">
        <f t="shared" ref="T3:T14" si="6">SUMIF(E$3:E$68,O3,F$3:F$68)+SUMIF(I$3:I$68,O3,H$3:H$68)</f>
        <v>5</v>
      </c>
      <c r="U3" s="122">
        <f t="shared" ref="U3:U14" si="7">SUMIF(E$3:E$68,O3,H$3:H$68)+SUMIF(I$3:I$68,O3,F$3:F$68)</f>
        <v>2</v>
      </c>
      <c r="V3" s="119">
        <f t="shared" ref="V3:V14" si="8">T3-U3</f>
        <v>3</v>
      </c>
      <c r="X3" s="107" t="s">
        <v>26</v>
      </c>
      <c r="Y3" s="107" t="s">
        <v>13</v>
      </c>
      <c r="AA3" s="21" t="s">
        <v>29</v>
      </c>
      <c r="AB3" s="63" t="str">
        <f t="array" ref="AB3:AI14">SORT(O3:V14,2,FALSE,8,FALSE)</f>
        <v>EET</v>
      </c>
      <c r="AC3" s="22">
        <v>9.0</v>
      </c>
      <c r="AD3" s="22">
        <v>3.0</v>
      </c>
      <c r="AE3" s="22"/>
      <c r="AF3" s="23">
        <v>0.0</v>
      </c>
      <c r="AG3" s="22">
        <v>6.0</v>
      </c>
      <c r="AH3" s="23">
        <v>0.0</v>
      </c>
      <c r="AI3" s="22">
        <v>6.0</v>
      </c>
    </row>
    <row r="4" ht="15.75" customHeight="1">
      <c r="A4" s="24"/>
      <c r="B4" s="11">
        <v>45946.0</v>
      </c>
      <c r="C4" s="12" t="s">
        <v>53</v>
      </c>
      <c r="D4" s="12" t="s">
        <v>22</v>
      </c>
      <c r="E4" s="14" t="s">
        <v>31</v>
      </c>
      <c r="F4" s="13">
        <v>0.0</v>
      </c>
      <c r="G4" s="30" t="s">
        <v>24</v>
      </c>
      <c r="H4" s="13">
        <v>2.0</v>
      </c>
      <c r="I4" s="14" t="s">
        <v>113</v>
      </c>
      <c r="J4" s="117"/>
      <c r="K4" s="118">
        <f t="shared" si="1"/>
        <v>0</v>
      </c>
      <c r="L4" s="119">
        <f t="shared" si="2"/>
        <v>3</v>
      </c>
      <c r="M4" s="117"/>
      <c r="N4" s="119">
        <v>2.0</v>
      </c>
      <c r="O4" s="120" t="s">
        <v>162</v>
      </c>
      <c r="P4" s="119">
        <f t="shared" si="3"/>
        <v>3</v>
      </c>
      <c r="Q4" s="121">
        <f t="shared" si="4"/>
        <v>1</v>
      </c>
      <c r="R4" s="121"/>
      <c r="S4" s="122">
        <f t="shared" si="5"/>
        <v>2</v>
      </c>
      <c r="T4" s="119">
        <f t="shared" si="6"/>
        <v>2</v>
      </c>
      <c r="U4" s="122">
        <f t="shared" si="7"/>
        <v>4</v>
      </c>
      <c r="V4" s="119">
        <f t="shared" si="8"/>
        <v>-2</v>
      </c>
      <c r="X4" s="108" t="s">
        <v>59</v>
      </c>
      <c r="Y4" s="108">
        <v>2.0</v>
      </c>
      <c r="AA4" s="21" t="s">
        <v>34</v>
      </c>
      <c r="AB4" s="63" t="s">
        <v>57</v>
      </c>
      <c r="AC4" s="22">
        <v>8.0</v>
      </c>
      <c r="AD4" s="22">
        <v>3.0</v>
      </c>
      <c r="AE4" s="22"/>
      <c r="AF4" s="23">
        <v>0.0</v>
      </c>
      <c r="AG4" s="22">
        <v>6.0</v>
      </c>
      <c r="AH4" s="23">
        <v>1.0</v>
      </c>
      <c r="AI4" s="22">
        <v>5.0</v>
      </c>
    </row>
    <row r="5" ht="15.75" customHeight="1">
      <c r="A5" s="24"/>
      <c r="B5" s="11">
        <v>45946.0</v>
      </c>
      <c r="C5" s="12" t="s">
        <v>53</v>
      </c>
      <c r="D5" s="12" t="s">
        <v>22</v>
      </c>
      <c r="E5" s="123" t="s">
        <v>32</v>
      </c>
      <c r="F5" s="13">
        <v>0.0</v>
      </c>
      <c r="G5" s="30" t="s">
        <v>24</v>
      </c>
      <c r="H5" s="13">
        <v>2.0</v>
      </c>
      <c r="I5" s="14" t="s">
        <v>189</v>
      </c>
      <c r="J5" s="117"/>
      <c r="K5" s="118">
        <f t="shared" si="1"/>
        <v>0</v>
      </c>
      <c r="L5" s="119">
        <f t="shared" si="2"/>
        <v>3</v>
      </c>
      <c r="M5" s="117"/>
      <c r="N5" s="119">
        <v>3.0</v>
      </c>
      <c r="O5" s="120" t="s">
        <v>25</v>
      </c>
      <c r="P5" s="119">
        <f t="shared" si="3"/>
        <v>6</v>
      </c>
      <c r="Q5" s="121">
        <f t="shared" si="4"/>
        <v>2</v>
      </c>
      <c r="R5" s="121"/>
      <c r="S5" s="122">
        <f t="shared" si="5"/>
        <v>1</v>
      </c>
      <c r="T5" s="119">
        <f t="shared" si="6"/>
        <v>5</v>
      </c>
      <c r="U5" s="122">
        <f t="shared" si="7"/>
        <v>3</v>
      </c>
      <c r="V5" s="119">
        <f t="shared" si="8"/>
        <v>2</v>
      </c>
      <c r="X5" s="108" t="s">
        <v>31</v>
      </c>
      <c r="Y5" s="108">
        <v>1.0</v>
      </c>
      <c r="AA5" s="21" t="s">
        <v>38</v>
      </c>
      <c r="AB5" s="63" t="s">
        <v>23</v>
      </c>
      <c r="AC5" s="22">
        <v>7.0</v>
      </c>
      <c r="AD5" s="22">
        <v>2.0</v>
      </c>
      <c r="AE5" s="22"/>
      <c r="AF5" s="23">
        <v>1.0</v>
      </c>
      <c r="AG5" s="22">
        <v>5.0</v>
      </c>
      <c r="AH5" s="23">
        <v>2.0</v>
      </c>
      <c r="AI5" s="22">
        <v>3.0</v>
      </c>
    </row>
    <row r="6" ht="15.75" customHeight="1">
      <c r="A6" s="24"/>
      <c r="B6" s="11">
        <v>45957.0</v>
      </c>
      <c r="C6" s="12" t="s">
        <v>30</v>
      </c>
      <c r="D6" s="12" t="s">
        <v>22</v>
      </c>
      <c r="E6" s="14" t="s">
        <v>36</v>
      </c>
      <c r="F6" s="13">
        <v>2.0</v>
      </c>
      <c r="G6" s="30" t="s">
        <v>24</v>
      </c>
      <c r="H6" s="13">
        <v>0.0</v>
      </c>
      <c r="I6" s="14" t="s">
        <v>43</v>
      </c>
      <c r="J6" s="117"/>
      <c r="K6" s="118">
        <f t="shared" si="1"/>
        <v>3</v>
      </c>
      <c r="L6" s="119">
        <f t="shared" si="2"/>
        <v>0</v>
      </c>
      <c r="M6" s="117"/>
      <c r="N6" s="119">
        <v>4.0</v>
      </c>
      <c r="O6" s="120" t="s">
        <v>111</v>
      </c>
      <c r="P6" s="119">
        <f t="shared" si="3"/>
        <v>3</v>
      </c>
      <c r="Q6" s="121">
        <f t="shared" si="4"/>
        <v>1</v>
      </c>
      <c r="R6" s="121"/>
      <c r="S6" s="122">
        <f t="shared" si="5"/>
        <v>2</v>
      </c>
      <c r="T6" s="119">
        <f t="shared" si="6"/>
        <v>2</v>
      </c>
      <c r="U6" s="122">
        <f t="shared" si="7"/>
        <v>4</v>
      </c>
      <c r="V6" s="119">
        <f t="shared" si="8"/>
        <v>-2</v>
      </c>
      <c r="AA6" s="21" t="s">
        <v>41</v>
      </c>
      <c r="AB6" s="63" t="s">
        <v>25</v>
      </c>
      <c r="AC6" s="22">
        <v>6.0</v>
      </c>
      <c r="AD6" s="22">
        <v>2.0</v>
      </c>
      <c r="AE6" s="22"/>
      <c r="AF6" s="23">
        <v>1.0</v>
      </c>
      <c r="AG6" s="22">
        <v>5.0</v>
      </c>
      <c r="AH6" s="23">
        <v>3.0</v>
      </c>
      <c r="AI6" s="22">
        <v>2.0</v>
      </c>
    </row>
    <row r="7" ht="15.75" customHeight="1">
      <c r="A7" s="24"/>
      <c r="B7" s="11">
        <v>45946.0</v>
      </c>
      <c r="C7" s="12" t="s">
        <v>21</v>
      </c>
      <c r="D7" s="12" t="s">
        <v>22</v>
      </c>
      <c r="E7" s="14" t="s">
        <v>111</v>
      </c>
      <c r="F7" s="13">
        <v>2.0</v>
      </c>
      <c r="G7" s="30" t="s">
        <v>24</v>
      </c>
      <c r="H7" s="13">
        <v>0.0</v>
      </c>
      <c r="I7" s="14" t="s">
        <v>59</v>
      </c>
      <c r="J7" s="117"/>
      <c r="K7" s="118">
        <f t="shared" si="1"/>
        <v>3</v>
      </c>
      <c r="L7" s="119">
        <f t="shared" si="2"/>
        <v>0</v>
      </c>
      <c r="M7" s="117"/>
      <c r="N7" s="119">
        <v>5.0</v>
      </c>
      <c r="O7" s="120" t="s">
        <v>113</v>
      </c>
      <c r="P7" s="119">
        <f t="shared" si="3"/>
        <v>3</v>
      </c>
      <c r="Q7" s="121">
        <f t="shared" si="4"/>
        <v>1</v>
      </c>
      <c r="R7" s="121"/>
      <c r="S7" s="122">
        <f t="shared" si="5"/>
        <v>2</v>
      </c>
      <c r="T7" s="119">
        <f t="shared" si="6"/>
        <v>2</v>
      </c>
      <c r="U7" s="122">
        <f t="shared" si="7"/>
        <v>4</v>
      </c>
      <c r="V7" s="119">
        <f t="shared" si="8"/>
        <v>-2</v>
      </c>
      <c r="AA7" s="21" t="s">
        <v>44</v>
      </c>
      <c r="AB7" s="63" t="s">
        <v>43</v>
      </c>
      <c r="AC7" s="22">
        <v>5.0</v>
      </c>
      <c r="AD7" s="22">
        <v>2.0</v>
      </c>
      <c r="AE7" s="22"/>
      <c r="AF7" s="23">
        <v>1.0</v>
      </c>
      <c r="AG7" s="22">
        <v>4.0</v>
      </c>
      <c r="AH7" s="23">
        <v>3.0</v>
      </c>
      <c r="AI7" s="22">
        <v>1.0</v>
      </c>
    </row>
    <row r="8" ht="15.75" customHeight="1">
      <c r="A8" s="28"/>
      <c r="B8" s="11">
        <v>45958.0</v>
      </c>
      <c r="C8" s="12" t="s">
        <v>30</v>
      </c>
      <c r="D8" s="12" t="s">
        <v>22</v>
      </c>
      <c r="E8" s="14" t="s">
        <v>57</v>
      </c>
      <c r="F8" s="13">
        <v>2.0</v>
      </c>
      <c r="G8" s="30" t="s">
        <v>24</v>
      </c>
      <c r="H8" s="13">
        <v>0.0</v>
      </c>
      <c r="I8" s="14" t="s">
        <v>162</v>
      </c>
      <c r="J8" s="117"/>
      <c r="K8" s="118">
        <f t="shared" si="1"/>
        <v>3</v>
      </c>
      <c r="L8" s="119">
        <f t="shared" si="2"/>
        <v>0</v>
      </c>
      <c r="M8" s="117"/>
      <c r="N8" s="119">
        <v>6.0</v>
      </c>
      <c r="O8" s="120" t="s">
        <v>36</v>
      </c>
      <c r="P8" s="119">
        <f t="shared" si="3"/>
        <v>9</v>
      </c>
      <c r="Q8" s="121">
        <f t="shared" si="4"/>
        <v>3</v>
      </c>
      <c r="R8" s="121"/>
      <c r="S8" s="122">
        <f t="shared" si="5"/>
        <v>0</v>
      </c>
      <c r="T8" s="119">
        <f t="shared" si="6"/>
        <v>6</v>
      </c>
      <c r="U8" s="122">
        <f t="shared" si="7"/>
        <v>0</v>
      </c>
      <c r="V8" s="119">
        <f t="shared" si="8"/>
        <v>6</v>
      </c>
      <c r="AA8" s="21" t="s">
        <v>47</v>
      </c>
      <c r="AB8" s="63" t="s">
        <v>162</v>
      </c>
      <c r="AC8" s="22">
        <v>3.0</v>
      </c>
      <c r="AD8" s="22">
        <v>1.0</v>
      </c>
      <c r="AE8" s="22"/>
      <c r="AF8" s="23">
        <v>2.0</v>
      </c>
      <c r="AG8" s="22">
        <v>2.0</v>
      </c>
      <c r="AH8" s="23">
        <v>4.0</v>
      </c>
      <c r="AI8" s="22">
        <v>-2.0</v>
      </c>
    </row>
    <row r="9" ht="15.75" customHeight="1">
      <c r="A9" s="10">
        <v>2.0</v>
      </c>
      <c r="B9" s="11">
        <v>45957.0</v>
      </c>
      <c r="C9" s="12" t="s">
        <v>21</v>
      </c>
      <c r="D9" s="12" t="s">
        <v>22</v>
      </c>
      <c r="E9" s="14" t="s">
        <v>25</v>
      </c>
      <c r="F9" s="13">
        <v>1.0</v>
      </c>
      <c r="G9" s="30" t="s">
        <v>24</v>
      </c>
      <c r="H9" s="13">
        <v>2.0</v>
      </c>
      <c r="I9" s="14" t="s">
        <v>57</v>
      </c>
      <c r="J9" s="117"/>
      <c r="K9" s="118">
        <f t="shared" si="1"/>
        <v>1</v>
      </c>
      <c r="L9" s="119">
        <f t="shared" si="2"/>
        <v>2</v>
      </c>
      <c r="M9" s="117"/>
      <c r="N9" s="119">
        <v>7.0</v>
      </c>
      <c r="O9" s="120" t="s">
        <v>189</v>
      </c>
      <c r="P9" s="119">
        <f t="shared" si="3"/>
        <v>3</v>
      </c>
      <c r="Q9" s="121">
        <f t="shared" si="4"/>
        <v>1</v>
      </c>
      <c r="R9" s="121"/>
      <c r="S9" s="122">
        <f t="shared" si="5"/>
        <v>2</v>
      </c>
      <c r="T9" s="119">
        <f t="shared" si="6"/>
        <v>2</v>
      </c>
      <c r="U9" s="122">
        <f t="shared" si="7"/>
        <v>4</v>
      </c>
      <c r="V9" s="119">
        <f t="shared" si="8"/>
        <v>-2</v>
      </c>
      <c r="AA9" s="21">
        <v>7.0</v>
      </c>
      <c r="AB9" s="63" t="s">
        <v>111</v>
      </c>
      <c r="AC9" s="22">
        <v>3.0</v>
      </c>
      <c r="AD9" s="22">
        <v>1.0</v>
      </c>
      <c r="AE9" s="22"/>
      <c r="AF9" s="23">
        <v>2.0</v>
      </c>
      <c r="AG9" s="22">
        <v>2.0</v>
      </c>
      <c r="AH9" s="23">
        <v>4.0</v>
      </c>
      <c r="AI9" s="22">
        <v>-2.0</v>
      </c>
    </row>
    <row r="10" ht="15.75" customHeight="1">
      <c r="A10" s="24"/>
      <c r="B10" s="11">
        <v>45957.0</v>
      </c>
      <c r="C10" s="12" t="s">
        <v>21</v>
      </c>
      <c r="D10" s="12" t="s">
        <v>22</v>
      </c>
      <c r="E10" s="14" t="s">
        <v>113</v>
      </c>
      <c r="F10" s="13">
        <v>0.0</v>
      </c>
      <c r="G10" s="30" t="s">
        <v>24</v>
      </c>
      <c r="H10" s="13">
        <v>2.0</v>
      </c>
      <c r="I10" s="14" t="s">
        <v>23</v>
      </c>
      <c r="J10" s="117"/>
      <c r="K10" s="118">
        <f t="shared" si="1"/>
        <v>0</v>
      </c>
      <c r="L10" s="119">
        <f t="shared" si="2"/>
        <v>3</v>
      </c>
      <c r="M10" s="117"/>
      <c r="N10" s="119">
        <v>8.0</v>
      </c>
      <c r="O10" s="120" t="s">
        <v>32</v>
      </c>
      <c r="P10" s="119">
        <f t="shared" si="3"/>
        <v>3</v>
      </c>
      <c r="Q10" s="121">
        <f t="shared" si="4"/>
        <v>1</v>
      </c>
      <c r="R10" s="121"/>
      <c r="S10" s="122">
        <f t="shared" si="5"/>
        <v>2</v>
      </c>
      <c r="T10" s="119">
        <f t="shared" si="6"/>
        <v>3</v>
      </c>
      <c r="U10" s="122">
        <f t="shared" si="7"/>
        <v>5</v>
      </c>
      <c r="V10" s="119">
        <f t="shared" si="8"/>
        <v>-2</v>
      </c>
      <c r="AA10" s="21">
        <v>8.0</v>
      </c>
      <c r="AB10" s="63" t="s">
        <v>113</v>
      </c>
      <c r="AC10" s="22">
        <v>3.0</v>
      </c>
      <c r="AD10" s="22">
        <v>1.0</v>
      </c>
      <c r="AE10" s="22"/>
      <c r="AF10" s="23">
        <v>2.0</v>
      </c>
      <c r="AG10" s="22">
        <v>2.0</v>
      </c>
      <c r="AH10" s="23">
        <v>4.0</v>
      </c>
      <c r="AI10" s="22">
        <v>-2.0</v>
      </c>
    </row>
    <row r="11" ht="15.75" customHeight="1">
      <c r="A11" s="24"/>
      <c r="B11" s="11">
        <v>45957.0</v>
      </c>
      <c r="C11" s="64" t="s">
        <v>30</v>
      </c>
      <c r="D11" s="12" t="s">
        <v>22</v>
      </c>
      <c r="E11" s="14" t="s">
        <v>189</v>
      </c>
      <c r="F11" s="13">
        <v>0.0</v>
      </c>
      <c r="G11" s="30" t="s">
        <v>24</v>
      </c>
      <c r="H11" s="13">
        <v>2.0</v>
      </c>
      <c r="I11" s="14" t="s">
        <v>31</v>
      </c>
      <c r="J11" s="117"/>
      <c r="K11" s="118">
        <f t="shared" si="1"/>
        <v>0</v>
      </c>
      <c r="L11" s="119">
        <f t="shared" si="2"/>
        <v>3</v>
      </c>
      <c r="M11" s="117"/>
      <c r="N11" s="119">
        <v>9.0</v>
      </c>
      <c r="O11" s="120" t="s">
        <v>43</v>
      </c>
      <c r="P11" s="119">
        <f t="shared" si="3"/>
        <v>5</v>
      </c>
      <c r="Q11" s="121">
        <f t="shared" si="4"/>
        <v>2</v>
      </c>
      <c r="R11" s="121"/>
      <c r="S11" s="122">
        <f t="shared" si="5"/>
        <v>1</v>
      </c>
      <c r="T11" s="119">
        <f t="shared" si="6"/>
        <v>4</v>
      </c>
      <c r="U11" s="122">
        <f t="shared" si="7"/>
        <v>3</v>
      </c>
      <c r="V11" s="119">
        <f t="shared" si="8"/>
        <v>1</v>
      </c>
      <c r="AA11" s="95" t="s">
        <v>101</v>
      </c>
      <c r="AB11" s="63" t="s">
        <v>189</v>
      </c>
      <c r="AC11" s="22">
        <v>3.0</v>
      </c>
      <c r="AD11" s="22">
        <v>1.0</v>
      </c>
      <c r="AE11" s="22"/>
      <c r="AF11" s="23">
        <v>2.0</v>
      </c>
      <c r="AG11" s="22">
        <v>2.0</v>
      </c>
      <c r="AH11" s="23">
        <v>4.0</v>
      </c>
      <c r="AI11" s="22">
        <v>-2.0</v>
      </c>
    </row>
    <row r="12" ht="15.75" customHeight="1">
      <c r="A12" s="24"/>
      <c r="B12" s="11">
        <v>45946.0</v>
      </c>
      <c r="C12" s="64" t="s">
        <v>21</v>
      </c>
      <c r="D12" s="12" t="s">
        <v>22</v>
      </c>
      <c r="E12" s="14" t="s">
        <v>43</v>
      </c>
      <c r="F12" s="13">
        <v>2.0</v>
      </c>
      <c r="G12" s="30" t="s">
        <v>24</v>
      </c>
      <c r="H12" s="13">
        <v>1.0</v>
      </c>
      <c r="I12" s="14" t="s">
        <v>32</v>
      </c>
      <c r="J12" s="117"/>
      <c r="K12" s="118">
        <f t="shared" si="1"/>
        <v>2</v>
      </c>
      <c r="L12" s="119">
        <f t="shared" si="2"/>
        <v>1</v>
      </c>
      <c r="M12" s="117"/>
      <c r="N12" s="119">
        <v>10.0</v>
      </c>
      <c r="O12" s="124" t="s">
        <v>31</v>
      </c>
      <c r="P12" s="119">
        <f t="shared" si="3"/>
        <v>3</v>
      </c>
      <c r="Q12" s="121">
        <f t="shared" si="4"/>
        <v>1</v>
      </c>
      <c r="R12" s="121"/>
      <c r="S12" s="122">
        <f t="shared" si="5"/>
        <v>2</v>
      </c>
      <c r="T12" s="119">
        <f t="shared" si="6"/>
        <v>2</v>
      </c>
      <c r="U12" s="122">
        <f t="shared" si="7"/>
        <v>4</v>
      </c>
      <c r="V12" s="119">
        <f t="shared" si="8"/>
        <v>-2</v>
      </c>
      <c r="AA12" s="69">
        <v>10.0</v>
      </c>
      <c r="AB12" s="63" t="s">
        <v>32</v>
      </c>
      <c r="AC12" s="22">
        <v>3.0</v>
      </c>
      <c r="AD12" s="22">
        <v>1.0</v>
      </c>
      <c r="AE12" s="22"/>
      <c r="AF12" s="23">
        <v>2.0</v>
      </c>
      <c r="AG12" s="22">
        <v>3.0</v>
      </c>
      <c r="AH12" s="23">
        <v>5.0</v>
      </c>
      <c r="AI12" s="22">
        <v>-2.0</v>
      </c>
    </row>
    <row r="13" ht="15.75" customHeight="1">
      <c r="A13" s="24"/>
      <c r="B13" s="11">
        <v>45957.0</v>
      </c>
      <c r="C13" s="64" t="s">
        <v>30</v>
      </c>
      <c r="D13" s="12" t="s">
        <v>22</v>
      </c>
      <c r="E13" s="14" t="s">
        <v>59</v>
      </c>
      <c r="F13" s="13">
        <v>0.0</v>
      </c>
      <c r="G13" s="30" t="s">
        <v>24</v>
      </c>
      <c r="H13" s="13">
        <v>2.0</v>
      </c>
      <c r="I13" s="14" t="s">
        <v>36</v>
      </c>
      <c r="J13" s="117"/>
      <c r="K13" s="118">
        <f t="shared" si="1"/>
        <v>0</v>
      </c>
      <c r="L13" s="119">
        <f t="shared" si="2"/>
        <v>3</v>
      </c>
      <c r="M13" s="117"/>
      <c r="N13" s="119">
        <v>11.0</v>
      </c>
      <c r="O13" s="125" t="s">
        <v>59</v>
      </c>
      <c r="P13" s="119">
        <f t="shared" si="3"/>
        <v>1</v>
      </c>
      <c r="Q13" s="121">
        <f t="shared" si="4"/>
        <v>0</v>
      </c>
      <c r="R13" s="121"/>
      <c r="S13" s="122">
        <f t="shared" si="5"/>
        <v>3</v>
      </c>
      <c r="T13" s="119">
        <f t="shared" si="6"/>
        <v>1</v>
      </c>
      <c r="U13" s="122">
        <f t="shared" si="7"/>
        <v>6</v>
      </c>
      <c r="V13" s="119">
        <f t="shared" si="8"/>
        <v>-5</v>
      </c>
      <c r="AA13" s="69">
        <v>11.0</v>
      </c>
      <c r="AB13" s="63" t="s">
        <v>31</v>
      </c>
      <c r="AC13" s="22">
        <v>3.0</v>
      </c>
      <c r="AD13" s="22">
        <v>1.0</v>
      </c>
      <c r="AE13" s="22"/>
      <c r="AF13" s="23">
        <v>2.0</v>
      </c>
      <c r="AG13" s="22">
        <v>2.0</v>
      </c>
      <c r="AH13" s="23">
        <v>4.0</v>
      </c>
      <c r="AI13" s="22">
        <v>-2.0</v>
      </c>
    </row>
    <row r="14" ht="15.75" customHeight="1">
      <c r="A14" s="28"/>
      <c r="B14" s="11">
        <v>45957.0</v>
      </c>
      <c r="C14" s="64" t="s">
        <v>35</v>
      </c>
      <c r="D14" s="12" t="s">
        <v>22</v>
      </c>
      <c r="E14" s="14" t="s">
        <v>162</v>
      </c>
      <c r="F14" s="13">
        <v>2.0</v>
      </c>
      <c r="G14" s="30" t="s">
        <v>24</v>
      </c>
      <c r="H14" s="13">
        <v>0.0</v>
      </c>
      <c r="I14" s="14" t="s">
        <v>111</v>
      </c>
      <c r="J14" s="117"/>
      <c r="K14" s="118">
        <f t="shared" si="1"/>
        <v>3</v>
      </c>
      <c r="L14" s="119">
        <f t="shared" si="2"/>
        <v>0</v>
      </c>
      <c r="M14" s="117"/>
      <c r="N14" s="126">
        <v>12.0</v>
      </c>
      <c r="O14" s="125" t="s">
        <v>57</v>
      </c>
      <c r="P14" s="119">
        <f t="shared" si="3"/>
        <v>8</v>
      </c>
      <c r="Q14" s="121">
        <f t="shared" si="4"/>
        <v>3</v>
      </c>
      <c r="S14" s="122">
        <f t="shared" si="5"/>
        <v>0</v>
      </c>
      <c r="T14" s="119">
        <f t="shared" si="6"/>
        <v>6</v>
      </c>
      <c r="U14" s="122">
        <f t="shared" si="7"/>
        <v>1</v>
      </c>
      <c r="V14" s="119">
        <f t="shared" si="8"/>
        <v>5</v>
      </c>
      <c r="AA14" s="69">
        <v>12.0</v>
      </c>
      <c r="AB14" s="27" t="s">
        <v>59</v>
      </c>
      <c r="AC14" s="22">
        <v>1.0</v>
      </c>
      <c r="AD14" s="27">
        <v>0.0</v>
      </c>
      <c r="AE14" s="27"/>
      <c r="AF14" s="27">
        <v>3.0</v>
      </c>
      <c r="AG14" s="27">
        <v>1.0</v>
      </c>
      <c r="AH14" s="27">
        <v>6.0</v>
      </c>
      <c r="AI14" s="27">
        <v>-5.0</v>
      </c>
    </row>
    <row r="15" ht="15.75" customHeight="1">
      <c r="A15" s="10">
        <v>3.0</v>
      </c>
      <c r="B15" s="11">
        <v>45957.0</v>
      </c>
      <c r="C15" s="64" t="s">
        <v>35</v>
      </c>
      <c r="D15" s="12" t="s">
        <v>22</v>
      </c>
      <c r="E15" s="14" t="s">
        <v>25</v>
      </c>
      <c r="F15" s="13">
        <v>2.0</v>
      </c>
      <c r="G15" s="30" t="s">
        <v>24</v>
      </c>
      <c r="H15" s="13">
        <v>0.0</v>
      </c>
      <c r="I15" s="14" t="s">
        <v>113</v>
      </c>
      <c r="J15" s="117"/>
      <c r="K15" s="118">
        <f t="shared" si="1"/>
        <v>3</v>
      </c>
      <c r="L15" s="119">
        <f t="shared" si="2"/>
        <v>0</v>
      </c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AA15" s="34" t="s">
        <v>199</v>
      </c>
      <c r="AD15" s="36"/>
      <c r="AF15" s="3"/>
      <c r="AG15" s="3"/>
      <c r="AH15" s="3"/>
      <c r="AI15" s="3"/>
    </row>
    <row r="16" ht="15.75" customHeight="1">
      <c r="A16" s="24"/>
      <c r="B16" s="11">
        <v>45957.0</v>
      </c>
      <c r="C16" s="64" t="s">
        <v>35</v>
      </c>
      <c r="D16" s="12" t="s">
        <v>22</v>
      </c>
      <c r="E16" s="14" t="s">
        <v>23</v>
      </c>
      <c r="F16" s="13">
        <v>2.0</v>
      </c>
      <c r="G16" s="30" t="s">
        <v>24</v>
      </c>
      <c r="H16" s="13">
        <v>0.0</v>
      </c>
      <c r="I16" s="14" t="s">
        <v>189</v>
      </c>
      <c r="J16" s="117"/>
      <c r="K16" s="118">
        <f t="shared" si="1"/>
        <v>3</v>
      </c>
      <c r="L16" s="119">
        <f t="shared" si="2"/>
        <v>0</v>
      </c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AA16" s="73" t="s">
        <v>106</v>
      </c>
      <c r="AF16" s="3"/>
      <c r="AG16" s="3"/>
      <c r="AH16" s="3"/>
      <c r="AI16" s="3"/>
    </row>
    <row r="17" ht="15.75" customHeight="1">
      <c r="A17" s="24"/>
      <c r="B17" s="11">
        <v>45967.0</v>
      </c>
      <c r="C17" s="12" t="s">
        <v>21</v>
      </c>
      <c r="D17" s="12" t="s">
        <v>22</v>
      </c>
      <c r="E17" s="14" t="s">
        <v>31</v>
      </c>
      <c r="F17" s="13">
        <v>0.0</v>
      </c>
      <c r="G17" s="30" t="s">
        <v>24</v>
      </c>
      <c r="H17" s="13">
        <v>2.0</v>
      </c>
      <c r="I17" s="14" t="s">
        <v>43</v>
      </c>
      <c r="J17" s="117"/>
      <c r="K17" s="118">
        <f t="shared" si="1"/>
        <v>0</v>
      </c>
      <c r="L17" s="119">
        <f t="shared" si="2"/>
        <v>3</v>
      </c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AA17" s="127"/>
      <c r="AF17" s="3"/>
      <c r="AG17" s="3"/>
      <c r="AH17" s="3"/>
      <c r="AI17" s="3"/>
    </row>
    <row r="18" ht="15.75" customHeight="1">
      <c r="A18" s="24"/>
      <c r="B18" s="11">
        <v>45966.0</v>
      </c>
      <c r="C18" s="12" t="s">
        <v>200</v>
      </c>
      <c r="D18" s="12" t="s">
        <v>22</v>
      </c>
      <c r="E18" s="14" t="s">
        <v>32</v>
      </c>
      <c r="F18" s="13">
        <v>2.0</v>
      </c>
      <c r="G18" s="30" t="s">
        <v>24</v>
      </c>
      <c r="H18" s="13">
        <v>1.0</v>
      </c>
      <c r="I18" s="14" t="s">
        <v>59</v>
      </c>
      <c r="J18" s="128"/>
      <c r="K18" s="118">
        <f t="shared" si="1"/>
        <v>2</v>
      </c>
      <c r="L18" s="119">
        <f t="shared" si="2"/>
        <v>1</v>
      </c>
      <c r="M18" s="117"/>
      <c r="N18" s="117"/>
      <c r="O18" s="117"/>
      <c r="P18" s="117"/>
      <c r="R18" s="117"/>
      <c r="S18" s="117"/>
      <c r="T18" s="117"/>
      <c r="U18" s="117"/>
      <c r="V18" s="117"/>
      <c r="AF18" s="3"/>
      <c r="AG18" s="3"/>
      <c r="AH18" s="3"/>
      <c r="AI18" s="3"/>
    </row>
    <row r="19" ht="15.75" customHeight="1">
      <c r="A19" s="24"/>
      <c r="B19" s="11">
        <v>45966.0</v>
      </c>
      <c r="C19" s="12" t="s">
        <v>141</v>
      </c>
      <c r="D19" s="12" t="s">
        <v>22</v>
      </c>
      <c r="E19" s="14" t="s">
        <v>36</v>
      </c>
      <c r="F19" s="13">
        <v>2.0</v>
      </c>
      <c r="G19" s="30" t="s">
        <v>24</v>
      </c>
      <c r="H19" s="13">
        <v>0.0</v>
      </c>
      <c r="I19" s="14" t="s">
        <v>162</v>
      </c>
      <c r="J19" s="117"/>
      <c r="K19" s="118">
        <f t="shared" si="1"/>
        <v>3</v>
      </c>
      <c r="L19" s="119">
        <f t="shared" si="2"/>
        <v>0</v>
      </c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AF19" s="3"/>
      <c r="AG19" s="3"/>
      <c r="AH19" s="3"/>
      <c r="AI19" s="3"/>
    </row>
    <row r="20" ht="15.75" customHeight="1">
      <c r="A20" s="28"/>
      <c r="B20" s="11">
        <v>45966.0</v>
      </c>
      <c r="C20" s="12" t="s">
        <v>142</v>
      </c>
      <c r="D20" s="12" t="s">
        <v>22</v>
      </c>
      <c r="E20" s="14" t="s">
        <v>57</v>
      </c>
      <c r="F20" s="13">
        <v>2.0</v>
      </c>
      <c r="G20" s="30" t="s">
        <v>24</v>
      </c>
      <c r="H20" s="13">
        <v>0.0</v>
      </c>
      <c r="I20" s="14" t="s">
        <v>111</v>
      </c>
      <c r="J20" s="117"/>
      <c r="K20" s="118">
        <f t="shared" si="1"/>
        <v>3</v>
      </c>
      <c r="L20" s="119">
        <f t="shared" si="2"/>
        <v>0</v>
      </c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AF20" s="3"/>
      <c r="AG20" s="3"/>
      <c r="AH20" s="3"/>
      <c r="AI20" s="3"/>
    </row>
    <row r="21" ht="15.75" customHeight="1">
      <c r="A21" s="10">
        <v>4.0</v>
      </c>
      <c r="B21" s="129"/>
      <c r="C21" s="130"/>
      <c r="D21" s="130"/>
      <c r="E21" s="14" t="s">
        <v>113</v>
      </c>
      <c r="F21" s="30"/>
      <c r="G21" s="30" t="s">
        <v>24</v>
      </c>
      <c r="H21" s="30"/>
      <c r="I21" s="14" t="s">
        <v>57</v>
      </c>
      <c r="J21" s="117"/>
      <c r="K21" s="118" t="str">
        <f t="shared" si="1"/>
        <v/>
      </c>
      <c r="L21" s="119" t="str">
        <f t="shared" si="2"/>
        <v/>
      </c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AF21" s="3"/>
      <c r="AG21" s="3"/>
      <c r="AH21" s="3"/>
      <c r="AI21" s="3"/>
    </row>
    <row r="22" ht="15.75" customHeight="1">
      <c r="A22" s="24"/>
      <c r="B22" s="131"/>
      <c r="C22" s="130"/>
      <c r="D22" s="130"/>
      <c r="E22" s="14" t="s">
        <v>189</v>
      </c>
      <c r="F22" s="30"/>
      <c r="G22" s="30" t="s">
        <v>24</v>
      </c>
      <c r="H22" s="30"/>
      <c r="I22" s="14" t="s">
        <v>25</v>
      </c>
      <c r="J22" s="117"/>
      <c r="K22" s="118" t="str">
        <f t="shared" si="1"/>
        <v/>
      </c>
      <c r="L22" s="119" t="str">
        <f t="shared" si="2"/>
        <v/>
      </c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AF22" s="3"/>
      <c r="AG22" s="3"/>
      <c r="AH22" s="3"/>
      <c r="AI22" s="3"/>
    </row>
    <row r="23" ht="15.75" customHeight="1">
      <c r="A23" s="24"/>
      <c r="B23" s="131"/>
      <c r="C23" s="130"/>
      <c r="D23" s="130"/>
      <c r="E23" s="14" t="s">
        <v>43</v>
      </c>
      <c r="F23" s="30"/>
      <c r="G23" s="30" t="s">
        <v>24</v>
      </c>
      <c r="H23" s="30"/>
      <c r="I23" s="14" t="s">
        <v>23</v>
      </c>
      <c r="J23" s="117"/>
      <c r="K23" s="118" t="str">
        <f t="shared" si="1"/>
        <v/>
      </c>
      <c r="L23" s="119" t="str">
        <f t="shared" si="2"/>
        <v/>
      </c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AD23" s="3"/>
      <c r="AE23" s="3"/>
      <c r="AF23" s="3"/>
      <c r="AG23" s="3"/>
      <c r="AH23" s="3"/>
      <c r="AI23" s="3"/>
    </row>
    <row r="24" ht="15.75" customHeight="1">
      <c r="A24" s="24"/>
      <c r="B24" s="131"/>
      <c r="C24" s="130"/>
      <c r="D24" s="130"/>
      <c r="E24" s="14" t="s">
        <v>59</v>
      </c>
      <c r="F24" s="30"/>
      <c r="G24" s="30" t="s">
        <v>24</v>
      </c>
      <c r="H24" s="30"/>
      <c r="I24" s="14" t="s">
        <v>31</v>
      </c>
      <c r="J24" s="117"/>
      <c r="K24" s="118" t="str">
        <f t="shared" si="1"/>
        <v/>
      </c>
      <c r="L24" s="119" t="str">
        <f t="shared" si="2"/>
        <v/>
      </c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AD24" s="3"/>
      <c r="AE24" s="3"/>
      <c r="AF24" s="3"/>
      <c r="AG24" s="3"/>
      <c r="AH24" s="3"/>
      <c r="AI24" s="3"/>
    </row>
    <row r="25" ht="15.75" customHeight="1">
      <c r="A25" s="24"/>
      <c r="B25" s="131"/>
      <c r="C25" s="130"/>
      <c r="D25" s="130"/>
      <c r="E25" s="14" t="s">
        <v>162</v>
      </c>
      <c r="F25" s="30"/>
      <c r="G25" s="30" t="s">
        <v>24</v>
      </c>
      <c r="H25" s="30"/>
      <c r="I25" s="14" t="s">
        <v>32</v>
      </c>
      <c r="J25" s="117"/>
      <c r="K25" s="118" t="str">
        <f t="shared" si="1"/>
        <v/>
      </c>
      <c r="L25" s="119" t="str">
        <f t="shared" si="2"/>
        <v/>
      </c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AA25" s="3"/>
      <c r="AB25" s="116"/>
      <c r="AC25" s="3"/>
      <c r="AD25" s="3"/>
      <c r="AE25" s="3"/>
      <c r="AF25" s="3"/>
      <c r="AG25" s="3"/>
      <c r="AH25" s="3"/>
      <c r="AI25" s="3"/>
    </row>
    <row r="26" ht="15.75" customHeight="1">
      <c r="A26" s="28"/>
      <c r="B26" s="131"/>
      <c r="C26" s="130"/>
      <c r="D26" s="130"/>
      <c r="E26" s="14" t="s">
        <v>111</v>
      </c>
      <c r="F26" s="30"/>
      <c r="G26" s="30" t="s">
        <v>24</v>
      </c>
      <c r="H26" s="30"/>
      <c r="I26" s="14" t="s">
        <v>36</v>
      </c>
      <c r="J26" s="117"/>
      <c r="K26" s="118" t="str">
        <f t="shared" si="1"/>
        <v/>
      </c>
      <c r="L26" s="119" t="str">
        <f t="shared" si="2"/>
        <v/>
      </c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AA26" s="3"/>
      <c r="AB26" s="116"/>
      <c r="AC26" s="3"/>
      <c r="AD26" s="3"/>
      <c r="AE26" s="3"/>
      <c r="AF26" s="3"/>
      <c r="AG26" s="3"/>
      <c r="AH26" s="3"/>
      <c r="AI26" s="3"/>
    </row>
    <row r="27" ht="15.75" customHeight="1">
      <c r="A27" s="10">
        <v>5.0</v>
      </c>
      <c r="B27" s="131"/>
      <c r="C27" s="130"/>
      <c r="D27" s="130"/>
      <c r="E27" s="14" t="s">
        <v>113</v>
      </c>
      <c r="F27" s="30"/>
      <c r="G27" s="30" t="s">
        <v>24</v>
      </c>
      <c r="H27" s="30"/>
      <c r="I27" s="14" t="s">
        <v>189</v>
      </c>
      <c r="J27" s="117"/>
      <c r="K27" s="118" t="str">
        <f t="shared" si="1"/>
        <v/>
      </c>
      <c r="L27" s="119" t="str">
        <f t="shared" si="2"/>
        <v/>
      </c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AA27" s="3"/>
      <c r="AB27" s="116"/>
      <c r="AC27" s="3"/>
      <c r="AD27" s="3"/>
      <c r="AE27" s="3"/>
      <c r="AF27" s="3"/>
      <c r="AG27" s="3"/>
      <c r="AH27" s="3"/>
      <c r="AI27" s="3"/>
    </row>
    <row r="28" ht="15.75" customHeight="1">
      <c r="A28" s="24"/>
      <c r="B28" s="131"/>
      <c r="C28" s="130"/>
      <c r="D28" s="130"/>
      <c r="E28" s="14" t="s">
        <v>25</v>
      </c>
      <c r="F28" s="30"/>
      <c r="G28" s="30" t="s">
        <v>24</v>
      </c>
      <c r="H28" s="30"/>
      <c r="I28" s="14" t="s">
        <v>43</v>
      </c>
      <c r="J28" s="117"/>
      <c r="K28" s="118" t="str">
        <f t="shared" si="1"/>
        <v/>
      </c>
      <c r="L28" s="119" t="str">
        <f t="shared" si="2"/>
        <v/>
      </c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AA28" s="3"/>
      <c r="AB28" s="116"/>
      <c r="AC28" s="3"/>
      <c r="AD28" s="3"/>
      <c r="AE28" s="3"/>
      <c r="AF28" s="3"/>
      <c r="AG28" s="3"/>
      <c r="AH28" s="3"/>
      <c r="AI28" s="3"/>
    </row>
    <row r="29" ht="15.75" customHeight="1">
      <c r="A29" s="24"/>
      <c r="B29" s="131"/>
      <c r="C29" s="130"/>
      <c r="D29" s="130"/>
      <c r="E29" s="14" t="s">
        <v>23</v>
      </c>
      <c r="F29" s="30"/>
      <c r="G29" s="30" t="s">
        <v>24</v>
      </c>
      <c r="H29" s="30"/>
      <c r="I29" s="14" t="s">
        <v>59</v>
      </c>
      <c r="J29" s="117"/>
      <c r="K29" s="118" t="str">
        <f t="shared" si="1"/>
        <v/>
      </c>
      <c r="L29" s="119" t="str">
        <f t="shared" si="2"/>
        <v/>
      </c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AA29" s="3"/>
      <c r="AB29" s="116"/>
      <c r="AC29" s="3"/>
      <c r="AD29" s="3"/>
      <c r="AE29" s="3"/>
      <c r="AF29" s="3"/>
      <c r="AG29" s="3"/>
      <c r="AH29" s="3"/>
      <c r="AI29" s="3"/>
    </row>
    <row r="30" ht="15.75" customHeight="1">
      <c r="A30" s="24"/>
      <c r="B30" s="131"/>
      <c r="C30" s="130"/>
      <c r="D30" s="130"/>
      <c r="E30" s="14" t="s">
        <v>31</v>
      </c>
      <c r="F30" s="30"/>
      <c r="G30" s="30" t="s">
        <v>24</v>
      </c>
      <c r="H30" s="30"/>
      <c r="I30" s="14" t="s">
        <v>162</v>
      </c>
      <c r="J30" s="117"/>
      <c r="K30" s="118" t="str">
        <f t="shared" si="1"/>
        <v/>
      </c>
      <c r="L30" s="119" t="str">
        <f t="shared" si="2"/>
        <v/>
      </c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AA30" s="3"/>
      <c r="AB30" s="116"/>
      <c r="AC30" s="3"/>
      <c r="AD30" s="3"/>
      <c r="AE30" s="3"/>
      <c r="AF30" s="3"/>
      <c r="AG30" s="3"/>
      <c r="AH30" s="3"/>
      <c r="AI30" s="3"/>
    </row>
    <row r="31" ht="15.75" customHeight="1">
      <c r="A31" s="24"/>
      <c r="B31" s="131"/>
      <c r="C31" s="130"/>
      <c r="D31" s="130"/>
      <c r="E31" s="14" t="s">
        <v>32</v>
      </c>
      <c r="F31" s="30"/>
      <c r="G31" s="30" t="s">
        <v>24</v>
      </c>
      <c r="H31" s="30"/>
      <c r="I31" s="14" t="s">
        <v>111</v>
      </c>
      <c r="J31" s="117"/>
      <c r="K31" s="118" t="str">
        <f t="shared" si="1"/>
        <v/>
      </c>
      <c r="L31" s="119" t="str">
        <f t="shared" si="2"/>
        <v/>
      </c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AA31" s="3"/>
      <c r="AB31" s="116"/>
      <c r="AC31" s="3"/>
      <c r="AD31" s="3"/>
      <c r="AE31" s="3"/>
      <c r="AF31" s="3"/>
      <c r="AG31" s="3"/>
      <c r="AH31" s="3"/>
      <c r="AI31" s="3"/>
    </row>
    <row r="32" ht="15.75" customHeight="1">
      <c r="A32" s="28"/>
      <c r="B32" s="131"/>
      <c r="C32" s="130"/>
      <c r="D32" s="130"/>
      <c r="E32" s="14" t="s">
        <v>57</v>
      </c>
      <c r="F32" s="30"/>
      <c r="G32" s="30" t="s">
        <v>24</v>
      </c>
      <c r="H32" s="30"/>
      <c r="I32" s="14" t="s">
        <v>36</v>
      </c>
      <c r="J32" s="117"/>
      <c r="K32" s="118" t="str">
        <f t="shared" si="1"/>
        <v/>
      </c>
      <c r="L32" s="119" t="str">
        <f t="shared" si="2"/>
        <v/>
      </c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AA32" s="3"/>
      <c r="AB32" s="116"/>
      <c r="AC32" s="3"/>
      <c r="AD32" s="3"/>
      <c r="AE32" s="3"/>
      <c r="AF32" s="3"/>
      <c r="AG32" s="3"/>
      <c r="AH32" s="3"/>
      <c r="AI32" s="3"/>
    </row>
    <row r="33" ht="15.75" customHeight="1">
      <c r="A33" s="10">
        <v>6.0</v>
      </c>
      <c r="B33" s="131"/>
      <c r="C33" s="132"/>
      <c r="D33" s="130"/>
      <c r="E33" s="14" t="s">
        <v>189</v>
      </c>
      <c r="F33" s="30"/>
      <c r="G33" s="30" t="s">
        <v>24</v>
      </c>
      <c r="H33" s="30"/>
      <c r="I33" s="14" t="s">
        <v>57</v>
      </c>
      <c r="J33" s="117"/>
      <c r="K33" s="118" t="str">
        <f t="shared" si="1"/>
        <v/>
      </c>
      <c r="L33" s="119" t="str">
        <f t="shared" si="2"/>
        <v/>
      </c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AA33" s="3"/>
      <c r="AB33" s="116"/>
      <c r="AC33" s="3"/>
      <c r="AD33" s="3"/>
      <c r="AE33" s="3"/>
      <c r="AF33" s="3"/>
      <c r="AG33" s="3"/>
      <c r="AH33" s="3"/>
      <c r="AI33" s="3"/>
    </row>
    <row r="34" ht="15.75" customHeight="1">
      <c r="A34" s="24"/>
      <c r="B34" s="131"/>
      <c r="C34" s="132"/>
      <c r="D34" s="130"/>
      <c r="E34" s="14" t="s">
        <v>43</v>
      </c>
      <c r="F34" s="30"/>
      <c r="G34" s="30" t="s">
        <v>24</v>
      </c>
      <c r="H34" s="30"/>
      <c r="I34" s="14" t="s">
        <v>113</v>
      </c>
      <c r="J34" s="117"/>
      <c r="K34" s="118" t="str">
        <f t="shared" si="1"/>
        <v/>
      </c>
      <c r="L34" s="119" t="str">
        <f t="shared" si="2"/>
        <v/>
      </c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AA34" s="3"/>
      <c r="AB34" s="116"/>
      <c r="AC34" s="3"/>
      <c r="AD34" s="3"/>
      <c r="AE34" s="3"/>
      <c r="AF34" s="3"/>
      <c r="AG34" s="3"/>
      <c r="AH34" s="3"/>
      <c r="AI34" s="3"/>
    </row>
    <row r="35" ht="15.75" customHeight="1">
      <c r="A35" s="24"/>
      <c r="B35" s="131"/>
      <c r="C35" s="132"/>
      <c r="D35" s="130"/>
      <c r="E35" s="14" t="s">
        <v>59</v>
      </c>
      <c r="F35" s="30"/>
      <c r="G35" s="30" t="s">
        <v>24</v>
      </c>
      <c r="H35" s="30"/>
      <c r="I35" s="14" t="s">
        <v>25</v>
      </c>
      <c r="J35" s="117"/>
      <c r="K35" s="118" t="str">
        <f t="shared" si="1"/>
        <v/>
      </c>
      <c r="L35" s="119" t="str">
        <f t="shared" si="2"/>
        <v/>
      </c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AA35" s="3"/>
      <c r="AB35" s="116"/>
      <c r="AC35" s="3"/>
      <c r="AD35" s="3"/>
      <c r="AE35" s="3"/>
      <c r="AF35" s="3"/>
      <c r="AG35" s="3"/>
      <c r="AH35" s="3"/>
      <c r="AI35" s="3"/>
    </row>
    <row r="36" ht="15.75" customHeight="1">
      <c r="A36" s="24"/>
      <c r="B36" s="131"/>
      <c r="C36" s="132"/>
      <c r="D36" s="130"/>
      <c r="E36" s="14" t="s">
        <v>162</v>
      </c>
      <c r="F36" s="30"/>
      <c r="G36" s="30" t="s">
        <v>24</v>
      </c>
      <c r="H36" s="30"/>
      <c r="I36" s="14" t="s">
        <v>23</v>
      </c>
      <c r="J36" s="117"/>
      <c r="K36" s="118" t="str">
        <f t="shared" si="1"/>
        <v/>
      </c>
      <c r="L36" s="119" t="str">
        <f t="shared" si="2"/>
        <v/>
      </c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AA36" s="3"/>
      <c r="AB36" s="116"/>
      <c r="AC36" s="3"/>
      <c r="AD36" s="3"/>
      <c r="AE36" s="3"/>
      <c r="AF36" s="3"/>
      <c r="AG36" s="3"/>
      <c r="AH36" s="3"/>
      <c r="AI36" s="3"/>
    </row>
    <row r="37" ht="15.75" customHeight="1">
      <c r="A37" s="24"/>
      <c r="B37" s="131"/>
      <c r="C37" s="132"/>
      <c r="D37" s="130"/>
      <c r="E37" s="14" t="s">
        <v>111</v>
      </c>
      <c r="F37" s="30"/>
      <c r="G37" s="30" t="s">
        <v>24</v>
      </c>
      <c r="H37" s="30"/>
      <c r="I37" s="14" t="s">
        <v>31</v>
      </c>
      <c r="J37" s="117"/>
      <c r="K37" s="118" t="str">
        <f t="shared" si="1"/>
        <v/>
      </c>
      <c r="L37" s="119" t="str">
        <f t="shared" si="2"/>
        <v/>
      </c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AA37" s="3"/>
      <c r="AB37" s="116"/>
      <c r="AC37" s="3"/>
      <c r="AD37" s="3"/>
      <c r="AE37" s="3"/>
      <c r="AF37" s="3"/>
      <c r="AG37" s="3"/>
      <c r="AH37" s="3"/>
      <c r="AI37" s="3"/>
    </row>
    <row r="38" ht="15.75" customHeight="1">
      <c r="A38" s="28"/>
      <c r="B38" s="131"/>
      <c r="C38" s="132"/>
      <c r="D38" s="130"/>
      <c r="E38" s="14" t="s">
        <v>36</v>
      </c>
      <c r="F38" s="30"/>
      <c r="G38" s="30" t="s">
        <v>24</v>
      </c>
      <c r="H38" s="30"/>
      <c r="I38" s="14" t="s">
        <v>32</v>
      </c>
      <c r="J38" s="117"/>
      <c r="K38" s="118" t="str">
        <f t="shared" si="1"/>
        <v/>
      </c>
      <c r="L38" s="119" t="str">
        <f t="shared" si="2"/>
        <v/>
      </c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AA38" s="3"/>
      <c r="AB38" s="116"/>
      <c r="AC38" s="3"/>
      <c r="AD38" s="3"/>
      <c r="AE38" s="3"/>
      <c r="AF38" s="3"/>
      <c r="AG38" s="3"/>
      <c r="AH38" s="3"/>
      <c r="AI38" s="3"/>
    </row>
    <row r="39" ht="15.75" customHeight="1">
      <c r="A39" s="10">
        <v>7.0</v>
      </c>
      <c r="B39" s="131"/>
      <c r="C39" s="130"/>
      <c r="D39" s="130"/>
      <c r="E39" s="14" t="s">
        <v>189</v>
      </c>
      <c r="F39" s="30"/>
      <c r="G39" s="30" t="s">
        <v>24</v>
      </c>
      <c r="H39" s="30"/>
      <c r="I39" s="14" t="s">
        <v>43</v>
      </c>
      <c r="J39" s="117"/>
      <c r="K39" s="118" t="str">
        <f t="shared" si="1"/>
        <v/>
      </c>
      <c r="L39" s="119" t="str">
        <f t="shared" si="2"/>
        <v/>
      </c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AA39" s="3"/>
      <c r="AB39" s="116"/>
      <c r="AC39" s="3"/>
      <c r="AD39" s="3"/>
      <c r="AE39" s="3"/>
      <c r="AF39" s="3"/>
      <c r="AG39" s="3"/>
      <c r="AH39" s="3"/>
      <c r="AI39" s="3"/>
    </row>
    <row r="40" ht="15.75" customHeight="1">
      <c r="A40" s="24"/>
      <c r="B40" s="131"/>
      <c r="C40" s="130"/>
      <c r="D40" s="130"/>
      <c r="E40" s="14" t="s">
        <v>113</v>
      </c>
      <c r="F40" s="30"/>
      <c r="G40" s="30" t="s">
        <v>24</v>
      </c>
      <c r="H40" s="30"/>
      <c r="I40" s="14" t="s">
        <v>59</v>
      </c>
      <c r="J40" s="117"/>
      <c r="K40" s="118" t="str">
        <f t="shared" si="1"/>
        <v/>
      </c>
      <c r="L40" s="119" t="str">
        <f t="shared" si="2"/>
        <v/>
      </c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AA40" s="3"/>
      <c r="AB40" s="116"/>
      <c r="AC40" s="3"/>
      <c r="AD40" s="3"/>
      <c r="AE40" s="3"/>
      <c r="AF40" s="3"/>
      <c r="AG40" s="3"/>
      <c r="AH40" s="3"/>
      <c r="AI40" s="3"/>
    </row>
    <row r="41" ht="15.75" customHeight="1">
      <c r="A41" s="24"/>
      <c r="B41" s="131"/>
      <c r="C41" s="130"/>
      <c r="D41" s="133"/>
      <c r="E41" s="40" t="s">
        <v>25</v>
      </c>
      <c r="F41" s="30"/>
      <c r="G41" s="30" t="s">
        <v>24</v>
      </c>
      <c r="H41" s="30"/>
      <c r="I41" s="40" t="s">
        <v>162</v>
      </c>
      <c r="J41" s="117"/>
      <c r="K41" s="118" t="str">
        <f t="shared" si="1"/>
        <v/>
      </c>
      <c r="L41" s="119" t="str">
        <f t="shared" si="2"/>
        <v/>
      </c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AA41" s="3"/>
      <c r="AB41" s="116"/>
      <c r="AC41" s="3"/>
      <c r="AD41" s="3"/>
      <c r="AE41" s="3"/>
      <c r="AF41" s="3"/>
      <c r="AG41" s="3"/>
      <c r="AH41" s="3"/>
      <c r="AI41" s="3"/>
    </row>
    <row r="42" ht="15.75" customHeight="1">
      <c r="A42" s="24"/>
      <c r="B42" s="131"/>
      <c r="C42" s="130"/>
      <c r="D42" s="130"/>
      <c r="E42" s="14" t="s">
        <v>23</v>
      </c>
      <c r="F42" s="30"/>
      <c r="G42" s="30" t="s">
        <v>24</v>
      </c>
      <c r="H42" s="30"/>
      <c r="I42" s="14" t="s">
        <v>111</v>
      </c>
      <c r="J42" s="117"/>
      <c r="K42" s="118" t="str">
        <f t="shared" si="1"/>
        <v/>
      </c>
      <c r="L42" s="119" t="str">
        <f t="shared" si="2"/>
        <v/>
      </c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AA42" s="3"/>
      <c r="AB42" s="116"/>
      <c r="AC42" s="3"/>
      <c r="AD42" s="3"/>
      <c r="AE42" s="3"/>
      <c r="AF42" s="3"/>
      <c r="AG42" s="3"/>
      <c r="AH42" s="3"/>
      <c r="AI42" s="3"/>
    </row>
    <row r="43" ht="15.75" customHeight="1">
      <c r="A43" s="24"/>
      <c r="B43" s="131"/>
      <c r="C43" s="130"/>
      <c r="D43" s="130"/>
      <c r="E43" s="14" t="s">
        <v>31</v>
      </c>
      <c r="F43" s="30"/>
      <c r="G43" s="30" t="s">
        <v>24</v>
      </c>
      <c r="H43" s="30"/>
      <c r="I43" s="14" t="s">
        <v>36</v>
      </c>
      <c r="J43" s="117"/>
      <c r="K43" s="118" t="str">
        <f t="shared" si="1"/>
        <v/>
      </c>
      <c r="L43" s="119" t="str">
        <f t="shared" si="2"/>
        <v/>
      </c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AA43" s="3"/>
      <c r="AB43" s="116"/>
      <c r="AC43" s="3"/>
      <c r="AD43" s="3"/>
      <c r="AE43" s="3"/>
      <c r="AF43" s="3"/>
      <c r="AG43" s="3"/>
      <c r="AH43" s="3"/>
      <c r="AI43" s="3"/>
    </row>
    <row r="44" ht="15.75" customHeight="1">
      <c r="A44" s="28"/>
      <c r="B44" s="131"/>
      <c r="C44" s="130"/>
      <c r="D44" s="130"/>
      <c r="E44" s="14" t="s">
        <v>57</v>
      </c>
      <c r="F44" s="30"/>
      <c r="G44" s="30" t="s">
        <v>24</v>
      </c>
      <c r="H44" s="30"/>
      <c r="I44" s="14" t="s">
        <v>32</v>
      </c>
      <c r="J44" s="117"/>
      <c r="K44" s="118" t="str">
        <f t="shared" si="1"/>
        <v/>
      </c>
      <c r="L44" s="119" t="str">
        <f t="shared" si="2"/>
        <v/>
      </c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AA44" s="3"/>
      <c r="AB44" s="116"/>
      <c r="AC44" s="3"/>
      <c r="AD44" s="3"/>
      <c r="AE44" s="3"/>
      <c r="AF44" s="3"/>
      <c r="AG44" s="3"/>
      <c r="AH44" s="3"/>
      <c r="AI44" s="3"/>
    </row>
    <row r="45" ht="15.75" customHeight="1">
      <c r="A45" s="10">
        <v>8.0</v>
      </c>
      <c r="B45" s="131"/>
      <c r="C45" s="132"/>
      <c r="D45" s="130"/>
      <c r="E45" s="14" t="s">
        <v>43</v>
      </c>
      <c r="F45" s="30"/>
      <c r="G45" s="30" t="s">
        <v>24</v>
      </c>
      <c r="H45" s="30"/>
      <c r="I45" s="14" t="s">
        <v>57</v>
      </c>
      <c r="J45" s="117"/>
      <c r="K45" s="118" t="str">
        <f t="shared" si="1"/>
        <v/>
      </c>
      <c r="L45" s="119" t="str">
        <f t="shared" si="2"/>
        <v/>
      </c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AA45" s="3"/>
      <c r="AB45" s="116"/>
      <c r="AC45" s="3"/>
      <c r="AD45" s="3"/>
      <c r="AE45" s="3"/>
      <c r="AF45" s="3"/>
      <c r="AG45" s="3"/>
      <c r="AH45" s="3"/>
      <c r="AI45" s="3"/>
    </row>
    <row r="46" ht="15.75" customHeight="1">
      <c r="A46" s="24"/>
      <c r="B46" s="129"/>
      <c r="C46" s="132"/>
      <c r="D46" s="130"/>
      <c r="E46" s="14" t="s">
        <v>59</v>
      </c>
      <c r="F46" s="30"/>
      <c r="G46" s="30" t="s">
        <v>24</v>
      </c>
      <c r="H46" s="30"/>
      <c r="I46" s="14" t="s">
        <v>189</v>
      </c>
      <c r="J46" s="117"/>
      <c r="K46" s="118" t="str">
        <f t="shared" si="1"/>
        <v/>
      </c>
      <c r="L46" s="119" t="str">
        <f t="shared" si="2"/>
        <v/>
      </c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AA46" s="3"/>
      <c r="AB46" s="116"/>
      <c r="AC46" s="3"/>
      <c r="AD46" s="3"/>
      <c r="AE46" s="3"/>
      <c r="AF46" s="3"/>
      <c r="AG46" s="3"/>
      <c r="AH46" s="3"/>
      <c r="AI46" s="3"/>
    </row>
    <row r="47" ht="15.75" customHeight="1">
      <c r="A47" s="24"/>
      <c r="B47" s="129"/>
      <c r="C47" s="132"/>
      <c r="D47" s="130"/>
      <c r="E47" s="14" t="s">
        <v>162</v>
      </c>
      <c r="F47" s="30"/>
      <c r="G47" s="30" t="s">
        <v>24</v>
      </c>
      <c r="H47" s="30"/>
      <c r="I47" s="14" t="s">
        <v>113</v>
      </c>
      <c r="J47" s="117"/>
      <c r="K47" s="118" t="str">
        <f t="shared" si="1"/>
        <v/>
      </c>
      <c r="L47" s="119" t="str">
        <f t="shared" si="2"/>
        <v/>
      </c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AA47" s="3"/>
      <c r="AB47" s="116"/>
      <c r="AC47" s="3"/>
      <c r="AD47" s="3"/>
      <c r="AE47" s="3"/>
      <c r="AF47" s="3"/>
      <c r="AG47" s="3"/>
      <c r="AH47" s="3"/>
      <c r="AI47" s="3"/>
    </row>
    <row r="48" ht="15.75" customHeight="1">
      <c r="A48" s="24"/>
      <c r="B48" s="129"/>
      <c r="C48" s="132"/>
      <c r="D48" s="130"/>
      <c r="E48" s="40" t="s">
        <v>111</v>
      </c>
      <c r="F48" s="30"/>
      <c r="G48" s="30" t="s">
        <v>24</v>
      </c>
      <c r="H48" s="30"/>
      <c r="I48" s="40" t="s">
        <v>25</v>
      </c>
      <c r="K48" s="118" t="str">
        <f t="shared" si="1"/>
        <v/>
      </c>
      <c r="L48" s="119" t="str">
        <f t="shared" si="2"/>
        <v/>
      </c>
      <c r="AA48" s="3"/>
      <c r="AB48" s="116"/>
      <c r="AC48" s="3"/>
      <c r="AD48" s="3"/>
      <c r="AE48" s="3"/>
      <c r="AF48" s="3"/>
      <c r="AG48" s="3"/>
      <c r="AH48" s="3"/>
      <c r="AI48" s="3"/>
    </row>
    <row r="49" ht="15.75" customHeight="1">
      <c r="A49" s="24"/>
      <c r="B49" s="129"/>
      <c r="C49" s="132"/>
      <c r="D49" s="130"/>
      <c r="E49" s="40" t="s">
        <v>36</v>
      </c>
      <c r="F49" s="30"/>
      <c r="G49" s="30" t="s">
        <v>24</v>
      </c>
      <c r="H49" s="30"/>
      <c r="I49" s="40" t="s">
        <v>23</v>
      </c>
      <c r="K49" s="118" t="str">
        <f t="shared" si="1"/>
        <v/>
      </c>
      <c r="L49" s="119" t="str">
        <f t="shared" si="2"/>
        <v/>
      </c>
      <c r="AA49" s="3"/>
      <c r="AB49" s="116"/>
      <c r="AC49" s="3"/>
      <c r="AD49" s="3"/>
      <c r="AE49" s="3"/>
      <c r="AF49" s="3"/>
      <c r="AG49" s="3"/>
      <c r="AH49" s="3"/>
      <c r="AI49" s="3"/>
    </row>
    <row r="50" ht="15.75" customHeight="1">
      <c r="A50" s="28"/>
      <c r="B50" s="129"/>
      <c r="C50" s="132"/>
      <c r="D50" s="130"/>
      <c r="E50" s="14" t="s">
        <v>32</v>
      </c>
      <c r="F50" s="30"/>
      <c r="G50" s="30" t="s">
        <v>24</v>
      </c>
      <c r="H50" s="30"/>
      <c r="I50" s="14" t="s">
        <v>31</v>
      </c>
      <c r="K50" s="118" t="str">
        <f t="shared" si="1"/>
        <v/>
      </c>
      <c r="L50" s="119" t="str">
        <f t="shared" si="2"/>
        <v/>
      </c>
      <c r="AA50" s="3"/>
      <c r="AB50" s="116"/>
      <c r="AC50" s="3"/>
      <c r="AD50" s="3"/>
      <c r="AE50" s="3"/>
      <c r="AF50" s="3"/>
      <c r="AG50" s="3"/>
      <c r="AH50" s="3"/>
      <c r="AI50" s="3"/>
    </row>
    <row r="51" ht="15.75" customHeight="1">
      <c r="A51" s="10">
        <v>9.0</v>
      </c>
      <c r="B51" s="131"/>
      <c r="C51" s="132"/>
      <c r="D51" s="130"/>
      <c r="E51" s="14" t="s">
        <v>43</v>
      </c>
      <c r="F51" s="130"/>
      <c r="G51" s="30" t="s">
        <v>24</v>
      </c>
      <c r="H51" s="30"/>
      <c r="I51" s="14" t="s">
        <v>59</v>
      </c>
      <c r="K51" s="118" t="str">
        <f t="shared" si="1"/>
        <v/>
      </c>
      <c r="L51" s="119" t="str">
        <f t="shared" si="2"/>
        <v/>
      </c>
      <c r="AA51" s="3"/>
      <c r="AB51" s="116"/>
      <c r="AC51" s="3"/>
      <c r="AD51" s="3"/>
      <c r="AE51" s="3"/>
      <c r="AF51" s="3"/>
      <c r="AG51" s="3"/>
      <c r="AH51" s="3"/>
      <c r="AI51" s="3"/>
    </row>
    <row r="52" ht="15.75" customHeight="1">
      <c r="A52" s="24"/>
      <c r="B52" s="131"/>
      <c r="C52" s="132"/>
      <c r="D52" s="130"/>
      <c r="E52" s="14" t="s">
        <v>189</v>
      </c>
      <c r="F52" s="130"/>
      <c r="G52" s="30" t="s">
        <v>24</v>
      </c>
      <c r="H52" s="30"/>
      <c r="I52" s="14" t="s">
        <v>162</v>
      </c>
      <c r="K52" s="118" t="str">
        <f t="shared" si="1"/>
        <v/>
      </c>
      <c r="L52" s="119" t="str">
        <f t="shared" si="2"/>
        <v/>
      </c>
      <c r="AA52" s="3"/>
      <c r="AB52" s="116"/>
      <c r="AC52" s="3"/>
      <c r="AD52" s="3"/>
      <c r="AE52" s="3"/>
      <c r="AF52" s="3"/>
      <c r="AG52" s="3"/>
      <c r="AH52" s="3"/>
      <c r="AI52" s="3"/>
    </row>
    <row r="53" ht="15.75" customHeight="1">
      <c r="A53" s="24"/>
      <c r="B53" s="131"/>
      <c r="C53" s="132"/>
      <c r="D53" s="130"/>
      <c r="E53" s="14" t="s">
        <v>113</v>
      </c>
      <c r="F53" s="130"/>
      <c r="G53" s="30" t="s">
        <v>24</v>
      </c>
      <c r="H53" s="30"/>
      <c r="I53" s="14" t="s">
        <v>111</v>
      </c>
      <c r="K53" s="118" t="str">
        <f t="shared" si="1"/>
        <v/>
      </c>
      <c r="L53" s="119" t="str">
        <f t="shared" si="2"/>
        <v/>
      </c>
      <c r="AA53" s="3"/>
      <c r="AB53" s="116"/>
      <c r="AC53" s="3"/>
      <c r="AD53" s="3"/>
      <c r="AE53" s="3"/>
      <c r="AF53" s="3"/>
      <c r="AG53" s="3"/>
      <c r="AH53" s="3"/>
      <c r="AI53" s="3"/>
    </row>
    <row r="54" ht="15.75" customHeight="1">
      <c r="A54" s="24"/>
      <c r="B54" s="131"/>
      <c r="C54" s="132"/>
      <c r="D54" s="130"/>
      <c r="E54" s="14" t="s">
        <v>25</v>
      </c>
      <c r="F54" s="130"/>
      <c r="G54" s="30" t="s">
        <v>24</v>
      </c>
      <c r="H54" s="30"/>
      <c r="I54" s="14" t="s">
        <v>36</v>
      </c>
      <c r="K54" s="118" t="str">
        <f t="shared" si="1"/>
        <v/>
      </c>
      <c r="L54" s="119" t="str">
        <f t="shared" si="2"/>
        <v/>
      </c>
      <c r="AA54" s="3"/>
      <c r="AB54" s="116"/>
      <c r="AC54" s="3"/>
      <c r="AD54" s="3"/>
      <c r="AE54" s="3"/>
      <c r="AF54" s="3"/>
      <c r="AG54" s="3"/>
      <c r="AH54" s="3"/>
      <c r="AI54" s="3"/>
    </row>
    <row r="55" ht="15.75" customHeight="1">
      <c r="A55" s="24"/>
      <c r="B55" s="131"/>
      <c r="C55" s="132"/>
      <c r="D55" s="130"/>
      <c r="E55" s="14" t="s">
        <v>23</v>
      </c>
      <c r="F55" s="130"/>
      <c r="G55" s="30" t="s">
        <v>24</v>
      </c>
      <c r="H55" s="30"/>
      <c r="I55" s="14" t="s">
        <v>32</v>
      </c>
      <c r="K55" s="118" t="str">
        <f t="shared" si="1"/>
        <v/>
      </c>
      <c r="L55" s="119" t="str">
        <f t="shared" si="2"/>
        <v/>
      </c>
      <c r="AA55" s="3"/>
      <c r="AB55" s="116"/>
      <c r="AC55" s="3"/>
      <c r="AD55" s="3"/>
      <c r="AE55" s="3"/>
      <c r="AF55" s="3"/>
      <c r="AG55" s="3"/>
      <c r="AH55" s="3"/>
      <c r="AI55" s="3"/>
    </row>
    <row r="56" ht="15.75" customHeight="1">
      <c r="A56" s="28"/>
      <c r="B56" s="131"/>
      <c r="C56" s="132"/>
      <c r="D56" s="130"/>
      <c r="E56" s="14" t="s">
        <v>57</v>
      </c>
      <c r="F56" s="130"/>
      <c r="G56" s="30" t="s">
        <v>24</v>
      </c>
      <c r="H56" s="30"/>
      <c r="I56" s="14" t="s">
        <v>31</v>
      </c>
      <c r="K56" s="118" t="str">
        <f t="shared" si="1"/>
        <v/>
      </c>
      <c r="L56" s="119" t="str">
        <f t="shared" si="2"/>
        <v/>
      </c>
      <c r="AA56" s="3"/>
      <c r="AB56" s="116"/>
      <c r="AC56" s="3"/>
      <c r="AD56" s="3"/>
      <c r="AE56" s="3"/>
      <c r="AF56" s="3"/>
      <c r="AG56" s="3"/>
      <c r="AH56" s="3"/>
      <c r="AI56" s="3"/>
    </row>
    <row r="57" ht="15.75" customHeight="1">
      <c r="A57" s="10">
        <v>10.0</v>
      </c>
      <c r="B57" s="129"/>
      <c r="C57" s="130"/>
      <c r="D57" s="130"/>
      <c r="E57" s="14" t="s">
        <v>57</v>
      </c>
      <c r="F57" s="30"/>
      <c r="G57" s="30" t="s">
        <v>24</v>
      </c>
      <c r="H57" s="30"/>
      <c r="I57" s="14" t="s">
        <v>59</v>
      </c>
      <c r="K57" s="118" t="str">
        <f t="shared" si="1"/>
        <v/>
      </c>
      <c r="L57" s="119" t="str">
        <f t="shared" si="2"/>
        <v/>
      </c>
      <c r="AA57" s="3"/>
      <c r="AB57" s="116"/>
      <c r="AC57" s="3"/>
      <c r="AD57" s="3"/>
      <c r="AE57" s="3"/>
      <c r="AF57" s="3"/>
      <c r="AG57" s="3"/>
      <c r="AH57" s="3"/>
      <c r="AI57" s="3"/>
    </row>
    <row r="58" ht="15.75" customHeight="1">
      <c r="A58" s="24"/>
      <c r="B58" s="131"/>
      <c r="C58" s="130"/>
      <c r="D58" s="130"/>
      <c r="E58" s="14" t="s">
        <v>162</v>
      </c>
      <c r="F58" s="30"/>
      <c r="G58" s="30" t="s">
        <v>24</v>
      </c>
      <c r="H58" s="30"/>
      <c r="I58" s="14" t="s">
        <v>43</v>
      </c>
      <c r="K58" s="118" t="str">
        <f t="shared" si="1"/>
        <v/>
      </c>
      <c r="L58" s="119" t="str">
        <f t="shared" si="2"/>
        <v/>
      </c>
      <c r="AA58" s="3"/>
      <c r="AB58" s="116"/>
      <c r="AC58" s="3"/>
      <c r="AD58" s="3"/>
      <c r="AE58" s="3"/>
      <c r="AF58" s="3"/>
      <c r="AG58" s="3"/>
      <c r="AH58" s="3"/>
      <c r="AI58" s="3"/>
    </row>
    <row r="59" ht="15.75" customHeight="1">
      <c r="A59" s="24"/>
      <c r="B59" s="131"/>
      <c r="C59" s="130"/>
      <c r="D59" s="130"/>
      <c r="E59" s="14" t="s">
        <v>111</v>
      </c>
      <c r="F59" s="30"/>
      <c r="G59" s="30" t="s">
        <v>24</v>
      </c>
      <c r="H59" s="30"/>
      <c r="I59" s="14" t="s">
        <v>189</v>
      </c>
      <c r="K59" s="118" t="str">
        <f t="shared" si="1"/>
        <v/>
      </c>
      <c r="L59" s="119" t="str">
        <f t="shared" si="2"/>
        <v/>
      </c>
      <c r="AA59" s="3"/>
      <c r="AB59" s="116"/>
      <c r="AC59" s="3"/>
      <c r="AD59" s="3"/>
      <c r="AE59" s="3"/>
      <c r="AF59" s="3"/>
      <c r="AG59" s="3"/>
      <c r="AH59" s="3"/>
      <c r="AI59" s="3"/>
    </row>
    <row r="60" ht="15.75" customHeight="1">
      <c r="A60" s="24"/>
      <c r="B60" s="131"/>
      <c r="C60" s="130"/>
      <c r="D60" s="130"/>
      <c r="E60" s="14" t="s">
        <v>36</v>
      </c>
      <c r="F60" s="30"/>
      <c r="G60" s="30" t="s">
        <v>24</v>
      </c>
      <c r="H60" s="30"/>
      <c r="I60" s="14" t="s">
        <v>113</v>
      </c>
      <c r="K60" s="118" t="str">
        <f t="shared" si="1"/>
        <v/>
      </c>
      <c r="L60" s="119" t="str">
        <f t="shared" si="2"/>
        <v/>
      </c>
      <c r="AA60" s="3"/>
      <c r="AB60" s="116"/>
      <c r="AC60" s="3"/>
      <c r="AD60" s="3"/>
      <c r="AE60" s="3"/>
      <c r="AF60" s="3"/>
      <c r="AG60" s="3"/>
      <c r="AH60" s="3"/>
      <c r="AI60" s="3"/>
    </row>
    <row r="61" ht="15.75" customHeight="1">
      <c r="A61" s="24"/>
      <c r="B61" s="131"/>
      <c r="C61" s="130"/>
      <c r="D61" s="130"/>
      <c r="E61" s="14" t="s">
        <v>32</v>
      </c>
      <c r="F61" s="30"/>
      <c r="G61" s="30" t="s">
        <v>24</v>
      </c>
      <c r="H61" s="30"/>
      <c r="I61" s="14" t="s">
        <v>25</v>
      </c>
      <c r="K61" s="118" t="str">
        <f t="shared" si="1"/>
        <v/>
      </c>
      <c r="L61" s="119" t="str">
        <f t="shared" si="2"/>
        <v/>
      </c>
      <c r="AA61" s="3"/>
      <c r="AB61" s="116"/>
      <c r="AC61" s="3"/>
      <c r="AD61" s="3"/>
      <c r="AE61" s="3"/>
      <c r="AF61" s="3"/>
      <c r="AG61" s="3"/>
      <c r="AH61" s="3"/>
      <c r="AI61" s="3"/>
    </row>
    <row r="62" ht="15.75" customHeight="1">
      <c r="A62" s="28"/>
      <c r="B62" s="131"/>
      <c r="C62" s="130"/>
      <c r="D62" s="130"/>
      <c r="E62" s="14" t="s">
        <v>31</v>
      </c>
      <c r="F62" s="30"/>
      <c r="G62" s="30" t="s">
        <v>24</v>
      </c>
      <c r="H62" s="30"/>
      <c r="I62" s="14" t="s">
        <v>23</v>
      </c>
      <c r="K62" s="118" t="str">
        <f t="shared" si="1"/>
        <v/>
      </c>
      <c r="L62" s="119" t="str">
        <f t="shared" si="2"/>
        <v/>
      </c>
      <c r="AA62" s="3"/>
      <c r="AB62" s="116"/>
      <c r="AC62" s="3"/>
      <c r="AD62" s="3"/>
      <c r="AE62" s="3"/>
      <c r="AF62" s="3"/>
      <c r="AG62" s="3"/>
      <c r="AH62" s="3"/>
      <c r="AI62" s="3"/>
    </row>
    <row r="63" ht="15.75" customHeight="1">
      <c r="A63" s="10">
        <v>11.0</v>
      </c>
      <c r="B63" s="131"/>
      <c r="C63" s="132"/>
      <c r="D63" s="130"/>
      <c r="E63" s="14" t="s">
        <v>59</v>
      </c>
      <c r="F63" s="30"/>
      <c r="G63" s="30" t="s">
        <v>24</v>
      </c>
      <c r="H63" s="30"/>
      <c r="I63" s="14" t="s">
        <v>162</v>
      </c>
      <c r="K63" s="118" t="str">
        <f t="shared" si="1"/>
        <v/>
      </c>
      <c r="L63" s="119" t="str">
        <f t="shared" si="2"/>
        <v/>
      </c>
      <c r="AA63" s="3"/>
      <c r="AB63" s="116"/>
      <c r="AC63" s="3"/>
      <c r="AD63" s="3"/>
      <c r="AE63" s="3"/>
      <c r="AF63" s="3"/>
      <c r="AG63" s="3"/>
      <c r="AH63" s="3"/>
      <c r="AI63" s="3"/>
    </row>
    <row r="64" ht="15.75" customHeight="1">
      <c r="A64" s="24"/>
      <c r="B64" s="131"/>
      <c r="C64" s="132"/>
      <c r="D64" s="130"/>
      <c r="E64" s="14" t="s">
        <v>43</v>
      </c>
      <c r="F64" s="30"/>
      <c r="G64" s="30" t="s">
        <v>24</v>
      </c>
      <c r="H64" s="30"/>
      <c r="I64" s="14" t="s">
        <v>111</v>
      </c>
      <c r="K64" s="118" t="str">
        <f t="shared" si="1"/>
        <v/>
      </c>
      <c r="L64" s="119" t="str">
        <f t="shared" si="2"/>
        <v/>
      </c>
      <c r="AA64" s="3"/>
      <c r="AB64" s="116"/>
      <c r="AC64" s="3"/>
      <c r="AD64" s="3"/>
      <c r="AE64" s="3"/>
      <c r="AF64" s="3"/>
      <c r="AG64" s="3"/>
      <c r="AH64" s="3"/>
      <c r="AI64" s="3"/>
    </row>
    <row r="65" ht="15.75" customHeight="1">
      <c r="A65" s="24"/>
      <c r="B65" s="131"/>
      <c r="C65" s="132"/>
      <c r="D65" s="130"/>
      <c r="E65" s="14" t="s">
        <v>189</v>
      </c>
      <c r="F65" s="30"/>
      <c r="G65" s="30" t="s">
        <v>24</v>
      </c>
      <c r="H65" s="30"/>
      <c r="I65" s="14" t="s">
        <v>36</v>
      </c>
      <c r="K65" s="118" t="str">
        <f t="shared" si="1"/>
        <v/>
      </c>
      <c r="L65" s="119" t="str">
        <f t="shared" si="2"/>
        <v/>
      </c>
      <c r="AA65" s="3"/>
      <c r="AB65" s="116"/>
      <c r="AC65" s="3"/>
      <c r="AD65" s="3"/>
      <c r="AE65" s="3"/>
      <c r="AF65" s="3"/>
      <c r="AG65" s="3"/>
      <c r="AH65" s="3"/>
      <c r="AI65" s="3"/>
    </row>
    <row r="66" ht="15.75" customHeight="1">
      <c r="A66" s="24"/>
      <c r="B66" s="131"/>
      <c r="C66" s="132"/>
      <c r="D66" s="130"/>
      <c r="E66" s="14" t="s">
        <v>113</v>
      </c>
      <c r="F66" s="30"/>
      <c r="G66" s="30" t="s">
        <v>24</v>
      </c>
      <c r="H66" s="30"/>
      <c r="I66" s="14" t="s">
        <v>32</v>
      </c>
      <c r="K66" s="118" t="str">
        <f t="shared" si="1"/>
        <v/>
      </c>
      <c r="L66" s="119" t="str">
        <f t="shared" si="2"/>
        <v/>
      </c>
      <c r="AA66" s="3"/>
      <c r="AB66" s="116"/>
      <c r="AC66" s="3"/>
      <c r="AD66" s="3"/>
      <c r="AE66" s="3"/>
      <c r="AF66" s="3"/>
      <c r="AG66" s="3"/>
      <c r="AH66" s="3"/>
      <c r="AI66" s="3"/>
    </row>
    <row r="67" ht="15.75" customHeight="1">
      <c r="A67" s="24"/>
      <c r="B67" s="131"/>
      <c r="C67" s="132"/>
      <c r="D67" s="130"/>
      <c r="E67" s="14" t="s">
        <v>25</v>
      </c>
      <c r="F67" s="30"/>
      <c r="G67" s="30" t="s">
        <v>24</v>
      </c>
      <c r="H67" s="30"/>
      <c r="I67" s="14" t="s">
        <v>31</v>
      </c>
      <c r="K67" s="118" t="str">
        <f t="shared" si="1"/>
        <v/>
      </c>
      <c r="L67" s="119" t="str">
        <f t="shared" si="2"/>
        <v/>
      </c>
      <c r="R67" s="117"/>
      <c r="S67" s="117"/>
      <c r="T67" s="117"/>
      <c r="U67" s="117"/>
      <c r="V67" s="117"/>
      <c r="AA67" s="3"/>
      <c r="AB67" s="116"/>
      <c r="AC67" s="3"/>
      <c r="AD67" s="3"/>
      <c r="AE67" s="3"/>
      <c r="AF67" s="3"/>
      <c r="AG67" s="3"/>
      <c r="AH67" s="3"/>
      <c r="AI67" s="3"/>
    </row>
    <row r="68" ht="15.75" customHeight="1">
      <c r="A68" s="28"/>
      <c r="B68" s="129"/>
      <c r="C68" s="132"/>
      <c r="D68" s="130"/>
      <c r="E68" s="14" t="s">
        <v>23</v>
      </c>
      <c r="F68" s="13"/>
      <c r="G68" s="30" t="s">
        <v>24</v>
      </c>
      <c r="H68" s="13"/>
      <c r="I68" s="14" t="s">
        <v>57</v>
      </c>
      <c r="K68" s="118" t="str">
        <f t="shared" si="1"/>
        <v/>
      </c>
      <c r="L68" s="119" t="str">
        <f t="shared" si="2"/>
        <v/>
      </c>
      <c r="R68" s="117"/>
      <c r="S68" s="117"/>
      <c r="T68" s="117"/>
      <c r="U68" s="117"/>
      <c r="V68" s="117"/>
      <c r="AA68" s="3"/>
      <c r="AB68" s="116"/>
      <c r="AC68" s="3"/>
      <c r="AD68" s="3"/>
      <c r="AE68" s="3"/>
      <c r="AF68" s="3"/>
      <c r="AG68" s="3"/>
      <c r="AH68" s="3"/>
      <c r="AI68" s="3"/>
    </row>
    <row r="69" ht="15.75" customHeight="1">
      <c r="A69" s="134"/>
      <c r="B69" s="135"/>
      <c r="C69" s="135"/>
      <c r="D69" s="135"/>
      <c r="E69" s="1"/>
      <c r="F69" s="135"/>
      <c r="G69" s="135"/>
      <c r="I69" s="116"/>
      <c r="AA69" s="3"/>
      <c r="AB69" s="116"/>
      <c r="AC69" s="3"/>
      <c r="AD69" s="3"/>
      <c r="AE69" s="3"/>
      <c r="AF69" s="3"/>
      <c r="AG69" s="3"/>
      <c r="AH69" s="3"/>
      <c r="AI69" s="3"/>
    </row>
    <row r="70" ht="15.75" customHeight="1">
      <c r="A70" s="134"/>
      <c r="B70" s="135"/>
      <c r="C70" s="135"/>
      <c r="D70" s="135"/>
      <c r="E70" s="1"/>
      <c r="F70" s="135"/>
      <c r="G70" s="135"/>
      <c r="I70" s="116"/>
      <c r="AA70" s="3"/>
      <c r="AB70" s="116"/>
      <c r="AC70" s="3"/>
      <c r="AD70" s="3"/>
      <c r="AE70" s="3"/>
      <c r="AF70" s="3"/>
      <c r="AG70" s="3"/>
      <c r="AH70" s="3"/>
      <c r="AI70" s="3"/>
    </row>
    <row r="71" ht="15.75" customHeight="1">
      <c r="A71" s="134"/>
      <c r="B71" s="135"/>
      <c r="C71" s="135"/>
      <c r="D71" s="135"/>
      <c r="E71" s="1"/>
      <c r="F71" s="135"/>
      <c r="G71" s="135"/>
      <c r="I71" s="116"/>
      <c r="AA71" s="3"/>
      <c r="AB71" s="116"/>
      <c r="AC71" s="3"/>
      <c r="AD71" s="3"/>
      <c r="AE71" s="3"/>
      <c r="AF71" s="3"/>
      <c r="AG71" s="3"/>
      <c r="AH71" s="3"/>
      <c r="AI71" s="3"/>
    </row>
    <row r="72" ht="15.75" customHeight="1">
      <c r="A72" s="115" t="s">
        <v>201</v>
      </c>
      <c r="I72" s="116"/>
      <c r="AA72" s="3"/>
      <c r="AB72" s="116"/>
      <c r="AC72" s="3"/>
      <c r="AD72" s="3"/>
      <c r="AE72" s="3"/>
      <c r="AF72" s="3"/>
      <c r="AG72" s="3"/>
      <c r="AH72" s="3"/>
      <c r="AI72" s="3"/>
    </row>
    <row r="73" ht="15.75" customHeight="1">
      <c r="A73" s="57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/>
      <c r="S73" s="9" t="s">
        <v>16</v>
      </c>
      <c r="T73" s="9" t="s">
        <v>196</v>
      </c>
      <c r="U73" s="9" t="s">
        <v>197</v>
      </c>
      <c r="V73" s="9" t="s">
        <v>198</v>
      </c>
      <c r="W73" s="3"/>
      <c r="X73" s="103" t="s">
        <v>20</v>
      </c>
      <c r="Y73" s="8"/>
      <c r="Z73" s="3"/>
      <c r="AA73" s="5" t="s">
        <v>11</v>
      </c>
      <c r="AB73" s="5" t="s">
        <v>12</v>
      </c>
      <c r="AC73" s="5" t="s">
        <v>13</v>
      </c>
      <c r="AD73" s="5" t="s">
        <v>14</v>
      </c>
      <c r="AE73" s="5" t="s">
        <v>15</v>
      </c>
      <c r="AF73" s="5" t="s">
        <v>16</v>
      </c>
      <c r="AG73" s="5" t="s">
        <v>196</v>
      </c>
      <c r="AH73" s="5" t="s">
        <v>197</v>
      </c>
      <c r="AI73" s="5" t="s">
        <v>198</v>
      </c>
    </row>
    <row r="74" ht="15.75" customHeight="1">
      <c r="A74" s="58">
        <v>1.0</v>
      </c>
      <c r="B74" s="11">
        <v>45944.0</v>
      </c>
      <c r="C74" s="12" t="s">
        <v>147</v>
      </c>
      <c r="D74" s="12" t="s">
        <v>22</v>
      </c>
      <c r="E74" s="14" t="s">
        <v>40</v>
      </c>
      <c r="F74" s="13">
        <v>1.0</v>
      </c>
      <c r="G74" s="30" t="s">
        <v>24</v>
      </c>
      <c r="H74" s="13">
        <v>2.0</v>
      </c>
      <c r="I74" s="14" t="s">
        <v>144</v>
      </c>
      <c r="J74" s="117"/>
      <c r="K74" s="118">
        <f t="shared" ref="K74:K139" si="9">IFS(F74=H74+2,3,F74=H74-2,0,F74=H74+1,2,F74=H74-1,1,F74="","")</f>
        <v>1</v>
      </c>
      <c r="L74" s="119">
        <f t="shared" ref="L74:L139" si="10">IFS(H74=F74+2,3,H74=F74-2,0,H74=F74+1,2,H74=F74-1,1,H74="","")</f>
        <v>2</v>
      </c>
      <c r="M74" s="117"/>
      <c r="N74" s="119">
        <v>1.0</v>
      </c>
      <c r="O74" s="120" t="s">
        <v>40</v>
      </c>
      <c r="P74" s="119">
        <f t="shared" ref="P74:P84" si="11">SUMIF(E$74:E$139,O74,K$74:K$139)+SUMIF(I$74:I$139,O74,L$74:L$139)</f>
        <v>2</v>
      </c>
      <c r="Q74" s="121">
        <f t="shared" ref="Q74:Q84" si="12">COUNTIFS(E$74:E$139,O74,K$74:K$139,2)+COUNTIFS(I$74:I$139,O74,L$74:L$139,2)+COUNTIFS(E$74:E$139,O74,K$74:K$139,3)+COUNTIFS(I$74:I$139,O74,L$74:L$139,3)</f>
        <v>0</v>
      </c>
      <c r="R74" s="122"/>
      <c r="S74" s="122">
        <f t="shared" ref="S74:S84" si="13">COUNTIFS(E$74:E$139,O74,K$74:K$139,1)+COUNTIFS(I$74:I$139,O74,L$74:L$139,1)+COUNTIFS(E$74:E$139,O74,K$74:K$139,0)+COUNTIFS(I$74:I$139,O74,L$74:L$139,0)</f>
        <v>3</v>
      </c>
      <c r="T74" s="119">
        <f t="shared" ref="T74:T84" si="14">SUMIF(E$74:E$139,O74,F$74:F$139)+SUMIF(I$74:I$139,O74,H$74:H$139)</f>
        <v>2</v>
      </c>
      <c r="U74" s="122">
        <f t="shared" ref="U74:U84" si="15">SUMIF(E$74:E$139,O74,H$74:H$139)+SUMIF(I$74:I$139,O74,F$74:F$139)</f>
        <v>6</v>
      </c>
      <c r="V74" s="119">
        <f t="shared" ref="V74:V84" si="16">T74-U74</f>
        <v>-4</v>
      </c>
      <c r="X74" s="107" t="s">
        <v>26</v>
      </c>
      <c r="Y74" s="107" t="s">
        <v>13</v>
      </c>
      <c r="AA74" s="41" t="s">
        <v>29</v>
      </c>
      <c r="AB74" s="63" t="str">
        <f t="array" ref="AB74:AI84">SORT(O74:V84,2,FALSE,8,FALSE)</f>
        <v>Eng. Ambiente</v>
      </c>
      <c r="AC74" s="22">
        <v>9.0</v>
      </c>
      <c r="AD74" s="22">
        <v>3.0</v>
      </c>
      <c r="AE74" s="23"/>
      <c r="AF74" s="23">
        <v>0.0</v>
      </c>
      <c r="AG74" s="22">
        <v>6.0</v>
      </c>
      <c r="AH74" s="23">
        <v>0.0</v>
      </c>
      <c r="AI74" s="22">
        <v>6.0</v>
      </c>
    </row>
    <row r="75" ht="15.75" customHeight="1">
      <c r="A75" s="24"/>
      <c r="B75" s="11">
        <v>45944.0</v>
      </c>
      <c r="C75" s="12" t="s">
        <v>149</v>
      </c>
      <c r="D75" s="12" t="s">
        <v>22</v>
      </c>
      <c r="E75" s="14" t="s">
        <v>159</v>
      </c>
      <c r="F75" s="13">
        <v>2.0</v>
      </c>
      <c r="G75" s="30" t="s">
        <v>24</v>
      </c>
      <c r="H75" s="13">
        <v>0.0</v>
      </c>
      <c r="I75" s="14" t="s">
        <v>61</v>
      </c>
      <c r="J75" s="117"/>
      <c r="K75" s="118">
        <f t="shared" si="9"/>
        <v>3</v>
      </c>
      <c r="L75" s="119">
        <f t="shared" si="10"/>
        <v>0</v>
      </c>
      <c r="M75" s="117"/>
      <c r="N75" s="119">
        <v>2.0</v>
      </c>
      <c r="O75" s="120" t="s">
        <v>39</v>
      </c>
      <c r="P75" s="119">
        <f t="shared" si="11"/>
        <v>3</v>
      </c>
      <c r="Q75" s="121">
        <f t="shared" si="12"/>
        <v>1</v>
      </c>
      <c r="R75" s="122"/>
      <c r="S75" s="122">
        <f t="shared" si="13"/>
        <v>1</v>
      </c>
      <c r="T75" s="119">
        <f t="shared" si="14"/>
        <v>2</v>
      </c>
      <c r="U75" s="122">
        <f t="shared" si="15"/>
        <v>2</v>
      </c>
      <c r="V75" s="119">
        <f t="shared" si="16"/>
        <v>0</v>
      </c>
      <c r="X75" s="108" t="s">
        <v>33</v>
      </c>
      <c r="Y75" s="108">
        <v>3.0</v>
      </c>
      <c r="AA75" s="95" t="s">
        <v>112</v>
      </c>
      <c r="AB75" s="63" t="s">
        <v>64</v>
      </c>
      <c r="AC75" s="22">
        <v>9.0</v>
      </c>
      <c r="AD75" s="22">
        <v>3.0</v>
      </c>
      <c r="AE75" s="23"/>
      <c r="AF75" s="23">
        <v>0.0</v>
      </c>
      <c r="AG75" s="22">
        <v>6.0</v>
      </c>
      <c r="AH75" s="23">
        <v>0.0</v>
      </c>
      <c r="AI75" s="22">
        <v>6.0</v>
      </c>
    </row>
    <row r="76" ht="15.75" customHeight="1">
      <c r="A76" s="24"/>
      <c r="B76" s="11">
        <v>45944.0</v>
      </c>
      <c r="C76" s="12" t="s">
        <v>147</v>
      </c>
      <c r="D76" s="12" t="s">
        <v>22</v>
      </c>
      <c r="E76" s="14" t="s">
        <v>202</v>
      </c>
      <c r="F76" s="13">
        <v>2.0</v>
      </c>
      <c r="G76" s="30" t="s">
        <v>24</v>
      </c>
      <c r="H76" s="13">
        <v>0.0</v>
      </c>
      <c r="I76" s="14" t="s">
        <v>134</v>
      </c>
      <c r="J76" s="117"/>
      <c r="K76" s="118">
        <f t="shared" si="9"/>
        <v>3</v>
      </c>
      <c r="L76" s="119">
        <f t="shared" si="10"/>
        <v>0</v>
      </c>
      <c r="M76" s="117"/>
      <c r="N76" s="119">
        <v>3.0</v>
      </c>
      <c r="O76" s="120" t="s">
        <v>144</v>
      </c>
      <c r="P76" s="119">
        <f t="shared" si="11"/>
        <v>5</v>
      </c>
      <c r="Q76" s="121">
        <f t="shared" si="12"/>
        <v>2</v>
      </c>
      <c r="R76" s="122"/>
      <c r="S76" s="122">
        <f t="shared" si="13"/>
        <v>0</v>
      </c>
      <c r="T76" s="119">
        <f t="shared" si="14"/>
        <v>4</v>
      </c>
      <c r="U76" s="122">
        <f t="shared" si="15"/>
        <v>1</v>
      </c>
      <c r="V76" s="119">
        <f t="shared" si="16"/>
        <v>3</v>
      </c>
      <c r="X76" s="108" t="s">
        <v>39</v>
      </c>
      <c r="Y76" s="108">
        <v>0.0</v>
      </c>
      <c r="AA76" s="21">
        <v>3.0</v>
      </c>
      <c r="AB76" s="63" t="s">
        <v>144</v>
      </c>
      <c r="AC76" s="22">
        <v>5.0</v>
      </c>
      <c r="AD76" s="22">
        <v>2.0</v>
      </c>
      <c r="AE76" s="23"/>
      <c r="AF76" s="23">
        <v>0.0</v>
      </c>
      <c r="AG76" s="22">
        <v>4.0</v>
      </c>
      <c r="AH76" s="23">
        <v>1.0</v>
      </c>
      <c r="AI76" s="22">
        <v>3.0</v>
      </c>
    </row>
    <row r="77" ht="15.75" customHeight="1">
      <c r="A77" s="24"/>
      <c r="B77" s="11">
        <v>45944.0</v>
      </c>
      <c r="C77" s="12" t="s">
        <v>148</v>
      </c>
      <c r="D77" s="12" t="s">
        <v>22</v>
      </c>
      <c r="E77" s="14" t="s">
        <v>65</v>
      </c>
      <c r="F77" s="13">
        <v>2.0</v>
      </c>
      <c r="G77" s="30" t="s">
        <v>24</v>
      </c>
      <c r="H77" s="13">
        <v>1.0</v>
      </c>
      <c r="I77" s="14" t="s">
        <v>108</v>
      </c>
      <c r="J77" s="117"/>
      <c r="K77" s="118">
        <f t="shared" si="9"/>
        <v>2</v>
      </c>
      <c r="L77" s="119">
        <f t="shared" si="10"/>
        <v>1</v>
      </c>
      <c r="M77" s="117"/>
      <c r="N77" s="119">
        <v>4.0</v>
      </c>
      <c r="O77" s="120" t="s">
        <v>116</v>
      </c>
      <c r="P77" s="119">
        <f t="shared" si="11"/>
        <v>3</v>
      </c>
      <c r="Q77" s="121">
        <f t="shared" si="12"/>
        <v>1</v>
      </c>
      <c r="R77" s="122"/>
      <c r="S77" s="122">
        <f t="shared" si="13"/>
        <v>1</v>
      </c>
      <c r="T77" s="119">
        <f t="shared" si="14"/>
        <v>2</v>
      </c>
      <c r="U77" s="122">
        <f t="shared" si="15"/>
        <v>2</v>
      </c>
      <c r="V77" s="119">
        <f t="shared" si="16"/>
        <v>0</v>
      </c>
      <c r="AA77" s="21">
        <v>4.0</v>
      </c>
      <c r="AB77" s="63" t="s">
        <v>202</v>
      </c>
      <c r="AC77" s="22">
        <v>4.0</v>
      </c>
      <c r="AD77" s="22">
        <v>1.0</v>
      </c>
      <c r="AE77" s="23"/>
      <c r="AF77" s="23">
        <v>2.0</v>
      </c>
      <c r="AG77" s="22">
        <v>3.0</v>
      </c>
      <c r="AH77" s="23">
        <v>4.0</v>
      </c>
      <c r="AI77" s="22">
        <v>-1.0</v>
      </c>
    </row>
    <row r="78" ht="15.75" customHeight="1">
      <c r="A78" s="24"/>
      <c r="B78" s="11">
        <v>45944.0</v>
      </c>
      <c r="C78" s="12" t="s">
        <v>148</v>
      </c>
      <c r="D78" s="12" t="s">
        <v>22</v>
      </c>
      <c r="E78" s="14" t="s">
        <v>116</v>
      </c>
      <c r="F78" s="13">
        <v>0.0</v>
      </c>
      <c r="G78" s="30" t="s">
        <v>24</v>
      </c>
      <c r="H78" s="13">
        <v>2.0</v>
      </c>
      <c r="I78" s="14" t="s">
        <v>64</v>
      </c>
      <c r="J78" s="117"/>
      <c r="K78" s="118">
        <f t="shared" si="9"/>
        <v>0</v>
      </c>
      <c r="L78" s="119">
        <f t="shared" si="10"/>
        <v>3</v>
      </c>
      <c r="M78" s="117"/>
      <c r="N78" s="119">
        <v>5.0</v>
      </c>
      <c r="O78" s="120" t="s">
        <v>61</v>
      </c>
      <c r="P78" s="119">
        <f t="shared" si="11"/>
        <v>3</v>
      </c>
      <c r="Q78" s="121">
        <f t="shared" si="12"/>
        <v>1</v>
      </c>
      <c r="R78" s="122"/>
      <c r="S78" s="122">
        <f t="shared" si="13"/>
        <v>2</v>
      </c>
      <c r="T78" s="119">
        <f t="shared" si="14"/>
        <v>2</v>
      </c>
      <c r="U78" s="122">
        <f t="shared" si="15"/>
        <v>4</v>
      </c>
      <c r="V78" s="119">
        <f t="shared" si="16"/>
        <v>-2</v>
      </c>
      <c r="AA78" s="21">
        <v>5.0</v>
      </c>
      <c r="AB78" s="63" t="s">
        <v>39</v>
      </c>
      <c r="AC78" s="22">
        <v>3.0</v>
      </c>
      <c r="AD78" s="22">
        <v>1.0</v>
      </c>
      <c r="AE78" s="23"/>
      <c r="AF78" s="23">
        <v>1.0</v>
      </c>
      <c r="AG78" s="22">
        <v>2.0</v>
      </c>
      <c r="AH78" s="23">
        <v>2.0</v>
      </c>
      <c r="AI78" s="22">
        <v>0.0</v>
      </c>
    </row>
    <row r="79" ht="15.75" customHeight="1">
      <c r="A79" s="28"/>
      <c r="B79" s="131"/>
      <c r="C79" s="132"/>
      <c r="D79" s="130"/>
      <c r="E79" s="14">
        <v>0.0</v>
      </c>
      <c r="F79" s="30"/>
      <c r="G79" s="30" t="s">
        <v>24</v>
      </c>
      <c r="H79" s="30"/>
      <c r="I79" s="14" t="s">
        <v>39</v>
      </c>
      <c r="J79" s="117"/>
      <c r="K79" s="118" t="str">
        <f t="shared" si="9"/>
        <v/>
      </c>
      <c r="L79" s="119" t="str">
        <f t="shared" si="10"/>
        <v/>
      </c>
      <c r="M79" s="117"/>
      <c r="N79" s="119">
        <v>6.0</v>
      </c>
      <c r="O79" s="120" t="s">
        <v>65</v>
      </c>
      <c r="P79" s="119">
        <f t="shared" si="11"/>
        <v>2</v>
      </c>
      <c r="Q79" s="121">
        <f t="shared" si="12"/>
        <v>1</v>
      </c>
      <c r="R79" s="122"/>
      <c r="S79" s="122">
        <f t="shared" si="13"/>
        <v>2</v>
      </c>
      <c r="T79" s="119">
        <f t="shared" si="14"/>
        <v>2</v>
      </c>
      <c r="U79" s="122">
        <f t="shared" si="15"/>
        <v>5</v>
      </c>
      <c r="V79" s="119">
        <f t="shared" si="16"/>
        <v>-3</v>
      </c>
      <c r="AA79" s="21">
        <v>6.0</v>
      </c>
      <c r="AB79" s="63" t="s">
        <v>116</v>
      </c>
      <c r="AC79" s="22">
        <v>3.0</v>
      </c>
      <c r="AD79" s="22">
        <v>1.0</v>
      </c>
      <c r="AE79" s="23"/>
      <c r="AF79" s="23">
        <v>1.0</v>
      </c>
      <c r="AG79" s="22">
        <v>2.0</v>
      </c>
      <c r="AH79" s="23">
        <v>2.0</v>
      </c>
      <c r="AI79" s="22">
        <v>0.0</v>
      </c>
    </row>
    <row r="80" ht="15.75" customHeight="1">
      <c r="A80" s="58">
        <v>2.0</v>
      </c>
      <c r="B80" s="131"/>
      <c r="C80" s="132"/>
      <c r="D80" s="130"/>
      <c r="E80" s="14" t="s">
        <v>144</v>
      </c>
      <c r="F80" s="30"/>
      <c r="G80" s="30" t="s">
        <v>24</v>
      </c>
      <c r="H80" s="30"/>
      <c r="I80" s="14">
        <v>0.0</v>
      </c>
      <c r="J80" s="117"/>
      <c r="K80" s="118" t="str">
        <f t="shared" si="9"/>
        <v/>
      </c>
      <c r="L80" s="119" t="str">
        <f t="shared" si="10"/>
        <v/>
      </c>
      <c r="M80" s="117"/>
      <c r="N80" s="119">
        <v>7.0</v>
      </c>
      <c r="O80" s="120" t="s">
        <v>134</v>
      </c>
      <c r="P80" s="119">
        <f t="shared" si="11"/>
        <v>2</v>
      </c>
      <c r="Q80" s="121">
        <f t="shared" si="12"/>
        <v>1</v>
      </c>
      <c r="R80" s="122"/>
      <c r="S80" s="122">
        <f t="shared" si="13"/>
        <v>2</v>
      </c>
      <c r="T80" s="119">
        <f t="shared" si="14"/>
        <v>2</v>
      </c>
      <c r="U80" s="122">
        <f t="shared" si="15"/>
        <v>5</v>
      </c>
      <c r="V80" s="119">
        <f t="shared" si="16"/>
        <v>-3</v>
      </c>
      <c r="AA80" s="21">
        <v>7.0</v>
      </c>
      <c r="AB80" s="63" t="s">
        <v>61</v>
      </c>
      <c r="AC80" s="22">
        <v>3.0</v>
      </c>
      <c r="AD80" s="22">
        <v>1.0</v>
      </c>
      <c r="AE80" s="23"/>
      <c r="AF80" s="23">
        <v>2.0</v>
      </c>
      <c r="AG80" s="22">
        <v>2.0</v>
      </c>
      <c r="AH80" s="23">
        <v>4.0</v>
      </c>
      <c r="AI80" s="22">
        <v>-2.0</v>
      </c>
    </row>
    <row r="81" ht="15.75" customHeight="1">
      <c r="A81" s="24"/>
      <c r="B81" s="11">
        <v>45944.0</v>
      </c>
      <c r="C81" s="12" t="s">
        <v>148</v>
      </c>
      <c r="D81" s="12" t="s">
        <v>22</v>
      </c>
      <c r="E81" s="14" t="s">
        <v>61</v>
      </c>
      <c r="F81" s="13">
        <v>2.0</v>
      </c>
      <c r="G81" s="30" t="s">
        <v>24</v>
      </c>
      <c r="H81" s="13">
        <v>0.0</v>
      </c>
      <c r="I81" s="14" t="s">
        <v>40</v>
      </c>
      <c r="J81" s="117"/>
      <c r="K81" s="118">
        <f t="shared" si="9"/>
        <v>3</v>
      </c>
      <c r="L81" s="119">
        <f t="shared" si="10"/>
        <v>0</v>
      </c>
      <c r="M81" s="117"/>
      <c r="N81" s="119">
        <v>8.0</v>
      </c>
      <c r="O81" s="120" t="s">
        <v>202</v>
      </c>
      <c r="P81" s="119">
        <f t="shared" si="11"/>
        <v>4</v>
      </c>
      <c r="Q81" s="121">
        <f t="shared" si="12"/>
        <v>1</v>
      </c>
      <c r="R81" s="122"/>
      <c r="S81" s="122">
        <f t="shared" si="13"/>
        <v>2</v>
      </c>
      <c r="T81" s="119">
        <f t="shared" si="14"/>
        <v>3</v>
      </c>
      <c r="U81" s="122">
        <f t="shared" si="15"/>
        <v>4</v>
      </c>
      <c r="V81" s="119">
        <f t="shared" si="16"/>
        <v>-1</v>
      </c>
      <c r="AA81" s="21">
        <v>8.0</v>
      </c>
      <c r="AB81" s="63" t="s">
        <v>108</v>
      </c>
      <c r="AC81" s="22">
        <v>3.0</v>
      </c>
      <c r="AD81" s="22">
        <v>1.0</v>
      </c>
      <c r="AE81" s="23"/>
      <c r="AF81" s="23">
        <v>2.0</v>
      </c>
      <c r="AG81" s="22">
        <v>3.0</v>
      </c>
      <c r="AH81" s="23">
        <v>5.0</v>
      </c>
      <c r="AI81" s="22">
        <v>-2.0</v>
      </c>
    </row>
    <row r="82" ht="15.75" customHeight="1">
      <c r="A82" s="24"/>
      <c r="B82" s="11">
        <v>45684.0</v>
      </c>
      <c r="C82" s="12" t="s">
        <v>53</v>
      </c>
      <c r="D82" s="12" t="s">
        <v>22</v>
      </c>
      <c r="E82" s="14" t="s">
        <v>134</v>
      </c>
      <c r="F82" s="13">
        <v>0.0</v>
      </c>
      <c r="G82" s="30" t="s">
        <v>24</v>
      </c>
      <c r="H82" s="13">
        <v>2.0</v>
      </c>
      <c r="I82" s="14" t="s">
        <v>159</v>
      </c>
      <c r="J82" s="117"/>
      <c r="K82" s="118">
        <f t="shared" si="9"/>
        <v>0</v>
      </c>
      <c r="L82" s="119">
        <f t="shared" si="10"/>
        <v>3</v>
      </c>
      <c r="M82" s="117"/>
      <c r="N82" s="119">
        <v>9.0</v>
      </c>
      <c r="O82" s="120" t="s">
        <v>108</v>
      </c>
      <c r="P82" s="119">
        <f t="shared" si="11"/>
        <v>3</v>
      </c>
      <c r="Q82" s="121">
        <f t="shared" si="12"/>
        <v>1</v>
      </c>
      <c r="R82" s="122"/>
      <c r="S82" s="122">
        <f t="shared" si="13"/>
        <v>2</v>
      </c>
      <c r="T82" s="119">
        <f t="shared" si="14"/>
        <v>3</v>
      </c>
      <c r="U82" s="122">
        <f t="shared" si="15"/>
        <v>5</v>
      </c>
      <c r="V82" s="119">
        <f t="shared" si="16"/>
        <v>-2</v>
      </c>
      <c r="AA82" s="21">
        <v>9.0</v>
      </c>
      <c r="AB82" s="63" t="s">
        <v>65</v>
      </c>
      <c r="AC82" s="22">
        <v>2.0</v>
      </c>
      <c r="AD82" s="22">
        <v>1.0</v>
      </c>
      <c r="AE82" s="23"/>
      <c r="AF82" s="23">
        <v>2.0</v>
      </c>
      <c r="AG82" s="22">
        <v>2.0</v>
      </c>
      <c r="AH82" s="23">
        <v>5.0</v>
      </c>
      <c r="AI82" s="22">
        <v>-3.0</v>
      </c>
    </row>
    <row r="83" ht="15.75" customHeight="1">
      <c r="A83" s="24"/>
      <c r="B83" s="11">
        <v>45684.0</v>
      </c>
      <c r="C83" s="12" t="s">
        <v>53</v>
      </c>
      <c r="D83" s="12" t="s">
        <v>22</v>
      </c>
      <c r="E83" s="14" t="s">
        <v>108</v>
      </c>
      <c r="F83" s="13">
        <v>2.0</v>
      </c>
      <c r="G83" s="30" t="s">
        <v>24</v>
      </c>
      <c r="H83" s="13">
        <v>1.0</v>
      </c>
      <c r="I83" s="14" t="s">
        <v>202</v>
      </c>
      <c r="J83" s="117"/>
      <c r="K83" s="118">
        <f t="shared" si="9"/>
        <v>2</v>
      </c>
      <c r="L83" s="119">
        <f t="shared" si="10"/>
        <v>1</v>
      </c>
      <c r="M83" s="117"/>
      <c r="N83" s="119">
        <v>10.0</v>
      </c>
      <c r="O83" s="120" t="s">
        <v>159</v>
      </c>
      <c r="P83" s="119">
        <f t="shared" si="11"/>
        <v>9</v>
      </c>
      <c r="Q83" s="121">
        <f t="shared" si="12"/>
        <v>3</v>
      </c>
      <c r="R83" s="122"/>
      <c r="S83" s="122">
        <f t="shared" si="13"/>
        <v>0</v>
      </c>
      <c r="T83" s="119">
        <f t="shared" si="14"/>
        <v>6</v>
      </c>
      <c r="U83" s="122">
        <f t="shared" si="15"/>
        <v>0</v>
      </c>
      <c r="V83" s="119">
        <f t="shared" si="16"/>
        <v>6</v>
      </c>
      <c r="AA83" s="21">
        <v>10.0</v>
      </c>
      <c r="AB83" s="63" t="s">
        <v>134</v>
      </c>
      <c r="AC83" s="22">
        <v>2.0</v>
      </c>
      <c r="AD83" s="22">
        <v>1.0</v>
      </c>
      <c r="AE83" s="23"/>
      <c r="AF83" s="23">
        <v>2.0</v>
      </c>
      <c r="AG83" s="22">
        <v>2.0</v>
      </c>
      <c r="AH83" s="23">
        <v>5.0</v>
      </c>
      <c r="AI83" s="22">
        <v>-3.0</v>
      </c>
    </row>
    <row r="84" ht="15.75" customHeight="1">
      <c r="A84" s="24"/>
      <c r="B84" s="11">
        <v>45684.0</v>
      </c>
      <c r="C84" s="12" t="s">
        <v>53</v>
      </c>
      <c r="D84" s="12" t="s">
        <v>22</v>
      </c>
      <c r="E84" s="14" t="s">
        <v>64</v>
      </c>
      <c r="F84" s="13">
        <v>2.0</v>
      </c>
      <c r="G84" s="30" t="s">
        <v>24</v>
      </c>
      <c r="H84" s="13">
        <v>0.0</v>
      </c>
      <c r="I84" s="14" t="s">
        <v>65</v>
      </c>
      <c r="J84" s="117"/>
      <c r="K84" s="118">
        <f t="shared" si="9"/>
        <v>3</v>
      </c>
      <c r="L84" s="119">
        <f t="shared" si="10"/>
        <v>0</v>
      </c>
      <c r="M84" s="117"/>
      <c r="N84" s="136">
        <v>11.0</v>
      </c>
      <c r="O84" s="136" t="s">
        <v>64</v>
      </c>
      <c r="P84" s="119">
        <f t="shared" si="11"/>
        <v>9</v>
      </c>
      <c r="Q84" s="121">
        <f t="shared" si="12"/>
        <v>3</v>
      </c>
      <c r="S84" s="122">
        <f t="shared" si="13"/>
        <v>0</v>
      </c>
      <c r="T84" s="119">
        <f t="shared" si="14"/>
        <v>6</v>
      </c>
      <c r="U84" s="122">
        <f t="shared" si="15"/>
        <v>0</v>
      </c>
      <c r="V84" s="119">
        <f t="shared" si="16"/>
        <v>6</v>
      </c>
      <c r="AA84" s="47">
        <v>11.0</v>
      </c>
      <c r="AB84" s="63" t="s">
        <v>40</v>
      </c>
      <c r="AC84" s="22">
        <v>2.0</v>
      </c>
      <c r="AD84" s="22">
        <v>0.0</v>
      </c>
      <c r="AE84" s="23"/>
      <c r="AF84" s="23">
        <v>3.0</v>
      </c>
      <c r="AG84" s="22">
        <v>2.0</v>
      </c>
      <c r="AH84" s="23">
        <v>6.0</v>
      </c>
      <c r="AI84" s="22">
        <v>-4.0</v>
      </c>
    </row>
    <row r="85" ht="15.75" customHeight="1">
      <c r="A85" s="28"/>
      <c r="B85" s="11">
        <v>45684.0</v>
      </c>
      <c r="C85" s="12" t="s">
        <v>21</v>
      </c>
      <c r="D85" s="12" t="s">
        <v>22</v>
      </c>
      <c r="E85" s="14" t="s">
        <v>39</v>
      </c>
      <c r="F85" s="13">
        <v>0.0</v>
      </c>
      <c r="G85" s="30" t="s">
        <v>24</v>
      </c>
      <c r="H85" s="13">
        <v>2.0</v>
      </c>
      <c r="I85" s="14" t="s">
        <v>116</v>
      </c>
      <c r="J85" s="117"/>
      <c r="K85" s="118">
        <f t="shared" si="9"/>
        <v>0</v>
      </c>
      <c r="L85" s="119">
        <f t="shared" si="10"/>
        <v>3</v>
      </c>
      <c r="M85" s="117"/>
      <c r="AA85" s="34" t="s">
        <v>203</v>
      </c>
      <c r="AD85" s="36"/>
      <c r="AE85" s="36"/>
      <c r="AF85" s="3"/>
      <c r="AG85" s="3"/>
      <c r="AH85" s="3"/>
      <c r="AI85" s="3"/>
    </row>
    <row r="86" ht="15.75" customHeight="1">
      <c r="A86" s="58">
        <v>3.0</v>
      </c>
      <c r="B86" s="11">
        <v>45967.0</v>
      </c>
      <c r="C86" s="12" t="s">
        <v>30</v>
      </c>
      <c r="D86" s="12" t="s">
        <v>22</v>
      </c>
      <c r="E86" s="14" t="s">
        <v>144</v>
      </c>
      <c r="F86" s="13">
        <v>2.0</v>
      </c>
      <c r="G86" s="30" t="s">
        <v>24</v>
      </c>
      <c r="H86" s="13">
        <v>0.0</v>
      </c>
      <c r="I86" s="14" t="s">
        <v>61</v>
      </c>
      <c r="J86" s="117"/>
      <c r="K86" s="118">
        <f t="shared" si="9"/>
        <v>3</v>
      </c>
      <c r="L86" s="119">
        <f t="shared" si="10"/>
        <v>0</v>
      </c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AA86" s="73" t="s">
        <v>106</v>
      </c>
      <c r="AD86" s="36"/>
      <c r="AE86" s="36"/>
      <c r="AF86" s="3"/>
      <c r="AG86" s="3"/>
      <c r="AH86" s="3"/>
      <c r="AI86" s="3"/>
    </row>
    <row r="87" ht="15.75" customHeight="1">
      <c r="A87" s="24"/>
      <c r="B87" s="11">
        <v>45967.0</v>
      </c>
      <c r="C87" s="12" t="s">
        <v>30</v>
      </c>
      <c r="D87" s="12" t="s">
        <v>22</v>
      </c>
      <c r="E87" s="14" t="s">
        <v>40</v>
      </c>
      <c r="F87" s="13">
        <v>1.0</v>
      </c>
      <c r="G87" s="30" t="s">
        <v>24</v>
      </c>
      <c r="H87" s="13">
        <v>2.0</v>
      </c>
      <c r="I87" s="14" t="s">
        <v>134</v>
      </c>
      <c r="J87" s="117"/>
      <c r="K87" s="118">
        <f t="shared" si="9"/>
        <v>1</v>
      </c>
      <c r="L87" s="119">
        <f t="shared" si="10"/>
        <v>2</v>
      </c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AA87" s="127"/>
      <c r="AD87" s="36"/>
      <c r="AG87" s="3"/>
      <c r="AH87" s="3"/>
      <c r="AI87" s="3"/>
    </row>
    <row r="88" ht="15.75" customHeight="1">
      <c r="A88" s="24"/>
      <c r="B88" s="11">
        <v>45967.0</v>
      </c>
      <c r="C88" s="12" t="s">
        <v>30</v>
      </c>
      <c r="D88" s="12" t="s">
        <v>22</v>
      </c>
      <c r="E88" s="14" t="s">
        <v>159</v>
      </c>
      <c r="F88" s="13">
        <v>2.0</v>
      </c>
      <c r="G88" s="30" t="s">
        <v>24</v>
      </c>
      <c r="H88" s="13">
        <v>0.0</v>
      </c>
      <c r="I88" s="14" t="s">
        <v>108</v>
      </c>
      <c r="J88" s="117"/>
      <c r="K88" s="118">
        <f t="shared" si="9"/>
        <v>3</v>
      </c>
      <c r="L88" s="119">
        <f t="shared" si="10"/>
        <v>0</v>
      </c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AG88" s="3"/>
      <c r="AH88" s="3"/>
      <c r="AI88" s="3"/>
    </row>
    <row r="89" ht="15.75" customHeight="1">
      <c r="A89" s="24"/>
      <c r="B89" s="11">
        <v>45967.0</v>
      </c>
      <c r="C89" s="12" t="s">
        <v>35</v>
      </c>
      <c r="D89" s="12" t="s">
        <v>22</v>
      </c>
      <c r="E89" s="14" t="s">
        <v>202</v>
      </c>
      <c r="F89" s="13">
        <v>0.0</v>
      </c>
      <c r="G89" s="30" t="s">
        <v>24</v>
      </c>
      <c r="H89" s="13">
        <v>2.0</v>
      </c>
      <c r="I89" s="14" t="s">
        <v>64</v>
      </c>
      <c r="J89" s="128"/>
      <c r="K89" s="118">
        <f t="shared" si="9"/>
        <v>0</v>
      </c>
      <c r="L89" s="119">
        <f t="shared" si="10"/>
        <v>3</v>
      </c>
      <c r="M89" s="117"/>
      <c r="N89" s="117"/>
      <c r="O89" s="117"/>
      <c r="P89" s="117"/>
      <c r="R89" s="117"/>
      <c r="S89" s="117"/>
      <c r="T89" s="117"/>
      <c r="U89" s="117"/>
      <c r="V89" s="117"/>
      <c r="AG89" s="3"/>
      <c r="AH89" s="3"/>
      <c r="AI89" s="3"/>
    </row>
    <row r="90" ht="15.75" customHeight="1">
      <c r="A90" s="24"/>
      <c r="B90" s="11">
        <v>45967.0</v>
      </c>
      <c r="C90" s="12" t="s">
        <v>35</v>
      </c>
      <c r="D90" s="12" t="s">
        <v>22</v>
      </c>
      <c r="E90" s="14" t="s">
        <v>65</v>
      </c>
      <c r="F90" s="13">
        <v>0.0</v>
      </c>
      <c r="G90" s="30" t="s">
        <v>24</v>
      </c>
      <c r="H90" s="13">
        <v>2.0</v>
      </c>
      <c r="I90" s="14" t="s">
        <v>39</v>
      </c>
      <c r="J90" s="117"/>
      <c r="K90" s="118">
        <f t="shared" si="9"/>
        <v>0</v>
      </c>
      <c r="L90" s="119">
        <f t="shared" si="10"/>
        <v>3</v>
      </c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AG90" s="3"/>
      <c r="AH90" s="3"/>
      <c r="AI90" s="3"/>
    </row>
    <row r="91" ht="15.75" customHeight="1">
      <c r="A91" s="28"/>
      <c r="B91" s="131"/>
      <c r="C91" s="130"/>
      <c r="D91" s="130"/>
      <c r="E91" s="14">
        <v>0.0</v>
      </c>
      <c r="F91" s="30"/>
      <c r="G91" s="30" t="s">
        <v>24</v>
      </c>
      <c r="H91" s="30"/>
      <c r="I91" s="14" t="s">
        <v>116</v>
      </c>
      <c r="J91" s="117"/>
      <c r="K91" s="118" t="str">
        <f t="shared" si="9"/>
        <v/>
      </c>
      <c r="L91" s="119" t="str">
        <f t="shared" si="10"/>
        <v/>
      </c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AG91" s="3"/>
      <c r="AH91" s="3"/>
      <c r="AI91" s="3"/>
    </row>
    <row r="92" ht="15.75" customHeight="1">
      <c r="A92" s="137">
        <v>4.0</v>
      </c>
      <c r="B92" s="131"/>
      <c r="C92" s="130"/>
      <c r="D92" s="130"/>
      <c r="E92" s="14" t="s">
        <v>61</v>
      </c>
      <c r="F92" s="30"/>
      <c r="G92" s="30" t="s">
        <v>24</v>
      </c>
      <c r="H92" s="30"/>
      <c r="I92" s="14">
        <v>0.0</v>
      </c>
      <c r="J92" s="117"/>
      <c r="K92" s="118" t="str">
        <f t="shared" si="9"/>
        <v/>
      </c>
      <c r="L92" s="119" t="str">
        <f t="shared" si="10"/>
        <v/>
      </c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AG92" s="3"/>
      <c r="AH92" s="3"/>
      <c r="AI92" s="3"/>
    </row>
    <row r="93" ht="15.75" customHeight="1">
      <c r="A93" s="24"/>
      <c r="B93" s="131"/>
      <c r="C93" s="130"/>
      <c r="D93" s="130"/>
      <c r="E93" s="14" t="s">
        <v>134</v>
      </c>
      <c r="F93" s="30"/>
      <c r="G93" s="30" t="s">
        <v>24</v>
      </c>
      <c r="H93" s="30"/>
      <c r="I93" s="14" t="s">
        <v>144</v>
      </c>
      <c r="J93" s="117"/>
      <c r="K93" s="118" t="str">
        <f t="shared" si="9"/>
        <v/>
      </c>
      <c r="L93" s="119" t="str">
        <f t="shared" si="10"/>
        <v/>
      </c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AD93" s="36"/>
      <c r="AE93" s="36"/>
      <c r="AF93" s="3"/>
      <c r="AG93" s="3"/>
      <c r="AH93" s="3"/>
      <c r="AI93" s="3"/>
    </row>
    <row r="94" ht="15.75" customHeight="1">
      <c r="A94" s="24"/>
      <c r="B94" s="131"/>
      <c r="C94" s="130"/>
      <c r="D94" s="130"/>
      <c r="E94" s="14" t="s">
        <v>108</v>
      </c>
      <c r="F94" s="30"/>
      <c r="G94" s="30" t="s">
        <v>24</v>
      </c>
      <c r="H94" s="30"/>
      <c r="I94" s="14" t="s">
        <v>40</v>
      </c>
      <c r="J94" s="117"/>
      <c r="K94" s="118" t="str">
        <f t="shared" si="9"/>
        <v/>
      </c>
      <c r="L94" s="119" t="str">
        <f t="shared" si="10"/>
        <v/>
      </c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AD94" s="36"/>
      <c r="AE94" s="36"/>
      <c r="AF94" s="3"/>
      <c r="AG94" s="3"/>
      <c r="AH94" s="3"/>
      <c r="AI94" s="3"/>
    </row>
    <row r="95" ht="15.75" customHeight="1">
      <c r="A95" s="24"/>
      <c r="B95" s="131"/>
      <c r="C95" s="130"/>
      <c r="D95" s="130"/>
      <c r="E95" s="14" t="s">
        <v>64</v>
      </c>
      <c r="F95" s="30"/>
      <c r="G95" s="30" t="s">
        <v>24</v>
      </c>
      <c r="H95" s="30"/>
      <c r="I95" s="14" t="s">
        <v>159</v>
      </c>
      <c r="J95" s="117"/>
      <c r="K95" s="118" t="str">
        <f t="shared" si="9"/>
        <v/>
      </c>
      <c r="L95" s="119" t="str">
        <f t="shared" si="10"/>
        <v/>
      </c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AA95" s="3"/>
      <c r="AB95" s="116"/>
      <c r="AC95" s="3"/>
      <c r="AD95" s="3"/>
      <c r="AE95" s="3"/>
      <c r="AF95" s="3"/>
      <c r="AG95" s="3"/>
      <c r="AH95" s="3"/>
      <c r="AI95" s="3"/>
    </row>
    <row r="96" ht="15.75" customHeight="1">
      <c r="A96" s="24"/>
      <c r="B96" s="131"/>
      <c r="C96" s="130"/>
      <c r="D96" s="130"/>
      <c r="E96" s="14" t="s">
        <v>39</v>
      </c>
      <c r="F96" s="30"/>
      <c r="G96" s="30" t="s">
        <v>24</v>
      </c>
      <c r="H96" s="30"/>
      <c r="I96" s="14" t="s">
        <v>202</v>
      </c>
      <c r="J96" s="117"/>
      <c r="K96" s="118" t="str">
        <f t="shared" si="9"/>
        <v/>
      </c>
      <c r="L96" s="119" t="str">
        <f t="shared" si="10"/>
        <v/>
      </c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AA96" s="3"/>
      <c r="AB96" s="116"/>
      <c r="AC96" s="3"/>
      <c r="AD96" s="3"/>
      <c r="AE96" s="3"/>
      <c r="AF96" s="3"/>
      <c r="AG96" s="3"/>
      <c r="AH96" s="3"/>
      <c r="AI96" s="3"/>
    </row>
    <row r="97" ht="15.75" customHeight="1">
      <c r="A97" s="24"/>
      <c r="B97" s="131"/>
      <c r="C97" s="130"/>
      <c r="D97" s="130"/>
      <c r="E97" s="14" t="s">
        <v>116</v>
      </c>
      <c r="F97" s="30"/>
      <c r="G97" s="30" t="s">
        <v>24</v>
      </c>
      <c r="H97" s="30"/>
      <c r="I97" s="14" t="s">
        <v>65</v>
      </c>
      <c r="J97" s="117"/>
      <c r="K97" s="118" t="str">
        <f t="shared" si="9"/>
        <v/>
      </c>
      <c r="L97" s="119" t="str">
        <f t="shared" si="10"/>
        <v/>
      </c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AA97" s="3"/>
      <c r="AB97" s="116"/>
      <c r="AC97" s="3"/>
      <c r="AD97" s="3"/>
      <c r="AE97" s="3"/>
      <c r="AF97" s="3"/>
      <c r="AG97" s="3"/>
      <c r="AH97" s="3"/>
      <c r="AI97" s="3"/>
    </row>
    <row r="98" ht="15.75" customHeight="1">
      <c r="A98" s="58">
        <v>5.0</v>
      </c>
      <c r="B98" s="131"/>
      <c r="C98" s="130"/>
      <c r="D98" s="130"/>
      <c r="E98" s="14" t="s">
        <v>61</v>
      </c>
      <c r="F98" s="30"/>
      <c r="G98" s="30" t="s">
        <v>24</v>
      </c>
      <c r="H98" s="30"/>
      <c r="I98" s="14" t="s">
        <v>134</v>
      </c>
      <c r="J98" s="117"/>
      <c r="K98" s="118" t="str">
        <f t="shared" si="9"/>
        <v/>
      </c>
      <c r="L98" s="119" t="str">
        <f t="shared" si="10"/>
        <v/>
      </c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AA98" s="3"/>
      <c r="AB98" s="116"/>
      <c r="AC98" s="3"/>
      <c r="AD98" s="3"/>
      <c r="AE98" s="3"/>
      <c r="AF98" s="3"/>
      <c r="AG98" s="3"/>
      <c r="AH98" s="3"/>
      <c r="AI98" s="3"/>
    </row>
    <row r="99" ht="15.75" customHeight="1">
      <c r="A99" s="24"/>
      <c r="B99" s="131"/>
      <c r="C99" s="130"/>
      <c r="D99" s="130"/>
      <c r="E99" s="14" t="s">
        <v>144</v>
      </c>
      <c r="F99" s="130"/>
      <c r="G99" s="30" t="s">
        <v>24</v>
      </c>
      <c r="H99" s="30"/>
      <c r="I99" s="14" t="s">
        <v>108</v>
      </c>
      <c r="J99" s="117"/>
      <c r="K99" s="118" t="str">
        <f t="shared" si="9"/>
        <v/>
      </c>
      <c r="L99" s="119" t="str">
        <f t="shared" si="10"/>
        <v/>
      </c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AA99" s="3"/>
      <c r="AB99" s="116"/>
      <c r="AC99" s="3"/>
      <c r="AD99" s="3"/>
      <c r="AE99" s="3"/>
      <c r="AF99" s="3"/>
      <c r="AG99" s="3"/>
      <c r="AH99" s="3"/>
      <c r="AI99" s="3"/>
    </row>
    <row r="100" ht="15.75" customHeight="1">
      <c r="A100" s="24"/>
      <c r="B100" s="131"/>
      <c r="C100" s="130"/>
      <c r="D100" s="130"/>
      <c r="E100" s="14" t="s">
        <v>40</v>
      </c>
      <c r="F100" s="130"/>
      <c r="G100" s="30" t="s">
        <v>24</v>
      </c>
      <c r="H100" s="30"/>
      <c r="I100" s="14" t="s">
        <v>64</v>
      </c>
      <c r="J100" s="117"/>
      <c r="K100" s="118" t="str">
        <f t="shared" si="9"/>
        <v/>
      </c>
      <c r="L100" s="119" t="str">
        <f t="shared" si="10"/>
        <v/>
      </c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AA100" s="3"/>
      <c r="AB100" s="116"/>
      <c r="AC100" s="3"/>
      <c r="AD100" s="3"/>
      <c r="AE100" s="3"/>
      <c r="AF100" s="3"/>
      <c r="AG100" s="3"/>
      <c r="AH100" s="3"/>
      <c r="AI100" s="3"/>
    </row>
    <row r="101" ht="15.75" customHeight="1">
      <c r="A101" s="24"/>
      <c r="B101" s="131"/>
      <c r="C101" s="130"/>
      <c r="D101" s="130"/>
      <c r="E101" s="14" t="s">
        <v>159</v>
      </c>
      <c r="F101" s="130"/>
      <c r="G101" s="30" t="s">
        <v>24</v>
      </c>
      <c r="H101" s="30"/>
      <c r="I101" s="14" t="s">
        <v>39</v>
      </c>
      <c r="J101" s="117"/>
      <c r="K101" s="118" t="str">
        <f t="shared" si="9"/>
        <v/>
      </c>
      <c r="L101" s="119" t="str">
        <f t="shared" si="10"/>
        <v/>
      </c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AA101" s="3"/>
      <c r="AB101" s="116"/>
      <c r="AC101" s="3"/>
      <c r="AD101" s="3"/>
      <c r="AE101" s="3"/>
      <c r="AF101" s="3"/>
      <c r="AG101" s="3"/>
      <c r="AH101" s="3"/>
      <c r="AI101" s="3"/>
    </row>
    <row r="102" ht="15.75" customHeight="1">
      <c r="A102" s="24"/>
      <c r="B102" s="131"/>
      <c r="C102" s="130"/>
      <c r="D102" s="130"/>
      <c r="E102" s="14" t="s">
        <v>202</v>
      </c>
      <c r="F102" s="130"/>
      <c r="G102" s="30" t="s">
        <v>24</v>
      </c>
      <c r="H102" s="30"/>
      <c r="I102" s="14" t="s">
        <v>116</v>
      </c>
      <c r="J102" s="117"/>
      <c r="K102" s="118" t="str">
        <f t="shared" si="9"/>
        <v/>
      </c>
      <c r="L102" s="119" t="str">
        <f t="shared" si="10"/>
        <v/>
      </c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AA102" s="3"/>
      <c r="AB102" s="116"/>
      <c r="AC102" s="3"/>
      <c r="AD102" s="3"/>
      <c r="AE102" s="3"/>
      <c r="AF102" s="3"/>
      <c r="AG102" s="3"/>
      <c r="AH102" s="3"/>
      <c r="AI102" s="3"/>
    </row>
    <row r="103" ht="15.75" customHeight="1">
      <c r="A103" s="28"/>
      <c r="B103" s="131"/>
      <c r="C103" s="130"/>
      <c r="D103" s="130"/>
      <c r="E103" s="14">
        <v>0.0</v>
      </c>
      <c r="F103" s="130"/>
      <c r="G103" s="30" t="s">
        <v>24</v>
      </c>
      <c r="H103" s="30"/>
      <c r="I103" s="14" t="s">
        <v>65</v>
      </c>
      <c r="J103" s="117"/>
      <c r="K103" s="118" t="str">
        <f t="shared" si="9"/>
        <v/>
      </c>
      <c r="L103" s="119" t="str">
        <f t="shared" si="10"/>
        <v/>
      </c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AA103" s="3"/>
      <c r="AB103" s="116"/>
      <c r="AC103" s="3"/>
      <c r="AD103" s="3"/>
      <c r="AE103" s="3"/>
      <c r="AF103" s="3"/>
      <c r="AG103" s="3"/>
      <c r="AH103" s="3"/>
      <c r="AI103" s="3"/>
    </row>
    <row r="104" ht="15.75" customHeight="1">
      <c r="A104" s="58">
        <v>6.0</v>
      </c>
      <c r="B104" s="131"/>
      <c r="C104" s="132"/>
      <c r="D104" s="130"/>
      <c r="E104" s="14" t="s">
        <v>134</v>
      </c>
      <c r="F104" s="30"/>
      <c r="G104" s="30" t="s">
        <v>24</v>
      </c>
      <c r="H104" s="30"/>
      <c r="I104" s="14">
        <v>0.0</v>
      </c>
      <c r="J104" s="117"/>
      <c r="K104" s="118" t="str">
        <f t="shared" si="9"/>
        <v/>
      </c>
      <c r="L104" s="119" t="str">
        <f t="shared" si="10"/>
        <v/>
      </c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AA104" s="3"/>
      <c r="AB104" s="116"/>
      <c r="AC104" s="3"/>
      <c r="AD104" s="3"/>
      <c r="AE104" s="3"/>
      <c r="AF104" s="3"/>
      <c r="AG104" s="3"/>
      <c r="AH104" s="3"/>
      <c r="AI104" s="3"/>
    </row>
    <row r="105" ht="15.75" customHeight="1">
      <c r="A105" s="24"/>
      <c r="B105" s="131"/>
      <c r="C105" s="130"/>
      <c r="D105" s="130"/>
      <c r="E105" s="14" t="s">
        <v>108</v>
      </c>
      <c r="F105" s="30"/>
      <c r="G105" s="30" t="s">
        <v>24</v>
      </c>
      <c r="H105" s="30"/>
      <c r="I105" s="14" t="s">
        <v>61</v>
      </c>
      <c r="J105" s="117"/>
      <c r="K105" s="118" t="str">
        <f t="shared" si="9"/>
        <v/>
      </c>
      <c r="L105" s="119" t="str">
        <f t="shared" si="10"/>
        <v/>
      </c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AA105" s="3"/>
      <c r="AB105" s="116"/>
      <c r="AC105" s="3"/>
      <c r="AD105" s="3"/>
      <c r="AE105" s="3"/>
      <c r="AF105" s="3"/>
      <c r="AG105" s="3"/>
      <c r="AH105" s="3"/>
      <c r="AI105" s="3"/>
    </row>
    <row r="106" ht="15.75" customHeight="1">
      <c r="A106" s="24"/>
      <c r="B106" s="131"/>
      <c r="C106" s="130"/>
      <c r="D106" s="130"/>
      <c r="E106" s="14" t="s">
        <v>64</v>
      </c>
      <c r="F106" s="30"/>
      <c r="G106" s="30" t="s">
        <v>24</v>
      </c>
      <c r="H106" s="30"/>
      <c r="I106" s="14" t="s">
        <v>144</v>
      </c>
      <c r="J106" s="117"/>
      <c r="K106" s="118" t="str">
        <f t="shared" si="9"/>
        <v/>
      </c>
      <c r="L106" s="119" t="str">
        <f t="shared" si="10"/>
        <v/>
      </c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AA106" s="3"/>
      <c r="AB106" s="116"/>
      <c r="AC106" s="3"/>
      <c r="AD106" s="3"/>
      <c r="AE106" s="3"/>
      <c r="AF106" s="3"/>
      <c r="AG106" s="3"/>
      <c r="AH106" s="3"/>
      <c r="AI106" s="3"/>
    </row>
    <row r="107" ht="15.75" customHeight="1">
      <c r="A107" s="24"/>
      <c r="B107" s="131"/>
      <c r="C107" s="132"/>
      <c r="D107" s="130"/>
      <c r="E107" s="14" t="s">
        <v>39</v>
      </c>
      <c r="F107" s="30"/>
      <c r="G107" s="30" t="s">
        <v>24</v>
      </c>
      <c r="H107" s="30"/>
      <c r="I107" s="14" t="s">
        <v>40</v>
      </c>
      <c r="J107" s="117"/>
      <c r="K107" s="118" t="str">
        <f t="shared" si="9"/>
        <v/>
      </c>
      <c r="L107" s="119" t="str">
        <f t="shared" si="10"/>
        <v/>
      </c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AA107" s="3"/>
      <c r="AB107" s="116"/>
      <c r="AC107" s="3"/>
      <c r="AD107" s="3"/>
      <c r="AE107" s="3"/>
      <c r="AF107" s="3"/>
      <c r="AG107" s="3"/>
      <c r="AH107" s="3"/>
      <c r="AI107" s="3"/>
    </row>
    <row r="108" ht="15.75" customHeight="1">
      <c r="A108" s="24"/>
      <c r="B108" s="131"/>
      <c r="C108" s="130"/>
      <c r="D108" s="130"/>
      <c r="E108" s="14" t="s">
        <v>116</v>
      </c>
      <c r="F108" s="30"/>
      <c r="G108" s="30" t="s">
        <v>24</v>
      </c>
      <c r="H108" s="30"/>
      <c r="I108" s="14" t="s">
        <v>159</v>
      </c>
      <c r="J108" s="117"/>
      <c r="K108" s="118" t="str">
        <f t="shared" si="9"/>
        <v/>
      </c>
      <c r="L108" s="119" t="str">
        <f t="shared" si="10"/>
        <v/>
      </c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AA108" s="3"/>
      <c r="AB108" s="116"/>
      <c r="AC108" s="3"/>
      <c r="AD108" s="3"/>
      <c r="AE108" s="3"/>
      <c r="AF108" s="3"/>
      <c r="AG108" s="3"/>
      <c r="AH108" s="3"/>
      <c r="AI108" s="3"/>
    </row>
    <row r="109" ht="15.75" customHeight="1">
      <c r="A109" s="28"/>
      <c r="B109" s="131"/>
      <c r="C109" s="130"/>
      <c r="D109" s="130"/>
      <c r="E109" s="14" t="s">
        <v>65</v>
      </c>
      <c r="F109" s="30"/>
      <c r="G109" s="30" t="s">
        <v>24</v>
      </c>
      <c r="H109" s="30"/>
      <c r="I109" s="14" t="s">
        <v>202</v>
      </c>
      <c r="J109" s="117"/>
      <c r="K109" s="118" t="str">
        <f t="shared" si="9"/>
        <v/>
      </c>
      <c r="L109" s="119" t="str">
        <f t="shared" si="10"/>
        <v/>
      </c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AA109" s="3"/>
      <c r="AB109" s="116"/>
      <c r="AC109" s="3"/>
      <c r="AD109" s="3"/>
      <c r="AE109" s="3"/>
      <c r="AF109" s="3"/>
      <c r="AG109" s="3"/>
      <c r="AH109" s="3"/>
      <c r="AI109" s="3"/>
    </row>
    <row r="110" ht="15.75" customHeight="1">
      <c r="A110" s="58">
        <v>7.0</v>
      </c>
      <c r="B110" s="131"/>
      <c r="C110" s="132"/>
      <c r="D110" s="130"/>
      <c r="E110" s="14" t="s">
        <v>134</v>
      </c>
      <c r="F110" s="30"/>
      <c r="G110" s="30" t="s">
        <v>24</v>
      </c>
      <c r="H110" s="30"/>
      <c r="I110" s="14" t="s">
        <v>108</v>
      </c>
      <c r="J110" s="117"/>
      <c r="K110" s="118" t="str">
        <f t="shared" si="9"/>
        <v/>
      </c>
      <c r="L110" s="119" t="str">
        <f t="shared" si="10"/>
        <v/>
      </c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AA110" s="3"/>
      <c r="AB110" s="116"/>
      <c r="AC110" s="3"/>
      <c r="AD110" s="3"/>
      <c r="AE110" s="3"/>
      <c r="AF110" s="3"/>
      <c r="AG110" s="3"/>
      <c r="AH110" s="3"/>
      <c r="AI110" s="3"/>
    </row>
    <row r="111" ht="15.75" customHeight="1">
      <c r="A111" s="24"/>
      <c r="B111" s="131"/>
      <c r="C111" s="132"/>
      <c r="D111" s="130"/>
      <c r="E111" s="14" t="s">
        <v>61</v>
      </c>
      <c r="F111" s="30"/>
      <c r="G111" s="30" t="s">
        <v>24</v>
      </c>
      <c r="H111" s="30"/>
      <c r="I111" s="14" t="s">
        <v>64</v>
      </c>
      <c r="J111" s="117"/>
      <c r="K111" s="118" t="str">
        <f t="shared" si="9"/>
        <v/>
      </c>
      <c r="L111" s="119" t="str">
        <f t="shared" si="10"/>
        <v/>
      </c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AA111" s="3"/>
      <c r="AB111" s="116"/>
      <c r="AC111" s="3"/>
      <c r="AD111" s="3"/>
      <c r="AE111" s="3"/>
      <c r="AF111" s="3"/>
      <c r="AG111" s="3"/>
      <c r="AH111" s="3"/>
      <c r="AI111" s="3"/>
    </row>
    <row r="112" ht="15.75" customHeight="1">
      <c r="A112" s="24"/>
      <c r="B112" s="131"/>
      <c r="C112" s="132"/>
      <c r="D112" s="130"/>
      <c r="E112" s="14" t="s">
        <v>144</v>
      </c>
      <c r="F112" s="30"/>
      <c r="G112" s="30" t="s">
        <v>24</v>
      </c>
      <c r="H112" s="30"/>
      <c r="I112" s="14" t="s">
        <v>39</v>
      </c>
      <c r="J112" s="117"/>
      <c r="K112" s="118" t="str">
        <f t="shared" si="9"/>
        <v/>
      </c>
      <c r="L112" s="119" t="str">
        <f t="shared" si="10"/>
        <v/>
      </c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AA112" s="3"/>
      <c r="AB112" s="116"/>
      <c r="AC112" s="3"/>
      <c r="AD112" s="3"/>
      <c r="AE112" s="3"/>
      <c r="AF112" s="3"/>
      <c r="AG112" s="3"/>
      <c r="AH112" s="3"/>
      <c r="AI112" s="3"/>
    </row>
    <row r="113" ht="15.75" customHeight="1">
      <c r="A113" s="24"/>
      <c r="B113" s="131"/>
      <c r="C113" s="132"/>
      <c r="D113" s="130"/>
      <c r="E113" s="14" t="s">
        <v>40</v>
      </c>
      <c r="F113" s="30"/>
      <c r="G113" s="30" t="s">
        <v>24</v>
      </c>
      <c r="H113" s="30"/>
      <c r="I113" s="14" t="s">
        <v>116</v>
      </c>
      <c r="J113" s="117"/>
      <c r="K113" s="118" t="str">
        <f t="shared" si="9"/>
        <v/>
      </c>
      <c r="L113" s="119" t="str">
        <f t="shared" si="10"/>
        <v/>
      </c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AA113" s="3"/>
      <c r="AB113" s="116"/>
      <c r="AC113" s="3"/>
      <c r="AD113" s="3"/>
      <c r="AE113" s="3"/>
      <c r="AF113" s="3"/>
      <c r="AG113" s="3"/>
      <c r="AH113" s="3"/>
      <c r="AI113" s="3"/>
    </row>
    <row r="114" ht="15.75" customHeight="1">
      <c r="A114" s="24"/>
      <c r="B114" s="131"/>
      <c r="C114" s="130"/>
      <c r="D114" s="130"/>
      <c r="E114" s="14" t="s">
        <v>159</v>
      </c>
      <c r="F114" s="30"/>
      <c r="G114" s="30" t="s">
        <v>24</v>
      </c>
      <c r="H114" s="30"/>
      <c r="I114" s="14" t="s">
        <v>65</v>
      </c>
      <c r="J114" s="117"/>
      <c r="K114" s="118" t="str">
        <f t="shared" si="9"/>
        <v/>
      </c>
      <c r="L114" s="119" t="str">
        <f t="shared" si="10"/>
        <v/>
      </c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AA114" s="3"/>
      <c r="AB114" s="116"/>
      <c r="AC114" s="3"/>
      <c r="AD114" s="3"/>
      <c r="AE114" s="3"/>
      <c r="AF114" s="3"/>
      <c r="AG114" s="3"/>
      <c r="AH114" s="3"/>
      <c r="AI114" s="3"/>
    </row>
    <row r="115" ht="15.75" customHeight="1">
      <c r="A115" s="28"/>
      <c r="B115" s="131"/>
      <c r="C115" s="130"/>
      <c r="D115" s="130"/>
      <c r="E115" s="14">
        <v>0.0</v>
      </c>
      <c r="F115" s="30"/>
      <c r="G115" s="30" t="s">
        <v>24</v>
      </c>
      <c r="H115" s="30"/>
      <c r="I115" s="14" t="s">
        <v>202</v>
      </c>
      <c r="J115" s="117"/>
      <c r="K115" s="118" t="str">
        <f t="shared" si="9"/>
        <v/>
      </c>
      <c r="L115" s="119" t="str">
        <f t="shared" si="10"/>
        <v/>
      </c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AA115" s="3"/>
      <c r="AB115" s="116"/>
      <c r="AC115" s="3"/>
      <c r="AD115" s="3"/>
      <c r="AE115" s="3"/>
      <c r="AF115" s="3"/>
      <c r="AG115" s="3"/>
      <c r="AH115" s="3"/>
      <c r="AI115" s="3"/>
    </row>
    <row r="116" ht="15.75" customHeight="1">
      <c r="A116" s="58">
        <v>8.0</v>
      </c>
      <c r="B116" s="131"/>
      <c r="C116" s="132"/>
      <c r="D116" s="130"/>
      <c r="E116" s="14" t="s">
        <v>108</v>
      </c>
      <c r="F116" s="30"/>
      <c r="G116" s="30" t="s">
        <v>24</v>
      </c>
      <c r="H116" s="30"/>
      <c r="I116" s="14">
        <v>0.0</v>
      </c>
      <c r="J116" s="117"/>
      <c r="K116" s="118" t="str">
        <f t="shared" si="9"/>
        <v/>
      </c>
      <c r="L116" s="119" t="str">
        <f t="shared" si="10"/>
        <v/>
      </c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AA116" s="3"/>
      <c r="AB116" s="116"/>
      <c r="AC116" s="3"/>
      <c r="AD116" s="3"/>
      <c r="AE116" s="3"/>
      <c r="AF116" s="3"/>
      <c r="AG116" s="3"/>
      <c r="AH116" s="3"/>
      <c r="AI116" s="3"/>
    </row>
    <row r="117" ht="15.75" customHeight="1">
      <c r="A117" s="24"/>
      <c r="B117" s="131"/>
      <c r="C117" s="132"/>
      <c r="D117" s="130"/>
      <c r="E117" s="14" t="s">
        <v>64</v>
      </c>
      <c r="F117" s="30"/>
      <c r="G117" s="30" t="s">
        <v>24</v>
      </c>
      <c r="H117" s="30"/>
      <c r="I117" s="14" t="s">
        <v>134</v>
      </c>
      <c r="J117" s="117"/>
      <c r="K117" s="118" t="str">
        <f t="shared" si="9"/>
        <v/>
      </c>
      <c r="L117" s="119" t="str">
        <f t="shared" si="10"/>
        <v/>
      </c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AA117" s="3"/>
      <c r="AB117" s="116"/>
      <c r="AC117" s="3"/>
      <c r="AD117" s="3"/>
      <c r="AE117" s="3"/>
      <c r="AF117" s="3"/>
      <c r="AG117" s="3"/>
      <c r="AH117" s="3"/>
      <c r="AI117" s="3"/>
    </row>
    <row r="118" ht="15.75" customHeight="1">
      <c r="A118" s="24"/>
      <c r="B118" s="131"/>
      <c r="C118" s="132"/>
      <c r="D118" s="130"/>
      <c r="E118" s="14" t="s">
        <v>39</v>
      </c>
      <c r="F118" s="30"/>
      <c r="G118" s="30" t="s">
        <v>24</v>
      </c>
      <c r="H118" s="30"/>
      <c r="I118" s="14" t="s">
        <v>61</v>
      </c>
      <c r="J118" s="117"/>
      <c r="K118" s="118" t="str">
        <f t="shared" si="9"/>
        <v/>
      </c>
      <c r="L118" s="119" t="str">
        <f t="shared" si="10"/>
        <v/>
      </c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AA118" s="3"/>
      <c r="AB118" s="116"/>
      <c r="AC118" s="3"/>
      <c r="AD118" s="3"/>
      <c r="AE118" s="3"/>
      <c r="AF118" s="3"/>
      <c r="AG118" s="3"/>
      <c r="AH118" s="3"/>
      <c r="AI118" s="3"/>
    </row>
    <row r="119" ht="15.75" customHeight="1">
      <c r="A119" s="24"/>
      <c r="B119" s="131"/>
      <c r="C119" s="132"/>
      <c r="D119" s="130"/>
      <c r="E119" s="14" t="s">
        <v>116</v>
      </c>
      <c r="F119" s="30"/>
      <c r="G119" s="30" t="s">
        <v>24</v>
      </c>
      <c r="H119" s="30"/>
      <c r="I119" s="14" t="s">
        <v>144</v>
      </c>
      <c r="J119" s="117"/>
      <c r="K119" s="118" t="str">
        <f t="shared" si="9"/>
        <v/>
      </c>
      <c r="L119" s="119" t="str">
        <f t="shared" si="10"/>
        <v/>
      </c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AA119" s="3"/>
      <c r="AB119" s="116"/>
      <c r="AC119" s="3"/>
      <c r="AD119" s="3"/>
      <c r="AE119" s="3"/>
      <c r="AF119" s="3"/>
      <c r="AG119" s="3"/>
      <c r="AH119" s="3"/>
      <c r="AI119" s="3"/>
    </row>
    <row r="120" ht="15.75" customHeight="1">
      <c r="A120" s="24"/>
      <c r="B120" s="131"/>
      <c r="C120" s="130"/>
      <c r="D120" s="130"/>
      <c r="E120" s="14" t="s">
        <v>65</v>
      </c>
      <c r="F120" s="30"/>
      <c r="G120" s="30" t="s">
        <v>24</v>
      </c>
      <c r="H120" s="30"/>
      <c r="I120" s="14" t="s">
        <v>40</v>
      </c>
      <c r="J120" s="117"/>
      <c r="K120" s="118" t="str">
        <f t="shared" si="9"/>
        <v/>
      </c>
      <c r="L120" s="119" t="str">
        <f t="shared" si="10"/>
        <v/>
      </c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AA120" s="3"/>
      <c r="AB120" s="116"/>
      <c r="AC120" s="3"/>
      <c r="AD120" s="3"/>
      <c r="AE120" s="3"/>
      <c r="AF120" s="3"/>
      <c r="AG120" s="3"/>
      <c r="AH120" s="3"/>
      <c r="AI120" s="3"/>
    </row>
    <row r="121" ht="15.75" customHeight="1">
      <c r="A121" s="28"/>
      <c r="B121" s="131"/>
      <c r="C121" s="130"/>
      <c r="D121" s="130"/>
      <c r="E121" s="14" t="s">
        <v>202</v>
      </c>
      <c r="F121" s="30"/>
      <c r="G121" s="30" t="s">
        <v>24</v>
      </c>
      <c r="H121" s="30"/>
      <c r="I121" s="14" t="s">
        <v>159</v>
      </c>
      <c r="J121" s="117"/>
      <c r="K121" s="118" t="str">
        <f t="shared" si="9"/>
        <v/>
      </c>
      <c r="L121" s="119" t="str">
        <f t="shared" si="10"/>
        <v/>
      </c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AA121" s="3"/>
      <c r="AB121" s="116"/>
      <c r="AC121" s="3"/>
      <c r="AD121" s="3"/>
      <c r="AE121" s="3"/>
      <c r="AF121" s="3"/>
      <c r="AG121" s="3"/>
      <c r="AH121" s="3"/>
      <c r="AI121" s="3"/>
    </row>
    <row r="122" ht="15.75" customHeight="1">
      <c r="A122" s="58">
        <v>9.0</v>
      </c>
      <c r="B122" s="131"/>
      <c r="C122" s="132"/>
      <c r="D122" s="130"/>
      <c r="E122" s="14" t="s">
        <v>108</v>
      </c>
      <c r="F122" s="30"/>
      <c r="G122" s="30" t="s">
        <v>24</v>
      </c>
      <c r="H122" s="30"/>
      <c r="I122" s="14" t="s">
        <v>64</v>
      </c>
      <c r="J122" s="117"/>
      <c r="K122" s="118" t="str">
        <f t="shared" si="9"/>
        <v/>
      </c>
      <c r="L122" s="119" t="str">
        <f t="shared" si="10"/>
        <v/>
      </c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AA122" s="3"/>
      <c r="AB122" s="116"/>
      <c r="AC122" s="3"/>
      <c r="AD122" s="3"/>
      <c r="AE122" s="3"/>
      <c r="AF122" s="3"/>
      <c r="AG122" s="3"/>
      <c r="AH122" s="3"/>
      <c r="AI122" s="3"/>
    </row>
    <row r="123" ht="15.75" customHeight="1">
      <c r="A123" s="24"/>
      <c r="B123" s="131"/>
      <c r="C123" s="132"/>
      <c r="D123" s="130"/>
      <c r="E123" s="14" t="s">
        <v>134</v>
      </c>
      <c r="F123" s="30"/>
      <c r="G123" s="30" t="s">
        <v>24</v>
      </c>
      <c r="H123" s="30"/>
      <c r="I123" s="14" t="s">
        <v>39</v>
      </c>
      <c r="J123" s="117"/>
      <c r="K123" s="118" t="str">
        <f t="shared" si="9"/>
        <v/>
      </c>
      <c r="L123" s="119" t="str">
        <f t="shared" si="10"/>
        <v/>
      </c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AA123" s="3"/>
      <c r="AB123" s="116"/>
      <c r="AC123" s="3"/>
      <c r="AD123" s="3"/>
      <c r="AE123" s="3"/>
      <c r="AF123" s="3"/>
      <c r="AG123" s="3"/>
      <c r="AH123" s="3"/>
      <c r="AI123" s="3"/>
    </row>
    <row r="124" ht="15.75" customHeight="1">
      <c r="A124" s="24"/>
      <c r="B124" s="131"/>
      <c r="C124" s="132"/>
      <c r="D124" s="130"/>
      <c r="E124" s="14" t="s">
        <v>61</v>
      </c>
      <c r="F124" s="30"/>
      <c r="G124" s="30" t="s">
        <v>24</v>
      </c>
      <c r="H124" s="30"/>
      <c r="I124" s="14" t="s">
        <v>116</v>
      </c>
      <c r="J124" s="117"/>
      <c r="K124" s="118" t="str">
        <f t="shared" si="9"/>
        <v/>
      </c>
      <c r="L124" s="119" t="str">
        <f t="shared" si="10"/>
        <v/>
      </c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AA124" s="3"/>
      <c r="AB124" s="116"/>
      <c r="AC124" s="3"/>
      <c r="AD124" s="3"/>
      <c r="AE124" s="3"/>
      <c r="AF124" s="3"/>
      <c r="AG124" s="3"/>
      <c r="AH124" s="3"/>
      <c r="AI124" s="3"/>
    </row>
    <row r="125" ht="15.75" customHeight="1">
      <c r="A125" s="24"/>
      <c r="B125" s="131"/>
      <c r="C125" s="132"/>
      <c r="D125" s="130"/>
      <c r="E125" s="14" t="s">
        <v>144</v>
      </c>
      <c r="F125" s="30"/>
      <c r="G125" s="30" t="s">
        <v>24</v>
      </c>
      <c r="H125" s="30"/>
      <c r="I125" s="14" t="s">
        <v>65</v>
      </c>
      <c r="J125" s="117"/>
      <c r="K125" s="118" t="str">
        <f t="shared" si="9"/>
        <v/>
      </c>
      <c r="L125" s="119" t="str">
        <f t="shared" si="10"/>
        <v/>
      </c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AA125" s="3"/>
      <c r="AB125" s="116"/>
      <c r="AC125" s="3"/>
      <c r="AD125" s="3"/>
      <c r="AE125" s="3"/>
      <c r="AF125" s="3"/>
      <c r="AG125" s="3"/>
      <c r="AH125" s="3"/>
      <c r="AI125" s="3"/>
    </row>
    <row r="126" ht="15.75" customHeight="1">
      <c r="A126" s="24"/>
      <c r="B126" s="131"/>
      <c r="C126" s="130"/>
      <c r="D126" s="130"/>
      <c r="E126" s="14" t="s">
        <v>40</v>
      </c>
      <c r="F126" s="30"/>
      <c r="G126" s="30" t="s">
        <v>24</v>
      </c>
      <c r="H126" s="30"/>
      <c r="I126" s="14" t="s">
        <v>202</v>
      </c>
      <c r="J126" s="117"/>
      <c r="K126" s="118" t="str">
        <f t="shared" si="9"/>
        <v/>
      </c>
      <c r="L126" s="119" t="str">
        <f t="shared" si="10"/>
        <v/>
      </c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AA126" s="3"/>
      <c r="AB126" s="116"/>
      <c r="AC126" s="3"/>
      <c r="AD126" s="3"/>
      <c r="AE126" s="3"/>
      <c r="AF126" s="3"/>
      <c r="AG126" s="3"/>
      <c r="AH126" s="3"/>
      <c r="AI126" s="3"/>
    </row>
    <row r="127" ht="15.75" customHeight="1">
      <c r="A127" s="28"/>
      <c r="B127" s="131"/>
      <c r="C127" s="130"/>
      <c r="D127" s="130"/>
      <c r="E127" s="14">
        <v>0.0</v>
      </c>
      <c r="F127" s="30"/>
      <c r="G127" s="30" t="s">
        <v>24</v>
      </c>
      <c r="H127" s="30"/>
      <c r="I127" s="14" t="s">
        <v>159</v>
      </c>
      <c r="J127" s="117"/>
      <c r="K127" s="118" t="str">
        <f t="shared" si="9"/>
        <v/>
      </c>
      <c r="L127" s="119" t="str">
        <f t="shared" si="10"/>
        <v/>
      </c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AA127" s="3"/>
      <c r="AB127" s="116"/>
      <c r="AC127" s="3"/>
      <c r="AD127" s="3"/>
      <c r="AE127" s="3"/>
      <c r="AF127" s="3"/>
      <c r="AG127" s="3"/>
      <c r="AH127" s="3"/>
      <c r="AI127" s="3"/>
    </row>
    <row r="128" ht="15.75" customHeight="1">
      <c r="A128" s="58">
        <v>10.0</v>
      </c>
      <c r="B128" s="131"/>
      <c r="C128" s="132"/>
      <c r="D128" s="130"/>
      <c r="E128" s="14">
        <v>0.0</v>
      </c>
      <c r="F128" s="30"/>
      <c r="G128" s="30" t="s">
        <v>24</v>
      </c>
      <c r="H128" s="30"/>
      <c r="I128" s="14" t="s">
        <v>64</v>
      </c>
      <c r="J128" s="117"/>
      <c r="K128" s="118" t="str">
        <f t="shared" si="9"/>
        <v/>
      </c>
      <c r="L128" s="119" t="str">
        <f t="shared" si="10"/>
        <v/>
      </c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AA128" s="3"/>
      <c r="AB128" s="116"/>
      <c r="AC128" s="3"/>
      <c r="AD128" s="3"/>
      <c r="AE128" s="3"/>
      <c r="AF128" s="3"/>
      <c r="AG128" s="3"/>
      <c r="AH128" s="3"/>
      <c r="AI128" s="3"/>
    </row>
    <row r="129" ht="15.75" customHeight="1">
      <c r="A129" s="24"/>
      <c r="B129" s="131"/>
      <c r="C129" s="132"/>
      <c r="D129" s="130"/>
      <c r="E129" s="14" t="s">
        <v>39</v>
      </c>
      <c r="F129" s="30"/>
      <c r="G129" s="30" t="s">
        <v>24</v>
      </c>
      <c r="H129" s="30"/>
      <c r="I129" s="14" t="s">
        <v>108</v>
      </c>
      <c r="J129" s="117"/>
      <c r="K129" s="118" t="str">
        <f t="shared" si="9"/>
        <v/>
      </c>
      <c r="L129" s="119" t="str">
        <f t="shared" si="10"/>
        <v/>
      </c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AA129" s="3"/>
      <c r="AB129" s="116"/>
      <c r="AC129" s="3"/>
      <c r="AD129" s="3"/>
      <c r="AE129" s="3"/>
      <c r="AF129" s="3"/>
      <c r="AG129" s="3"/>
      <c r="AH129" s="3"/>
      <c r="AI129" s="3"/>
    </row>
    <row r="130" ht="15.75" customHeight="1">
      <c r="A130" s="24"/>
      <c r="B130" s="131"/>
      <c r="C130" s="132"/>
      <c r="D130" s="130"/>
      <c r="E130" s="14" t="s">
        <v>116</v>
      </c>
      <c r="F130" s="30"/>
      <c r="G130" s="30" t="s">
        <v>24</v>
      </c>
      <c r="H130" s="30"/>
      <c r="I130" s="14" t="s">
        <v>134</v>
      </c>
      <c r="J130" s="117"/>
      <c r="K130" s="118" t="str">
        <f t="shared" si="9"/>
        <v/>
      </c>
      <c r="L130" s="119" t="str">
        <f t="shared" si="10"/>
        <v/>
      </c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AA130" s="3"/>
      <c r="AB130" s="116"/>
      <c r="AC130" s="3"/>
      <c r="AD130" s="3"/>
      <c r="AE130" s="3"/>
      <c r="AF130" s="3"/>
      <c r="AG130" s="3"/>
      <c r="AH130" s="3"/>
      <c r="AI130" s="3"/>
    </row>
    <row r="131" ht="15.75" customHeight="1">
      <c r="A131" s="24"/>
      <c r="B131" s="131"/>
      <c r="C131" s="132"/>
      <c r="D131" s="130"/>
      <c r="E131" s="14" t="s">
        <v>65</v>
      </c>
      <c r="F131" s="30"/>
      <c r="G131" s="30" t="s">
        <v>24</v>
      </c>
      <c r="H131" s="30"/>
      <c r="I131" s="14" t="s">
        <v>61</v>
      </c>
      <c r="J131" s="117"/>
      <c r="K131" s="118" t="str">
        <f t="shared" si="9"/>
        <v/>
      </c>
      <c r="L131" s="119" t="str">
        <f t="shared" si="10"/>
        <v/>
      </c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AA131" s="3"/>
      <c r="AB131" s="116"/>
      <c r="AC131" s="3"/>
      <c r="AD131" s="3"/>
      <c r="AE131" s="3"/>
      <c r="AF131" s="3"/>
      <c r="AG131" s="3"/>
      <c r="AH131" s="3"/>
      <c r="AI131" s="3"/>
    </row>
    <row r="132" ht="15.75" customHeight="1">
      <c r="A132" s="24"/>
      <c r="B132" s="131"/>
      <c r="C132" s="130"/>
      <c r="D132" s="130"/>
      <c r="E132" s="14" t="s">
        <v>202</v>
      </c>
      <c r="F132" s="30"/>
      <c r="G132" s="30" t="s">
        <v>24</v>
      </c>
      <c r="H132" s="30"/>
      <c r="I132" s="14" t="s">
        <v>144</v>
      </c>
      <c r="J132" s="117"/>
      <c r="K132" s="118" t="str">
        <f t="shared" si="9"/>
        <v/>
      </c>
      <c r="L132" s="119" t="str">
        <f t="shared" si="10"/>
        <v/>
      </c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AA132" s="3"/>
      <c r="AB132" s="116"/>
      <c r="AC132" s="3"/>
      <c r="AD132" s="3"/>
      <c r="AE132" s="3"/>
      <c r="AF132" s="3"/>
      <c r="AG132" s="3"/>
      <c r="AH132" s="3"/>
      <c r="AI132" s="3"/>
    </row>
    <row r="133" ht="15.75" customHeight="1">
      <c r="A133" s="28"/>
      <c r="B133" s="131"/>
      <c r="C133" s="130"/>
      <c r="D133" s="130"/>
      <c r="E133" s="14" t="s">
        <v>159</v>
      </c>
      <c r="F133" s="30"/>
      <c r="G133" s="30" t="s">
        <v>24</v>
      </c>
      <c r="H133" s="30"/>
      <c r="I133" s="14" t="s">
        <v>40</v>
      </c>
      <c r="J133" s="117"/>
      <c r="K133" s="118" t="str">
        <f t="shared" si="9"/>
        <v/>
      </c>
      <c r="L133" s="119" t="str">
        <f t="shared" si="10"/>
        <v/>
      </c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AA133" s="3"/>
      <c r="AB133" s="116"/>
      <c r="AC133" s="3"/>
      <c r="AD133" s="3"/>
      <c r="AE133" s="3"/>
      <c r="AF133" s="3"/>
      <c r="AG133" s="3"/>
      <c r="AH133" s="3"/>
      <c r="AI133" s="3"/>
    </row>
    <row r="134" ht="15.75" customHeight="1">
      <c r="A134" s="58">
        <v>11.0</v>
      </c>
      <c r="B134" s="131"/>
      <c r="C134" s="132"/>
      <c r="D134" s="130"/>
      <c r="E134" s="14" t="s">
        <v>64</v>
      </c>
      <c r="F134" s="13"/>
      <c r="G134" s="30" t="s">
        <v>24</v>
      </c>
      <c r="H134" s="13"/>
      <c r="I134" s="14" t="s">
        <v>39</v>
      </c>
      <c r="J134" s="117"/>
      <c r="K134" s="118" t="str">
        <f t="shared" si="9"/>
        <v/>
      </c>
      <c r="L134" s="119" t="str">
        <f t="shared" si="10"/>
        <v/>
      </c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AA134" s="3"/>
      <c r="AB134" s="116"/>
      <c r="AC134" s="3"/>
      <c r="AD134" s="3"/>
      <c r="AE134" s="3"/>
      <c r="AF134" s="3"/>
      <c r="AG134" s="3"/>
      <c r="AH134" s="3"/>
      <c r="AI134" s="3"/>
    </row>
    <row r="135" ht="15.75" customHeight="1">
      <c r="A135" s="24"/>
      <c r="B135" s="131"/>
      <c r="C135" s="132"/>
      <c r="D135" s="130"/>
      <c r="E135" s="14" t="s">
        <v>108</v>
      </c>
      <c r="F135" s="30"/>
      <c r="G135" s="30" t="s">
        <v>24</v>
      </c>
      <c r="H135" s="30"/>
      <c r="I135" s="14" t="s">
        <v>116</v>
      </c>
      <c r="J135" s="117"/>
      <c r="K135" s="118" t="str">
        <f t="shared" si="9"/>
        <v/>
      </c>
      <c r="L135" s="119" t="str">
        <f t="shared" si="10"/>
        <v/>
      </c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AA135" s="3"/>
      <c r="AB135" s="116"/>
      <c r="AC135" s="3"/>
      <c r="AD135" s="3"/>
      <c r="AE135" s="3"/>
      <c r="AF135" s="3"/>
      <c r="AG135" s="3"/>
      <c r="AH135" s="3"/>
      <c r="AI135" s="3"/>
    </row>
    <row r="136" ht="15.75" customHeight="1">
      <c r="A136" s="24"/>
      <c r="B136" s="131"/>
      <c r="C136" s="132"/>
      <c r="D136" s="130"/>
      <c r="E136" s="14" t="s">
        <v>134</v>
      </c>
      <c r="F136" s="13"/>
      <c r="G136" s="30" t="s">
        <v>24</v>
      </c>
      <c r="H136" s="13"/>
      <c r="I136" s="14" t="s">
        <v>65</v>
      </c>
      <c r="J136" s="117"/>
      <c r="K136" s="118" t="str">
        <f t="shared" si="9"/>
        <v/>
      </c>
      <c r="L136" s="119" t="str">
        <f t="shared" si="10"/>
        <v/>
      </c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AA136" s="3"/>
      <c r="AB136" s="116"/>
      <c r="AC136" s="3"/>
      <c r="AD136" s="3"/>
      <c r="AE136" s="3"/>
      <c r="AF136" s="3"/>
      <c r="AG136" s="3"/>
      <c r="AH136" s="3"/>
      <c r="AI136" s="3"/>
    </row>
    <row r="137" ht="15.75" customHeight="1">
      <c r="A137" s="24"/>
      <c r="B137" s="131"/>
      <c r="C137" s="132"/>
      <c r="D137" s="130"/>
      <c r="E137" s="14" t="s">
        <v>61</v>
      </c>
      <c r="F137" s="30"/>
      <c r="G137" s="30" t="s">
        <v>24</v>
      </c>
      <c r="H137" s="30"/>
      <c r="I137" s="14" t="s">
        <v>202</v>
      </c>
      <c r="J137" s="117"/>
      <c r="K137" s="118" t="str">
        <f t="shared" si="9"/>
        <v/>
      </c>
      <c r="L137" s="119" t="str">
        <f t="shared" si="10"/>
        <v/>
      </c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AA137" s="3"/>
      <c r="AB137" s="116"/>
      <c r="AC137" s="3"/>
      <c r="AD137" s="3"/>
      <c r="AE137" s="3"/>
      <c r="AF137" s="3"/>
      <c r="AG137" s="3"/>
      <c r="AH137" s="3"/>
      <c r="AI137" s="3"/>
    </row>
    <row r="138" ht="15.75" customHeight="1">
      <c r="A138" s="24"/>
      <c r="B138" s="131"/>
      <c r="C138" s="130"/>
      <c r="D138" s="130"/>
      <c r="E138" s="14" t="s">
        <v>144</v>
      </c>
      <c r="F138" s="13"/>
      <c r="G138" s="30" t="s">
        <v>24</v>
      </c>
      <c r="H138" s="13"/>
      <c r="I138" s="14" t="s">
        <v>159</v>
      </c>
      <c r="J138" s="117"/>
      <c r="K138" s="118" t="str">
        <f t="shared" si="9"/>
        <v/>
      </c>
      <c r="L138" s="119" t="str">
        <f t="shared" si="10"/>
        <v/>
      </c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AA138" s="3"/>
      <c r="AB138" s="116"/>
      <c r="AC138" s="3"/>
      <c r="AD138" s="3"/>
      <c r="AE138" s="3"/>
      <c r="AF138" s="3"/>
      <c r="AG138" s="3"/>
      <c r="AH138" s="3"/>
      <c r="AI138" s="3"/>
    </row>
    <row r="139" ht="15.75" customHeight="1">
      <c r="A139" s="28"/>
      <c r="B139" s="131"/>
      <c r="C139" s="130"/>
      <c r="D139" s="130"/>
      <c r="E139" s="14" t="s">
        <v>40</v>
      </c>
      <c r="F139" s="30"/>
      <c r="G139" s="30" t="s">
        <v>24</v>
      </c>
      <c r="H139" s="30"/>
      <c r="I139" s="14">
        <v>0.0</v>
      </c>
      <c r="J139" s="117"/>
      <c r="K139" s="118" t="str">
        <f t="shared" si="9"/>
        <v/>
      </c>
      <c r="L139" s="119" t="str">
        <f t="shared" si="10"/>
        <v/>
      </c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AA139" s="3"/>
      <c r="AB139" s="116"/>
      <c r="AC139" s="3"/>
      <c r="AD139" s="3"/>
      <c r="AE139" s="3"/>
      <c r="AF139" s="3"/>
      <c r="AG139" s="3"/>
      <c r="AH139" s="3"/>
      <c r="AI139" s="3"/>
    </row>
    <row r="140" ht="15.75" customHeight="1">
      <c r="A140" s="138"/>
      <c r="B140" s="139"/>
      <c r="C140" s="140"/>
      <c r="D140" s="140"/>
      <c r="E140" s="141"/>
      <c r="F140" s="38"/>
      <c r="G140" s="38"/>
      <c r="H140" s="38"/>
      <c r="I140" s="141"/>
      <c r="J140" s="117"/>
      <c r="K140" s="118"/>
      <c r="L140" s="119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AA140" s="3"/>
      <c r="AB140" s="116"/>
      <c r="AC140" s="3"/>
      <c r="AD140" s="3"/>
      <c r="AE140" s="3"/>
      <c r="AF140" s="3"/>
      <c r="AG140" s="3"/>
      <c r="AH140" s="3"/>
      <c r="AI140" s="3"/>
    </row>
    <row r="141" ht="15.75" customHeight="1">
      <c r="A141" s="134"/>
      <c r="B141" s="135"/>
      <c r="C141" s="135"/>
      <c r="D141" s="135"/>
      <c r="E141" s="1"/>
      <c r="F141" s="135"/>
      <c r="G141" s="135"/>
      <c r="I141" s="116"/>
      <c r="AA141" s="3"/>
      <c r="AB141" s="116"/>
      <c r="AC141" s="3"/>
      <c r="AD141" s="3"/>
      <c r="AE141" s="3"/>
      <c r="AF141" s="3"/>
      <c r="AG141" s="3"/>
      <c r="AH141" s="3"/>
      <c r="AI141" s="3"/>
    </row>
    <row r="142" ht="15.75" customHeight="1">
      <c r="A142" s="134"/>
      <c r="B142" s="135"/>
      <c r="C142" s="135"/>
      <c r="D142" s="135"/>
      <c r="E142" s="1"/>
      <c r="F142" s="135"/>
      <c r="G142" s="135"/>
      <c r="I142" s="116"/>
      <c r="AA142" s="3"/>
      <c r="AB142" s="116"/>
      <c r="AC142" s="3"/>
      <c r="AD142" s="3"/>
      <c r="AE142" s="3"/>
      <c r="AF142" s="3"/>
      <c r="AG142" s="3"/>
      <c r="AH142" s="3"/>
      <c r="AI142" s="3"/>
    </row>
    <row r="143" ht="15.75" customHeight="1">
      <c r="A143" s="134"/>
      <c r="B143" s="135"/>
      <c r="C143" s="135"/>
      <c r="D143" s="135"/>
      <c r="E143" s="1"/>
      <c r="F143" s="135"/>
      <c r="G143" s="135"/>
      <c r="I143" s="116"/>
      <c r="AA143" s="3"/>
      <c r="AB143" s="116"/>
      <c r="AC143" s="3"/>
      <c r="AD143" s="3"/>
      <c r="AE143" s="3"/>
      <c r="AF143" s="3"/>
      <c r="AG143" s="3"/>
      <c r="AH143" s="3"/>
      <c r="AI143" s="3"/>
    </row>
    <row r="144" ht="15.75" customHeight="1">
      <c r="A144" s="142" t="s">
        <v>204</v>
      </c>
      <c r="I144" s="116"/>
      <c r="AA144" s="3"/>
      <c r="AB144" s="116"/>
      <c r="AC144" s="3"/>
      <c r="AD144" s="3"/>
      <c r="AE144" s="3"/>
      <c r="AF144" s="3"/>
      <c r="AG144" s="3"/>
      <c r="AH144" s="3"/>
      <c r="AI144" s="3"/>
    </row>
    <row r="145" ht="15.75" customHeight="1">
      <c r="A145" s="57" t="s">
        <v>1</v>
      </c>
      <c r="B145" s="5" t="s">
        <v>2</v>
      </c>
      <c r="C145" s="5" t="s">
        <v>3</v>
      </c>
      <c r="D145" s="5" t="s">
        <v>4</v>
      </c>
      <c r="E145" s="5" t="s">
        <v>5</v>
      </c>
      <c r="F145" s="6" t="s">
        <v>6</v>
      </c>
      <c r="G145" s="7"/>
      <c r="H145" s="8"/>
      <c r="I145" s="5" t="s">
        <v>7</v>
      </c>
      <c r="J145" s="9" t="s">
        <v>8</v>
      </c>
      <c r="K145" s="9" t="s">
        <v>9</v>
      </c>
      <c r="L145" s="9" t="s">
        <v>10</v>
      </c>
      <c r="M145" s="9"/>
      <c r="N145" s="9" t="s">
        <v>11</v>
      </c>
      <c r="O145" s="9" t="s">
        <v>12</v>
      </c>
      <c r="P145" s="9" t="s">
        <v>13</v>
      </c>
      <c r="Q145" s="9" t="s">
        <v>14</v>
      </c>
      <c r="R145" s="9"/>
      <c r="S145" s="9" t="s">
        <v>16</v>
      </c>
      <c r="T145" s="9" t="s">
        <v>196</v>
      </c>
      <c r="U145" s="9" t="s">
        <v>197</v>
      </c>
      <c r="V145" s="9" t="s">
        <v>198</v>
      </c>
      <c r="W145" s="3"/>
      <c r="X145" s="103" t="s">
        <v>20</v>
      </c>
      <c r="Y145" s="8"/>
      <c r="Z145" s="3"/>
      <c r="AA145" s="5" t="s">
        <v>11</v>
      </c>
      <c r="AB145" s="5" t="s">
        <v>12</v>
      </c>
      <c r="AC145" s="5" t="s">
        <v>13</v>
      </c>
      <c r="AD145" s="5" t="s">
        <v>14</v>
      </c>
      <c r="AE145" s="5" t="s">
        <v>15</v>
      </c>
      <c r="AF145" s="5" t="s">
        <v>16</v>
      </c>
      <c r="AG145" s="5" t="s">
        <v>196</v>
      </c>
      <c r="AH145" s="5" t="s">
        <v>197</v>
      </c>
      <c r="AI145" s="5" t="s">
        <v>198</v>
      </c>
    </row>
    <row r="146" ht="15.75" customHeight="1">
      <c r="A146" s="58">
        <v>1.0</v>
      </c>
      <c r="B146" s="11">
        <v>45944.0</v>
      </c>
      <c r="C146" s="12" t="s">
        <v>149</v>
      </c>
      <c r="D146" s="12" t="s">
        <v>22</v>
      </c>
      <c r="E146" s="14" t="s">
        <v>122</v>
      </c>
      <c r="F146" s="13">
        <v>2.0</v>
      </c>
      <c r="G146" s="30" t="s">
        <v>24</v>
      </c>
      <c r="H146" s="13">
        <v>1.0</v>
      </c>
      <c r="I146" s="14" t="s">
        <v>56</v>
      </c>
      <c r="J146" s="117"/>
      <c r="K146" s="118">
        <f t="shared" ref="K146:K211" si="17">IFS(F146=H146+2,3,F146=H146-2,0,F146=H146+1,2,F146=H146-1,1,F146="","")</f>
        <v>2</v>
      </c>
      <c r="L146" s="119">
        <f t="shared" ref="L146:L211" si="18">IFS(H146=F146+2,3,H146=F146-2,0,H146=F146+1,2,H146=F146-1,1,H146="","")</f>
        <v>1</v>
      </c>
      <c r="M146" s="117"/>
      <c r="N146" s="119">
        <v>1.0</v>
      </c>
      <c r="O146" s="120" t="s">
        <v>122</v>
      </c>
      <c r="P146" s="119">
        <f t="shared" ref="P146:P156" si="19">SUMIF(E$146:E$211,O146,K$146:K$211)+SUMIF(I$146:I$211,O146,L$146:L$211)</f>
        <v>7</v>
      </c>
      <c r="Q146" s="121">
        <f t="shared" ref="Q146:Q156" si="20">COUNTIFS(E$146:E$211,O146,K$146:K$211,2)+COUNTIFS(I$146:I$211,O146,L$146:L$211,2)+COUNTIFS(E$146:E$211,O146,K$146:K$211,3)+COUNTIFS(I$146:I$211,O146,L$146:L$211,3)</f>
        <v>3</v>
      </c>
      <c r="R146" s="122"/>
      <c r="S146" s="122">
        <f t="shared" ref="S146:S156" si="21">COUNTIFS(E$146:E$211,O146,K$146:K$211,1)+COUNTIFS(I$146:I$211,O146,L$146:L$211,1)+COUNTIFS(E$146:E$211,O146,K$146:K$211,0)+COUNTIFS(I$146:I$211,O146,L$146:L$211,0)</f>
        <v>0</v>
      </c>
      <c r="T146" s="119">
        <f t="shared" ref="T146:T156" si="22">SUMIF(E$146:E$211,O146,F$146:F$211)+SUMIF(I$146:I$211,O146,H$146:H$211)</f>
        <v>6</v>
      </c>
      <c r="U146" s="122">
        <f t="shared" ref="U146:U156" si="23">SUMIF(E$146:E$211,O146,H$146:H$211)+SUMIF(I$146:I$211,O146,F$146:F$211)</f>
        <v>2</v>
      </c>
      <c r="V146" s="119">
        <f t="shared" ref="V146:V156" si="24">T146-U146</f>
        <v>4</v>
      </c>
      <c r="X146" s="107" t="s">
        <v>26</v>
      </c>
      <c r="Y146" s="107" t="s">
        <v>13</v>
      </c>
      <c r="AA146" s="41" t="s">
        <v>29</v>
      </c>
      <c r="AB146" s="63" t="str">
        <f t="array" ref="AB146:AI156">SORT(O146:V156,2,FALSE,8,FALSE)</f>
        <v>Eng. Física</v>
      </c>
      <c r="AC146" s="22">
        <v>9.0</v>
      </c>
      <c r="AD146" s="22">
        <v>3.0</v>
      </c>
      <c r="AE146" s="23"/>
      <c r="AF146" s="23">
        <v>0.0</v>
      </c>
      <c r="AG146" s="22">
        <v>6.0</v>
      </c>
      <c r="AH146" s="23">
        <v>0.0</v>
      </c>
      <c r="AI146" s="22">
        <v>6.0</v>
      </c>
    </row>
    <row r="147" ht="15.75" customHeight="1">
      <c r="A147" s="24"/>
      <c r="B147" s="11">
        <v>45944.0</v>
      </c>
      <c r="C147" s="12" t="s">
        <v>149</v>
      </c>
      <c r="D147" s="12" t="s">
        <v>22</v>
      </c>
      <c r="E147" s="14" t="s">
        <v>45</v>
      </c>
      <c r="F147" s="13">
        <v>2.0</v>
      </c>
      <c r="G147" s="30" t="s">
        <v>24</v>
      </c>
      <c r="H147" s="13">
        <v>0.0</v>
      </c>
      <c r="I147" s="14" t="s">
        <v>42</v>
      </c>
      <c r="J147" s="117"/>
      <c r="K147" s="118">
        <f t="shared" si="17"/>
        <v>3</v>
      </c>
      <c r="L147" s="119">
        <f t="shared" si="18"/>
        <v>0</v>
      </c>
      <c r="M147" s="117"/>
      <c r="N147" s="119">
        <v>2.0</v>
      </c>
      <c r="O147" s="120" t="s">
        <v>145</v>
      </c>
      <c r="P147" s="119">
        <f t="shared" si="19"/>
        <v>4</v>
      </c>
      <c r="Q147" s="121">
        <f t="shared" si="20"/>
        <v>1</v>
      </c>
      <c r="R147" s="122"/>
      <c r="S147" s="122">
        <f t="shared" si="21"/>
        <v>1</v>
      </c>
      <c r="T147" s="119">
        <f t="shared" si="22"/>
        <v>3</v>
      </c>
      <c r="U147" s="122">
        <f t="shared" si="23"/>
        <v>2</v>
      </c>
      <c r="V147" s="119">
        <f t="shared" si="24"/>
        <v>1</v>
      </c>
      <c r="X147" s="108" t="s">
        <v>33</v>
      </c>
      <c r="Y147" s="108">
        <v>3.0</v>
      </c>
      <c r="AA147" s="95" t="s">
        <v>112</v>
      </c>
      <c r="AB147" s="63" t="s">
        <v>122</v>
      </c>
      <c r="AC147" s="22">
        <v>7.0</v>
      </c>
      <c r="AD147" s="22">
        <v>3.0</v>
      </c>
      <c r="AE147" s="23"/>
      <c r="AF147" s="23">
        <v>0.0</v>
      </c>
      <c r="AG147" s="22">
        <v>6.0</v>
      </c>
      <c r="AH147" s="23">
        <v>2.0</v>
      </c>
      <c r="AI147" s="22">
        <v>4.0</v>
      </c>
    </row>
    <row r="148" ht="15.75" customHeight="1">
      <c r="A148" s="24"/>
      <c r="B148" s="11">
        <v>45944.0</v>
      </c>
      <c r="C148" s="12" t="s">
        <v>147</v>
      </c>
      <c r="D148" s="12" t="s">
        <v>22</v>
      </c>
      <c r="E148" s="14" t="s">
        <v>205</v>
      </c>
      <c r="F148" s="13">
        <v>2.0</v>
      </c>
      <c r="G148" s="30" t="s">
        <v>24</v>
      </c>
      <c r="H148" s="13">
        <v>0.0</v>
      </c>
      <c r="I148" s="14" t="s">
        <v>62</v>
      </c>
      <c r="J148" s="117"/>
      <c r="K148" s="118">
        <f t="shared" si="17"/>
        <v>3</v>
      </c>
      <c r="L148" s="119">
        <f t="shared" si="18"/>
        <v>0</v>
      </c>
      <c r="M148" s="117"/>
      <c r="N148" s="119">
        <v>3.0</v>
      </c>
      <c r="O148" s="120" t="s">
        <v>56</v>
      </c>
      <c r="P148" s="119">
        <f t="shared" si="19"/>
        <v>4</v>
      </c>
      <c r="Q148" s="121">
        <f t="shared" si="20"/>
        <v>1</v>
      </c>
      <c r="R148" s="122"/>
      <c r="S148" s="122">
        <f t="shared" si="21"/>
        <v>1</v>
      </c>
      <c r="T148" s="119">
        <f t="shared" si="22"/>
        <v>3</v>
      </c>
      <c r="U148" s="122">
        <f t="shared" si="23"/>
        <v>2</v>
      </c>
      <c r="V148" s="119">
        <f t="shared" si="24"/>
        <v>1</v>
      </c>
      <c r="X148" s="108" t="s">
        <v>39</v>
      </c>
      <c r="Y148" s="108">
        <v>0.0</v>
      </c>
      <c r="AA148" s="21">
        <v>3.0</v>
      </c>
      <c r="AB148" s="63" t="s">
        <v>33</v>
      </c>
      <c r="AC148" s="22">
        <v>6.0</v>
      </c>
      <c r="AD148" s="22">
        <v>2.0</v>
      </c>
      <c r="AE148" s="23"/>
      <c r="AF148" s="23">
        <v>1.0</v>
      </c>
      <c r="AG148" s="22">
        <v>4.0</v>
      </c>
      <c r="AH148" s="23">
        <v>2.0</v>
      </c>
      <c r="AI148" s="22">
        <v>2.0</v>
      </c>
    </row>
    <row r="149" ht="15.75" customHeight="1">
      <c r="A149" s="24"/>
      <c r="B149" s="11">
        <v>45944.0</v>
      </c>
      <c r="C149" s="12" t="s">
        <v>176</v>
      </c>
      <c r="D149" s="12" t="s">
        <v>22</v>
      </c>
      <c r="E149" s="14" t="s">
        <v>55</v>
      </c>
      <c r="F149" s="13">
        <v>1.0</v>
      </c>
      <c r="G149" s="30" t="s">
        <v>24</v>
      </c>
      <c r="H149" s="13">
        <v>2.0</v>
      </c>
      <c r="I149" s="14" t="s">
        <v>110</v>
      </c>
      <c r="J149" s="117"/>
      <c r="K149" s="118">
        <f t="shared" si="17"/>
        <v>1</v>
      </c>
      <c r="L149" s="119">
        <f t="shared" si="18"/>
        <v>2</v>
      </c>
      <c r="M149" s="117"/>
      <c r="N149" s="119">
        <v>4.0</v>
      </c>
      <c r="O149" s="120" t="s">
        <v>60</v>
      </c>
      <c r="P149" s="119">
        <f t="shared" si="19"/>
        <v>2</v>
      </c>
      <c r="Q149" s="121">
        <f t="shared" si="20"/>
        <v>1</v>
      </c>
      <c r="R149" s="122"/>
      <c r="S149" s="122">
        <f t="shared" si="21"/>
        <v>1</v>
      </c>
      <c r="T149" s="119">
        <f t="shared" si="22"/>
        <v>2</v>
      </c>
      <c r="U149" s="122">
        <f t="shared" si="23"/>
        <v>3</v>
      </c>
      <c r="V149" s="119">
        <f t="shared" si="24"/>
        <v>-1</v>
      </c>
      <c r="AA149" s="21">
        <v>4.0</v>
      </c>
      <c r="AB149" s="63" t="s">
        <v>145</v>
      </c>
      <c r="AC149" s="22">
        <v>4.0</v>
      </c>
      <c r="AD149" s="22">
        <v>1.0</v>
      </c>
      <c r="AE149" s="23"/>
      <c r="AF149" s="23">
        <v>1.0</v>
      </c>
      <c r="AG149" s="22">
        <v>3.0</v>
      </c>
      <c r="AH149" s="23">
        <v>2.0</v>
      </c>
      <c r="AI149" s="22">
        <v>1.0</v>
      </c>
    </row>
    <row r="150" ht="15.75" customHeight="1">
      <c r="A150" s="24"/>
      <c r="B150" s="11">
        <v>45944.0</v>
      </c>
      <c r="C150" s="12" t="s">
        <v>176</v>
      </c>
      <c r="D150" s="12" t="s">
        <v>22</v>
      </c>
      <c r="E150" s="14" t="s">
        <v>60</v>
      </c>
      <c r="F150" s="13">
        <v>0.0</v>
      </c>
      <c r="G150" s="30" t="s">
        <v>24</v>
      </c>
      <c r="H150" s="13">
        <v>2.0</v>
      </c>
      <c r="I150" s="14" t="s">
        <v>33</v>
      </c>
      <c r="J150" s="117"/>
      <c r="K150" s="118">
        <f t="shared" si="17"/>
        <v>0</v>
      </c>
      <c r="L150" s="119">
        <f t="shared" si="18"/>
        <v>3</v>
      </c>
      <c r="M150" s="117"/>
      <c r="N150" s="119">
        <v>5.0</v>
      </c>
      <c r="O150" s="120" t="s">
        <v>42</v>
      </c>
      <c r="P150" s="119">
        <f t="shared" si="19"/>
        <v>1</v>
      </c>
      <c r="Q150" s="121">
        <f t="shared" si="20"/>
        <v>0</v>
      </c>
      <c r="R150" s="122"/>
      <c r="S150" s="122">
        <f t="shared" si="21"/>
        <v>3</v>
      </c>
      <c r="T150" s="119">
        <f t="shared" si="22"/>
        <v>1</v>
      </c>
      <c r="U150" s="122">
        <f t="shared" si="23"/>
        <v>6</v>
      </c>
      <c r="V150" s="119">
        <f t="shared" si="24"/>
        <v>-5</v>
      </c>
      <c r="AA150" s="21">
        <v>5.0</v>
      </c>
      <c r="AB150" s="63" t="s">
        <v>56</v>
      </c>
      <c r="AC150" s="22">
        <v>4.0</v>
      </c>
      <c r="AD150" s="22">
        <v>1.0</v>
      </c>
      <c r="AE150" s="23"/>
      <c r="AF150" s="23">
        <v>1.0</v>
      </c>
      <c r="AG150" s="22">
        <v>3.0</v>
      </c>
      <c r="AH150" s="23">
        <v>2.0</v>
      </c>
      <c r="AI150" s="22">
        <v>1.0</v>
      </c>
    </row>
    <row r="151" ht="15.75" customHeight="1">
      <c r="A151" s="28"/>
      <c r="B151" s="131"/>
      <c r="C151" s="132"/>
      <c r="D151" s="130"/>
      <c r="E151" s="14">
        <v>0.0</v>
      </c>
      <c r="F151" s="30"/>
      <c r="G151" s="30" t="s">
        <v>24</v>
      </c>
      <c r="H151" s="30"/>
      <c r="I151" s="14" t="s">
        <v>145</v>
      </c>
      <c r="J151" s="117"/>
      <c r="K151" s="118" t="str">
        <f t="shared" si="17"/>
        <v/>
      </c>
      <c r="L151" s="119" t="str">
        <f t="shared" si="18"/>
        <v/>
      </c>
      <c r="M151" s="117"/>
      <c r="N151" s="119">
        <v>6.0</v>
      </c>
      <c r="O151" s="120" t="s">
        <v>55</v>
      </c>
      <c r="P151" s="119">
        <f t="shared" si="19"/>
        <v>4</v>
      </c>
      <c r="Q151" s="121">
        <f t="shared" si="20"/>
        <v>1</v>
      </c>
      <c r="R151" s="122"/>
      <c r="S151" s="122">
        <f t="shared" si="21"/>
        <v>2</v>
      </c>
      <c r="T151" s="119">
        <f t="shared" si="22"/>
        <v>3</v>
      </c>
      <c r="U151" s="122">
        <f t="shared" si="23"/>
        <v>4</v>
      </c>
      <c r="V151" s="119">
        <f t="shared" si="24"/>
        <v>-1</v>
      </c>
      <c r="AA151" s="21">
        <v>6.0</v>
      </c>
      <c r="AB151" s="63" t="s">
        <v>110</v>
      </c>
      <c r="AC151" s="22">
        <v>4.0</v>
      </c>
      <c r="AD151" s="22">
        <v>2.0</v>
      </c>
      <c r="AE151" s="23"/>
      <c r="AF151" s="23">
        <v>1.0</v>
      </c>
      <c r="AG151" s="22">
        <v>4.0</v>
      </c>
      <c r="AH151" s="23">
        <v>4.0</v>
      </c>
      <c r="AI151" s="22">
        <v>0.0</v>
      </c>
    </row>
    <row r="152" ht="15.75" customHeight="1">
      <c r="A152" s="58">
        <v>2.0</v>
      </c>
      <c r="B152" s="131"/>
      <c r="C152" s="132"/>
      <c r="D152" s="130"/>
      <c r="E152" s="14" t="s">
        <v>56</v>
      </c>
      <c r="F152" s="30"/>
      <c r="G152" s="30" t="s">
        <v>24</v>
      </c>
      <c r="H152" s="30"/>
      <c r="I152" s="14">
        <v>0.0</v>
      </c>
      <c r="J152" s="117"/>
      <c r="K152" s="118" t="str">
        <f t="shared" si="17"/>
        <v/>
      </c>
      <c r="L152" s="119" t="str">
        <f t="shared" si="18"/>
        <v/>
      </c>
      <c r="M152" s="117"/>
      <c r="N152" s="119">
        <v>7.0</v>
      </c>
      <c r="O152" s="120" t="s">
        <v>62</v>
      </c>
      <c r="P152" s="119">
        <f t="shared" si="19"/>
        <v>0</v>
      </c>
      <c r="Q152" s="121">
        <f t="shared" si="20"/>
        <v>0</v>
      </c>
      <c r="R152" s="122"/>
      <c r="S152" s="122">
        <f t="shared" si="21"/>
        <v>3</v>
      </c>
      <c r="T152" s="119">
        <f t="shared" si="22"/>
        <v>0</v>
      </c>
      <c r="U152" s="122">
        <f t="shared" si="23"/>
        <v>6</v>
      </c>
      <c r="V152" s="119">
        <f t="shared" si="24"/>
        <v>-6</v>
      </c>
      <c r="AA152" s="21">
        <v>7.0</v>
      </c>
      <c r="AB152" s="63" t="s">
        <v>55</v>
      </c>
      <c r="AC152" s="22">
        <v>4.0</v>
      </c>
      <c r="AD152" s="22">
        <v>1.0</v>
      </c>
      <c r="AE152" s="23"/>
      <c r="AF152" s="23">
        <v>2.0</v>
      </c>
      <c r="AG152" s="22">
        <v>3.0</v>
      </c>
      <c r="AH152" s="23">
        <v>4.0</v>
      </c>
      <c r="AI152" s="22">
        <v>-1.0</v>
      </c>
    </row>
    <row r="153" ht="15.75" customHeight="1">
      <c r="A153" s="24"/>
      <c r="B153" s="11">
        <v>45944.0</v>
      </c>
      <c r="C153" s="12" t="s">
        <v>176</v>
      </c>
      <c r="D153" s="12" t="s">
        <v>22</v>
      </c>
      <c r="E153" s="14" t="s">
        <v>42</v>
      </c>
      <c r="F153" s="13">
        <v>1.0</v>
      </c>
      <c r="G153" s="30" t="s">
        <v>24</v>
      </c>
      <c r="H153" s="13">
        <v>2.0</v>
      </c>
      <c r="I153" s="14" t="s">
        <v>122</v>
      </c>
      <c r="J153" s="117"/>
      <c r="K153" s="118">
        <f t="shared" si="17"/>
        <v>1</v>
      </c>
      <c r="L153" s="119">
        <f t="shared" si="18"/>
        <v>2</v>
      </c>
      <c r="M153" s="117"/>
      <c r="N153" s="119">
        <v>8.0</v>
      </c>
      <c r="O153" s="120" t="s">
        <v>205</v>
      </c>
      <c r="P153" s="119">
        <f t="shared" si="19"/>
        <v>4</v>
      </c>
      <c r="Q153" s="121">
        <f t="shared" si="20"/>
        <v>1</v>
      </c>
      <c r="R153" s="122"/>
      <c r="S153" s="122">
        <f t="shared" si="21"/>
        <v>2</v>
      </c>
      <c r="T153" s="119">
        <f t="shared" si="22"/>
        <v>3</v>
      </c>
      <c r="U153" s="122">
        <f t="shared" si="23"/>
        <v>4</v>
      </c>
      <c r="V153" s="119">
        <f t="shared" si="24"/>
        <v>-1</v>
      </c>
      <c r="AA153" s="21">
        <v>8.0</v>
      </c>
      <c r="AB153" s="63" t="s">
        <v>205</v>
      </c>
      <c r="AC153" s="22">
        <v>4.0</v>
      </c>
      <c r="AD153" s="22">
        <v>1.0</v>
      </c>
      <c r="AE153" s="23"/>
      <c r="AF153" s="23">
        <v>2.0</v>
      </c>
      <c r="AG153" s="22">
        <v>3.0</v>
      </c>
      <c r="AH153" s="23">
        <v>4.0</v>
      </c>
      <c r="AI153" s="22">
        <v>-1.0</v>
      </c>
    </row>
    <row r="154" ht="15.75" customHeight="1">
      <c r="A154" s="24"/>
      <c r="B154" s="11">
        <v>45959.0</v>
      </c>
      <c r="C154" s="64" t="s">
        <v>142</v>
      </c>
      <c r="D154" s="12" t="s">
        <v>22</v>
      </c>
      <c r="E154" s="14" t="s">
        <v>62</v>
      </c>
      <c r="F154" s="13">
        <v>0.0</v>
      </c>
      <c r="G154" s="30" t="s">
        <v>24</v>
      </c>
      <c r="H154" s="13">
        <v>2.0</v>
      </c>
      <c r="I154" s="14" t="s">
        <v>45</v>
      </c>
      <c r="J154" s="117"/>
      <c r="K154" s="118">
        <f t="shared" si="17"/>
        <v>0</v>
      </c>
      <c r="L154" s="119">
        <f t="shared" si="18"/>
        <v>3</v>
      </c>
      <c r="M154" s="117"/>
      <c r="N154" s="119">
        <v>9.0</v>
      </c>
      <c r="O154" s="120" t="s">
        <v>110</v>
      </c>
      <c r="P154" s="119">
        <f t="shared" si="19"/>
        <v>4</v>
      </c>
      <c r="Q154" s="121">
        <f t="shared" si="20"/>
        <v>2</v>
      </c>
      <c r="R154" s="122"/>
      <c r="S154" s="122">
        <f t="shared" si="21"/>
        <v>1</v>
      </c>
      <c r="T154" s="119">
        <f t="shared" si="22"/>
        <v>4</v>
      </c>
      <c r="U154" s="122">
        <f t="shared" si="23"/>
        <v>4</v>
      </c>
      <c r="V154" s="119">
        <f t="shared" si="24"/>
        <v>0</v>
      </c>
      <c r="AA154" s="21">
        <v>9.0</v>
      </c>
      <c r="AB154" s="63" t="s">
        <v>60</v>
      </c>
      <c r="AC154" s="22">
        <v>2.0</v>
      </c>
      <c r="AD154" s="22">
        <v>1.0</v>
      </c>
      <c r="AE154" s="23"/>
      <c r="AF154" s="23">
        <v>1.0</v>
      </c>
      <c r="AG154" s="22">
        <v>2.0</v>
      </c>
      <c r="AH154" s="23">
        <v>3.0</v>
      </c>
      <c r="AI154" s="22">
        <v>-1.0</v>
      </c>
    </row>
    <row r="155" ht="15.75" customHeight="1">
      <c r="A155" s="24"/>
      <c r="B155" s="11">
        <v>45946.0</v>
      </c>
      <c r="C155" s="64" t="s">
        <v>21</v>
      </c>
      <c r="D155" s="12" t="s">
        <v>22</v>
      </c>
      <c r="E155" s="14" t="s">
        <v>110</v>
      </c>
      <c r="F155" s="13">
        <v>2.0</v>
      </c>
      <c r="G155" s="30" t="s">
        <v>24</v>
      </c>
      <c r="H155" s="13">
        <v>1.0</v>
      </c>
      <c r="I155" s="14" t="s">
        <v>205</v>
      </c>
      <c r="J155" s="117"/>
      <c r="K155" s="118">
        <f t="shared" si="17"/>
        <v>2</v>
      </c>
      <c r="L155" s="119">
        <f t="shared" si="18"/>
        <v>1</v>
      </c>
      <c r="M155" s="117"/>
      <c r="N155" s="119">
        <v>10.0</v>
      </c>
      <c r="O155" s="120" t="s">
        <v>45</v>
      </c>
      <c r="P155" s="119">
        <f t="shared" si="19"/>
        <v>9</v>
      </c>
      <c r="Q155" s="121">
        <f t="shared" si="20"/>
        <v>3</v>
      </c>
      <c r="R155" s="122"/>
      <c r="S155" s="122">
        <f t="shared" si="21"/>
        <v>0</v>
      </c>
      <c r="T155" s="119">
        <f t="shared" si="22"/>
        <v>6</v>
      </c>
      <c r="U155" s="122">
        <f t="shared" si="23"/>
        <v>0</v>
      </c>
      <c r="V155" s="119">
        <f t="shared" si="24"/>
        <v>6</v>
      </c>
      <c r="AA155" s="21">
        <v>10.0</v>
      </c>
      <c r="AB155" s="63" t="s">
        <v>42</v>
      </c>
      <c r="AC155" s="22">
        <v>1.0</v>
      </c>
      <c r="AD155" s="22">
        <v>0.0</v>
      </c>
      <c r="AE155" s="23"/>
      <c r="AF155" s="23">
        <v>3.0</v>
      </c>
      <c r="AG155" s="22">
        <v>1.0</v>
      </c>
      <c r="AH155" s="23">
        <v>6.0</v>
      </c>
      <c r="AI155" s="22">
        <v>-5.0</v>
      </c>
    </row>
    <row r="156" ht="15.75" customHeight="1">
      <c r="A156" s="24"/>
      <c r="B156" s="11">
        <v>45959.0</v>
      </c>
      <c r="C156" s="64" t="s">
        <v>117</v>
      </c>
      <c r="D156" s="12" t="s">
        <v>22</v>
      </c>
      <c r="E156" s="14" t="s">
        <v>33</v>
      </c>
      <c r="F156" s="13">
        <v>0.0</v>
      </c>
      <c r="G156" s="30" t="s">
        <v>24</v>
      </c>
      <c r="H156" s="13">
        <v>2.0</v>
      </c>
      <c r="I156" s="14" t="s">
        <v>55</v>
      </c>
      <c r="J156" s="117"/>
      <c r="K156" s="118">
        <f t="shared" si="17"/>
        <v>0</v>
      </c>
      <c r="L156" s="119">
        <f t="shared" si="18"/>
        <v>3</v>
      </c>
      <c r="M156" s="117"/>
      <c r="N156" s="136">
        <v>11.0</v>
      </c>
      <c r="O156" s="136" t="s">
        <v>33</v>
      </c>
      <c r="P156" s="119">
        <f t="shared" si="19"/>
        <v>6</v>
      </c>
      <c r="Q156" s="121">
        <f t="shared" si="20"/>
        <v>2</v>
      </c>
      <c r="S156" s="122">
        <f t="shared" si="21"/>
        <v>1</v>
      </c>
      <c r="T156" s="119">
        <f t="shared" si="22"/>
        <v>4</v>
      </c>
      <c r="U156" s="122">
        <f t="shared" si="23"/>
        <v>2</v>
      </c>
      <c r="V156" s="119">
        <f t="shared" si="24"/>
        <v>2</v>
      </c>
      <c r="AA156" s="47">
        <v>11.0</v>
      </c>
      <c r="AB156" s="63" t="s">
        <v>62</v>
      </c>
      <c r="AC156" s="22">
        <v>0.0</v>
      </c>
      <c r="AD156" s="22">
        <v>0.0</v>
      </c>
      <c r="AE156" s="23"/>
      <c r="AF156" s="23">
        <v>3.0</v>
      </c>
      <c r="AG156" s="22">
        <v>0.0</v>
      </c>
      <c r="AH156" s="23">
        <v>6.0</v>
      </c>
      <c r="AI156" s="22">
        <v>-6.0</v>
      </c>
    </row>
    <row r="157" ht="15.75" customHeight="1">
      <c r="A157" s="28"/>
      <c r="B157" s="11">
        <v>45959.0</v>
      </c>
      <c r="C157" s="64" t="s">
        <v>117</v>
      </c>
      <c r="D157" s="12" t="s">
        <v>22</v>
      </c>
      <c r="E157" s="14" t="s">
        <v>145</v>
      </c>
      <c r="F157" s="13">
        <v>1.0</v>
      </c>
      <c r="G157" s="30" t="s">
        <v>24</v>
      </c>
      <c r="H157" s="13">
        <v>2.0</v>
      </c>
      <c r="I157" s="14" t="s">
        <v>60</v>
      </c>
      <c r="J157" s="117"/>
      <c r="K157" s="118">
        <f t="shared" si="17"/>
        <v>1</v>
      </c>
      <c r="L157" s="119">
        <f t="shared" si="18"/>
        <v>2</v>
      </c>
      <c r="M157" s="117"/>
      <c r="AA157" s="34" t="s">
        <v>206</v>
      </c>
      <c r="AD157" s="36"/>
      <c r="AE157" s="36"/>
      <c r="AF157" s="3"/>
      <c r="AG157" s="3"/>
      <c r="AH157" s="3"/>
      <c r="AI157" s="3"/>
    </row>
    <row r="158" ht="15.75" customHeight="1">
      <c r="A158" s="58">
        <v>3.0</v>
      </c>
      <c r="B158" s="11">
        <v>45967.0</v>
      </c>
      <c r="C158" s="12" t="s">
        <v>53</v>
      </c>
      <c r="D158" s="12" t="s">
        <v>22</v>
      </c>
      <c r="E158" s="14" t="s">
        <v>56</v>
      </c>
      <c r="F158" s="13">
        <v>2.0</v>
      </c>
      <c r="G158" s="30" t="s">
        <v>24</v>
      </c>
      <c r="H158" s="13">
        <v>0.0</v>
      </c>
      <c r="I158" s="14" t="s">
        <v>42</v>
      </c>
      <c r="J158" s="117"/>
      <c r="K158" s="118">
        <f t="shared" si="17"/>
        <v>3</v>
      </c>
      <c r="L158" s="119">
        <f t="shared" si="18"/>
        <v>0</v>
      </c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AA158" s="73" t="s">
        <v>106</v>
      </c>
      <c r="AD158" s="36"/>
      <c r="AE158" s="36"/>
      <c r="AF158" s="3"/>
      <c r="AG158" s="3"/>
      <c r="AH158" s="3"/>
      <c r="AI158" s="3"/>
    </row>
    <row r="159" ht="15.75" customHeight="1">
      <c r="A159" s="24"/>
      <c r="B159" s="11">
        <v>45967.0</v>
      </c>
      <c r="C159" s="12" t="s">
        <v>53</v>
      </c>
      <c r="D159" s="12" t="s">
        <v>22</v>
      </c>
      <c r="E159" s="14" t="s">
        <v>122</v>
      </c>
      <c r="F159" s="13">
        <v>2.0</v>
      </c>
      <c r="G159" s="30" t="s">
        <v>24</v>
      </c>
      <c r="H159" s="13">
        <v>0.0</v>
      </c>
      <c r="I159" s="14" t="s">
        <v>62</v>
      </c>
      <c r="J159" s="117"/>
      <c r="K159" s="118">
        <f t="shared" si="17"/>
        <v>3</v>
      </c>
      <c r="L159" s="119">
        <f t="shared" si="18"/>
        <v>0</v>
      </c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AA159" s="127"/>
      <c r="AD159" s="36"/>
      <c r="AE159" s="36"/>
      <c r="AF159" s="3"/>
      <c r="AG159" s="3"/>
      <c r="AH159" s="3"/>
      <c r="AI159" s="3"/>
    </row>
    <row r="160" ht="15.75" customHeight="1">
      <c r="A160" s="24"/>
      <c r="B160" s="11">
        <v>45967.0</v>
      </c>
      <c r="C160" s="12" t="s">
        <v>53</v>
      </c>
      <c r="D160" s="12" t="s">
        <v>22</v>
      </c>
      <c r="E160" s="14" t="s">
        <v>45</v>
      </c>
      <c r="F160" s="13">
        <v>2.0</v>
      </c>
      <c r="G160" s="30" t="s">
        <v>24</v>
      </c>
      <c r="H160" s="13">
        <v>0.0</v>
      </c>
      <c r="I160" s="14" t="s">
        <v>110</v>
      </c>
      <c r="J160" s="117"/>
      <c r="K160" s="118">
        <f t="shared" si="17"/>
        <v>3</v>
      </c>
      <c r="L160" s="119">
        <f t="shared" si="18"/>
        <v>0</v>
      </c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AD160" s="36"/>
      <c r="AG160" s="3"/>
      <c r="AH160" s="3"/>
      <c r="AI160" s="3"/>
    </row>
    <row r="161" ht="15.75" customHeight="1">
      <c r="A161" s="24"/>
      <c r="B161" s="11">
        <v>45967.0</v>
      </c>
      <c r="C161" s="12" t="s">
        <v>21</v>
      </c>
      <c r="D161" s="12" t="s">
        <v>22</v>
      </c>
      <c r="E161" s="14" t="s">
        <v>205</v>
      </c>
      <c r="F161" s="13">
        <v>0.0</v>
      </c>
      <c r="G161" s="30" t="s">
        <v>24</v>
      </c>
      <c r="H161" s="13">
        <v>2.0</v>
      </c>
      <c r="I161" s="14" t="s">
        <v>33</v>
      </c>
      <c r="J161" s="128"/>
      <c r="K161" s="118">
        <f t="shared" si="17"/>
        <v>0</v>
      </c>
      <c r="L161" s="119">
        <f t="shared" si="18"/>
        <v>3</v>
      </c>
      <c r="M161" s="117"/>
      <c r="N161" s="117"/>
      <c r="O161" s="117"/>
      <c r="P161" s="117"/>
      <c r="R161" s="117"/>
      <c r="S161" s="117"/>
      <c r="T161" s="117"/>
      <c r="U161" s="117"/>
      <c r="V161" s="117"/>
      <c r="AG161" s="3"/>
      <c r="AH161" s="3"/>
      <c r="AI161" s="3"/>
    </row>
    <row r="162" ht="15.75" customHeight="1">
      <c r="A162" s="24"/>
      <c r="B162" s="11">
        <v>45967.0</v>
      </c>
      <c r="C162" s="12" t="s">
        <v>21</v>
      </c>
      <c r="D162" s="12" t="s">
        <v>22</v>
      </c>
      <c r="E162" s="14" t="s">
        <v>55</v>
      </c>
      <c r="F162" s="13">
        <v>0.0</v>
      </c>
      <c r="G162" s="30" t="s">
        <v>24</v>
      </c>
      <c r="H162" s="13">
        <v>2.0</v>
      </c>
      <c r="I162" s="14" t="s">
        <v>145</v>
      </c>
      <c r="J162" s="117"/>
      <c r="K162" s="118">
        <f t="shared" si="17"/>
        <v>0</v>
      </c>
      <c r="L162" s="119">
        <f t="shared" si="18"/>
        <v>3</v>
      </c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AG162" s="3"/>
      <c r="AH162" s="3"/>
      <c r="AI162" s="3"/>
    </row>
    <row r="163" ht="15.75" customHeight="1">
      <c r="A163" s="28"/>
      <c r="B163" s="131"/>
      <c r="C163" s="130"/>
      <c r="D163" s="130"/>
      <c r="E163" s="14">
        <v>0.0</v>
      </c>
      <c r="F163" s="30"/>
      <c r="G163" s="30" t="s">
        <v>24</v>
      </c>
      <c r="H163" s="30"/>
      <c r="I163" s="14" t="s">
        <v>60</v>
      </c>
      <c r="J163" s="117"/>
      <c r="K163" s="118" t="str">
        <f t="shared" si="17"/>
        <v/>
      </c>
      <c r="L163" s="119" t="str">
        <f t="shared" si="18"/>
        <v/>
      </c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AG163" s="3"/>
      <c r="AH163" s="3"/>
      <c r="AI163" s="3"/>
    </row>
    <row r="164" ht="15.75" customHeight="1">
      <c r="A164" s="137">
        <v>4.0</v>
      </c>
      <c r="B164" s="131"/>
      <c r="C164" s="130"/>
      <c r="D164" s="130"/>
      <c r="E164" s="14" t="s">
        <v>42</v>
      </c>
      <c r="F164" s="30"/>
      <c r="G164" s="30" t="s">
        <v>24</v>
      </c>
      <c r="H164" s="30"/>
      <c r="I164" s="14">
        <v>0.0</v>
      </c>
      <c r="J164" s="117"/>
      <c r="K164" s="118" t="str">
        <f t="shared" si="17"/>
        <v/>
      </c>
      <c r="L164" s="119" t="str">
        <f t="shared" si="18"/>
        <v/>
      </c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AG164" s="3"/>
      <c r="AH164" s="3"/>
      <c r="AI164" s="3"/>
    </row>
    <row r="165" ht="15.75" customHeight="1">
      <c r="A165" s="24"/>
      <c r="B165" s="131"/>
      <c r="C165" s="130"/>
      <c r="D165" s="130"/>
      <c r="E165" s="14" t="s">
        <v>62</v>
      </c>
      <c r="F165" s="30"/>
      <c r="G165" s="30" t="s">
        <v>24</v>
      </c>
      <c r="H165" s="30"/>
      <c r="I165" s="14" t="s">
        <v>56</v>
      </c>
      <c r="J165" s="117"/>
      <c r="K165" s="118" t="str">
        <f t="shared" si="17"/>
        <v/>
      </c>
      <c r="L165" s="119" t="str">
        <f t="shared" si="18"/>
        <v/>
      </c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AG165" s="3"/>
      <c r="AH165" s="3"/>
      <c r="AI165" s="3"/>
    </row>
    <row r="166" ht="15.75" customHeight="1">
      <c r="A166" s="24"/>
      <c r="B166" s="131"/>
      <c r="C166" s="130"/>
      <c r="D166" s="130"/>
      <c r="E166" s="14" t="s">
        <v>110</v>
      </c>
      <c r="F166" s="30"/>
      <c r="G166" s="30" t="s">
        <v>24</v>
      </c>
      <c r="H166" s="30"/>
      <c r="I166" s="14" t="s">
        <v>122</v>
      </c>
      <c r="J166" s="117"/>
      <c r="K166" s="118" t="str">
        <f t="shared" si="17"/>
        <v/>
      </c>
      <c r="L166" s="119" t="str">
        <f t="shared" si="18"/>
        <v/>
      </c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AD166" s="3"/>
      <c r="AE166" s="3"/>
      <c r="AF166" s="3"/>
      <c r="AG166" s="3"/>
      <c r="AH166" s="3"/>
      <c r="AI166" s="3"/>
    </row>
    <row r="167" ht="15.75" customHeight="1">
      <c r="A167" s="24"/>
      <c r="B167" s="131"/>
      <c r="C167" s="130"/>
      <c r="D167" s="130"/>
      <c r="E167" s="14" t="s">
        <v>33</v>
      </c>
      <c r="F167" s="30"/>
      <c r="G167" s="30" t="s">
        <v>24</v>
      </c>
      <c r="H167" s="30"/>
      <c r="I167" s="14" t="s">
        <v>45</v>
      </c>
      <c r="J167" s="117"/>
      <c r="K167" s="118" t="str">
        <f t="shared" si="17"/>
        <v/>
      </c>
      <c r="L167" s="119" t="str">
        <f t="shared" si="18"/>
        <v/>
      </c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AA167" s="3"/>
      <c r="AB167" s="116"/>
      <c r="AC167" s="3"/>
      <c r="AD167" s="3"/>
      <c r="AE167" s="3"/>
      <c r="AF167" s="3"/>
      <c r="AG167" s="3"/>
      <c r="AH167" s="3"/>
      <c r="AI167" s="3"/>
    </row>
    <row r="168" ht="15.75" customHeight="1">
      <c r="A168" s="24"/>
      <c r="B168" s="131"/>
      <c r="C168" s="130"/>
      <c r="D168" s="130"/>
      <c r="E168" s="14" t="s">
        <v>145</v>
      </c>
      <c r="F168" s="30"/>
      <c r="G168" s="30" t="s">
        <v>24</v>
      </c>
      <c r="H168" s="30"/>
      <c r="I168" s="14" t="s">
        <v>205</v>
      </c>
      <c r="J168" s="117"/>
      <c r="K168" s="118" t="str">
        <f t="shared" si="17"/>
        <v/>
      </c>
      <c r="L168" s="119" t="str">
        <f t="shared" si="18"/>
        <v/>
      </c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AA168" s="3"/>
      <c r="AB168" s="116"/>
      <c r="AC168" s="3"/>
      <c r="AD168" s="3"/>
      <c r="AE168" s="3"/>
      <c r="AF168" s="3"/>
      <c r="AG168" s="3"/>
      <c r="AH168" s="3"/>
      <c r="AI168" s="3"/>
    </row>
    <row r="169" ht="15.75" customHeight="1">
      <c r="A169" s="24"/>
      <c r="B169" s="131"/>
      <c r="C169" s="130"/>
      <c r="D169" s="130"/>
      <c r="E169" s="14" t="s">
        <v>60</v>
      </c>
      <c r="F169" s="30"/>
      <c r="G169" s="30" t="s">
        <v>24</v>
      </c>
      <c r="H169" s="30"/>
      <c r="I169" s="14" t="s">
        <v>55</v>
      </c>
      <c r="J169" s="117"/>
      <c r="K169" s="118" t="str">
        <f t="shared" si="17"/>
        <v/>
      </c>
      <c r="L169" s="119" t="str">
        <f t="shared" si="18"/>
        <v/>
      </c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AA169" s="3"/>
      <c r="AB169" s="116"/>
      <c r="AC169" s="3"/>
      <c r="AD169" s="3"/>
      <c r="AE169" s="3"/>
      <c r="AF169" s="3"/>
      <c r="AG169" s="3"/>
      <c r="AH169" s="3"/>
      <c r="AI169" s="3"/>
    </row>
    <row r="170" ht="15.75" customHeight="1">
      <c r="A170" s="58">
        <v>5.0</v>
      </c>
      <c r="B170" s="131"/>
      <c r="C170" s="130"/>
      <c r="D170" s="130"/>
      <c r="E170" s="14" t="s">
        <v>42</v>
      </c>
      <c r="F170" s="30"/>
      <c r="G170" s="30" t="s">
        <v>24</v>
      </c>
      <c r="H170" s="30"/>
      <c r="I170" s="14" t="s">
        <v>62</v>
      </c>
      <c r="J170" s="117"/>
      <c r="K170" s="118" t="str">
        <f t="shared" si="17"/>
        <v/>
      </c>
      <c r="L170" s="119" t="str">
        <f t="shared" si="18"/>
        <v/>
      </c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AA170" s="3"/>
      <c r="AB170" s="116"/>
      <c r="AC170" s="3"/>
      <c r="AD170" s="3"/>
      <c r="AE170" s="3"/>
      <c r="AF170" s="3"/>
      <c r="AG170" s="3"/>
      <c r="AH170" s="3"/>
      <c r="AI170" s="3"/>
    </row>
    <row r="171" ht="15.75" customHeight="1">
      <c r="A171" s="24"/>
      <c r="B171" s="131"/>
      <c r="C171" s="130"/>
      <c r="D171" s="130"/>
      <c r="E171" s="14" t="s">
        <v>56</v>
      </c>
      <c r="F171" s="130"/>
      <c r="G171" s="30" t="s">
        <v>24</v>
      </c>
      <c r="H171" s="30"/>
      <c r="I171" s="14" t="s">
        <v>110</v>
      </c>
      <c r="J171" s="117"/>
      <c r="K171" s="118" t="str">
        <f t="shared" si="17"/>
        <v/>
      </c>
      <c r="L171" s="119" t="str">
        <f t="shared" si="18"/>
        <v/>
      </c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AA171" s="3"/>
      <c r="AB171" s="116"/>
      <c r="AC171" s="3"/>
      <c r="AD171" s="3"/>
      <c r="AE171" s="3"/>
      <c r="AF171" s="3"/>
      <c r="AG171" s="3"/>
      <c r="AH171" s="3"/>
      <c r="AI171" s="3"/>
    </row>
    <row r="172" ht="15.75" customHeight="1">
      <c r="A172" s="24"/>
      <c r="B172" s="131"/>
      <c r="C172" s="130"/>
      <c r="D172" s="130"/>
      <c r="E172" s="14" t="s">
        <v>122</v>
      </c>
      <c r="F172" s="130"/>
      <c r="G172" s="30" t="s">
        <v>24</v>
      </c>
      <c r="H172" s="30"/>
      <c r="I172" s="14" t="s">
        <v>33</v>
      </c>
      <c r="J172" s="117"/>
      <c r="K172" s="118" t="str">
        <f t="shared" si="17"/>
        <v/>
      </c>
      <c r="L172" s="119" t="str">
        <f t="shared" si="18"/>
        <v/>
      </c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AA172" s="3"/>
      <c r="AB172" s="116"/>
      <c r="AC172" s="3"/>
      <c r="AD172" s="3"/>
      <c r="AE172" s="3"/>
      <c r="AF172" s="3"/>
      <c r="AG172" s="3"/>
      <c r="AH172" s="3"/>
      <c r="AI172" s="3"/>
    </row>
    <row r="173" ht="15.75" customHeight="1">
      <c r="A173" s="24"/>
      <c r="B173" s="131"/>
      <c r="C173" s="130"/>
      <c r="D173" s="130"/>
      <c r="E173" s="14" t="s">
        <v>45</v>
      </c>
      <c r="F173" s="130"/>
      <c r="G173" s="30" t="s">
        <v>24</v>
      </c>
      <c r="H173" s="30"/>
      <c r="I173" s="14" t="s">
        <v>145</v>
      </c>
      <c r="J173" s="117"/>
      <c r="K173" s="118" t="str">
        <f t="shared" si="17"/>
        <v/>
      </c>
      <c r="L173" s="119" t="str">
        <f t="shared" si="18"/>
        <v/>
      </c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AA173" s="3"/>
      <c r="AB173" s="116"/>
      <c r="AC173" s="3"/>
      <c r="AD173" s="3"/>
      <c r="AE173" s="3"/>
      <c r="AF173" s="3"/>
      <c r="AG173" s="3"/>
      <c r="AH173" s="3"/>
      <c r="AI173" s="3"/>
    </row>
    <row r="174" ht="15.75" customHeight="1">
      <c r="A174" s="24"/>
      <c r="B174" s="131"/>
      <c r="C174" s="130"/>
      <c r="D174" s="130"/>
      <c r="E174" s="14" t="s">
        <v>205</v>
      </c>
      <c r="F174" s="130"/>
      <c r="G174" s="30" t="s">
        <v>24</v>
      </c>
      <c r="H174" s="30"/>
      <c r="I174" s="14" t="s">
        <v>60</v>
      </c>
      <c r="J174" s="117"/>
      <c r="K174" s="118" t="str">
        <f t="shared" si="17"/>
        <v/>
      </c>
      <c r="L174" s="119" t="str">
        <f t="shared" si="18"/>
        <v/>
      </c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AA174" s="3"/>
      <c r="AB174" s="116"/>
      <c r="AC174" s="3"/>
      <c r="AD174" s="3"/>
      <c r="AE174" s="3"/>
      <c r="AF174" s="3"/>
      <c r="AG174" s="3"/>
      <c r="AH174" s="3"/>
      <c r="AI174" s="3"/>
    </row>
    <row r="175" ht="15.75" customHeight="1">
      <c r="A175" s="28"/>
      <c r="B175" s="131"/>
      <c r="C175" s="130"/>
      <c r="D175" s="130"/>
      <c r="E175" s="14">
        <v>0.0</v>
      </c>
      <c r="F175" s="130"/>
      <c r="G175" s="30" t="s">
        <v>24</v>
      </c>
      <c r="H175" s="30"/>
      <c r="I175" s="14" t="s">
        <v>55</v>
      </c>
      <c r="J175" s="117"/>
      <c r="K175" s="118" t="str">
        <f t="shared" si="17"/>
        <v/>
      </c>
      <c r="L175" s="119" t="str">
        <f t="shared" si="18"/>
        <v/>
      </c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AA175" s="3"/>
      <c r="AB175" s="116"/>
      <c r="AC175" s="3"/>
      <c r="AD175" s="3"/>
      <c r="AE175" s="3"/>
      <c r="AF175" s="3"/>
      <c r="AG175" s="3"/>
      <c r="AH175" s="3"/>
      <c r="AI175" s="3"/>
    </row>
    <row r="176" ht="15.75" customHeight="1">
      <c r="A176" s="58">
        <v>6.0</v>
      </c>
      <c r="B176" s="131"/>
      <c r="C176" s="132"/>
      <c r="D176" s="130"/>
      <c r="E176" s="14" t="s">
        <v>62</v>
      </c>
      <c r="F176" s="30"/>
      <c r="G176" s="30" t="s">
        <v>24</v>
      </c>
      <c r="H176" s="30"/>
      <c r="I176" s="14">
        <v>0.0</v>
      </c>
      <c r="J176" s="117"/>
      <c r="K176" s="118" t="str">
        <f t="shared" si="17"/>
        <v/>
      </c>
      <c r="L176" s="119" t="str">
        <f t="shared" si="18"/>
        <v/>
      </c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AA176" s="3"/>
      <c r="AB176" s="116"/>
      <c r="AC176" s="3"/>
      <c r="AD176" s="3"/>
      <c r="AE176" s="3"/>
      <c r="AF176" s="3"/>
      <c r="AG176" s="3"/>
      <c r="AH176" s="3"/>
      <c r="AI176" s="3"/>
    </row>
    <row r="177" ht="15.75" customHeight="1">
      <c r="A177" s="24"/>
      <c r="B177" s="131"/>
      <c r="C177" s="130"/>
      <c r="D177" s="130"/>
      <c r="E177" s="14" t="s">
        <v>110</v>
      </c>
      <c r="F177" s="30"/>
      <c r="G177" s="30" t="s">
        <v>24</v>
      </c>
      <c r="H177" s="30"/>
      <c r="I177" s="14" t="s">
        <v>42</v>
      </c>
      <c r="J177" s="117"/>
      <c r="K177" s="118" t="str">
        <f t="shared" si="17"/>
        <v/>
      </c>
      <c r="L177" s="119" t="str">
        <f t="shared" si="18"/>
        <v/>
      </c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AA177" s="3"/>
      <c r="AB177" s="116"/>
      <c r="AC177" s="3"/>
      <c r="AD177" s="3"/>
      <c r="AE177" s="3"/>
      <c r="AF177" s="3"/>
      <c r="AG177" s="3"/>
      <c r="AH177" s="3"/>
      <c r="AI177" s="3"/>
    </row>
    <row r="178" ht="15.75" customHeight="1">
      <c r="A178" s="24"/>
      <c r="B178" s="131"/>
      <c r="C178" s="130"/>
      <c r="D178" s="130"/>
      <c r="E178" s="14" t="s">
        <v>33</v>
      </c>
      <c r="F178" s="30"/>
      <c r="G178" s="30" t="s">
        <v>24</v>
      </c>
      <c r="H178" s="30"/>
      <c r="I178" s="14" t="s">
        <v>56</v>
      </c>
      <c r="J178" s="117"/>
      <c r="K178" s="118" t="str">
        <f t="shared" si="17"/>
        <v/>
      </c>
      <c r="L178" s="119" t="str">
        <f t="shared" si="18"/>
        <v/>
      </c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AA178" s="3"/>
      <c r="AB178" s="116"/>
      <c r="AC178" s="3"/>
      <c r="AD178" s="3"/>
      <c r="AE178" s="3"/>
      <c r="AF178" s="3"/>
      <c r="AG178" s="3"/>
      <c r="AH178" s="3"/>
      <c r="AI178" s="3"/>
    </row>
    <row r="179" ht="15.75" customHeight="1">
      <c r="A179" s="24"/>
      <c r="B179" s="131"/>
      <c r="C179" s="132"/>
      <c r="D179" s="130"/>
      <c r="E179" s="14" t="s">
        <v>145</v>
      </c>
      <c r="F179" s="30"/>
      <c r="G179" s="30" t="s">
        <v>24</v>
      </c>
      <c r="H179" s="30"/>
      <c r="I179" s="14" t="s">
        <v>122</v>
      </c>
      <c r="J179" s="117"/>
      <c r="K179" s="118" t="str">
        <f t="shared" si="17"/>
        <v/>
      </c>
      <c r="L179" s="119" t="str">
        <f t="shared" si="18"/>
        <v/>
      </c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AA179" s="3"/>
      <c r="AB179" s="116"/>
      <c r="AC179" s="3"/>
      <c r="AD179" s="3"/>
      <c r="AE179" s="3"/>
      <c r="AF179" s="3"/>
      <c r="AG179" s="3"/>
      <c r="AH179" s="3"/>
      <c r="AI179" s="3"/>
    </row>
    <row r="180" ht="15.75" customHeight="1">
      <c r="A180" s="24"/>
      <c r="B180" s="131"/>
      <c r="C180" s="130"/>
      <c r="D180" s="130"/>
      <c r="E180" s="14" t="s">
        <v>60</v>
      </c>
      <c r="F180" s="30"/>
      <c r="G180" s="30" t="s">
        <v>24</v>
      </c>
      <c r="H180" s="30"/>
      <c r="I180" s="14" t="s">
        <v>45</v>
      </c>
      <c r="J180" s="117"/>
      <c r="K180" s="118" t="str">
        <f t="shared" si="17"/>
        <v/>
      </c>
      <c r="L180" s="119" t="str">
        <f t="shared" si="18"/>
        <v/>
      </c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AA180" s="3"/>
      <c r="AB180" s="116"/>
      <c r="AC180" s="3"/>
      <c r="AD180" s="3"/>
      <c r="AE180" s="3"/>
      <c r="AF180" s="3"/>
      <c r="AG180" s="3"/>
      <c r="AH180" s="3"/>
      <c r="AI180" s="3"/>
    </row>
    <row r="181" ht="15.75" customHeight="1">
      <c r="A181" s="28"/>
      <c r="B181" s="131"/>
      <c r="C181" s="130"/>
      <c r="D181" s="130"/>
      <c r="E181" s="14" t="s">
        <v>55</v>
      </c>
      <c r="F181" s="30"/>
      <c r="G181" s="30" t="s">
        <v>24</v>
      </c>
      <c r="H181" s="30"/>
      <c r="I181" s="14" t="s">
        <v>205</v>
      </c>
      <c r="J181" s="117"/>
      <c r="K181" s="118" t="str">
        <f t="shared" si="17"/>
        <v/>
      </c>
      <c r="L181" s="119" t="str">
        <f t="shared" si="18"/>
        <v/>
      </c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AA181" s="3"/>
      <c r="AB181" s="116"/>
      <c r="AC181" s="3"/>
      <c r="AD181" s="3"/>
      <c r="AE181" s="3"/>
      <c r="AF181" s="3"/>
      <c r="AG181" s="3"/>
      <c r="AH181" s="3"/>
      <c r="AI181" s="3"/>
    </row>
    <row r="182" ht="15.75" customHeight="1">
      <c r="A182" s="58">
        <v>7.0</v>
      </c>
      <c r="B182" s="131"/>
      <c r="C182" s="132"/>
      <c r="D182" s="130"/>
      <c r="E182" s="14" t="s">
        <v>62</v>
      </c>
      <c r="F182" s="30"/>
      <c r="G182" s="30" t="s">
        <v>24</v>
      </c>
      <c r="H182" s="30"/>
      <c r="I182" s="14" t="s">
        <v>110</v>
      </c>
      <c r="J182" s="117"/>
      <c r="K182" s="118" t="str">
        <f t="shared" si="17"/>
        <v/>
      </c>
      <c r="L182" s="119" t="str">
        <f t="shared" si="18"/>
        <v/>
      </c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AA182" s="3"/>
      <c r="AB182" s="116"/>
      <c r="AC182" s="3"/>
      <c r="AD182" s="3"/>
      <c r="AE182" s="3"/>
      <c r="AF182" s="3"/>
      <c r="AG182" s="3"/>
      <c r="AH182" s="3"/>
      <c r="AI182" s="3"/>
    </row>
    <row r="183" ht="15.75" customHeight="1">
      <c r="A183" s="24"/>
      <c r="B183" s="131"/>
      <c r="C183" s="132"/>
      <c r="D183" s="130"/>
      <c r="E183" s="14" t="s">
        <v>42</v>
      </c>
      <c r="F183" s="30"/>
      <c r="G183" s="30" t="s">
        <v>24</v>
      </c>
      <c r="H183" s="30"/>
      <c r="I183" s="14" t="s">
        <v>33</v>
      </c>
      <c r="J183" s="117"/>
      <c r="K183" s="118" t="str">
        <f t="shared" si="17"/>
        <v/>
      </c>
      <c r="L183" s="119" t="str">
        <f t="shared" si="18"/>
        <v/>
      </c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AA183" s="3"/>
      <c r="AB183" s="116"/>
      <c r="AC183" s="3"/>
      <c r="AD183" s="3"/>
      <c r="AE183" s="3"/>
      <c r="AF183" s="3"/>
      <c r="AG183" s="3"/>
      <c r="AH183" s="3"/>
      <c r="AI183" s="3"/>
    </row>
    <row r="184" ht="15.75" customHeight="1">
      <c r="A184" s="24"/>
      <c r="B184" s="131"/>
      <c r="C184" s="132"/>
      <c r="D184" s="130"/>
      <c r="E184" s="14" t="s">
        <v>56</v>
      </c>
      <c r="F184" s="30"/>
      <c r="G184" s="30" t="s">
        <v>24</v>
      </c>
      <c r="H184" s="30"/>
      <c r="I184" s="14" t="s">
        <v>145</v>
      </c>
      <c r="J184" s="117"/>
      <c r="K184" s="118" t="str">
        <f t="shared" si="17"/>
        <v/>
      </c>
      <c r="L184" s="119" t="str">
        <f t="shared" si="18"/>
        <v/>
      </c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AA184" s="3"/>
      <c r="AB184" s="116"/>
      <c r="AC184" s="3"/>
      <c r="AD184" s="3"/>
      <c r="AE184" s="3"/>
      <c r="AF184" s="3"/>
      <c r="AG184" s="3"/>
      <c r="AH184" s="3"/>
      <c r="AI184" s="3"/>
    </row>
    <row r="185" ht="15.75" customHeight="1">
      <c r="A185" s="24"/>
      <c r="B185" s="131"/>
      <c r="C185" s="132"/>
      <c r="D185" s="130"/>
      <c r="E185" s="14" t="s">
        <v>122</v>
      </c>
      <c r="F185" s="30"/>
      <c r="G185" s="30" t="s">
        <v>24</v>
      </c>
      <c r="H185" s="30"/>
      <c r="I185" s="14" t="s">
        <v>60</v>
      </c>
      <c r="J185" s="117"/>
      <c r="K185" s="118" t="str">
        <f t="shared" si="17"/>
        <v/>
      </c>
      <c r="L185" s="119" t="str">
        <f t="shared" si="18"/>
        <v/>
      </c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AA185" s="3"/>
      <c r="AB185" s="116"/>
      <c r="AC185" s="3"/>
      <c r="AD185" s="3"/>
      <c r="AE185" s="3"/>
      <c r="AF185" s="3"/>
      <c r="AG185" s="3"/>
      <c r="AH185" s="3"/>
      <c r="AI185" s="3"/>
    </row>
    <row r="186" ht="15.75" customHeight="1">
      <c r="A186" s="24"/>
      <c r="B186" s="131"/>
      <c r="C186" s="130"/>
      <c r="D186" s="130"/>
      <c r="E186" s="14" t="s">
        <v>45</v>
      </c>
      <c r="F186" s="30"/>
      <c r="G186" s="30" t="s">
        <v>24</v>
      </c>
      <c r="H186" s="30"/>
      <c r="I186" s="14" t="s">
        <v>55</v>
      </c>
      <c r="J186" s="117"/>
      <c r="K186" s="118" t="str">
        <f t="shared" si="17"/>
        <v/>
      </c>
      <c r="L186" s="119" t="str">
        <f t="shared" si="18"/>
        <v/>
      </c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AA186" s="3"/>
      <c r="AB186" s="116"/>
      <c r="AC186" s="3"/>
      <c r="AD186" s="3"/>
      <c r="AE186" s="3"/>
      <c r="AF186" s="3"/>
      <c r="AG186" s="3"/>
      <c r="AH186" s="3"/>
      <c r="AI186" s="3"/>
    </row>
    <row r="187" ht="15.75" customHeight="1">
      <c r="A187" s="28"/>
      <c r="B187" s="131"/>
      <c r="C187" s="130"/>
      <c r="D187" s="130"/>
      <c r="E187" s="14">
        <v>0.0</v>
      </c>
      <c r="F187" s="30"/>
      <c r="G187" s="30" t="s">
        <v>24</v>
      </c>
      <c r="H187" s="30"/>
      <c r="I187" s="14" t="s">
        <v>205</v>
      </c>
      <c r="J187" s="117"/>
      <c r="K187" s="118" t="str">
        <f t="shared" si="17"/>
        <v/>
      </c>
      <c r="L187" s="119" t="str">
        <f t="shared" si="18"/>
        <v/>
      </c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AA187" s="3"/>
      <c r="AB187" s="116"/>
      <c r="AC187" s="3"/>
      <c r="AD187" s="3"/>
      <c r="AE187" s="3"/>
      <c r="AF187" s="3"/>
      <c r="AG187" s="3"/>
      <c r="AH187" s="3"/>
      <c r="AI187" s="3"/>
    </row>
    <row r="188" ht="15.75" customHeight="1">
      <c r="A188" s="58">
        <v>8.0</v>
      </c>
      <c r="B188" s="131"/>
      <c r="C188" s="132"/>
      <c r="D188" s="130"/>
      <c r="E188" s="14" t="s">
        <v>110</v>
      </c>
      <c r="F188" s="30"/>
      <c r="G188" s="30" t="s">
        <v>24</v>
      </c>
      <c r="H188" s="30"/>
      <c r="I188" s="14">
        <v>0.0</v>
      </c>
      <c r="J188" s="117"/>
      <c r="K188" s="118" t="str">
        <f t="shared" si="17"/>
        <v/>
      </c>
      <c r="L188" s="119" t="str">
        <f t="shared" si="18"/>
        <v/>
      </c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AA188" s="3"/>
      <c r="AB188" s="116"/>
      <c r="AC188" s="3"/>
      <c r="AD188" s="3"/>
      <c r="AE188" s="3"/>
      <c r="AF188" s="3"/>
      <c r="AG188" s="3"/>
      <c r="AH188" s="3"/>
      <c r="AI188" s="3"/>
    </row>
    <row r="189" ht="15.75" customHeight="1">
      <c r="A189" s="24"/>
      <c r="B189" s="131"/>
      <c r="C189" s="132"/>
      <c r="D189" s="130"/>
      <c r="E189" s="14" t="s">
        <v>33</v>
      </c>
      <c r="F189" s="30"/>
      <c r="G189" s="30" t="s">
        <v>24</v>
      </c>
      <c r="H189" s="30"/>
      <c r="I189" s="14" t="s">
        <v>62</v>
      </c>
      <c r="J189" s="117"/>
      <c r="K189" s="118" t="str">
        <f t="shared" si="17"/>
        <v/>
      </c>
      <c r="L189" s="119" t="str">
        <f t="shared" si="18"/>
        <v/>
      </c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AA189" s="3"/>
      <c r="AB189" s="116"/>
      <c r="AC189" s="3"/>
      <c r="AD189" s="3"/>
      <c r="AE189" s="3"/>
      <c r="AF189" s="3"/>
      <c r="AG189" s="3"/>
      <c r="AH189" s="3"/>
      <c r="AI189" s="3"/>
    </row>
    <row r="190" ht="15.75" customHeight="1">
      <c r="A190" s="24"/>
      <c r="B190" s="131"/>
      <c r="C190" s="132"/>
      <c r="D190" s="130"/>
      <c r="E190" s="14" t="s">
        <v>145</v>
      </c>
      <c r="F190" s="30"/>
      <c r="G190" s="30" t="s">
        <v>24</v>
      </c>
      <c r="H190" s="30"/>
      <c r="I190" s="14" t="s">
        <v>42</v>
      </c>
      <c r="J190" s="117"/>
      <c r="K190" s="118" t="str">
        <f t="shared" si="17"/>
        <v/>
      </c>
      <c r="L190" s="119" t="str">
        <f t="shared" si="18"/>
        <v/>
      </c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AA190" s="3"/>
      <c r="AB190" s="116"/>
      <c r="AC190" s="3"/>
      <c r="AD190" s="3"/>
      <c r="AE190" s="3"/>
      <c r="AF190" s="3"/>
      <c r="AG190" s="3"/>
      <c r="AH190" s="3"/>
      <c r="AI190" s="3"/>
    </row>
    <row r="191" ht="15.75" customHeight="1">
      <c r="A191" s="24"/>
      <c r="B191" s="131"/>
      <c r="C191" s="132"/>
      <c r="D191" s="130"/>
      <c r="E191" s="14" t="s">
        <v>60</v>
      </c>
      <c r="F191" s="30"/>
      <c r="G191" s="30" t="s">
        <v>24</v>
      </c>
      <c r="H191" s="30"/>
      <c r="I191" s="14" t="s">
        <v>56</v>
      </c>
      <c r="J191" s="117"/>
      <c r="K191" s="118" t="str">
        <f t="shared" si="17"/>
        <v/>
      </c>
      <c r="L191" s="119" t="str">
        <f t="shared" si="18"/>
        <v/>
      </c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AA191" s="3"/>
      <c r="AB191" s="116"/>
      <c r="AC191" s="3"/>
      <c r="AD191" s="3"/>
      <c r="AE191" s="3"/>
      <c r="AF191" s="3"/>
      <c r="AG191" s="3"/>
      <c r="AH191" s="3"/>
      <c r="AI191" s="3"/>
    </row>
    <row r="192" ht="15.75" customHeight="1">
      <c r="A192" s="24"/>
      <c r="B192" s="131"/>
      <c r="C192" s="130"/>
      <c r="D192" s="130"/>
      <c r="E192" s="14" t="s">
        <v>55</v>
      </c>
      <c r="F192" s="30"/>
      <c r="G192" s="30" t="s">
        <v>24</v>
      </c>
      <c r="H192" s="30"/>
      <c r="I192" s="14" t="s">
        <v>122</v>
      </c>
      <c r="J192" s="117"/>
      <c r="K192" s="118" t="str">
        <f t="shared" si="17"/>
        <v/>
      </c>
      <c r="L192" s="119" t="str">
        <f t="shared" si="18"/>
        <v/>
      </c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AA192" s="3"/>
      <c r="AB192" s="116"/>
      <c r="AC192" s="3"/>
      <c r="AD192" s="3"/>
      <c r="AE192" s="3"/>
      <c r="AF192" s="3"/>
      <c r="AG192" s="3"/>
      <c r="AH192" s="3"/>
      <c r="AI192" s="3"/>
    </row>
    <row r="193" ht="15.75" customHeight="1">
      <c r="A193" s="28"/>
      <c r="B193" s="131"/>
      <c r="C193" s="130"/>
      <c r="D193" s="130"/>
      <c r="E193" s="14" t="s">
        <v>205</v>
      </c>
      <c r="F193" s="30"/>
      <c r="G193" s="30" t="s">
        <v>24</v>
      </c>
      <c r="H193" s="30"/>
      <c r="I193" s="14" t="s">
        <v>45</v>
      </c>
      <c r="J193" s="117"/>
      <c r="K193" s="118" t="str">
        <f t="shared" si="17"/>
        <v/>
      </c>
      <c r="L193" s="119" t="str">
        <f t="shared" si="18"/>
        <v/>
      </c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AA193" s="3"/>
      <c r="AB193" s="116"/>
      <c r="AC193" s="3"/>
      <c r="AD193" s="3"/>
      <c r="AE193" s="3"/>
      <c r="AF193" s="3"/>
      <c r="AG193" s="3"/>
      <c r="AH193" s="3"/>
      <c r="AI193" s="3"/>
    </row>
    <row r="194" ht="15.75" customHeight="1">
      <c r="A194" s="58">
        <v>9.0</v>
      </c>
      <c r="B194" s="131"/>
      <c r="C194" s="132"/>
      <c r="D194" s="130"/>
      <c r="E194" s="14" t="s">
        <v>110</v>
      </c>
      <c r="F194" s="30"/>
      <c r="G194" s="30" t="s">
        <v>24</v>
      </c>
      <c r="H194" s="30"/>
      <c r="I194" s="14" t="s">
        <v>33</v>
      </c>
      <c r="J194" s="117"/>
      <c r="K194" s="118" t="str">
        <f t="shared" si="17"/>
        <v/>
      </c>
      <c r="L194" s="119" t="str">
        <f t="shared" si="18"/>
        <v/>
      </c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AA194" s="3"/>
      <c r="AB194" s="116"/>
      <c r="AC194" s="3"/>
      <c r="AD194" s="3"/>
      <c r="AE194" s="3"/>
      <c r="AF194" s="3"/>
      <c r="AG194" s="3"/>
      <c r="AH194" s="3"/>
      <c r="AI194" s="3"/>
    </row>
    <row r="195" ht="15.75" customHeight="1">
      <c r="A195" s="24"/>
      <c r="B195" s="131"/>
      <c r="C195" s="132"/>
      <c r="D195" s="130"/>
      <c r="E195" s="14" t="s">
        <v>62</v>
      </c>
      <c r="F195" s="30"/>
      <c r="G195" s="30" t="s">
        <v>24</v>
      </c>
      <c r="H195" s="30"/>
      <c r="I195" s="14" t="s">
        <v>145</v>
      </c>
      <c r="J195" s="117"/>
      <c r="K195" s="118" t="str">
        <f t="shared" si="17"/>
        <v/>
      </c>
      <c r="L195" s="119" t="str">
        <f t="shared" si="18"/>
        <v/>
      </c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AA195" s="3"/>
      <c r="AB195" s="116"/>
      <c r="AC195" s="3"/>
      <c r="AD195" s="3"/>
      <c r="AE195" s="3"/>
      <c r="AF195" s="3"/>
      <c r="AG195" s="3"/>
      <c r="AH195" s="3"/>
      <c r="AI195" s="3"/>
    </row>
    <row r="196" ht="15.75" customHeight="1">
      <c r="A196" s="24"/>
      <c r="B196" s="131"/>
      <c r="C196" s="132"/>
      <c r="D196" s="130"/>
      <c r="E196" s="14" t="s">
        <v>42</v>
      </c>
      <c r="F196" s="30"/>
      <c r="G196" s="30" t="s">
        <v>24</v>
      </c>
      <c r="H196" s="30"/>
      <c r="I196" s="14" t="s">
        <v>60</v>
      </c>
      <c r="J196" s="117"/>
      <c r="K196" s="118" t="str">
        <f t="shared" si="17"/>
        <v/>
      </c>
      <c r="L196" s="119" t="str">
        <f t="shared" si="18"/>
        <v/>
      </c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AA196" s="3"/>
      <c r="AB196" s="116"/>
      <c r="AC196" s="3"/>
      <c r="AD196" s="3"/>
      <c r="AE196" s="3"/>
      <c r="AF196" s="3"/>
      <c r="AG196" s="3"/>
      <c r="AH196" s="3"/>
      <c r="AI196" s="3"/>
    </row>
    <row r="197" ht="15.75" customHeight="1">
      <c r="A197" s="24"/>
      <c r="B197" s="131"/>
      <c r="C197" s="132"/>
      <c r="D197" s="130"/>
      <c r="E197" s="14" t="s">
        <v>56</v>
      </c>
      <c r="F197" s="30"/>
      <c r="G197" s="30" t="s">
        <v>24</v>
      </c>
      <c r="H197" s="30"/>
      <c r="I197" s="14" t="s">
        <v>55</v>
      </c>
      <c r="J197" s="117"/>
      <c r="K197" s="118" t="str">
        <f t="shared" si="17"/>
        <v/>
      </c>
      <c r="L197" s="119" t="str">
        <f t="shared" si="18"/>
        <v/>
      </c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AA197" s="3"/>
      <c r="AB197" s="116"/>
      <c r="AC197" s="3"/>
      <c r="AD197" s="3"/>
      <c r="AE197" s="3"/>
      <c r="AF197" s="3"/>
      <c r="AG197" s="3"/>
      <c r="AH197" s="3"/>
      <c r="AI197" s="3"/>
    </row>
    <row r="198" ht="15.75" customHeight="1">
      <c r="A198" s="24"/>
      <c r="B198" s="131"/>
      <c r="C198" s="130"/>
      <c r="D198" s="130"/>
      <c r="E198" s="14" t="s">
        <v>122</v>
      </c>
      <c r="F198" s="30"/>
      <c r="G198" s="30" t="s">
        <v>24</v>
      </c>
      <c r="H198" s="30"/>
      <c r="I198" s="14" t="s">
        <v>205</v>
      </c>
      <c r="J198" s="117"/>
      <c r="K198" s="118" t="str">
        <f t="shared" si="17"/>
        <v/>
      </c>
      <c r="L198" s="119" t="str">
        <f t="shared" si="18"/>
        <v/>
      </c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AA198" s="3"/>
      <c r="AB198" s="116"/>
      <c r="AC198" s="3"/>
      <c r="AD198" s="3"/>
      <c r="AE198" s="3"/>
      <c r="AF198" s="3"/>
      <c r="AG198" s="3"/>
      <c r="AH198" s="3"/>
      <c r="AI198" s="3"/>
    </row>
    <row r="199" ht="15.75" customHeight="1">
      <c r="A199" s="28"/>
      <c r="B199" s="131"/>
      <c r="C199" s="130"/>
      <c r="D199" s="130"/>
      <c r="E199" s="14">
        <v>0.0</v>
      </c>
      <c r="F199" s="30"/>
      <c r="G199" s="30" t="s">
        <v>24</v>
      </c>
      <c r="H199" s="30"/>
      <c r="I199" s="14" t="s">
        <v>45</v>
      </c>
      <c r="J199" s="117"/>
      <c r="K199" s="118" t="str">
        <f t="shared" si="17"/>
        <v/>
      </c>
      <c r="L199" s="119" t="str">
        <f t="shared" si="18"/>
        <v/>
      </c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AA199" s="3"/>
      <c r="AB199" s="116"/>
      <c r="AC199" s="3"/>
      <c r="AD199" s="3"/>
      <c r="AE199" s="3"/>
      <c r="AF199" s="3"/>
      <c r="AG199" s="3"/>
      <c r="AH199" s="3"/>
      <c r="AI199" s="3"/>
    </row>
    <row r="200" ht="15.75" customHeight="1">
      <c r="A200" s="58">
        <v>10.0</v>
      </c>
      <c r="B200" s="131"/>
      <c r="C200" s="132"/>
      <c r="D200" s="130"/>
      <c r="E200" s="14">
        <v>0.0</v>
      </c>
      <c r="F200" s="30"/>
      <c r="G200" s="30" t="s">
        <v>24</v>
      </c>
      <c r="H200" s="30"/>
      <c r="I200" s="14" t="s">
        <v>33</v>
      </c>
      <c r="J200" s="117"/>
      <c r="K200" s="118" t="str">
        <f t="shared" si="17"/>
        <v/>
      </c>
      <c r="L200" s="119" t="str">
        <f t="shared" si="18"/>
        <v/>
      </c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AA200" s="3"/>
      <c r="AB200" s="116"/>
      <c r="AC200" s="3"/>
      <c r="AD200" s="3"/>
      <c r="AE200" s="3"/>
      <c r="AF200" s="3"/>
      <c r="AG200" s="3"/>
      <c r="AH200" s="3"/>
      <c r="AI200" s="3"/>
    </row>
    <row r="201" ht="15.75" customHeight="1">
      <c r="A201" s="24"/>
      <c r="B201" s="131"/>
      <c r="C201" s="132"/>
      <c r="D201" s="130"/>
      <c r="E201" s="14" t="s">
        <v>145</v>
      </c>
      <c r="F201" s="30"/>
      <c r="G201" s="30" t="s">
        <v>24</v>
      </c>
      <c r="H201" s="30"/>
      <c r="I201" s="14" t="s">
        <v>110</v>
      </c>
      <c r="J201" s="117"/>
      <c r="K201" s="118" t="str">
        <f t="shared" si="17"/>
        <v/>
      </c>
      <c r="L201" s="119" t="str">
        <f t="shared" si="18"/>
        <v/>
      </c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AA201" s="3"/>
      <c r="AB201" s="116"/>
      <c r="AC201" s="3"/>
      <c r="AD201" s="3"/>
      <c r="AE201" s="3"/>
      <c r="AF201" s="3"/>
      <c r="AG201" s="3"/>
      <c r="AH201" s="3"/>
      <c r="AI201" s="3"/>
    </row>
    <row r="202" ht="15.75" customHeight="1">
      <c r="A202" s="24"/>
      <c r="B202" s="131"/>
      <c r="C202" s="132"/>
      <c r="D202" s="130"/>
      <c r="E202" s="14" t="s">
        <v>60</v>
      </c>
      <c r="F202" s="30"/>
      <c r="G202" s="30" t="s">
        <v>24</v>
      </c>
      <c r="H202" s="30"/>
      <c r="I202" s="14" t="s">
        <v>62</v>
      </c>
      <c r="J202" s="117"/>
      <c r="K202" s="118" t="str">
        <f t="shared" si="17"/>
        <v/>
      </c>
      <c r="L202" s="119" t="str">
        <f t="shared" si="18"/>
        <v/>
      </c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AA202" s="3"/>
      <c r="AB202" s="116"/>
      <c r="AC202" s="3"/>
      <c r="AD202" s="3"/>
      <c r="AE202" s="3"/>
      <c r="AF202" s="3"/>
      <c r="AG202" s="3"/>
      <c r="AH202" s="3"/>
      <c r="AI202" s="3"/>
    </row>
    <row r="203" ht="15.75" customHeight="1">
      <c r="A203" s="24"/>
      <c r="B203" s="131"/>
      <c r="C203" s="132"/>
      <c r="D203" s="130"/>
      <c r="E203" s="14" t="s">
        <v>55</v>
      </c>
      <c r="F203" s="30"/>
      <c r="G203" s="30" t="s">
        <v>24</v>
      </c>
      <c r="H203" s="30"/>
      <c r="I203" s="14" t="s">
        <v>42</v>
      </c>
      <c r="J203" s="117"/>
      <c r="K203" s="118" t="str">
        <f t="shared" si="17"/>
        <v/>
      </c>
      <c r="L203" s="119" t="str">
        <f t="shared" si="18"/>
        <v/>
      </c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AA203" s="3"/>
      <c r="AB203" s="116"/>
      <c r="AC203" s="3"/>
      <c r="AD203" s="3"/>
      <c r="AE203" s="3"/>
      <c r="AF203" s="3"/>
      <c r="AG203" s="3"/>
      <c r="AH203" s="3"/>
      <c r="AI203" s="3"/>
    </row>
    <row r="204" ht="15.75" customHeight="1">
      <c r="A204" s="24"/>
      <c r="B204" s="131"/>
      <c r="C204" s="130"/>
      <c r="D204" s="130"/>
      <c r="E204" s="14" t="s">
        <v>205</v>
      </c>
      <c r="F204" s="30"/>
      <c r="G204" s="30" t="s">
        <v>24</v>
      </c>
      <c r="H204" s="30"/>
      <c r="I204" s="14" t="s">
        <v>56</v>
      </c>
      <c r="J204" s="117"/>
      <c r="K204" s="118" t="str">
        <f t="shared" si="17"/>
        <v/>
      </c>
      <c r="L204" s="119" t="str">
        <f t="shared" si="18"/>
        <v/>
      </c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AA204" s="3"/>
      <c r="AB204" s="116"/>
      <c r="AC204" s="3"/>
      <c r="AD204" s="3"/>
      <c r="AE204" s="3"/>
      <c r="AF204" s="3"/>
      <c r="AG204" s="3"/>
      <c r="AH204" s="3"/>
      <c r="AI204" s="3"/>
    </row>
    <row r="205" ht="15.75" customHeight="1">
      <c r="A205" s="28"/>
      <c r="B205" s="131"/>
      <c r="C205" s="130"/>
      <c r="D205" s="130"/>
      <c r="E205" s="14" t="s">
        <v>45</v>
      </c>
      <c r="F205" s="30"/>
      <c r="G205" s="30" t="s">
        <v>24</v>
      </c>
      <c r="H205" s="30"/>
      <c r="I205" s="14" t="s">
        <v>122</v>
      </c>
      <c r="J205" s="117"/>
      <c r="K205" s="118" t="str">
        <f t="shared" si="17"/>
        <v/>
      </c>
      <c r="L205" s="119" t="str">
        <f t="shared" si="18"/>
        <v/>
      </c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AA205" s="3"/>
      <c r="AB205" s="116"/>
      <c r="AC205" s="3"/>
      <c r="AD205" s="3"/>
      <c r="AE205" s="3"/>
      <c r="AF205" s="3"/>
      <c r="AG205" s="3"/>
      <c r="AH205" s="3"/>
      <c r="AI205" s="3"/>
    </row>
    <row r="206" ht="15.75" customHeight="1">
      <c r="A206" s="58">
        <v>11.0</v>
      </c>
      <c r="B206" s="131"/>
      <c r="C206" s="132"/>
      <c r="D206" s="130"/>
      <c r="E206" s="14" t="s">
        <v>33</v>
      </c>
      <c r="F206" s="13"/>
      <c r="G206" s="30" t="s">
        <v>24</v>
      </c>
      <c r="H206" s="13"/>
      <c r="I206" s="14" t="s">
        <v>145</v>
      </c>
      <c r="J206" s="117"/>
      <c r="K206" s="118" t="str">
        <f t="shared" si="17"/>
        <v/>
      </c>
      <c r="L206" s="119" t="str">
        <f t="shared" si="18"/>
        <v/>
      </c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AA206" s="3"/>
      <c r="AB206" s="116"/>
      <c r="AC206" s="3"/>
      <c r="AD206" s="3"/>
      <c r="AE206" s="3"/>
      <c r="AF206" s="3"/>
      <c r="AG206" s="3"/>
      <c r="AH206" s="3"/>
      <c r="AI206" s="3"/>
    </row>
    <row r="207" ht="15.75" customHeight="1">
      <c r="A207" s="24"/>
      <c r="B207" s="131"/>
      <c r="C207" s="132"/>
      <c r="D207" s="130"/>
      <c r="E207" s="14" t="s">
        <v>110</v>
      </c>
      <c r="F207" s="30"/>
      <c r="G207" s="30" t="s">
        <v>24</v>
      </c>
      <c r="H207" s="30"/>
      <c r="I207" s="14" t="s">
        <v>60</v>
      </c>
      <c r="J207" s="117"/>
      <c r="K207" s="118" t="str">
        <f t="shared" si="17"/>
        <v/>
      </c>
      <c r="L207" s="119" t="str">
        <f t="shared" si="18"/>
        <v/>
      </c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AA207" s="3"/>
      <c r="AB207" s="116"/>
      <c r="AC207" s="3"/>
      <c r="AD207" s="3"/>
      <c r="AE207" s="3"/>
      <c r="AF207" s="3"/>
      <c r="AG207" s="3"/>
      <c r="AH207" s="3"/>
      <c r="AI207" s="3"/>
    </row>
    <row r="208" ht="15.75" customHeight="1">
      <c r="A208" s="24"/>
      <c r="B208" s="131"/>
      <c r="C208" s="132"/>
      <c r="D208" s="130"/>
      <c r="E208" s="14" t="s">
        <v>62</v>
      </c>
      <c r="F208" s="30"/>
      <c r="G208" s="30" t="s">
        <v>24</v>
      </c>
      <c r="H208" s="30"/>
      <c r="I208" s="14" t="s">
        <v>55</v>
      </c>
      <c r="J208" s="117"/>
      <c r="K208" s="118" t="str">
        <f t="shared" si="17"/>
        <v/>
      </c>
      <c r="L208" s="119" t="str">
        <f t="shared" si="18"/>
        <v/>
      </c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AA208" s="3"/>
      <c r="AB208" s="116"/>
      <c r="AC208" s="3"/>
      <c r="AD208" s="3"/>
      <c r="AE208" s="3"/>
      <c r="AF208" s="3"/>
      <c r="AG208" s="3"/>
      <c r="AH208" s="3"/>
      <c r="AI208" s="3"/>
    </row>
    <row r="209" ht="15.75" customHeight="1">
      <c r="A209" s="24"/>
      <c r="B209" s="131"/>
      <c r="C209" s="132"/>
      <c r="D209" s="130"/>
      <c r="E209" s="14" t="s">
        <v>42</v>
      </c>
      <c r="F209" s="30"/>
      <c r="G209" s="30" t="s">
        <v>24</v>
      </c>
      <c r="H209" s="30"/>
      <c r="I209" s="14" t="s">
        <v>205</v>
      </c>
      <c r="J209" s="117"/>
      <c r="K209" s="118" t="str">
        <f t="shared" si="17"/>
        <v/>
      </c>
      <c r="L209" s="119" t="str">
        <f t="shared" si="18"/>
        <v/>
      </c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AA209" s="3"/>
      <c r="AB209" s="116"/>
      <c r="AC209" s="3"/>
      <c r="AD209" s="3"/>
      <c r="AE209" s="3"/>
      <c r="AF209" s="3"/>
      <c r="AG209" s="3"/>
      <c r="AH209" s="3"/>
      <c r="AI209" s="3"/>
    </row>
    <row r="210" ht="15.75" customHeight="1">
      <c r="A210" s="24"/>
      <c r="B210" s="131"/>
      <c r="C210" s="130"/>
      <c r="D210" s="130"/>
      <c r="E210" s="14" t="s">
        <v>56</v>
      </c>
      <c r="F210" s="13"/>
      <c r="G210" s="30" t="s">
        <v>24</v>
      </c>
      <c r="H210" s="13"/>
      <c r="I210" s="14" t="s">
        <v>45</v>
      </c>
      <c r="J210" s="117"/>
      <c r="K210" s="118" t="str">
        <f t="shared" si="17"/>
        <v/>
      </c>
      <c r="L210" s="119" t="str">
        <f t="shared" si="18"/>
        <v/>
      </c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AA210" s="3"/>
      <c r="AB210" s="116"/>
      <c r="AC210" s="3"/>
      <c r="AD210" s="3"/>
      <c r="AE210" s="3"/>
      <c r="AF210" s="3"/>
      <c r="AG210" s="3"/>
      <c r="AH210" s="3"/>
      <c r="AI210" s="3"/>
    </row>
    <row r="211" ht="15.75" customHeight="1">
      <c r="A211" s="28"/>
      <c r="B211" s="131"/>
      <c r="C211" s="130"/>
      <c r="D211" s="130"/>
      <c r="E211" s="14" t="s">
        <v>122</v>
      </c>
      <c r="F211" s="30"/>
      <c r="G211" s="30" t="s">
        <v>24</v>
      </c>
      <c r="H211" s="30"/>
      <c r="I211" s="14">
        <v>0.0</v>
      </c>
      <c r="J211" s="117"/>
      <c r="K211" s="118" t="str">
        <f t="shared" si="17"/>
        <v/>
      </c>
      <c r="L211" s="119" t="str">
        <f t="shared" si="18"/>
        <v/>
      </c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AA211" s="3"/>
      <c r="AB211" s="116"/>
      <c r="AC211" s="3"/>
      <c r="AD211" s="3"/>
      <c r="AE211" s="3"/>
      <c r="AF211" s="3"/>
      <c r="AG211" s="3"/>
      <c r="AH211" s="3"/>
      <c r="AI211" s="3"/>
    </row>
    <row r="212" ht="15.75" customHeight="1">
      <c r="A212" s="143"/>
      <c r="E212" s="116"/>
      <c r="I212" s="116"/>
      <c r="AA212" s="3"/>
      <c r="AB212" s="116"/>
      <c r="AC212" s="3"/>
      <c r="AD212" s="3"/>
      <c r="AE212" s="3"/>
      <c r="AF212" s="3"/>
      <c r="AG212" s="3"/>
      <c r="AH212" s="3"/>
      <c r="AI212" s="3"/>
    </row>
    <row r="213" ht="15.75" customHeight="1">
      <c r="A213" s="143"/>
      <c r="E213" s="116"/>
      <c r="I213" s="116"/>
      <c r="AA213" s="3"/>
      <c r="AB213" s="116"/>
      <c r="AC213" s="3"/>
      <c r="AD213" s="3"/>
      <c r="AE213" s="3"/>
      <c r="AF213" s="3"/>
      <c r="AG213" s="3"/>
      <c r="AH213" s="3"/>
      <c r="AI213" s="3"/>
    </row>
    <row r="214" ht="15.75" customHeight="1">
      <c r="A214" s="143"/>
      <c r="E214" s="116"/>
      <c r="I214" s="116"/>
      <c r="AA214" s="3"/>
      <c r="AB214" s="116"/>
      <c r="AC214" s="3"/>
      <c r="AD214" s="3"/>
      <c r="AE214" s="3"/>
      <c r="AF214" s="3"/>
      <c r="AG214" s="3"/>
      <c r="AH214" s="3"/>
      <c r="AI214" s="3"/>
    </row>
    <row r="215" ht="15.75" customHeight="1">
      <c r="A215" s="143"/>
      <c r="E215" s="116"/>
      <c r="I215" s="116"/>
      <c r="AA215" s="3"/>
      <c r="AB215" s="116"/>
      <c r="AC215" s="3"/>
      <c r="AD215" s="3"/>
      <c r="AE215" s="3"/>
      <c r="AF215" s="3"/>
      <c r="AG215" s="3"/>
      <c r="AH215" s="3"/>
      <c r="AI215" s="3"/>
    </row>
    <row r="216" ht="15.75" customHeight="1">
      <c r="A216" s="51" t="s">
        <v>207</v>
      </c>
      <c r="H216" s="2"/>
      <c r="I216" s="3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5.75" customHeight="1">
      <c r="A217" s="5" t="s">
        <v>1</v>
      </c>
      <c r="B217" s="5" t="s">
        <v>2</v>
      </c>
      <c r="C217" s="5" t="s">
        <v>3</v>
      </c>
      <c r="D217" s="5" t="s">
        <v>4</v>
      </c>
      <c r="E217" s="5" t="s">
        <v>5</v>
      </c>
      <c r="F217" s="6" t="s">
        <v>6</v>
      </c>
      <c r="G217" s="7"/>
      <c r="H217" s="8"/>
      <c r="I217" s="5" t="s">
        <v>7</v>
      </c>
      <c r="J217" s="9" t="s">
        <v>8</v>
      </c>
      <c r="K217" s="9" t="s">
        <v>9</v>
      </c>
      <c r="L217" s="9" t="s">
        <v>10</v>
      </c>
      <c r="M217" s="9"/>
      <c r="N217" s="9" t="s">
        <v>11</v>
      </c>
      <c r="O217" s="9" t="s">
        <v>12</v>
      </c>
      <c r="P217" s="9" t="s">
        <v>13</v>
      </c>
      <c r="Q217" s="9" t="s">
        <v>14</v>
      </c>
      <c r="R217" s="9"/>
      <c r="S217" s="9" t="s">
        <v>16</v>
      </c>
      <c r="T217" s="144" t="s">
        <v>196</v>
      </c>
      <c r="U217" s="144" t="s">
        <v>197</v>
      </c>
      <c r="V217" s="144" t="s">
        <v>198</v>
      </c>
      <c r="W217" s="56"/>
      <c r="X217" s="56"/>
      <c r="Y217" s="56"/>
      <c r="Z217" s="56"/>
      <c r="AA217" s="5" t="s">
        <v>11</v>
      </c>
      <c r="AB217" s="5" t="s">
        <v>12</v>
      </c>
      <c r="AC217" s="5" t="s">
        <v>13</v>
      </c>
      <c r="AD217" s="5" t="s">
        <v>14</v>
      </c>
      <c r="AE217" s="5" t="s">
        <v>15</v>
      </c>
      <c r="AF217" s="5" t="s">
        <v>16</v>
      </c>
      <c r="AG217" s="145" t="s">
        <v>196</v>
      </c>
      <c r="AH217" s="145" t="s">
        <v>197</v>
      </c>
      <c r="AI217" s="145" t="s">
        <v>198</v>
      </c>
    </row>
    <row r="218" ht="15.75" customHeight="1">
      <c r="A218" s="84">
        <v>1.0</v>
      </c>
      <c r="B218" s="39"/>
      <c r="C218" s="12"/>
      <c r="D218" s="12"/>
      <c r="E218" s="40" t="s">
        <v>126</v>
      </c>
      <c r="F218" s="13"/>
      <c r="G218" s="16" t="s">
        <v>24</v>
      </c>
      <c r="H218" s="13"/>
      <c r="I218" s="40" t="s">
        <v>127</v>
      </c>
      <c r="J218" s="4"/>
      <c r="K218" s="118" t="str">
        <f t="shared" ref="K218:K220" si="25">IFS(F218=H218+2,3,F218=H218-2,0,F218=H218+1,2,F218=H218-1,1,F218="","")</f>
        <v/>
      </c>
      <c r="L218" s="119" t="str">
        <f t="shared" ref="L218:L220" si="26">IFS(H218=F218+2,3,H218=F218-2,0,H218=F218+1,2,H218=F218-1,1,H218="","")</f>
        <v/>
      </c>
      <c r="M218" s="4"/>
      <c r="N218" s="17">
        <v>1.0</v>
      </c>
      <c r="O218" s="70" t="s">
        <v>126</v>
      </c>
      <c r="P218" s="17">
        <f t="shared" ref="P218:P220" si="27">SUMIF(E$218:E$220,O218,K$218:K$220)+SUMIF(I$218:I$220,O218,L$218:L$220)</f>
        <v>0</v>
      </c>
      <c r="Q218" s="17">
        <f t="shared" ref="Q218:Q220" si="28">COUNTIFS(E$218:E$220,O218,K$218:K$220,2)+COUNTIFS(I$218:I$220,O218,L$218:L$220,2)+COUNTIFS(E$218:E$220,O218,K$218:K$220,3)+COUNTIFS(I$218:I$220,O218,L$218:L$220,3)</f>
        <v>0</v>
      </c>
      <c r="S218" s="19">
        <f t="shared" ref="S218:S220" si="29">COUNTIFS(E$218:E$220,O218,K$218:K$220,1)+COUNTIFS(I$218:I$220,O218,L$218:L$220,1)+COUNTIFS(E$218:E$220,O218,K$218:K$220,0)+COUNTIFS(I$218:I$220,O218,L$218:L$220,0)</f>
        <v>0</v>
      </c>
      <c r="T218" s="17">
        <f t="shared" ref="T218:T220" si="30">SUMIF(E$218:E$220,O218,F$218:F$220)+SUMIF(I$218:I$220,O218,H$218:H$220)</f>
        <v>0</v>
      </c>
      <c r="U218" s="19">
        <f t="shared" ref="U218:U220" si="31">SUMIF(E$218:E$220,O218,H$218:H$220)+SUMIF(I$118:I$220,O218,F$118:F$220)</f>
        <v>0</v>
      </c>
      <c r="V218" s="17">
        <f t="shared" ref="V218:V220" si="32">T218-U218</f>
        <v>0</v>
      </c>
      <c r="W218" s="56"/>
      <c r="X218" s="56"/>
      <c r="Y218" s="56"/>
      <c r="Z218" s="56"/>
      <c r="AA218" s="85">
        <v>1.0</v>
      </c>
      <c r="AB218" s="63" t="str">
        <f t="array" ref="AB218:AI220">SORT(O218:V220,2,FALSE,8,FALSE)</f>
        <v>9º Class. 1ª Div.</v>
      </c>
      <c r="AC218" s="22">
        <v>0.0</v>
      </c>
      <c r="AD218" s="22">
        <v>0.0</v>
      </c>
      <c r="AE218" s="23"/>
      <c r="AF218" s="23">
        <v>0.0</v>
      </c>
      <c r="AG218" s="22">
        <v>0.0</v>
      </c>
      <c r="AH218" s="23">
        <v>0.0</v>
      </c>
      <c r="AI218" s="22">
        <v>0.0</v>
      </c>
    </row>
    <row r="219" ht="15.75" customHeight="1">
      <c r="A219" s="84">
        <v>2.0</v>
      </c>
      <c r="B219" s="39"/>
      <c r="C219" s="12"/>
      <c r="D219" s="12"/>
      <c r="E219" s="40" t="s">
        <v>127</v>
      </c>
      <c r="F219" s="13"/>
      <c r="G219" s="16" t="s">
        <v>24</v>
      </c>
      <c r="H219" s="13"/>
      <c r="I219" s="40" t="s">
        <v>128</v>
      </c>
      <c r="J219" s="4"/>
      <c r="K219" s="118" t="str">
        <f t="shared" si="25"/>
        <v/>
      </c>
      <c r="L219" s="119" t="str">
        <f t="shared" si="26"/>
        <v/>
      </c>
      <c r="M219" s="4"/>
      <c r="N219" s="17">
        <v>2.0</v>
      </c>
      <c r="O219" s="70" t="s">
        <v>127</v>
      </c>
      <c r="P219" s="17">
        <f t="shared" si="27"/>
        <v>0</v>
      </c>
      <c r="Q219" s="17">
        <f t="shared" si="28"/>
        <v>0</v>
      </c>
      <c r="S219" s="19">
        <f t="shared" si="29"/>
        <v>0</v>
      </c>
      <c r="T219" s="17">
        <f t="shared" si="30"/>
        <v>0</v>
      </c>
      <c r="U219" s="19">
        <f t="shared" si="31"/>
        <v>0</v>
      </c>
      <c r="V219" s="17">
        <f t="shared" si="32"/>
        <v>0</v>
      </c>
      <c r="W219" s="56"/>
      <c r="X219" s="56"/>
      <c r="Y219" s="56"/>
      <c r="Z219" s="56"/>
      <c r="AA219" s="85">
        <v>2.0</v>
      </c>
      <c r="AB219" s="63" t="s">
        <v>127</v>
      </c>
      <c r="AC219" s="22">
        <v>0.0</v>
      </c>
      <c r="AD219" s="22">
        <v>0.0</v>
      </c>
      <c r="AE219" s="23"/>
      <c r="AF219" s="23">
        <v>0.0</v>
      </c>
      <c r="AG219" s="22">
        <v>0.0</v>
      </c>
      <c r="AH219" s="23">
        <v>0.0</v>
      </c>
      <c r="AI219" s="22">
        <v>0.0</v>
      </c>
    </row>
    <row r="220" ht="15.75" customHeight="1">
      <c r="A220" s="84">
        <v>3.0</v>
      </c>
      <c r="B220" s="39"/>
      <c r="C220" s="12"/>
      <c r="D220" s="12"/>
      <c r="E220" s="40" t="s">
        <v>128</v>
      </c>
      <c r="F220" s="13"/>
      <c r="G220" s="16" t="s">
        <v>24</v>
      </c>
      <c r="H220" s="13"/>
      <c r="I220" s="40" t="s">
        <v>126</v>
      </c>
      <c r="J220" s="4"/>
      <c r="K220" s="118" t="str">
        <f t="shared" si="25"/>
        <v/>
      </c>
      <c r="L220" s="119" t="str">
        <f t="shared" si="26"/>
        <v/>
      </c>
      <c r="M220" s="4"/>
      <c r="N220" s="17">
        <v>3.0</v>
      </c>
      <c r="O220" s="70" t="s">
        <v>128</v>
      </c>
      <c r="P220" s="17">
        <f t="shared" si="27"/>
        <v>0</v>
      </c>
      <c r="Q220" s="17">
        <f t="shared" si="28"/>
        <v>0</v>
      </c>
      <c r="S220" s="19">
        <f t="shared" si="29"/>
        <v>0</v>
      </c>
      <c r="T220" s="17">
        <f t="shared" si="30"/>
        <v>0</v>
      </c>
      <c r="U220" s="19">
        <f t="shared" si="31"/>
        <v>0</v>
      </c>
      <c r="V220" s="17">
        <f t="shared" si="32"/>
        <v>0</v>
      </c>
      <c r="W220" s="56"/>
      <c r="X220" s="56"/>
      <c r="Y220" s="56"/>
      <c r="Z220" s="56"/>
      <c r="AA220" s="21">
        <v>3.0</v>
      </c>
      <c r="AB220" s="63" t="s">
        <v>128</v>
      </c>
      <c r="AC220" s="22">
        <v>0.0</v>
      </c>
      <c r="AD220" s="22">
        <v>0.0</v>
      </c>
      <c r="AE220" s="23"/>
      <c r="AF220" s="23">
        <v>0.0</v>
      </c>
      <c r="AG220" s="22">
        <v>0.0</v>
      </c>
      <c r="AH220" s="23">
        <v>0.0</v>
      </c>
      <c r="AI220" s="22">
        <v>0.0</v>
      </c>
    </row>
    <row r="221" ht="15.75" customHeight="1">
      <c r="A221" s="83"/>
      <c r="B221" s="56"/>
      <c r="C221" s="56"/>
      <c r="D221" s="56"/>
      <c r="E221" s="36"/>
      <c r="F221" s="56"/>
      <c r="G221" s="56"/>
      <c r="H221" s="56"/>
      <c r="I221" s="3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4"/>
      <c r="AD221" s="36"/>
      <c r="AF221" s="36"/>
    </row>
    <row r="222" ht="15.75" customHeight="1">
      <c r="A222" s="83"/>
      <c r="B222" s="56"/>
      <c r="C222" s="56"/>
      <c r="D222" s="56"/>
      <c r="E222" s="36"/>
      <c r="F222" s="56"/>
      <c r="G222" s="56"/>
      <c r="H222" s="56"/>
      <c r="I222" s="3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F222" s="36"/>
    </row>
    <row r="223" ht="15.75" customHeight="1">
      <c r="A223" s="83"/>
      <c r="B223" s="56"/>
      <c r="C223" s="56"/>
      <c r="D223" s="56"/>
      <c r="E223" s="36"/>
      <c r="F223" s="56"/>
      <c r="G223" s="56"/>
      <c r="H223" s="56"/>
      <c r="I223" s="3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F223" s="36"/>
    </row>
    <row r="224" ht="15.75" customHeight="1">
      <c r="A224" s="83"/>
      <c r="B224" s="56"/>
      <c r="C224" s="56"/>
      <c r="D224" s="56"/>
      <c r="E224" s="36"/>
      <c r="F224" s="56"/>
      <c r="G224" s="56"/>
      <c r="H224" s="56"/>
      <c r="I224" s="3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F224" s="36"/>
    </row>
    <row r="225" ht="15.75" customHeight="1">
      <c r="A225" s="51" t="s">
        <v>208</v>
      </c>
      <c r="H225" s="2"/>
      <c r="I225" s="3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F225" s="36"/>
    </row>
    <row r="226" ht="15.75" customHeight="1">
      <c r="A226" s="5" t="s">
        <v>1</v>
      </c>
      <c r="B226" s="5" t="s">
        <v>2</v>
      </c>
      <c r="C226" s="5" t="s">
        <v>3</v>
      </c>
      <c r="D226" s="5" t="s">
        <v>4</v>
      </c>
      <c r="E226" s="5" t="s">
        <v>5</v>
      </c>
      <c r="F226" s="6" t="s">
        <v>6</v>
      </c>
      <c r="G226" s="7"/>
      <c r="H226" s="8"/>
      <c r="I226" s="5" t="s">
        <v>7</v>
      </c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F226" s="36"/>
    </row>
    <row r="227" ht="15.75" customHeight="1">
      <c r="A227" s="52" t="s">
        <v>68</v>
      </c>
      <c r="B227" s="39"/>
      <c r="C227" s="12"/>
      <c r="D227" s="12"/>
      <c r="E227" s="40" t="s">
        <v>69</v>
      </c>
      <c r="F227" s="30"/>
      <c r="G227" s="16" t="s">
        <v>24</v>
      </c>
      <c r="H227" s="30"/>
      <c r="I227" s="40" t="s">
        <v>130</v>
      </c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F227" s="36"/>
    </row>
    <row r="228" ht="15.75" customHeight="1">
      <c r="A228" s="24"/>
      <c r="B228" s="39"/>
      <c r="C228" s="12"/>
      <c r="D228" s="12"/>
      <c r="E228" s="40" t="s">
        <v>71</v>
      </c>
      <c r="F228" s="30"/>
      <c r="G228" s="16" t="s">
        <v>24</v>
      </c>
      <c r="H228" s="30"/>
      <c r="I228" s="40" t="s">
        <v>131</v>
      </c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F228" s="36"/>
    </row>
    <row r="229" ht="15.75" customHeight="1">
      <c r="A229" s="24"/>
      <c r="B229" s="39"/>
      <c r="C229" s="12"/>
      <c r="D229" s="12"/>
      <c r="E229" s="40" t="s">
        <v>73</v>
      </c>
      <c r="F229" s="30"/>
      <c r="G229" s="16" t="s">
        <v>24</v>
      </c>
      <c r="H229" s="30"/>
      <c r="I229" s="40" t="s">
        <v>74</v>
      </c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36"/>
      <c r="AE229" s="36"/>
      <c r="AF229" s="36"/>
      <c r="AG229" s="36"/>
      <c r="AH229" s="36"/>
      <c r="AI229" s="36"/>
    </row>
    <row r="230" ht="15.75" customHeight="1">
      <c r="A230" s="28"/>
      <c r="B230" s="39"/>
      <c r="C230" s="12"/>
      <c r="D230" s="12"/>
      <c r="E230" s="40" t="s">
        <v>75</v>
      </c>
      <c r="F230" s="30"/>
      <c r="G230" s="16" t="s">
        <v>24</v>
      </c>
      <c r="H230" s="30"/>
      <c r="I230" s="40" t="s">
        <v>76</v>
      </c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36"/>
      <c r="AE230" s="36"/>
      <c r="AF230" s="36"/>
      <c r="AG230" s="36"/>
      <c r="AH230" s="36"/>
      <c r="AI230" s="36"/>
    </row>
    <row r="231" ht="15.75" customHeight="1">
      <c r="A231" s="53" t="s">
        <v>77</v>
      </c>
      <c r="B231" s="39"/>
      <c r="C231" s="12"/>
      <c r="D231" s="12"/>
      <c r="E231" s="40" t="s">
        <v>78</v>
      </c>
      <c r="F231" s="30"/>
      <c r="G231" s="16" t="s">
        <v>24</v>
      </c>
      <c r="H231" s="30"/>
      <c r="I231" s="40" t="s">
        <v>79</v>
      </c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36"/>
      <c r="AE231" s="36"/>
      <c r="AF231" s="36"/>
      <c r="AG231" s="36"/>
      <c r="AH231" s="36"/>
      <c r="AI231" s="36"/>
    </row>
    <row r="232" ht="15.75" customHeight="1">
      <c r="A232" s="24"/>
      <c r="B232" s="49"/>
      <c r="C232" s="30"/>
      <c r="D232" s="12"/>
      <c r="E232" s="42" t="s">
        <v>80</v>
      </c>
      <c r="F232" s="13"/>
      <c r="G232" s="16" t="s">
        <v>24</v>
      </c>
      <c r="H232" s="13"/>
      <c r="I232" s="40" t="s">
        <v>81</v>
      </c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36"/>
      <c r="AE232" s="36"/>
      <c r="AF232" s="36"/>
      <c r="AG232" s="36"/>
      <c r="AH232" s="36"/>
      <c r="AI232" s="36"/>
    </row>
    <row r="233" ht="15.75" customHeight="1">
      <c r="A233" s="54" t="s">
        <v>82</v>
      </c>
      <c r="B233" s="29"/>
      <c r="C233" s="30"/>
      <c r="D233" s="12"/>
      <c r="E233" s="40" t="s">
        <v>83</v>
      </c>
      <c r="F233" s="30"/>
      <c r="G233" s="16" t="s">
        <v>24</v>
      </c>
      <c r="H233" s="30"/>
      <c r="I233" s="43" t="s">
        <v>84</v>
      </c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36"/>
      <c r="AE233" s="36"/>
      <c r="AF233" s="36"/>
      <c r="AG233" s="36"/>
      <c r="AH233" s="36"/>
      <c r="AI233" s="36"/>
    </row>
    <row r="234" ht="15.75" customHeight="1">
      <c r="A234" s="54" t="s">
        <v>85</v>
      </c>
      <c r="B234" s="29"/>
      <c r="C234" s="30"/>
      <c r="D234" s="12"/>
      <c r="E234" s="40" t="s">
        <v>86</v>
      </c>
      <c r="F234" s="30"/>
      <c r="G234" s="16" t="s">
        <v>24</v>
      </c>
      <c r="H234" s="30"/>
      <c r="I234" s="40" t="s">
        <v>87</v>
      </c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36"/>
      <c r="AE234" s="36"/>
      <c r="AF234" s="36"/>
      <c r="AG234" s="36"/>
      <c r="AH234" s="36"/>
      <c r="AI234" s="36"/>
    </row>
    <row r="235" ht="15.75" customHeight="1">
      <c r="A235" s="83"/>
      <c r="B235" s="56"/>
      <c r="C235" s="56"/>
      <c r="D235" s="56"/>
      <c r="E235" s="36"/>
      <c r="F235" s="56"/>
      <c r="G235" s="56"/>
      <c r="H235" s="56"/>
      <c r="I235" s="3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36"/>
      <c r="AE235" s="36"/>
      <c r="AF235" s="36"/>
      <c r="AG235" s="36"/>
      <c r="AH235" s="36"/>
      <c r="AI235" s="36"/>
    </row>
    <row r="236" ht="15.75" customHeight="1">
      <c r="A236" s="143"/>
      <c r="E236" s="116"/>
      <c r="I236" s="116"/>
      <c r="AA236" s="3"/>
      <c r="AB236" s="116"/>
      <c r="AC236" s="3"/>
      <c r="AD236" s="3"/>
      <c r="AE236" s="3"/>
      <c r="AF236" s="3"/>
      <c r="AG236" s="3"/>
      <c r="AH236" s="3"/>
      <c r="AI236" s="3"/>
    </row>
    <row r="237" ht="15.75" customHeight="1">
      <c r="A237" s="143"/>
      <c r="E237" s="116"/>
      <c r="I237" s="116"/>
      <c r="AA237" s="3"/>
      <c r="AB237" s="116"/>
      <c r="AC237" s="3"/>
      <c r="AD237" s="3"/>
      <c r="AE237" s="3"/>
      <c r="AF237" s="3"/>
      <c r="AG237" s="3"/>
      <c r="AH237" s="3"/>
      <c r="AI237" s="3"/>
    </row>
    <row r="238" ht="15.75" customHeight="1">
      <c r="A238" s="143"/>
      <c r="E238" s="116"/>
      <c r="I238" s="116"/>
      <c r="AA238" s="3"/>
      <c r="AB238" s="116"/>
      <c r="AC238" s="3"/>
      <c r="AD238" s="3"/>
      <c r="AE238" s="3"/>
      <c r="AF238" s="3"/>
      <c r="AG238" s="3"/>
      <c r="AH238" s="3"/>
      <c r="AI238" s="3"/>
    </row>
    <row r="239" ht="15.75" customHeight="1">
      <c r="A239" s="143"/>
      <c r="E239" s="116"/>
      <c r="I239" s="116"/>
      <c r="AA239" s="3"/>
      <c r="AB239" s="116"/>
      <c r="AC239" s="3"/>
      <c r="AD239" s="3"/>
      <c r="AE239" s="3"/>
      <c r="AF239" s="3"/>
      <c r="AG239" s="3"/>
      <c r="AH239" s="3"/>
      <c r="AI239" s="3"/>
    </row>
    <row r="240" ht="15.75" customHeight="1">
      <c r="A240" s="143"/>
      <c r="E240" s="116"/>
      <c r="I240" s="116"/>
      <c r="AA240" s="3"/>
      <c r="AB240" s="116"/>
      <c r="AC240" s="3"/>
      <c r="AD240" s="3"/>
      <c r="AE240" s="3"/>
      <c r="AF240" s="3"/>
      <c r="AG240" s="3"/>
      <c r="AH240" s="3"/>
      <c r="AI240" s="3"/>
    </row>
    <row r="241" ht="15.75" customHeight="1">
      <c r="A241" s="143"/>
      <c r="E241" s="116"/>
      <c r="I241" s="116"/>
      <c r="AA241" s="3"/>
      <c r="AB241" s="116"/>
      <c r="AC241" s="3"/>
      <c r="AD241" s="3"/>
      <c r="AE241" s="3"/>
      <c r="AF241" s="3"/>
      <c r="AG241" s="3"/>
      <c r="AH241" s="3"/>
      <c r="AI241" s="3"/>
    </row>
    <row r="242" ht="15.75" customHeight="1">
      <c r="A242" s="143"/>
      <c r="E242" s="116"/>
      <c r="I242" s="116"/>
      <c r="AA242" s="3"/>
      <c r="AB242" s="116"/>
      <c r="AC242" s="3"/>
      <c r="AD242" s="3"/>
      <c r="AE242" s="3"/>
      <c r="AF242" s="3"/>
      <c r="AG242" s="3"/>
      <c r="AH242" s="3"/>
      <c r="AI242" s="3"/>
    </row>
    <row r="243" ht="15.75" customHeight="1">
      <c r="A243" s="143"/>
      <c r="E243" s="116"/>
      <c r="I243" s="116"/>
      <c r="AA243" s="3"/>
      <c r="AB243" s="116"/>
      <c r="AC243" s="3"/>
      <c r="AD243" s="3"/>
      <c r="AE243" s="3"/>
      <c r="AF243" s="3"/>
      <c r="AG243" s="3"/>
      <c r="AH243" s="3"/>
      <c r="AI243" s="3"/>
    </row>
    <row r="244" ht="15.75" customHeight="1">
      <c r="A244" s="143"/>
      <c r="E244" s="116"/>
      <c r="I244" s="116"/>
      <c r="AA244" s="3"/>
      <c r="AB244" s="116"/>
      <c r="AC244" s="3"/>
      <c r="AD244" s="3"/>
      <c r="AE244" s="3"/>
      <c r="AF244" s="3"/>
      <c r="AG244" s="3"/>
      <c r="AH244" s="3"/>
      <c r="AI244" s="3"/>
    </row>
    <row r="245" ht="15.75" customHeight="1">
      <c r="A245" s="143"/>
      <c r="E245" s="116"/>
      <c r="I245" s="116"/>
      <c r="AA245" s="3"/>
      <c r="AB245" s="116"/>
      <c r="AC245" s="3"/>
      <c r="AD245" s="3"/>
      <c r="AE245" s="3"/>
      <c r="AF245" s="3"/>
      <c r="AG245" s="3"/>
      <c r="AH245" s="3"/>
      <c r="AI245" s="3"/>
    </row>
    <row r="246" ht="15.75" customHeight="1">
      <c r="A246" s="143"/>
      <c r="E246" s="116"/>
      <c r="I246" s="116"/>
      <c r="AA246" s="3"/>
      <c r="AB246" s="116"/>
      <c r="AC246" s="3"/>
      <c r="AD246" s="3"/>
      <c r="AE246" s="3"/>
      <c r="AF246" s="3"/>
      <c r="AG246" s="3"/>
      <c r="AH246" s="3"/>
      <c r="AI246" s="3"/>
    </row>
    <row r="247" ht="15.75" customHeight="1">
      <c r="A247" s="143"/>
      <c r="E247" s="116"/>
      <c r="I247" s="116"/>
      <c r="AA247" s="3"/>
      <c r="AB247" s="116"/>
      <c r="AC247" s="3"/>
      <c r="AD247" s="3"/>
      <c r="AE247" s="3"/>
      <c r="AF247" s="3"/>
      <c r="AG247" s="3"/>
      <c r="AH247" s="3"/>
      <c r="AI247" s="3"/>
    </row>
    <row r="248" ht="15.75" customHeight="1">
      <c r="A248" s="143"/>
      <c r="E248" s="116"/>
      <c r="I248" s="116"/>
      <c r="AA248" s="3"/>
      <c r="AB248" s="116"/>
      <c r="AC248" s="3"/>
      <c r="AD248" s="3"/>
      <c r="AE248" s="3"/>
      <c r="AF248" s="3"/>
      <c r="AG248" s="3"/>
      <c r="AH248" s="3"/>
      <c r="AI248" s="3"/>
    </row>
    <row r="249" ht="15.75" customHeight="1">
      <c r="A249" s="143"/>
      <c r="E249" s="116"/>
      <c r="I249" s="116"/>
      <c r="AA249" s="3"/>
      <c r="AB249" s="116"/>
      <c r="AC249" s="3"/>
      <c r="AD249" s="3"/>
      <c r="AE249" s="3"/>
      <c r="AF249" s="3"/>
      <c r="AG249" s="3"/>
      <c r="AH249" s="3"/>
      <c r="AI249" s="3"/>
    </row>
    <row r="250" ht="15.75" customHeight="1">
      <c r="A250" s="143"/>
      <c r="E250" s="116"/>
      <c r="I250" s="116"/>
      <c r="AA250" s="3"/>
      <c r="AB250" s="116"/>
      <c r="AC250" s="3"/>
      <c r="AD250" s="3"/>
      <c r="AE250" s="3"/>
      <c r="AF250" s="3"/>
      <c r="AG250" s="3"/>
      <c r="AH250" s="3"/>
      <c r="AI250" s="3"/>
    </row>
    <row r="251" ht="15.75" customHeight="1">
      <c r="A251" s="143"/>
      <c r="E251" s="116"/>
      <c r="I251" s="116"/>
      <c r="AA251" s="3"/>
      <c r="AB251" s="116"/>
      <c r="AC251" s="3"/>
      <c r="AD251" s="3"/>
      <c r="AE251" s="3"/>
      <c r="AF251" s="3"/>
      <c r="AG251" s="3"/>
      <c r="AH251" s="3"/>
      <c r="AI251" s="3"/>
    </row>
    <row r="252" ht="15.75" customHeight="1">
      <c r="A252" s="143"/>
      <c r="E252" s="116"/>
      <c r="I252" s="116"/>
      <c r="AA252" s="3"/>
      <c r="AB252" s="116"/>
      <c r="AC252" s="3"/>
      <c r="AD252" s="3"/>
      <c r="AE252" s="3"/>
      <c r="AF252" s="3"/>
      <c r="AG252" s="3"/>
      <c r="AH252" s="3"/>
      <c r="AI252" s="3"/>
    </row>
    <row r="253" ht="15.75" customHeight="1">
      <c r="A253" s="143"/>
      <c r="E253" s="116"/>
      <c r="I253" s="116"/>
      <c r="AA253" s="3"/>
      <c r="AB253" s="116"/>
      <c r="AC253" s="3"/>
      <c r="AD253" s="3"/>
      <c r="AE253" s="3"/>
      <c r="AF253" s="3"/>
      <c r="AG253" s="3"/>
      <c r="AH253" s="3"/>
      <c r="AI253" s="3"/>
    </row>
    <row r="254" ht="15.75" customHeight="1">
      <c r="A254" s="143"/>
      <c r="E254" s="116"/>
      <c r="I254" s="116"/>
      <c r="AA254" s="3"/>
      <c r="AB254" s="116"/>
      <c r="AC254" s="3"/>
      <c r="AD254" s="3"/>
      <c r="AE254" s="3"/>
      <c r="AF254" s="3"/>
      <c r="AG254" s="3"/>
      <c r="AH254" s="3"/>
      <c r="AI254" s="3"/>
    </row>
    <row r="255" ht="15.75" customHeight="1">
      <c r="A255" s="143"/>
      <c r="E255" s="116"/>
      <c r="I255" s="116"/>
      <c r="AA255" s="3"/>
      <c r="AB255" s="116"/>
      <c r="AC255" s="3"/>
      <c r="AD255" s="3"/>
      <c r="AE255" s="3"/>
      <c r="AF255" s="3"/>
      <c r="AG255" s="3"/>
      <c r="AH255" s="3"/>
      <c r="AI255" s="3"/>
    </row>
    <row r="256" ht="15.75" customHeight="1">
      <c r="A256" s="143"/>
      <c r="E256" s="116"/>
      <c r="I256" s="116"/>
      <c r="AA256" s="3"/>
      <c r="AB256" s="116"/>
      <c r="AC256" s="3"/>
      <c r="AD256" s="3"/>
      <c r="AE256" s="3"/>
      <c r="AF256" s="3"/>
      <c r="AG256" s="3"/>
      <c r="AH256" s="3"/>
      <c r="AI256" s="3"/>
    </row>
    <row r="257" ht="15.75" customHeight="1">
      <c r="A257" s="143"/>
      <c r="E257" s="116"/>
      <c r="I257" s="116"/>
      <c r="AA257" s="3"/>
      <c r="AB257" s="116"/>
      <c r="AC257" s="3"/>
      <c r="AD257" s="3"/>
      <c r="AE257" s="3"/>
      <c r="AF257" s="3"/>
      <c r="AG257" s="3"/>
      <c r="AH257" s="3"/>
      <c r="AI257" s="3"/>
    </row>
    <row r="258" ht="15.75" customHeight="1">
      <c r="A258" s="143"/>
      <c r="E258" s="116"/>
      <c r="I258" s="116"/>
      <c r="AA258" s="3"/>
      <c r="AB258" s="116"/>
      <c r="AC258" s="3"/>
      <c r="AD258" s="3"/>
      <c r="AE258" s="3"/>
      <c r="AF258" s="3"/>
      <c r="AG258" s="3"/>
      <c r="AH258" s="3"/>
      <c r="AI258" s="3"/>
    </row>
    <row r="259" ht="15.75" customHeight="1">
      <c r="A259" s="143"/>
      <c r="E259" s="116"/>
      <c r="I259" s="116"/>
      <c r="AA259" s="3"/>
      <c r="AB259" s="116"/>
      <c r="AC259" s="3"/>
      <c r="AD259" s="3"/>
      <c r="AE259" s="3"/>
      <c r="AF259" s="3"/>
      <c r="AG259" s="3"/>
      <c r="AH259" s="3"/>
      <c r="AI259" s="3"/>
    </row>
    <row r="260" ht="15.75" customHeight="1">
      <c r="A260" s="143"/>
      <c r="E260" s="116"/>
      <c r="I260" s="116"/>
      <c r="AA260" s="3"/>
      <c r="AB260" s="116"/>
      <c r="AC260" s="3"/>
      <c r="AD260" s="3"/>
      <c r="AE260" s="3"/>
      <c r="AF260" s="3"/>
      <c r="AG260" s="3"/>
      <c r="AH260" s="3"/>
      <c r="AI260" s="3"/>
    </row>
    <row r="261" ht="15.75" customHeight="1">
      <c r="A261" s="143"/>
      <c r="E261" s="116"/>
      <c r="I261" s="116"/>
      <c r="AA261" s="3"/>
      <c r="AB261" s="116"/>
      <c r="AC261" s="3"/>
      <c r="AD261" s="3"/>
      <c r="AE261" s="3"/>
      <c r="AF261" s="3"/>
      <c r="AG261" s="3"/>
      <c r="AH261" s="3"/>
      <c r="AI261" s="3"/>
    </row>
    <row r="262" ht="15.75" customHeight="1">
      <c r="A262" s="143"/>
      <c r="E262" s="116"/>
      <c r="I262" s="116"/>
      <c r="AA262" s="3"/>
      <c r="AB262" s="116"/>
      <c r="AC262" s="3"/>
      <c r="AD262" s="3"/>
      <c r="AE262" s="3"/>
      <c r="AF262" s="3"/>
      <c r="AG262" s="3"/>
      <c r="AH262" s="3"/>
      <c r="AI262" s="3"/>
    </row>
    <row r="263" ht="15.75" customHeight="1">
      <c r="A263" s="143"/>
      <c r="E263" s="116"/>
      <c r="I263" s="116"/>
      <c r="AA263" s="3"/>
      <c r="AB263" s="116"/>
      <c r="AC263" s="3"/>
      <c r="AD263" s="3"/>
      <c r="AE263" s="3"/>
      <c r="AF263" s="3"/>
      <c r="AG263" s="3"/>
      <c r="AH263" s="3"/>
      <c r="AI263" s="3"/>
    </row>
    <row r="264" ht="15.75" customHeight="1">
      <c r="A264" s="143"/>
      <c r="E264" s="116"/>
      <c r="I264" s="116"/>
      <c r="AA264" s="3"/>
      <c r="AB264" s="116"/>
      <c r="AC264" s="3"/>
      <c r="AD264" s="3"/>
      <c r="AE264" s="3"/>
      <c r="AF264" s="3"/>
      <c r="AG264" s="3"/>
      <c r="AH264" s="3"/>
      <c r="AI264" s="3"/>
    </row>
    <row r="265" ht="15.75" customHeight="1">
      <c r="A265" s="143"/>
      <c r="E265" s="116"/>
      <c r="I265" s="116"/>
      <c r="AA265" s="3"/>
      <c r="AB265" s="116"/>
      <c r="AC265" s="3"/>
      <c r="AD265" s="3"/>
      <c r="AE265" s="3"/>
      <c r="AF265" s="3"/>
      <c r="AG265" s="3"/>
      <c r="AH265" s="3"/>
      <c r="AI265" s="3"/>
    </row>
    <row r="266" ht="15.75" customHeight="1">
      <c r="A266" s="143"/>
      <c r="E266" s="116"/>
      <c r="I266" s="116"/>
      <c r="AA266" s="3"/>
      <c r="AB266" s="116"/>
      <c r="AC266" s="3"/>
      <c r="AD266" s="3"/>
      <c r="AE266" s="3"/>
      <c r="AF266" s="3"/>
      <c r="AG266" s="3"/>
      <c r="AH266" s="3"/>
      <c r="AI266" s="3"/>
    </row>
    <row r="267" ht="15.75" customHeight="1">
      <c r="A267" s="143"/>
      <c r="E267" s="116"/>
      <c r="I267" s="116"/>
      <c r="AA267" s="3"/>
      <c r="AB267" s="116"/>
      <c r="AC267" s="3"/>
      <c r="AD267" s="3"/>
      <c r="AE267" s="3"/>
      <c r="AF267" s="3"/>
      <c r="AG267" s="3"/>
      <c r="AH267" s="3"/>
      <c r="AI267" s="3"/>
    </row>
    <row r="268" ht="15.75" customHeight="1">
      <c r="A268" s="143"/>
      <c r="E268" s="116"/>
      <c r="I268" s="116"/>
      <c r="AA268" s="3"/>
      <c r="AB268" s="116"/>
      <c r="AC268" s="3"/>
      <c r="AD268" s="3"/>
      <c r="AE268" s="3"/>
      <c r="AF268" s="3"/>
      <c r="AG268" s="3"/>
      <c r="AH268" s="3"/>
      <c r="AI268" s="3"/>
    </row>
    <row r="269" ht="15.75" customHeight="1">
      <c r="A269" s="143"/>
      <c r="E269" s="116"/>
      <c r="I269" s="116"/>
      <c r="AA269" s="3"/>
      <c r="AB269" s="116"/>
      <c r="AC269" s="3"/>
      <c r="AD269" s="3"/>
      <c r="AE269" s="3"/>
      <c r="AF269" s="3"/>
      <c r="AG269" s="3"/>
      <c r="AH269" s="3"/>
      <c r="AI269" s="3"/>
    </row>
    <row r="270" ht="15.75" customHeight="1">
      <c r="A270" s="143"/>
      <c r="E270" s="116"/>
      <c r="I270" s="116"/>
      <c r="AA270" s="3"/>
      <c r="AB270" s="116"/>
      <c r="AC270" s="3"/>
      <c r="AD270" s="3"/>
      <c r="AE270" s="3"/>
      <c r="AF270" s="3"/>
      <c r="AG270" s="3"/>
      <c r="AH270" s="3"/>
      <c r="AI270" s="3"/>
    </row>
    <row r="271" ht="15.75" customHeight="1">
      <c r="A271" s="143"/>
      <c r="E271" s="116"/>
      <c r="I271" s="116"/>
      <c r="AA271" s="3"/>
      <c r="AB271" s="116"/>
      <c r="AC271" s="3"/>
      <c r="AD271" s="3"/>
      <c r="AE271" s="3"/>
      <c r="AF271" s="3"/>
      <c r="AG271" s="3"/>
      <c r="AH271" s="3"/>
      <c r="AI271" s="3"/>
    </row>
    <row r="272" ht="15.75" customHeight="1">
      <c r="A272" s="143"/>
      <c r="E272" s="116"/>
      <c r="I272" s="116"/>
      <c r="AA272" s="3"/>
      <c r="AB272" s="116"/>
      <c r="AC272" s="3"/>
      <c r="AD272" s="3"/>
      <c r="AE272" s="3"/>
      <c r="AF272" s="3"/>
      <c r="AG272" s="3"/>
      <c r="AH272" s="3"/>
      <c r="AI272" s="3"/>
    </row>
    <row r="273" ht="15.75" customHeight="1">
      <c r="A273" s="143"/>
      <c r="E273" s="116"/>
      <c r="I273" s="116"/>
      <c r="AA273" s="3"/>
      <c r="AB273" s="116"/>
      <c r="AC273" s="3"/>
      <c r="AD273" s="3"/>
      <c r="AE273" s="3"/>
      <c r="AF273" s="3"/>
      <c r="AG273" s="3"/>
      <c r="AH273" s="3"/>
      <c r="AI273" s="3"/>
    </row>
    <row r="274" ht="15.75" customHeight="1">
      <c r="A274" s="143"/>
      <c r="E274" s="116"/>
      <c r="I274" s="116"/>
      <c r="AA274" s="3"/>
      <c r="AB274" s="116"/>
      <c r="AC274" s="3"/>
      <c r="AD274" s="3"/>
      <c r="AE274" s="3"/>
      <c r="AF274" s="3"/>
      <c r="AG274" s="3"/>
      <c r="AH274" s="3"/>
      <c r="AI274" s="3"/>
    </row>
    <row r="275" ht="15.75" customHeight="1">
      <c r="A275" s="143"/>
      <c r="E275" s="116"/>
      <c r="I275" s="116"/>
      <c r="AA275" s="3"/>
      <c r="AB275" s="116"/>
      <c r="AC275" s="3"/>
      <c r="AD275" s="3"/>
      <c r="AE275" s="3"/>
      <c r="AF275" s="3"/>
      <c r="AG275" s="3"/>
      <c r="AH275" s="3"/>
      <c r="AI275" s="3"/>
    </row>
    <row r="276" ht="15.75" customHeight="1">
      <c r="A276" s="143"/>
      <c r="E276" s="116"/>
      <c r="I276" s="116"/>
      <c r="AA276" s="3"/>
      <c r="AB276" s="116"/>
      <c r="AC276" s="3"/>
      <c r="AD276" s="3"/>
      <c r="AE276" s="3"/>
      <c r="AF276" s="3"/>
      <c r="AG276" s="3"/>
      <c r="AH276" s="3"/>
      <c r="AI276" s="3"/>
    </row>
    <row r="277" ht="15.75" customHeight="1">
      <c r="A277" s="143"/>
      <c r="E277" s="116"/>
      <c r="I277" s="116"/>
      <c r="AA277" s="3"/>
      <c r="AB277" s="116"/>
      <c r="AC277" s="3"/>
      <c r="AD277" s="3"/>
      <c r="AE277" s="3"/>
      <c r="AF277" s="3"/>
      <c r="AG277" s="3"/>
      <c r="AH277" s="3"/>
      <c r="AI277" s="3"/>
    </row>
    <row r="278" ht="15.75" customHeight="1">
      <c r="A278" s="143"/>
      <c r="E278" s="116"/>
      <c r="I278" s="116"/>
      <c r="AA278" s="3"/>
      <c r="AB278" s="116"/>
      <c r="AC278" s="3"/>
      <c r="AD278" s="3"/>
      <c r="AE278" s="3"/>
      <c r="AF278" s="3"/>
      <c r="AG278" s="3"/>
      <c r="AH278" s="3"/>
      <c r="AI278" s="3"/>
    </row>
    <row r="279" ht="15.75" customHeight="1">
      <c r="A279" s="143"/>
      <c r="E279" s="116"/>
      <c r="I279" s="116"/>
      <c r="AA279" s="3"/>
      <c r="AB279" s="116"/>
      <c r="AC279" s="3"/>
      <c r="AD279" s="3"/>
      <c r="AE279" s="3"/>
      <c r="AF279" s="3"/>
      <c r="AG279" s="3"/>
      <c r="AH279" s="3"/>
      <c r="AI279" s="3"/>
    </row>
    <row r="280" ht="15.75" customHeight="1">
      <c r="A280" s="143"/>
      <c r="E280" s="116"/>
      <c r="I280" s="116"/>
      <c r="AA280" s="3"/>
      <c r="AB280" s="116"/>
      <c r="AC280" s="3"/>
      <c r="AD280" s="3"/>
      <c r="AE280" s="3"/>
      <c r="AF280" s="3"/>
      <c r="AG280" s="3"/>
      <c r="AH280" s="3"/>
      <c r="AI280" s="3"/>
    </row>
    <row r="281" ht="15.75" customHeight="1">
      <c r="A281" s="143"/>
      <c r="E281" s="116"/>
      <c r="I281" s="116"/>
      <c r="AA281" s="3"/>
      <c r="AB281" s="116"/>
      <c r="AC281" s="3"/>
      <c r="AD281" s="3"/>
      <c r="AE281" s="3"/>
      <c r="AF281" s="3"/>
      <c r="AG281" s="3"/>
      <c r="AH281" s="3"/>
      <c r="AI281" s="3"/>
    </row>
    <row r="282" ht="15.75" customHeight="1">
      <c r="A282" s="143"/>
      <c r="E282" s="116"/>
      <c r="I282" s="116"/>
      <c r="AA282" s="3"/>
      <c r="AB282" s="116"/>
      <c r="AC282" s="3"/>
      <c r="AD282" s="3"/>
      <c r="AE282" s="3"/>
      <c r="AF282" s="3"/>
      <c r="AG282" s="3"/>
      <c r="AH282" s="3"/>
      <c r="AI282" s="3"/>
    </row>
    <row r="283" ht="15.75" customHeight="1">
      <c r="A283" s="143"/>
      <c r="E283" s="116"/>
      <c r="I283" s="116"/>
      <c r="AA283" s="3"/>
      <c r="AB283" s="116"/>
      <c r="AC283" s="3"/>
      <c r="AD283" s="3"/>
      <c r="AE283" s="3"/>
      <c r="AF283" s="3"/>
      <c r="AG283" s="3"/>
      <c r="AH283" s="3"/>
      <c r="AI283" s="3"/>
    </row>
    <row r="284" ht="15.75" customHeight="1">
      <c r="A284" s="143"/>
      <c r="E284" s="116"/>
      <c r="I284" s="116"/>
      <c r="AA284" s="3"/>
      <c r="AB284" s="116"/>
      <c r="AC284" s="3"/>
      <c r="AD284" s="3"/>
      <c r="AE284" s="3"/>
      <c r="AF284" s="3"/>
      <c r="AG284" s="3"/>
      <c r="AH284" s="3"/>
      <c r="AI284" s="3"/>
    </row>
    <row r="285" ht="15.75" customHeight="1">
      <c r="A285" s="143"/>
      <c r="E285" s="116"/>
      <c r="I285" s="116"/>
      <c r="AA285" s="3"/>
      <c r="AB285" s="116"/>
      <c r="AC285" s="3"/>
      <c r="AD285" s="3"/>
      <c r="AE285" s="3"/>
      <c r="AF285" s="3"/>
      <c r="AG285" s="3"/>
      <c r="AH285" s="3"/>
      <c r="AI285" s="3"/>
    </row>
    <row r="286" ht="15.75" customHeight="1">
      <c r="A286" s="143"/>
      <c r="E286" s="116"/>
      <c r="I286" s="116"/>
      <c r="AA286" s="3"/>
      <c r="AB286" s="116"/>
      <c r="AC286" s="3"/>
      <c r="AD286" s="3"/>
      <c r="AE286" s="3"/>
      <c r="AF286" s="3"/>
      <c r="AG286" s="3"/>
      <c r="AH286" s="3"/>
      <c r="AI286" s="3"/>
    </row>
    <row r="287" ht="15.75" customHeight="1">
      <c r="A287" s="143"/>
      <c r="E287" s="116"/>
      <c r="I287" s="116"/>
      <c r="AA287" s="3"/>
      <c r="AB287" s="116"/>
      <c r="AC287" s="3"/>
      <c r="AD287" s="3"/>
      <c r="AE287" s="3"/>
      <c r="AF287" s="3"/>
      <c r="AG287" s="3"/>
      <c r="AH287" s="3"/>
      <c r="AI287" s="3"/>
    </row>
    <row r="288" ht="15.75" customHeight="1">
      <c r="A288" s="143"/>
      <c r="E288" s="116"/>
      <c r="I288" s="116"/>
      <c r="AA288" s="3"/>
      <c r="AB288" s="116"/>
      <c r="AC288" s="3"/>
      <c r="AD288" s="3"/>
      <c r="AE288" s="3"/>
      <c r="AF288" s="3"/>
      <c r="AG288" s="3"/>
      <c r="AH288" s="3"/>
      <c r="AI288" s="3"/>
    </row>
    <row r="289" ht="15.75" customHeight="1">
      <c r="A289" s="143"/>
      <c r="E289" s="116"/>
      <c r="I289" s="116"/>
      <c r="AA289" s="3"/>
      <c r="AB289" s="116"/>
      <c r="AC289" s="3"/>
      <c r="AD289" s="3"/>
      <c r="AE289" s="3"/>
      <c r="AF289" s="3"/>
      <c r="AG289" s="3"/>
      <c r="AH289" s="3"/>
      <c r="AI289" s="3"/>
    </row>
    <row r="290" ht="15.75" customHeight="1">
      <c r="A290" s="143"/>
      <c r="E290" s="116"/>
      <c r="I290" s="116"/>
      <c r="AA290" s="3"/>
      <c r="AB290" s="116"/>
      <c r="AC290" s="3"/>
      <c r="AD290" s="3"/>
      <c r="AE290" s="3"/>
      <c r="AF290" s="3"/>
      <c r="AG290" s="3"/>
      <c r="AH290" s="3"/>
      <c r="AI290" s="3"/>
    </row>
    <row r="291" ht="15.75" customHeight="1">
      <c r="A291" s="143"/>
      <c r="E291" s="116"/>
      <c r="I291" s="116"/>
      <c r="AA291" s="3"/>
      <c r="AB291" s="116"/>
      <c r="AC291" s="3"/>
      <c r="AD291" s="3"/>
      <c r="AE291" s="3"/>
      <c r="AF291" s="3"/>
      <c r="AG291" s="3"/>
      <c r="AH291" s="3"/>
      <c r="AI291" s="3"/>
    </row>
    <row r="292" ht="15.75" customHeight="1">
      <c r="A292" s="143"/>
      <c r="E292" s="116"/>
      <c r="I292" s="116"/>
      <c r="AA292" s="3"/>
      <c r="AB292" s="116"/>
      <c r="AC292" s="3"/>
      <c r="AD292" s="3"/>
      <c r="AE292" s="3"/>
      <c r="AF292" s="3"/>
      <c r="AG292" s="3"/>
      <c r="AH292" s="3"/>
      <c r="AI292" s="3"/>
    </row>
    <row r="293" ht="15.75" customHeight="1">
      <c r="A293" s="143"/>
      <c r="E293" s="116"/>
      <c r="I293" s="116"/>
      <c r="AA293" s="3"/>
      <c r="AB293" s="116"/>
      <c r="AC293" s="3"/>
      <c r="AD293" s="3"/>
      <c r="AE293" s="3"/>
      <c r="AF293" s="3"/>
      <c r="AG293" s="3"/>
      <c r="AH293" s="3"/>
      <c r="AI293" s="3"/>
    </row>
    <row r="294" ht="15.75" customHeight="1">
      <c r="A294" s="143"/>
      <c r="E294" s="116"/>
      <c r="I294" s="116"/>
      <c r="AA294" s="3"/>
      <c r="AB294" s="116"/>
      <c r="AC294" s="3"/>
      <c r="AD294" s="3"/>
      <c r="AE294" s="3"/>
      <c r="AF294" s="3"/>
      <c r="AG294" s="3"/>
      <c r="AH294" s="3"/>
      <c r="AI294" s="3"/>
    </row>
    <row r="295" ht="15.75" customHeight="1">
      <c r="A295" s="143"/>
      <c r="E295" s="116"/>
      <c r="I295" s="116"/>
      <c r="AA295" s="3"/>
      <c r="AB295" s="116"/>
      <c r="AC295" s="3"/>
      <c r="AD295" s="3"/>
      <c r="AE295" s="3"/>
      <c r="AF295" s="3"/>
      <c r="AG295" s="3"/>
      <c r="AH295" s="3"/>
      <c r="AI295" s="3"/>
    </row>
    <row r="296" ht="15.75" customHeight="1">
      <c r="A296" s="143"/>
      <c r="E296" s="116"/>
      <c r="I296" s="116"/>
      <c r="AA296" s="3"/>
      <c r="AB296" s="116"/>
      <c r="AC296" s="3"/>
      <c r="AD296" s="3"/>
      <c r="AE296" s="3"/>
      <c r="AF296" s="3"/>
      <c r="AG296" s="3"/>
      <c r="AH296" s="3"/>
      <c r="AI296" s="3"/>
    </row>
    <row r="297" ht="15.75" customHeight="1">
      <c r="A297" s="143"/>
      <c r="E297" s="116"/>
      <c r="I297" s="116"/>
      <c r="AA297" s="3"/>
      <c r="AB297" s="116"/>
      <c r="AC297" s="3"/>
      <c r="AD297" s="3"/>
      <c r="AE297" s="3"/>
      <c r="AF297" s="3"/>
      <c r="AG297" s="3"/>
      <c r="AH297" s="3"/>
      <c r="AI297" s="3"/>
    </row>
    <row r="298" ht="15.75" customHeight="1">
      <c r="A298" s="143"/>
      <c r="E298" s="116"/>
      <c r="I298" s="116"/>
      <c r="AA298" s="3"/>
      <c r="AB298" s="116"/>
      <c r="AC298" s="3"/>
      <c r="AD298" s="3"/>
      <c r="AE298" s="3"/>
      <c r="AF298" s="3"/>
      <c r="AG298" s="3"/>
      <c r="AH298" s="3"/>
      <c r="AI298" s="3"/>
    </row>
    <row r="299" ht="15.75" customHeight="1">
      <c r="A299" s="143"/>
      <c r="E299" s="116"/>
      <c r="I299" s="116"/>
      <c r="AA299" s="3"/>
      <c r="AB299" s="116"/>
      <c r="AC299" s="3"/>
      <c r="AD299" s="3"/>
      <c r="AE299" s="3"/>
      <c r="AF299" s="3"/>
      <c r="AG299" s="3"/>
      <c r="AH299" s="3"/>
      <c r="AI299" s="3"/>
    </row>
    <row r="300" ht="15.75" customHeight="1">
      <c r="A300" s="143"/>
      <c r="E300" s="116"/>
      <c r="I300" s="116"/>
      <c r="AA300" s="3"/>
      <c r="AB300" s="116"/>
      <c r="AC300" s="3"/>
      <c r="AD300" s="3"/>
      <c r="AE300" s="3"/>
      <c r="AF300" s="3"/>
      <c r="AG300" s="3"/>
      <c r="AH300" s="3"/>
      <c r="AI300" s="3"/>
    </row>
    <row r="301" ht="15.75" customHeight="1">
      <c r="A301" s="143"/>
      <c r="E301" s="116"/>
      <c r="I301" s="116"/>
      <c r="AA301" s="3"/>
      <c r="AB301" s="116"/>
      <c r="AC301" s="3"/>
      <c r="AD301" s="3"/>
      <c r="AE301" s="3"/>
      <c r="AF301" s="3"/>
      <c r="AG301" s="3"/>
      <c r="AH301" s="3"/>
      <c r="AI301" s="3"/>
    </row>
    <row r="302" ht="15.75" customHeight="1">
      <c r="A302" s="143"/>
      <c r="E302" s="116"/>
      <c r="I302" s="116"/>
      <c r="AA302" s="3"/>
      <c r="AB302" s="116"/>
      <c r="AC302" s="3"/>
      <c r="AD302" s="3"/>
      <c r="AE302" s="3"/>
      <c r="AF302" s="3"/>
      <c r="AG302" s="3"/>
      <c r="AH302" s="3"/>
      <c r="AI302" s="3"/>
    </row>
    <row r="303" ht="15.75" customHeight="1">
      <c r="A303" s="143"/>
      <c r="E303" s="116"/>
      <c r="I303" s="116"/>
      <c r="AA303" s="3"/>
      <c r="AB303" s="116"/>
      <c r="AC303" s="3"/>
      <c r="AD303" s="3"/>
      <c r="AE303" s="3"/>
      <c r="AF303" s="3"/>
      <c r="AG303" s="3"/>
      <c r="AH303" s="3"/>
      <c r="AI303" s="3"/>
    </row>
    <row r="304" ht="15.75" customHeight="1">
      <c r="A304" s="143"/>
      <c r="E304" s="116"/>
      <c r="I304" s="116"/>
      <c r="AA304" s="3"/>
      <c r="AB304" s="116"/>
      <c r="AC304" s="3"/>
      <c r="AD304" s="3"/>
      <c r="AE304" s="3"/>
      <c r="AF304" s="3"/>
      <c r="AG304" s="3"/>
      <c r="AH304" s="3"/>
      <c r="AI304" s="3"/>
    </row>
    <row r="305" ht="15.75" customHeight="1">
      <c r="A305" s="143"/>
      <c r="E305" s="116"/>
      <c r="I305" s="116"/>
      <c r="AA305" s="3"/>
      <c r="AB305" s="116"/>
      <c r="AC305" s="3"/>
      <c r="AD305" s="3"/>
      <c r="AE305" s="3"/>
      <c r="AF305" s="3"/>
      <c r="AG305" s="3"/>
      <c r="AH305" s="3"/>
      <c r="AI305" s="3"/>
    </row>
    <row r="306" ht="15.75" customHeight="1">
      <c r="A306" s="143"/>
      <c r="E306" s="116"/>
      <c r="I306" s="116"/>
      <c r="AA306" s="3"/>
      <c r="AB306" s="116"/>
      <c r="AC306" s="3"/>
      <c r="AD306" s="3"/>
      <c r="AE306" s="3"/>
      <c r="AF306" s="3"/>
      <c r="AG306" s="3"/>
      <c r="AH306" s="3"/>
      <c r="AI306" s="3"/>
    </row>
    <row r="307" ht="15.75" customHeight="1">
      <c r="A307" s="143"/>
      <c r="E307" s="116"/>
      <c r="I307" s="116"/>
      <c r="AA307" s="3"/>
      <c r="AB307" s="116"/>
      <c r="AC307" s="3"/>
      <c r="AD307" s="3"/>
      <c r="AE307" s="3"/>
      <c r="AF307" s="3"/>
      <c r="AG307" s="3"/>
      <c r="AH307" s="3"/>
      <c r="AI307" s="3"/>
    </row>
    <row r="308" ht="15.75" customHeight="1">
      <c r="A308" s="143"/>
      <c r="E308" s="116"/>
      <c r="I308" s="116"/>
      <c r="AA308" s="3"/>
      <c r="AB308" s="116"/>
      <c r="AC308" s="3"/>
      <c r="AD308" s="3"/>
      <c r="AE308" s="3"/>
      <c r="AF308" s="3"/>
      <c r="AG308" s="3"/>
      <c r="AH308" s="3"/>
      <c r="AI308" s="3"/>
    </row>
    <row r="309" ht="15.75" customHeight="1">
      <c r="A309" s="143"/>
      <c r="E309" s="116"/>
      <c r="I309" s="116"/>
      <c r="AA309" s="3"/>
      <c r="AB309" s="116"/>
      <c r="AC309" s="3"/>
      <c r="AD309" s="3"/>
      <c r="AE309" s="3"/>
      <c r="AF309" s="3"/>
      <c r="AG309" s="3"/>
      <c r="AH309" s="3"/>
      <c r="AI309" s="3"/>
    </row>
    <row r="310" ht="15.75" customHeight="1">
      <c r="A310" s="143"/>
      <c r="E310" s="116"/>
      <c r="I310" s="116"/>
      <c r="AA310" s="3"/>
      <c r="AB310" s="116"/>
      <c r="AC310" s="3"/>
      <c r="AD310" s="3"/>
      <c r="AE310" s="3"/>
      <c r="AF310" s="3"/>
      <c r="AG310" s="3"/>
      <c r="AH310" s="3"/>
      <c r="AI310" s="3"/>
    </row>
    <row r="311" ht="15.75" customHeight="1">
      <c r="A311" s="143"/>
      <c r="E311" s="116"/>
      <c r="I311" s="116"/>
      <c r="AA311" s="3"/>
      <c r="AB311" s="116"/>
      <c r="AC311" s="3"/>
      <c r="AD311" s="3"/>
      <c r="AE311" s="3"/>
      <c r="AF311" s="3"/>
      <c r="AG311" s="3"/>
      <c r="AH311" s="3"/>
      <c r="AI311" s="3"/>
    </row>
    <row r="312" ht="15.75" customHeight="1">
      <c r="A312" s="143"/>
      <c r="E312" s="116"/>
      <c r="I312" s="116"/>
      <c r="AA312" s="3"/>
      <c r="AB312" s="116"/>
      <c r="AC312" s="3"/>
      <c r="AD312" s="3"/>
      <c r="AE312" s="3"/>
      <c r="AF312" s="3"/>
      <c r="AG312" s="3"/>
      <c r="AH312" s="3"/>
      <c r="AI312" s="3"/>
    </row>
    <row r="313" ht="15.75" customHeight="1">
      <c r="A313" s="143"/>
      <c r="E313" s="116"/>
      <c r="I313" s="116"/>
      <c r="AA313" s="3"/>
      <c r="AB313" s="116"/>
      <c r="AC313" s="3"/>
      <c r="AD313" s="3"/>
      <c r="AE313" s="3"/>
      <c r="AF313" s="3"/>
      <c r="AG313" s="3"/>
      <c r="AH313" s="3"/>
      <c r="AI313" s="3"/>
    </row>
    <row r="314" ht="15.75" customHeight="1">
      <c r="A314" s="143"/>
      <c r="E314" s="116"/>
      <c r="I314" s="116"/>
      <c r="AA314" s="3"/>
      <c r="AB314" s="116"/>
      <c r="AC314" s="3"/>
      <c r="AD314" s="3"/>
      <c r="AE314" s="3"/>
      <c r="AF314" s="3"/>
      <c r="AG314" s="3"/>
      <c r="AH314" s="3"/>
      <c r="AI314" s="3"/>
    </row>
    <row r="315" ht="15.75" customHeight="1">
      <c r="A315" s="143"/>
      <c r="E315" s="116"/>
      <c r="I315" s="116"/>
      <c r="AA315" s="3"/>
      <c r="AB315" s="116"/>
      <c r="AC315" s="3"/>
      <c r="AD315" s="3"/>
      <c r="AE315" s="3"/>
      <c r="AF315" s="3"/>
      <c r="AG315" s="3"/>
      <c r="AH315" s="3"/>
      <c r="AI315" s="3"/>
    </row>
    <row r="316" ht="15.75" customHeight="1">
      <c r="A316" s="143"/>
      <c r="E316" s="116"/>
      <c r="I316" s="116"/>
      <c r="AA316" s="3"/>
      <c r="AB316" s="116"/>
      <c r="AC316" s="3"/>
      <c r="AD316" s="3"/>
      <c r="AE316" s="3"/>
      <c r="AF316" s="3"/>
      <c r="AG316" s="3"/>
      <c r="AH316" s="3"/>
      <c r="AI316" s="3"/>
    </row>
    <row r="317" ht="15.75" customHeight="1">
      <c r="A317" s="143"/>
      <c r="E317" s="116"/>
      <c r="I317" s="116"/>
      <c r="AA317" s="3"/>
      <c r="AB317" s="116"/>
      <c r="AC317" s="3"/>
      <c r="AD317" s="3"/>
      <c r="AE317" s="3"/>
      <c r="AF317" s="3"/>
      <c r="AG317" s="3"/>
      <c r="AH317" s="3"/>
      <c r="AI317" s="3"/>
    </row>
    <row r="318" ht="15.75" customHeight="1">
      <c r="A318" s="143"/>
      <c r="E318" s="116"/>
      <c r="I318" s="116"/>
      <c r="AA318" s="3"/>
      <c r="AB318" s="116"/>
      <c r="AC318" s="3"/>
      <c r="AD318" s="3"/>
      <c r="AE318" s="3"/>
      <c r="AF318" s="3"/>
      <c r="AG318" s="3"/>
      <c r="AH318" s="3"/>
      <c r="AI318" s="3"/>
    </row>
    <row r="319" ht="15.75" customHeight="1">
      <c r="A319" s="143"/>
      <c r="E319" s="116"/>
      <c r="I319" s="116"/>
      <c r="AA319" s="3"/>
      <c r="AB319" s="116"/>
      <c r="AC319" s="3"/>
      <c r="AD319" s="3"/>
      <c r="AE319" s="3"/>
      <c r="AF319" s="3"/>
      <c r="AG319" s="3"/>
      <c r="AH319" s="3"/>
      <c r="AI319" s="3"/>
    </row>
    <row r="320" ht="15.75" customHeight="1">
      <c r="A320" s="143"/>
      <c r="E320" s="116"/>
      <c r="I320" s="116"/>
      <c r="AA320" s="3"/>
      <c r="AB320" s="116"/>
      <c r="AC320" s="3"/>
      <c r="AD320" s="3"/>
      <c r="AE320" s="3"/>
      <c r="AF320" s="3"/>
      <c r="AG320" s="3"/>
      <c r="AH320" s="3"/>
      <c r="AI320" s="3"/>
    </row>
    <row r="321" ht="15.75" customHeight="1">
      <c r="A321" s="143"/>
      <c r="E321" s="116"/>
      <c r="I321" s="116"/>
      <c r="AA321" s="3"/>
      <c r="AB321" s="116"/>
      <c r="AC321" s="3"/>
      <c r="AD321" s="3"/>
      <c r="AE321" s="3"/>
      <c r="AF321" s="3"/>
      <c r="AG321" s="3"/>
      <c r="AH321" s="3"/>
      <c r="AI321" s="3"/>
    </row>
    <row r="322" ht="15.75" customHeight="1">
      <c r="A322" s="143"/>
      <c r="E322" s="116"/>
      <c r="I322" s="116"/>
      <c r="AA322" s="3"/>
      <c r="AB322" s="116"/>
      <c r="AC322" s="3"/>
      <c r="AD322" s="3"/>
      <c r="AE322" s="3"/>
      <c r="AF322" s="3"/>
      <c r="AG322" s="3"/>
      <c r="AH322" s="3"/>
      <c r="AI322" s="3"/>
    </row>
    <row r="323" ht="15.75" customHeight="1">
      <c r="A323" s="143"/>
      <c r="E323" s="116"/>
      <c r="I323" s="116"/>
      <c r="AA323" s="3"/>
      <c r="AB323" s="116"/>
      <c r="AC323" s="3"/>
      <c r="AD323" s="3"/>
      <c r="AE323" s="3"/>
      <c r="AF323" s="3"/>
      <c r="AG323" s="3"/>
      <c r="AH323" s="3"/>
      <c r="AI323" s="3"/>
    </row>
    <row r="324" ht="15.75" customHeight="1">
      <c r="A324" s="143"/>
      <c r="E324" s="116"/>
      <c r="I324" s="116"/>
      <c r="AA324" s="3"/>
      <c r="AB324" s="116"/>
      <c r="AC324" s="3"/>
      <c r="AD324" s="3"/>
      <c r="AE324" s="3"/>
      <c r="AF324" s="3"/>
      <c r="AG324" s="3"/>
      <c r="AH324" s="3"/>
      <c r="AI324" s="3"/>
    </row>
    <row r="325" ht="15.75" customHeight="1">
      <c r="A325" s="143"/>
      <c r="E325" s="116"/>
      <c r="I325" s="116"/>
      <c r="AA325" s="3"/>
      <c r="AB325" s="116"/>
      <c r="AC325" s="3"/>
      <c r="AD325" s="3"/>
      <c r="AE325" s="3"/>
      <c r="AF325" s="3"/>
      <c r="AG325" s="3"/>
      <c r="AH325" s="3"/>
      <c r="AI325" s="3"/>
    </row>
    <row r="326" ht="15.75" customHeight="1">
      <c r="A326" s="143"/>
      <c r="E326" s="116"/>
      <c r="I326" s="116"/>
      <c r="AA326" s="3"/>
      <c r="AB326" s="116"/>
      <c r="AC326" s="3"/>
      <c r="AD326" s="3"/>
      <c r="AE326" s="3"/>
      <c r="AF326" s="3"/>
      <c r="AG326" s="3"/>
      <c r="AH326" s="3"/>
      <c r="AI326" s="3"/>
    </row>
    <row r="327" ht="15.75" customHeight="1">
      <c r="A327" s="143"/>
      <c r="E327" s="116"/>
      <c r="I327" s="116"/>
      <c r="AA327" s="3"/>
      <c r="AB327" s="116"/>
      <c r="AC327" s="3"/>
      <c r="AD327" s="3"/>
      <c r="AE327" s="3"/>
      <c r="AF327" s="3"/>
      <c r="AG327" s="3"/>
      <c r="AH327" s="3"/>
      <c r="AI327" s="3"/>
    </row>
    <row r="328" ht="15.75" customHeight="1">
      <c r="A328" s="143"/>
      <c r="E328" s="116"/>
      <c r="I328" s="116"/>
      <c r="AA328" s="3"/>
      <c r="AB328" s="116"/>
      <c r="AC328" s="3"/>
      <c r="AD328" s="3"/>
      <c r="AE328" s="3"/>
      <c r="AF328" s="3"/>
      <c r="AG328" s="3"/>
      <c r="AH328" s="3"/>
      <c r="AI328" s="3"/>
    </row>
    <row r="329" ht="15.75" customHeight="1">
      <c r="A329" s="143"/>
      <c r="E329" s="116"/>
      <c r="I329" s="116"/>
      <c r="AA329" s="3"/>
      <c r="AB329" s="116"/>
      <c r="AC329" s="3"/>
      <c r="AD329" s="3"/>
      <c r="AE329" s="3"/>
      <c r="AF329" s="3"/>
      <c r="AG329" s="3"/>
      <c r="AH329" s="3"/>
      <c r="AI329" s="3"/>
    </row>
    <row r="330" ht="15.75" customHeight="1">
      <c r="A330" s="143"/>
      <c r="E330" s="116"/>
      <c r="I330" s="116"/>
      <c r="AA330" s="3"/>
      <c r="AB330" s="116"/>
      <c r="AC330" s="3"/>
      <c r="AD330" s="3"/>
      <c r="AE330" s="3"/>
      <c r="AF330" s="3"/>
      <c r="AG330" s="3"/>
      <c r="AH330" s="3"/>
      <c r="AI330" s="3"/>
    </row>
    <row r="331" ht="15.75" customHeight="1">
      <c r="A331" s="143"/>
      <c r="E331" s="116"/>
      <c r="I331" s="116"/>
      <c r="AA331" s="3"/>
      <c r="AB331" s="116"/>
      <c r="AC331" s="3"/>
      <c r="AD331" s="3"/>
      <c r="AE331" s="3"/>
      <c r="AF331" s="3"/>
      <c r="AG331" s="3"/>
      <c r="AH331" s="3"/>
      <c r="AI331" s="3"/>
    </row>
    <row r="332" ht="15.75" customHeight="1">
      <c r="A332" s="143"/>
      <c r="E332" s="116"/>
      <c r="I332" s="116"/>
      <c r="AA332" s="3"/>
      <c r="AB332" s="116"/>
      <c r="AC332" s="3"/>
      <c r="AD332" s="3"/>
      <c r="AE332" s="3"/>
      <c r="AF332" s="3"/>
      <c r="AG332" s="3"/>
      <c r="AH332" s="3"/>
      <c r="AI332" s="3"/>
    </row>
    <row r="333" ht="15.75" customHeight="1">
      <c r="A333" s="143"/>
      <c r="E333" s="116"/>
      <c r="I333" s="116"/>
      <c r="AA333" s="3"/>
      <c r="AB333" s="116"/>
      <c r="AC333" s="3"/>
      <c r="AD333" s="3"/>
      <c r="AE333" s="3"/>
      <c r="AF333" s="3"/>
      <c r="AG333" s="3"/>
      <c r="AH333" s="3"/>
      <c r="AI333" s="3"/>
    </row>
    <row r="334" ht="15.75" customHeight="1">
      <c r="A334" s="143"/>
      <c r="E334" s="116"/>
      <c r="I334" s="116"/>
      <c r="AA334" s="3"/>
      <c r="AB334" s="116"/>
      <c r="AC334" s="3"/>
      <c r="AD334" s="3"/>
      <c r="AE334" s="3"/>
      <c r="AF334" s="3"/>
      <c r="AG334" s="3"/>
      <c r="AH334" s="3"/>
      <c r="AI334" s="3"/>
    </row>
    <row r="335" ht="15.75" customHeight="1">
      <c r="A335" s="143"/>
      <c r="E335" s="116"/>
      <c r="I335" s="116"/>
      <c r="AA335" s="3"/>
      <c r="AB335" s="116"/>
      <c r="AC335" s="3"/>
      <c r="AD335" s="3"/>
      <c r="AE335" s="3"/>
      <c r="AF335" s="3"/>
      <c r="AG335" s="3"/>
      <c r="AH335" s="3"/>
      <c r="AI335" s="3"/>
    </row>
    <row r="336" ht="15.75" customHeight="1">
      <c r="A336" s="143"/>
      <c r="E336" s="116"/>
      <c r="I336" s="116"/>
      <c r="AA336" s="3"/>
      <c r="AB336" s="116"/>
      <c r="AC336" s="3"/>
      <c r="AD336" s="3"/>
      <c r="AE336" s="3"/>
      <c r="AF336" s="3"/>
      <c r="AG336" s="3"/>
      <c r="AH336" s="3"/>
      <c r="AI336" s="3"/>
    </row>
    <row r="337" ht="15.75" customHeight="1">
      <c r="A337" s="143"/>
      <c r="E337" s="116"/>
      <c r="I337" s="116"/>
      <c r="AA337" s="3"/>
      <c r="AB337" s="116"/>
      <c r="AC337" s="3"/>
      <c r="AD337" s="3"/>
      <c r="AE337" s="3"/>
      <c r="AF337" s="3"/>
      <c r="AG337" s="3"/>
      <c r="AH337" s="3"/>
      <c r="AI337" s="3"/>
    </row>
    <row r="338" ht="15.75" customHeight="1">
      <c r="A338" s="143"/>
      <c r="E338" s="116"/>
      <c r="I338" s="116"/>
      <c r="AA338" s="3"/>
      <c r="AB338" s="116"/>
      <c r="AC338" s="3"/>
      <c r="AD338" s="3"/>
      <c r="AE338" s="3"/>
      <c r="AF338" s="3"/>
      <c r="AG338" s="3"/>
      <c r="AH338" s="3"/>
      <c r="AI338" s="3"/>
    </row>
    <row r="339" ht="15.75" customHeight="1">
      <c r="A339" s="143"/>
      <c r="E339" s="116"/>
      <c r="I339" s="116"/>
      <c r="AA339" s="3"/>
      <c r="AB339" s="116"/>
      <c r="AC339" s="3"/>
      <c r="AD339" s="3"/>
      <c r="AE339" s="3"/>
      <c r="AF339" s="3"/>
      <c r="AG339" s="3"/>
      <c r="AH339" s="3"/>
      <c r="AI339" s="3"/>
    </row>
    <row r="340" ht="15.75" customHeight="1">
      <c r="A340" s="143"/>
      <c r="E340" s="116"/>
      <c r="I340" s="116"/>
      <c r="AA340" s="3"/>
      <c r="AB340" s="116"/>
      <c r="AC340" s="3"/>
      <c r="AD340" s="3"/>
      <c r="AE340" s="3"/>
      <c r="AF340" s="3"/>
      <c r="AG340" s="3"/>
      <c r="AH340" s="3"/>
      <c r="AI340" s="3"/>
    </row>
    <row r="341" ht="15.75" customHeight="1">
      <c r="A341" s="143"/>
      <c r="E341" s="116"/>
      <c r="I341" s="116"/>
      <c r="AA341" s="3"/>
      <c r="AB341" s="116"/>
      <c r="AC341" s="3"/>
      <c r="AD341" s="3"/>
      <c r="AE341" s="3"/>
      <c r="AF341" s="3"/>
      <c r="AG341" s="3"/>
      <c r="AH341" s="3"/>
      <c r="AI341" s="3"/>
    </row>
    <row r="342" ht="15.75" customHeight="1">
      <c r="A342" s="143"/>
      <c r="E342" s="116"/>
      <c r="I342" s="116"/>
      <c r="AA342" s="3"/>
      <c r="AB342" s="116"/>
      <c r="AC342" s="3"/>
      <c r="AD342" s="3"/>
      <c r="AE342" s="3"/>
      <c r="AF342" s="3"/>
      <c r="AG342" s="3"/>
      <c r="AH342" s="3"/>
      <c r="AI342" s="3"/>
    </row>
    <row r="343" ht="15.75" customHeight="1">
      <c r="A343" s="143"/>
      <c r="E343" s="116"/>
      <c r="I343" s="116"/>
      <c r="AA343" s="3"/>
      <c r="AB343" s="116"/>
      <c r="AC343" s="3"/>
      <c r="AD343" s="3"/>
      <c r="AE343" s="3"/>
      <c r="AF343" s="3"/>
      <c r="AG343" s="3"/>
      <c r="AH343" s="3"/>
      <c r="AI343" s="3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62">
    <mergeCell ref="A200:A205"/>
    <mergeCell ref="A206:A211"/>
    <mergeCell ref="A216:G216"/>
    <mergeCell ref="F217:H217"/>
    <mergeCell ref="AA221:AC228"/>
    <mergeCell ref="AD221:AE228"/>
    <mergeCell ref="A225:G225"/>
    <mergeCell ref="F226:H226"/>
    <mergeCell ref="A227:A230"/>
    <mergeCell ref="A231:A232"/>
    <mergeCell ref="A158:A163"/>
    <mergeCell ref="A164:A169"/>
    <mergeCell ref="A170:A175"/>
    <mergeCell ref="A176:A181"/>
    <mergeCell ref="A182:A187"/>
    <mergeCell ref="A188:A193"/>
    <mergeCell ref="A194:A199"/>
    <mergeCell ref="AA15:AC15"/>
    <mergeCell ref="AA16:AC16"/>
    <mergeCell ref="AA17:AC24"/>
    <mergeCell ref="AA85:AC85"/>
    <mergeCell ref="AA86:AC86"/>
    <mergeCell ref="AA87:AC94"/>
    <mergeCell ref="AD87:AF92"/>
    <mergeCell ref="A1:G1"/>
    <mergeCell ref="F2:H2"/>
    <mergeCell ref="X2:Y2"/>
    <mergeCell ref="A3:A8"/>
    <mergeCell ref="A9:A14"/>
    <mergeCell ref="A15:A20"/>
    <mergeCell ref="AD15:AE22"/>
    <mergeCell ref="A63:A68"/>
    <mergeCell ref="A72:G72"/>
    <mergeCell ref="F73:H73"/>
    <mergeCell ref="X73:Y73"/>
    <mergeCell ref="A21:A26"/>
    <mergeCell ref="A27:A32"/>
    <mergeCell ref="A33:A38"/>
    <mergeCell ref="A39:A44"/>
    <mergeCell ref="A45:A50"/>
    <mergeCell ref="A51:A56"/>
    <mergeCell ref="A57:A62"/>
    <mergeCell ref="A116:A121"/>
    <mergeCell ref="A122:A127"/>
    <mergeCell ref="A128:A133"/>
    <mergeCell ref="A134:A139"/>
    <mergeCell ref="A144:G144"/>
    <mergeCell ref="F145:H145"/>
    <mergeCell ref="X145:Y145"/>
    <mergeCell ref="A146:A151"/>
    <mergeCell ref="A152:A157"/>
    <mergeCell ref="AA157:AC157"/>
    <mergeCell ref="AA158:AC158"/>
    <mergeCell ref="AA159:AC166"/>
    <mergeCell ref="AD160:AF165"/>
    <mergeCell ref="A74:A79"/>
    <mergeCell ref="A80:A85"/>
    <mergeCell ref="A86:A91"/>
    <mergeCell ref="A92:A97"/>
    <mergeCell ref="A98:A103"/>
    <mergeCell ref="A104:A109"/>
    <mergeCell ref="A110:A1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5.38"/>
    <col customWidth="1" min="5" max="5" width="22.88"/>
    <col customWidth="1" min="7" max="7" width="2.63"/>
    <col customWidth="1" min="9" max="9" width="22.88"/>
    <col customWidth="1" hidden="1" min="10" max="10" width="14.88"/>
    <col hidden="1" min="11" max="21" width="12.63"/>
    <col customWidth="1" hidden="1" min="22" max="22" width="12.88"/>
    <col customWidth="1" min="23" max="23" width="12.0"/>
    <col customWidth="1" hidden="1" min="24" max="24" width="14.0"/>
    <col hidden="1" min="25" max="26" width="12.63"/>
    <col customWidth="1" min="27" max="27" width="15.63"/>
    <col customWidth="1" min="28" max="28" width="22.88"/>
    <col hidden="1" min="31" max="31" width="12.63"/>
    <col hidden="1" min="36" max="36" width="12.63"/>
  </cols>
  <sheetData>
    <row r="1" ht="15.75" customHeight="1">
      <c r="A1" s="142" t="s">
        <v>209</v>
      </c>
      <c r="I1" s="116"/>
      <c r="AA1" s="3"/>
      <c r="AB1" s="116"/>
      <c r="AC1" s="3"/>
      <c r="AD1" s="3"/>
      <c r="AE1" s="3"/>
      <c r="AF1" s="3"/>
      <c r="AG1" s="3"/>
      <c r="AH1" s="3"/>
      <c r="AI1" s="3"/>
      <c r="AJ1" s="3"/>
    </row>
    <row r="2" ht="15.75" customHeight="1">
      <c r="A2" s="57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/>
      <c r="S2" s="9" t="s">
        <v>16</v>
      </c>
      <c r="T2" s="9" t="s">
        <v>196</v>
      </c>
      <c r="U2" s="9" t="s">
        <v>197</v>
      </c>
      <c r="V2" s="9" t="s">
        <v>198</v>
      </c>
      <c r="W2" s="3"/>
      <c r="X2" s="103" t="s">
        <v>20</v>
      </c>
      <c r="Y2" s="8"/>
      <c r="Z2" s="3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196</v>
      </c>
      <c r="AH2" s="5" t="s">
        <v>197</v>
      </c>
      <c r="AI2" s="5" t="s">
        <v>198</v>
      </c>
      <c r="AJ2" s="9"/>
    </row>
    <row r="3" ht="15.75" customHeight="1">
      <c r="A3" s="10">
        <v>1.0</v>
      </c>
      <c r="B3" s="11">
        <v>45946.0</v>
      </c>
      <c r="C3" s="12" t="s">
        <v>35</v>
      </c>
      <c r="D3" s="12" t="s">
        <v>22</v>
      </c>
      <c r="E3" s="14" t="s">
        <v>33</v>
      </c>
      <c r="F3" s="13">
        <v>2.0</v>
      </c>
      <c r="G3" s="30" t="s">
        <v>24</v>
      </c>
      <c r="H3" s="13">
        <v>0.0</v>
      </c>
      <c r="I3" s="14" t="s">
        <v>94</v>
      </c>
      <c r="J3" s="117"/>
      <c r="K3" s="118">
        <f t="shared" ref="K3:K68" si="1">IFS(F3=H3+2,3,F3=H3-2,0,F3=H3+1,2,F3=H3-1,1,F3="","")</f>
        <v>3</v>
      </c>
      <c r="L3" s="119">
        <f t="shared" ref="L3:L68" si="2">IFS(H3=F3+2,3,H3=F3-2,0,H3=F3+1,2,H3=F3-1,1,H3="","")</f>
        <v>0</v>
      </c>
      <c r="M3" s="117"/>
      <c r="N3" s="119">
        <v>1.0</v>
      </c>
      <c r="O3" s="120" t="s">
        <v>33</v>
      </c>
      <c r="P3" s="119">
        <f t="shared" ref="P3:P14" si="3">SUMIF(E$3:E$68,O3,K$3:K$68)+SUMIF(I$3:I$68,O3,L$3:L$68)</f>
        <v>6</v>
      </c>
      <c r="Q3" s="121">
        <f t="shared" ref="Q3:Q14" si="4">COUNTIFS(E$3:E$68,O3,K$3:K$68,2)+COUNTIFS(I$3:I$68,O3,L$3:L$68,2)+COUNTIFS(E$3:E$68,O3,K$3:K$68,3)+COUNTIFS(I$3:I$68,O3,L$3:L$68,3)</f>
        <v>2</v>
      </c>
      <c r="R3" s="121"/>
      <c r="S3" s="122">
        <f t="shared" ref="S3:S14" si="5">COUNTIFS(E$3:E$68,O3,K$3:K$68,1)+COUNTIFS(I$3:I$68,O3,L$3:L$68,1)+COUNTIFS(E$3:E$68,O3,K$3:K$68,0)+COUNTIFS(I$3:I$68,O3,L$3:L$68,0)</f>
        <v>1</v>
      </c>
      <c r="T3" s="119">
        <f t="shared" ref="T3:T14" si="6">SUMIF(E$3:E$68,O3,F$3:F$68)+SUMIF(I$3:I$68,O3,H$3:H$68)</f>
        <v>4</v>
      </c>
      <c r="U3" s="122">
        <f t="shared" ref="U3:U14" si="7">SUMIF(E$3:E$68,O3,H$3:H$68)+SUMIF(I$3:I$68,O3,F$3:F$68)</f>
        <v>2</v>
      </c>
      <c r="V3" s="119">
        <f t="shared" ref="V3:V14" si="8">T3-U3</f>
        <v>2</v>
      </c>
      <c r="X3" s="107" t="s">
        <v>26</v>
      </c>
      <c r="Y3" s="107" t="s">
        <v>13</v>
      </c>
      <c r="AA3" s="21" t="s">
        <v>29</v>
      </c>
      <c r="AB3" s="63" t="str">
        <f t="array" ref="AB3:AI14">SORT(O3:V14,2,FALSE,8,FALSE)</f>
        <v>EET</v>
      </c>
      <c r="AC3" s="22">
        <v>9.0</v>
      </c>
      <c r="AD3" s="22">
        <v>3.0</v>
      </c>
      <c r="AE3" s="22"/>
      <c r="AF3" s="23">
        <v>0.0</v>
      </c>
      <c r="AG3" s="22">
        <v>6.0</v>
      </c>
      <c r="AH3" s="23">
        <v>0.0</v>
      </c>
      <c r="AI3" s="22">
        <v>6.0</v>
      </c>
      <c r="AJ3" s="17"/>
    </row>
    <row r="4" ht="15.75" customHeight="1">
      <c r="A4" s="24"/>
      <c r="B4" s="11">
        <v>45943.0</v>
      </c>
      <c r="C4" s="12" t="s">
        <v>30</v>
      </c>
      <c r="D4" s="12" t="s">
        <v>22</v>
      </c>
      <c r="E4" s="14" t="s">
        <v>63</v>
      </c>
      <c r="F4" s="13">
        <v>0.0</v>
      </c>
      <c r="G4" s="30" t="s">
        <v>24</v>
      </c>
      <c r="H4" s="13">
        <v>2.0</v>
      </c>
      <c r="I4" s="14" t="s">
        <v>36</v>
      </c>
      <c r="J4" s="117"/>
      <c r="K4" s="118">
        <f t="shared" si="1"/>
        <v>0</v>
      </c>
      <c r="L4" s="119">
        <f t="shared" si="2"/>
        <v>3</v>
      </c>
      <c r="M4" s="117"/>
      <c r="N4" s="119">
        <v>2.0</v>
      </c>
      <c r="O4" s="120" t="s">
        <v>111</v>
      </c>
      <c r="P4" s="119">
        <f t="shared" si="3"/>
        <v>1</v>
      </c>
      <c r="Q4" s="121">
        <f t="shared" si="4"/>
        <v>0</v>
      </c>
      <c r="R4" s="121"/>
      <c r="S4" s="122">
        <f t="shared" si="5"/>
        <v>3</v>
      </c>
      <c r="T4" s="119">
        <f t="shared" si="6"/>
        <v>1</v>
      </c>
      <c r="U4" s="122">
        <f t="shared" si="7"/>
        <v>6</v>
      </c>
      <c r="V4" s="119">
        <f t="shared" si="8"/>
        <v>-5</v>
      </c>
      <c r="X4" s="108" t="s">
        <v>59</v>
      </c>
      <c r="Y4" s="108">
        <v>2.0</v>
      </c>
      <c r="AA4" s="21" t="s">
        <v>34</v>
      </c>
      <c r="AB4" s="63" t="s">
        <v>25</v>
      </c>
      <c r="AC4" s="22">
        <v>9.0</v>
      </c>
      <c r="AD4" s="22">
        <v>3.0</v>
      </c>
      <c r="AE4" s="22"/>
      <c r="AF4" s="23">
        <v>0.0</v>
      </c>
      <c r="AG4" s="22">
        <v>6.0</v>
      </c>
      <c r="AH4" s="23">
        <v>0.0</v>
      </c>
      <c r="AI4" s="22">
        <v>6.0</v>
      </c>
      <c r="AJ4" s="17"/>
    </row>
    <row r="5" ht="15.75" customHeight="1">
      <c r="A5" s="24"/>
      <c r="B5" s="11">
        <v>45943.0</v>
      </c>
      <c r="C5" s="12" t="s">
        <v>30</v>
      </c>
      <c r="D5" s="12" t="s">
        <v>22</v>
      </c>
      <c r="E5" s="14" t="s">
        <v>43</v>
      </c>
      <c r="F5" s="13">
        <v>2.0</v>
      </c>
      <c r="G5" s="30" t="s">
        <v>24</v>
      </c>
      <c r="H5" s="13">
        <v>0.0</v>
      </c>
      <c r="I5" s="14" t="s">
        <v>59</v>
      </c>
      <c r="J5" s="117"/>
      <c r="K5" s="118">
        <f t="shared" si="1"/>
        <v>3</v>
      </c>
      <c r="L5" s="119">
        <f t="shared" si="2"/>
        <v>0</v>
      </c>
      <c r="M5" s="117"/>
      <c r="N5" s="119">
        <v>3.0</v>
      </c>
      <c r="O5" s="120" t="s">
        <v>94</v>
      </c>
      <c r="P5" s="119">
        <f t="shared" si="3"/>
        <v>1</v>
      </c>
      <c r="Q5" s="121">
        <f t="shared" si="4"/>
        <v>0</v>
      </c>
      <c r="R5" s="121"/>
      <c r="S5" s="122">
        <f t="shared" si="5"/>
        <v>3</v>
      </c>
      <c r="T5" s="119">
        <f t="shared" si="6"/>
        <v>1</v>
      </c>
      <c r="U5" s="122">
        <f t="shared" si="7"/>
        <v>6</v>
      </c>
      <c r="V5" s="119">
        <f t="shared" si="8"/>
        <v>-5</v>
      </c>
      <c r="X5" s="108" t="s">
        <v>31</v>
      </c>
      <c r="Y5" s="108">
        <v>1.0</v>
      </c>
      <c r="AA5" s="21" t="s">
        <v>38</v>
      </c>
      <c r="AB5" s="63" t="s">
        <v>43</v>
      </c>
      <c r="AC5" s="22">
        <v>9.0</v>
      </c>
      <c r="AD5" s="22">
        <v>3.0</v>
      </c>
      <c r="AE5" s="22"/>
      <c r="AF5" s="23">
        <v>0.0</v>
      </c>
      <c r="AG5" s="22">
        <v>6.0</v>
      </c>
      <c r="AH5" s="23">
        <v>0.0</v>
      </c>
      <c r="AI5" s="22">
        <v>6.0</v>
      </c>
      <c r="AJ5" s="17"/>
    </row>
    <row r="6" ht="15.75" customHeight="1">
      <c r="A6" s="24"/>
      <c r="B6" s="11">
        <v>45943.0</v>
      </c>
      <c r="C6" s="12" t="s">
        <v>35</v>
      </c>
      <c r="D6" s="12" t="s">
        <v>22</v>
      </c>
      <c r="E6" s="14" t="s">
        <v>25</v>
      </c>
      <c r="F6" s="13">
        <v>2.0</v>
      </c>
      <c r="G6" s="30" t="s">
        <v>24</v>
      </c>
      <c r="H6" s="13">
        <v>0.0</v>
      </c>
      <c r="I6" s="14" t="s">
        <v>40</v>
      </c>
      <c r="J6" s="117"/>
      <c r="K6" s="118">
        <f t="shared" si="1"/>
        <v>3</v>
      </c>
      <c r="L6" s="119">
        <f t="shared" si="2"/>
        <v>0</v>
      </c>
      <c r="M6" s="117"/>
      <c r="N6" s="119">
        <v>4.0</v>
      </c>
      <c r="O6" s="120" t="s">
        <v>116</v>
      </c>
      <c r="P6" s="119">
        <f t="shared" si="3"/>
        <v>6</v>
      </c>
      <c r="Q6" s="121">
        <f t="shared" si="4"/>
        <v>2</v>
      </c>
      <c r="R6" s="121"/>
      <c r="S6" s="122">
        <f t="shared" si="5"/>
        <v>1</v>
      </c>
      <c r="T6" s="119">
        <f t="shared" si="6"/>
        <v>4</v>
      </c>
      <c r="U6" s="122">
        <f t="shared" si="7"/>
        <v>2</v>
      </c>
      <c r="V6" s="119">
        <f t="shared" si="8"/>
        <v>2</v>
      </c>
      <c r="AA6" s="21" t="s">
        <v>41</v>
      </c>
      <c r="AB6" s="63" t="s">
        <v>113</v>
      </c>
      <c r="AC6" s="22">
        <v>7.0</v>
      </c>
      <c r="AD6" s="22">
        <v>3.0</v>
      </c>
      <c r="AE6" s="22"/>
      <c r="AF6" s="23">
        <v>0.0</v>
      </c>
      <c r="AG6" s="22">
        <v>6.0</v>
      </c>
      <c r="AH6" s="23">
        <v>2.0</v>
      </c>
      <c r="AI6" s="22">
        <v>4.0</v>
      </c>
      <c r="AJ6" s="17"/>
    </row>
    <row r="7" ht="15.75" customHeight="1">
      <c r="A7" s="24"/>
      <c r="B7" s="11">
        <v>45943.0</v>
      </c>
      <c r="C7" s="12" t="s">
        <v>35</v>
      </c>
      <c r="D7" s="12" t="s">
        <v>22</v>
      </c>
      <c r="E7" s="14" t="s">
        <v>116</v>
      </c>
      <c r="F7" s="13">
        <v>2.0</v>
      </c>
      <c r="G7" s="30" t="s">
        <v>24</v>
      </c>
      <c r="H7" s="13">
        <v>0.0</v>
      </c>
      <c r="I7" s="14" t="s">
        <v>110</v>
      </c>
      <c r="J7" s="117"/>
      <c r="K7" s="118">
        <f t="shared" si="1"/>
        <v>3</v>
      </c>
      <c r="L7" s="119">
        <f t="shared" si="2"/>
        <v>0</v>
      </c>
      <c r="M7" s="117"/>
      <c r="N7" s="119">
        <v>5.0</v>
      </c>
      <c r="O7" s="120" t="s">
        <v>36</v>
      </c>
      <c r="P7" s="119">
        <f t="shared" si="3"/>
        <v>9</v>
      </c>
      <c r="Q7" s="121">
        <f t="shared" si="4"/>
        <v>3</v>
      </c>
      <c r="R7" s="121"/>
      <c r="S7" s="122">
        <f t="shared" si="5"/>
        <v>0</v>
      </c>
      <c r="T7" s="119">
        <f t="shared" si="6"/>
        <v>6</v>
      </c>
      <c r="U7" s="122">
        <f t="shared" si="7"/>
        <v>0</v>
      </c>
      <c r="V7" s="119">
        <f t="shared" si="8"/>
        <v>6</v>
      </c>
      <c r="AA7" s="21" t="s">
        <v>44</v>
      </c>
      <c r="AB7" s="63" t="s">
        <v>33</v>
      </c>
      <c r="AC7" s="22">
        <v>6.0</v>
      </c>
      <c r="AD7" s="22">
        <v>2.0</v>
      </c>
      <c r="AE7" s="22"/>
      <c r="AF7" s="23">
        <v>1.0</v>
      </c>
      <c r="AG7" s="22">
        <v>4.0</v>
      </c>
      <c r="AH7" s="23">
        <v>2.0</v>
      </c>
      <c r="AI7" s="22">
        <v>2.0</v>
      </c>
      <c r="AJ7" s="17"/>
    </row>
    <row r="8" ht="15.75" customHeight="1">
      <c r="A8" s="28"/>
      <c r="B8" s="11">
        <v>45943.0</v>
      </c>
      <c r="C8" s="12" t="s">
        <v>35</v>
      </c>
      <c r="D8" s="12" t="s">
        <v>22</v>
      </c>
      <c r="E8" s="14" t="s">
        <v>113</v>
      </c>
      <c r="F8" s="13">
        <v>2.0</v>
      </c>
      <c r="G8" s="30" t="s">
        <v>24</v>
      </c>
      <c r="H8" s="13">
        <v>1.0</v>
      </c>
      <c r="I8" s="14" t="s">
        <v>111</v>
      </c>
      <c r="J8" s="117"/>
      <c r="K8" s="118">
        <f t="shared" si="1"/>
        <v>2</v>
      </c>
      <c r="L8" s="119">
        <f t="shared" si="2"/>
        <v>1</v>
      </c>
      <c r="M8" s="117"/>
      <c r="N8" s="119">
        <v>6.0</v>
      </c>
      <c r="O8" s="120" t="s">
        <v>25</v>
      </c>
      <c r="P8" s="119">
        <f t="shared" si="3"/>
        <v>9</v>
      </c>
      <c r="Q8" s="121">
        <f t="shared" si="4"/>
        <v>3</v>
      </c>
      <c r="R8" s="121"/>
      <c r="S8" s="122">
        <f t="shared" si="5"/>
        <v>0</v>
      </c>
      <c r="T8" s="119">
        <f t="shared" si="6"/>
        <v>6</v>
      </c>
      <c r="U8" s="122">
        <f t="shared" si="7"/>
        <v>0</v>
      </c>
      <c r="V8" s="119">
        <f t="shared" si="8"/>
        <v>6</v>
      </c>
      <c r="AA8" s="21" t="s">
        <v>47</v>
      </c>
      <c r="AB8" s="63" t="s">
        <v>116</v>
      </c>
      <c r="AC8" s="22">
        <v>6.0</v>
      </c>
      <c r="AD8" s="22">
        <v>2.0</v>
      </c>
      <c r="AE8" s="22"/>
      <c r="AF8" s="23">
        <v>1.0</v>
      </c>
      <c r="AG8" s="22">
        <v>4.0</v>
      </c>
      <c r="AH8" s="23">
        <v>2.0</v>
      </c>
      <c r="AI8" s="22">
        <v>2.0</v>
      </c>
      <c r="AJ8" s="17"/>
    </row>
    <row r="9" ht="15.75" customHeight="1">
      <c r="A9" s="10">
        <v>2.0</v>
      </c>
      <c r="B9" s="11">
        <v>45959.0</v>
      </c>
      <c r="C9" s="12" t="s">
        <v>142</v>
      </c>
      <c r="D9" s="12" t="s">
        <v>22</v>
      </c>
      <c r="E9" s="14" t="s">
        <v>94</v>
      </c>
      <c r="F9" s="13">
        <v>1.0</v>
      </c>
      <c r="G9" s="30" t="s">
        <v>24</v>
      </c>
      <c r="H9" s="13">
        <v>2.0</v>
      </c>
      <c r="I9" s="14" t="s">
        <v>113</v>
      </c>
      <c r="J9" s="117"/>
      <c r="K9" s="118">
        <f t="shared" si="1"/>
        <v>1</v>
      </c>
      <c r="L9" s="119">
        <f t="shared" si="2"/>
        <v>2</v>
      </c>
      <c r="M9" s="117"/>
      <c r="N9" s="119">
        <v>7.0</v>
      </c>
      <c r="O9" s="120" t="s">
        <v>59</v>
      </c>
      <c r="P9" s="119">
        <f t="shared" si="3"/>
        <v>3</v>
      </c>
      <c r="Q9" s="121">
        <f t="shared" si="4"/>
        <v>1</v>
      </c>
      <c r="R9" s="121"/>
      <c r="S9" s="122">
        <f t="shared" si="5"/>
        <v>2</v>
      </c>
      <c r="T9" s="119">
        <f t="shared" si="6"/>
        <v>2</v>
      </c>
      <c r="U9" s="122">
        <f t="shared" si="7"/>
        <v>4</v>
      </c>
      <c r="V9" s="119">
        <f t="shared" si="8"/>
        <v>-2</v>
      </c>
      <c r="AA9" s="21">
        <v>7.0</v>
      </c>
      <c r="AB9" s="63" t="s">
        <v>59</v>
      </c>
      <c r="AC9" s="22">
        <v>3.0</v>
      </c>
      <c r="AD9" s="22">
        <v>1.0</v>
      </c>
      <c r="AE9" s="22"/>
      <c r="AF9" s="23">
        <v>2.0</v>
      </c>
      <c r="AG9" s="22">
        <v>2.0</v>
      </c>
      <c r="AH9" s="23">
        <v>4.0</v>
      </c>
      <c r="AI9" s="22">
        <v>-2.0</v>
      </c>
      <c r="AJ9" s="17"/>
    </row>
    <row r="10" ht="15.75" customHeight="1">
      <c r="A10" s="24"/>
      <c r="B10" s="11">
        <v>45959.0</v>
      </c>
      <c r="C10" s="12" t="s">
        <v>117</v>
      </c>
      <c r="D10" s="12" t="s">
        <v>22</v>
      </c>
      <c r="E10" s="14" t="s">
        <v>36</v>
      </c>
      <c r="F10" s="13">
        <v>2.0</v>
      </c>
      <c r="G10" s="30" t="s">
        <v>24</v>
      </c>
      <c r="H10" s="13">
        <v>0.0</v>
      </c>
      <c r="I10" s="14" t="s">
        <v>33</v>
      </c>
      <c r="J10" s="117"/>
      <c r="K10" s="118">
        <f t="shared" si="1"/>
        <v>3</v>
      </c>
      <c r="L10" s="119">
        <f t="shared" si="2"/>
        <v>0</v>
      </c>
      <c r="M10" s="117"/>
      <c r="N10" s="119">
        <v>8.0</v>
      </c>
      <c r="O10" s="120" t="s">
        <v>43</v>
      </c>
      <c r="P10" s="119">
        <f t="shared" si="3"/>
        <v>9</v>
      </c>
      <c r="Q10" s="121">
        <f t="shared" si="4"/>
        <v>3</v>
      </c>
      <c r="R10" s="121"/>
      <c r="S10" s="122">
        <f t="shared" si="5"/>
        <v>0</v>
      </c>
      <c r="T10" s="119">
        <f t="shared" si="6"/>
        <v>6</v>
      </c>
      <c r="U10" s="122">
        <f t="shared" si="7"/>
        <v>0</v>
      </c>
      <c r="V10" s="119">
        <f t="shared" si="8"/>
        <v>6</v>
      </c>
      <c r="AA10" s="21">
        <v>8.0</v>
      </c>
      <c r="AB10" s="63" t="s">
        <v>63</v>
      </c>
      <c r="AC10" s="22">
        <v>3.0</v>
      </c>
      <c r="AD10" s="22">
        <v>1.0</v>
      </c>
      <c r="AE10" s="22"/>
      <c r="AF10" s="23">
        <v>2.0</v>
      </c>
      <c r="AG10" s="22">
        <v>2.0</v>
      </c>
      <c r="AH10" s="23">
        <v>4.0</v>
      </c>
      <c r="AI10" s="22">
        <v>-2.0</v>
      </c>
      <c r="AJ10" s="17"/>
    </row>
    <row r="11" ht="15.75" customHeight="1">
      <c r="A11" s="24"/>
      <c r="B11" s="11">
        <v>45959.0</v>
      </c>
      <c r="C11" s="12" t="s">
        <v>95</v>
      </c>
      <c r="D11" s="12" t="s">
        <v>22</v>
      </c>
      <c r="E11" s="14" t="s">
        <v>59</v>
      </c>
      <c r="F11" s="13">
        <v>2.0</v>
      </c>
      <c r="G11" s="30" t="s">
        <v>24</v>
      </c>
      <c r="H11" s="13">
        <v>0.0</v>
      </c>
      <c r="I11" s="14" t="s">
        <v>63</v>
      </c>
      <c r="J11" s="117"/>
      <c r="K11" s="118">
        <f t="shared" si="1"/>
        <v>3</v>
      </c>
      <c r="L11" s="119">
        <f t="shared" si="2"/>
        <v>0</v>
      </c>
      <c r="M11" s="117"/>
      <c r="N11" s="119">
        <v>9.0</v>
      </c>
      <c r="O11" s="120" t="s">
        <v>40</v>
      </c>
      <c r="P11" s="119">
        <f t="shared" si="3"/>
        <v>0</v>
      </c>
      <c r="Q11" s="121">
        <f t="shared" si="4"/>
        <v>0</v>
      </c>
      <c r="R11" s="121"/>
      <c r="S11" s="122">
        <f t="shared" si="5"/>
        <v>3</v>
      </c>
      <c r="T11" s="119">
        <f t="shared" si="6"/>
        <v>0</v>
      </c>
      <c r="U11" s="122">
        <f t="shared" si="7"/>
        <v>6</v>
      </c>
      <c r="V11" s="119">
        <f t="shared" si="8"/>
        <v>-6</v>
      </c>
      <c r="AA11" s="95" t="s">
        <v>101</v>
      </c>
      <c r="AB11" s="63" t="s">
        <v>111</v>
      </c>
      <c r="AC11" s="22">
        <v>1.0</v>
      </c>
      <c r="AD11" s="22">
        <v>0.0</v>
      </c>
      <c r="AE11" s="22"/>
      <c r="AF11" s="23">
        <v>3.0</v>
      </c>
      <c r="AG11" s="22">
        <v>1.0</v>
      </c>
      <c r="AH11" s="23">
        <v>6.0</v>
      </c>
      <c r="AI11" s="22">
        <v>-5.0</v>
      </c>
      <c r="AJ11" s="17"/>
    </row>
    <row r="12" ht="15.75" customHeight="1">
      <c r="A12" s="24"/>
      <c r="B12" s="11">
        <v>45959.0</v>
      </c>
      <c r="C12" s="12" t="s">
        <v>95</v>
      </c>
      <c r="D12" s="12" t="s">
        <v>22</v>
      </c>
      <c r="E12" s="14" t="s">
        <v>40</v>
      </c>
      <c r="F12" s="13">
        <v>0.0</v>
      </c>
      <c r="G12" s="30" t="s">
        <v>24</v>
      </c>
      <c r="H12" s="13">
        <v>2.0</v>
      </c>
      <c r="I12" s="14" t="s">
        <v>43</v>
      </c>
      <c r="J12" s="117"/>
      <c r="K12" s="118">
        <f t="shared" si="1"/>
        <v>0</v>
      </c>
      <c r="L12" s="119">
        <f t="shared" si="2"/>
        <v>3</v>
      </c>
      <c r="M12" s="117"/>
      <c r="N12" s="119">
        <v>10.0</v>
      </c>
      <c r="O12" s="124" t="s">
        <v>63</v>
      </c>
      <c r="P12" s="119">
        <f t="shared" si="3"/>
        <v>3</v>
      </c>
      <c r="Q12" s="121">
        <f t="shared" si="4"/>
        <v>1</v>
      </c>
      <c r="R12" s="121"/>
      <c r="S12" s="122">
        <f t="shared" si="5"/>
        <v>2</v>
      </c>
      <c r="T12" s="119">
        <f t="shared" si="6"/>
        <v>2</v>
      </c>
      <c r="U12" s="122">
        <f t="shared" si="7"/>
        <v>4</v>
      </c>
      <c r="V12" s="119">
        <f t="shared" si="8"/>
        <v>-2</v>
      </c>
      <c r="AA12" s="69">
        <v>10.0</v>
      </c>
      <c r="AB12" s="63" t="s">
        <v>94</v>
      </c>
      <c r="AC12" s="22">
        <v>1.0</v>
      </c>
      <c r="AD12" s="22">
        <v>0.0</v>
      </c>
      <c r="AE12" s="22"/>
      <c r="AF12" s="23">
        <v>3.0</v>
      </c>
      <c r="AG12" s="22">
        <v>1.0</v>
      </c>
      <c r="AH12" s="23">
        <v>6.0</v>
      </c>
      <c r="AI12" s="22">
        <v>-5.0</v>
      </c>
      <c r="AJ12" s="17"/>
    </row>
    <row r="13" ht="15.75" customHeight="1">
      <c r="A13" s="24"/>
      <c r="B13" s="11">
        <v>45959.0</v>
      </c>
      <c r="C13" s="12" t="s">
        <v>95</v>
      </c>
      <c r="D13" s="12" t="s">
        <v>22</v>
      </c>
      <c r="E13" s="14" t="s">
        <v>110</v>
      </c>
      <c r="F13" s="13">
        <v>0.0</v>
      </c>
      <c r="G13" s="30" t="s">
        <v>24</v>
      </c>
      <c r="H13" s="13">
        <v>2.0</v>
      </c>
      <c r="I13" s="14" t="s">
        <v>25</v>
      </c>
      <c r="J13" s="117"/>
      <c r="K13" s="118">
        <f t="shared" si="1"/>
        <v>0</v>
      </c>
      <c r="L13" s="119">
        <f t="shared" si="2"/>
        <v>3</v>
      </c>
      <c r="M13" s="117"/>
      <c r="N13" s="119">
        <v>11.0</v>
      </c>
      <c r="O13" s="125" t="s">
        <v>110</v>
      </c>
      <c r="P13" s="119">
        <f t="shared" si="3"/>
        <v>0</v>
      </c>
      <c r="Q13" s="121">
        <f t="shared" si="4"/>
        <v>0</v>
      </c>
      <c r="R13" s="121"/>
      <c r="S13" s="122">
        <f t="shared" si="5"/>
        <v>3</v>
      </c>
      <c r="T13" s="119">
        <f t="shared" si="6"/>
        <v>0</v>
      </c>
      <c r="U13" s="122">
        <f t="shared" si="7"/>
        <v>6</v>
      </c>
      <c r="V13" s="119">
        <f t="shared" si="8"/>
        <v>-6</v>
      </c>
      <c r="AA13" s="69">
        <v>11.0</v>
      </c>
      <c r="AB13" s="63" t="s">
        <v>40</v>
      </c>
      <c r="AC13" s="22">
        <v>0.0</v>
      </c>
      <c r="AD13" s="22">
        <v>0.0</v>
      </c>
      <c r="AE13" s="22"/>
      <c r="AF13" s="23">
        <v>3.0</v>
      </c>
      <c r="AG13" s="22">
        <v>0.0</v>
      </c>
      <c r="AH13" s="23">
        <v>6.0</v>
      </c>
      <c r="AI13" s="22">
        <v>-6.0</v>
      </c>
      <c r="AJ13" s="17"/>
    </row>
    <row r="14" ht="15.75" customHeight="1">
      <c r="A14" s="28"/>
      <c r="B14" s="11">
        <v>45959.0</v>
      </c>
      <c r="C14" s="12" t="s">
        <v>98</v>
      </c>
      <c r="D14" s="12" t="s">
        <v>22</v>
      </c>
      <c r="E14" s="14" t="s">
        <v>111</v>
      </c>
      <c r="F14" s="13">
        <v>0.0</v>
      </c>
      <c r="G14" s="30" t="s">
        <v>24</v>
      </c>
      <c r="H14" s="13">
        <v>2.0</v>
      </c>
      <c r="I14" s="14" t="s">
        <v>116</v>
      </c>
      <c r="J14" s="117"/>
      <c r="K14" s="118">
        <f t="shared" si="1"/>
        <v>0</v>
      </c>
      <c r="L14" s="119">
        <f t="shared" si="2"/>
        <v>3</v>
      </c>
      <c r="M14" s="117"/>
      <c r="N14" s="126">
        <v>12.0</v>
      </c>
      <c r="O14" s="125" t="s">
        <v>113</v>
      </c>
      <c r="P14" s="119">
        <f t="shared" si="3"/>
        <v>7</v>
      </c>
      <c r="Q14" s="121">
        <f t="shared" si="4"/>
        <v>3</v>
      </c>
      <c r="S14" s="122">
        <f t="shared" si="5"/>
        <v>0</v>
      </c>
      <c r="T14" s="119">
        <f t="shared" si="6"/>
        <v>6</v>
      </c>
      <c r="U14" s="122">
        <f t="shared" si="7"/>
        <v>2</v>
      </c>
      <c r="V14" s="119">
        <f t="shared" si="8"/>
        <v>4</v>
      </c>
      <c r="AA14" s="69">
        <v>12.0</v>
      </c>
      <c r="AB14" s="27" t="s">
        <v>110</v>
      </c>
      <c r="AC14" s="22">
        <v>0.0</v>
      </c>
      <c r="AD14" s="27">
        <v>0.0</v>
      </c>
      <c r="AE14" s="27"/>
      <c r="AF14" s="27">
        <v>3.0</v>
      </c>
      <c r="AG14" s="27">
        <v>0.0</v>
      </c>
      <c r="AH14" s="27">
        <v>6.0</v>
      </c>
      <c r="AI14" s="27">
        <v>-6.0</v>
      </c>
      <c r="AJ14" s="3"/>
    </row>
    <row r="15" ht="15.75" customHeight="1">
      <c r="A15" s="10">
        <v>3.0</v>
      </c>
      <c r="B15" s="11">
        <v>45959.0</v>
      </c>
      <c r="C15" s="12" t="s">
        <v>98</v>
      </c>
      <c r="D15" s="12" t="s">
        <v>22</v>
      </c>
      <c r="E15" s="14" t="s">
        <v>94</v>
      </c>
      <c r="F15" s="13">
        <v>0.0</v>
      </c>
      <c r="G15" s="30" t="s">
        <v>24</v>
      </c>
      <c r="H15" s="13">
        <v>2.0</v>
      </c>
      <c r="I15" s="14" t="s">
        <v>36</v>
      </c>
      <c r="J15" s="117"/>
      <c r="K15" s="118">
        <f t="shared" si="1"/>
        <v>0</v>
      </c>
      <c r="L15" s="119">
        <f t="shared" si="2"/>
        <v>3</v>
      </c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AA15" s="34" t="s">
        <v>210</v>
      </c>
      <c r="AD15" s="36"/>
      <c r="AF15" s="3"/>
      <c r="AG15" s="3"/>
      <c r="AH15" s="3"/>
      <c r="AI15" s="3"/>
      <c r="AJ15" s="3"/>
    </row>
    <row r="16" ht="15.75" customHeight="1">
      <c r="A16" s="24"/>
      <c r="B16" s="11">
        <v>45959.0</v>
      </c>
      <c r="C16" s="12" t="s">
        <v>98</v>
      </c>
      <c r="D16" s="12" t="s">
        <v>22</v>
      </c>
      <c r="E16" s="14" t="s">
        <v>33</v>
      </c>
      <c r="F16" s="13">
        <v>2.0</v>
      </c>
      <c r="G16" s="30" t="s">
        <v>24</v>
      </c>
      <c r="H16" s="13">
        <v>0.0</v>
      </c>
      <c r="I16" s="14" t="s">
        <v>59</v>
      </c>
      <c r="J16" s="117"/>
      <c r="K16" s="118">
        <f t="shared" si="1"/>
        <v>3</v>
      </c>
      <c r="L16" s="119">
        <f t="shared" si="2"/>
        <v>0</v>
      </c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AA16" s="73" t="s">
        <v>106</v>
      </c>
      <c r="AF16" s="3"/>
      <c r="AG16" s="3"/>
      <c r="AH16" s="3"/>
      <c r="AI16" s="3"/>
      <c r="AJ16" s="3"/>
    </row>
    <row r="17" ht="15.75" customHeight="1">
      <c r="A17" s="24"/>
      <c r="B17" s="11">
        <v>45959.0</v>
      </c>
      <c r="C17" s="12" t="s">
        <v>102</v>
      </c>
      <c r="D17" s="12" t="s">
        <v>22</v>
      </c>
      <c r="E17" s="14" t="s">
        <v>63</v>
      </c>
      <c r="F17" s="13">
        <v>2.0</v>
      </c>
      <c r="G17" s="30" t="s">
        <v>24</v>
      </c>
      <c r="H17" s="13">
        <v>0.0</v>
      </c>
      <c r="I17" s="14" t="s">
        <v>40</v>
      </c>
      <c r="J17" s="117"/>
      <c r="K17" s="118">
        <f t="shared" si="1"/>
        <v>3</v>
      </c>
      <c r="L17" s="119">
        <f t="shared" si="2"/>
        <v>0</v>
      </c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AA17" s="127"/>
      <c r="AF17" s="3"/>
      <c r="AG17" s="3"/>
      <c r="AH17" s="3"/>
      <c r="AI17" s="3"/>
      <c r="AJ17" s="3"/>
    </row>
    <row r="18" ht="15.75" customHeight="1">
      <c r="A18" s="24"/>
      <c r="B18" s="11">
        <v>45959.0</v>
      </c>
      <c r="C18" s="12" t="s">
        <v>102</v>
      </c>
      <c r="D18" s="12" t="s">
        <v>22</v>
      </c>
      <c r="E18" s="14" t="s">
        <v>43</v>
      </c>
      <c r="F18" s="13">
        <v>2.0</v>
      </c>
      <c r="G18" s="30" t="s">
        <v>24</v>
      </c>
      <c r="H18" s="13">
        <v>0.0</v>
      </c>
      <c r="I18" s="14" t="s">
        <v>110</v>
      </c>
      <c r="J18" s="128"/>
      <c r="K18" s="118">
        <f t="shared" si="1"/>
        <v>3</v>
      </c>
      <c r="L18" s="119">
        <f t="shared" si="2"/>
        <v>0</v>
      </c>
      <c r="M18" s="117"/>
      <c r="N18" s="117"/>
      <c r="O18" s="117"/>
      <c r="P18" s="117"/>
      <c r="R18" s="117"/>
      <c r="S18" s="117"/>
      <c r="T18" s="117"/>
      <c r="U18" s="117"/>
      <c r="V18" s="117"/>
      <c r="AF18" s="3"/>
      <c r="AG18" s="3"/>
      <c r="AH18" s="3"/>
      <c r="AI18" s="3"/>
      <c r="AJ18" s="3"/>
    </row>
    <row r="19" ht="15.75" customHeight="1">
      <c r="A19" s="24"/>
      <c r="B19" s="11">
        <v>45959.0</v>
      </c>
      <c r="C19" s="12" t="s">
        <v>102</v>
      </c>
      <c r="D19" s="12" t="s">
        <v>22</v>
      </c>
      <c r="E19" s="14" t="s">
        <v>25</v>
      </c>
      <c r="F19" s="13">
        <v>2.0</v>
      </c>
      <c r="G19" s="30" t="s">
        <v>24</v>
      </c>
      <c r="H19" s="13">
        <v>0.0</v>
      </c>
      <c r="I19" s="14" t="s">
        <v>111</v>
      </c>
      <c r="J19" s="117"/>
      <c r="K19" s="118">
        <f t="shared" si="1"/>
        <v>3</v>
      </c>
      <c r="L19" s="119">
        <f t="shared" si="2"/>
        <v>0</v>
      </c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AF19" s="3"/>
      <c r="AG19" s="3"/>
      <c r="AH19" s="3"/>
      <c r="AI19" s="3"/>
      <c r="AJ19" s="3"/>
    </row>
    <row r="20" ht="15.75" customHeight="1">
      <c r="A20" s="28"/>
      <c r="B20" s="11">
        <v>45966.0</v>
      </c>
      <c r="C20" s="12" t="s">
        <v>141</v>
      </c>
      <c r="D20" s="12" t="s">
        <v>22</v>
      </c>
      <c r="E20" s="14" t="s">
        <v>113</v>
      </c>
      <c r="F20" s="13">
        <v>2.0</v>
      </c>
      <c r="G20" s="30" t="s">
        <v>24</v>
      </c>
      <c r="H20" s="13">
        <v>0.0</v>
      </c>
      <c r="I20" s="14" t="s">
        <v>116</v>
      </c>
      <c r="J20" s="117"/>
      <c r="K20" s="118">
        <f t="shared" si="1"/>
        <v>3</v>
      </c>
      <c r="L20" s="119">
        <f t="shared" si="2"/>
        <v>0</v>
      </c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AF20" s="3"/>
      <c r="AG20" s="3"/>
      <c r="AH20" s="3"/>
      <c r="AI20" s="3"/>
      <c r="AJ20" s="3"/>
    </row>
    <row r="21" ht="15.75" customHeight="1">
      <c r="A21" s="10">
        <v>4.0</v>
      </c>
      <c r="B21" s="129"/>
      <c r="C21" s="130"/>
      <c r="D21" s="130"/>
      <c r="E21" s="14" t="s">
        <v>36</v>
      </c>
      <c r="F21" s="30"/>
      <c r="G21" s="30" t="s">
        <v>24</v>
      </c>
      <c r="H21" s="30"/>
      <c r="I21" s="14" t="s">
        <v>113</v>
      </c>
      <c r="J21" s="117"/>
      <c r="K21" s="118" t="str">
        <f t="shared" si="1"/>
        <v/>
      </c>
      <c r="L21" s="119" t="str">
        <f t="shared" si="2"/>
        <v/>
      </c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AF21" s="3"/>
      <c r="AG21" s="3"/>
      <c r="AH21" s="3"/>
      <c r="AI21" s="3"/>
      <c r="AJ21" s="3"/>
    </row>
    <row r="22" ht="15.75" customHeight="1">
      <c r="A22" s="24"/>
      <c r="B22" s="131"/>
      <c r="C22" s="130"/>
      <c r="D22" s="130"/>
      <c r="E22" s="14" t="s">
        <v>59</v>
      </c>
      <c r="F22" s="30"/>
      <c r="G22" s="30" t="s">
        <v>24</v>
      </c>
      <c r="H22" s="30"/>
      <c r="I22" s="14" t="s">
        <v>94</v>
      </c>
      <c r="J22" s="117"/>
      <c r="K22" s="118" t="str">
        <f t="shared" si="1"/>
        <v/>
      </c>
      <c r="L22" s="119" t="str">
        <f t="shared" si="2"/>
        <v/>
      </c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AF22" s="3"/>
      <c r="AG22" s="3"/>
      <c r="AH22" s="3"/>
      <c r="AI22" s="3"/>
      <c r="AJ22" s="3"/>
    </row>
    <row r="23" ht="15.75" customHeight="1">
      <c r="A23" s="24"/>
      <c r="B23" s="131"/>
      <c r="C23" s="130"/>
      <c r="D23" s="130"/>
      <c r="E23" s="14" t="s">
        <v>40</v>
      </c>
      <c r="F23" s="30"/>
      <c r="G23" s="30" t="s">
        <v>24</v>
      </c>
      <c r="H23" s="30"/>
      <c r="I23" s="14" t="s">
        <v>33</v>
      </c>
      <c r="J23" s="117"/>
      <c r="K23" s="118" t="str">
        <f t="shared" si="1"/>
        <v/>
      </c>
      <c r="L23" s="119" t="str">
        <f t="shared" si="2"/>
        <v/>
      </c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AD23" s="3"/>
      <c r="AE23" s="3"/>
      <c r="AF23" s="3"/>
      <c r="AG23" s="3"/>
      <c r="AH23" s="3"/>
      <c r="AI23" s="3"/>
      <c r="AJ23" s="3"/>
    </row>
    <row r="24" ht="15.75" customHeight="1">
      <c r="A24" s="24"/>
      <c r="B24" s="131"/>
      <c r="C24" s="130"/>
      <c r="D24" s="130"/>
      <c r="E24" s="14" t="s">
        <v>110</v>
      </c>
      <c r="F24" s="30"/>
      <c r="G24" s="30" t="s">
        <v>24</v>
      </c>
      <c r="H24" s="30"/>
      <c r="I24" s="14" t="s">
        <v>63</v>
      </c>
      <c r="J24" s="117"/>
      <c r="K24" s="118" t="str">
        <f t="shared" si="1"/>
        <v/>
      </c>
      <c r="L24" s="119" t="str">
        <f t="shared" si="2"/>
        <v/>
      </c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AD24" s="3"/>
      <c r="AE24" s="3"/>
      <c r="AF24" s="3"/>
      <c r="AG24" s="3"/>
      <c r="AH24" s="3"/>
      <c r="AI24" s="3"/>
      <c r="AJ24" s="3"/>
    </row>
    <row r="25" ht="15.75" customHeight="1">
      <c r="A25" s="24"/>
      <c r="B25" s="131"/>
      <c r="C25" s="130"/>
      <c r="D25" s="130"/>
      <c r="E25" s="14" t="s">
        <v>111</v>
      </c>
      <c r="F25" s="30"/>
      <c r="G25" s="30" t="s">
        <v>24</v>
      </c>
      <c r="H25" s="30"/>
      <c r="I25" s="14" t="s">
        <v>43</v>
      </c>
      <c r="J25" s="117"/>
      <c r="K25" s="118" t="str">
        <f t="shared" si="1"/>
        <v/>
      </c>
      <c r="L25" s="119" t="str">
        <f t="shared" si="2"/>
        <v/>
      </c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AA25" s="3"/>
      <c r="AB25" s="116"/>
      <c r="AC25" s="3"/>
      <c r="AD25" s="3"/>
      <c r="AE25" s="3"/>
      <c r="AF25" s="3"/>
      <c r="AG25" s="3"/>
      <c r="AH25" s="3"/>
      <c r="AI25" s="3"/>
      <c r="AJ25" s="3"/>
    </row>
    <row r="26" ht="15.75" customHeight="1">
      <c r="A26" s="28"/>
      <c r="B26" s="131"/>
      <c r="C26" s="130"/>
      <c r="D26" s="130"/>
      <c r="E26" s="14" t="s">
        <v>116</v>
      </c>
      <c r="F26" s="30"/>
      <c r="G26" s="30" t="s">
        <v>24</v>
      </c>
      <c r="H26" s="30"/>
      <c r="I26" s="14" t="s">
        <v>25</v>
      </c>
      <c r="J26" s="117"/>
      <c r="K26" s="118" t="str">
        <f t="shared" si="1"/>
        <v/>
      </c>
      <c r="L26" s="119" t="str">
        <f t="shared" si="2"/>
        <v/>
      </c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AA26" s="3"/>
      <c r="AB26" s="116"/>
      <c r="AC26" s="3"/>
      <c r="AD26" s="3"/>
      <c r="AE26" s="3"/>
      <c r="AF26" s="3"/>
      <c r="AG26" s="3"/>
      <c r="AH26" s="3"/>
      <c r="AI26" s="3"/>
      <c r="AJ26" s="3"/>
    </row>
    <row r="27" ht="15.75" customHeight="1">
      <c r="A27" s="10">
        <v>5.0</v>
      </c>
      <c r="B27" s="131"/>
      <c r="C27" s="130"/>
      <c r="D27" s="130"/>
      <c r="E27" s="14" t="s">
        <v>36</v>
      </c>
      <c r="F27" s="30"/>
      <c r="G27" s="30" t="s">
        <v>24</v>
      </c>
      <c r="H27" s="30"/>
      <c r="I27" s="14" t="s">
        <v>59</v>
      </c>
      <c r="J27" s="117"/>
      <c r="K27" s="118" t="str">
        <f t="shared" si="1"/>
        <v/>
      </c>
      <c r="L27" s="119" t="str">
        <f t="shared" si="2"/>
        <v/>
      </c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AA27" s="3"/>
      <c r="AB27" s="116"/>
      <c r="AC27" s="3"/>
      <c r="AD27" s="3"/>
      <c r="AE27" s="3"/>
      <c r="AF27" s="3"/>
      <c r="AG27" s="3"/>
      <c r="AH27" s="3"/>
      <c r="AI27" s="3"/>
      <c r="AJ27" s="3"/>
    </row>
    <row r="28" ht="15.75" customHeight="1">
      <c r="A28" s="24"/>
      <c r="B28" s="131"/>
      <c r="C28" s="130"/>
      <c r="D28" s="130"/>
      <c r="E28" s="14" t="s">
        <v>94</v>
      </c>
      <c r="F28" s="30"/>
      <c r="G28" s="30" t="s">
        <v>24</v>
      </c>
      <c r="H28" s="30"/>
      <c r="I28" s="14" t="s">
        <v>40</v>
      </c>
      <c r="J28" s="117"/>
      <c r="K28" s="118" t="str">
        <f t="shared" si="1"/>
        <v/>
      </c>
      <c r="L28" s="119" t="str">
        <f t="shared" si="2"/>
        <v/>
      </c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AA28" s="3"/>
      <c r="AB28" s="116"/>
      <c r="AC28" s="3"/>
      <c r="AD28" s="3"/>
      <c r="AE28" s="3"/>
      <c r="AF28" s="3"/>
      <c r="AG28" s="3"/>
      <c r="AH28" s="3"/>
      <c r="AI28" s="3"/>
      <c r="AJ28" s="3"/>
    </row>
    <row r="29" ht="15.75" customHeight="1">
      <c r="A29" s="24"/>
      <c r="B29" s="131"/>
      <c r="C29" s="130"/>
      <c r="D29" s="130"/>
      <c r="E29" s="14" t="s">
        <v>33</v>
      </c>
      <c r="F29" s="30"/>
      <c r="G29" s="30" t="s">
        <v>24</v>
      </c>
      <c r="H29" s="30"/>
      <c r="I29" s="14" t="s">
        <v>110</v>
      </c>
      <c r="J29" s="117"/>
      <c r="K29" s="118" t="str">
        <f t="shared" si="1"/>
        <v/>
      </c>
      <c r="L29" s="119" t="str">
        <f t="shared" si="2"/>
        <v/>
      </c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AA29" s="3"/>
      <c r="AB29" s="116"/>
      <c r="AC29" s="3"/>
      <c r="AD29" s="3"/>
      <c r="AE29" s="3"/>
      <c r="AF29" s="3"/>
      <c r="AG29" s="3"/>
      <c r="AH29" s="3"/>
      <c r="AI29" s="3"/>
      <c r="AJ29" s="3"/>
    </row>
    <row r="30" ht="15.75" customHeight="1">
      <c r="A30" s="24"/>
      <c r="B30" s="131"/>
      <c r="C30" s="130"/>
      <c r="D30" s="130"/>
      <c r="E30" s="14" t="s">
        <v>63</v>
      </c>
      <c r="F30" s="30"/>
      <c r="G30" s="30" t="s">
        <v>24</v>
      </c>
      <c r="H30" s="30"/>
      <c r="I30" s="14" t="s">
        <v>111</v>
      </c>
      <c r="J30" s="117"/>
      <c r="K30" s="118" t="str">
        <f t="shared" si="1"/>
        <v/>
      </c>
      <c r="L30" s="119" t="str">
        <f t="shared" si="2"/>
        <v/>
      </c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AA30" s="3"/>
      <c r="AB30" s="116"/>
      <c r="AC30" s="3"/>
      <c r="AD30" s="3"/>
      <c r="AE30" s="3"/>
      <c r="AF30" s="3"/>
      <c r="AG30" s="3"/>
      <c r="AH30" s="3"/>
      <c r="AI30" s="3"/>
      <c r="AJ30" s="3"/>
    </row>
    <row r="31" ht="15.75" customHeight="1">
      <c r="A31" s="24"/>
      <c r="B31" s="131"/>
      <c r="C31" s="130"/>
      <c r="D31" s="130"/>
      <c r="E31" s="14" t="s">
        <v>43</v>
      </c>
      <c r="F31" s="30"/>
      <c r="G31" s="30" t="s">
        <v>24</v>
      </c>
      <c r="H31" s="30"/>
      <c r="I31" s="14" t="s">
        <v>116</v>
      </c>
      <c r="J31" s="117"/>
      <c r="K31" s="118" t="str">
        <f t="shared" si="1"/>
        <v/>
      </c>
      <c r="L31" s="119" t="str">
        <f t="shared" si="2"/>
        <v/>
      </c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AA31" s="3"/>
      <c r="AB31" s="116"/>
      <c r="AC31" s="3"/>
      <c r="AD31" s="3"/>
      <c r="AE31" s="3"/>
      <c r="AF31" s="3"/>
      <c r="AG31" s="3"/>
      <c r="AH31" s="3"/>
      <c r="AI31" s="3"/>
      <c r="AJ31" s="3"/>
    </row>
    <row r="32" ht="15.75" customHeight="1">
      <c r="A32" s="28"/>
      <c r="B32" s="131"/>
      <c r="C32" s="130"/>
      <c r="D32" s="130"/>
      <c r="E32" s="14" t="s">
        <v>113</v>
      </c>
      <c r="F32" s="30"/>
      <c r="G32" s="30" t="s">
        <v>24</v>
      </c>
      <c r="H32" s="30"/>
      <c r="I32" s="14" t="s">
        <v>25</v>
      </c>
      <c r="J32" s="117"/>
      <c r="K32" s="118" t="str">
        <f t="shared" si="1"/>
        <v/>
      </c>
      <c r="L32" s="119" t="str">
        <f t="shared" si="2"/>
        <v/>
      </c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AA32" s="3"/>
      <c r="AB32" s="116"/>
      <c r="AC32" s="3"/>
      <c r="AD32" s="3"/>
      <c r="AE32" s="3"/>
      <c r="AF32" s="3"/>
      <c r="AG32" s="3"/>
      <c r="AH32" s="3"/>
      <c r="AI32" s="3"/>
      <c r="AJ32" s="3"/>
    </row>
    <row r="33" ht="15.75" customHeight="1">
      <c r="A33" s="10">
        <v>6.0</v>
      </c>
      <c r="B33" s="131"/>
      <c r="C33" s="132"/>
      <c r="D33" s="130"/>
      <c r="E33" s="14" t="s">
        <v>59</v>
      </c>
      <c r="F33" s="30"/>
      <c r="G33" s="30" t="s">
        <v>24</v>
      </c>
      <c r="H33" s="30"/>
      <c r="I33" s="14" t="s">
        <v>113</v>
      </c>
      <c r="J33" s="117"/>
      <c r="K33" s="118" t="str">
        <f t="shared" si="1"/>
        <v/>
      </c>
      <c r="L33" s="119" t="str">
        <f t="shared" si="2"/>
        <v/>
      </c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AA33" s="3"/>
      <c r="AB33" s="116"/>
      <c r="AC33" s="3"/>
      <c r="AD33" s="3"/>
      <c r="AE33" s="3"/>
      <c r="AF33" s="3"/>
      <c r="AG33" s="3"/>
      <c r="AH33" s="3"/>
      <c r="AI33" s="3"/>
      <c r="AJ33" s="3"/>
    </row>
    <row r="34" ht="15.75" customHeight="1">
      <c r="A34" s="24"/>
      <c r="B34" s="131"/>
      <c r="C34" s="132"/>
      <c r="D34" s="130"/>
      <c r="E34" s="14" t="s">
        <v>40</v>
      </c>
      <c r="F34" s="30"/>
      <c r="G34" s="30" t="s">
        <v>24</v>
      </c>
      <c r="H34" s="30"/>
      <c r="I34" s="14" t="s">
        <v>36</v>
      </c>
      <c r="J34" s="117"/>
      <c r="K34" s="118" t="str">
        <f t="shared" si="1"/>
        <v/>
      </c>
      <c r="L34" s="119" t="str">
        <f t="shared" si="2"/>
        <v/>
      </c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AA34" s="3"/>
      <c r="AB34" s="116"/>
      <c r="AC34" s="3"/>
      <c r="AD34" s="3"/>
      <c r="AE34" s="3"/>
      <c r="AF34" s="3"/>
      <c r="AG34" s="3"/>
      <c r="AH34" s="3"/>
      <c r="AI34" s="3"/>
      <c r="AJ34" s="3"/>
    </row>
    <row r="35" ht="15.75" customHeight="1">
      <c r="A35" s="24"/>
      <c r="B35" s="131"/>
      <c r="C35" s="132"/>
      <c r="D35" s="130"/>
      <c r="E35" s="14" t="s">
        <v>110</v>
      </c>
      <c r="F35" s="30"/>
      <c r="G35" s="30" t="s">
        <v>24</v>
      </c>
      <c r="H35" s="30"/>
      <c r="I35" s="14" t="s">
        <v>94</v>
      </c>
      <c r="J35" s="117"/>
      <c r="K35" s="118" t="str">
        <f t="shared" si="1"/>
        <v/>
      </c>
      <c r="L35" s="119" t="str">
        <f t="shared" si="2"/>
        <v/>
      </c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AA35" s="3"/>
      <c r="AB35" s="116"/>
      <c r="AC35" s="3"/>
      <c r="AD35" s="3"/>
      <c r="AE35" s="3"/>
      <c r="AF35" s="3"/>
      <c r="AG35" s="3"/>
      <c r="AH35" s="3"/>
      <c r="AI35" s="3"/>
      <c r="AJ35" s="3"/>
    </row>
    <row r="36" ht="15.75" customHeight="1">
      <c r="A36" s="24"/>
      <c r="B36" s="131"/>
      <c r="C36" s="132"/>
      <c r="D36" s="130"/>
      <c r="E36" s="14" t="s">
        <v>111</v>
      </c>
      <c r="F36" s="30"/>
      <c r="G36" s="30" t="s">
        <v>24</v>
      </c>
      <c r="H36" s="30"/>
      <c r="I36" s="14" t="s">
        <v>33</v>
      </c>
      <c r="J36" s="117"/>
      <c r="K36" s="118" t="str">
        <f t="shared" si="1"/>
        <v/>
      </c>
      <c r="L36" s="119" t="str">
        <f t="shared" si="2"/>
        <v/>
      </c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AA36" s="3"/>
      <c r="AB36" s="116"/>
      <c r="AC36" s="3"/>
      <c r="AD36" s="3"/>
      <c r="AE36" s="3"/>
      <c r="AF36" s="3"/>
      <c r="AG36" s="3"/>
      <c r="AH36" s="3"/>
      <c r="AI36" s="3"/>
      <c r="AJ36" s="3"/>
    </row>
    <row r="37" ht="15.75" customHeight="1">
      <c r="A37" s="24"/>
      <c r="B37" s="131"/>
      <c r="C37" s="132"/>
      <c r="D37" s="130"/>
      <c r="E37" s="14" t="s">
        <v>116</v>
      </c>
      <c r="F37" s="30"/>
      <c r="G37" s="30" t="s">
        <v>24</v>
      </c>
      <c r="H37" s="30"/>
      <c r="I37" s="14" t="s">
        <v>63</v>
      </c>
      <c r="J37" s="117"/>
      <c r="K37" s="118" t="str">
        <f t="shared" si="1"/>
        <v/>
      </c>
      <c r="L37" s="119" t="str">
        <f t="shared" si="2"/>
        <v/>
      </c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AA37" s="3"/>
      <c r="AB37" s="116"/>
      <c r="AC37" s="3"/>
      <c r="AD37" s="3"/>
      <c r="AE37" s="3"/>
      <c r="AF37" s="3"/>
      <c r="AG37" s="3"/>
      <c r="AH37" s="3"/>
      <c r="AI37" s="3"/>
      <c r="AJ37" s="3"/>
    </row>
    <row r="38" ht="15.75" customHeight="1">
      <c r="A38" s="28"/>
      <c r="B38" s="131"/>
      <c r="C38" s="132"/>
      <c r="D38" s="130"/>
      <c r="E38" s="14" t="s">
        <v>25</v>
      </c>
      <c r="F38" s="30"/>
      <c r="G38" s="30" t="s">
        <v>24</v>
      </c>
      <c r="H38" s="30"/>
      <c r="I38" s="14" t="s">
        <v>43</v>
      </c>
      <c r="J38" s="117"/>
      <c r="K38" s="118" t="str">
        <f t="shared" si="1"/>
        <v/>
      </c>
      <c r="L38" s="119" t="str">
        <f t="shared" si="2"/>
        <v/>
      </c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AA38" s="3"/>
      <c r="AB38" s="116"/>
      <c r="AC38" s="3"/>
      <c r="AD38" s="3"/>
      <c r="AE38" s="3"/>
      <c r="AF38" s="3"/>
      <c r="AG38" s="3"/>
      <c r="AH38" s="3"/>
      <c r="AI38" s="3"/>
      <c r="AJ38" s="3"/>
    </row>
    <row r="39" ht="15.75" customHeight="1">
      <c r="A39" s="10">
        <v>7.0</v>
      </c>
      <c r="B39" s="131"/>
      <c r="C39" s="130"/>
      <c r="D39" s="130"/>
      <c r="E39" s="14" t="s">
        <v>59</v>
      </c>
      <c r="F39" s="30"/>
      <c r="G39" s="30" t="s">
        <v>24</v>
      </c>
      <c r="H39" s="30"/>
      <c r="I39" s="14" t="s">
        <v>40</v>
      </c>
      <c r="J39" s="117"/>
      <c r="K39" s="118" t="str">
        <f t="shared" si="1"/>
        <v/>
      </c>
      <c r="L39" s="119" t="str">
        <f t="shared" si="2"/>
        <v/>
      </c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AA39" s="3"/>
      <c r="AB39" s="116"/>
      <c r="AC39" s="3"/>
      <c r="AD39" s="3"/>
      <c r="AE39" s="3"/>
      <c r="AF39" s="3"/>
      <c r="AG39" s="3"/>
      <c r="AH39" s="3"/>
      <c r="AI39" s="3"/>
      <c r="AJ39" s="3"/>
    </row>
    <row r="40" ht="15.75" customHeight="1">
      <c r="A40" s="24"/>
      <c r="B40" s="131"/>
      <c r="C40" s="130"/>
      <c r="D40" s="130"/>
      <c r="E40" s="14" t="s">
        <v>36</v>
      </c>
      <c r="F40" s="30"/>
      <c r="G40" s="30" t="s">
        <v>24</v>
      </c>
      <c r="H40" s="30"/>
      <c r="I40" s="14" t="s">
        <v>110</v>
      </c>
      <c r="J40" s="117"/>
      <c r="K40" s="118" t="str">
        <f t="shared" si="1"/>
        <v/>
      </c>
      <c r="L40" s="119" t="str">
        <f t="shared" si="2"/>
        <v/>
      </c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AA40" s="3"/>
      <c r="AB40" s="116"/>
      <c r="AC40" s="3"/>
      <c r="AD40" s="3"/>
      <c r="AE40" s="3"/>
      <c r="AF40" s="3"/>
      <c r="AG40" s="3"/>
      <c r="AH40" s="3"/>
      <c r="AI40" s="3"/>
      <c r="AJ40" s="3"/>
    </row>
    <row r="41" ht="15.75" customHeight="1">
      <c r="A41" s="24"/>
      <c r="B41" s="131"/>
      <c r="C41" s="130"/>
      <c r="D41" s="133"/>
      <c r="E41" s="40" t="s">
        <v>94</v>
      </c>
      <c r="F41" s="30"/>
      <c r="G41" s="30" t="s">
        <v>24</v>
      </c>
      <c r="H41" s="30"/>
      <c r="I41" s="40" t="s">
        <v>111</v>
      </c>
      <c r="J41" s="117"/>
      <c r="K41" s="118" t="str">
        <f t="shared" si="1"/>
        <v/>
      </c>
      <c r="L41" s="119" t="str">
        <f t="shared" si="2"/>
        <v/>
      </c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AA41" s="3"/>
      <c r="AB41" s="116"/>
      <c r="AC41" s="3"/>
      <c r="AD41" s="3"/>
      <c r="AE41" s="3"/>
      <c r="AF41" s="3"/>
      <c r="AG41" s="3"/>
      <c r="AH41" s="3"/>
      <c r="AI41" s="3"/>
      <c r="AJ41" s="3"/>
    </row>
    <row r="42" ht="15.75" customHeight="1">
      <c r="A42" s="24"/>
      <c r="B42" s="131"/>
      <c r="C42" s="130"/>
      <c r="D42" s="130"/>
      <c r="E42" s="14" t="s">
        <v>33</v>
      </c>
      <c r="F42" s="30"/>
      <c r="G42" s="30" t="s">
        <v>24</v>
      </c>
      <c r="H42" s="30"/>
      <c r="I42" s="14" t="s">
        <v>116</v>
      </c>
      <c r="J42" s="117"/>
      <c r="K42" s="118" t="str">
        <f t="shared" si="1"/>
        <v/>
      </c>
      <c r="L42" s="119" t="str">
        <f t="shared" si="2"/>
        <v/>
      </c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AA42" s="3"/>
      <c r="AB42" s="116"/>
      <c r="AC42" s="3"/>
      <c r="AD42" s="3"/>
      <c r="AE42" s="3"/>
      <c r="AF42" s="3"/>
      <c r="AG42" s="3"/>
      <c r="AH42" s="3"/>
      <c r="AI42" s="3"/>
      <c r="AJ42" s="3"/>
    </row>
    <row r="43" ht="15.75" customHeight="1">
      <c r="A43" s="24"/>
      <c r="B43" s="131"/>
      <c r="C43" s="130"/>
      <c r="D43" s="130"/>
      <c r="E43" s="14" t="s">
        <v>63</v>
      </c>
      <c r="F43" s="30"/>
      <c r="G43" s="30" t="s">
        <v>24</v>
      </c>
      <c r="H43" s="30"/>
      <c r="I43" s="14" t="s">
        <v>25</v>
      </c>
      <c r="J43" s="117"/>
      <c r="K43" s="118" t="str">
        <f t="shared" si="1"/>
        <v/>
      </c>
      <c r="L43" s="119" t="str">
        <f t="shared" si="2"/>
        <v/>
      </c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AA43" s="3"/>
      <c r="AB43" s="116"/>
      <c r="AC43" s="3"/>
      <c r="AD43" s="3"/>
      <c r="AE43" s="3"/>
      <c r="AF43" s="3"/>
      <c r="AG43" s="3"/>
      <c r="AH43" s="3"/>
      <c r="AI43" s="3"/>
      <c r="AJ43" s="3"/>
    </row>
    <row r="44" ht="15.75" customHeight="1">
      <c r="A44" s="28"/>
      <c r="B44" s="131"/>
      <c r="C44" s="130"/>
      <c r="D44" s="130"/>
      <c r="E44" s="14" t="s">
        <v>113</v>
      </c>
      <c r="F44" s="30"/>
      <c r="G44" s="30" t="s">
        <v>24</v>
      </c>
      <c r="H44" s="30"/>
      <c r="I44" s="14" t="s">
        <v>43</v>
      </c>
      <c r="J44" s="117"/>
      <c r="K44" s="118" t="str">
        <f t="shared" si="1"/>
        <v/>
      </c>
      <c r="L44" s="119" t="str">
        <f t="shared" si="2"/>
        <v/>
      </c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AA44" s="3"/>
      <c r="AB44" s="116"/>
      <c r="AC44" s="3"/>
      <c r="AD44" s="3"/>
      <c r="AE44" s="3"/>
      <c r="AF44" s="3"/>
      <c r="AG44" s="3"/>
      <c r="AH44" s="3"/>
      <c r="AI44" s="3"/>
      <c r="AJ44" s="3"/>
    </row>
    <row r="45" ht="15.75" customHeight="1">
      <c r="A45" s="10">
        <v>8.0</v>
      </c>
      <c r="B45" s="131"/>
      <c r="C45" s="132"/>
      <c r="D45" s="130"/>
      <c r="E45" s="14" t="s">
        <v>40</v>
      </c>
      <c r="F45" s="30"/>
      <c r="G45" s="30" t="s">
        <v>24</v>
      </c>
      <c r="H45" s="30"/>
      <c r="I45" s="14" t="s">
        <v>113</v>
      </c>
      <c r="J45" s="117"/>
      <c r="K45" s="118" t="str">
        <f t="shared" si="1"/>
        <v/>
      </c>
      <c r="L45" s="119" t="str">
        <f t="shared" si="2"/>
        <v/>
      </c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AA45" s="3"/>
      <c r="AB45" s="116"/>
      <c r="AC45" s="3"/>
      <c r="AD45" s="3"/>
      <c r="AE45" s="3"/>
      <c r="AF45" s="3"/>
      <c r="AG45" s="3"/>
      <c r="AH45" s="3"/>
      <c r="AI45" s="3"/>
      <c r="AJ45" s="3"/>
    </row>
    <row r="46" ht="15.75" customHeight="1">
      <c r="A46" s="24"/>
      <c r="B46" s="129"/>
      <c r="C46" s="132"/>
      <c r="D46" s="130"/>
      <c r="E46" s="14" t="s">
        <v>110</v>
      </c>
      <c r="F46" s="30"/>
      <c r="G46" s="30" t="s">
        <v>24</v>
      </c>
      <c r="H46" s="30"/>
      <c r="I46" s="14" t="s">
        <v>59</v>
      </c>
      <c r="J46" s="117"/>
      <c r="K46" s="118" t="str">
        <f t="shared" si="1"/>
        <v/>
      </c>
      <c r="L46" s="119" t="str">
        <f t="shared" si="2"/>
        <v/>
      </c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AA46" s="3"/>
      <c r="AB46" s="116"/>
      <c r="AC46" s="3"/>
      <c r="AD46" s="3"/>
      <c r="AE46" s="3"/>
      <c r="AF46" s="3"/>
      <c r="AG46" s="3"/>
      <c r="AH46" s="3"/>
      <c r="AI46" s="3"/>
      <c r="AJ46" s="3"/>
    </row>
    <row r="47" ht="15.75" customHeight="1">
      <c r="A47" s="24"/>
      <c r="B47" s="129"/>
      <c r="C47" s="132"/>
      <c r="D47" s="130"/>
      <c r="E47" s="14" t="s">
        <v>111</v>
      </c>
      <c r="F47" s="30"/>
      <c r="G47" s="30" t="s">
        <v>24</v>
      </c>
      <c r="H47" s="30"/>
      <c r="I47" s="14" t="s">
        <v>36</v>
      </c>
      <c r="J47" s="117"/>
      <c r="K47" s="118" t="str">
        <f t="shared" si="1"/>
        <v/>
      </c>
      <c r="L47" s="119" t="str">
        <f t="shared" si="2"/>
        <v/>
      </c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AA47" s="3"/>
      <c r="AB47" s="116"/>
      <c r="AC47" s="3"/>
      <c r="AD47" s="3"/>
      <c r="AE47" s="3"/>
      <c r="AF47" s="3"/>
      <c r="AG47" s="3"/>
      <c r="AH47" s="3"/>
      <c r="AI47" s="3"/>
      <c r="AJ47" s="3"/>
    </row>
    <row r="48" ht="15.75" customHeight="1">
      <c r="A48" s="24"/>
      <c r="B48" s="129"/>
      <c r="C48" s="132"/>
      <c r="D48" s="130"/>
      <c r="E48" s="40" t="s">
        <v>116</v>
      </c>
      <c r="F48" s="30"/>
      <c r="G48" s="30" t="s">
        <v>24</v>
      </c>
      <c r="H48" s="30"/>
      <c r="I48" s="40" t="s">
        <v>94</v>
      </c>
      <c r="K48" s="118" t="str">
        <f t="shared" si="1"/>
        <v/>
      </c>
      <c r="L48" s="119" t="str">
        <f t="shared" si="2"/>
        <v/>
      </c>
      <c r="AA48" s="3"/>
      <c r="AB48" s="116"/>
      <c r="AC48" s="3"/>
      <c r="AD48" s="3"/>
      <c r="AE48" s="3"/>
      <c r="AF48" s="3"/>
      <c r="AG48" s="3"/>
      <c r="AH48" s="3"/>
      <c r="AI48" s="3"/>
      <c r="AJ48" s="3"/>
    </row>
    <row r="49" ht="15.75" customHeight="1">
      <c r="A49" s="24"/>
      <c r="B49" s="129"/>
      <c r="C49" s="132"/>
      <c r="D49" s="130"/>
      <c r="E49" s="40" t="s">
        <v>25</v>
      </c>
      <c r="F49" s="30"/>
      <c r="G49" s="30" t="s">
        <v>24</v>
      </c>
      <c r="H49" s="30"/>
      <c r="I49" s="40" t="s">
        <v>33</v>
      </c>
      <c r="K49" s="118" t="str">
        <f t="shared" si="1"/>
        <v/>
      </c>
      <c r="L49" s="119" t="str">
        <f t="shared" si="2"/>
        <v/>
      </c>
      <c r="AA49" s="3"/>
      <c r="AB49" s="116"/>
      <c r="AC49" s="3"/>
      <c r="AD49" s="3"/>
      <c r="AE49" s="3"/>
      <c r="AF49" s="3"/>
      <c r="AG49" s="3"/>
      <c r="AH49" s="3"/>
      <c r="AI49" s="3"/>
      <c r="AJ49" s="3"/>
    </row>
    <row r="50" ht="15.75" customHeight="1">
      <c r="A50" s="28"/>
      <c r="B50" s="129"/>
      <c r="C50" s="132"/>
      <c r="D50" s="130"/>
      <c r="E50" s="14" t="s">
        <v>43</v>
      </c>
      <c r="F50" s="30"/>
      <c r="G50" s="30" t="s">
        <v>24</v>
      </c>
      <c r="H50" s="30"/>
      <c r="I50" s="14" t="s">
        <v>63</v>
      </c>
      <c r="K50" s="118" t="str">
        <f t="shared" si="1"/>
        <v/>
      </c>
      <c r="L50" s="119" t="str">
        <f t="shared" si="2"/>
        <v/>
      </c>
      <c r="AA50" s="3"/>
      <c r="AB50" s="116"/>
      <c r="AC50" s="3"/>
      <c r="AD50" s="3"/>
      <c r="AE50" s="3"/>
      <c r="AF50" s="3"/>
      <c r="AG50" s="3"/>
      <c r="AH50" s="3"/>
      <c r="AI50" s="3"/>
      <c r="AJ50" s="3"/>
    </row>
    <row r="51" ht="15.75" customHeight="1">
      <c r="A51" s="10">
        <v>9.0</v>
      </c>
      <c r="B51" s="131"/>
      <c r="C51" s="132"/>
      <c r="D51" s="130"/>
      <c r="E51" s="14" t="s">
        <v>40</v>
      </c>
      <c r="F51" s="130"/>
      <c r="G51" s="30" t="s">
        <v>24</v>
      </c>
      <c r="H51" s="30"/>
      <c r="I51" s="14" t="s">
        <v>110</v>
      </c>
      <c r="K51" s="118" t="str">
        <f t="shared" si="1"/>
        <v/>
      </c>
      <c r="L51" s="119" t="str">
        <f t="shared" si="2"/>
        <v/>
      </c>
      <c r="AA51" s="3"/>
      <c r="AB51" s="116"/>
      <c r="AC51" s="3"/>
      <c r="AD51" s="3"/>
      <c r="AE51" s="3"/>
      <c r="AF51" s="3"/>
      <c r="AG51" s="3"/>
      <c r="AH51" s="3"/>
      <c r="AI51" s="3"/>
      <c r="AJ51" s="3"/>
    </row>
    <row r="52" ht="15.75" customHeight="1">
      <c r="A52" s="24"/>
      <c r="B52" s="131"/>
      <c r="C52" s="132"/>
      <c r="D52" s="130"/>
      <c r="E52" s="14" t="s">
        <v>59</v>
      </c>
      <c r="F52" s="130"/>
      <c r="G52" s="30" t="s">
        <v>24</v>
      </c>
      <c r="H52" s="30"/>
      <c r="I52" s="14" t="s">
        <v>111</v>
      </c>
      <c r="K52" s="118" t="str">
        <f t="shared" si="1"/>
        <v/>
      </c>
      <c r="L52" s="119" t="str">
        <f t="shared" si="2"/>
        <v/>
      </c>
      <c r="AA52" s="3"/>
      <c r="AB52" s="116"/>
      <c r="AC52" s="3"/>
      <c r="AD52" s="3"/>
      <c r="AE52" s="3"/>
      <c r="AF52" s="3"/>
      <c r="AG52" s="3"/>
      <c r="AH52" s="3"/>
      <c r="AI52" s="3"/>
      <c r="AJ52" s="3"/>
    </row>
    <row r="53" ht="15.75" customHeight="1">
      <c r="A53" s="24"/>
      <c r="B53" s="131"/>
      <c r="C53" s="132"/>
      <c r="D53" s="130"/>
      <c r="E53" s="14" t="s">
        <v>36</v>
      </c>
      <c r="F53" s="130"/>
      <c r="G53" s="30" t="s">
        <v>24</v>
      </c>
      <c r="H53" s="30"/>
      <c r="I53" s="14" t="s">
        <v>116</v>
      </c>
      <c r="K53" s="118" t="str">
        <f t="shared" si="1"/>
        <v/>
      </c>
      <c r="L53" s="119" t="str">
        <f t="shared" si="2"/>
        <v/>
      </c>
      <c r="AA53" s="3"/>
      <c r="AB53" s="116"/>
      <c r="AC53" s="3"/>
      <c r="AD53" s="3"/>
      <c r="AE53" s="3"/>
      <c r="AF53" s="3"/>
      <c r="AG53" s="3"/>
      <c r="AH53" s="3"/>
      <c r="AI53" s="3"/>
      <c r="AJ53" s="3"/>
    </row>
    <row r="54" ht="15.75" customHeight="1">
      <c r="A54" s="24"/>
      <c r="B54" s="131"/>
      <c r="C54" s="132"/>
      <c r="D54" s="130"/>
      <c r="E54" s="14" t="s">
        <v>94</v>
      </c>
      <c r="F54" s="130"/>
      <c r="G54" s="30" t="s">
        <v>24</v>
      </c>
      <c r="H54" s="30"/>
      <c r="I54" s="14" t="s">
        <v>25</v>
      </c>
      <c r="K54" s="118" t="str">
        <f t="shared" si="1"/>
        <v/>
      </c>
      <c r="L54" s="119" t="str">
        <f t="shared" si="2"/>
        <v/>
      </c>
      <c r="AA54" s="3"/>
      <c r="AB54" s="116"/>
      <c r="AC54" s="3"/>
      <c r="AD54" s="3"/>
      <c r="AE54" s="3"/>
      <c r="AF54" s="3"/>
      <c r="AG54" s="3"/>
      <c r="AH54" s="3"/>
      <c r="AI54" s="3"/>
      <c r="AJ54" s="3"/>
    </row>
    <row r="55" ht="15.75" customHeight="1">
      <c r="A55" s="24"/>
      <c r="B55" s="131"/>
      <c r="C55" s="132"/>
      <c r="D55" s="130"/>
      <c r="E55" s="14" t="s">
        <v>33</v>
      </c>
      <c r="F55" s="130"/>
      <c r="G55" s="30" t="s">
        <v>24</v>
      </c>
      <c r="H55" s="30"/>
      <c r="I55" s="14" t="s">
        <v>43</v>
      </c>
      <c r="K55" s="118" t="str">
        <f t="shared" si="1"/>
        <v/>
      </c>
      <c r="L55" s="119" t="str">
        <f t="shared" si="2"/>
        <v/>
      </c>
      <c r="AA55" s="3"/>
      <c r="AB55" s="116"/>
      <c r="AC55" s="3"/>
      <c r="AD55" s="3"/>
      <c r="AE55" s="3"/>
      <c r="AF55" s="3"/>
      <c r="AG55" s="3"/>
      <c r="AH55" s="3"/>
      <c r="AI55" s="3"/>
      <c r="AJ55" s="3"/>
    </row>
    <row r="56" ht="15.75" customHeight="1">
      <c r="A56" s="28"/>
      <c r="B56" s="131"/>
      <c r="C56" s="132"/>
      <c r="D56" s="130"/>
      <c r="E56" s="14" t="s">
        <v>113</v>
      </c>
      <c r="F56" s="130"/>
      <c r="G56" s="30" t="s">
        <v>24</v>
      </c>
      <c r="H56" s="30"/>
      <c r="I56" s="14" t="s">
        <v>63</v>
      </c>
      <c r="K56" s="118" t="str">
        <f t="shared" si="1"/>
        <v/>
      </c>
      <c r="L56" s="119" t="str">
        <f t="shared" si="2"/>
        <v/>
      </c>
      <c r="AA56" s="3"/>
      <c r="AB56" s="116"/>
      <c r="AC56" s="3"/>
      <c r="AD56" s="3"/>
      <c r="AE56" s="3"/>
      <c r="AF56" s="3"/>
      <c r="AG56" s="3"/>
      <c r="AH56" s="3"/>
      <c r="AI56" s="3"/>
      <c r="AJ56" s="3"/>
    </row>
    <row r="57" ht="15.75" customHeight="1">
      <c r="A57" s="10">
        <v>10.0</v>
      </c>
      <c r="B57" s="129"/>
      <c r="C57" s="130"/>
      <c r="D57" s="130"/>
      <c r="E57" s="14" t="s">
        <v>113</v>
      </c>
      <c r="F57" s="30"/>
      <c r="G57" s="30" t="s">
        <v>24</v>
      </c>
      <c r="H57" s="30"/>
      <c r="I57" s="14" t="s">
        <v>110</v>
      </c>
      <c r="K57" s="118" t="str">
        <f t="shared" si="1"/>
        <v/>
      </c>
      <c r="L57" s="119" t="str">
        <f t="shared" si="2"/>
        <v/>
      </c>
      <c r="AA57" s="3"/>
      <c r="AB57" s="116"/>
      <c r="AC57" s="3"/>
      <c r="AD57" s="3"/>
      <c r="AE57" s="3"/>
      <c r="AF57" s="3"/>
      <c r="AG57" s="3"/>
      <c r="AH57" s="3"/>
      <c r="AI57" s="3"/>
      <c r="AJ57" s="3"/>
    </row>
    <row r="58" ht="15.75" customHeight="1">
      <c r="A58" s="24"/>
      <c r="B58" s="131"/>
      <c r="C58" s="130"/>
      <c r="D58" s="130"/>
      <c r="E58" s="14" t="s">
        <v>111</v>
      </c>
      <c r="F58" s="30"/>
      <c r="G58" s="30" t="s">
        <v>24</v>
      </c>
      <c r="H58" s="30"/>
      <c r="I58" s="14" t="s">
        <v>40</v>
      </c>
      <c r="K58" s="118" t="str">
        <f t="shared" si="1"/>
        <v/>
      </c>
      <c r="L58" s="119" t="str">
        <f t="shared" si="2"/>
        <v/>
      </c>
      <c r="AA58" s="3"/>
      <c r="AB58" s="116"/>
      <c r="AC58" s="3"/>
      <c r="AD58" s="3"/>
      <c r="AE58" s="3"/>
      <c r="AF58" s="3"/>
      <c r="AG58" s="3"/>
      <c r="AH58" s="3"/>
      <c r="AI58" s="3"/>
      <c r="AJ58" s="3"/>
    </row>
    <row r="59" ht="15.75" customHeight="1">
      <c r="A59" s="24"/>
      <c r="B59" s="131"/>
      <c r="C59" s="130"/>
      <c r="D59" s="130"/>
      <c r="E59" s="14" t="s">
        <v>116</v>
      </c>
      <c r="F59" s="30"/>
      <c r="G59" s="30" t="s">
        <v>24</v>
      </c>
      <c r="H59" s="30"/>
      <c r="I59" s="14" t="s">
        <v>59</v>
      </c>
      <c r="K59" s="118" t="str">
        <f t="shared" si="1"/>
        <v/>
      </c>
      <c r="L59" s="119" t="str">
        <f t="shared" si="2"/>
        <v/>
      </c>
      <c r="AA59" s="3"/>
      <c r="AB59" s="116"/>
      <c r="AC59" s="3"/>
      <c r="AD59" s="3"/>
      <c r="AE59" s="3"/>
      <c r="AF59" s="3"/>
      <c r="AG59" s="3"/>
      <c r="AH59" s="3"/>
      <c r="AI59" s="3"/>
      <c r="AJ59" s="3"/>
    </row>
    <row r="60" ht="15.75" customHeight="1">
      <c r="A60" s="24"/>
      <c r="B60" s="131"/>
      <c r="C60" s="130"/>
      <c r="D60" s="130"/>
      <c r="E60" s="14" t="s">
        <v>25</v>
      </c>
      <c r="F60" s="30"/>
      <c r="G60" s="30" t="s">
        <v>24</v>
      </c>
      <c r="H60" s="30"/>
      <c r="I60" s="14" t="s">
        <v>36</v>
      </c>
      <c r="K60" s="118" t="str">
        <f t="shared" si="1"/>
        <v/>
      </c>
      <c r="L60" s="119" t="str">
        <f t="shared" si="2"/>
        <v/>
      </c>
      <c r="AA60" s="3"/>
      <c r="AB60" s="116"/>
      <c r="AC60" s="3"/>
      <c r="AD60" s="3"/>
      <c r="AE60" s="3"/>
      <c r="AF60" s="3"/>
      <c r="AG60" s="3"/>
      <c r="AH60" s="3"/>
      <c r="AI60" s="3"/>
      <c r="AJ60" s="3"/>
    </row>
    <row r="61" ht="15.75" customHeight="1">
      <c r="A61" s="24"/>
      <c r="B61" s="131"/>
      <c r="C61" s="130"/>
      <c r="D61" s="130"/>
      <c r="E61" s="14" t="s">
        <v>43</v>
      </c>
      <c r="F61" s="30"/>
      <c r="G61" s="30" t="s">
        <v>24</v>
      </c>
      <c r="H61" s="30"/>
      <c r="I61" s="14" t="s">
        <v>94</v>
      </c>
      <c r="K61" s="118" t="str">
        <f t="shared" si="1"/>
        <v/>
      </c>
      <c r="L61" s="119" t="str">
        <f t="shared" si="2"/>
        <v/>
      </c>
      <c r="AA61" s="3"/>
      <c r="AB61" s="116"/>
      <c r="AC61" s="3"/>
      <c r="AD61" s="3"/>
      <c r="AE61" s="3"/>
      <c r="AF61" s="3"/>
      <c r="AG61" s="3"/>
      <c r="AH61" s="3"/>
      <c r="AI61" s="3"/>
      <c r="AJ61" s="3"/>
    </row>
    <row r="62" ht="15.75" customHeight="1">
      <c r="A62" s="28"/>
      <c r="B62" s="131"/>
      <c r="C62" s="130"/>
      <c r="D62" s="130"/>
      <c r="E62" s="14" t="s">
        <v>63</v>
      </c>
      <c r="F62" s="30"/>
      <c r="G62" s="30" t="s">
        <v>24</v>
      </c>
      <c r="H62" s="30"/>
      <c r="I62" s="14" t="s">
        <v>33</v>
      </c>
      <c r="K62" s="118" t="str">
        <f t="shared" si="1"/>
        <v/>
      </c>
      <c r="L62" s="119" t="str">
        <f t="shared" si="2"/>
        <v/>
      </c>
      <c r="AA62" s="3"/>
      <c r="AB62" s="116"/>
      <c r="AC62" s="3"/>
      <c r="AD62" s="3"/>
      <c r="AE62" s="3"/>
      <c r="AF62" s="3"/>
      <c r="AG62" s="3"/>
      <c r="AH62" s="3"/>
      <c r="AI62" s="3"/>
      <c r="AJ62" s="3"/>
    </row>
    <row r="63" ht="15.75" customHeight="1">
      <c r="A63" s="10">
        <v>11.0</v>
      </c>
      <c r="B63" s="131"/>
      <c r="C63" s="132"/>
      <c r="D63" s="130"/>
      <c r="E63" s="14" t="s">
        <v>110</v>
      </c>
      <c r="F63" s="30"/>
      <c r="G63" s="30" t="s">
        <v>24</v>
      </c>
      <c r="H63" s="30"/>
      <c r="I63" s="14" t="s">
        <v>111</v>
      </c>
      <c r="K63" s="118" t="str">
        <f t="shared" si="1"/>
        <v/>
      </c>
      <c r="L63" s="119" t="str">
        <f t="shared" si="2"/>
        <v/>
      </c>
      <c r="AA63" s="3"/>
      <c r="AB63" s="116"/>
      <c r="AC63" s="3"/>
      <c r="AD63" s="3"/>
      <c r="AE63" s="3"/>
      <c r="AF63" s="3"/>
      <c r="AG63" s="3"/>
      <c r="AH63" s="3"/>
      <c r="AI63" s="3"/>
      <c r="AJ63" s="3"/>
    </row>
    <row r="64" ht="15.75" customHeight="1">
      <c r="A64" s="24"/>
      <c r="B64" s="131"/>
      <c r="C64" s="132"/>
      <c r="D64" s="130"/>
      <c r="E64" s="14" t="s">
        <v>40</v>
      </c>
      <c r="F64" s="30"/>
      <c r="G64" s="30" t="s">
        <v>24</v>
      </c>
      <c r="H64" s="30"/>
      <c r="I64" s="14" t="s">
        <v>116</v>
      </c>
      <c r="K64" s="118" t="str">
        <f t="shared" si="1"/>
        <v/>
      </c>
      <c r="L64" s="119" t="str">
        <f t="shared" si="2"/>
        <v/>
      </c>
      <c r="AA64" s="3"/>
      <c r="AB64" s="116"/>
      <c r="AC64" s="3"/>
      <c r="AD64" s="3"/>
      <c r="AE64" s="3"/>
      <c r="AF64" s="3"/>
      <c r="AG64" s="3"/>
      <c r="AH64" s="3"/>
      <c r="AI64" s="3"/>
      <c r="AJ64" s="3"/>
    </row>
    <row r="65" ht="15.75" customHeight="1">
      <c r="A65" s="24"/>
      <c r="B65" s="131"/>
      <c r="C65" s="132"/>
      <c r="D65" s="130"/>
      <c r="E65" s="14" t="s">
        <v>59</v>
      </c>
      <c r="F65" s="30"/>
      <c r="G65" s="30" t="s">
        <v>24</v>
      </c>
      <c r="H65" s="30"/>
      <c r="I65" s="14" t="s">
        <v>25</v>
      </c>
      <c r="K65" s="118" t="str">
        <f t="shared" si="1"/>
        <v/>
      </c>
      <c r="L65" s="119" t="str">
        <f t="shared" si="2"/>
        <v/>
      </c>
      <c r="AA65" s="3"/>
      <c r="AB65" s="116"/>
      <c r="AC65" s="3"/>
      <c r="AD65" s="3"/>
      <c r="AE65" s="3"/>
      <c r="AF65" s="3"/>
      <c r="AG65" s="3"/>
      <c r="AH65" s="3"/>
      <c r="AI65" s="3"/>
      <c r="AJ65" s="3"/>
    </row>
    <row r="66" ht="15.75" customHeight="1">
      <c r="A66" s="24"/>
      <c r="B66" s="131"/>
      <c r="C66" s="132"/>
      <c r="D66" s="130"/>
      <c r="E66" s="14" t="s">
        <v>36</v>
      </c>
      <c r="F66" s="30"/>
      <c r="G66" s="30" t="s">
        <v>24</v>
      </c>
      <c r="H66" s="30"/>
      <c r="I66" s="14" t="s">
        <v>43</v>
      </c>
      <c r="K66" s="118" t="str">
        <f t="shared" si="1"/>
        <v/>
      </c>
      <c r="L66" s="119" t="str">
        <f t="shared" si="2"/>
        <v/>
      </c>
      <c r="AA66" s="3"/>
      <c r="AB66" s="116"/>
      <c r="AC66" s="3"/>
      <c r="AD66" s="3"/>
      <c r="AE66" s="3"/>
      <c r="AF66" s="3"/>
      <c r="AG66" s="3"/>
      <c r="AH66" s="3"/>
      <c r="AI66" s="3"/>
      <c r="AJ66" s="3"/>
    </row>
    <row r="67" ht="15.75" customHeight="1">
      <c r="A67" s="24"/>
      <c r="B67" s="131"/>
      <c r="C67" s="132"/>
      <c r="D67" s="130"/>
      <c r="E67" s="14" t="s">
        <v>94</v>
      </c>
      <c r="F67" s="30"/>
      <c r="G67" s="30" t="s">
        <v>24</v>
      </c>
      <c r="H67" s="30"/>
      <c r="I67" s="14" t="s">
        <v>63</v>
      </c>
      <c r="K67" s="118" t="str">
        <f t="shared" si="1"/>
        <v/>
      </c>
      <c r="L67" s="119" t="str">
        <f t="shared" si="2"/>
        <v/>
      </c>
      <c r="R67" s="117"/>
      <c r="S67" s="117"/>
      <c r="T67" s="117"/>
      <c r="U67" s="117"/>
      <c r="V67" s="117"/>
      <c r="AA67" s="3"/>
      <c r="AB67" s="116"/>
      <c r="AC67" s="3"/>
      <c r="AD67" s="3"/>
      <c r="AE67" s="3"/>
      <c r="AF67" s="3"/>
      <c r="AG67" s="3"/>
      <c r="AH67" s="3"/>
      <c r="AI67" s="3"/>
      <c r="AJ67" s="3"/>
    </row>
    <row r="68" ht="15.75" customHeight="1">
      <c r="A68" s="28"/>
      <c r="B68" s="129"/>
      <c r="C68" s="132"/>
      <c r="D68" s="130"/>
      <c r="E68" s="14" t="s">
        <v>33</v>
      </c>
      <c r="F68" s="13"/>
      <c r="G68" s="30" t="s">
        <v>24</v>
      </c>
      <c r="H68" s="13"/>
      <c r="I68" s="14" t="s">
        <v>113</v>
      </c>
      <c r="K68" s="118" t="str">
        <f t="shared" si="1"/>
        <v/>
      </c>
      <c r="L68" s="119" t="str">
        <f t="shared" si="2"/>
        <v/>
      </c>
      <c r="R68" s="117"/>
      <c r="S68" s="117"/>
      <c r="T68" s="117"/>
      <c r="U68" s="117"/>
      <c r="V68" s="117"/>
      <c r="AA68" s="3"/>
      <c r="AB68" s="116"/>
      <c r="AC68" s="3"/>
      <c r="AD68" s="3"/>
      <c r="AE68" s="3"/>
      <c r="AF68" s="3"/>
      <c r="AG68" s="3"/>
      <c r="AH68" s="3"/>
      <c r="AI68" s="3"/>
      <c r="AJ68" s="3"/>
    </row>
    <row r="69" ht="15.75" customHeight="1">
      <c r="A69" s="134"/>
      <c r="B69" s="135"/>
      <c r="C69" s="135"/>
      <c r="D69" s="135"/>
      <c r="E69" s="1"/>
      <c r="F69" s="135"/>
      <c r="G69" s="135"/>
      <c r="I69" s="116"/>
      <c r="AA69" s="3"/>
      <c r="AB69" s="116"/>
      <c r="AC69" s="3"/>
      <c r="AD69" s="3"/>
      <c r="AE69" s="3"/>
      <c r="AF69" s="3"/>
      <c r="AG69" s="3"/>
      <c r="AH69" s="3"/>
      <c r="AI69" s="3"/>
      <c r="AJ69" s="3"/>
    </row>
    <row r="70" ht="15.75" customHeight="1">
      <c r="A70" s="134"/>
      <c r="B70" s="135"/>
      <c r="C70" s="135"/>
      <c r="D70" s="135"/>
      <c r="E70" s="1"/>
      <c r="F70" s="135"/>
      <c r="G70" s="135"/>
      <c r="I70" s="116"/>
      <c r="AA70" s="3"/>
      <c r="AB70" s="116"/>
      <c r="AC70" s="3"/>
      <c r="AD70" s="3"/>
      <c r="AE70" s="3"/>
      <c r="AF70" s="3"/>
      <c r="AG70" s="3"/>
      <c r="AH70" s="3"/>
      <c r="AI70" s="3"/>
      <c r="AJ70" s="3"/>
    </row>
    <row r="71" ht="15.75" customHeight="1">
      <c r="A71" s="134"/>
      <c r="B71" s="135"/>
      <c r="C71" s="135"/>
      <c r="D71" s="135"/>
      <c r="E71" s="1"/>
      <c r="F71" s="135"/>
      <c r="G71" s="135"/>
      <c r="I71" s="116"/>
      <c r="AA71" s="3"/>
      <c r="AB71" s="116"/>
      <c r="AC71" s="3"/>
      <c r="AD71" s="3"/>
      <c r="AE71" s="3"/>
      <c r="AF71" s="3"/>
      <c r="AG71" s="3"/>
      <c r="AH71" s="3"/>
      <c r="AI71" s="3"/>
      <c r="AJ71" s="3"/>
    </row>
    <row r="72" ht="15.75" customHeight="1">
      <c r="A72" s="142" t="s">
        <v>211</v>
      </c>
      <c r="I72" s="116"/>
      <c r="AA72" s="3"/>
      <c r="AB72" s="116"/>
      <c r="AC72" s="3"/>
      <c r="AD72" s="3"/>
      <c r="AE72" s="3"/>
      <c r="AF72" s="3"/>
      <c r="AG72" s="3"/>
      <c r="AH72" s="3"/>
      <c r="AI72" s="3"/>
      <c r="AJ72" s="3"/>
    </row>
    <row r="73" ht="15.75" customHeight="1">
      <c r="A73" s="57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/>
      <c r="S73" s="9" t="s">
        <v>16</v>
      </c>
      <c r="T73" s="9" t="s">
        <v>196</v>
      </c>
      <c r="U73" s="9" t="s">
        <v>197</v>
      </c>
      <c r="V73" s="9" t="s">
        <v>198</v>
      </c>
      <c r="W73" s="3"/>
      <c r="X73" s="103" t="s">
        <v>20</v>
      </c>
      <c r="Y73" s="8"/>
      <c r="Z73" s="3"/>
      <c r="AA73" s="5" t="s">
        <v>11</v>
      </c>
      <c r="AB73" s="5" t="s">
        <v>12</v>
      </c>
      <c r="AC73" s="5" t="s">
        <v>13</v>
      </c>
      <c r="AD73" s="5" t="s">
        <v>14</v>
      </c>
      <c r="AE73" s="5" t="s">
        <v>15</v>
      </c>
      <c r="AF73" s="5" t="s">
        <v>16</v>
      </c>
      <c r="AG73" s="5" t="s">
        <v>196</v>
      </c>
      <c r="AH73" s="5" t="s">
        <v>197</v>
      </c>
      <c r="AI73" s="5" t="s">
        <v>198</v>
      </c>
      <c r="AJ73" s="9"/>
    </row>
    <row r="74" ht="15.75" customHeight="1">
      <c r="A74" s="58">
        <v>1.0</v>
      </c>
      <c r="B74" s="11">
        <v>45943.0</v>
      </c>
      <c r="C74" s="12" t="s">
        <v>53</v>
      </c>
      <c r="D74" s="12" t="s">
        <v>22</v>
      </c>
      <c r="E74" s="14" t="s">
        <v>162</v>
      </c>
      <c r="F74" s="13">
        <v>0.0</v>
      </c>
      <c r="G74" s="30" t="s">
        <v>24</v>
      </c>
      <c r="H74" s="13">
        <v>2.0</v>
      </c>
      <c r="I74" s="14" t="s">
        <v>54</v>
      </c>
      <c r="J74" s="117"/>
      <c r="K74" s="118">
        <f t="shared" ref="K74:K139" si="9">IFS(F74=H74+2,3,F74=H74-2,0,F74=H74+1,2,F74=H74-1,1,F74="","")</f>
        <v>0</v>
      </c>
      <c r="L74" s="119">
        <f t="shared" ref="L74:L139" si="10">IFS(H74=F74+2,3,H74=F74-2,0,H74=F74+1,2,H74=F74-1,1,H74="","")</f>
        <v>3</v>
      </c>
      <c r="M74" s="117"/>
      <c r="N74" s="119">
        <v>1.0</v>
      </c>
      <c r="O74" s="120" t="s">
        <v>162</v>
      </c>
      <c r="P74" s="119">
        <f t="shared" ref="P74:P84" si="11">SUMIF(E$74:E$139,O74,K$74:K$139)+SUMIF(I$74:I$139,O74,L$74:L$139)</f>
        <v>6</v>
      </c>
      <c r="Q74" s="121">
        <f t="shared" ref="Q74:Q84" si="12">COUNTIFS(E$74:E$139,O74,K$74:K$139,2)+COUNTIFS(I$74:I$139,O74,L$74:L$139,2)+COUNTIFS(E$74:E$139,O74,K$74:K$139,3)+COUNTIFS(I$74:I$139,O74,L$74:L$139,3)</f>
        <v>2</v>
      </c>
      <c r="R74" s="122"/>
      <c r="S74" s="122">
        <f t="shared" ref="S74:S84" si="13">COUNTIFS(E$74:E$139,O74,K$74:K$139,1)+COUNTIFS(I$74:I$139,O74,L$74:L$139,1)+COUNTIFS(E$74:E$139,O74,K$74:K$139,0)+COUNTIFS(I$74:I$139,O74,L$74:L$139,0)</f>
        <v>1</v>
      </c>
      <c r="T74" s="119">
        <f t="shared" ref="T74:T84" si="14">SUMIF(E$74:E$139,O74,F$74:F$139)+SUMIF(I$74:I$139,O74,H$74:H$139)</f>
        <v>4</v>
      </c>
      <c r="U74" s="122">
        <f t="shared" ref="U74:U84" si="15">SUMIF(E$74:E$139,O74,H$74:H$139)+SUMIF(I$74:I$139,O74,F$74:F$139)</f>
        <v>2</v>
      </c>
      <c r="V74" s="119">
        <f t="shared" ref="V74:V84" si="16">T74-U74</f>
        <v>2</v>
      </c>
      <c r="X74" s="107" t="s">
        <v>26</v>
      </c>
      <c r="Y74" s="107" t="s">
        <v>13</v>
      </c>
      <c r="AA74" s="41" t="s">
        <v>29</v>
      </c>
      <c r="AB74" s="63" t="str">
        <f t="array" ref="AB74:AI84">SORT(O74:V84,2,FALSE,8,FALSE)</f>
        <v>Fisioterapia</v>
      </c>
      <c r="AC74" s="22">
        <v>7.0</v>
      </c>
      <c r="AD74" s="22">
        <v>3.0</v>
      </c>
      <c r="AE74" s="23"/>
      <c r="AF74" s="23">
        <v>0.0</v>
      </c>
      <c r="AG74" s="22">
        <v>6.0</v>
      </c>
      <c r="AH74" s="23">
        <v>2.0</v>
      </c>
      <c r="AI74" s="22">
        <v>4.0</v>
      </c>
      <c r="AJ74" s="17"/>
    </row>
    <row r="75" ht="15.75" customHeight="1">
      <c r="A75" s="24"/>
      <c r="B75" s="11">
        <v>45943.0</v>
      </c>
      <c r="C75" s="12" t="s">
        <v>53</v>
      </c>
      <c r="D75" s="12" t="s">
        <v>22</v>
      </c>
      <c r="E75" s="14" t="s">
        <v>189</v>
      </c>
      <c r="F75" s="13">
        <v>0.0</v>
      </c>
      <c r="G75" s="30" t="s">
        <v>24</v>
      </c>
      <c r="H75" s="13">
        <v>2.0</v>
      </c>
      <c r="I75" s="14" t="s">
        <v>144</v>
      </c>
      <c r="J75" s="117"/>
      <c r="K75" s="118">
        <f t="shared" si="9"/>
        <v>0</v>
      </c>
      <c r="L75" s="119">
        <f t="shared" si="10"/>
        <v>3</v>
      </c>
      <c r="M75" s="117"/>
      <c r="N75" s="119">
        <v>2.0</v>
      </c>
      <c r="O75" s="120" t="s">
        <v>32</v>
      </c>
      <c r="P75" s="119">
        <f t="shared" si="11"/>
        <v>3</v>
      </c>
      <c r="Q75" s="121">
        <f t="shared" si="12"/>
        <v>1</v>
      </c>
      <c r="R75" s="122"/>
      <c r="S75" s="122">
        <f t="shared" si="13"/>
        <v>1</v>
      </c>
      <c r="T75" s="119">
        <f t="shared" si="14"/>
        <v>2</v>
      </c>
      <c r="U75" s="122">
        <f t="shared" si="15"/>
        <v>2</v>
      </c>
      <c r="V75" s="119">
        <f t="shared" si="16"/>
        <v>0</v>
      </c>
      <c r="X75" s="108" t="s">
        <v>33</v>
      </c>
      <c r="Y75" s="108">
        <v>3.0</v>
      </c>
      <c r="AA75" s="95" t="s">
        <v>112</v>
      </c>
      <c r="AB75" s="63" t="s">
        <v>159</v>
      </c>
      <c r="AC75" s="22">
        <v>6.0</v>
      </c>
      <c r="AD75" s="22">
        <v>2.0</v>
      </c>
      <c r="AE75" s="23"/>
      <c r="AF75" s="23">
        <v>0.0</v>
      </c>
      <c r="AG75" s="22">
        <v>4.0</v>
      </c>
      <c r="AH75" s="23">
        <v>0.0</v>
      </c>
      <c r="AI75" s="22">
        <v>4.0</v>
      </c>
      <c r="AJ75" s="17"/>
    </row>
    <row r="76" ht="15.75" customHeight="1">
      <c r="A76" s="24"/>
      <c r="B76" s="11">
        <v>45943.0</v>
      </c>
      <c r="C76" s="12" t="s">
        <v>53</v>
      </c>
      <c r="D76" s="12" t="s">
        <v>22</v>
      </c>
      <c r="E76" s="14" t="s">
        <v>23</v>
      </c>
      <c r="F76" s="13">
        <v>2.0</v>
      </c>
      <c r="G76" s="30" t="s">
        <v>24</v>
      </c>
      <c r="H76" s="13">
        <v>0.0</v>
      </c>
      <c r="I76" s="14" t="s">
        <v>37</v>
      </c>
      <c r="J76" s="117"/>
      <c r="K76" s="118">
        <f t="shared" si="9"/>
        <v>3</v>
      </c>
      <c r="L76" s="119">
        <f t="shared" si="10"/>
        <v>0</v>
      </c>
      <c r="M76" s="117"/>
      <c r="N76" s="119">
        <v>3.0</v>
      </c>
      <c r="O76" s="120" t="s">
        <v>54</v>
      </c>
      <c r="P76" s="119">
        <f t="shared" si="11"/>
        <v>5</v>
      </c>
      <c r="Q76" s="121">
        <f t="shared" si="12"/>
        <v>2</v>
      </c>
      <c r="R76" s="122"/>
      <c r="S76" s="122">
        <f t="shared" si="13"/>
        <v>0</v>
      </c>
      <c r="T76" s="119">
        <f t="shared" si="14"/>
        <v>4</v>
      </c>
      <c r="U76" s="122">
        <f t="shared" si="15"/>
        <v>1</v>
      </c>
      <c r="V76" s="119">
        <f t="shared" si="16"/>
        <v>3</v>
      </c>
      <c r="X76" s="108" t="s">
        <v>39</v>
      </c>
      <c r="Y76" s="108">
        <v>0.0</v>
      </c>
      <c r="AA76" s="21">
        <v>3.0</v>
      </c>
      <c r="AB76" s="63" t="s">
        <v>162</v>
      </c>
      <c r="AC76" s="22">
        <v>6.0</v>
      </c>
      <c r="AD76" s="22">
        <v>2.0</v>
      </c>
      <c r="AE76" s="23"/>
      <c r="AF76" s="23">
        <v>1.0</v>
      </c>
      <c r="AG76" s="22">
        <v>4.0</v>
      </c>
      <c r="AH76" s="23">
        <v>2.0</v>
      </c>
      <c r="AI76" s="22">
        <v>2.0</v>
      </c>
      <c r="AJ76" s="17"/>
    </row>
    <row r="77" ht="15.75" customHeight="1">
      <c r="A77" s="24"/>
      <c r="B77" s="11">
        <v>45943.0</v>
      </c>
      <c r="C77" s="12" t="s">
        <v>21</v>
      </c>
      <c r="D77" s="12" t="s">
        <v>22</v>
      </c>
      <c r="E77" s="14" t="s">
        <v>60</v>
      </c>
      <c r="F77" s="13">
        <v>0.0</v>
      </c>
      <c r="G77" s="30" t="s">
        <v>24</v>
      </c>
      <c r="H77" s="13">
        <v>2.0</v>
      </c>
      <c r="I77" s="14" t="s">
        <v>57</v>
      </c>
      <c r="J77" s="117"/>
      <c r="K77" s="118">
        <f t="shared" si="9"/>
        <v>0</v>
      </c>
      <c r="L77" s="119">
        <f t="shared" si="10"/>
        <v>3</v>
      </c>
      <c r="M77" s="117"/>
      <c r="N77" s="119">
        <v>4.0</v>
      </c>
      <c r="O77" s="120" t="s">
        <v>159</v>
      </c>
      <c r="P77" s="119">
        <f t="shared" si="11"/>
        <v>6</v>
      </c>
      <c r="Q77" s="121">
        <f t="shared" si="12"/>
        <v>2</v>
      </c>
      <c r="R77" s="122"/>
      <c r="S77" s="122">
        <f t="shared" si="13"/>
        <v>0</v>
      </c>
      <c r="T77" s="119">
        <f t="shared" si="14"/>
        <v>4</v>
      </c>
      <c r="U77" s="122">
        <f t="shared" si="15"/>
        <v>0</v>
      </c>
      <c r="V77" s="119">
        <f t="shared" si="16"/>
        <v>4</v>
      </c>
      <c r="AA77" s="21">
        <v>4.0</v>
      </c>
      <c r="AB77" s="63" t="s">
        <v>57</v>
      </c>
      <c r="AC77" s="22">
        <v>6.0</v>
      </c>
      <c r="AD77" s="22">
        <v>2.0</v>
      </c>
      <c r="AE77" s="23"/>
      <c r="AF77" s="23">
        <v>1.0</v>
      </c>
      <c r="AG77" s="22">
        <v>5.0</v>
      </c>
      <c r="AH77" s="23">
        <v>3.0</v>
      </c>
      <c r="AI77" s="22">
        <v>2.0</v>
      </c>
      <c r="AJ77" s="17"/>
    </row>
    <row r="78" ht="15.75" customHeight="1">
      <c r="A78" s="24"/>
      <c r="B78" s="11">
        <v>45943.0</v>
      </c>
      <c r="C78" s="12" t="s">
        <v>21</v>
      </c>
      <c r="D78" s="12" t="s">
        <v>22</v>
      </c>
      <c r="E78" s="14" t="s">
        <v>159</v>
      </c>
      <c r="F78" s="13">
        <v>2.0</v>
      </c>
      <c r="G78" s="30" t="s">
        <v>24</v>
      </c>
      <c r="H78" s="13">
        <v>0.0</v>
      </c>
      <c r="I78" s="14" t="s">
        <v>212</v>
      </c>
      <c r="J78" s="117"/>
      <c r="K78" s="118">
        <f t="shared" si="9"/>
        <v>3</v>
      </c>
      <c r="L78" s="119">
        <f t="shared" si="10"/>
        <v>0</v>
      </c>
      <c r="M78" s="117"/>
      <c r="N78" s="119">
        <v>5.0</v>
      </c>
      <c r="O78" s="120" t="s">
        <v>144</v>
      </c>
      <c r="P78" s="119">
        <f t="shared" si="11"/>
        <v>4</v>
      </c>
      <c r="Q78" s="121">
        <f t="shared" si="12"/>
        <v>1</v>
      </c>
      <c r="R78" s="122"/>
      <c r="S78" s="122">
        <f t="shared" si="13"/>
        <v>2</v>
      </c>
      <c r="T78" s="119">
        <f t="shared" si="14"/>
        <v>3</v>
      </c>
      <c r="U78" s="122">
        <f t="shared" si="15"/>
        <v>4</v>
      </c>
      <c r="V78" s="119">
        <f t="shared" si="16"/>
        <v>-1</v>
      </c>
      <c r="AA78" s="21">
        <v>5.0</v>
      </c>
      <c r="AB78" s="63" t="s">
        <v>54</v>
      </c>
      <c r="AC78" s="22">
        <v>5.0</v>
      </c>
      <c r="AD78" s="22">
        <v>2.0</v>
      </c>
      <c r="AE78" s="23"/>
      <c r="AF78" s="23">
        <v>0.0</v>
      </c>
      <c r="AG78" s="22">
        <v>4.0</v>
      </c>
      <c r="AH78" s="23">
        <v>1.0</v>
      </c>
      <c r="AI78" s="22">
        <v>3.0</v>
      </c>
      <c r="AJ78" s="17"/>
    </row>
    <row r="79" ht="15.75" customHeight="1">
      <c r="A79" s="28"/>
      <c r="B79" s="131"/>
      <c r="C79" s="132"/>
      <c r="D79" s="130"/>
      <c r="E79" s="14">
        <v>0.0</v>
      </c>
      <c r="F79" s="30"/>
      <c r="G79" s="30" t="s">
        <v>24</v>
      </c>
      <c r="H79" s="30"/>
      <c r="I79" s="14" t="s">
        <v>32</v>
      </c>
      <c r="J79" s="117"/>
      <c r="K79" s="118" t="str">
        <f t="shared" si="9"/>
        <v/>
      </c>
      <c r="L79" s="119" t="str">
        <f t="shared" si="10"/>
        <v/>
      </c>
      <c r="M79" s="117"/>
      <c r="N79" s="119">
        <v>6.0</v>
      </c>
      <c r="O79" s="120" t="s">
        <v>60</v>
      </c>
      <c r="P79" s="119">
        <f t="shared" si="11"/>
        <v>0</v>
      </c>
      <c r="Q79" s="121">
        <f t="shared" si="12"/>
        <v>0</v>
      </c>
      <c r="R79" s="122"/>
      <c r="S79" s="122">
        <f t="shared" si="13"/>
        <v>3</v>
      </c>
      <c r="T79" s="119">
        <f t="shared" si="14"/>
        <v>0</v>
      </c>
      <c r="U79" s="122">
        <f t="shared" si="15"/>
        <v>6</v>
      </c>
      <c r="V79" s="119">
        <f t="shared" si="16"/>
        <v>-6</v>
      </c>
      <c r="AA79" s="21">
        <v>6.0</v>
      </c>
      <c r="AB79" s="63" t="s">
        <v>144</v>
      </c>
      <c r="AC79" s="22">
        <v>4.0</v>
      </c>
      <c r="AD79" s="22">
        <v>1.0</v>
      </c>
      <c r="AE79" s="23"/>
      <c r="AF79" s="23">
        <v>2.0</v>
      </c>
      <c r="AG79" s="22">
        <v>3.0</v>
      </c>
      <c r="AH79" s="23">
        <v>4.0</v>
      </c>
      <c r="AI79" s="22">
        <v>-1.0</v>
      </c>
      <c r="AJ79" s="17"/>
    </row>
    <row r="80" ht="15.75" customHeight="1">
      <c r="A80" s="58">
        <v>2.0</v>
      </c>
      <c r="B80" s="131"/>
      <c r="C80" s="132"/>
      <c r="D80" s="130"/>
      <c r="E80" s="14" t="s">
        <v>54</v>
      </c>
      <c r="F80" s="30"/>
      <c r="G80" s="30" t="s">
        <v>24</v>
      </c>
      <c r="H80" s="30"/>
      <c r="I80" s="14">
        <v>0.0</v>
      </c>
      <c r="J80" s="117"/>
      <c r="K80" s="118" t="str">
        <f t="shared" si="9"/>
        <v/>
      </c>
      <c r="L80" s="119" t="str">
        <f t="shared" si="10"/>
        <v/>
      </c>
      <c r="M80" s="117"/>
      <c r="N80" s="119">
        <v>7.0</v>
      </c>
      <c r="O80" s="120" t="s">
        <v>37</v>
      </c>
      <c r="P80" s="119">
        <f t="shared" si="11"/>
        <v>0</v>
      </c>
      <c r="Q80" s="121">
        <f t="shared" si="12"/>
        <v>0</v>
      </c>
      <c r="R80" s="122"/>
      <c r="S80" s="122">
        <f t="shared" si="13"/>
        <v>3</v>
      </c>
      <c r="T80" s="119">
        <f t="shared" si="14"/>
        <v>0</v>
      </c>
      <c r="U80" s="122">
        <f t="shared" si="15"/>
        <v>6</v>
      </c>
      <c r="V80" s="119">
        <f t="shared" si="16"/>
        <v>-6</v>
      </c>
      <c r="AA80" s="21">
        <v>7.0</v>
      </c>
      <c r="AB80" s="63" t="s">
        <v>189</v>
      </c>
      <c r="AC80" s="22">
        <v>4.0</v>
      </c>
      <c r="AD80" s="22">
        <v>1.0</v>
      </c>
      <c r="AE80" s="23"/>
      <c r="AF80" s="23">
        <v>2.0</v>
      </c>
      <c r="AG80" s="22">
        <v>3.0</v>
      </c>
      <c r="AH80" s="23">
        <v>4.0</v>
      </c>
      <c r="AI80" s="22">
        <v>-1.0</v>
      </c>
      <c r="AJ80" s="17"/>
    </row>
    <row r="81" ht="15.75" customHeight="1">
      <c r="A81" s="24"/>
      <c r="B81" s="11">
        <v>45943.0</v>
      </c>
      <c r="C81" s="12" t="s">
        <v>21</v>
      </c>
      <c r="D81" s="12" t="s">
        <v>22</v>
      </c>
      <c r="E81" s="14" t="s">
        <v>144</v>
      </c>
      <c r="F81" s="13">
        <v>0.0</v>
      </c>
      <c r="G81" s="30" t="s">
        <v>24</v>
      </c>
      <c r="H81" s="13">
        <v>2.0</v>
      </c>
      <c r="I81" s="14" t="s">
        <v>162</v>
      </c>
      <c r="J81" s="117"/>
      <c r="K81" s="118">
        <f t="shared" si="9"/>
        <v>0</v>
      </c>
      <c r="L81" s="119">
        <f t="shared" si="10"/>
        <v>3</v>
      </c>
      <c r="M81" s="117"/>
      <c r="N81" s="119">
        <v>8.0</v>
      </c>
      <c r="O81" s="120" t="s">
        <v>23</v>
      </c>
      <c r="P81" s="119">
        <f t="shared" si="11"/>
        <v>7</v>
      </c>
      <c r="Q81" s="121">
        <f t="shared" si="12"/>
        <v>3</v>
      </c>
      <c r="R81" s="122"/>
      <c r="S81" s="122">
        <f t="shared" si="13"/>
        <v>0</v>
      </c>
      <c r="T81" s="119">
        <f t="shared" si="14"/>
        <v>6</v>
      </c>
      <c r="U81" s="122">
        <f t="shared" si="15"/>
        <v>2</v>
      </c>
      <c r="V81" s="119">
        <f t="shared" si="16"/>
        <v>4</v>
      </c>
      <c r="AA81" s="21">
        <v>8.0</v>
      </c>
      <c r="AB81" s="63" t="s">
        <v>212</v>
      </c>
      <c r="AC81" s="22">
        <v>4.0</v>
      </c>
      <c r="AD81" s="22">
        <v>1.0</v>
      </c>
      <c r="AE81" s="23"/>
      <c r="AF81" s="23">
        <v>2.0</v>
      </c>
      <c r="AG81" s="22">
        <v>3.0</v>
      </c>
      <c r="AH81" s="23">
        <v>4.0</v>
      </c>
      <c r="AI81" s="22">
        <v>-1.0</v>
      </c>
      <c r="AJ81" s="17"/>
    </row>
    <row r="82" ht="15.75" customHeight="1">
      <c r="A82" s="24"/>
      <c r="B82" s="11">
        <v>45958.0</v>
      </c>
      <c r="C82" s="12" t="s">
        <v>30</v>
      </c>
      <c r="D82" s="12" t="s">
        <v>22</v>
      </c>
      <c r="E82" s="14" t="s">
        <v>37</v>
      </c>
      <c r="F82" s="13">
        <v>0.0</v>
      </c>
      <c r="G82" s="30" t="s">
        <v>24</v>
      </c>
      <c r="H82" s="13">
        <v>2.0</v>
      </c>
      <c r="I82" s="14" t="s">
        <v>189</v>
      </c>
      <c r="J82" s="117"/>
      <c r="K82" s="118">
        <f t="shared" si="9"/>
        <v>0</v>
      </c>
      <c r="L82" s="119">
        <f t="shared" si="10"/>
        <v>3</v>
      </c>
      <c r="M82" s="117"/>
      <c r="N82" s="119">
        <v>9.0</v>
      </c>
      <c r="O82" s="120" t="s">
        <v>57</v>
      </c>
      <c r="P82" s="119">
        <f t="shared" si="11"/>
        <v>6</v>
      </c>
      <c r="Q82" s="121">
        <f t="shared" si="12"/>
        <v>2</v>
      </c>
      <c r="R82" s="122"/>
      <c r="S82" s="122">
        <f t="shared" si="13"/>
        <v>1</v>
      </c>
      <c r="T82" s="119">
        <f t="shared" si="14"/>
        <v>5</v>
      </c>
      <c r="U82" s="122">
        <f t="shared" si="15"/>
        <v>3</v>
      </c>
      <c r="V82" s="119">
        <f t="shared" si="16"/>
        <v>2</v>
      </c>
      <c r="AA82" s="21">
        <v>9.0</v>
      </c>
      <c r="AB82" s="63" t="s">
        <v>32</v>
      </c>
      <c r="AC82" s="22">
        <v>3.0</v>
      </c>
      <c r="AD82" s="22">
        <v>1.0</v>
      </c>
      <c r="AE82" s="23"/>
      <c r="AF82" s="23">
        <v>1.0</v>
      </c>
      <c r="AG82" s="22">
        <v>2.0</v>
      </c>
      <c r="AH82" s="23">
        <v>2.0</v>
      </c>
      <c r="AI82" s="22">
        <v>0.0</v>
      </c>
      <c r="AJ82" s="17"/>
    </row>
    <row r="83" ht="15.75" customHeight="1">
      <c r="A83" s="24"/>
      <c r="B83" s="11">
        <v>45958.0</v>
      </c>
      <c r="C83" s="12" t="s">
        <v>30</v>
      </c>
      <c r="D83" s="12" t="s">
        <v>22</v>
      </c>
      <c r="E83" s="14" t="s">
        <v>57</v>
      </c>
      <c r="F83" s="13">
        <v>1.0</v>
      </c>
      <c r="G83" s="30" t="s">
        <v>24</v>
      </c>
      <c r="H83" s="13">
        <v>2.0</v>
      </c>
      <c r="I83" s="14" t="s">
        <v>23</v>
      </c>
      <c r="J83" s="117"/>
      <c r="K83" s="118">
        <f t="shared" si="9"/>
        <v>1</v>
      </c>
      <c r="L83" s="119">
        <f t="shared" si="10"/>
        <v>2</v>
      </c>
      <c r="M83" s="117"/>
      <c r="N83" s="119">
        <v>10.0</v>
      </c>
      <c r="O83" s="120" t="s">
        <v>189</v>
      </c>
      <c r="P83" s="119">
        <f t="shared" si="11"/>
        <v>4</v>
      </c>
      <c r="Q83" s="121">
        <f t="shared" si="12"/>
        <v>1</v>
      </c>
      <c r="R83" s="122"/>
      <c r="S83" s="122">
        <f t="shared" si="13"/>
        <v>2</v>
      </c>
      <c r="T83" s="119">
        <f t="shared" si="14"/>
        <v>3</v>
      </c>
      <c r="U83" s="122">
        <f t="shared" si="15"/>
        <v>4</v>
      </c>
      <c r="V83" s="119">
        <f t="shared" si="16"/>
        <v>-1</v>
      </c>
      <c r="AA83" s="21">
        <v>10.0</v>
      </c>
      <c r="AB83" s="63" t="s">
        <v>60</v>
      </c>
      <c r="AC83" s="22">
        <v>0.0</v>
      </c>
      <c r="AD83" s="22">
        <v>0.0</v>
      </c>
      <c r="AE83" s="23"/>
      <c r="AF83" s="23">
        <v>3.0</v>
      </c>
      <c r="AG83" s="22">
        <v>0.0</v>
      </c>
      <c r="AH83" s="23">
        <v>6.0</v>
      </c>
      <c r="AI83" s="22">
        <v>-6.0</v>
      </c>
      <c r="AJ83" s="3"/>
    </row>
    <row r="84" ht="15.75" customHeight="1">
      <c r="A84" s="24"/>
      <c r="B84" s="11">
        <v>45958.0</v>
      </c>
      <c r="C84" s="12" t="s">
        <v>30</v>
      </c>
      <c r="D84" s="12" t="s">
        <v>22</v>
      </c>
      <c r="E84" s="14" t="s">
        <v>212</v>
      </c>
      <c r="F84" s="13">
        <v>2.0</v>
      </c>
      <c r="G84" s="30" t="s">
        <v>24</v>
      </c>
      <c r="H84" s="13">
        <v>0.0</v>
      </c>
      <c r="I84" s="14" t="s">
        <v>60</v>
      </c>
      <c r="J84" s="117"/>
      <c r="K84" s="118">
        <f t="shared" si="9"/>
        <v>3</v>
      </c>
      <c r="L84" s="119">
        <f t="shared" si="10"/>
        <v>0</v>
      </c>
      <c r="M84" s="117"/>
      <c r="N84" s="136">
        <v>11.0</v>
      </c>
      <c r="O84" s="136" t="s">
        <v>212</v>
      </c>
      <c r="P84" s="119">
        <f t="shared" si="11"/>
        <v>4</v>
      </c>
      <c r="Q84" s="121">
        <f t="shared" si="12"/>
        <v>1</v>
      </c>
      <c r="S84" s="122">
        <f t="shared" si="13"/>
        <v>2</v>
      </c>
      <c r="T84" s="119">
        <f t="shared" si="14"/>
        <v>3</v>
      </c>
      <c r="U84" s="122">
        <f t="shared" si="15"/>
        <v>4</v>
      </c>
      <c r="V84" s="119">
        <f t="shared" si="16"/>
        <v>-1</v>
      </c>
      <c r="AA84" s="47">
        <v>11.0</v>
      </c>
      <c r="AB84" s="63" t="s">
        <v>37</v>
      </c>
      <c r="AC84" s="22">
        <v>0.0</v>
      </c>
      <c r="AD84" s="22">
        <v>0.0</v>
      </c>
      <c r="AE84" s="23"/>
      <c r="AF84" s="23">
        <v>3.0</v>
      </c>
      <c r="AG84" s="22">
        <v>0.0</v>
      </c>
      <c r="AH84" s="23">
        <v>6.0</v>
      </c>
      <c r="AI84" s="22">
        <v>-6.0</v>
      </c>
      <c r="AJ84" s="3"/>
    </row>
    <row r="85" ht="15.75" customHeight="1">
      <c r="A85" s="28"/>
      <c r="B85" s="11">
        <v>45958.0</v>
      </c>
      <c r="C85" s="64" t="s">
        <v>35</v>
      </c>
      <c r="D85" s="12" t="s">
        <v>22</v>
      </c>
      <c r="E85" s="14" t="s">
        <v>32</v>
      </c>
      <c r="F85" s="13">
        <v>0.0</v>
      </c>
      <c r="G85" s="30" t="s">
        <v>24</v>
      </c>
      <c r="H85" s="13">
        <v>2.0</v>
      </c>
      <c r="I85" s="14" t="s">
        <v>159</v>
      </c>
      <c r="J85" s="117"/>
      <c r="K85" s="118">
        <f t="shared" si="9"/>
        <v>0</v>
      </c>
      <c r="L85" s="119">
        <f t="shared" si="10"/>
        <v>3</v>
      </c>
      <c r="M85" s="117"/>
      <c r="AA85" s="34" t="s">
        <v>213</v>
      </c>
      <c r="AD85" s="36"/>
      <c r="AE85" s="36"/>
      <c r="AF85" s="3"/>
      <c r="AG85" s="3"/>
      <c r="AH85" s="3"/>
      <c r="AI85" s="3"/>
      <c r="AJ85" s="3"/>
    </row>
    <row r="86" ht="15.75" customHeight="1">
      <c r="A86" s="58">
        <v>3.0</v>
      </c>
      <c r="B86" s="11">
        <v>45958.0</v>
      </c>
      <c r="C86" s="64" t="s">
        <v>35</v>
      </c>
      <c r="D86" s="12" t="s">
        <v>22</v>
      </c>
      <c r="E86" s="14" t="s">
        <v>54</v>
      </c>
      <c r="F86" s="13">
        <v>2.0</v>
      </c>
      <c r="G86" s="30" t="s">
        <v>24</v>
      </c>
      <c r="H86" s="13">
        <v>1.0</v>
      </c>
      <c r="I86" s="14" t="s">
        <v>144</v>
      </c>
      <c r="J86" s="117"/>
      <c r="K86" s="118">
        <f t="shared" si="9"/>
        <v>2</v>
      </c>
      <c r="L86" s="119">
        <f t="shared" si="10"/>
        <v>1</v>
      </c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AA86" s="73" t="s">
        <v>106</v>
      </c>
      <c r="AD86" s="36"/>
      <c r="AE86" s="36"/>
      <c r="AF86" s="3"/>
      <c r="AG86" s="3"/>
      <c r="AH86" s="3"/>
      <c r="AI86" s="3"/>
      <c r="AJ86" s="3"/>
    </row>
    <row r="87" ht="15.75" customHeight="1">
      <c r="A87" s="24"/>
      <c r="B87" s="11">
        <v>45958.0</v>
      </c>
      <c r="C87" s="64" t="s">
        <v>35</v>
      </c>
      <c r="D87" s="12" t="s">
        <v>22</v>
      </c>
      <c r="E87" s="14" t="s">
        <v>162</v>
      </c>
      <c r="F87" s="13">
        <v>2.0</v>
      </c>
      <c r="G87" s="30" t="s">
        <v>24</v>
      </c>
      <c r="H87" s="13">
        <v>0.0</v>
      </c>
      <c r="I87" s="14" t="s">
        <v>37</v>
      </c>
      <c r="J87" s="117"/>
      <c r="K87" s="118">
        <f t="shared" si="9"/>
        <v>3</v>
      </c>
      <c r="L87" s="119">
        <f t="shared" si="10"/>
        <v>0</v>
      </c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AA87" s="127"/>
      <c r="AD87" s="36"/>
      <c r="AG87" s="3"/>
      <c r="AH87" s="3"/>
      <c r="AI87" s="3"/>
      <c r="AJ87" s="3"/>
    </row>
    <row r="88" ht="15.75" customHeight="1">
      <c r="A88" s="24"/>
      <c r="B88" s="11">
        <v>45966.0</v>
      </c>
      <c r="C88" s="12" t="s">
        <v>200</v>
      </c>
      <c r="D88" s="12" t="s">
        <v>22</v>
      </c>
      <c r="E88" s="14" t="s">
        <v>189</v>
      </c>
      <c r="F88" s="13">
        <v>1.0</v>
      </c>
      <c r="G88" s="30" t="s">
        <v>24</v>
      </c>
      <c r="H88" s="13">
        <v>2.0</v>
      </c>
      <c r="I88" s="14" t="s">
        <v>57</v>
      </c>
      <c r="J88" s="117"/>
      <c r="K88" s="118">
        <f t="shared" si="9"/>
        <v>1</v>
      </c>
      <c r="L88" s="119">
        <f t="shared" si="10"/>
        <v>2</v>
      </c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AG88" s="3"/>
      <c r="AH88" s="3"/>
      <c r="AI88" s="3"/>
      <c r="AJ88" s="3"/>
    </row>
    <row r="89" ht="15.75" customHeight="1">
      <c r="A89" s="24"/>
      <c r="B89" s="11">
        <v>45967.0</v>
      </c>
      <c r="C89" s="12" t="s">
        <v>35</v>
      </c>
      <c r="D89" s="12" t="s">
        <v>22</v>
      </c>
      <c r="E89" s="14" t="s">
        <v>23</v>
      </c>
      <c r="F89" s="13">
        <v>2.0</v>
      </c>
      <c r="G89" s="30" t="s">
        <v>24</v>
      </c>
      <c r="H89" s="13">
        <v>1.0</v>
      </c>
      <c r="I89" s="14" t="s">
        <v>212</v>
      </c>
      <c r="J89" s="128"/>
      <c r="K89" s="118">
        <f t="shared" si="9"/>
        <v>2</v>
      </c>
      <c r="L89" s="119">
        <f t="shared" si="10"/>
        <v>1</v>
      </c>
      <c r="M89" s="117"/>
      <c r="N89" s="117"/>
      <c r="O89" s="117"/>
      <c r="P89" s="117"/>
      <c r="R89" s="117"/>
      <c r="S89" s="117"/>
      <c r="T89" s="117"/>
      <c r="U89" s="117"/>
      <c r="V89" s="117"/>
      <c r="AG89" s="3"/>
      <c r="AH89" s="3"/>
      <c r="AI89" s="3"/>
      <c r="AJ89" s="3"/>
    </row>
    <row r="90" ht="15.75" customHeight="1">
      <c r="A90" s="24"/>
      <c r="B90" s="11">
        <v>45966.0</v>
      </c>
      <c r="C90" s="12" t="s">
        <v>142</v>
      </c>
      <c r="D90" s="12" t="s">
        <v>22</v>
      </c>
      <c r="E90" s="14" t="s">
        <v>60</v>
      </c>
      <c r="F90" s="13">
        <v>0.0</v>
      </c>
      <c r="G90" s="30" t="s">
        <v>24</v>
      </c>
      <c r="H90" s="13">
        <v>2.0</v>
      </c>
      <c r="I90" s="14" t="s">
        <v>32</v>
      </c>
      <c r="J90" s="117"/>
      <c r="K90" s="118">
        <f t="shared" si="9"/>
        <v>0</v>
      </c>
      <c r="L90" s="119">
        <f t="shared" si="10"/>
        <v>3</v>
      </c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AG90" s="3"/>
      <c r="AH90" s="3"/>
      <c r="AI90" s="3"/>
      <c r="AJ90" s="3"/>
    </row>
    <row r="91" ht="15.75" customHeight="1">
      <c r="A91" s="28"/>
      <c r="B91" s="131"/>
      <c r="C91" s="130"/>
      <c r="D91" s="130"/>
      <c r="E91" s="14">
        <v>0.0</v>
      </c>
      <c r="F91" s="30"/>
      <c r="G91" s="30" t="s">
        <v>24</v>
      </c>
      <c r="H91" s="30"/>
      <c r="I91" s="14" t="s">
        <v>159</v>
      </c>
      <c r="J91" s="117"/>
      <c r="K91" s="118" t="str">
        <f t="shared" si="9"/>
        <v/>
      </c>
      <c r="L91" s="119" t="str">
        <f t="shared" si="10"/>
        <v/>
      </c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AG91" s="3"/>
      <c r="AH91" s="3"/>
      <c r="AI91" s="3"/>
      <c r="AJ91" s="3"/>
    </row>
    <row r="92" ht="15.75" customHeight="1">
      <c r="A92" s="137">
        <v>4.0</v>
      </c>
      <c r="B92" s="131"/>
      <c r="C92" s="130"/>
      <c r="D92" s="130"/>
      <c r="E92" s="14" t="s">
        <v>144</v>
      </c>
      <c r="F92" s="30"/>
      <c r="G92" s="30" t="s">
        <v>24</v>
      </c>
      <c r="H92" s="30"/>
      <c r="I92" s="14">
        <v>0.0</v>
      </c>
      <c r="J92" s="117"/>
      <c r="K92" s="118" t="str">
        <f t="shared" si="9"/>
        <v/>
      </c>
      <c r="L92" s="119" t="str">
        <f t="shared" si="10"/>
        <v/>
      </c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AG92" s="3"/>
      <c r="AH92" s="3"/>
      <c r="AI92" s="3"/>
      <c r="AJ92" s="3"/>
    </row>
    <row r="93" ht="15.75" customHeight="1">
      <c r="A93" s="24"/>
      <c r="B93" s="131"/>
      <c r="C93" s="130"/>
      <c r="D93" s="130"/>
      <c r="E93" s="14" t="s">
        <v>37</v>
      </c>
      <c r="F93" s="30"/>
      <c r="G93" s="30" t="s">
        <v>24</v>
      </c>
      <c r="H93" s="30"/>
      <c r="I93" s="14" t="s">
        <v>54</v>
      </c>
      <c r="J93" s="117"/>
      <c r="K93" s="118" t="str">
        <f t="shared" si="9"/>
        <v/>
      </c>
      <c r="L93" s="119" t="str">
        <f t="shared" si="10"/>
        <v/>
      </c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AD93" s="36"/>
      <c r="AE93" s="36"/>
      <c r="AF93" s="3"/>
      <c r="AG93" s="3"/>
      <c r="AH93" s="3"/>
      <c r="AI93" s="3"/>
      <c r="AJ93" s="3"/>
    </row>
    <row r="94" ht="15.75" customHeight="1">
      <c r="A94" s="24"/>
      <c r="B94" s="131"/>
      <c r="C94" s="130"/>
      <c r="D94" s="130"/>
      <c r="E94" s="14" t="s">
        <v>57</v>
      </c>
      <c r="F94" s="30"/>
      <c r="G94" s="30" t="s">
        <v>24</v>
      </c>
      <c r="H94" s="30"/>
      <c r="I94" s="14" t="s">
        <v>162</v>
      </c>
      <c r="J94" s="117"/>
      <c r="K94" s="118" t="str">
        <f t="shared" si="9"/>
        <v/>
      </c>
      <c r="L94" s="119" t="str">
        <f t="shared" si="10"/>
        <v/>
      </c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AD94" s="36"/>
      <c r="AE94" s="36"/>
      <c r="AF94" s="3"/>
      <c r="AG94" s="3"/>
      <c r="AH94" s="3"/>
      <c r="AI94" s="3"/>
      <c r="AJ94" s="3"/>
    </row>
    <row r="95" ht="15.75" customHeight="1">
      <c r="A95" s="24"/>
      <c r="B95" s="131"/>
      <c r="C95" s="130"/>
      <c r="D95" s="130"/>
      <c r="E95" s="14" t="s">
        <v>212</v>
      </c>
      <c r="F95" s="30"/>
      <c r="G95" s="30" t="s">
        <v>24</v>
      </c>
      <c r="H95" s="30"/>
      <c r="I95" s="14" t="s">
        <v>189</v>
      </c>
      <c r="J95" s="117"/>
      <c r="K95" s="118" t="str">
        <f t="shared" si="9"/>
        <v/>
      </c>
      <c r="L95" s="119" t="str">
        <f t="shared" si="10"/>
        <v/>
      </c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AA95" s="3"/>
      <c r="AB95" s="116"/>
      <c r="AC95" s="3"/>
      <c r="AD95" s="3"/>
      <c r="AE95" s="3"/>
      <c r="AF95" s="3"/>
      <c r="AG95" s="3"/>
      <c r="AH95" s="3"/>
      <c r="AI95" s="3"/>
      <c r="AJ95" s="3"/>
    </row>
    <row r="96" ht="15.75" customHeight="1">
      <c r="A96" s="24"/>
      <c r="B96" s="131"/>
      <c r="C96" s="130"/>
      <c r="D96" s="130"/>
      <c r="E96" s="14" t="s">
        <v>32</v>
      </c>
      <c r="F96" s="30"/>
      <c r="G96" s="30" t="s">
        <v>24</v>
      </c>
      <c r="H96" s="30"/>
      <c r="I96" s="14" t="s">
        <v>23</v>
      </c>
      <c r="J96" s="117"/>
      <c r="K96" s="118" t="str">
        <f t="shared" si="9"/>
        <v/>
      </c>
      <c r="L96" s="119" t="str">
        <f t="shared" si="10"/>
        <v/>
      </c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AA96" s="3"/>
      <c r="AB96" s="116"/>
      <c r="AC96" s="3"/>
      <c r="AD96" s="3"/>
      <c r="AE96" s="3"/>
      <c r="AF96" s="3"/>
      <c r="AG96" s="3"/>
      <c r="AH96" s="3"/>
      <c r="AI96" s="3"/>
      <c r="AJ96" s="3"/>
    </row>
    <row r="97" ht="15.75" customHeight="1">
      <c r="A97" s="24"/>
      <c r="B97" s="131"/>
      <c r="C97" s="130"/>
      <c r="D97" s="130"/>
      <c r="E97" s="14" t="s">
        <v>159</v>
      </c>
      <c r="F97" s="30"/>
      <c r="G97" s="30" t="s">
        <v>24</v>
      </c>
      <c r="H97" s="30"/>
      <c r="I97" s="14" t="s">
        <v>60</v>
      </c>
      <c r="J97" s="117"/>
      <c r="K97" s="118" t="str">
        <f t="shared" si="9"/>
        <v/>
      </c>
      <c r="L97" s="119" t="str">
        <f t="shared" si="10"/>
        <v/>
      </c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AA97" s="3"/>
      <c r="AB97" s="116"/>
      <c r="AC97" s="3"/>
      <c r="AD97" s="3"/>
      <c r="AE97" s="3"/>
      <c r="AF97" s="3"/>
      <c r="AG97" s="3"/>
      <c r="AH97" s="3"/>
      <c r="AI97" s="3"/>
      <c r="AJ97" s="3"/>
    </row>
    <row r="98" ht="15.75" customHeight="1">
      <c r="A98" s="58">
        <v>5.0</v>
      </c>
      <c r="B98" s="131"/>
      <c r="C98" s="130"/>
      <c r="D98" s="130"/>
      <c r="E98" s="14" t="s">
        <v>144</v>
      </c>
      <c r="F98" s="30"/>
      <c r="G98" s="30" t="s">
        <v>24</v>
      </c>
      <c r="H98" s="30"/>
      <c r="I98" s="14" t="s">
        <v>37</v>
      </c>
      <c r="J98" s="117"/>
      <c r="K98" s="118" t="str">
        <f t="shared" si="9"/>
        <v/>
      </c>
      <c r="L98" s="119" t="str">
        <f t="shared" si="10"/>
        <v/>
      </c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AA98" s="3"/>
      <c r="AB98" s="116"/>
      <c r="AC98" s="3"/>
      <c r="AD98" s="3"/>
      <c r="AE98" s="3"/>
      <c r="AF98" s="3"/>
      <c r="AG98" s="3"/>
      <c r="AH98" s="3"/>
      <c r="AI98" s="3"/>
      <c r="AJ98" s="3"/>
    </row>
    <row r="99" ht="15.75" customHeight="1">
      <c r="A99" s="24"/>
      <c r="B99" s="131"/>
      <c r="C99" s="130"/>
      <c r="D99" s="130"/>
      <c r="E99" s="14" t="s">
        <v>54</v>
      </c>
      <c r="F99" s="130"/>
      <c r="G99" s="30" t="s">
        <v>24</v>
      </c>
      <c r="H99" s="30"/>
      <c r="I99" s="14" t="s">
        <v>57</v>
      </c>
      <c r="J99" s="117"/>
      <c r="K99" s="118" t="str">
        <f t="shared" si="9"/>
        <v/>
      </c>
      <c r="L99" s="119" t="str">
        <f t="shared" si="10"/>
        <v/>
      </c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AA99" s="3"/>
      <c r="AB99" s="116"/>
      <c r="AC99" s="3"/>
      <c r="AD99" s="3"/>
      <c r="AE99" s="3"/>
      <c r="AF99" s="3"/>
      <c r="AG99" s="3"/>
      <c r="AH99" s="3"/>
      <c r="AI99" s="3"/>
      <c r="AJ99" s="3"/>
    </row>
    <row r="100" ht="15.75" customHeight="1">
      <c r="A100" s="24"/>
      <c r="B100" s="131"/>
      <c r="C100" s="130"/>
      <c r="D100" s="130"/>
      <c r="E100" s="14" t="s">
        <v>162</v>
      </c>
      <c r="F100" s="130"/>
      <c r="G100" s="30" t="s">
        <v>24</v>
      </c>
      <c r="H100" s="30"/>
      <c r="I100" s="14" t="s">
        <v>212</v>
      </c>
      <c r="J100" s="117"/>
      <c r="K100" s="118" t="str">
        <f t="shared" si="9"/>
        <v/>
      </c>
      <c r="L100" s="119" t="str">
        <f t="shared" si="10"/>
        <v/>
      </c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AA100" s="3"/>
      <c r="AB100" s="116"/>
      <c r="AC100" s="3"/>
      <c r="AD100" s="3"/>
      <c r="AE100" s="3"/>
      <c r="AF100" s="3"/>
      <c r="AG100" s="3"/>
      <c r="AH100" s="3"/>
      <c r="AI100" s="3"/>
      <c r="AJ100" s="3"/>
    </row>
    <row r="101" ht="15.75" customHeight="1">
      <c r="A101" s="24"/>
      <c r="B101" s="131"/>
      <c r="C101" s="130"/>
      <c r="D101" s="130"/>
      <c r="E101" s="14" t="s">
        <v>189</v>
      </c>
      <c r="F101" s="130"/>
      <c r="G101" s="30" t="s">
        <v>24</v>
      </c>
      <c r="H101" s="30"/>
      <c r="I101" s="14" t="s">
        <v>32</v>
      </c>
      <c r="J101" s="117"/>
      <c r="K101" s="118" t="str">
        <f t="shared" si="9"/>
        <v/>
      </c>
      <c r="L101" s="119" t="str">
        <f t="shared" si="10"/>
        <v/>
      </c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AA101" s="3"/>
      <c r="AB101" s="116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A102" s="24"/>
      <c r="B102" s="131"/>
      <c r="C102" s="130"/>
      <c r="D102" s="130"/>
      <c r="E102" s="14" t="s">
        <v>23</v>
      </c>
      <c r="F102" s="130"/>
      <c r="G102" s="30" t="s">
        <v>24</v>
      </c>
      <c r="H102" s="30"/>
      <c r="I102" s="14" t="s">
        <v>159</v>
      </c>
      <c r="J102" s="117"/>
      <c r="K102" s="118" t="str">
        <f t="shared" si="9"/>
        <v/>
      </c>
      <c r="L102" s="119" t="str">
        <f t="shared" si="10"/>
        <v/>
      </c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AA102" s="3"/>
      <c r="AB102" s="116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28"/>
      <c r="B103" s="131"/>
      <c r="C103" s="130"/>
      <c r="D103" s="130"/>
      <c r="E103" s="14">
        <v>0.0</v>
      </c>
      <c r="F103" s="130"/>
      <c r="G103" s="30" t="s">
        <v>24</v>
      </c>
      <c r="H103" s="30"/>
      <c r="I103" s="14" t="s">
        <v>60</v>
      </c>
      <c r="J103" s="117"/>
      <c r="K103" s="118" t="str">
        <f t="shared" si="9"/>
        <v/>
      </c>
      <c r="L103" s="119" t="str">
        <f t="shared" si="10"/>
        <v/>
      </c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AA103" s="3"/>
      <c r="AB103" s="116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58">
        <v>6.0</v>
      </c>
      <c r="B104" s="131"/>
      <c r="C104" s="132"/>
      <c r="D104" s="130"/>
      <c r="E104" s="14" t="s">
        <v>37</v>
      </c>
      <c r="F104" s="30"/>
      <c r="G104" s="30" t="s">
        <v>24</v>
      </c>
      <c r="H104" s="30"/>
      <c r="I104" s="14">
        <v>0.0</v>
      </c>
      <c r="J104" s="117"/>
      <c r="K104" s="118" t="str">
        <f t="shared" si="9"/>
        <v/>
      </c>
      <c r="L104" s="119" t="str">
        <f t="shared" si="10"/>
        <v/>
      </c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AA104" s="3"/>
      <c r="AB104" s="116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24"/>
      <c r="B105" s="131"/>
      <c r="C105" s="130"/>
      <c r="D105" s="130"/>
      <c r="E105" s="14" t="s">
        <v>57</v>
      </c>
      <c r="F105" s="30"/>
      <c r="G105" s="30" t="s">
        <v>24</v>
      </c>
      <c r="H105" s="30"/>
      <c r="I105" s="14" t="s">
        <v>144</v>
      </c>
      <c r="J105" s="117"/>
      <c r="K105" s="118" t="str">
        <f t="shared" si="9"/>
        <v/>
      </c>
      <c r="L105" s="119" t="str">
        <f t="shared" si="10"/>
        <v/>
      </c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AA105" s="3"/>
      <c r="AB105" s="116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24"/>
      <c r="B106" s="131"/>
      <c r="C106" s="130"/>
      <c r="D106" s="130"/>
      <c r="E106" s="14" t="s">
        <v>212</v>
      </c>
      <c r="F106" s="30"/>
      <c r="G106" s="30" t="s">
        <v>24</v>
      </c>
      <c r="H106" s="30"/>
      <c r="I106" s="14" t="s">
        <v>54</v>
      </c>
      <c r="J106" s="117"/>
      <c r="K106" s="118" t="str">
        <f t="shared" si="9"/>
        <v/>
      </c>
      <c r="L106" s="119" t="str">
        <f t="shared" si="10"/>
        <v/>
      </c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AA106" s="3"/>
      <c r="AB106" s="116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24"/>
      <c r="B107" s="131"/>
      <c r="C107" s="132"/>
      <c r="D107" s="130"/>
      <c r="E107" s="14" t="s">
        <v>32</v>
      </c>
      <c r="F107" s="30"/>
      <c r="G107" s="30" t="s">
        <v>24</v>
      </c>
      <c r="H107" s="30"/>
      <c r="I107" s="14" t="s">
        <v>162</v>
      </c>
      <c r="J107" s="117"/>
      <c r="K107" s="118" t="str">
        <f t="shared" si="9"/>
        <v/>
      </c>
      <c r="L107" s="119" t="str">
        <f t="shared" si="10"/>
        <v/>
      </c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AA107" s="3"/>
      <c r="AB107" s="116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24"/>
      <c r="B108" s="131"/>
      <c r="C108" s="130"/>
      <c r="D108" s="130"/>
      <c r="E108" s="14" t="s">
        <v>159</v>
      </c>
      <c r="F108" s="30"/>
      <c r="G108" s="30" t="s">
        <v>24</v>
      </c>
      <c r="H108" s="30"/>
      <c r="I108" s="14" t="s">
        <v>189</v>
      </c>
      <c r="J108" s="117"/>
      <c r="K108" s="118" t="str">
        <f t="shared" si="9"/>
        <v/>
      </c>
      <c r="L108" s="119" t="str">
        <f t="shared" si="10"/>
        <v/>
      </c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AA108" s="3"/>
      <c r="AB108" s="116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28"/>
      <c r="B109" s="131"/>
      <c r="C109" s="130"/>
      <c r="D109" s="130"/>
      <c r="E109" s="14" t="s">
        <v>60</v>
      </c>
      <c r="F109" s="30"/>
      <c r="G109" s="30" t="s">
        <v>24</v>
      </c>
      <c r="H109" s="30"/>
      <c r="I109" s="14" t="s">
        <v>23</v>
      </c>
      <c r="J109" s="117"/>
      <c r="K109" s="118" t="str">
        <f t="shared" si="9"/>
        <v/>
      </c>
      <c r="L109" s="119" t="str">
        <f t="shared" si="10"/>
        <v/>
      </c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AA109" s="3"/>
      <c r="AB109" s="116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58">
        <v>7.0</v>
      </c>
      <c r="B110" s="131"/>
      <c r="C110" s="132"/>
      <c r="D110" s="130"/>
      <c r="E110" s="14" t="s">
        <v>37</v>
      </c>
      <c r="F110" s="30"/>
      <c r="G110" s="30" t="s">
        <v>24</v>
      </c>
      <c r="H110" s="30"/>
      <c r="I110" s="14" t="s">
        <v>57</v>
      </c>
      <c r="J110" s="117"/>
      <c r="K110" s="118" t="str">
        <f t="shared" si="9"/>
        <v/>
      </c>
      <c r="L110" s="119" t="str">
        <f t="shared" si="10"/>
        <v/>
      </c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AA110" s="3"/>
      <c r="AB110" s="116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24"/>
      <c r="B111" s="131"/>
      <c r="C111" s="132"/>
      <c r="D111" s="130"/>
      <c r="E111" s="14" t="s">
        <v>144</v>
      </c>
      <c r="F111" s="30"/>
      <c r="G111" s="30" t="s">
        <v>24</v>
      </c>
      <c r="H111" s="30"/>
      <c r="I111" s="14" t="s">
        <v>212</v>
      </c>
      <c r="J111" s="117"/>
      <c r="K111" s="118" t="str">
        <f t="shared" si="9"/>
        <v/>
      </c>
      <c r="L111" s="119" t="str">
        <f t="shared" si="10"/>
        <v/>
      </c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AA111" s="3"/>
      <c r="AB111" s="116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24"/>
      <c r="B112" s="131"/>
      <c r="C112" s="132"/>
      <c r="D112" s="130"/>
      <c r="E112" s="14" t="s">
        <v>54</v>
      </c>
      <c r="F112" s="30"/>
      <c r="G112" s="30" t="s">
        <v>24</v>
      </c>
      <c r="H112" s="30"/>
      <c r="I112" s="14" t="s">
        <v>32</v>
      </c>
      <c r="J112" s="117"/>
      <c r="K112" s="118" t="str">
        <f t="shared" si="9"/>
        <v/>
      </c>
      <c r="L112" s="119" t="str">
        <f t="shared" si="10"/>
        <v/>
      </c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AA112" s="3"/>
      <c r="AB112" s="116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24"/>
      <c r="B113" s="131"/>
      <c r="C113" s="132"/>
      <c r="D113" s="130"/>
      <c r="E113" s="14" t="s">
        <v>162</v>
      </c>
      <c r="F113" s="30"/>
      <c r="G113" s="30" t="s">
        <v>24</v>
      </c>
      <c r="H113" s="30"/>
      <c r="I113" s="14" t="s">
        <v>159</v>
      </c>
      <c r="J113" s="117"/>
      <c r="K113" s="118" t="str">
        <f t="shared" si="9"/>
        <v/>
      </c>
      <c r="L113" s="119" t="str">
        <f t="shared" si="10"/>
        <v/>
      </c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AA113" s="3"/>
      <c r="AB113" s="116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24"/>
      <c r="B114" s="131"/>
      <c r="C114" s="130"/>
      <c r="D114" s="130"/>
      <c r="E114" s="14" t="s">
        <v>189</v>
      </c>
      <c r="F114" s="30"/>
      <c r="G114" s="30" t="s">
        <v>24</v>
      </c>
      <c r="H114" s="30"/>
      <c r="I114" s="14" t="s">
        <v>60</v>
      </c>
      <c r="J114" s="117"/>
      <c r="K114" s="118" t="str">
        <f t="shared" si="9"/>
        <v/>
      </c>
      <c r="L114" s="119" t="str">
        <f t="shared" si="10"/>
        <v/>
      </c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AA114" s="3"/>
      <c r="AB114" s="116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28"/>
      <c r="B115" s="131"/>
      <c r="C115" s="130"/>
      <c r="D115" s="130"/>
      <c r="E115" s="14">
        <v>0.0</v>
      </c>
      <c r="F115" s="30"/>
      <c r="G115" s="30" t="s">
        <v>24</v>
      </c>
      <c r="H115" s="30"/>
      <c r="I115" s="14" t="s">
        <v>23</v>
      </c>
      <c r="J115" s="117"/>
      <c r="K115" s="118" t="str">
        <f t="shared" si="9"/>
        <v/>
      </c>
      <c r="L115" s="119" t="str">
        <f t="shared" si="10"/>
        <v/>
      </c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AA115" s="3"/>
      <c r="AB115" s="116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58">
        <v>8.0</v>
      </c>
      <c r="B116" s="131"/>
      <c r="C116" s="132"/>
      <c r="D116" s="130"/>
      <c r="E116" s="14" t="s">
        <v>57</v>
      </c>
      <c r="F116" s="30"/>
      <c r="G116" s="30" t="s">
        <v>24</v>
      </c>
      <c r="H116" s="30"/>
      <c r="I116" s="14">
        <v>0.0</v>
      </c>
      <c r="J116" s="117"/>
      <c r="K116" s="118" t="str">
        <f t="shared" si="9"/>
        <v/>
      </c>
      <c r="L116" s="119" t="str">
        <f t="shared" si="10"/>
        <v/>
      </c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AA116" s="3"/>
      <c r="AB116" s="116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24"/>
      <c r="B117" s="131"/>
      <c r="C117" s="132"/>
      <c r="D117" s="130"/>
      <c r="E117" s="14" t="s">
        <v>212</v>
      </c>
      <c r="F117" s="30"/>
      <c r="G117" s="30" t="s">
        <v>24</v>
      </c>
      <c r="H117" s="30"/>
      <c r="I117" s="14" t="s">
        <v>37</v>
      </c>
      <c r="J117" s="117"/>
      <c r="K117" s="118" t="str">
        <f t="shared" si="9"/>
        <v/>
      </c>
      <c r="L117" s="119" t="str">
        <f t="shared" si="10"/>
        <v/>
      </c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AA117" s="3"/>
      <c r="AB117" s="116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24"/>
      <c r="B118" s="131"/>
      <c r="C118" s="132"/>
      <c r="D118" s="130"/>
      <c r="E118" s="14" t="s">
        <v>32</v>
      </c>
      <c r="F118" s="30"/>
      <c r="G118" s="30" t="s">
        <v>24</v>
      </c>
      <c r="H118" s="30"/>
      <c r="I118" s="14" t="s">
        <v>144</v>
      </c>
      <c r="J118" s="117"/>
      <c r="K118" s="118" t="str">
        <f t="shared" si="9"/>
        <v/>
      </c>
      <c r="L118" s="119" t="str">
        <f t="shared" si="10"/>
        <v/>
      </c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AA118" s="3"/>
      <c r="AB118" s="116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24"/>
      <c r="B119" s="131"/>
      <c r="C119" s="132"/>
      <c r="D119" s="130"/>
      <c r="E119" s="14" t="s">
        <v>159</v>
      </c>
      <c r="F119" s="30"/>
      <c r="G119" s="30" t="s">
        <v>24</v>
      </c>
      <c r="H119" s="30"/>
      <c r="I119" s="14" t="s">
        <v>54</v>
      </c>
      <c r="J119" s="117"/>
      <c r="K119" s="118" t="str">
        <f t="shared" si="9"/>
        <v/>
      </c>
      <c r="L119" s="119" t="str">
        <f t="shared" si="10"/>
        <v/>
      </c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AA119" s="3"/>
      <c r="AB119" s="116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24"/>
      <c r="B120" s="131"/>
      <c r="C120" s="130"/>
      <c r="D120" s="130"/>
      <c r="E120" s="14" t="s">
        <v>60</v>
      </c>
      <c r="F120" s="30"/>
      <c r="G120" s="30" t="s">
        <v>24</v>
      </c>
      <c r="H120" s="30"/>
      <c r="I120" s="14" t="s">
        <v>162</v>
      </c>
      <c r="J120" s="117"/>
      <c r="K120" s="118" t="str">
        <f t="shared" si="9"/>
        <v/>
      </c>
      <c r="L120" s="119" t="str">
        <f t="shared" si="10"/>
        <v/>
      </c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AA120" s="3"/>
      <c r="AB120" s="116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28"/>
      <c r="B121" s="131"/>
      <c r="C121" s="130"/>
      <c r="D121" s="130"/>
      <c r="E121" s="14" t="s">
        <v>23</v>
      </c>
      <c r="F121" s="30"/>
      <c r="G121" s="30" t="s">
        <v>24</v>
      </c>
      <c r="H121" s="30"/>
      <c r="I121" s="14" t="s">
        <v>189</v>
      </c>
      <c r="J121" s="117"/>
      <c r="K121" s="118" t="str">
        <f t="shared" si="9"/>
        <v/>
      </c>
      <c r="L121" s="119" t="str">
        <f t="shared" si="10"/>
        <v/>
      </c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AA121" s="3"/>
      <c r="AB121" s="116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58">
        <v>9.0</v>
      </c>
      <c r="B122" s="131"/>
      <c r="C122" s="132"/>
      <c r="D122" s="130"/>
      <c r="E122" s="14" t="s">
        <v>57</v>
      </c>
      <c r="F122" s="30"/>
      <c r="G122" s="30" t="s">
        <v>24</v>
      </c>
      <c r="H122" s="30"/>
      <c r="I122" s="14" t="s">
        <v>212</v>
      </c>
      <c r="J122" s="117"/>
      <c r="K122" s="118" t="str">
        <f t="shared" si="9"/>
        <v/>
      </c>
      <c r="L122" s="119" t="str">
        <f t="shared" si="10"/>
        <v/>
      </c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AA122" s="3"/>
      <c r="AB122" s="116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24"/>
      <c r="B123" s="131"/>
      <c r="C123" s="132"/>
      <c r="D123" s="130"/>
      <c r="E123" s="14" t="s">
        <v>37</v>
      </c>
      <c r="F123" s="30"/>
      <c r="G123" s="30" t="s">
        <v>24</v>
      </c>
      <c r="H123" s="30"/>
      <c r="I123" s="14" t="s">
        <v>32</v>
      </c>
      <c r="J123" s="117"/>
      <c r="K123" s="118" t="str">
        <f t="shared" si="9"/>
        <v/>
      </c>
      <c r="L123" s="119" t="str">
        <f t="shared" si="10"/>
        <v/>
      </c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AA123" s="3"/>
      <c r="AB123" s="116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24"/>
      <c r="B124" s="131"/>
      <c r="C124" s="132"/>
      <c r="D124" s="130"/>
      <c r="E124" s="14" t="s">
        <v>144</v>
      </c>
      <c r="F124" s="30"/>
      <c r="G124" s="30" t="s">
        <v>24</v>
      </c>
      <c r="H124" s="30"/>
      <c r="I124" s="14" t="s">
        <v>159</v>
      </c>
      <c r="J124" s="117"/>
      <c r="K124" s="118" t="str">
        <f t="shared" si="9"/>
        <v/>
      </c>
      <c r="L124" s="119" t="str">
        <f t="shared" si="10"/>
        <v/>
      </c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AA124" s="3"/>
      <c r="AB124" s="116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24"/>
      <c r="B125" s="131"/>
      <c r="C125" s="132"/>
      <c r="D125" s="130"/>
      <c r="E125" s="14" t="s">
        <v>54</v>
      </c>
      <c r="F125" s="30"/>
      <c r="G125" s="30" t="s">
        <v>24</v>
      </c>
      <c r="H125" s="30"/>
      <c r="I125" s="14" t="s">
        <v>60</v>
      </c>
      <c r="J125" s="117"/>
      <c r="K125" s="118" t="str">
        <f t="shared" si="9"/>
        <v/>
      </c>
      <c r="L125" s="119" t="str">
        <f t="shared" si="10"/>
        <v/>
      </c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AA125" s="3"/>
      <c r="AB125" s="116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24"/>
      <c r="B126" s="131"/>
      <c r="C126" s="130"/>
      <c r="D126" s="130"/>
      <c r="E126" s="14" t="s">
        <v>162</v>
      </c>
      <c r="F126" s="30"/>
      <c r="G126" s="30" t="s">
        <v>24</v>
      </c>
      <c r="H126" s="30"/>
      <c r="I126" s="14" t="s">
        <v>23</v>
      </c>
      <c r="J126" s="117"/>
      <c r="K126" s="118" t="str">
        <f t="shared" si="9"/>
        <v/>
      </c>
      <c r="L126" s="119" t="str">
        <f t="shared" si="10"/>
        <v/>
      </c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AA126" s="3"/>
      <c r="AB126" s="116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28"/>
      <c r="B127" s="131"/>
      <c r="C127" s="130"/>
      <c r="D127" s="130"/>
      <c r="E127" s="14">
        <v>0.0</v>
      </c>
      <c r="F127" s="30"/>
      <c r="G127" s="30" t="s">
        <v>24</v>
      </c>
      <c r="H127" s="30"/>
      <c r="I127" s="14" t="s">
        <v>189</v>
      </c>
      <c r="J127" s="117"/>
      <c r="K127" s="118" t="str">
        <f t="shared" si="9"/>
        <v/>
      </c>
      <c r="L127" s="119" t="str">
        <f t="shared" si="10"/>
        <v/>
      </c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AA127" s="3"/>
      <c r="AB127" s="116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58">
        <v>10.0</v>
      </c>
      <c r="B128" s="131"/>
      <c r="C128" s="132"/>
      <c r="D128" s="130"/>
      <c r="E128" s="14">
        <v>0.0</v>
      </c>
      <c r="F128" s="30"/>
      <c r="G128" s="30" t="s">
        <v>24</v>
      </c>
      <c r="H128" s="30"/>
      <c r="I128" s="14" t="s">
        <v>212</v>
      </c>
      <c r="J128" s="117"/>
      <c r="K128" s="118" t="str">
        <f t="shared" si="9"/>
        <v/>
      </c>
      <c r="L128" s="119" t="str">
        <f t="shared" si="10"/>
        <v/>
      </c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AA128" s="3"/>
      <c r="AB128" s="116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24"/>
      <c r="B129" s="131"/>
      <c r="C129" s="132"/>
      <c r="D129" s="130"/>
      <c r="E129" s="14" t="s">
        <v>32</v>
      </c>
      <c r="F129" s="30"/>
      <c r="G129" s="30" t="s">
        <v>24</v>
      </c>
      <c r="H129" s="30"/>
      <c r="I129" s="14" t="s">
        <v>57</v>
      </c>
      <c r="J129" s="117"/>
      <c r="K129" s="118" t="str">
        <f t="shared" si="9"/>
        <v/>
      </c>
      <c r="L129" s="119" t="str">
        <f t="shared" si="10"/>
        <v/>
      </c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AA129" s="3"/>
      <c r="AB129" s="116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24"/>
      <c r="B130" s="131"/>
      <c r="C130" s="132"/>
      <c r="D130" s="130"/>
      <c r="E130" s="14" t="s">
        <v>159</v>
      </c>
      <c r="F130" s="30"/>
      <c r="G130" s="30" t="s">
        <v>24</v>
      </c>
      <c r="H130" s="30"/>
      <c r="I130" s="14" t="s">
        <v>37</v>
      </c>
      <c r="J130" s="117"/>
      <c r="K130" s="118" t="str">
        <f t="shared" si="9"/>
        <v/>
      </c>
      <c r="L130" s="119" t="str">
        <f t="shared" si="10"/>
        <v/>
      </c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AA130" s="3"/>
      <c r="AB130" s="116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24"/>
      <c r="B131" s="131"/>
      <c r="C131" s="132"/>
      <c r="D131" s="130"/>
      <c r="E131" s="14" t="s">
        <v>60</v>
      </c>
      <c r="F131" s="30"/>
      <c r="G131" s="30" t="s">
        <v>24</v>
      </c>
      <c r="H131" s="30"/>
      <c r="I131" s="14" t="s">
        <v>144</v>
      </c>
      <c r="J131" s="117"/>
      <c r="K131" s="118" t="str">
        <f t="shared" si="9"/>
        <v/>
      </c>
      <c r="L131" s="119" t="str">
        <f t="shared" si="10"/>
        <v/>
      </c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AA131" s="3"/>
      <c r="AB131" s="116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24"/>
      <c r="B132" s="131"/>
      <c r="C132" s="130"/>
      <c r="D132" s="130"/>
      <c r="E132" s="14" t="s">
        <v>23</v>
      </c>
      <c r="F132" s="30"/>
      <c r="G132" s="30" t="s">
        <v>24</v>
      </c>
      <c r="H132" s="30"/>
      <c r="I132" s="14" t="s">
        <v>54</v>
      </c>
      <c r="J132" s="117"/>
      <c r="K132" s="118" t="str">
        <f t="shared" si="9"/>
        <v/>
      </c>
      <c r="L132" s="119" t="str">
        <f t="shared" si="10"/>
        <v/>
      </c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AA132" s="3"/>
      <c r="AB132" s="116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28"/>
      <c r="B133" s="131"/>
      <c r="C133" s="130"/>
      <c r="D133" s="130"/>
      <c r="E133" s="14" t="s">
        <v>189</v>
      </c>
      <c r="F133" s="30"/>
      <c r="G133" s="30" t="s">
        <v>24</v>
      </c>
      <c r="H133" s="30"/>
      <c r="I133" s="14" t="s">
        <v>162</v>
      </c>
      <c r="J133" s="117"/>
      <c r="K133" s="118" t="str">
        <f t="shared" si="9"/>
        <v/>
      </c>
      <c r="L133" s="119" t="str">
        <f t="shared" si="10"/>
        <v/>
      </c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AA133" s="3"/>
      <c r="AB133" s="116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58">
        <v>11.0</v>
      </c>
      <c r="B134" s="131"/>
      <c r="C134" s="132"/>
      <c r="D134" s="130"/>
      <c r="E134" s="14" t="s">
        <v>212</v>
      </c>
      <c r="F134" s="13"/>
      <c r="G134" s="30" t="s">
        <v>24</v>
      </c>
      <c r="H134" s="13"/>
      <c r="I134" s="14" t="s">
        <v>32</v>
      </c>
      <c r="J134" s="117"/>
      <c r="K134" s="118" t="str">
        <f t="shared" si="9"/>
        <v/>
      </c>
      <c r="L134" s="119" t="str">
        <f t="shared" si="10"/>
        <v/>
      </c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AA134" s="3"/>
      <c r="AB134" s="116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24"/>
      <c r="B135" s="131"/>
      <c r="C135" s="132"/>
      <c r="D135" s="130"/>
      <c r="E135" s="14" t="s">
        <v>57</v>
      </c>
      <c r="F135" s="30"/>
      <c r="G135" s="30" t="s">
        <v>24</v>
      </c>
      <c r="H135" s="30"/>
      <c r="I135" s="14" t="s">
        <v>159</v>
      </c>
      <c r="J135" s="117"/>
      <c r="K135" s="118" t="str">
        <f t="shared" si="9"/>
        <v/>
      </c>
      <c r="L135" s="119" t="str">
        <f t="shared" si="10"/>
        <v/>
      </c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AA135" s="3"/>
      <c r="AB135" s="116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24"/>
      <c r="B136" s="131"/>
      <c r="C136" s="132"/>
      <c r="D136" s="130"/>
      <c r="E136" s="14" t="s">
        <v>37</v>
      </c>
      <c r="F136" s="30"/>
      <c r="G136" s="30" t="s">
        <v>24</v>
      </c>
      <c r="H136" s="30"/>
      <c r="I136" s="14" t="s">
        <v>60</v>
      </c>
      <c r="J136" s="117"/>
      <c r="K136" s="118" t="str">
        <f t="shared" si="9"/>
        <v/>
      </c>
      <c r="L136" s="119" t="str">
        <f t="shared" si="10"/>
        <v/>
      </c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AA136" s="3"/>
      <c r="AB136" s="116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24"/>
      <c r="B137" s="131"/>
      <c r="C137" s="132"/>
      <c r="D137" s="130"/>
      <c r="E137" s="14" t="s">
        <v>144</v>
      </c>
      <c r="F137" s="30"/>
      <c r="G137" s="30" t="s">
        <v>24</v>
      </c>
      <c r="H137" s="30"/>
      <c r="I137" s="14" t="s">
        <v>23</v>
      </c>
      <c r="J137" s="117"/>
      <c r="K137" s="118" t="str">
        <f t="shared" si="9"/>
        <v/>
      </c>
      <c r="L137" s="119" t="str">
        <f t="shared" si="10"/>
        <v/>
      </c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AA137" s="3"/>
      <c r="AB137" s="116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24"/>
      <c r="B138" s="131"/>
      <c r="C138" s="130"/>
      <c r="D138" s="130"/>
      <c r="E138" s="14" t="s">
        <v>54</v>
      </c>
      <c r="F138" s="13"/>
      <c r="G138" s="30" t="s">
        <v>24</v>
      </c>
      <c r="H138" s="13"/>
      <c r="I138" s="14" t="s">
        <v>189</v>
      </c>
      <c r="J138" s="117"/>
      <c r="K138" s="118" t="str">
        <f t="shared" si="9"/>
        <v/>
      </c>
      <c r="L138" s="119" t="str">
        <f t="shared" si="10"/>
        <v/>
      </c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AA138" s="3"/>
      <c r="AB138" s="116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28"/>
      <c r="B139" s="131"/>
      <c r="C139" s="130"/>
      <c r="D139" s="130"/>
      <c r="E139" s="14" t="s">
        <v>162</v>
      </c>
      <c r="F139" s="30"/>
      <c r="G139" s="30" t="s">
        <v>24</v>
      </c>
      <c r="H139" s="30"/>
      <c r="I139" s="14">
        <v>0.0</v>
      </c>
      <c r="J139" s="117"/>
      <c r="K139" s="118" t="str">
        <f t="shared" si="9"/>
        <v/>
      </c>
      <c r="L139" s="119" t="str">
        <f t="shared" si="10"/>
        <v/>
      </c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AA139" s="3"/>
      <c r="AB139" s="116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38"/>
      <c r="B140" s="139"/>
      <c r="C140" s="140"/>
      <c r="D140" s="140"/>
      <c r="E140" s="141"/>
      <c r="F140" s="38"/>
      <c r="G140" s="38"/>
      <c r="H140" s="38"/>
      <c r="I140" s="141"/>
      <c r="J140" s="117"/>
      <c r="K140" s="118"/>
      <c r="L140" s="119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AA140" s="3"/>
      <c r="AB140" s="116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34"/>
      <c r="B141" s="135"/>
      <c r="C141" s="135"/>
      <c r="D141" s="135"/>
      <c r="E141" s="1"/>
      <c r="F141" s="135"/>
      <c r="G141" s="135"/>
      <c r="I141" s="116"/>
      <c r="AA141" s="3"/>
      <c r="AB141" s="116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134"/>
      <c r="B142" s="135"/>
      <c r="C142" s="135"/>
      <c r="D142" s="135"/>
      <c r="E142" s="1"/>
      <c r="F142" s="135"/>
      <c r="G142" s="135"/>
      <c r="I142" s="116"/>
      <c r="AA142" s="3"/>
      <c r="AB142" s="116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134"/>
      <c r="B143" s="135"/>
      <c r="C143" s="135"/>
      <c r="D143" s="135"/>
      <c r="E143" s="1"/>
      <c r="F143" s="135"/>
      <c r="G143" s="135"/>
      <c r="I143" s="116"/>
      <c r="AA143" s="3"/>
      <c r="AB143" s="116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142" t="s">
        <v>214</v>
      </c>
      <c r="I144" s="116"/>
      <c r="AA144" s="3"/>
      <c r="AB144" s="116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57" t="s">
        <v>1</v>
      </c>
      <c r="B145" s="5" t="s">
        <v>2</v>
      </c>
      <c r="C145" s="5" t="s">
        <v>3</v>
      </c>
      <c r="D145" s="5" t="s">
        <v>4</v>
      </c>
      <c r="E145" s="5" t="s">
        <v>5</v>
      </c>
      <c r="F145" s="6" t="s">
        <v>6</v>
      </c>
      <c r="G145" s="7"/>
      <c r="H145" s="8"/>
      <c r="I145" s="5" t="s">
        <v>7</v>
      </c>
      <c r="J145" s="9" t="s">
        <v>8</v>
      </c>
      <c r="K145" s="9" t="s">
        <v>9</v>
      </c>
      <c r="L145" s="9" t="s">
        <v>10</v>
      </c>
      <c r="M145" s="9"/>
      <c r="N145" s="9" t="s">
        <v>11</v>
      </c>
      <c r="O145" s="9" t="s">
        <v>12</v>
      </c>
      <c r="P145" s="9" t="s">
        <v>13</v>
      </c>
      <c r="Q145" s="9" t="s">
        <v>14</v>
      </c>
      <c r="R145" s="9"/>
      <c r="S145" s="9" t="s">
        <v>16</v>
      </c>
      <c r="T145" s="9" t="s">
        <v>196</v>
      </c>
      <c r="U145" s="9" t="s">
        <v>197</v>
      </c>
      <c r="V145" s="9" t="s">
        <v>198</v>
      </c>
      <c r="W145" s="3"/>
      <c r="X145" s="103" t="s">
        <v>20</v>
      </c>
      <c r="Y145" s="8"/>
      <c r="Z145" s="3"/>
      <c r="AA145" s="5" t="s">
        <v>11</v>
      </c>
      <c r="AB145" s="5" t="s">
        <v>12</v>
      </c>
      <c r="AC145" s="5" t="s">
        <v>13</v>
      </c>
      <c r="AD145" s="5" t="s">
        <v>14</v>
      </c>
      <c r="AE145" s="5" t="s">
        <v>15</v>
      </c>
      <c r="AF145" s="5" t="s">
        <v>16</v>
      </c>
      <c r="AG145" s="5" t="s">
        <v>196</v>
      </c>
      <c r="AH145" s="5" t="s">
        <v>197</v>
      </c>
      <c r="AI145" s="5" t="s">
        <v>198</v>
      </c>
      <c r="AJ145" s="9"/>
    </row>
    <row r="146" ht="15.75" customHeight="1">
      <c r="A146" s="58">
        <v>1.0</v>
      </c>
      <c r="B146" s="11">
        <v>45946.0</v>
      </c>
      <c r="C146" s="12" t="s">
        <v>30</v>
      </c>
      <c r="D146" s="12" t="s">
        <v>22</v>
      </c>
      <c r="E146" s="14" t="s">
        <v>31</v>
      </c>
      <c r="F146" s="13">
        <v>2.0</v>
      </c>
      <c r="G146" s="30" t="s">
        <v>24</v>
      </c>
      <c r="H146" s="13">
        <v>1.0</v>
      </c>
      <c r="I146" s="14" t="s">
        <v>215</v>
      </c>
      <c r="J146" s="117"/>
      <c r="K146" s="118">
        <f t="shared" ref="K146:K211" si="17">IFS(F146=H146+2,3,F146=H146-2,0,F146=H146+1,2,F146=H146-1,1,F146="","")</f>
        <v>2</v>
      </c>
      <c r="L146" s="119">
        <f t="shared" ref="L146:L211" si="18">IFS(H146=F146+2,3,H146=F146-2,0,H146=F146+1,2,H146=F146-1,1,H146="","")</f>
        <v>1</v>
      </c>
      <c r="M146" s="117"/>
      <c r="N146" s="119">
        <v>1.0</v>
      </c>
      <c r="O146" s="120" t="s">
        <v>31</v>
      </c>
      <c r="P146" s="119">
        <f t="shared" ref="P146:P156" si="19">SUMIF(E$146:E$211,O146,K$146:K$211)+SUMIF(I$146:I$211,O146,L$146:L$211)</f>
        <v>4</v>
      </c>
      <c r="Q146" s="121">
        <f t="shared" ref="Q146:Q156" si="20">COUNTIFS(E$146:E$211,O146,K$146:K$211,2)+COUNTIFS(I$146:I$211,O146,L$146:L$211,2)+COUNTIFS(E$146:E$211,O146,K$146:K$211,3)+COUNTIFS(I$146:I$211,O146,L$146:L$211,3)</f>
        <v>2</v>
      </c>
      <c r="R146" s="122"/>
      <c r="S146" s="122">
        <f t="shared" ref="S146:S156" si="21">COUNTIFS(E$146:E$211,O146,K$146:K$211,1)+COUNTIFS(I$146:I$211,O146,L$146:L$211,1)+COUNTIFS(E$146:E$211,O146,K$146:K$211,0)+COUNTIFS(I$146:I$211,O146,L$146:L$211,0)</f>
        <v>1</v>
      </c>
      <c r="T146" s="119">
        <f t="shared" ref="T146:T156" si="22">SUMIF(E$146:E$211,O146,F$146:F$211)+SUMIF(I$146:I$211,O146,H$146:H$211)</f>
        <v>4</v>
      </c>
      <c r="U146" s="122">
        <f t="shared" ref="U146:U156" si="23">SUMIF(E$146:E$211,O146,H$146:H$211)+SUMIF(I$146:I$211,O146,F$146:F$211)</f>
        <v>4</v>
      </c>
      <c r="V146" s="119">
        <f t="shared" ref="V146:V156" si="24">T146-U146</f>
        <v>0</v>
      </c>
      <c r="X146" s="107" t="s">
        <v>26</v>
      </c>
      <c r="Y146" s="107" t="s">
        <v>13</v>
      </c>
      <c r="AA146" s="41" t="s">
        <v>29</v>
      </c>
      <c r="AB146" s="63" t="str">
        <f t="array" ref="AB146:AI156">SORT(O146:V156,2,FALSE,8,FALSE)</f>
        <v>Contabilidade</v>
      </c>
      <c r="AC146" s="22">
        <v>8.0</v>
      </c>
      <c r="AD146" s="22">
        <v>3.0</v>
      </c>
      <c r="AE146" s="23"/>
      <c r="AF146" s="23">
        <v>0.0</v>
      </c>
      <c r="AG146" s="22">
        <v>6.0</v>
      </c>
      <c r="AH146" s="23">
        <v>1.0</v>
      </c>
      <c r="AI146" s="22">
        <v>5.0</v>
      </c>
      <c r="AJ146" s="17"/>
    </row>
    <row r="147" ht="15.75" customHeight="1">
      <c r="A147" s="24"/>
      <c r="B147" s="11">
        <v>45946.0</v>
      </c>
      <c r="C147" s="12" t="s">
        <v>30</v>
      </c>
      <c r="D147" s="12" t="s">
        <v>22</v>
      </c>
      <c r="E147" s="14" t="s">
        <v>115</v>
      </c>
      <c r="F147" s="13">
        <v>2.0</v>
      </c>
      <c r="G147" s="30" t="s">
        <v>24</v>
      </c>
      <c r="H147" s="13">
        <v>0.0</v>
      </c>
      <c r="I147" s="14" t="s">
        <v>216</v>
      </c>
      <c r="J147" s="117"/>
      <c r="K147" s="118">
        <f t="shared" si="17"/>
        <v>3</v>
      </c>
      <c r="L147" s="119">
        <f t="shared" si="18"/>
        <v>0</v>
      </c>
      <c r="M147" s="117"/>
      <c r="N147" s="119">
        <v>2.0</v>
      </c>
      <c r="O147" s="120" t="s">
        <v>56</v>
      </c>
      <c r="P147" s="119">
        <f t="shared" si="19"/>
        <v>3</v>
      </c>
      <c r="Q147" s="121">
        <f t="shared" si="20"/>
        <v>1</v>
      </c>
      <c r="R147" s="122"/>
      <c r="S147" s="122">
        <f t="shared" si="21"/>
        <v>1</v>
      </c>
      <c r="T147" s="119">
        <f t="shared" si="22"/>
        <v>2</v>
      </c>
      <c r="U147" s="122">
        <f t="shared" si="23"/>
        <v>2</v>
      </c>
      <c r="V147" s="119">
        <f t="shared" si="24"/>
        <v>0</v>
      </c>
      <c r="X147" s="108" t="s">
        <v>33</v>
      </c>
      <c r="Y147" s="108">
        <v>3.0</v>
      </c>
      <c r="AA147" s="95" t="s">
        <v>112</v>
      </c>
      <c r="AB147" s="63" t="s">
        <v>115</v>
      </c>
      <c r="AC147" s="22">
        <v>7.0</v>
      </c>
      <c r="AD147" s="22">
        <v>2.0</v>
      </c>
      <c r="AE147" s="23"/>
      <c r="AF147" s="23">
        <v>1.0</v>
      </c>
      <c r="AG147" s="22">
        <v>5.0</v>
      </c>
      <c r="AH147" s="23">
        <v>2.0</v>
      </c>
      <c r="AI147" s="22">
        <v>3.0</v>
      </c>
      <c r="AJ147" s="17"/>
    </row>
    <row r="148" ht="15.75" customHeight="1">
      <c r="A148" s="24"/>
      <c r="B148" s="11">
        <v>45946.0</v>
      </c>
      <c r="C148" s="12" t="s">
        <v>30</v>
      </c>
      <c r="D148" s="12" t="s">
        <v>22</v>
      </c>
      <c r="E148" s="14" t="s">
        <v>64</v>
      </c>
      <c r="F148" s="13">
        <v>0.0</v>
      </c>
      <c r="G148" s="30" t="s">
        <v>24</v>
      </c>
      <c r="H148" s="13">
        <v>2.0</v>
      </c>
      <c r="I148" s="14" t="s">
        <v>108</v>
      </c>
      <c r="J148" s="117"/>
      <c r="K148" s="118">
        <f t="shared" si="17"/>
        <v>0</v>
      </c>
      <c r="L148" s="119">
        <f t="shared" si="18"/>
        <v>3</v>
      </c>
      <c r="M148" s="117"/>
      <c r="N148" s="119">
        <v>3.0</v>
      </c>
      <c r="O148" s="120" t="s">
        <v>215</v>
      </c>
      <c r="P148" s="119">
        <f t="shared" si="19"/>
        <v>3</v>
      </c>
      <c r="Q148" s="121">
        <f t="shared" si="20"/>
        <v>1</v>
      </c>
      <c r="R148" s="122"/>
      <c r="S148" s="122">
        <f t="shared" si="21"/>
        <v>1</v>
      </c>
      <c r="T148" s="119">
        <f t="shared" si="22"/>
        <v>3</v>
      </c>
      <c r="U148" s="122">
        <f t="shared" si="23"/>
        <v>3</v>
      </c>
      <c r="V148" s="119">
        <f t="shared" si="24"/>
        <v>0</v>
      </c>
      <c r="X148" s="108" t="s">
        <v>39</v>
      </c>
      <c r="Y148" s="108">
        <v>0.0</v>
      </c>
      <c r="AA148" s="21">
        <v>3.0</v>
      </c>
      <c r="AB148" s="63" t="s">
        <v>61</v>
      </c>
      <c r="AC148" s="22">
        <v>7.0</v>
      </c>
      <c r="AD148" s="22">
        <v>2.0</v>
      </c>
      <c r="AE148" s="23"/>
      <c r="AF148" s="23">
        <v>1.0</v>
      </c>
      <c r="AG148" s="22">
        <v>5.0</v>
      </c>
      <c r="AH148" s="23">
        <v>2.0</v>
      </c>
      <c r="AI148" s="22">
        <v>3.0</v>
      </c>
      <c r="AJ148" s="17"/>
    </row>
    <row r="149" ht="15.75" customHeight="1">
      <c r="A149" s="24"/>
      <c r="B149" s="11">
        <v>45946.0</v>
      </c>
      <c r="C149" s="12" t="s">
        <v>35</v>
      </c>
      <c r="D149" s="12" t="s">
        <v>22</v>
      </c>
      <c r="E149" s="14" t="s">
        <v>123</v>
      </c>
      <c r="F149" s="13">
        <v>2.0</v>
      </c>
      <c r="G149" s="30" t="s">
        <v>24</v>
      </c>
      <c r="H149" s="13">
        <v>1.0</v>
      </c>
      <c r="I149" s="14" t="s">
        <v>62</v>
      </c>
      <c r="J149" s="117"/>
      <c r="K149" s="118">
        <f t="shared" si="17"/>
        <v>2</v>
      </c>
      <c r="L149" s="119">
        <f t="shared" si="18"/>
        <v>1</v>
      </c>
      <c r="M149" s="117"/>
      <c r="N149" s="119">
        <v>4.0</v>
      </c>
      <c r="O149" s="120" t="s">
        <v>45</v>
      </c>
      <c r="P149" s="119">
        <f t="shared" si="19"/>
        <v>5</v>
      </c>
      <c r="Q149" s="121">
        <f t="shared" si="20"/>
        <v>2</v>
      </c>
      <c r="R149" s="122"/>
      <c r="S149" s="122">
        <f t="shared" si="21"/>
        <v>0</v>
      </c>
      <c r="T149" s="119">
        <f t="shared" si="22"/>
        <v>4</v>
      </c>
      <c r="U149" s="122">
        <f t="shared" si="23"/>
        <v>1</v>
      </c>
      <c r="V149" s="119">
        <f t="shared" si="24"/>
        <v>3</v>
      </c>
      <c r="AA149" s="21">
        <v>4.0</v>
      </c>
      <c r="AB149" s="63" t="s">
        <v>45</v>
      </c>
      <c r="AC149" s="22">
        <v>5.0</v>
      </c>
      <c r="AD149" s="22">
        <v>2.0</v>
      </c>
      <c r="AE149" s="23"/>
      <c r="AF149" s="23">
        <v>0.0</v>
      </c>
      <c r="AG149" s="22">
        <v>4.0</v>
      </c>
      <c r="AH149" s="23">
        <v>1.0</v>
      </c>
      <c r="AI149" s="22">
        <v>3.0</v>
      </c>
      <c r="AJ149" s="17"/>
    </row>
    <row r="150" ht="15.75" customHeight="1">
      <c r="A150" s="24"/>
      <c r="B150" s="11">
        <v>45943.0</v>
      </c>
      <c r="C150" s="12" t="s">
        <v>30</v>
      </c>
      <c r="D150" s="12" t="s">
        <v>22</v>
      </c>
      <c r="E150" s="14" t="s">
        <v>45</v>
      </c>
      <c r="F150" s="13">
        <v>2.0</v>
      </c>
      <c r="G150" s="30" t="s">
        <v>24</v>
      </c>
      <c r="H150" s="13">
        <v>1.0</v>
      </c>
      <c r="I150" s="14" t="s">
        <v>61</v>
      </c>
      <c r="J150" s="117"/>
      <c r="K150" s="118">
        <f t="shared" si="17"/>
        <v>2</v>
      </c>
      <c r="L150" s="119">
        <f t="shared" si="18"/>
        <v>1</v>
      </c>
      <c r="M150" s="117"/>
      <c r="N150" s="119">
        <v>5.0</v>
      </c>
      <c r="O150" s="120" t="s">
        <v>216</v>
      </c>
      <c r="P150" s="119">
        <f t="shared" si="19"/>
        <v>2</v>
      </c>
      <c r="Q150" s="121">
        <f t="shared" si="20"/>
        <v>0</v>
      </c>
      <c r="R150" s="122"/>
      <c r="S150" s="122">
        <f t="shared" si="21"/>
        <v>3</v>
      </c>
      <c r="T150" s="119">
        <f t="shared" si="22"/>
        <v>2</v>
      </c>
      <c r="U150" s="122">
        <f t="shared" si="23"/>
        <v>6</v>
      </c>
      <c r="V150" s="119">
        <f t="shared" si="24"/>
        <v>-4</v>
      </c>
      <c r="AA150" s="21">
        <v>5.0</v>
      </c>
      <c r="AB150" s="63" t="s">
        <v>31</v>
      </c>
      <c r="AC150" s="22">
        <v>4.0</v>
      </c>
      <c r="AD150" s="22">
        <v>2.0</v>
      </c>
      <c r="AE150" s="23"/>
      <c r="AF150" s="23">
        <v>1.0</v>
      </c>
      <c r="AG150" s="22">
        <v>4.0</v>
      </c>
      <c r="AH150" s="23">
        <v>4.0</v>
      </c>
      <c r="AI150" s="22">
        <v>0.0</v>
      </c>
      <c r="AJ150" s="17"/>
    </row>
    <row r="151" ht="15.75" customHeight="1">
      <c r="A151" s="28"/>
      <c r="B151" s="131"/>
      <c r="C151" s="132"/>
      <c r="D151" s="130"/>
      <c r="E151" s="14">
        <v>0.0</v>
      </c>
      <c r="F151" s="30"/>
      <c r="G151" s="30" t="s">
        <v>24</v>
      </c>
      <c r="H151" s="30"/>
      <c r="I151" s="14" t="s">
        <v>56</v>
      </c>
      <c r="J151" s="117"/>
      <c r="K151" s="118" t="str">
        <f t="shared" si="17"/>
        <v/>
      </c>
      <c r="L151" s="119" t="str">
        <f t="shared" si="18"/>
        <v/>
      </c>
      <c r="M151" s="117"/>
      <c r="N151" s="119">
        <v>6.0</v>
      </c>
      <c r="O151" s="120" t="s">
        <v>123</v>
      </c>
      <c r="P151" s="119">
        <f t="shared" si="19"/>
        <v>2</v>
      </c>
      <c r="Q151" s="121">
        <f t="shared" si="20"/>
        <v>1</v>
      </c>
      <c r="R151" s="122"/>
      <c r="S151" s="122">
        <f t="shared" si="21"/>
        <v>2</v>
      </c>
      <c r="T151" s="119">
        <f t="shared" si="22"/>
        <v>2</v>
      </c>
      <c r="U151" s="122">
        <f t="shared" si="23"/>
        <v>5</v>
      </c>
      <c r="V151" s="119">
        <f t="shared" si="24"/>
        <v>-3</v>
      </c>
      <c r="AA151" s="21">
        <v>6.0</v>
      </c>
      <c r="AB151" s="63" t="s">
        <v>62</v>
      </c>
      <c r="AC151" s="22">
        <v>4.0</v>
      </c>
      <c r="AD151" s="22">
        <v>1.0</v>
      </c>
      <c r="AE151" s="23"/>
      <c r="AF151" s="23">
        <v>2.0</v>
      </c>
      <c r="AG151" s="22">
        <v>3.0</v>
      </c>
      <c r="AH151" s="23">
        <v>4.0</v>
      </c>
      <c r="AI151" s="22">
        <v>-1.0</v>
      </c>
      <c r="AJ151" s="17"/>
    </row>
    <row r="152" ht="15.75" customHeight="1">
      <c r="A152" s="58">
        <v>2.0</v>
      </c>
      <c r="B152" s="131"/>
      <c r="C152" s="132"/>
      <c r="D152" s="130"/>
      <c r="E152" s="14" t="s">
        <v>215</v>
      </c>
      <c r="F152" s="30"/>
      <c r="G152" s="30" t="s">
        <v>24</v>
      </c>
      <c r="H152" s="30"/>
      <c r="I152" s="14">
        <v>0.0</v>
      </c>
      <c r="J152" s="117"/>
      <c r="K152" s="118" t="str">
        <f t="shared" si="17"/>
        <v/>
      </c>
      <c r="L152" s="119" t="str">
        <f t="shared" si="18"/>
        <v/>
      </c>
      <c r="M152" s="117"/>
      <c r="N152" s="119">
        <v>7.0</v>
      </c>
      <c r="O152" s="120" t="s">
        <v>108</v>
      </c>
      <c r="P152" s="119">
        <f t="shared" si="19"/>
        <v>8</v>
      </c>
      <c r="Q152" s="121">
        <f t="shared" si="20"/>
        <v>3</v>
      </c>
      <c r="R152" s="122"/>
      <c r="S152" s="122">
        <f t="shared" si="21"/>
        <v>0</v>
      </c>
      <c r="T152" s="119">
        <f t="shared" si="22"/>
        <v>6</v>
      </c>
      <c r="U152" s="122">
        <f t="shared" si="23"/>
        <v>1</v>
      </c>
      <c r="V152" s="119">
        <f t="shared" si="24"/>
        <v>5</v>
      </c>
      <c r="AA152" s="21">
        <v>7.0</v>
      </c>
      <c r="AB152" s="63" t="s">
        <v>56</v>
      </c>
      <c r="AC152" s="22">
        <v>3.0</v>
      </c>
      <c r="AD152" s="22">
        <v>1.0</v>
      </c>
      <c r="AE152" s="23"/>
      <c r="AF152" s="23">
        <v>1.0</v>
      </c>
      <c r="AG152" s="22">
        <v>2.0</v>
      </c>
      <c r="AH152" s="23">
        <v>2.0</v>
      </c>
      <c r="AI152" s="22">
        <v>0.0</v>
      </c>
      <c r="AJ152" s="17"/>
    </row>
    <row r="153" ht="15.75" customHeight="1">
      <c r="A153" s="24"/>
      <c r="B153" s="11">
        <v>45946.0</v>
      </c>
      <c r="C153" s="12" t="s">
        <v>35</v>
      </c>
      <c r="D153" s="12" t="s">
        <v>22</v>
      </c>
      <c r="E153" s="14" t="s">
        <v>216</v>
      </c>
      <c r="F153" s="13">
        <v>1.0</v>
      </c>
      <c r="G153" s="30" t="s">
        <v>24</v>
      </c>
      <c r="H153" s="13">
        <v>2.0</v>
      </c>
      <c r="I153" s="14" t="s">
        <v>31</v>
      </c>
      <c r="J153" s="117"/>
      <c r="K153" s="118">
        <f t="shared" si="17"/>
        <v>1</v>
      </c>
      <c r="L153" s="119">
        <f t="shared" si="18"/>
        <v>2</v>
      </c>
      <c r="M153" s="117"/>
      <c r="N153" s="119">
        <v>8.0</v>
      </c>
      <c r="O153" s="120" t="s">
        <v>64</v>
      </c>
      <c r="P153" s="119">
        <f t="shared" si="19"/>
        <v>0</v>
      </c>
      <c r="Q153" s="121">
        <f t="shared" si="20"/>
        <v>0</v>
      </c>
      <c r="R153" s="122"/>
      <c r="S153" s="122">
        <f t="shared" si="21"/>
        <v>3</v>
      </c>
      <c r="T153" s="119">
        <f t="shared" si="22"/>
        <v>0</v>
      </c>
      <c r="U153" s="122">
        <f t="shared" si="23"/>
        <v>6</v>
      </c>
      <c r="V153" s="119">
        <f t="shared" si="24"/>
        <v>-6</v>
      </c>
      <c r="AA153" s="21">
        <v>8.0</v>
      </c>
      <c r="AB153" s="63" t="s">
        <v>215</v>
      </c>
      <c r="AC153" s="22">
        <v>3.0</v>
      </c>
      <c r="AD153" s="22">
        <v>1.0</v>
      </c>
      <c r="AE153" s="23"/>
      <c r="AF153" s="23">
        <v>1.0</v>
      </c>
      <c r="AG153" s="22">
        <v>3.0</v>
      </c>
      <c r="AH153" s="23">
        <v>3.0</v>
      </c>
      <c r="AI153" s="22">
        <v>0.0</v>
      </c>
      <c r="AJ153" s="17"/>
    </row>
    <row r="154" ht="15.75" customHeight="1">
      <c r="A154" s="24"/>
      <c r="B154" s="11">
        <v>45958.0</v>
      </c>
      <c r="C154" s="12" t="s">
        <v>53</v>
      </c>
      <c r="D154" s="12" t="s">
        <v>22</v>
      </c>
      <c r="E154" s="14" t="s">
        <v>108</v>
      </c>
      <c r="F154" s="13">
        <v>2.0</v>
      </c>
      <c r="G154" s="30" t="s">
        <v>24</v>
      </c>
      <c r="H154" s="13">
        <v>1.0</v>
      </c>
      <c r="I154" s="14" t="s">
        <v>115</v>
      </c>
      <c r="J154" s="117"/>
      <c r="K154" s="118">
        <f t="shared" si="17"/>
        <v>2</v>
      </c>
      <c r="L154" s="119">
        <f t="shared" si="18"/>
        <v>1</v>
      </c>
      <c r="M154" s="117"/>
      <c r="N154" s="119">
        <v>9.0</v>
      </c>
      <c r="O154" s="120" t="s">
        <v>62</v>
      </c>
      <c r="P154" s="119">
        <f t="shared" si="19"/>
        <v>4</v>
      </c>
      <c r="Q154" s="121">
        <f t="shared" si="20"/>
        <v>1</v>
      </c>
      <c r="R154" s="122"/>
      <c r="S154" s="122">
        <f t="shared" si="21"/>
        <v>2</v>
      </c>
      <c r="T154" s="119">
        <f t="shared" si="22"/>
        <v>3</v>
      </c>
      <c r="U154" s="122">
        <f t="shared" si="23"/>
        <v>4</v>
      </c>
      <c r="V154" s="119">
        <f t="shared" si="24"/>
        <v>-1</v>
      </c>
      <c r="AA154" s="21">
        <v>9.0</v>
      </c>
      <c r="AB154" s="63" t="s">
        <v>123</v>
      </c>
      <c r="AC154" s="22">
        <v>2.0</v>
      </c>
      <c r="AD154" s="22">
        <v>1.0</v>
      </c>
      <c r="AE154" s="23"/>
      <c r="AF154" s="23">
        <v>2.0</v>
      </c>
      <c r="AG154" s="22">
        <v>2.0</v>
      </c>
      <c r="AH154" s="23">
        <v>5.0</v>
      </c>
      <c r="AI154" s="22">
        <v>-3.0</v>
      </c>
      <c r="AJ154" s="17"/>
    </row>
    <row r="155" ht="15.75" customHeight="1">
      <c r="A155" s="24"/>
      <c r="B155" s="11">
        <v>45958.0</v>
      </c>
      <c r="C155" s="12" t="s">
        <v>53</v>
      </c>
      <c r="D155" s="12" t="s">
        <v>22</v>
      </c>
      <c r="E155" s="14" t="s">
        <v>62</v>
      </c>
      <c r="F155" s="13">
        <v>2.0</v>
      </c>
      <c r="G155" s="30" t="s">
        <v>24</v>
      </c>
      <c r="H155" s="13">
        <v>0.0</v>
      </c>
      <c r="I155" s="14" t="s">
        <v>64</v>
      </c>
      <c r="J155" s="117"/>
      <c r="K155" s="118">
        <f t="shared" si="17"/>
        <v>3</v>
      </c>
      <c r="L155" s="119">
        <f t="shared" si="18"/>
        <v>0</v>
      </c>
      <c r="M155" s="117"/>
      <c r="N155" s="119">
        <v>10.0</v>
      </c>
      <c r="O155" s="120" t="s">
        <v>115</v>
      </c>
      <c r="P155" s="119">
        <f t="shared" si="19"/>
        <v>7</v>
      </c>
      <c r="Q155" s="121">
        <f t="shared" si="20"/>
        <v>2</v>
      </c>
      <c r="R155" s="122"/>
      <c r="S155" s="122">
        <f t="shared" si="21"/>
        <v>1</v>
      </c>
      <c r="T155" s="119">
        <f t="shared" si="22"/>
        <v>5</v>
      </c>
      <c r="U155" s="122">
        <f t="shared" si="23"/>
        <v>2</v>
      </c>
      <c r="V155" s="119">
        <f t="shared" si="24"/>
        <v>3</v>
      </c>
      <c r="AA155" s="21">
        <v>10.0</v>
      </c>
      <c r="AB155" s="63" t="s">
        <v>216</v>
      </c>
      <c r="AC155" s="22">
        <v>2.0</v>
      </c>
      <c r="AD155" s="22">
        <v>0.0</v>
      </c>
      <c r="AE155" s="23"/>
      <c r="AF155" s="23">
        <v>3.0</v>
      </c>
      <c r="AG155" s="22">
        <v>2.0</v>
      </c>
      <c r="AH155" s="23">
        <v>6.0</v>
      </c>
      <c r="AI155" s="22">
        <v>-4.0</v>
      </c>
      <c r="AJ155" s="3"/>
    </row>
    <row r="156" ht="15.75" customHeight="1">
      <c r="A156" s="24"/>
      <c r="B156" s="11">
        <v>45958.0</v>
      </c>
      <c r="C156" s="12" t="s">
        <v>53</v>
      </c>
      <c r="D156" s="12" t="s">
        <v>22</v>
      </c>
      <c r="E156" s="14" t="s">
        <v>61</v>
      </c>
      <c r="F156" s="13">
        <v>2.0</v>
      </c>
      <c r="G156" s="30" t="s">
        <v>24</v>
      </c>
      <c r="H156" s="13">
        <v>0.0</v>
      </c>
      <c r="I156" s="14" t="s">
        <v>123</v>
      </c>
      <c r="J156" s="117"/>
      <c r="K156" s="118">
        <f t="shared" si="17"/>
        <v>3</v>
      </c>
      <c r="L156" s="119">
        <f t="shared" si="18"/>
        <v>0</v>
      </c>
      <c r="M156" s="117"/>
      <c r="N156" s="136">
        <v>11.0</v>
      </c>
      <c r="O156" s="136" t="s">
        <v>61</v>
      </c>
      <c r="P156" s="119">
        <f t="shared" si="19"/>
        <v>7</v>
      </c>
      <c r="Q156" s="121">
        <f t="shared" si="20"/>
        <v>2</v>
      </c>
      <c r="S156" s="122">
        <f t="shared" si="21"/>
        <v>1</v>
      </c>
      <c r="T156" s="119">
        <f t="shared" si="22"/>
        <v>5</v>
      </c>
      <c r="U156" s="122">
        <f t="shared" si="23"/>
        <v>2</v>
      </c>
      <c r="V156" s="119">
        <f t="shared" si="24"/>
        <v>3</v>
      </c>
      <c r="AA156" s="47">
        <v>11.0</v>
      </c>
      <c r="AB156" s="63" t="s">
        <v>64</v>
      </c>
      <c r="AC156" s="22">
        <v>0.0</v>
      </c>
      <c r="AD156" s="22">
        <v>0.0</v>
      </c>
      <c r="AE156" s="23"/>
      <c r="AF156" s="23">
        <v>3.0</v>
      </c>
      <c r="AG156" s="22">
        <v>0.0</v>
      </c>
      <c r="AH156" s="23">
        <v>6.0</v>
      </c>
      <c r="AI156" s="22">
        <v>-6.0</v>
      </c>
      <c r="AJ156" s="3"/>
    </row>
    <row r="157" ht="15.75" customHeight="1">
      <c r="A157" s="28"/>
      <c r="B157" s="11">
        <v>45958.0</v>
      </c>
      <c r="C157" s="12" t="s">
        <v>21</v>
      </c>
      <c r="D157" s="12" t="s">
        <v>22</v>
      </c>
      <c r="E157" s="14" t="s">
        <v>56</v>
      </c>
      <c r="F157" s="13">
        <v>0.0</v>
      </c>
      <c r="G157" s="30" t="s">
        <v>24</v>
      </c>
      <c r="H157" s="13">
        <v>2.0</v>
      </c>
      <c r="I157" s="14" t="s">
        <v>45</v>
      </c>
      <c r="J157" s="117"/>
      <c r="K157" s="118">
        <f t="shared" si="17"/>
        <v>0</v>
      </c>
      <c r="L157" s="119">
        <f t="shared" si="18"/>
        <v>3</v>
      </c>
      <c r="M157" s="117"/>
      <c r="AA157" s="34" t="s">
        <v>217</v>
      </c>
      <c r="AD157" s="36"/>
      <c r="AE157" s="36"/>
      <c r="AF157" s="3"/>
      <c r="AG157" s="3"/>
      <c r="AH157" s="3"/>
      <c r="AI157" s="3"/>
      <c r="AJ157" s="3"/>
    </row>
    <row r="158" ht="15.75" customHeight="1">
      <c r="A158" s="58">
        <v>3.0</v>
      </c>
      <c r="B158" s="11">
        <v>45958.0</v>
      </c>
      <c r="C158" s="12" t="s">
        <v>21</v>
      </c>
      <c r="D158" s="12" t="s">
        <v>22</v>
      </c>
      <c r="E158" s="14" t="s">
        <v>215</v>
      </c>
      <c r="F158" s="13">
        <v>2.0</v>
      </c>
      <c r="G158" s="30" t="s">
        <v>24</v>
      </c>
      <c r="H158" s="13">
        <v>1.0</v>
      </c>
      <c r="I158" s="14" t="s">
        <v>216</v>
      </c>
      <c r="J158" s="117"/>
      <c r="K158" s="118">
        <f t="shared" si="17"/>
        <v>2</v>
      </c>
      <c r="L158" s="119">
        <f t="shared" si="18"/>
        <v>1</v>
      </c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AA158" s="73" t="s">
        <v>106</v>
      </c>
      <c r="AD158" s="36"/>
      <c r="AE158" s="36"/>
      <c r="AF158" s="3"/>
      <c r="AG158" s="3"/>
      <c r="AH158" s="3"/>
      <c r="AI158" s="3"/>
      <c r="AJ158" s="3"/>
    </row>
    <row r="159" ht="15.75" customHeight="1">
      <c r="A159" s="24"/>
      <c r="B159" s="11">
        <v>45958.0</v>
      </c>
      <c r="C159" s="12" t="s">
        <v>21</v>
      </c>
      <c r="D159" s="12" t="s">
        <v>22</v>
      </c>
      <c r="E159" s="14" t="s">
        <v>31</v>
      </c>
      <c r="F159" s="13">
        <v>0.0</v>
      </c>
      <c r="G159" s="30" t="s">
        <v>24</v>
      </c>
      <c r="H159" s="13">
        <v>2.0</v>
      </c>
      <c r="I159" s="14" t="s">
        <v>108</v>
      </c>
      <c r="J159" s="117"/>
      <c r="K159" s="118">
        <f t="shared" si="17"/>
        <v>0</v>
      </c>
      <c r="L159" s="119">
        <f t="shared" si="18"/>
        <v>3</v>
      </c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AA159" s="127"/>
      <c r="AD159" s="36"/>
      <c r="AE159" s="36"/>
      <c r="AF159" s="3"/>
      <c r="AG159" s="3"/>
      <c r="AH159" s="3"/>
      <c r="AI159" s="3"/>
      <c r="AJ159" s="3"/>
    </row>
    <row r="160" ht="15.75" customHeight="1">
      <c r="A160" s="24"/>
      <c r="B160" s="11">
        <v>45966.0</v>
      </c>
      <c r="C160" s="12" t="s">
        <v>200</v>
      </c>
      <c r="D160" s="12" t="s">
        <v>22</v>
      </c>
      <c r="E160" s="14" t="s">
        <v>115</v>
      </c>
      <c r="F160" s="13">
        <v>2.0</v>
      </c>
      <c r="G160" s="30" t="s">
        <v>24</v>
      </c>
      <c r="H160" s="13">
        <v>0.0</v>
      </c>
      <c r="I160" s="14" t="s">
        <v>62</v>
      </c>
      <c r="J160" s="117"/>
      <c r="K160" s="118">
        <f t="shared" si="17"/>
        <v>3</v>
      </c>
      <c r="L160" s="119">
        <f t="shared" si="18"/>
        <v>0</v>
      </c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AD160" s="36"/>
      <c r="AG160" s="3"/>
      <c r="AH160" s="3"/>
      <c r="AI160" s="3"/>
      <c r="AJ160" s="3"/>
    </row>
    <row r="161" ht="15.75" customHeight="1">
      <c r="A161" s="24"/>
      <c r="B161" s="11">
        <v>45966.0</v>
      </c>
      <c r="C161" s="12" t="s">
        <v>141</v>
      </c>
      <c r="D161" s="12" t="s">
        <v>22</v>
      </c>
      <c r="E161" s="14" t="s">
        <v>64</v>
      </c>
      <c r="F161" s="13">
        <v>0.0</v>
      </c>
      <c r="G161" s="30" t="s">
        <v>24</v>
      </c>
      <c r="H161" s="13">
        <v>2.0</v>
      </c>
      <c r="I161" s="14" t="s">
        <v>61</v>
      </c>
      <c r="J161" s="128"/>
      <c r="K161" s="118">
        <f t="shared" si="17"/>
        <v>0</v>
      </c>
      <c r="L161" s="119">
        <f t="shared" si="18"/>
        <v>3</v>
      </c>
      <c r="M161" s="117"/>
      <c r="N161" s="117"/>
      <c r="O161" s="117"/>
      <c r="P161" s="117"/>
      <c r="R161" s="117"/>
      <c r="S161" s="117"/>
      <c r="T161" s="117"/>
      <c r="U161" s="117"/>
      <c r="V161" s="117"/>
      <c r="AG161" s="3"/>
      <c r="AH161" s="3"/>
      <c r="AI161" s="3"/>
      <c r="AJ161" s="3"/>
    </row>
    <row r="162" ht="15.75" customHeight="1">
      <c r="A162" s="24"/>
      <c r="B162" s="11">
        <v>45966.0</v>
      </c>
      <c r="C162" s="12" t="s">
        <v>142</v>
      </c>
      <c r="D162" s="12" t="s">
        <v>22</v>
      </c>
      <c r="E162" s="14" t="s">
        <v>123</v>
      </c>
      <c r="F162" s="13">
        <v>0.0</v>
      </c>
      <c r="G162" s="30" t="s">
        <v>24</v>
      </c>
      <c r="H162" s="13">
        <v>2.0</v>
      </c>
      <c r="I162" s="14" t="s">
        <v>56</v>
      </c>
      <c r="J162" s="117"/>
      <c r="K162" s="118">
        <f t="shared" si="17"/>
        <v>0</v>
      </c>
      <c r="L162" s="119">
        <f t="shared" si="18"/>
        <v>3</v>
      </c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AG162" s="3"/>
      <c r="AH162" s="3"/>
      <c r="AI162" s="3"/>
      <c r="AJ162" s="3"/>
    </row>
    <row r="163" ht="15.75" customHeight="1">
      <c r="A163" s="28"/>
      <c r="B163" s="131"/>
      <c r="C163" s="130"/>
      <c r="D163" s="130"/>
      <c r="E163" s="14">
        <v>0.0</v>
      </c>
      <c r="F163" s="30"/>
      <c r="G163" s="30" t="s">
        <v>24</v>
      </c>
      <c r="H163" s="30"/>
      <c r="I163" s="14" t="s">
        <v>45</v>
      </c>
      <c r="J163" s="117"/>
      <c r="K163" s="118" t="str">
        <f t="shared" si="17"/>
        <v/>
      </c>
      <c r="L163" s="119" t="str">
        <f t="shared" si="18"/>
        <v/>
      </c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AG163" s="3"/>
      <c r="AH163" s="3"/>
      <c r="AI163" s="3"/>
      <c r="AJ163" s="3"/>
    </row>
    <row r="164" ht="15.75" customHeight="1">
      <c r="A164" s="137">
        <v>4.0</v>
      </c>
      <c r="B164" s="131"/>
      <c r="C164" s="130"/>
      <c r="D164" s="130"/>
      <c r="E164" s="14" t="s">
        <v>216</v>
      </c>
      <c r="F164" s="30"/>
      <c r="G164" s="30" t="s">
        <v>24</v>
      </c>
      <c r="H164" s="30"/>
      <c r="I164" s="14">
        <v>0.0</v>
      </c>
      <c r="J164" s="117"/>
      <c r="K164" s="118" t="str">
        <f t="shared" si="17"/>
        <v/>
      </c>
      <c r="L164" s="119" t="str">
        <f t="shared" si="18"/>
        <v/>
      </c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AG164" s="3"/>
      <c r="AH164" s="3"/>
      <c r="AI164" s="3"/>
      <c r="AJ164" s="3"/>
    </row>
    <row r="165" ht="15.75" customHeight="1">
      <c r="A165" s="24"/>
      <c r="B165" s="131"/>
      <c r="C165" s="130"/>
      <c r="D165" s="130"/>
      <c r="E165" s="14" t="s">
        <v>108</v>
      </c>
      <c r="F165" s="30"/>
      <c r="G165" s="30" t="s">
        <v>24</v>
      </c>
      <c r="H165" s="30"/>
      <c r="I165" s="14" t="s">
        <v>215</v>
      </c>
      <c r="J165" s="117"/>
      <c r="K165" s="118" t="str">
        <f t="shared" si="17"/>
        <v/>
      </c>
      <c r="L165" s="119" t="str">
        <f t="shared" si="18"/>
        <v/>
      </c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AG165" s="3"/>
      <c r="AH165" s="3"/>
      <c r="AI165" s="3"/>
      <c r="AJ165" s="3"/>
    </row>
    <row r="166" ht="15.75" customHeight="1">
      <c r="A166" s="24"/>
      <c r="B166" s="131"/>
      <c r="C166" s="130"/>
      <c r="D166" s="130"/>
      <c r="E166" s="14" t="s">
        <v>62</v>
      </c>
      <c r="F166" s="30"/>
      <c r="G166" s="30" t="s">
        <v>24</v>
      </c>
      <c r="H166" s="30"/>
      <c r="I166" s="14" t="s">
        <v>31</v>
      </c>
      <c r="J166" s="117"/>
      <c r="K166" s="118" t="str">
        <f t="shared" si="17"/>
        <v/>
      </c>
      <c r="L166" s="119" t="str">
        <f t="shared" si="18"/>
        <v/>
      </c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AD166" s="3"/>
      <c r="AE166" s="3"/>
      <c r="AF166" s="3"/>
      <c r="AG166" s="3"/>
      <c r="AH166" s="3"/>
      <c r="AI166" s="3"/>
      <c r="AJ166" s="3"/>
    </row>
    <row r="167" ht="15.75" customHeight="1">
      <c r="A167" s="24"/>
      <c r="B167" s="131"/>
      <c r="C167" s="130"/>
      <c r="D167" s="130"/>
      <c r="E167" s="14" t="s">
        <v>61</v>
      </c>
      <c r="F167" s="30"/>
      <c r="G167" s="30" t="s">
        <v>24</v>
      </c>
      <c r="H167" s="30"/>
      <c r="I167" s="14" t="s">
        <v>115</v>
      </c>
      <c r="J167" s="117"/>
      <c r="K167" s="118" t="str">
        <f t="shared" si="17"/>
        <v/>
      </c>
      <c r="L167" s="119" t="str">
        <f t="shared" si="18"/>
        <v/>
      </c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AA167" s="3"/>
      <c r="AB167" s="116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24"/>
      <c r="B168" s="131"/>
      <c r="C168" s="130"/>
      <c r="D168" s="130"/>
      <c r="E168" s="14" t="s">
        <v>56</v>
      </c>
      <c r="F168" s="30"/>
      <c r="G168" s="30" t="s">
        <v>24</v>
      </c>
      <c r="H168" s="30"/>
      <c r="I168" s="14" t="s">
        <v>64</v>
      </c>
      <c r="J168" s="117"/>
      <c r="K168" s="118" t="str">
        <f t="shared" si="17"/>
        <v/>
      </c>
      <c r="L168" s="119" t="str">
        <f t="shared" si="18"/>
        <v/>
      </c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AA168" s="3"/>
      <c r="AB168" s="116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24"/>
      <c r="B169" s="131"/>
      <c r="C169" s="130"/>
      <c r="D169" s="130"/>
      <c r="E169" s="14" t="s">
        <v>45</v>
      </c>
      <c r="F169" s="30"/>
      <c r="G169" s="30" t="s">
        <v>24</v>
      </c>
      <c r="H169" s="30"/>
      <c r="I169" s="14" t="s">
        <v>123</v>
      </c>
      <c r="J169" s="117"/>
      <c r="K169" s="118" t="str">
        <f t="shared" si="17"/>
        <v/>
      </c>
      <c r="L169" s="119" t="str">
        <f t="shared" si="18"/>
        <v/>
      </c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AA169" s="3"/>
      <c r="AB169" s="116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58">
        <v>5.0</v>
      </c>
      <c r="B170" s="131"/>
      <c r="C170" s="130"/>
      <c r="D170" s="130"/>
      <c r="E170" s="14" t="s">
        <v>216</v>
      </c>
      <c r="F170" s="30"/>
      <c r="G170" s="30" t="s">
        <v>24</v>
      </c>
      <c r="H170" s="30"/>
      <c r="I170" s="14" t="s">
        <v>108</v>
      </c>
      <c r="J170" s="117"/>
      <c r="K170" s="118" t="str">
        <f t="shared" si="17"/>
        <v/>
      </c>
      <c r="L170" s="119" t="str">
        <f t="shared" si="18"/>
        <v/>
      </c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AA170" s="3"/>
      <c r="AB170" s="116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24"/>
      <c r="B171" s="131"/>
      <c r="C171" s="130"/>
      <c r="D171" s="130"/>
      <c r="E171" s="14" t="s">
        <v>215</v>
      </c>
      <c r="F171" s="130"/>
      <c r="G171" s="30" t="s">
        <v>24</v>
      </c>
      <c r="H171" s="30"/>
      <c r="I171" s="14" t="s">
        <v>62</v>
      </c>
      <c r="J171" s="117"/>
      <c r="K171" s="118" t="str">
        <f t="shared" si="17"/>
        <v/>
      </c>
      <c r="L171" s="119" t="str">
        <f t="shared" si="18"/>
        <v/>
      </c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AA171" s="3"/>
      <c r="AB171" s="116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24"/>
      <c r="B172" s="131"/>
      <c r="C172" s="130"/>
      <c r="D172" s="130"/>
      <c r="E172" s="14" t="s">
        <v>31</v>
      </c>
      <c r="F172" s="130"/>
      <c r="G172" s="30" t="s">
        <v>24</v>
      </c>
      <c r="H172" s="30"/>
      <c r="I172" s="14" t="s">
        <v>61</v>
      </c>
      <c r="J172" s="117"/>
      <c r="K172" s="118" t="str">
        <f t="shared" si="17"/>
        <v/>
      </c>
      <c r="L172" s="119" t="str">
        <f t="shared" si="18"/>
        <v/>
      </c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AA172" s="3"/>
      <c r="AB172" s="116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24"/>
      <c r="B173" s="131"/>
      <c r="C173" s="130"/>
      <c r="D173" s="130"/>
      <c r="E173" s="14" t="s">
        <v>115</v>
      </c>
      <c r="F173" s="130"/>
      <c r="G173" s="30" t="s">
        <v>24</v>
      </c>
      <c r="H173" s="30"/>
      <c r="I173" s="14" t="s">
        <v>56</v>
      </c>
      <c r="J173" s="117"/>
      <c r="K173" s="118" t="str">
        <f t="shared" si="17"/>
        <v/>
      </c>
      <c r="L173" s="119" t="str">
        <f t="shared" si="18"/>
        <v/>
      </c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AA173" s="3"/>
      <c r="AB173" s="116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24"/>
      <c r="B174" s="131"/>
      <c r="C174" s="130"/>
      <c r="D174" s="130"/>
      <c r="E174" s="14" t="s">
        <v>64</v>
      </c>
      <c r="F174" s="130"/>
      <c r="G174" s="30" t="s">
        <v>24</v>
      </c>
      <c r="H174" s="30"/>
      <c r="I174" s="14" t="s">
        <v>45</v>
      </c>
      <c r="J174" s="117"/>
      <c r="K174" s="118" t="str">
        <f t="shared" si="17"/>
        <v/>
      </c>
      <c r="L174" s="119" t="str">
        <f t="shared" si="18"/>
        <v/>
      </c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AA174" s="3"/>
      <c r="AB174" s="116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28"/>
      <c r="B175" s="131"/>
      <c r="C175" s="130"/>
      <c r="D175" s="130"/>
      <c r="E175" s="14">
        <v>0.0</v>
      </c>
      <c r="F175" s="130"/>
      <c r="G175" s="30" t="s">
        <v>24</v>
      </c>
      <c r="H175" s="30"/>
      <c r="I175" s="14" t="s">
        <v>123</v>
      </c>
      <c r="J175" s="117"/>
      <c r="K175" s="118" t="str">
        <f t="shared" si="17"/>
        <v/>
      </c>
      <c r="L175" s="119" t="str">
        <f t="shared" si="18"/>
        <v/>
      </c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AA175" s="3"/>
      <c r="AB175" s="116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58">
        <v>6.0</v>
      </c>
      <c r="B176" s="131"/>
      <c r="C176" s="132"/>
      <c r="D176" s="130"/>
      <c r="E176" s="14" t="s">
        <v>108</v>
      </c>
      <c r="F176" s="30"/>
      <c r="G176" s="30" t="s">
        <v>24</v>
      </c>
      <c r="H176" s="30"/>
      <c r="I176" s="14">
        <v>0.0</v>
      </c>
      <c r="J176" s="117"/>
      <c r="K176" s="118" t="str">
        <f t="shared" si="17"/>
        <v/>
      </c>
      <c r="L176" s="119" t="str">
        <f t="shared" si="18"/>
        <v/>
      </c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AA176" s="3"/>
      <c r="AB176" s="116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24"/>
      <c r="B177" s="131"/>
      <c r="C177" s="130"/>
      <c r="D177" s="130"/>
      <c r="E177" s="14" t="s">
        <v>62</v>
      </c>
      <c r="F177" s="30"/>
      <c r="G177" s="30" t="s">
        <v>24</v>
      </c>
      <c r="H177" s="30"/>
      <c r="I177" s="14" t="s">
        <v>216</v>
      </c>
      <c r="J177" s="117"/>
      <c r="K177" s="118" t="str">
        <f t="shared" si="17"/>
        <v/>
      </c>
      <c r="L177" s="119" t="str">
        <f t="shared" si="18"/>
        <v/>
      </c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AA177" s="3"/>
      <c r="AB177" s="116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24"/>
      <c r="B178" s="131"/>
      <c r="C178" s="130"/>
      <c r="D178" s="130"/>
      <c r="E178" s="14" t="s">
        <v>61</v>
      </c>
      <c r="F178" s="30"/>
      <c r="G178" s="30" t="s">
        <v>24</v>
      </c>
      <c r="H178" s="30"/>
      <c r="I178" s="14" t="s">
        <v>215</v>
      </c>
      <c r="J178" s="117"/>
      <c r="K178" s="118" t="str">
        <f t="shared" si="17"/>
        <v/>
      </c>
      <c r="L178" s="119" t="str">
        <f t="shared" si="18"/>
        <v/>
      </c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AA178" s="3"/>
      <c r="AB178" s="116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24"/>
      <c r="B179" s="131"/>
      <c r="C179" s="132"/>
      <c r="D179" s="130"/>
      <c r="E179" s="14" t="s">
        <v>56</v>
      </c>
      <c r="F179" s="30"/>
      <c r="G179" s="30" t="s">
        <v>24</v>
      </c>
      <c r="H179" s="30"/>
      <c r="I179" s="14" t="s">
        <v>31</v>
      </c>
      <c r="J179" s="117"/>
      <c r="K179" s="118" t="str">
        <f t="shared" si="17"/>
        <v/>
      </c>
      <c r="L179" s="119" t="str">
        <f t="shared" si="18"/>
        <v/>
      </c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AA179" s="3"/>
      <c r="AB179" s="116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24"/>
      <c r="B180" s="131"/>
      <c r="C180" s="130"/>
      <c r="D180" s="130"/>
      <c r="E180" s="14" t="s">
        <v>45</v>
      </c>
      <c r="F180" s="30"/>
      <c r="G180" s="30" t="s">
        <v>24</v>
      </c>
      <c r="H180" s="30"/>
      <c r="I180" s="14" t="s">
        <v>115</v>
      </c>
      <c r="J180" s="117"/>
      <c r="K180" s="118" t="str">
        <f t="shared" si="17"/>
        <v/>
      </c>
      <c r="L180" s="119" t="str">
        <f t="shared" si="18"/>
        <v/>
      </c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AA180" s="3"/>
      <c r="AB180" s="116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28"/>
      <c r="B181" s="131"/>
      <c r="C181" s="130"/>
      <c r="D181" s="130"/>
      <c r="E181" s="14" t="s">
        <v>123</v>
      </c>
      <c r="F181" s="30"/>
      <c r="G181" s="30" t="s">
        <v>24</v>
      </c>
      <c r="H181" s="30"/>
      <c r="I181" s="14" t="s">
        <v>64</v>
      </c>
      <c r="J181" s="117"/>
      <c r="K181" s="118" t="str">
        <f t="shared" si="17"/>
        <v/>
      </c>
      <c r="L181" s="119" t="str">
        <f t="shared" si="18"/>
        <v/>
      </c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AA181" s="3"/>
      <c r="AB181" s="116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58">
        <v>7.0</v>
      </c>
      <c r="B182" s="131"/>
      <c r="C182" s="132"/>
      <c r="D182" s="130"/>
      <c r="E182" s="14" t="s">
        <v>108</v>
      </c>
      <c r="F182" s="30"/>
      <c r="G182" s="30" t="s">
        <v>24</v>
      </c>
      <c r="H182" s="30"/>
      <c r="I182" s="14" t="s">
        <v>62</v>
      </c>
      <c r="J182" s="117"/>
      <c r="K182" s="118" t="str">
        <f t="shared" si="17"/>
        <v/>
      </c>
      <c r="L182" s="119" t="str">
        <f t="shared" si="18"/>
        <v/>
      </c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AA182" s="3"/>
      <c r="AB182" s="116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24"/>
      <c r="B183" s="131"/>
      <c r="C183" s="132"/>
      <c r="D183" s="130"/>
      <c r="E183" s="14" t="s">
        <v>216</v>
      </c>
      <c r="F183" s="30"/>
      <c r="G183" s="30" t="s">
        <v>24</v>
      </c>
      <c r="H183" s="30"/>
      <c r="I183" s="14" t="s">
        <v>61</v>
      </c>
      <c r="J183" s="117"/>
      <c r="K183" s="118" t="str">
        <f t="shared" si="17"/>
        <v/>
      </c>
      <c r="L183" s="119" t="str">
        <f t="shared" si="18"/>
        <v/>
      </c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AA183" s="3"/>
      <c r="AB183" s="116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24"/>
      <c r="B184" s="131"/>
      <c r="C184" s="132"/>
      <c r="D184" s="130"/>
      <c r="E184" s="14" t="s">
        <v>215</v>
      </c>
      <c r="F184" s="30"/>
      <c r="G184" s="30" t="s">
        <v>24</v>
      </c>
      <c r="H184" s="30"/>
      <c r="I184" s="14" t="s">
        <v>56</v>
      </c>
      <c r="J184" s="117"/>
      <c r="K184" s="118" t="str">
        <f t="shared" si="17"/>
        <v/>
      </c>
      <c r="L184" s="119" t="str">
        <f t="shared" si="18"/>
        <v/>
      </c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AA184" s="3"/>
      <c r="AB184" s="116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24"/>
      <c r="B185" s="131"/>
      <c r="C185" s="132"/>
      <c r="D185" s="130"/>
      <c r="E185" s="14" t="s">
        <v>31</v>
      </c>
      <c r="F185" s="30"/>
      <c r="G185" s="30" t="s">
        <v>24</v>
      </c>
      <c r="H185" s="30"/>
      <c r="I185" s="14" t="s">
        <v>45</v>
      </c>
      <c r="J185" s="117"/>
      <c r="K185" s="118" t="str">
        <f t="shared" si="17"/>
        <v/>
      </c>
      <c r="L185" s="119" t="str">
        <f t="shared" si="18"/>
        <v/>
      </c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AA185" s="3"/>
      <c r="AB185" s="116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24"/>
      <c r="B186" s="131"/>
      <c r="C186" s="130"/>
      <c r="D186" s="130"/>
      <c r="E186" s="14" t="s">
        <v>115</v>
      </c>
      <c r="F186" s="30"/>
      <c r="G186" s="30" t="s">
        <v>24</v>
      </c>
      <c r="H186" s="30"/>
      <c r="I186" s="14" t="s">
        <v>123</v>
      </c>
      <c r="J186" s="117"/>
      <c r="K186" s="118" t="str">
        <f t="shared" si="17"/>
        <v/>
      </c>
      <c r="L186" s="119" t="str">
        <f t="shared" si="18"/>
        <v/>
      </c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AA186" s="3"/>
      <c r="AB186" s="116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28"/>
      <c r="B187" s="131"/>
      <c r="C187" s="130"/>
      <c r="D187" s="130"/>
      <c r="E187" s="14">
        <v>0.0</v>
      </c>
      <c r="F187" s="30"/>
      <c r="G187" s="30" t="s">
        <v>24</v>
      </c>
      <c r="H187" s="30"/>
      <c r="I187" s="14" t="s">
        <v>64</v>
      </c>
      <c r="J187" s="117"/>
      <c r="K187" s="118" t="str">
        <f t="shared" si="17"/>
        <v/>
      </c>
      <c r="L187" s="119" t="str">
        <f t="shared" si="18"/>
        <v/>
      </c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AA187" s="3"/>
      <c r="AB187" s="116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58">
        <v>8.0</v>
      </c>
      <c r="B188" s="131"/>
      <c r="C188" s="132"/>
      <c r="D188" s="130"/>
      <c r="E188" s="14" t="s">
        <v>62</v>
      </c>
      <c r="F188" s="30"/>
      <c r="G188" s="30" t="s">
        <v>24</v>
      </c>
      <c r="H188" s="30"/>
      <c r="I188" s="14">
        <v>0.0</v>
      </c>
      <c r="J188" s="117"/>
      <c r="K188" s="118" t="str">
        <f t="shared" si="17"/>
        <v/>
      </c>
      <c r="L188" s="119" t="str">
        <f t="shared" si="18"/>
        <v/>
      </c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AA188" s="3"/>
      <c r="AB188" s="116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24"/>
      <c r="B189" s="131"/>
      <c r="C189" s="132"/>
      <c r="D189" s="130"/>
      <c r="E189" s="14" t="s">
        <v>61</v>
      </c>
      <c r="F189" s="30"/>
      <c r="G189" s="30" t="s">
        <v>24</v>
      </c>
      <c r="H189" s="30"/>
      <c r="I189" s="14" t="s">
        <v>108</v>
      </c>
      <c r="J189" s="117"/>
      <c r="K189" s="118" t="str">
        <f t="shared" si="17"/>
        <v/>
      </c>
      <c r="L189" s="119" t="str">
        <f t="shared" si="18"/>
        <v/>
      </c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AA189" s="3"/>
      <c r="AB189" s="116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24"/>
      <c r="B190" s="131"/>
      <c r="C190" s="132"/>
      <c r="D190" s="130"/>
      <c r="E190" s="14" t="s">
        <v>56</v>
      </c>
      <c r="F190" s="30"/>
      <c r="G190" s="30" t="s">
        <v>24</v>
      </c>
      <c r="H190" s="30"/>
      <c r="I190" s="14" t="s">
        <v>216</v>
      </c>
      <c r="J190" s="117"/>
      <c r="K190" s="118" t="str">
        <f t="shared" si="17"/>
        <v/>
      </c>
      <c r="L190" s="119" t="str">
        <f t="shared" si="18"/>
        <v/>
      </c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AA190" s="3"/>
      <c r="AB190" s="116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24"/>
      <c r="B191" s="131"/>
      <c r="C191" s="132"/>
      <c r="D191" s="130"/>
      <c r="E191" s="14" t="s">
        <v>45</v>
      </c>
      <c r="F191" s="30"/>
      <c r="G191" s="30" t="s">
        <v>24</v>
      </c>
      <c r="H191" s="30"/>
      <c r="I191" s="14" t="s">
        <v>215</v>
      </c>
      <c r="J191" s="117"/>
      <c r="K191" s="118" t="str">
        <f t="shared" si="17"/>
        <v/>
      </c>
      <c r="L191" s="119" t="str">
        <f t="shared" si="18"/>
        <v/>
      </c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AA191" s="3"/>
      <c r="AB191" s="116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24"/>
      <c r="B192" s="131"/>
      <c r="C192" s="130"/>
      <c r="D192" s="130"/>
      <c r="E192" s="14" t="s">
        <v>123</v>
      </c>
      <c r="F192" s="30"/>
      <c r="G192" s="30" t="s">
        <v>24</v>
      </c>
      <c r="H192" s="30"/>
      <c r="I192" s="14" t="s">
        <v>31</v>
      </c>
      <c r="J192" s="117"/>
      <c r="K192" s="118" t="str">
        <f t="shared" si="17"/>
        <v/>
      </c>
      <c r="L192" s="119" t="str">
        <f t="shared" si="18"/>
        <v/>
      </c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AA192" s="3"/>
      <c r="AB192" s="116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28"/>
      <c r="B193" s="131"/>
      <c r="C193" s="130"/>
      <c r="D193" s="130"/>
      <c r="E193" s="14" t="s">
        <v>64</v>
      </c>
      <c r="F193" s="30"/>
      <c r="G193" s="30" t="s">
        <v>24</v>
      </c>
      <c r="H193" s="30"/>
      <c r="I193" s="14" t="s">
        <v>115</v>
      </c>
      <c r="J193" s="117"/>
      <c r="K193" s="118" t="str">
        <f t="shared" si="17"/>
        <v/>
      </c>
      <c r="L193" s="119" t="str">
        <f t="shared" si="18"/>
        <v/>
      </c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AA193" s="3"/>
      <c r="AB193" s="116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58">
        <v>9.0</v>
      </c>
      <c r="B194" s="131"/>
      <c r="C194" s="132"/>
      <c r="D194" s="130"/>
      <c r="E194" s="14" t="s">
        <v>62</v>
      </c>
      <c r="F194" s="30"/>
      <c r="G194" s="30" t="s">
        <v>24</v>
      </c>
      <c r="H194" s="30"/>
      <c r="I194" s="14" t="s">
        <v>61</v>
      </c>
      <c r="J194" s="117"/>
      <c r="K194" s="118" t="str">
        <f t="shared" si="17"/>
        <v/>
      </c>
      <c r="L194" s="119" t="str">
        <f t="shared" si="18"/>
        <v/>
      </c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AA194" s="3"/>
      <c r="AB194" s="116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24"/>
      <c r="B195" s="131"/>
      <c r="C195" s="132"/>
      <c r="D195" s="130"/>
      <c r="E195" s="14" t="s">
        <v>108</v>
      </c>
      <c r="F195" s="30"/>
      <c r="G195" s="30" t="s">
        <v>24</v>
      </c>
      <c r="H195" s="30"/>
      <c r="I195" s="14" t="s">
        <v>56</v>
      </c>
      <c r="J195" s="117"/>
      <c r="K195" s="118" t="str">
        <f t="shared" si="17"/>
        <v/>
      </c>
      <c r="L195" s="119" t="str">
        <f t="shared" si="18"/>
        <v/>
      </c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AA195" s="3"/>
      <c r="AB195" s="116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24"/>
      <c r="B196" s="131"/>
      <c r="C196" s="132"/>
      <c r="D196" s="130"/>
      <c r="E196" s="14" t="s">
        <v>216</v>
      </c>
      <c r="F196" s="30"/>
      <c r="G196" s="30" t="s">
        <v>24</v>
      </c>
      <c r="H196" s="30"/>
      <c r="I196" s="14" t="s">
        <v>45</v>
      </c>
      <c r="J196" s="117"/>
      <c r="K196" s="118" t="str">
        <f t="shared" si="17"/>
        <v/>
      </c>
      <c r="L196" s="119" t="str">
        <f t="shared" si="18"/>
        <v/>
      </c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AA196" s="3"/>
      <c r="AB196" s="116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24"/>
      <c r="B197" s="131"/>
      <c r="C197" s="132"/>
      <c r="D197" s="130"/>
      <c r="E197" s="14" t="s">
        <v>215</v>
      </c>
      <c r="F197" s="30"/>
      <c r="G197" s="30" t="s">
        <v>24</v>
      </c>
      <c r="H197" s="30"/>
      <c r="I197" s="14" t="s">
        <v>123</v>
      </c>
      <c r="J197" s="117"/>
      <c r="K197" s="118" t="str">
        <f t="shared" si="17"/>
        <v/>
      </c>
      <c r="L197" s="119" t="str">
        <f t="shared" si="18"/>
        <v/>
      </c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AA197" s="3"/>
      <c r="AB197" s="116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24"/>
      <c r="B198" s="131"/>
      <c r="C198" s="130"/>
      <c r="D198" s="130"/>
      <c r="E198" s="14" t="s">
        <v>31</v>
      </c>
      <c r="F198" s="30"/>
      <c r="G198" s="30" t="s">
        <v>24</v>
      </c>
      <c r="H198" s="30"/>
      <c r="I198" s="14" t="s">
        <v>64</v>
      </c>
      <c r="J198" s="117"/>
      <c r="K198" s="118" t="str">
        <f t="shared" si="17"/>
        <v/>
      </c>
      <c r="L198" s="119" t="str">
        <f t="shared" si="18"/>
        <v/>
      </c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AA198" s="3"/>
      <c r="AB198" s="116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28"/>
      <c r="B199" s="131"/>
      <c r="C199" s="130"/>
      <c r="D199" s="130"/>
      <c r="E199" s="14">
        <v>0.0</v>
      </c>
      <c r="F199" s="30"/>
      <c r="G199" s="30" t="s">
        <v>24</v>
      </c>
      <c r="H199" s="30"/>
      <c r="I199" s="14" t="s">
        <v>115</v>
      </c>
      <c r="J199" s="117"/>
      <c r="K199" s="118" t="str">
        <f t="shared" si="17"/>
        <v/>
      </c>
      <c r="L199" s="119" t="str">
        <f t="shared" si="18"/>
        <v/>
      </c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AA199" s="3"/>
      <c r="AB199" s="116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58">
        <v>10.0</v>
      </c>
      <c r="B200" s="131"/>
      <c r="C200" s="132"/>
      <c r="D200" s="130"/>
      <c r="E200" s="14">
        <v>0.0</v>
      </c>
      <c r="F200" s="30"/>
      <c r="G200" s="30" t="s">
        <v>24</v>
      </c>
      <c r="H200" s="30"/>
      <c r="I200" s="14" t="s">
        <v>61</v>
      </c>
      <c r="J200" s="117"/>
      <c r="K200" s="118" t="str">
        <f t="shared" si="17"/>
        <v/>
      </c>
      <c r="L200" s="119" t="str">
        <f t="shared" si="18"/>
        <v/>
      </c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AA200" s="3"/>
      <c r="AB200" s="116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24"/>
      <c r="B201" s="131"/>
      <c r="C201" s="132"/>
      <c r="D201" s="130"/>
      <c r="E201" s="14" t="s">
        <v>56</v>
      </c>
      <c r="F201" s="30"/>
      <c r="G201" s="30" t="s">
        <v>24</v>
      </c>
      <c r="H201" s="30"/>
      <c r="I201" s="14" t="s">
        <v>62</v>
      </c>
      <c r="J201" s="117"/>
      <c r="K201" s="118" t="str">
        <f t="shared" si="17"/>
        <v/>
      </c>
      <c r="L201" s="119" t="str">
        <f t="shared" si="18"/>
        <v/>
      </c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AA201" s="3"/>
      <c r="AB201" s="116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24"/>
      <c r="B202" s="131"/>
      <c r="C202" s="132"/>
      <c r="D202" s="130"/>
      <c r="E202" s="14" t="s">
        <v>45</v>
      </c>
      <c r="F202" s="30"/>
      <c r="G202" s="30" t="s">
        <v>24</v>
      </c>
      <c r="H202" s="30"/>
      <c r="I202" s="14" t="s">
        <v>108</v>
      </c>
      <c r="J202" s="117"/>
      <c r="K202" s="118" t="str">
        <f t="shared" si="17"/>
        <v/>
      </c>
      <c r="L202" s="119" t="str">
        <f t="shared" si="18"/>
        <v/>
      </c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AA202" s="3"/>
      <c r="AB202" s="116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24"/>
      <c r="B203" s="131"/>
      <c r="C203" s="132"/>
      <c r="D203" s="130"/>
      <c r="E203" s="14" t="s">
        <v>123</v>
      </c>
      <c r="F203" s="30"/>
      <c r="G203" s="30" t="s">
        <v>24</v>
      </c>
      <c r="H203" s="30"/>
      <c r="I203" s="14" t="s">
        <v>216</v>
      </c>
      <c r="J203" s="117"/>
      <c r="K203" s="118" t="str">
        <f t="shared" si="17"/>
        <v/>
      </c>
      <c r="L203" s="119" t="str">
        <f t="shared" si="18"/>
        <v/>
      </c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AA203" s="3"/>
      <c r="AB203" s="116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24"/>
      <c r="B204" s="131"/>
      <c r="C204" s="130"/>
      <c r="D204" s="130"/>
      <c r="E204" s="14" t="s">
        <v>64</v>
      </c>
      <c r="F204" s="30"/>
      <c r="G204" s="30" t="s">
        <v>24</v>
      </c>
      <c r="H204" s="30"/>
      <c r="I204" s="14" t="s">
        <v>215</v>
      </c>
      <c r="J204" s="117"/>
      <c r="K204" s="118" t="str">
        <f t="shared" si="17"/>
        <v/>
      </c>
      <c r="L204" s="119" t="str">
        <f t="shared" si="18"/>
        <v/>
      </c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AA204" s="3"/>
      <c r="AB204" s="116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28"/>
      <c r="B205" s="131"/>
      <c r="C205" s="130"/>
      <c r="D205" s="130"/>
      <c r="E205" s="14" t="s">
        <v>115</v>
      </c>
      <c r="F205" s="30"/>
      <c r="G205" s="30" t="s">
        <v>24</v>
      </c>
      <c r="H205" s="30"/>
      <c r="I205" s="14" t="s">
        <v>31</v>
      </c>
      <c r="J205" s="117"/>
      <c r="K205" s="118" t="str">
        <f t="shared" si="17"/>
        <v/>
      </c>
      <c r="L205" s="119" t="str">
        <f t="shared" si="18"/>
        <v/>
      </c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AA205" s="3"/>
      <c r="AB205" s="116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58">
        <v>11.0</v>
      </c>
      <c r="B206" s="131"/>
      <c r="C206" s="132"/>
      <c r="D206" s="130"/>
      <c r="E206" s="14" t="s">
        <v>61</v>
      </c>
      <c r="F206" s="13"/>
      <c r="G206" s="30" t="s">
        <v>24</v>
      </c>
      <c r="H206" s="13"/>
      <c r="I206" s="14" t="s">
        <v>56</v>
      </c>
      <c r="J206" s="117"/>
      <c r="K206" s="118" t="str">
        <f t="shared" si="17"/>
        <v/>
      </c>
      <c r="L206" s="119" t="str">
        <f t="shared" si="18"/>
        <v/>
      </c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AA206" s="3"/>
      <c r="AB206" s="116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24"/>
      <c r="B207" s="131"/>
      <c r="C207" s="132"/>
      <c r="D207" s="130"/>
      <c r="E207" s="14" t="s">
        <v>62</v>
      </c>
      <c r="F207" s="30"/>
      <c r="G207" s="30" t="s">
        <v>24</v>
      </c>
      <c r="H207" s="30"/>
      <c r="I207" s="14" t="s">
        <v>45</v>
      </c>
      <c r="J207" s="117"/>
      <c r="K207" s="118" t="str">
        <f t="shared" si="17"/>
        <v/>
      </c>
      <c r="L207" s="119" t="str">
        <f t="shared" si="18"/>
        <v/>
      </c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AA207" s="3"/>
      <c r="AB207" s="116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24"/>
      <c r="B208" s="131"/>
      <c r="C208" s="132"/>
      <c r="D208" s="130"/>
      <c r="E208" s="14" t="s">
        <v>108</v>
      </c>
      <c r="F208" s="30"/>
      <c r="G208" s="30" t="s">
        <v>24</v>
      </c>
      <c r="H208" s="30"/>
      <c r="I208" s="14" t="s">
        <v>123</v>
      </c>
      <c r="J208" s="117"/>
      <c r="K208" s="118" t="str">
        <f t="shared" si="17"/>
        <v/>
      </c>
      <c r="L208" s="119" t="str">
        <f t="shared" si="18"/>
        <v/>
      </c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AA208" s="3"/>
      <c r="AB208" s="116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24"/>
      <c r="B209" s="131"/>
      <c r="C209" s="132"/>
      <c r="D209" s="130"/>
      <c r="E209" s="14" t="s">
        <v>216</v>
      </c>
      <c r="F209" s="30"/>
      <c r="G209" s="30" t="s">
        <v>24</v>
      </c>
      <c r="H209" s="30"/>
      <c r="I209" s="14" t="s">
        <v>64</v>
      </c>
      <c r="J209" s="117"/>
      <c r="K209" s="118" t="str">
        <f t="shared" si="17"/>
        <v/>
      </c>
      <c r="L209" s="119" t="str">
        <f t="shared" si="18"/>
        <v/>
      </c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AA209" s="3"/>
      <c r="AB209" s="116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24"/>
      <c r="B210" s="131"/>
      <c r="C210" s="130"/>
      <c r="D210" s="130"/>
      <c r="E210" s="14" t="s">
        <v>215</v>
      </c>
      <c r="F210" s="13"/>
      <c r="G210" s="30" t="s">
        <v>24</v>
      </c>
      <c r="H210" s="13"/>
      <c r="I210" s="14" t="s">
        <v>115</v>
      </c>
      <c r="J210" s="117"/>
      <c r="K210" s="118" t="str">
        <f t="shared" si="17"/>
        <v/>
      </c>
      <c r="L210" s="119" t="str">
        <f t="shared" si="18"/>
        <v/>
      </c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AA210" s="3"/>
      <c r="AB210" s="116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28"/>
      <c r="B211" s="131"/>
      <c r="C211" s="130"/>
      <c r="D211" s="130"/>
      <c r="E211" s="14" t="s">
        <v>31</v>
      </c>
      <c r="F211" s="30"/>
      <c r="G211" s="30" t="s">
        <v>24</v>
      </c>
      <c r="H211" s="30"/>
      <c r="I211" s="14">
        <v>0.0</v>
      </c>
      <c r="J211" s="117"/>
      <c r="K211" s="118" t="str">
        <f t="shared" si="17"/>
        <v/>
      </c>
      <c r="L211" s="119" t="str">
        <f t="shared" si="18"/>
        <v/>
      </c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AA211" s="3"/>
      <c r="AB211" s="116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143"/>
      <c r="E212" s="116"/>
      <c r="I212" s="116"/>
      <c r="AA212" s="3"/>
      <c r="AB212" s="116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143"/>
      <c r="E213" s="116"/>
      <c r="I213" s="116"/>
      <c r="AA213" s="3"/>
      <c r="AB213" s="116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143"/>
      <c r="E214" s="116"/>
      <c r="I214" s="116"/>
      <c r="AA214" s="3"/>
      <c r="AB214" s="116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143"/>
      <c r="E215" s="116"/>
      <c r="I215" s="116"/>
      <c r="AA215" s="3"/>
      <c r="AB215" s="116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51" t="s">
        <v>218</v>
      </c>
      <c r="H216" s="2"/>
      <c r="I216" s="3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J216" s="3"/>
    </row>
    <row r="217" ht="15.75" customHeight="1">
      <c r="A217" s="5" t="s">
        <v>1</v>
      </c>
      <c r="B217" s="5" t="s">
        <v>2</v>
      </c>
      <c r="C217" s="5" t="s">
        <v>3</v>
      </c>
      <c r="D217" s="5" t="s">
        <v>4</v>
      </c>
      <c r="E217" s="5" t="s">
        <v>5</v>
      </c>
      <c r="F217" s="6" t="s">
        <v>6</v>
      </c>
      <c r="G217" s="7"/>
      <c r="H217" s="8"/>
      <c r="I217" s="5" t="s">
        <v>7</v>
      </c>
      <c r="J217" s="9" t="s">
        <v>8</v>
      </c>
      <c r="K217" s="9" t="s">
        <v>9</v>
      </c>
      <c r="L217" s="9" t="s">
        <v>10</v>
      </c>
      <c r="M217" s="9"/>
      <c r="N217" s="9" t="s">
        <v>11</v>
      </c>
      <c r="O217" s="9" t="s">
        <v>12</v>
      </c>
      <c r="P217" s="9" t="s">
        <v>13</v>
      </c>
      <c r="Q217" s="9" t="s">
        <v>14</v>
      </c>
      <c r="R217" s="9"/>
      <c r="S217" s="9" t="s">
        <v>16</v>
      </c>
      <c r="T217" s="144" t="s">
        <v>196</v>
      </c>
      <c r="U217" s="144" t="s">
        <v>197</v>
      </c>
      <c r="V217" s="144" t="s">
        <v>198</v>
      </c>
      <c r="W217" s="56"/>
      <c r="X217" s="56"/>
      <c r="Y217" s="56"/>
      <c r="Z217" s="56"/>
      <c r="AA217" s="5" t="s">
        <v>11</v>
      </c>
      <c r="AB217" s="5" t="s">
        <v>12</v>
      </c>
      <c r="AC217" s="5" t="s">
        <v>13</v>
      </c>
      <c r="AD217" s="5" t="s">
        <v>14</v>
      </c>
      <c r="AE217" s="5" t="s">
        <v>15</v>
      </c>
      <c r="AF217" s="5" t="s">
        <v>16</v>
      </c>
      <c r="AG217" s="145" t="s">
        <v>196</v>
      </c>
      <c r="AH217" s="145" t="s">
        <v>197</v>
      </c>
      <c r="AI217" s="145" t="s">
        <v>198</v>
      </c>
      <c r="AJ217" s="3"/>
    </row>
    <row r="218" ht="15.75" customHeight="1">
      <c r="A218" s="84">
        <v>1.0</v>
      </c>
      <c r="B218" s="39"/>
      <c r="C218" s="12"/>
      <c r="D218" s="12"/>
      <c r="E218" s="40" t="s">
        <v>126</v>
      </c>
      <c r="F218" s="13"/>
      <c r="G218" s="16" t="s">
        <v>24</v>
      </c>
      <c r="H218" s="13"/>
      <c r="I218" s="40" t="s">
        <v>127</v>
      </c>
      <c r="J218" s="4"/>
      <c r="K218" s="118" t="str">
        <f t="shared" ref="K218:K220" si="25">IFS(F218=H218+2,3,F218=H218-2,0,F218=H218+1,2,F218=H218-1,1,F218="","")</f>
        <v/>
      </c>
      <c r="L218" s="119" t="str">
        <f t="shared" ref="L218:L220" si="26">IFS(H218=F218+2,3,H218=F218-2,0,H218=F218+1,2,H218=F218-1,1,H218="","")</f>
        <v/>
      </c>
      <c r="M218" s="4"/>
      <c r="N218" s="17">
        <v>1.0</v>
      </c>
      <c r="O218" s="70" t="s">
        <v>126</v>
      </c>
      <c r="P218" s="17">
        <f t="shared" ref="P218:P220" si="27">SUMIF(E$218:E$220,O218,K$218:K$220)+SUMIF(I$218:I$220,O218,L$218:L$220)</f>
        <v>0</v>
      </c>
      <c r="Q218" s="17">
        <f t="shared" ref="Q218:Q220" si="28">COUNTIFS(E$218:E$220,O218,K$218:K$220,2)+COUNTIFS(I$218:I$220,O218,L$218:L$220,2)+COUNTIFS(E$218:E$220,O218,K$218:K$220,3)+COUNTIFS(I$218:I$220,O218,L$218:L$220,3)</f>
        <v>0</v>
      </c>
      <c r="S218" s="19">
        <f t="shared" ref="S218:S220" si="29">COUNTIFS(E$218:E$220,O218,K$218:K$220,1)+COUNTIFS(I$218:I$220,O218,L$218:L$220,1)+COUNTIFS(E$218:E$220,O218,K$218:K$220,0)+COUNTIFS(I$218:I$220,O218,L$218:L$220,0)</f>
        <v>0</v>
      </c>
      <c r="T218" s="17">
        <f t="shared" ref="T218:T220" si="30">SUMIF(E$218:E$220,O218,F$218:F$220)+SUMIF(I$218:I$220,O218,H$218:H$220)</f>
        <v>0</v>
      </c>
      <c r="U218" s="19">
        <f t="shared" ref="U218:U220" si="31">SUMIF(E$218:E$220,O218,H$218:H$220)+SUMIF(I$118:I$220,O218,F$118:F$220)</f>
        <v>0</v>
      </c>
      <c r="V218" s="17">
        <f t="shared" ref="V218:V220" si="32">T218-U218</f>
        <v>0</v>
      </c>
      <c r="W218" s="56"/>
      <c r="X218" s="56"/>
      <c r="Y218" s="56"/>
      <c r="Z218" s="56"/>
      <c r="AA218" s="85">
        <v>1.0</v>
      </c>
      <c r="AB218" s="63" t="str">
        <f t="array" ref="AB218:AI220">SORT(O218:V220,2,FALSE,8,FALSE)</f>
        <v>9º Class. 1ª Div.</v>
      </c>
      <c r="AC218" s="22">
        <v>0.0</v>
      </c>
      <c r="AD218" s="22">
        <v>0.0</v>
      </c>
      <c r="AE218" s="23"/>
      <c r="AF218" s="23">
        <v>0.0</v>
      </c>
      <c r="AG218" s="22">
        <v>0.0</v>
      </c>
      <c r="AH218" s="23">
        <v>0.0</v>
      </c>
      <c r="AI218" s="22">
        <v>0.0</v>
      </c>
      <c r="AJ218" s="3"/>
    </row>
    <row r="219" ht="15.75" customHeight="1">
      <c r="A219" s="84">
        <v>2.0</v>
      </c>
      <c r="B219" s="39"/>
      <c r="C219" s="12"/>
      <c r="D219" s="12"/>
      <c r="E219" s="40" t="s">
        <v>127</v>
      </c>
      <c r="F219" s="13"/>
      <c r="G219" s="16" t="s">
        <v>24</v>
      </c>
      <c r="H219" s="13"/>
      <c r="I219" s="40" t="s">
        <v>128</v>
      </c>
      <c r="J219" s="4"/>
      <c r="K219" s="118" t="str">
        <f t="shared" si="25"/>
        <v/>
      </c>
      <c r="L219" s="119" t="str">
        <f t="shared" si="26"/>
        <v/>
      </c>
      <c r="M219" s="4"/>
      <c r="N219" s="17">
        <v>2.0</v>
      </c>
      <c r="O219" s="70" t="s">
        <v>127</v>
      </c>
      <c r="P219" s="17">
        <f t="shared" si="27"/>
        <v>0</v>
      </c>
      <c r="Q219" s="17">
        <f t="shared" si="28"/>
        <v>0</v>
      </c>
      <c r="S219" s="19">
        <f t="shared" si="29"/>
        <v>0</v>
      </c>
      <c r="T219" s="17">
        <f t="shared" si="30"/>
        <v>0</v>
      </c>
      <c r="U219" s="19">
        <f t="shared" si="31"/>
        <v>0</v>
      </c>
      <c r="V219" s="17">
        <f t="shared" si="32"/>
        <v>0</v>
      </c>
      <c r="W219" s="56"/>
      <c r="X219" s="56"/>
      <c r="Y219" s="56"/>
      <c r="Z219" s="56"/>
      <c r="AA219" s="85">
        <v>2.0</v>
      </c>
      <c r="AB219" s="63" t="s">
        <v>127</v>
      </c>
      <c r="AC219" s="22">
        <v>0.0</v>
      </c>
      <c r="AD219" s="22">
        <v>0.0</v>
      </c>
      <c r="AE219" s="23"/>
      <c r="AF219" s="23">
        <v>0.0</v>
      </c>
      <c r="AG219" s="22">
        <v>0.0</v>
      </c>
      <c r="AH219" s="23">
        <v>0.0</v>
      </c>
      <c r="AI219" s="22">
        <v>0.0</v>
      </c>
      <c r="AJ219" s="3"/>
    </row>
    <row r="220" ht="15.75" customHeight="1">
      <c r="A220" s="84">
        <v>3.0</v>
      </c>
      <c r="B220" s="39"/>
      <c r="C220" s="12"/>
      <c r="D220" s="12"/>
      <c r="E220" s="40" t="s">
        <v>128</v>
      </c>
      <c r="F220" s="13"/>
      <c r="G220" s="16" t="s">
        <v>24</v>
      </c>
      <c r="H220" s="13"/>
      <c r="I220" s="40" t="s">
        <v>126</v>
      </c>
      <c r="J220" s="4"/>
      <c r="K220" s="118" t="str">
        <f t="shared" si="25"/>
        <v/>
      </c>
      <c r="L220" s="119" t="str">
        <f t="shared" si="26"/>
        <v/>
      </c>
      <c r="M220" s="4"/>
      <c r="N220" s="17">
        <v>3.0</v>
      </c>
      <c r="O220" s="70" t="s">
        <v>128</v>
      </c>
      <c r="P220" s="17">
        <f t="shared" si="27"/>
        <v>0</v>
      </c>
      <c r="Q220" s="17">
        <f t="shared" si="28"/>
        <v>0</v>
      </c>
      <c r="S220" s="19">
        <f t="shared" si="29"/>
        <v>0</v>
      </c>
      <c r="T220" s="17">
        <f t="shared" si="30"/>
        <v>0</v>
      </c>
      <c r="U220" s="19">
        <f t="shared" si="31"/>
        <v>0</v>
      </c>
      <c r="V220" s="17">
        <f t="shared" si="32"/>
        <v>0</v>
      </c>
      <c r="W220" s="56"/>
      <c r="X220" s="56"/>
      <c r="Y220" s="56"/>
      <c r="Z220" s="56"/>
      <c r="AA220" s="21">
        <v>3.0</v>
      </c>
      <c r="AB220" s="63" t="s">
        <v>128</v>
      </c>
      <c r="AC220" s="22">
        <v>0.0</v>
      </c>
      <c r="AD220" s="22">
        <v>0.0</v>
      </c>
      <c r="AE220" s="23"/>
      <c r="AF220" s="23">
        <v>0.0</v>
      </c>
      <c r="AG220" s="22">
        <v>0.0</v>
      </c>
      <c r="AH220" s="23">
        <v>0.0</v>
      </c>
      <c r="AI220" s="22">
        <v>0.0</v>
      </c>
      <c r="AJ220" s="3"/>
    </row>
    <row r="221" ht="15.75" customHeight="1">
      <c r="A221" s="83"/>
      <c r="B221" s="56"/>
      <c r="C221" s="56"/>
      <c r="D221" s="56"/>
      <c r="E221" s="36"/>
      <c r="F221" s="56"/>
      <c r="G221" s="56"/>
      <c r="H221" s="56"/>
      <c r="I221" s="3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4"/>
      <c r="AD221" s="36"/>
      <c r="AF221" s="36"/>
      <c r="AJ221" s="3"/>
    </row>
    <row r="222" ht="15.75" customHeight="1">
      <c r="A222" s="83"/>
      <c r="B222" s="56"/>
      <c r="C222" s="56"/>
      <c r="D222" s="56"/>
      <c r="E222" s="36"/>
      <c r="F222" s="56"/>
      <c r="G222" s="56"/>
      <c r="H222" s="56"/>
      <c r="I222" s="3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F222" s="36"/>
      <c r="AJ222" s="3"/>
    </row>
    <row r="223" ht="15.75" customHeight="1">
      <c r="A223" s="83"/>
      <c r="B223" s="56"/>
      <c r="C223" s="56"/>
      <c r="D223" s="56"/>
      <c r="E223" s="36"/>
      <c r="F223" s="56"/>
      <c r="G223" s="56"/>
      <c r="H223" s="56"/>
      <c r="I223" s="3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F223" s="36"/>
      <c r="AJ223" s="3"/>
    </row>
    <row r="224" ht="15.75" customHeight="1">
      <c r="A224" s="83"/>
      <c r="B224" s="56"/>
      <c r="C224" s="56"/>
      <c r="D224" s="56"/>
      <c r="E224" s="36"/>
      <c r="F224" s="56"/>
      <c r="G224" s="56"/>
      <c r="H224" s="56"/>
      <c r="I224" s="3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F224" s="36"/>
      <c r="AJ224" s="3"/>
    </row>
    <row r="225" ht="15.75" customHeight="1">
      <c r="A225" s="51" t="s">
        <v>219</v>
      </c>
      <c r="H225" s="2"/>
      <c r="I225" s="3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F225" s="36"/>
      <c r="AJ225" s="3"/>
    </row>
    <row r="226" ht="15.75" customHeight="1">
      <c r="A226" s="5" t="s">
        <v>1</v>
      </c>
      <c r="B226" s="5" t="s">
        <v>2</v>
      </c>
      <c r="C226" s="5" t="s">
        <v>3</v>
      </c>
      <c r="D226" s="5" t="s">
        <v>4</v>
      </c>
      <c r="E226" s="5" t="s">
        <v>5</v>
      </c>
      <c r="F226" s="6" t="s">
        <v>6</v>
      </c>
      <c r="G226" s="7"/>
      <c r="H226" s="8"/>
      <c r="I226" s="5" t="s">
        <v>7</v>
      </c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F226" s="36"/>
      <c r="AJ226" s="3"/>
    </row>
    <row r="227" ht="15.75" customHeight="1">
      <c r="A227" s="52" t="s">
        <v>68</v>
      </c>
      <c r="B227" s="39"/>
      <c r="C227" s="12"/>
      <c r="D227" s="12"/>
      <c r="E227" s="40" t="s">
        <v>69</v>
      </c>
      <c r="F227" s="30"/>
      <c r="G227" s="16" t="s">
        <v>24</v>
      </c>
      <c r="H227" s="30"/>
      <c r="I227" s="40" t="s">
        <v>130</v>
      </c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F227" s="36"/>
      <c r="AJ227" s="3"/>
    </row>
    <row r="228" ht="15.75" customHeight="1">
      <c r="A228" s="24"/>
      <c r="B228" s="39"/>
      <c r="C228" s="12"/>
      <c r="D228" s="12"/>
      <c r="E228" s="40" t="s">
        <v>71</v>
      </c>
      <c r="F228" s="30"/>
      <c r="G228" s="16" t="s">
        <v>24</v>
      </c>
      <c r="H228" s="30"/>
      <c r="I228" s="40" t="s">
        <v>131</v>
      </c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F228" s="36"/>
      <c r="AJ228" s="3"/>
    </row>
    <row r="229" ht="15.75" customHeight="1">
      <c r="A229" s="24"/>
      <c r="B229" s="39"/>
      <c r="C229" s="12"/>
      <c r="D229" s="12"/>
      <c r="E229" s="40" t="s">
        <v>73</v>
      </c>
      <c r="F229" s="30"/>
      <c r="G229" s="16" t="s">
        <v>24</v>
      </c>
      <c r="H229" s="30"/>
      <c r="I229" s="40" t="s">
        <v>74</v>
      </c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36"/>
      <c r="AE229" s="36"/>
      <c r="AF229" s="36"/>
      <c r="AG229" s="36"/>
      <c r="AH229" s="36"/>
      <c r="AI229" s="36"/>
      <c r="AJ229" s="3"/>
    </row>
    <row r="230" ht="15.75" customHeight="1">
      <c r="A230" s="28"/>
      <c r="B230" s="39"/>
      <c r="C230" s="12"/>
      <c r="D230" s="12"/>
      <c r="E230" s="40" t="s">
        <v>75</v>
      </c>
      <c r="F230" s="30"/>
      <c r="G230" s="16" t="s">
        <v>24</v>
      </c>
      <c r="H230" s="30"/>
      <c r="I230" s="40" t="s">
        <v>76</v>
      </c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36"/>
      <c r="AE230" s="36"/>
      <c r="AF230" s="36"/>
      <c r="AG230" s="36"/>
      <c r="AH230" s="36"/>
      <c r="AI230" s="36"/>
      <c r="AJ230" s="3"/>
    </row>
    <row r="231" ht="15.75" customHeight="1">
      <c r="A231" s="53" t="s">
        <v>77</v>
      </c>
      <c r="B231" s="39"/>
      <c r="C231" s="12"/>
      <c r="D231" s="12"/>
      <c r="E231" s="40" t="s">
        <v>78</v>
      </c>
      <c r="F231" s="30"/>
      <c r="G231" s="16" t="s">
        <v>24</v>
      </c>
      <c r="H231" s="30"/>
      <c r="I231" s="40" t="s">
        <v>79</v>
      </c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36"/>
      <c r="AE231" s="36"/>
      <c r="AF231" s="36"/>
      <c r="AG231" s="36"/>
      <c r="AH231" s="36"/>
      <c r="AI231" s="36"/>
      <c r="AJ231" s="3"/>
    </row>
    <row r="232" ht="15.75" customHeight="1">
      <c r="A232" s="24"/>
      <c r="B232" s="49"/>
      <c r="C232" s="30"/>
      <c r="D232" s="12"/>
      <c r="E232" s="42" t="s">
        <v>80</v>
      </c>
      <c r="F232" s="13"/>
      <c r="G232" s="16" t="s">
        <v>24</v>
      </c>
      <c r="H232" s="13"/>
      <c r="I232" s="40" t="s">
        <v>81</v>
      </c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36"/>
      <c r="AE232" s="36"/>
      <c r="AF232" s="36"/>
      <c r="AG232" s="36"/>
      <c r="AH232" s="36"/>
      <c r="AI232" s="36"/>
      <c r="AJ232" s="3"/>
    </row>
    <row r="233" ht="15.75" customHeight="1">
      <c r="A233" s="54" t="s">
        <v>82</v>
      </c>
      <c r="B233" s="29"/>
      <c r="C233" s="30"/>
      <c r="D233" s="12"/>
      <c r="E233" s="40" t="s">
        <v>83</v>
      </c>
      <c r="F233" s="30"/>
      <c r="G233" s="16" t="s">
        <v>24</v>
      </c>
      <c r="H233" s="30"/>
      <c r="I233" s="43" t="s">
        <v>84</v>
      </c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36"/>
      <c r="AE233" s="36"/>
      <c r="AF233" s="36"/>
      <c r="AG233" s="36"/>
      <c r="AH233" s="36"/>
      <c r="AI233" s="36"/>
      <c r="AJ233" s="3"/>
    </row>
    <row r="234" ht="15.75" customHeight="1">
      <c r="A234" s="54" t="s">
        <v>85</v>
      </c>
      <c r="B234" s="29"/>
      <c r="C234" s="30"/>
      <c r="D234" s="12"/>
      <c r="E234" s="40" t="s">
        <v>86</v>
      </c>
      <c r="F234" s="30"/>
      <c r="G234" s="16" t="s">
        <v>24</v>
      </c>
      <c r="H234" s="30"/>
      <c r="I234" s="40" t="s">
        <v>87</v>
      </c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36"/>
      <c r="AE234" s="36"/>
      <c r="AF234" s="36"/>
      <c r="AG234" s="36"/>
      <c r="AH234" s="36"/>
      <c r="AI234" s="36"/>
      <c r="AJ234" s="3"/>
    </row>
    <row r="235" ht="15.75" customHeight="1">
      <c r="A235" s="143"/>
      <c r="E235" s="116"/>
      <c r="I235" s="116"/>
      <c r="AA235" s="3"/>
      <c r="AB235" s="116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143"/>
      <c r="E236" s="116"/>
      <c r="I236" s="116"/>
      <c r="AA236" s="3"/>
      <c r="AB236" s="116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143"/>
      <c r="E237" s="116"/>
      <c r="I237" s="116"/>
      <c r="AA237" s="3"/>
      <c r="AB237" s="116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143"/>
      <c r="E238" s="116"/>
      <c r="I238" s="116"/>
      <c r="AA238" s="3"/>
      <c r="AB238" s="116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143"/>
      <c r="E239" s="116"/>
      <c r="I239" s="116"/>
      <c r="AA239" s="3"/>
      <c r="AB239" s="116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143"/>
      <c r="E240" s="116"/>
      <c r="I240" s="116"/>
      <c r="AA240" s="3"/>
      <c r="AB240" s="116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143"/>
      <c r="E241" s="116"/>
      <c r="I241" s="116"/>
      <c r="AA241" s="3"/>
      <c r="AB241" s="116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143"/>
      <c r="E242" s="116"/>
      <c r="I242" s="116"/>
      <c r="AA242" s="3"/>
      <c r="AB242" s="116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143"/>
      <c r="E243" s="116"/>
      <c r="I243" s="116"/>
      <c r="AA243" s="3"/>
      <c r="AB243" s="116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143"/>
      <c r="E244" s="116"/>
      <c r="I244" s="116"/>
      <c r="AA244" s="3"/>
      <c r="AB244" s="116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143"/>
      <c r="E245" s="116"/>
      <c r="I245" s="116"/>
      <c r="AA245" s="3"/>
      <c r="AB245" s="116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143"/>
      <c r="E246" s="116"/>
      <c r="I246" s="116"/>
      <c r="AA246" s="3"/>
      <c r="AB246" s="116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143"/>
      <c r="E247" s="116"/>
      <c r="I247" s="116"/>
      <c r="AA247" s="3"/>
      <c r="AB247" s="116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143"/>
      <c r="E248" s="116"/>
      <c r="I248" s="116"/>
      <c r="AA248" s="3"/>
      <c r="AB248" s="116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143"/>
      <c r="E249" s="116"/>
      <c r="I249" s="116"/>
      <c r="AA249" s="3"/>
      <c r="AB249" s="116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143"/>
      <c r="E250" s="116"/>
      <c r="I250" s="116"/>
      <c r="AA250" s="3"/>
      <c r="AB250" s="116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143"/>
      <c r="E251" s="116"/>
      <c r="I251" s="116"/>
      <c r="AA251" s="3"/>
      <c r="AB251" s="116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143"/>
      <c r="E252" s="116"/>
      <c r="I252" s="116"/>
      <c r="AA252" s="3"/>
      <c r="AB252" s="116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143"/>
      <c r="E253" s="116"/>
      <c r="I253" s="116"/>
      <c r="AA253" s="3"/>
      <c r="AB253" s="116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143"/>
      <c r="E254" s="116"/>
      <c r="I254" s="116"/>
      <c r="AA254" s="3"/>
      <c r="AB254" s="116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143"/>
      <c r="E255" s="116"/>
      <c r="I255" s="116"/>
      <c r="AA255" s="3"/>
      <c r="AB255" s="116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143"/>
      <c r="E256" s="116"/>
      <c r="I256" s="116"/>
      <c r="AA256" s="3"/>
      <c r="AB256" s="116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143"/>
      <c r="E257" s="116"/>
      <c r="I257" s="116"/>
      <c r="AA257" s="3"/>
      <c r="AB257" s="116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143"/>
      <c r="E258" s="116"/>
      <c r="I258" s="116"/>
      <c r="AA258" s="3"/>
      <c r="AB258" s="116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143"/>
      <c r="E259" s="116"/>
      <c r="I259" s="116"/>
      <c r="AA259" s="3"/>
      <c r="AB259" s="116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143"/>
      <c r="E260" s="116"/>
      <c r="I260" s="116"/>
      <c r="AA260" s="3"/>
      <c r="AB260" s="116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143"/>
      <c r="E261" s="116"/>
      <c r="I261" s="116"/>
      <c r="AA261" s="3"/>
      <c r="AB261" s="116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143"/>
      <c r="E262" s="116"/>
      <c r="I262" s="116"/>
      <c r="AA262" s="3"/>
      <c r="AB262" s="116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143"/>
      <c r="E263" s="116"/>
      <c r="I263" s="116"/>
      <c r="AA263" s="3"/>
      <c r="AB263" s="116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143"/>
      <c r="E264" s="116"/>
      <c r="I264" s="116"/>
      <c r="AA264" s="3"/>
      <c r="AB264" s="116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143"/>
      <c r="E265" s="116"/>
      <c r="I265" s="116"/>
      <c r="AA265" s="3"/>
      <c r="AB265" s="116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143"/>
      <c r="E266" s="116"/>
      <c r="I266" s="116"/>
      <c r="AA266" s="3"/>
      <c r="AB266" s="116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143"/>
      <c r="E267" s="116"/>
      <c r="I267" s="116"/>
      <c r="AA267" s="3"/>
      <c r="AB267" s="116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143"/>
      <c r="E268" s="116"/>
      <c r="I268" s="116"/>
      <c r="AA268" s="3"/>
      <c r="AB268" s="116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143"/>
      <c r="E269" s="116"/>
      <c r="I269" s="116"/>
      <c r="AA269" s="3"/>
      <c r="AB269" s="116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143"/>
      <c r="E270" s="116"/>
      <c r="I270" s="116"/>
      <c r="AA270" s="3"/>
      <c r="AB270" s="116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143"/>
      <c r="E271" s="116"/>
      <c r="I271" s="116"/>
      <c r="AA271" s="3"/>
      <c r="AB271" s="116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143"/>
      <c r="E272" s="116"/>
      <c r="I272" s="116"/>
      <c r="AA272" s="3"/>
      <c r="AB272" s="116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143"/>
      <c r="E273" s="116"/>
      <c r="I273" s="116"/>
      <c r="AA273" s="3"/>
      <c r="AB273" s="116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143"/>
      <c r="E274" s="116"/>
      <c r="I274" s="116"/>
      <c r="AA274" s="3"/>
      <c r="AB274" s="116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143"/>
      <c r="E275" s="116"/>
      <c r="I275" s="116"/>
      <c r="AA275" s="3"/>
      <c r="AB275" s="116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143"/>
      <c r="E276" s="116"/>
      <c r="I276" s="116"/>
      <c r="AA276" s="3"/>
      <c r="AB276" s="116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143"/>
      <c r="E277" s="116"/>
      <c r="I277" s="116"/>
      <c r="AA277" s="3"/>
      <c r="AB277" s="116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143"/>
      <c r="E278" s="116"/>
      <c r="I278" s="116"/>
      <c r="AA278" s="3"/>
      <c r="AB278" s="116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143"/>
      <c r="E279" s="116"/>
      <c r="I279" s="116"/>
      <c r="AA279" s="3"/>
      <c r="AB279" s="116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143"/>
      <c r="E280" s="116"/>
      <c r="I280" s="116"/>
      <c r="AA280" s="3"/>
      <c r="AB280" s="116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143"/>
      <c r="E281" s="116"/>
      <c r="I281" s="116"/>
      <c r="AA281" s="3"/>
      <c r="AB281" s="116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143"/>
      <c r="E282" s="116"/>
      <c r="I282" s="116"/>
      <c r="AA282" s="3"/>
      <c r="AB282" s="116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143"/>
      <c r="E283" s="116"/>
      <c r="I283" s="116"/>
      <c r="AA283" s="3"/>
      <c r="AB283" s="116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143"/>
      <c r="E284" s="116"/>
      <c r="I284" s="116"/>
      <c r="AA284" s="3"/>
      <c r="AB284" s="116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143"/>
      <c r="E285" s="116"/>
      <c r="I285" s="116"/>
      <c r="AA285" s="3"/>
      <c r="AB285" s="116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143"/>
      <c r="E286" s="116"/>
      <c r="I286" s="116"/>
      <c r="AA286" s="3"/>
      <c r="AB286" s="116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143"/>
      <c r="E287" s="116"/>
      <c r="I287" s="116"/>
      <c r="AA287" s="3"/>
      <c r="AB287" s="116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143"/>
      <c r="E288" s="116"/>
      <c r="I288" s="116"/>
      <c r="AA288" s="3"/>
      <c r="AB288" s="116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143"/>
      <c r="E289" s="116"/>
      <c r="I289" s="116"/>
      <c r="AA289" s="3"/>
      <c r="AB289" s="116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143"/>
      <c r="E290" s="116"/>
      <c r="I290" s="116"/>
      <c r="AA290" s="3"/>
      <c r="AB290" s="116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143"/>
      <c r="E291" s="116"/>
      <c r="I291" s="116"/>
      <c r="AA291" s="3"/>
      <c r="AB291" s="116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143"/>
      <c r="E292" s="116"/>
      <c r="I292" s="116"/>
      <c r="AA292" s="3"/>
      <c r="AB292" s="116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143"/>
      <c r="E293" s="116"/>
      <c r="I293" s="116"/>
      <c r="AA293" s="3"/>
      <c r="AB293" s="116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143"/>
      <c r="E294" s="116"/>
      <c r="I294" s="116"/>
      <c r="AA294" s="3"/>
      <c r="AB294" s="116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143"/>
      <c r="E295" s="116"/>
      <c r="I295" s="116"/>
      <c r="AA295" s="3"/>
      <c r="AB295" s="116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143"/>
      <c r="E296" s="116"/>
      <c r="I296" s="116"/>
      <c r="AA296" s="3"/>
      <c r="AB296" s="116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143"/>
      <c r="E297" s="116"/>
      <c r="I297" s="116"/>
      <c r="AA297" s="3"/>
      <c r="AB297" s="116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143"/>
      <c r="E298" s="116"/>
      <c r="I298" s="116"/>
      <c r="AA298" s="3"/>
      <c r="AB298" s="116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143"/>
      <c r="E299" s="116"/>
      <c r="I299" s="116"/>
      <c r="AA299" s="3"/>
      <c r="AB299" s="116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143"/>
      <c r="E300" s="116"/>
      <c r="I300" s="116"/>
      <c r="AA300" s="3"/>
      <c r="AB300" s="116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143"/>
      <c r="E301" s="116"/>
      <c r="I301" s="116"/>
      <c r="AA301" s="3"/>
      <c r="AB301" s="116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143"/>
      <c r="E302" s="116"/>
      <c r="I302" s="116"/>
      <c r="AA302" s="3"/>
      <c r="AB302" s="116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143"/>
      <c r="E303" s="116"/>
      <c r="I303" s="116"/>
      <c r="AA303" s="3"/>
      <c r="AB303" s="116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143"/>
      <c r="E304" s="116"/>
      <c r="I304" s="116"/>
      <c r="AA304" s="3"/>
      <c r="AB304" s="116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143"/>
      <c r="E305" s="116"/>
      <c r="I305" s="116"/>
      <c r="AA305" s="3"/>
      <c r="AB305" s="116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143"/>
      <c r="E306" s="116"/>
      <c r="I306" s="116"/>
      <c r="AA306" s="3"/>
      <c r="AB306" s="116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143"/>
      <c r="E307" s="116"/>
      <c r="I307" s="116"/>
      <c r="AA307" s="3"/>
      <c r="AB307" s="116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143"/>
      <c r="E308" s="116"/>
      <c r="I308" s="116"/>
      <c r="AA308" s="3"/>
      <c r="AB308" s="116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143"/>
      <c r="E309" s="116"/>
      <c r="I309" s="116"/>
      <c r="AA309" s="3"/>
      <c r="AB309" s="116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143"/>
      <c r="E310" s="116"/>
      <c r="I310" s="116"/>
      <c r="AA310" s="3"/>
      <c r="AB310" s="116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143"/>
      <c r="E311" s="116"/>
      <c r="I311" s="116"/>
      <c r="AA311" s="3"/>
      <c r="AB311" s="116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143"/>
      <c r="E312" s="116"/>
      <c r="I312" s="116"/>
      <c r="AA312" s="3"/>
      <c r="AB312" s="116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143"/>
      <c r="E313" s="116"/>
      <c r="I313" s="116"/>
      <c r="AA313" s="3"/>
      <c r="AB313" s="116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143"/>
      <c r="E314" s="116"/>
      <c r="I314" s="116"/>
      <c r="AA314" s="3"/>
      <c r="AB314" s="116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143"/>
      <c r="E315" s="116"/>
      <c r="I315" s="116"/>
      <c r="AA315" s="3"/>
      <c r="AB315" s="116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143"/>
      <c r="E316" s="116"/>
      <c r="I316" s="116"/>
      <c r="AA316" s="3"/>
      <c r="AB316" s="116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143"/>
      <c r="E317" s="116"/>
      <c r="I317" s="116"/>
      <c r="AA317" s="3"/>
      <c r="AB317" s="116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143"/>
      <c r="E318" s="116"/>
      <c r="I318" s="116"/>
      <c r="AA318" s="3"/>
      <c r="AB318" s="116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143"/>
      <c r="E319" s="116"/>
      <c r="I319" s="116"/>
      <c r="AA319" s="3"/>
      <c r="AB319" s="116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143"/>
      <c r="E320" s="116"/>
      <c r="I320" s="116"/>
      <c r="AA320" s="3"/>
      <c r="AB320" s="116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143"/>
      <c r="E321" s="116"/>
      <c r="I321" s="116"/>
      <c r="AA321" s="3"/>
      <c r="AB321" s="116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143"/>
      <c r="E322" s="116"/>
      <c r="I322" s="116"/>
      <c r="AA322" s="3"/>
      <c r="AB322" s="116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143"/>
      <c r="E323" s="116"/>
      <c r="I323" s="116"/>
      <c r="AA323" s="3"/>
      <c r="AB323" s="116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143"/>
      <c r="E324" s="116"/>
      <c r="I324" s="116"/>
      <c r="AA324" s="3"/>
      <c r="AB324" s="116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143"/>
      <c r="E325" s="116"/>
      <c r="I325" s="116"/>
      <c r="AA325" s="3"/>
      <c r="AB325" s="116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143"/>
      <c r="E326" s="116"/>
      <c r="I326" s="116"/>
      <c r="AA326" s="3"/>
      <c r="AB326" s="116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143"/>
      <c r="E327" s="116"/>
      <c r="I327" s="116"/>
      <c r="AA327" s="3"/>
      <c r="AB327" s="116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143"/>
      <c r="E328" s="116"/>
      <c r="I328" s="116"/>
      <c r="AA328" s="3"/>
      <c r="AB328" s="116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143"/>
      <c r="E329" s="116"/>
      <c r="I329" s="116"/>
      <c r="AA329" s="3"/>
      <c r="AB329" s="116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143"/>
      <c r="E330" s="116"/>
      <c r="I330" s="116"/>
      <c r="AA330" s="3"/>
      <c r="AB330" s="116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143"/>
      <c r="E331" s="116"/>
      <c r="I331" s="116"/>
      <c r="AA331" s="3"/>
      <c r="AB331" s="116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143"/>
      <c r="E332" s="116"/>
      <c r="I332" s="116"/>
      <c r="AA332" s="3"/>
      <c r="AB332" s="116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143"/>
      <c r="E333" s="116"/>
      <c r="I333" s="116"/>
      <c r="AA333" s="3"/>
      <c r="AB333" s="116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143"/>
      <c r="E334" s="116"/>
      <c r="I334" s="116"/>
      <c r="AA334" s="3"/>
      <c r="AB334" s="116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143"/>
      <c r="E335" s="116"/>
      <c r="I335" s="116"/>
      <c r="AA335" s="3"/>
      <c r="AB335" s="116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143"/>
      <c r="E336" s="116"/>
      <c r="I336" s="116"/>
      <c r="AA336" s="3"/>
      <c r="AB336" s="116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143"/>
      <c r="E337" s="116"/>
      <c r="I337" s="116"/>
      <c r="AA337" s="3"/>
      <c r="AB337" s="116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143"/>
      <c r="E338" s="116"/>
      <c r="I338" s="116"/>
      <c r="AA338" s="3"/>
      <c r="AB338" s="116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143"/>
      <c r="E339" s="116"/>
      <c r="I339" s="116"/>
      <c r="AA339" s="3"/>
      <c r="AB339" s="116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143"/>
      <c r="E340" s="116"/>
      <c r="I340" s="116"/>
      <c r="AA340" s="3"/>
      <c r="AB340" s="116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143"/>
      <c r="E341" s="116"/>
      <c r="I341" s="116"/>
      <c r="AA341" s="3"/>
      <c r="AB341" s="116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143"/>
      <c r="E342" s="116"/>
      <c r="I342" s="116"/>
      <c r="AA342" s="3"/>
      <c r="AB342" s="116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143"/>
      <c r="E343" s="116"/>
      <c r="I343" s="116"/>
      <c r="AA343" s="3"/>
      <c r="AB343" s="116"/>
      <c r="AC343" s="3"/>
      <c r="AD343" s="3"/>
      <c r="AE343" s="3"/>
      <c r="AF343" s="3"/>
      <c r="AG343" s="3"/>
      <c r="AH343" s="3"/>
      <c r="AI343" s="3"/>
      <c r="AJ343" s="3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62">
    <mergeCell ref="A200:A205"/>
    <mergeCell ref="A206:A211"/>
    <mergeCell ref="A216:G216"/>
    <mergeCell ref="F217:H217"/>
    <mergeCell ref="AA221:AC228"/>
    <mergeCell ref="AD221:AE228"/>
    <mergeCell ref="A225:G225"/>
    <mergeCell ref="F226:H226"/>
    <mergeCell ref="A227:A230"/>
    <mergeCell ref="A231:A232"/>
    <mergeCell ref="A158:A163"/>
    <mergeCell ref="A164:A169"/>
    <mergeCell ref="A170:A175"/>
    <mergeCell ref="A176:A181"/>
    <mergeCell ref="A182:A187"/>
    <mergeCell ref="A188:A193"/>
    <mergeCell ref="A194:A199"/>
    <mergeCell ref="AA15:AC15"/>
    <mergeCell ref="AA16:AC16"/>
    <mergeCell ref="AA17:AC24"/>
    <mergeCell ref="AA85:AC85"/>
    <mergeCell ref="AA86:AC86"/>
    <mergeCell ref="AA87:AC94"/>
    <mergeCell ref="AD87:AF92"/>
    <mergeCell ref="A1:G1"/>
    <mergeCell ref="F2:H2"/>
    <mergeCell ref="X2:Y2"/>
    <mergeCell ref="A3:A8"/>
    <mergeCell ref="A9:A14"/>
    <mergeCell ref="A15:A20"/>
    <mergeCell ref="AD15:AE22"/>
    <mergeCell ref="A63:A68"/>
    <mergeCell ref="A72:G72"/>
    <mergeCell ref="F73:H73"/>
    <mergeCell ref="X73:Y73"/>
    <mergeCell ref="A21:A26"/>
    <mergeCell ref="A27:A32"/>
    <mergeCell ref="A33:A38"/>
    <mergeCell ref="A39:A44"/>
    <mergeCell ref="A45:A50"/>
    <mergeCell ref="A51:A56"/>
    <mergeCell ref="A57:A62"/>
    <mergeCell ref="A116:A121"/>
    <mergeCell ref="A122:A127"/>
    <mergeCell ref="A128:A133"/>
    <mergeCell ref="A134:A139"/>
    <mergeCell ref="A144:G144"/>
    <mergeCell ref="F145:H145"/>
    <mergeCell ref="X145:Y145"/>
    <mergeCell ref="A146:A151"/>
    <mergeCell ref="A152:A157"/>
    <mergeCell ref="AA157:AC157"/>
    <mergeCell ref="AA158:AC158"/>
    <mergeCell ref="AA159:AC166"/>
    <mergeCell ref="AD160:AF165"/>
    <mergeCell ref="A74:A79"/>
    <mergeCell ref="A80:A85"/>
    <mergeCell ref="A86:A91"/>
    <mergeCell ref="A92:A97"/>
    <mergeCell ref="A98:A103"/>
    <mergeCell ref="A104:A109"/>
    <mergeCell ref="A110:A11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8.63"/>
    <col customWidth="1" min="3" max="3" width="14.0"/>
    <col customWidth="1" min="4" max="4" width="12.75"/>
    <col customWidth="1" min="5" max="5" width="18.75"/>
    <col customWidth="1" min="6" max="6" width="37.0"/>
    <col customWidth="1" min="7" max="7" width="13.38"/>
    <col customWidth="1" min="8" max="8" width="48.13"/>
  </cols>
  <sheetData>
    <row r="1" ht="15.75" customHeight="1">
      <c r="A1" s="146" t="s">
        <v>220</v>
      </c>
      <c r="B1" s="147" t="s">
        <v>221</v>
      </c>
      <c r="C1" s="147" t="s">
        <v>222</v>
      </c>
      <c r="D1" s="147" t="s">
        <v>223</v>
      </c>
      <c r="E1" s="147" t="s">
        <v>224</v>
      </c>
      <c r="F1" s="147" t="s">
        <v>225</v>
      </c>
      <c r="G1" s="147" t="s">
        <v>226</v>
      </c>
      <c r="H1" s="147" t="s">
        <v>227</v>
      </c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 ht="15.75" customHeight="1">
      <c r="A2" s="149" t="s">
        <v>228</v>
      </c>
      <c r="B2" s="150" t="s">
        <v>229</v>
      </c>
      <c r="C2" s="151" t="s">
        <v>31</v>
      </c>
      <c r="D2" s="151" t="s">
        <v>230</v>
      </c>
      <c r="E2" s="152">
        <v>108125.0</v>
      </c>
      <c r="F2" s="153" t="s">
        <v>231</v>
      </c>
      <c r="G2" s="150" t="s">
        <v>232</v>
      </c>
      <c r="H2" s="151" t="s">
        <v>233</v>
      </c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 ht="15.75" customHeight="1">
      <c r="A3" s="149" t="s">
        <v>228</v>
      </c>
      <c r="B3" s="150" t="s">
        <v>234</v>
      </c>
      <c r="C3" s="150" t="s">
        <v>32</v>
      </c>
      <c r="D3" s="150" t="s">
        <v>235</v>
      </c>
      <c r="E3" s="154">
        <v>89159.0</v>
      </c>
      <c r="F3" s="155" t="s">
        <v>236</v>
      </c>
      <c r="G3" s="150" t="s">
        <v>232</v>
      </c>
      <c r="H3" s="150" t="s">
        <v>237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 ht="15.75" customHeight="1">
      <c r="A4" s="149" t="s">
        <v>228</v>
      </c>
      <c r="B4" s="150" t="s">
        <v>238</v>
      </c>
      <c r="C4" s="150" t="s">
        <v>108</v>
      </c>
      <c r="D4" s="150" t="s">
        <v>239</v>
      </c>
      <c r="E4" s="154">
        <v>100096.0</v>
      </c>
      <c r="F4" s="155" t="s">
        <v>240</v>
      </c>
      <c r="G4" s="150" t="s">
        <v>232</v>
      </c>
      <c r="H4" s="150" t="s">
        <v>241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 ht="15.75" customHeight="1">
      <c r="A5" s="149" t="s">
        <v>228</v>
      </c>
      <c r="B5" s="150" t="s">
        <v>242</v>
      </c>
      <c r="C5" s="150" t="s">
        <v>55</v>
      </c>
      <c r="D5" s="150" t="s">
        <v>243</v>
      </c>
      <c r="E5" s="154">
        <v>108498.0</v>
      </c>
      <c r="F5" s="155" t="s">
        <v>244</v>
      </c>
      <c r="G5" s="150" t="s">
        <v>232</v>
      </c>
      <c r="H5" s="150" t="s">
        <v>245</v>
      </c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 ht="15.75" customHeight="1">
      <c r="A6" s="149" t="s">
        <v>228</v>
      </c>
      <c r="B6" s="150" t="s">
        <v>246</v>
      </c>
      <c r="C6" s="150" t="s">
        <v>63</v>
      </c>
      <c r="D6" s="150" t="s">
        <v>247</v>
      </c>
      <c r="E6" s="154">
        <v>110713.0</v>
      </c>
      <c r="F6" s="155" t="s">
        <v>240</v>
      </c>
      <c r="G6" s="150" t="s">
        <v>232</v>
      </c>
      <c r="H6" s="150" t="s">
        <v>248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 ht="15.75" customHeight="1">
      <c r="A7" s="149" t="s">
        <v>228</v>
      </c>
      <c r="B7" s="150" t="s">
        <v>249</v>
      </c>
      <c r="C7" s="150" t="s">
        <v>60</v>
      </c>
      <c r="D7" s="150" t="s">
        <v>250</v>
      </c>
      <c r="E7" s="154">
        <v>108196.0</v>
      </c>
      <c r="F7" s="155" t="s">
        <v>244</v>
      </c>
      <c r="G7" s="150" t="s">
        <v>232</v>
      </c>
      <c r="H7" s="150" t="s">
        <v>245</v>
      </c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 ht="15.75" customHeight="1">
      <c r="A8" s="149" t="s">
        <v>251</v>
      </c>
      <c r="B8" s="150" t="s">
        <v>252</v>
      </c>
      <c r="C8" s="150" t="s">
        <v>145</v>
      </c>
      <c r="D8" s="150" t="s">
        <v>253</v>
      </c>
      <c r="E8" s="154">
        <v>103269.0</v>
      </c>
      <c r="F8" s="155" t="s">
        <v>244</v>
      </c>
      <c r="G8" s="150" t="s">
        <v>232</v>
      </c>
      <c r="H8" s="150" t="s">
        <v>245</v>
      </c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 ht="15.75" customHeight="1">
      <c r="A9" s="149" t="s">
        <v>228</v>
      </c>
      <c r="B9" s="150" t="s">
        <v>254</v>
      </c>
      <c r="C9" s="150" t="s">
        <v>39</v>
      </c>
      <c r="D9" s="150" t="s">
        <v>255</v>
      </c>
      <c r="E9" s="154">
        <v>109271.0</v>
      </c>
      <c r="F9" s="155" t="s">
        <v>244</v>
      </c>
      <c r="G9" s="150" t="s">
        <v>256</v>
      </c>
      <c r="H9" s="150" t="s">
        <v>257</v>
      </c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 ht="15.75" customHeight="1">
      <c r="A10" s="149" t="s">
        <v>228</v>
      </c>
      <c r="B10" s="150" t="s">
        <v>258</v>
      </c>
      <c r="C10" s="150" t="s">
        <v>121</v>
      </c>
      <c r="D10" s="150" t="s">
        <v>259</v>
      </c>
      <c r="E10" s="154">
        <v>108249.0</v>
      </c>
      <c r="F10" s="155" t="s">
        <v>244</v>
      </c>
      <c r="G10" s="150" t="s">
        <v>256</v>
      </c>
      <c r="H10" s="150" t="s">
        <v>257</v>
      </c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 ht="15.75" customHeight="1">
      <c r="A11" s="149" t="s">
        <v>228</v>
      </c>
      <c r="B11" s="150" t="s">
        <v>260</v>
      </c>
      <c r="C11" s="150" t="s">
        <v>40</v>
      </c>
      <c r="D11" s="150" t="s">
        <v>261</v>
      </c>
      <c r="E11" s="154">
        <v>103583.0</v>
      </c>
      <c r="F11" s="155" t="s">
        <v>244</v>
      </c>
      <c r="G11" s="150" t="s">
        <v>256</v>
      </c>
      <c r="H11" s="150" t="s">
        <v>262</v>
      </c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 ht="15.75" customHeight="1">
      <c r="A12" s="149" t="s">
        <v>228</v>
      </c>
      <c r="B12" s="150" t="s">
        <v>260</v>
      </c>
      <c r="C12" s="150" t="s">
        <v>40</v>
      </c>
      <c r="D12" s="150" t="s">
        <v>263</v>
      </c>
      <c r="E12" s="154">
        <v>93245.0</v>
      </c>
      <c r="F12" s="156" t="s">
        <v>264</v>
      </c>
      <c r="G12" s="157">
        <v>44870.0</v>
      </c>
      <c r="H12" s="15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