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<sst xmlns="http://schemas.openxmlformats.org/spreadsheetml/2006/main" count="5851" uniqueCount="267">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</sst>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10.0</v>
      </c>
      <c r="AH3" s="22">
        <v>3.0</v>
      </c>
      <c r="AI3" s="23">
        <v>0.0</v>
      </c>
      <c r="AJ3" s="22">
        <v>1.0</v>
      </c>
      <c r="AK3" s="22">
        <v>106.0</v>
      </c>
      <c r="AL3" s="23">
        <v>96.0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9.0</v>
      </c>
      <c r="AH4" s="22">
        <v>3.0</v>
      </c>
      <c r="AI4" s="23">
        <v>0.0</v>
      </c>
      <c r="AJ4" s="22">
        <v>0.0</v>
      </c>
      <c r="AK4" s="22">
        <v>71.0</v>
      </c>
      <c r="AL4" s="23">
        <v>40.0</v>
      </c>
      <c r="AM4" s="22">
        <v>31.0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5</v>
      </c>
      <c r="Q5" s="17">
        <f t="shared" si="4"/>
        <v>1</v>
      </c>
      <c r="R5" s="19">
        <f t="shared" si="5"/>
        <v>0</v>
      </c>
      <c r="S5" s="19">
        <f t="shared" si="6"/>
        <v>2</v>
      </c>
      <c r="T5" s="17">
        <f t="shared" si="7"/>
        <v>67</v>
      </c>
      <c r="U5" s="19">
        <f t="shared" si="8"/>
        <v>65</v>
      </c>
      <c r="V5" s="17">
        <f t="shared" si="9"/>
        <v>2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42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35</v>
      </c>
      <c r="P10" s="17">
        <f t="shared" si="3"/>
        <v>9</v>
      </c>
      <c r="Q10" s="17">
        <f t="shared" si="4"/>
        <v>3</v>
      </c>
      <c r="R10" s="19">
        <f t="shared" si="5"/>
        <v>0</v>
      </c>
      <c r="S10" s="19">
        <f t="shared" si="6"/>
        <v>0</v>
      </c>
      <c r="T10" s="17">
        <f t="shared" si="7"/>
        <v>71</v>
      </c>
      <c r="U10" s="19">
        <f t="shared" si="8"/>
        <v>40</v>
      </c>
      <c r="V10" s="17">
        <f t="shared" si="9"/>
        <v>31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32</v>
      </c>
      <c r="AG10" s="22">
        <v>5.0</v>
      </c>
      <c r="AH10" s="22">
        <v>1.0</v>
      </c>
      <c r="AI10" s="23">
        <v>0.0</v>
      </c>
      <c r="AJ10" s="22">
        <v>2.0</v>
      </c>
      <c r="AK10" s="22">
        <v>68.0</v>
      </c>
      <c r="AL10" s="23">
        <v>65.0</v>
      </c>
      <c r="AM10" s="22">
        <v>3.0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31</v>
      </c>
      <c r="AG11" s="22">
        <v>5.0</v>
      </c>
      <c r="AH11" s="22">
        <v>1.0</v>
      </c>
      <c r="AI11" s="23">
        <v>0.0</v>
      </c>
      <c r="AJ11" s="22">
        <v>2.0</v>
      </c>
      <c r="AK11" s="22">
        <v>67.0</v>
      </c>
      <c r="AL11" s="23">
        <v>65.0</v>
      </c>
      <c r="AM11" s="22">
        <v>2.0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35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42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35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43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43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42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95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96</v>
      </c>
      <c r="D6" s="64" t="s">
        <v>94</v>
      </c>
      <c r="E6" s="40" t="s">
        <v>95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42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95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42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42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95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96</v>
      </c>
      <c r="D19" s="64" t="s">
        <v>94</v>
      </c>
      <c r="E19" s="40" t="s">
        <v>95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60"/>
      <c r="G26" s="60" t="s">
        <v>24</v>
      </c>
      <c r="H26" s="60"/>
      <c r="I26" s="40" t="s">
        <v>95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95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42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95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95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95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95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116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118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96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76"/>
      <c r="G84" s="60" t="s">
        <v>24</v>
      </c>
      <c r="H84" s="76"/>
      <c r="I84" s="79" t="s">
        <v>111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76"/>
      <c r="G85" s="60" t="s">
        <v>24</v>
      </c>
      <c r="H85" s="76"/>
      <c r="I85" s="79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76"/>
      <c r="G86" s="60" t="s">
        <v>24</v>
      </c>
      <c r="H86" s="76"/>
      <c r="I86" s="79" t="s">
        <v>114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76"/>
      <c r="G87" s="60" t="s">
        <v>24</v>
      </c>
      <c r="H87" s="76"/>
      <c r="I87" s="79" t="s">
        <v>116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76"/>
      <c r="G136" s="60" t="s">
        <v>24</v>
      </c>
      <c r="H136" s="76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96</v>
      </c>
      <c r="D137" s="64" t="s">
        <v>94</v>
      </c>
      <c r="E137" s="14" t="s">
        <v>45</v>
      </c>
      <c r="F137" s="76"/>
      <c r="G137" s="60" t="s">
        <v>24</v>
      </c>
      <c r="H137" s="76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76"/>
      <c r="G138" s="60" t="s">
        <v>24</v>
      </c>
      <c r="H138" s="76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76"/>
      <c r="G139" s="60" t="s">
        <v>24</v>
      </c>
      <c r="H139" s="76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41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134</v>
      </c>
      <c r="AB10" s="63" t="s">
        <v>116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133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76"/>
      <c r="G17" s="76" t="s">
        <v>24</v>
      </c>
      <c r="H17" s="76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76"/>
      <c r="G18" s="76" t="s">
        <v>24</v>
      </c>
      <c r="H18" s="76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76"/>
      <c r="G19" s="76" t="s">
        <v>24</v>
      </c>
      <c r="H19" s="76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76"/>
      <c r="G20" s="76" t="s">
        <v>24</v>
      </c>
      <c r="H20" s="76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27"/>
      <c r="G21" s="76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76"/>
      <c r="G22" s="76" t="s">
        <v>24</v>
      </c>
      <c r="H22" s="76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76"/>
      <c r="G23" s="76" t="s">
        <v>24</v>
      </c>
      <c r="H23" s="76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96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42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96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96</v>
      </c>
      <c r="D82" s="59" t="s">
        <v>94</v>
      </c>
      <c r="E82" s="40" t="s">
        <v>42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42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42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42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42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42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96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96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43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96</v>
      </c>
      <c r="D184" s="59" t="s">
        <v>22</v>
      </c>
      <c r="E184" s="40" t="s">
        <v>43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43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43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43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43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43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96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41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42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113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96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42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42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80"/>
      <c r="C17" s="76"/>
      <c r="D17" s="76"/>
      <c r="E17" s="40" t="s">
        <v>59</v>
      </c>
      <c r="F17" s="76"/>
      <c r="G17" s="76" t="s">
        <v>24</v>
      </c>
      <c r="H17" s="76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80"/>
      <c r="C18" s="76"/>
      <c r="D18" s="76"/>
      <c r="E18" s="40" t="s">
        <v>161</v>
      </c>
      <c r="F18" s="76"/>
      <c r="G18" s="76" t="s">
        <v>24</v>
      </c>
      <c r="H18" s="76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80"/>
      <c r="C19" s="76"/>
      <c r="D19" s="76"/>
      <c r="E19" s="40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80"/>
      <c r="C20" s="76"/>
      <c r="D20" s="76"/>
      <c r="E20" s="40" t="s">
        <v>113</v>
      </c>
      <c r="F20" s="76"/>
      <c r="G20" s="76" t="s">
        <v>24</v>
      </c>
      <c r="H20" s="76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80"/>
      <c r="C21" s="76"/>
      <c r="D21" s="76"/>
      <c r="E21" s="40" t="s">
        <v>33</v>
      </c>
      <c r="F21" s="27"/>
      <c r="G21" s="76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80"/>
      <c r="C22" s="76"/>
      <c r="D22" s="76"/>
      <c r="E22" s="40" t="s">
        <v>57</v>
      </c>
      <c r="F22" s="76"/>
      <c r="G22" s="76" t="s">
        <v>24</v>
      </c>
      <c r="H22" s="76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80"/>
      <c r="C23" s="76"/>
      <c r="D23" s="76"/>
      <c r="E23" s="40" t="s">
        <v>111</v>
      </c>
      <c r="F23" s="76"/>
      <c r="G23" s="76" t="s">
        <v>24</v>
      </c>
      <c r="H23" s="76"/>
      <c r="I23" s="40" t="s">
        <v>42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42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179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42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42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42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42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182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182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182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182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41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182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182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96</v>
      </c>
      <c r="D9" s="12" t="s">
        <v>182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182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182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182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182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96</v>
      </c>
      <c r="D17" s="12" t="s">
        <v>182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96</v>
      </c>
      <c r="D21" s="12" t="s">
        <v>182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182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182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182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182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96</v>
      </c>
      <c r="D76" s="59" t="s">
        <v>182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95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96</v>
      </c>
      <c r="D77" s="59" t="s">
        <v>182</v>
      </c>
      <c r="E77" s="40" t="s">
        <v>42</v>
      </c>
      <c r="F77" s="79">
        <v>1.0</v>
      </c>
      <c r="G77" s="76" t="s">
        <v>24</v>
      </c>
      <c r="H77" s="79">
        <v>4.0</v>
      </c>
      <c r="I77" s="40" t="s">
        <v>95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42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182</v>
      </c>
      <c r="E79" s="14" t="s">
        <v>188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42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188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182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182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95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182</v>
      </c>
      <c r="E82" s="14" t="s">
        <v>95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96</v>
      </c>
      <c r="D83" s="59" t="s">
        <v>182</v>
      </c>
      <c r="E83" s="14" t="s">
        <v>42</v>
      </c>
      <c r="F83" s="15">
        <v>3.0</v>
      </c>
      <c r="G83" s="76" t="s">
        <v>24</v>
      </c>
      <c r="H83" s="79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182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182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182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95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188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42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96</v>
      </c>
      <c r="D89" s="59" t="s">
        <v>182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95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95</v>
      </c>
      <c r="F91" s="113"/>
      <c r="G91" s="76" t="s">
        <v>24</v>
      </c>
      <c r="H91" s="113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42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188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95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182</v>
      </c>
      <c r="E98" s="40" t="s">
        <v>42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95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96</v>
      </c>
      <c r="D111" s="59" t="s">
        <v>182</v>
      </c>
      <c r="E111" s="14" t="s">
        <v>43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182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43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182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182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182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96</v>
      </c>
      <c r="D118" s="59" t="s">
        <v>182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96</v>
      </c>
      <c r="D119" s="59" t="s">
        <v>182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43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182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96</v>
      </c>
      <c r="D121" s="59" t="s">
        <v>182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182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96</v>
      </c>
      <c r="D123" s="59" t="s">
        <v>182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182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43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182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182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43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43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195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41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188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42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42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188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188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188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42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188</v>
      </c>
      <c r="F39" s="30"/>
      <c r="G39" s="30" t="s">
        <v>24</v>
      </c>
      <c r="H39" s="30"/>
      <c r="I39" s="14" t="s">
        <v>42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42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188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42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188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42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188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42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188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200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35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35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201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35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201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35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201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35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201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204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204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35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204</v>
      </c>
      <c r="D102" s="12" t="s">
        <v>22</v>
      </c>
      <c r="E102" s="14" t="s">
        <v>201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35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201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35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201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35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201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35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201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35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201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35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201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205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35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43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206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43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43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43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208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206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43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206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43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206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43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206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43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206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43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206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43</v>
      </c>
      <c r="F209" s="30"/>
      <c r="G209" s="30" t="s">
        <v>24</v>
      </c>
      <c r="H209" s="30"/>
      <c r="I209" s="14" t="s">
        <v>206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210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211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95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8</v>
      </c>
      <c r="Q3" s="124">
        <f t="shared" ref="Q3:Q14" si="4">COUNTIFS(E$3:E$68,O3,K$3:K$68,2)+COUNTIFS(I$3:I$68,O3,L$3:L$68,2)+COUNTIFS(E$3:E$68,O3,K$3:K$68,3)+COUNTIFS(I$3:I$68,O3,L$3:L$68,3)</f>
        <v>3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6</v>
      </c>
      <c r="U3" s="125">
        <f t="shared" ref="U3:U14" si="7">SUMIF(E$3:E$68,O3,H$3:H$68)+SUMIF(I$3:I$68,O3,F$3:F$68)</f>
        <v>3</v>
      </c>
      <c r="V3" s="122">
        <f t="shared" ref="V3:V14" si="8">T3-U3</f>
        <v>3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EGI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4</v>
      </c>
      <c r="T4" s="122">
        <f t="shared" si="6"/>
        <v>1</v>
      </c>
      <c r="U4" s="125">
        <f t="shared" si="7"/>
        <v>8</v>
      </c>
      <c r="V4" s="122">
        <f t="shared" si="8"/>
        <v>-7</v>
      </c>
      <c r="X4" s="109" t="s">
        <v>61</v>
      </c>
      <c r="Y4" s="109">
        <v>2.0</v>
      </c>
      <c r="AA4" s="21" t="s">
        <v>34</v>
      </c>
      <c r="AB4" s="63" t="s">
        <v>42</v>
      </c>
      <c r="AC4" s="22">
        <v>12.0</v>
      </c>
      <c r="AD4" s="22">
        <v>4.0</v>
      </c>
      <c r="AE4" s="22"/>
      <c r="AF4" s="23">
        <v>0.0</v>
      </c>
      <c r="AG4" s="22">
        <v>8.0</v>
      </c>
      <c r="AH4" s="23">
        <v>0.0</v>
      </c>
      <c r="AI4" s="22">
        <v>8.0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95</v>
      </c>
      <c r="P5" s="122">
        <f t="shared" si="3"/>
        <v>1</v>
      </c>
      <c r="Q5" s="124">
        <f t="shared" si="4"/>
        <v>0</v>
      </c>
      <c r="R5" s="124"/>
      <c r="S5" s="125">
        <f t="shared" si="5"/>
        <v>4</v>
      </c>
      <c r="T5" s="122">
        <f t="shared" si="6"/>
        <v>1</v>
      </c>
      <c r="U5" s="125">
        <f t="shared" si="7"/>
        <v>8</v>
      </c>
      <c r="V5" s="122">
        <f t="shared" si="8"/>
        <v>-7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10.0</v>
      </c>
      <c r="AD5" s="22">
        <v>3.0</v>
      </c>
      <c r="AE5" s="22"/>
      <c r="AF5" s="23">
        <v>1.0</v>
      </c>
      <c r="AG5" s="22">
        <v>7.0</v>
      </c>
      <c r="AH5" s="23">
        <v>2.0</v>
      </c>
      <c r="AI5" s="22">
        <v>5.0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2</v>
      </c>
      <c r="T6" s="122">
        <f t="shared" si="6"/>
        <v>4</v>
      </c>
      <c r="U6" s="125">
        <f t="shared" si="7"/>
        <v>4</v>
      </c>
      <c r="V6" s="122">
        <f t="shared" si="8"/>
        <v>0</v>
      </c>
      <c r="AA6" s="21" t="s">
        <v>41</v>
      </c>
      <c r="AB6" s="63" t="s">
        <v>116</v>
      </c>
      <c r="AC6" s="22">
        <v>9.0</v>
      </c>
      <c r="AD6" s="22">
        <v>4.0</v>
      </c>
      <c r="AE6" s="22"/>
      <c r="AF6" s="23">
        <v>0.0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10</v>
      </c>
      <c r="Q7" s="124">
        <f t="shared" si="4"/>
        <v>3</v>
      </c>
      <c r="R7" s="124"/>
      <c r="S7" s="125">
        <f t="shared" si="5"/>
        <v>1</v>
      </c>
      <c r="T7" s="122">
        <f t="shared" si="6"/>
        <v>7</v>
      </c>
      <c r="U7" s="125">
        <f t="shared" si="7"/>
        <v>2</v>
      </c>
      <c r="V7" s="122">
        <f t="shared" si="8"/>
        <v>5</v>
      </c>
      <c r="AA7" s="21" t="s">
        <v>44</v>
      </c>
      <c r="AB7" s="63" t="s">
        <v>33</v>
      </c>
      <c r="AC7" s="22">
        <v>8.0</v>
      </c>
      <c r="AD7" s="22">
        <v>3.0</v>
      </c>
      <c r="AE7" s="22"/>
      <c r="AF7" s="23">
        <v>1.0</v>
      </c>
      <c r="AG7" s="22">
        <v>6.0</v>
      </c>
      <c r="AH7" s="23">
        <v>3.0</v>
      </c>
      <c r="AI7" s="22">
        <v>3.0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12</v>
      </c>
      <c r="Q8" s="124">
        <f t="shared" si="4"/>
        <v>4</v>
      </c>
      <c r="R8" s="124"/>
      <c r="S8" s="125">
        <f t="shared" si="5"/>
        <v>0</v>
      </c>
      <c r="T8" s="122">
        <f t="shared" si="6"/>
        <v>8</v>
      </c>
      <c r="U8" s="125">
        <f t="shared" si="7"/>
        <v>0</v>
      </c>
      <c r="V8" s="122">
        <f t="shared" si="8"/>
        <v>8</v>
      </c>
      <c r="AA8" s="21" t="s">
        <v>47</v>
      </c>
      <c r="AB8" s="63" t="s">
        <v>118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95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2</v>
      </c>
      <c r="T9" s="122">
        <f t="shared" si="6"/>
        <v>4</v>
      </c>
      <c r="U9" s="125">
        <f t="shared" si="7"/>
        <v>4</v>
      </c>
      <c r="V9" s="122">
        <f t="shared" si="8"/>
        <v>0</v>
      </c>
      <c r="AA9" s="21">
        <v>7.0</v>
      </c>
      <c r="AB9" s="63" t="s">
        <v>61</v>
      </c>
      <c r="AC9" s="22">
        <v>6.0</v>
      </c>
      <c r="AD9" s="22">
        <v>2.0</v>
      </c>
      <c r="AE9" s="22"/>
      <c r="AF9" s="23">
        <v>2.0</v>
      </c>
      <c r="AG9" s="22">
        <v>4.0</v>
      </c>
      <c r="AH9" s="23">
        <v>4.0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42</v>
      </c>
      <c r="P10" s="122">
        <f t="shared" si="3"/>
        <v>12</v>
      </c>
      <c r="Q10" s="124">
        <f t="shared" si="4"/>
        <v>4</v>
      </c>
      <c r="R10" s="124"/>
      <c r="S10" s="125">
        <f t="shared" si="5"/>
        <v>0</v>
      </c>
      <c r="T10" s="122">
        <f t="shared" si="6"/>
        <v>8</v>
      </c>
      <c r="U10" s="125">
        <f t="shared" si="7"/>
        <v>0</v>
      </c>
      <c r="V10" s="122">
        <f t="shared" si="8"/>
        <v>8</v>
      </c>
      <c r="AA10" s="21">
        <v>8.0</v>
      </c>
      <c r="AB10" s="63" t="s">
        <v>63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96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4</v>
      </c>
      <c r="T11" s="122">
        <f t="shared" si="6"/>
        <v>1</v>
      </c>
      <c r="U11" s="125">
        <f t="shared" si="7"/>
        <v>8</v>
      </c>
      <c r="V11" s="122">
        <f t="shared" si="8"/>
        <v>-7</v>
      </c>
      <c r="AA11" s="96" t="s">
        <v>102</v>
      </c>
      <c r="AB11" s="63" t="s">
        <v>114</v>
      </c>
      <c r="AC11" s="22">
        <v>1.0</v>
      </c>
      <c r="AD11" s="22">
        <v>0.0</v>
      </c>
      <c r="AE11" s="22"/>
      <c r="AF11" s="23">
        <v>4.0</v>
      </c>
      <c r="AG11" s="22">
        <v>1.0</v>
      </c>
      <c r="AH11" s="23">
        <v>8.0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96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2</v>
      </c>
      <c r="T12" s="122">
        <f t="shared" si="6"/>
        <v>4</v>
      </c>
      <c r="U12" s="125">
        <f t="shared" si="7"/>
        <v>4</v>
      </c>
      <c r="V12" s="122">
        <f t="shared" si="8"/>
        <v>0</v>
      </c>
      <c r="AA12" s="70">
        <v>10.0</v>
      </c>
      <c r="AB12" s="63" t="s">
        <v>95</v>
      </c>
      <c r="AC12" s="22">
        <v>1.0</v>
      </c>
      <c r="AD12" s="22">
        <v>0.0</v>
      </c>
      <c r="AE12" s="22"/>
      <c r="AF12" s="23">
        <v>4.0</v>
      </c>
      <c r="AG12" s="22">
        <v>1.0</v>
      </c>
      <c r="AH12" s="23">
        <v>8.0</v>
      </c>
      <c r="AI12" s="22">
        <v>-7.0</v>
      </c>
      <c r="AJ12" s="17"/>
    </row>
    <row r="13" ht="15.75" customHeight="1">
      <c r="A13" s="24"/>
      <c r="B13" s="11">
        <v>45959.0</v>
      </c>
      <c r="C13" s="12" t="s">
        <v>96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4</v>
      </c>
      <c r="T13" s="122">
        <f t="shared" si="6"/>
        <v>0</v>
      </c>
      <c r="U13" s="125">
        <f t="shared" si="7"/>
        <v>8</v>
      </c>
      <c r="V13" s="122">
        <f t="shared" si="8"/>
        <v>-8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4.0</v>
      </c>
      <c r="AG13" s="22">
        <v>1.0</v>
      </c>
      <c r="AH13" s="23">
        <v>8.0</v>
      </c>
      <c r="AI13" s="22">
        <v>-7.0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9</v>
      </c>
      <c r="Q14" s="124">
        <f t="shared" si="4"/>
        <v>4</v>
      </c>
      <c r="S14" s="125">
        <f t="shared" si="5"/>
        <v>0</v>
      </c>
      <c r="T14" s="122">
        <f t="shared" si="6"/>
        <v>8</v>
      </c>
      <c r="U14" s="125">
        <f t="shared" si="7"/>
        <v>3</v>
      </c>
      <c r="V14" s="122">
        <f t="shared" si="8"/>
        <v>5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4.0</v>
      </c>
      <c r="AG14" s="27">
        <v>0.0</v>
      </c>
      <c r="AH14" s="27">
        <v>8.0</v>
      </c>
      <c r="AI14" s="27">
        <v>-8.0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95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212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95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42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30"/>
      <c r="G27" s="30" t="s">
        <v>24</v>
      </c>
      <c r="H27" s="30"/>
      <c r="I27" s="14" t="s">
        <v>61</v>
      </c>
      <c r="J27" s="120"/>
      <c r="K27" s="121" t="str">
        <f t="shared" si="1"/>
        <v/>
      </c>
      <c r="L27" s="122" t="str">
        <f t="shared" si="2"/>
        <v/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95</v>
      </c>
      <c r="F28" s="30"/>
      <c r="G28" s="30" t="s">
        <v>24</v>
      </c>
      <c r="H28" s="30"/>
      <c r="I28" s="14" t="s">
        <v>40</v>
      </c>
      <c r="J28" s="120"/>
      <c r="K28" s="121" t="str">
        <f t="shared" si="1"/>
        <v/>
      </c>
      <c r="L28" s="122" t="str">
        <f t="shared" si="2"/>
        <v/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30"/>
      <c r="G29" s="30" t="s">
        <v>24</v>
      </c>
      <c r="H29" s="30"/>
      <c r="I29" s="14" t="s">
        <v>113</v>
      </c>
      <c r="J29" s="120"/>
      <c r="K29" s="121" t="str">
        <f t="shared" si="1"/>
        <v/>
      </c>
      <c r="L29" s="122" t="str">
        <f t="shared" si="2"/>
        <v/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30"/>
      <c r="G30" s="30" t="s">
        <v>24</v>
      </c>
      <c r="H30" s="30"/>
      <c r="I30" s="14" t="s">
        <v>114</v>
      </c>
      <c r="J30" s="120"/>
      <c r="K30" s="121" t="str">
        <f t="shared" si="1"/>
        <v/>
      </c>
      <c r="L30" s="122" t="str">
        <f t="shared" si="2"/>
        <v/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30"/>
      <c r="G31" s="30" t="s">
        <v>24</v>
      </c>
      <c r="H31" s="30"/>
      <c r="I31" s="14" t="s">
        <v>118</v>
      </c>
      <c r="J31" s="120"/>
      <c r="K31" s="121" t="str">
        <f t="shared" si="1"/>
        <v/>
      </c>
      <c r="L31" s="122" t="str">
        <f t="shared" si="2"/>
        <v/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30"/>
      <c r="G32" s="30" t="s">
        <v>24</v>
      </c>
      <c r="H32" s="30"/>
      <c r="I32" s="14" t="s">
        <v>25</v>
      </c>
      <c r="J32" s="120"/>
      <c r="K32" s="121" t="str">
        <f t="shared" si="1"/>
        <v/>
      </c>
      <c r="L32" s="122" t="str">
        <f t="shared" si="2"/>
        <v/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95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42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95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42</v>
      </c>
      <c r="F61" s="30"/>
      <c r="G61" s="30" t="s">
        <v>24</v>
      </c>
      <c r="H61" s="30"/>
      <c r="I61" s="14" t="s">
        <v>95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95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213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9</v>
      </c>
      <c r="Q74" s="124">
        <f t="shared" ref="Q74:Q84" si="12">COUNTIFS(E$74:E$139,O74,K$74:K$139,2)+COUNTIFS(I$74:I$139,O74,L$74:L$139,2)+COUNTIFS(E$74:E$139,O74,K$74:K$139,3)+COUNTIFS(I$74:I$139,O74,L$74:L$139,3)</f>
        <v>3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6</v>
      </c>
      <c r="U74" s="125">
        <f t="shared" ref="U74:U84" si="15">SUMIF(E$74:E$139,O74,H$74:H$139)+SUMIF(I$74:I$139,O74,F$74:F$139)</f>
        <v>2</v>
      </c>
      <c r="V74" s="122">
        <f t="shared" ref="V74:V84" si="16">T74-U74</f>
        <v>4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2</v>
      </c>
      <c r="T75" s="122">
        <f t="shared" si="14"/>
        <v>3</v>
      </c>
      <c r="U75" s="125">
        <f t="shared" si="15"/>
        <v>4</v>
      </c>
      <c r="V75" s="122">
        <f t="shared" si="16"/>
        <v>-1</v>
      </c>
      <c r="X75" s="109" t="s">
        <v>33</v>
      </c>
      <c r="Y75" s="109">
        <v>3.0</v>
      </c>
      <c r="AA75" s="96" t="s">
        <v>115</v>
      </c>
      <c r="AB75" s="63" t="s">
        <v>23</v>
      </c>
      <c r="AC75" s="22">
        <v>9.0</v>
      </c>
      <c r="AD75" s="22">
        <v>4.0</v>
      </c>
      <c r="AE75" s="23"/>
      <c r="AF75" s="23">
        <v>0.0</v>
      </c>
      <c r="AG75" s="22">
        <v>8.0</v>
      </c>
      <c r="AH75" s="23">
        <v>3.0</v>
      </c>
      <c r="AI75" s="22">
        <v>5.0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8</v>
      </c>
      <c r="Q76" s="124">
        <f t="shared" si="12"/>
        <v>3</v>
      </c>
      <c r="R76" s="125"/>
      <c r="S76" s="125">
        <f t="shared" si="13"/>
        <v>0</v>
      </c>
      <c r="T76" s="122">
        <f t="shared" si="14"/>
        <v>6</v>
      </c>
      <c r="U76" s="125">
        <f t="shared" si="15"/>
        <v>1</v>
      </c>
      <c r="V76" s="122">
        <f t="shared" si="16"/>
        <v>5</v>
      </c>
      <c r="X76" s="109" t="s">
        <v>35</v>
      </c>
      <c r="Y76" s="109">
        <v>0.0</v>
      </c>
      <c r="AA76" s="21">
        <v>3.0</v>
      </c>
      <c r="AB76" s="63" t="s">
        <v>161</v>
      </c>
      <c r="AC76" s="22">
        <v>9.0</v>
      </c>
      <c r="AD76" s="22">
        <v>3.0</v>
      </c>
      <c r="AE76" s="23"/>
      <c r="AF76" s="23">
        <v>1.0</v>
      </c>
      <c r="AG76" s="22">
        <v>6.0</v>
      </c>
      <c r="AH76" s="23">
        <v>2.0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0</v>
      </c>
      <c r="T77" s="122">
        <f t="shared" si="14"/>
        <v>6</v>
      </c>
      <c r="U77" s="125">
        <f t="shared" si="15"/>
        <v>0</v>
      </c>
      <c r="V77" s="122">
        <f t="shared" si="16"/>
        <v>6</v>
      </c>
      <c r="AA77" s="21">
        <v>4.0</v>
      </c>
      <c r="AB77" s="63" t="s">
        <v>54</v>
      </c>
      <c r="AC77" s="22">
        <v>8.0</v>
      </c>
      <c r="AD77" s="22">
        <v>3.0</v>
      </c>
      <c r="AE77" s="23"/>
      <c r="AF77" s="23">
        <v>0.0</v>
      </c>
      <c r="AG77" s="22">
        <v>6.0</v>
      </c>
      <c r="AH77" s="23">
        <v>1.0</v>
      </c>
      <c r="AI77" s="22">
        <v>5.0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214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4</v>
      </c>
      <c r="Q78" s="124">
        <f t="shared" si="12"/>
        <v>1</v>
      </c>
      <c r="R78" s="125"/>
      <c r="S78" s="125">
        <f t="shared" si="13"/>
        <v>2</v>
      </c>
      <c r="T78" s="122">
        <f t="shared" si="14"/>
        <v>3</v>
      </c>
      <c r="U78" s="125">
        <f t="shared" si="15"/>
        <v>4</v>
      </c>
      <c r="V78" s="122">
        <f t="shared" si="16"/>
        <v>-1</v>
      </c>
      <c r="AA78" s="21">
        <v>5.0</v>
      </c>
      <c r="AB78" s="63" t="s">
        <v>214</v>
      </c>
      <c r="AC78" s="22">
        <v>7.0</v>
      </c>
      <c r="AD78" s="22">
        <v>2.0</v>
      </c>
      <c r="AE78" s="23"/>
      <c r="AF78" s="23">
        <v>2.0</v>
      </c>
      <c r="AG78" s="22">
        <v>5.0</v>
      </c>
      <c r="AH78" s="23">
        <v>4.0</v>
      </c>
      <c r="AI78" s="22">
        <v>1.0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57</v>
      </c>
      <c r="AC79" s="22">
        <v>6.0</v>
      </c>
      <c r="AD79" s="22">
        <v>2.0</v>
      </c>
      <c r="AE79" s="23"/>
      <c r="AF79" s="23">
        <v>2.0</v>
      </c>
      <c r="AG79" s="22">
        <v>5.0</v>
      </c>
      <c r="AH79" s="23">
        <v>5.0</v>
      </c>
      <c r="AI79" s="22">
        <v>0.0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4</v>
      </c>
      <c r="T80" s="122">
        <f t="shared" si="14"/>
        <v>0</v>
      </c>
      <c r="U80" s="125">
        <f t="shared" si="15"/>
        <v>8</v>
      </c>
      <c r="V80" s="122">
        <f t="shared" si="16"/>
        <v>-8</v>
      </c>
      <c r="AA80" s="21">
        <v>7.0</v>
      </c>
      <c r="AB80" s="63" t="s">
        <v>32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9</v>
      </c>
      <c r="Q81" s="124">
        <f t="shared" si="12"/>
        <v>4</v>
      </c>
      <c r="R81" s="125"/>
      <c r="S81" s="125">
        <f t="shared" si="13"/>
        <v>0</v>
      </c>
      <c r="T81" s="122">
        <f t="shared" si="14"/>
        <v>8</v>
      </c>
      <c r="U81" s="125">
        <f t="shared" si="15"/>
        <v>3</v>
      </c>
      <c r="V81" s="122">
        <f t="shared" si="16"/>
        <v>5</v>
      </c>
      <c r="AA81" s="21">
        <v>8.0</v>
      </c>
      <c r="AB81" s="63" t="s">
        <v>144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2</v>
      </c>
      <c r="T82" s="122">
        <f t="shared" si="14"/>
        <v>5</v>
      </c>
      <c r="U82" s="125">
        <f t="shared" si="15"/>
        <v>5</v>
      </c>
      <c r="V82" s="122">
        <f t="shared" si="16"/>
        <v>0</v>
      </c>
      <c r="AA82" s="21">
        <v>9.0</v>
      </c>
      <c r="AB82" s="63" t="s">
        <v>188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188</v>
      </c>
      <c r="P83" s="122">
        <f t="shared" si="11"/>
        <v>4</v>
      </c>
      <c r="Q83" s="124">
        <f t="shared" si="12"/>
        <v>1</v>
      </c>
      <c r="R83" s="125"/>
      <c r="S83" s="125">
        <f t="shared" si="13"/>
        <v>3</v>
      </c>
      <c r="T83" s="122">
        <f t="shared" si="14"/>
        <v>3</v>
      </c>
      <c r="U83" s="125">
        <f t="shared" si="15"/>
        <v>6</v>
      </c>
      <c r="V83" s="122">
        <f t="shared" si="16"/>
        <v>-3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214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214</v>
      </c>
      <c r="P84" s="122">
        <f t="shared" si="11"/>
        <v>7</v>
      </c>
      <c r="Q84" s="124">
        <f t="shared" si="12"/>
        <v>2</v>
      </c>
      <c r="S84" s="125">
        <f t="shared" si="13"/>
        <v>2</v>
      </c>
      <c r="T84" s="122">
        <f t="shared" si="14"/>
        <v>5</v>
      </c>
      <c r="U84" s="125">
        <f t="shared" si="15"/>
        <v>4</v>
      </c>
      <c r="V84" s="122">
        <f t="shared" si="16"/>
        <v>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4.0</v>
      </c>
      <c r="AG84" s="22">
        <v>0.0</v>
      </c>
      <c r="AH84" s="23">
        <v>8.0</v>
      </c>
      <c r="AI84" s="22">
        <v>-8.0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215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214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214</v>
      </c>
      <c r="F95" s="13">
        <v>2.0</v>
      </c>
      <c r="G95" s="30" t="s">
        <v>24</v>
      </c>
      <c r="H95" s="13">
        <v>0.0</v>
      </c>
      <c r="I95" s="14" t="s">
        <v>188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2"/>
      <c r="C98" s="134"/>
      <c r="D98" s="134"/>
      <c r="E98" s="14" t="s">
        <v>144</v>
      </c>
      <c r="F98" s="30"/>
      <c r="G98" s="30" t="s">
        <v>24</v>
      </c>
      <c r="H98" s="30"/>
      <c r="I98" s="14" t="s">
        <v>38</v>
      </c>
      <c r="J98" s="120"/>
      <c r="K98" s="121" t="str">
        <f t="shared" si="9"/>
        <v/>
      </c>
      <c r="L98" s="122" t="str">
        <f t="shared" si="10"/>
        <v/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2"/>
      <c r="C99" s="134"/>
      <c r="D99" s="134"/>
      <c r="E99" s="14" t="s">
        <v>54</v>
      </c>
      <c r="F99" s="134"/>
      <c r="G99" s="30" t="s">
        <v>24</v>
      </c>
      <c r="H99" s="30"/>
      <c r="I99" s="14" t="s">
        <v>57</v>
      </c>
      <c r="J99" s="120"/>
      <c r="K99" s="121" t="str">
        <f t="shared" si="9"/>
        <v/>
      </c>
      <c r="L99" s="122" t="str">
        <f t="shared" si="10"/>
        <v/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2"/>
      <c r="C100" s="134"/>
      <c r="D100" s="134"/>
      <c r="E100" s="14" t="s">
        <v>161</v>
      </c>
      <c r="F100" s="134"/>
      <c r="G100" s="30" t="s">
        <v>24</v>
      </c>
      <c r="H100" s="30"/>
      <c r="I100" s="14" t="s">
        <v>214</v>
      </c>
      <c r="J100" s="120"/>
      <c r="K100" s="121" t="str">
        <f t="shared" si="9"/>
        <v/>
      </c>
      <c r="L100" s="122" t="str">
        <f t="shared" si="10"/>
        <v/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2"/>
      <c r="C101" s="134"/>
      <c r="D101" s="134"/>
      <c r="E101" s="14" t="s">
        <v>188</v>
      </c>
      <c r="F101" s="134"/>
      <c r="G101" s="30" t="s">
        <v>24</v>
      </c>
      <c r="H101" s="30"/>
      <c r="I101" s="14" t="s">
        <v>32</v>
      </c>
      <c r="J101" s="120"/>
      <c r="K101" s="121" t="str">
        <f t="shared" si="9"/>
        <v/>
      </c>
      <c r="L101" s="122" t="str">
        <f t="shared" si="10"/>
        <v/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2"/>
      <c r="C102" s="134"/>
      <c r="D102" s="134"/>
      <c r="E102" s="14" t="s">
        <v>23</v>
      </c>
      <c r="F102" s="134"/>
      <c r="G102" s="30" t="s">
        <v>24</v>
      </c>
      <c r="H102" s="30"/>
      <c r="I102" s="14" t="s">
        <v>158</v>
      </c>
      <c r="J102" s="120"/>
      <c r="K102" s="121" t="str">
        <f t="shared" si="9"/>
        <v/>
      </c>
      <c r="L102" s="122" t="str">
        <f t="shared" si="10"/>
        <v/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214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188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188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214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188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214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216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217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218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217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35</v>
      </c>
      <c r="Y148" s="109">
        <v>0.0</v>
      </c>
      <c r="AA148" s="21">
        <v>3.0</v>
      </c>
      <c r="AB148" s="63" t="s">
        <v>60</v>
      </c>
      <c r="AC148" s="22">
        <v>8.0</v>
      </c>
      <c r="AD148" s="22">
        <v>2.0</v>
      </c>
      <c r="AE148" s="23"/>
      <c r="AF148" s="23">
        <v>3.0</v>
      </c>
      <c r="AG148" s="22">
        <v>6.0</v>
      </c>
      <c r="AH148" s="23">
        <v>6.0</v>
      </c>
      <c r="AI148" s="22">
        <v>0.0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7</v>
      </c>
      <c r="Q149" s="124">
        <f t="shared" si="20"/>
        <v>3</v>
      </c>
      <c r="R149" s="125"/>
      <c r="S149" s="125">
        <f t="shared" si="21"/>
        <v>0</v>
      </c>
      <c r="T149" s="122">
        <f t="shared" si="22"/>
        <v>6</v>
      </c>
      <c r="U149" s="125">
        <f t="shared" si="23"/>
        <v>2</v>
      </c>
      <c r="V149" s="122">
        <f t="shared" si="24"/>
        <v>4</v>
      </c>
      <c r="AA149" s="21">
        <v>4.0</v>
      </c>
      <c r="AB149" s="63" t="s">
        <v>45</v>
      </c>
      <c r="AC149" s="22">
        <v>7.0</v>
      </c>
      <c r="AD149" s="22">
        <v>3.0</v>
      </c>
      <c r="AE149" s="23"/>
      <c r="AF149" s="23">
        <v>0.0</v>
      </c>
      <c r="AG149" s="22">
        <v>6.0</v>
      </c>
      <c r="AH149" s="23">
        <v>2.0</v>
      </c>
      <c r="AI149" s="22">
        <v>4.0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218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217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218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4</v>
      </c>
      <c r="T153" s="122">
        <f t="shared" si="22"/>
        <v>0</v>
      </c>
      <c r="U153" s="125">
        <f t="shared" si="23"/>
        <v>8</v>
      </c>
      <c r="V153" s="122">
        <f t="shared" si="24"/>
        <v>-8</v>
      </c>
      <c r="AA153" s="21">
        <v>8.0</v>
      </c>
      <c r="AB153" s="63" t="s">
        <v>217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218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219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217</v>
      </c>
      <c r="F158" s="13">
        <v>2.0</v>
      </c>
      <c r="G158" s="30" t="s">
        <v>24</v>
      </c>
      <c r="H158" s="13">
        <v>1.0</v>
      </c>
      <c r="I158" s="14" t="s">
        <v>218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218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217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218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203</v>
      </c>
      <c r="D171" s="12" t="s">
        <v>22</v>
      </c>
      <c r="E171" s="14" t="s">
        <v>217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203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34"/>
      <c r="G174" s="30" t="s">
        <v>24</v>
      </c>
      <c r="H174" s="30"/>
      <c r="I174" s="14" t="s">
        <v>45</v>
      </c>
      <c r="J174" s="120"/>
      <c r="K174" s="121" t="str">
        <f t="shared" si="17"/>
        <v/>
      </c>
      <c r="L174" s="122" t="str">
        <f t="shared" si="18"/>
        <v/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218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217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218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217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218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217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218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217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218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217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218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217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222</v>
      </c>
      <c r="B1" s="151" t="s">
        <v>223</v>
      </c>
      <c r="C1" s="151" t="s">
        <v>224</v>
      </c>
      <c r="D1" s="151" t="s">
        <v>225</v>
      </c>
      <c r="E1" s="151" t="s">
        <v>226</v>
      </c>
      <c r="F1" s="151" t="s">
        <v>227</v>
      </c>
      <c r="G1" s="151" t="s">
        <v>228</v>
      </c>
      <c r="H1" s="151" t="s">
        <v>229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230</v>
      </c>
      <c r="B2" s="154" t="s">
        <v>231</v>
      </c>
      <c r="C2" s="155" t="s">
        <v>31</v>
      </c>
      <c r="D2" s="155" t="s">
        <v>232</v>
      </c>
      <c r="E2" s="156">
        <v>108125.0</v>
      </c>
      <c r="F2" s="157" t="s">
        <v>233</v>
      </c>
      <c r="G2" s="154" t="s">
        <v>234</v>
      </c>
      <c r="H2" s="155" t="s">
        <v>235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230</v>
      </c>
      <c r="B3" s="154" t="s">
        <v>236</v>
      </c>
      <c r="C3" s="154" t="s">
        <v>32</v>
      </c>
      <c r="D3" s="154" t="s">
        <v>237</v>
      </c>
      <c r="E3" s="158">
        <v>89159.0</v>
      </c>
      <c r="F3" s="159" t="s">
        <v>238</v>
      </c>
      <c r="G3" s="154" t="s">
        <v>234</v>
      </c>
      <c r="H3" s="154" t="s">
        <v>239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230</v>
      </c>
      <c r="B4" s="154" t="s">
        <v>240</v>
      </c>
      <c r="C4" s="154" t="s">
        <v>111</v>
      </c>
      <c r="D4" s="154" t="s">
        <v>241</v>
      </c>
      <c r="E4" s="158">
        <v>100096.0</v>
      </c>
      <c r="F4" s="159" t="s">
        <v>242</v>
      </c>
      <c r="G4" s="154" t="s">
        <v>234</v>
      </c>
      <c r="H4" s="154" t="s">
        <v>243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230</v>
      </c>
      <c r="B5" s="154" t="s">
        <v>244</v>
      </c>
      <c r="C5" s="154" t="s">
        <v>55</v>
      </c>
      <c r="D5" s="154" t="s">
        <v>245</v>
      </c>
      <c r="E5" s="158">
        <v>108498.0</v>
      </c>
      <c r="F5" s="159" t="s">
        <v>246</v>
      </c>
      <c r="G5" s="154" t="s">
        <v>234</v>
      </c>
      <c r="H5" s="154" t="s">
        <v>247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230</v>
      </c>
      <c r="B6" s="154" t="s">
        <v>248</v>
      </c>
      <c r="C6" s="154" t="s">
        <v>63</v>
      </c>
      <c r="D6" s="154" t="s">
        <v>249</v>
      </c>
      <c r="E6" s="158">
        <v>110713.0</v>
      </c>
      <c r="F6" s="159" t="s">
        <v>242</v>
      </c>
      <c r="G6" s="154" t="s">
        <v>234</v>
      </c>
      <c r="H6" s="154" t="s">
        <v>250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230</v>
      </c>
      <c r="B7" s="154" t="s">
        <v>251</v>
      </c>
      <c r="C7" s="154" t="s">
        <v>59</v>
      </c>
      <c r="D7" s="154" t="s">
        <v>252</v>
      </c>
      <c r="E7" s="158">
        <v>108196.0</v>
      </c>
      <c r="F7" s="159" t="s">
        <v>246</v>
      </c>
      <c r="G7" s="154" t="s">
        <v>234</v>
      </c>
      <c r="H7" s="154" t="s">
        <v>247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253</v>
      </c>
      <c r="B8" s="154" t="s">
        <v>254</v>
      </c>
      <c r="C8" s="154" t="s">
        <v>143</v>
      </c>
      <c r="D8" s="154" t="s">
        <v>255</v>
      </c>
      <c r="E8" s="158">
        <v>103269.0</v>
      </c>
      <c r="F8" s="159" t="s">
        <v>246</v>
      </c>
      <c r="G8" s="154" t="s">
        <v>234</v>
      </c>
      <c r="H8" s="154" t="s">
        <v>247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230</v>
      </c>
      <c r="B9" s="154" t="s">
        <v>256</v>
      </c>
      <c r="C9" s="154" t="s">
        <v>35</v>
      </c>
      <c r="D9" s="154" t="s">
        <v>257</v>
      </c>
      <c r="E9" s="158">
        <v>109271.0</v>
      </c>
      <c r="F9" s="159" t="s">
        <v>246</v>
      </c>
      <c r="G9" s="154" t="s">
        <v>258</v>
      </c>
      <c r="H9" s="154" t="s">
        <v>259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230</v>
      </c>
      <c r="B10" s="154" t="s">
        <v>260</v>
      </c>
      <c r="C10" s="154" t="s">
        <v>121</v>
      </c>
      <c r="D10" s="154" t="s">
        <v>261</v>
      </c>
      <c r="E10" s="158">
        <v>108249.0</v>
      </c>
      <c r="F10" s="159" t="s">
        <v>246</v>
      </c>
      <c r="G10" s="154" t="s">
        <v>258</v>
      </c>
      <c r="H10" s="154" t="s">
        <v>259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230</v>
      </c>
      <c r="B11" s="154" t="s">
        <v>262</v>
      </c>
      <c r="C11" s="154" t="s">
        <v>40</v>
      </c>
      <c r="D11" s="154" t="s">
        <v>263</v>
      </c>
      <c r="E11" s="158">
        <v>103583.0</v>
      </c>
      <c r="F11" s="159" t="s">
        <v>246</v>
      </c>
      <c r="G11" s="154" t="s">
        <v>258</v>
      </c>
      <c r="H11" s="154" t="s">
        <v>264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230</v>
      </c>
      <c r="B12" s="154" t="s">
        <v>262</v>
      </c>
      <c r="C12" s="154" t="s">
        <v>40</v>
      </c>
      <c r="D12" s="154" t="s">
        <v>265</v>
      </c>
      <c r="E12" s="158">
        <v>93245.0</v>
      </c>
      <c r="F12" s="160" t="s">
        <v>266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